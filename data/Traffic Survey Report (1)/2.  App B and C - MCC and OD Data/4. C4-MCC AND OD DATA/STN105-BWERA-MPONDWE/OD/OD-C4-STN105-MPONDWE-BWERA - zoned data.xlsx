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105-BWERA-MPONDWE\OD\"/>
    </mc:Choice>
  </mc:AlternateContent>
  <xr:revisionPtr revIDLastSave="0" documentId="13_ncr:1_{2D774877-800C-459C-B74F-F5DA808328A8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42" r:id="rId2"/>
    <sheet name="8.8 KIKORONGO-BWERA" sheetId="37" r:id="rId3"/>
    <sheet name="8.8 BWERA-KIKORONGO" sheetId="3" r:id="rId4"/>
    <sheet name="RSI FORM" sheetId="4" state="hidden" r:id="rId5"/>
    <sheet name="9.8 KIKORONGO-BWERA" sheetId="38" r:id="rId6"/>
    <sheet name="9.8 BWERA-KIKORONGO" sheetId="39" r:id="rId7"/>
    <sheet name="10.8 KIKORONGO-BWERA" sheetId="41" r:id="rId8"/>
    <sheet name="10.8 BWERA-KIKORONGO" sheetId="40" r:id="rId9"/>
    <sheet name="Key" sheetId="5" r:id="rId10"/>
    <sheet name="Zones" sheetId="31" r:id="rId11"/>
  </sheets>
  <externalReferences>
    <externalReference r:id="rId12"/>
    <externalReference r:id="rId13"/>
  </externalReferences>
  <definedNames>
    <definedName name="_xlnm._FilterDatabase" localSheetId="8" hidden="1">'10.8 BWERA-KIKORONGO'!$B$9:$AB$105</definedName>
    <definedName name="_xlnm._FilterDatabase" localSheetId="7" hidden="1">'10.8 KIKORONGO-BWERA'!$B$9:$AB$105</definedName>
    <definedName name="_xlnm._FilterDatabase" localSheetId="3" hidden="1">'8.8 BWERA-KIKORONGO'!$B$9:$AB$105</definedName>
    <definedName name="_xlnm._FilterDatabase" localSheetId="2" hidden="1">'8.8 KIKORONGO-BWERA'!$B$9:$AB$105</definedName>
    <definedName name="_xlnm._FilterDatabase" localSheetId="6" hidden="1">'9.8 BWERA-KIKORONGO'!$B$9:$AB$105</definedName>
    <definedName name="_xlnm._FilterDatabase" localSheetId="5" hidden="1">'9.8 KIKORONGO-BWERA'!$B$9:$AB$105</definedName>
    <definedName name="_xlnm._FilterDatabase" localSheetId="1" hidden="1">'ALL DATA'!$B$7:$AB$433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8">'10.8 BWERA-KIKORONGO'!$D$9:$D$37</definedName>
    <definedName name="Veh_Type" localSheetId="7">'10.8 KIKORONGO-BWERA'!$D$9:$D$37</definedName>
    <definedName name="Veh_Type" localSheetId="2">'8.8 KIKORONGO-BWERA'!$D$9:$D$37</definedName>
    <definedName name="Veh_Type" localSheetId="6">'9.8 BWERA-KIKORONGO'!$D$9:$D$37</definedName>
    <definedName name="Veh_Type" localSheetId="1">'ALL DATA'!$D$9:$D$37</definedName>
    <definedName name="Veh_Type">'8.8 BWERA-KIKORONGO'!$D$9:$D$37</definedName>
    <definedName name="zones">Zones!$A$4:$B$127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V51" i="43" s="1"/>
  <c r="U62" i="43"/>
  <c r="T62" i="43"/>
  <c r="S62" i="43"/>
  <c r="R62" i="43"/>
  <c r="R51" i="43" s="1"/>
  <c r="Y61" i="43"/>
  <c r="X61" i="43"/>
  <c r="W61" i="43"/>
  <c r="V61" i="43"/>
  <c r="V50" i="43" s="1"/>
  <c r="U61" i="43"/>
  <c r="T61" i="43"/>
  <c r="S61" i="43"/>
  <c r="R61" i="43"/>
  <c r="R50" i="43" s="1"/>
  <c r="Y60" i="43"/>
  <c r="X60" i="43"/>
  <c r="W60" i="43"/>
  <c r="V60" i="43"/>
  <c r="V49" i="43" s="1"/>
  <c r="U60" i="43"/>
  <c r="T60" i="43"/>
  <c r="S60" i="43"/>
  <c r="R60" i="43"/>
  <c r="R49" i="43" s="1"/>
  <c r="Y59" i="43"/>
  <c r="X59" i="43"/>
  <c r="W59" i="43"/>
  <c r="V59" i="43"/>
  <c r="V48" i="43" s="1"/>
  <c r="U59" i="43"/>
  <c r="T59" i="43"/>
  <c r="S59" i="43"/>
  <c r="S48" i="43" s="1"/>
  <c r="R59" i="43"/>
  <c r="Y55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U48" i="43" l="1"/>
  <c r="Y48" i="43"/>
  <c r="U49" i="43"/>
  <c r="Y49" i="43"/>
  <c r="U50" i="43"/>
  <c r="Y50" i="43"/>
  <c r="U51" i="43"/>
  <c r="W52" i="43"/>
  <c r="W54" i="43"/>
  <c r="R48" i="43"/>
  <c r="S53" i="43"/>
  <c r="S55" i="43"/>
  <c r="W48" i="43"/>
  <c r="S49" i="43"/>
  <c r="W49" i="43"/>
  <c r="S50" i="43"/>
  <c r="W50" i="43"/>
  <c r="S51" i="43"/>
  <c r="W51" i="43"/>
  <c r="W53" i="43"/>
  <c r="W55" i="43"/>
  <c r="T48" i="43"/>
  <c r="X48" i="43"/>
  <c r="T49" i="43"/>
  <c r="X49" i="43"/>
  <c r="T50" i="43"/>
  <c r="X50" i="43"/>
  <c r="T51" i="43"/>
  <c r="S52" i="43"/>
  <c r="S54" i="43"/>
  <c r="R52" i="43"/>
  <c r="V52" i="43"/>
  <c r="R53" i="43"/>
  <c r="V53" i="43"/>
  <c r="R54" i="43"/>
  <c r="V54" i="43"/>
  <c r="R55" i="43"/>
  <c r="V55" i="43"/>
  <c r="X51" i="43"/>
  <c r="T52" i="43"/>
  <c r="X52" i="43"/>
  <c r="T53" i="43"/>
  <c r="X53" i="43"/>
  <c r="T54" i="43"/>
  <c r="X54" i="43"/>
  <c r="T55" i="43"/>
  <c r="X55" i="43"/>
  <c r="Y51" i="43"/>
  <c r="U52" i="43"/>
  <c r="Y52" i="43"/>
  <c r="U53" i="43"/>
  <c r="Y53" i="43"/>
  <c r="U54" i="43"/>
  <c r="Y54" i="43"/>
  <c r="U55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 l="1"/>
  <c r="C87" i="43"/>
  <c r="D87" i="43" s="1"/>
  <c r="C86" i="43"/>
  <c r="C85" i="43"/>
  <c r="D85" i="43" s="1"/>
  <c r="C84" i="43"/>
  <c r="C83" i="43"/>
  <c r="C82" i="43"/>
  <c r="C81" i="43"/>
  <c r="C80" i="43"/>
  <c r="D80" i="43" s="1"/>
  <c r="O28" i="43"/>
  <c r="O27" i="43"/>
  <c r="O26" i="43"/>
  <c r="O25" i="43"/>
  <c r="O24" i="43"/>
  <c r="O23" i="43"/>
  <c r="O15" i="43"/>
  <c r="O14" i="43"/>
  <c r="O13" i="43"/>
  <c r="O12" i="43"/>
  <c r="O11" i="43"/>
  <c r="O10" i="43"/>
  <c r="O9" i="43"/>
  <c r="O8" i="43"/>
  <c r="O7" i="43"/>
  <c r="O6" i="43"/>
  <c r="O5" i="43"/>
  <c r="P5" i="43" s="1"/>
  <c r="C17" i="43"/>
  <c r="O29" i="43" l="1"/>
  <c r="D83" i="43"/>
  <c r="Q5" i="43"/>
  <c r="P28" i="43"/>
  <c r="D81" i="43"/>
  <c r="P7" i="43"/>
  <c r="Q7" i="43" s="1"/>
  <c r="P9" i="43"/>
  <c r="Q9" i="43" s="1"/>
  <c r="P11" i="43"/>
  <c r="Q11" i="43" s="1"/>
  <c r="P13" i="43"/>
  <c r="Q13" i="43" s="1"/>
  <c r="P15" i="43"/>
  <c r="Q15" i="43" s="1"/>
  <c r="C29" i="43"/>
  <c r="D10" i="43"/>
  <c r="D8" i="43"/>
  <c r="D6" i="43"/>
  <c r="D16" i="43"/>
  <c r="D14" i="43"/>
  <c r="D12" i="43"/>
  <c r="D7" i="43"/>
  <c r="D9" i="43"/>
  <c r="D11" i="43"/>
  <c r="D13" i="43"/>
  <c r="D15" i="43"/>
  <c r="P24" i="43"/>
  <c r="P25" i="43"/>
  <c r="P26" i="43"/>
  <c r="P27" i="43"/>
  <c r="P12" i="43"/>
  <c r="Q12" i="43" s="1"/>
  <c r="P14" i="43"/>
  <c r="Q14" i="43" s="1"/>
  <c r="P6" i="43"/>
  <c r="Q6" i="43" s="1"/>
  <c r="P8" i="43"/>
  <c r="Q8" i="43" s="1"/>
  <c r="P10" i="43"/>
  <c r="Q10" i="43" s="1"/>
  <c r="D82" i="43"/>
  <c r="D84" i="43"/>
  <c r="D86" i="43"/>
  <c r="D88" i="43"/>
  <c r="D5" i="43"/>
  <c r="P23" i="43"/>
  <c r="AB397" i="42"/>
  <c r="AB398" i="42"/>
  <c r="AB399" i="42"/>
  <c r="AB400" i="42"/>
  <c r="AB401" i="42"/>
  <c r="AB402" i="42"/>
  <c r="AB403" i="42"/>
  <c r="AB404" i="42"/>
  <c r="AB405" i="42"/>
  <c r="AB406" i="42"/>
  <c r="AB407" i="42"/>
  <c r="AB408" i="42"/>
  <c r="AB409" i="42"/>
  <c r="AB410" i="42"/>
  <c r="AB411" i="42"/>
  <c r="AB412" i="42"/>
  <c r="AB413" i="42"/>
  <c r="AB414" i="42"/>
  <c r="AB415" i="42"/>
  <c r="AB416" i="42"/>
  <c r="AB417" i="42"/>
  <c r="AB418" i="42"/>
  <c r="AB419" i="42"/>
  <c r="AB420" i="42"/>
  <c r="AB421" i="42"/>
  <c r="AB422" i="42"/>
  <c r="AB423" i="42"/>
  <c r="AB424" i="42"/>
  <c r="AB425" i="42"/>
  <c r="AB426" i="42"/>
  <c r="AB427" i="42"/>
  <c r="AB428" i="42"/>
  <c r="AB429" i="42"/>
  <c r="AB430" i="42"/>
  <c r="AB431" i="42"/>
  <c r="AB432" i="42"/>
  <c r="AB433" i="42"/>
  <c r="AB393" i="42"/>
  <c r="AB394" i="42"/>
  <c r="AB395" i="42"/>
  <c r="AB396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365" i="42"/>
  <c r="AB366" i="42"/>
  <c r="AB367" i="42"/>
  <c r="AB368" i="42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39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259" i="42"/>
  <c r="AB260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232" i="42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186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09" i="42"/>
  <c r="AB110" i="42"/>
  <c r="AB111" i="42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9" i="42"/>
  <c r="AA396" i="42"/>
  <c r="AA397" i="42"/>
  <c r="AA398" i="42"/>
  <c r="AA399" i="42"/>
  <c r="AA400" i="42"/>
  <c r="AA401" i="42"/>
  <c r="AA402" i="42"/>
  <c r="AA403" i="42"/>
  <c r="AA404" i="42"/>
  <c r="AA405" i="42"/>
  <c r="AA406" i="42"/>
  <c r="AA407" i="42"/>
  <c r="AA408" i="42"/>
  <c r="AA409" i="42"/>
  <c r="AA410" i="42"/>
  <c r="AA411" i="42"/>
  <c r="AA412" i="42"/>
  <c r="AA413" i="42"/>
  <c r="AA414" i="42"/>
  <c r="AA415" i="42"/>
  <c r="AA416" i="42"/>
  <c r="AA417" i="42"/>
  <c r="AA418" i="42"/>
  <c r="AA419" i="42"/>
  <c r="AA420" i="42"/>
  <c r="AA421" i="42"/>
  <c r="AA422" i="42"/>
  <c r="AA423" i="42"/>
  <c r="AA424" i="42"/>
  <c r="AA425" i="42"/>
  <c r="AA426" i="42"/>
  <c r="AA427" i="42"/>
  <c r="AA428" i="42"/>
  <c r="AA429" i="42"/>
  <c r="AA430" i="42"/>
  <c r="AA431" i="42"/>
  <c r="AA432" i="42"/>
  <c r="AA433" i="42"/>
  <c r="AA393" i="42"/>
  <c r="AA394" i="42"/>
  <c r="AA395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365" i="42"/>
  <c r="AA366" i="42"/>
  <c r="AA367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39" i="42"/>
  <c r="AA34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259" i="42"/>
  <c r="AA260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186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09" i="42"/>
  <c r="AA110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9" i="42"/>
  <c r="C44" i="43" l="1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AB4" i="42"/>
  <c r="Z4" i="42"/>
  <c r="W4" i="42"/>
  <c r="C43" i="43" l="1"/>
  <c r="D43" i="43" s="1"/>
  <c r="D42" i="43"/>
  <c r="R9" i="42"/>
  <c r="R10" i="42"/>
  <c r="R11" i="42"/>
  <c r="R13" i="42"/>
  <c r="R14" i="42"/>
  <c r="R15" i="42"/>
  <c r="R17" i="42"/>
  <c r="R18" i="42"/>
  <c r="R19" i="42"/>
  <c r="R21" i="42"/>
  <c r="R22" i="42"/>
  <c r="R23" i="42"/>
  <c r="R25" i="42"/>
  <c r="R26" i="42"/>
  <c r="R27" i="42"/>
  <c r="R29" i="42"/>
  <c r="R30" i="42"/>
  <c r="R31" i="42"/>
  <c r="R33" i="42"/>
  <c r="R34" i="42"/>
  <c r="R35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R73" i="42"/>
  <c r="R74" i="42"/>
  <c r="R75" i="42"/>
  <c r="R76" i="42"/>
  <c r="R77" i="42"/>
  <c r="R78" i="42"/>
  <c r="R79" i="42"/>
  <c r="R80" i="42"/>
  <c r="R81" i="42"/>
  <c r="R82" i="42"/>
  <c r="R83" i="42"/>
  <c r="R84" i="42"/>
  <c r="R85" i="42"/>
  <c r="R86" i="42"/>
  <c r="R87" i="42"/>
  <c r="R88" i="42"/>
  <c r="R89" i="42"/>
  <c r="R90" i="42"/>
  <c r="R91" i="42"/>
  <c r="R92" i="42"/>
  <c r="R93" i="42"/>
  <c r="R94" i="42"/>
  <c r="R95" i="42"/>
  <c r="R96" i="42"/>
  <c r="R97" i="42"/>
  <c r="R98" i="42"/>
  <c r="R99" i="42"/>
  <c r="R100" i="42"/>
  <c r="R101" i="42"/>
  <c r="R102" i="42"/>
  <c r="R103" i="42"/>
  <c r="R104" i="42"/>
  <c r="R105" i="42"/>
  <c r="R106" i="42"/>
  <c r="R107" i="42"/>
  <c r="R108" i="42"/>
  <c r="R109" i="42"/>
  <c r="R110" i="42"/>
  <c r="R111" i="42"/>
  <c r="R112" i="42"/>
  <c r="R113" i="42"/>
  <c r="R114" i="42"/>
  <c r="R115" i="42"/>
  <c r="R116" i="42"/>
  <c r="R117" i="42"/>
  <c r="R118" i="42"/>
  <c r="R119" i="42"/>
  <c r="R120" i="42"/>
  <c r="R121" i="42"/>
  <c r="R122" i="42"/>
  <c r="R123" i="42"/>
  <c r="R124" i="42"/>
  <c r="R125" i="42"/>
  <c r="R126" i="42"/>
  <c r="R127" i="42"/>
  <c r="R128" i="42"/>
  <c r="R129" i="42"/>
  <c r="R130" i="42"/>
  <c r="R131" i="42"/>
  <c r="R132" i="42"/>
  <c r="R133" i="42"/>
  <c r="R134" i="42"/>
  <c r="R135" i="42"/>
  <c r="R136" i="42"/>
  <c r="R137" i="42"/>
  <c r="R138" i="42"/>
  <c r="R139" i="42"/>
  <c r="R140" i="42"/>
  <c r="R141" i="42"/>
  <c r="R142" i="42"/>
  <c r="R143" i="42"/>
  <c r="R144" i="42"/>
  <c r="R145" i="42"/>
  <c r="R146" i="42"/>
  <c r="R147" i="42"/>
  <c r="R148" i="42"/>
  <c r="R149" i="42"/>
  <c r="R150" i="42"/>
  <c r="R151" i="42"/>
  <c r="R152" i="42"/>
  <c r="R153" i="42"/>
  <c r="R154" i="42"/>
  <c r="R155" i="42"/>
  <c r="R156" i="42"/>
  <c r="R157" i="42"/>
  <c r="R158" i="42"/>
  <c r="R159" i="42"/>
  <c r="R160" i="42"/>
  <c r="R161" i="42"/>
  <c r="R162" i="42"/>
  <c r="R163" i="42"/>
  <c r="R164" i="42"/>
  <c r="R165" i="42"/>
  <c r="R166" i="42"/>
  <c r="R167" i="42"/>
  <c r="R168" i="42"/>
  <c r="R169" i="42"/>
  <c r="R170" i="42"/>
  <c r="R171" i="42"/>
  <c r="R172" i="42"/>
  <c r="R173" i="42"/>
  <c r="R174" i="42"/>
  <c r="R175" i="42"/>
  <c r="R176" i="42"/>
  <c r="R177" i="42"/>
  <c r="R178" i="42"/>
  <c r="R179" i="42"/>
  <c r="R180" i="42"/>
  <c r="R181" i="42"/>
  <c r="R182" i="42"/>
  <c r="R183" i="42"/>
  <c r="R184" i="42"/>
  <c r="R185" i="42"/>
  <c r="R186" i="42"/>
  <c r="R187" i="42"/>
  <c r="R188" i="42"/>
  <c r="R189" i="42"/>
  <c r="R190" i="42"/>
  <c r="R191" i="42"/>
  <c r="R192" i="42"/>
  <c r="R193" i="42"/>
  <c r="R194" i="42"/>
  <c r="R195" i="42"/>
  <c r="R196" i="42"/>
  <c r="R197" i="42"/>
  <c r="R198" i="42"/>
  <c r="R199" i="42"/>
  <c r="R200" i="42"/>
  <c r="R201" i="42"/>
  <c r="R202" i="42"/>
  <c r="R203" i="42"/>
  <c r="R204" i="42"/>
  <c r="R205" i="42"/>
  <c r="R206" i="42"/>
  <c r="R207" i="42"/>
  <c r="R208" i="42"/>
  <c r="R209" i="42"/>
  <c r="R210" i="42"/>
  <c r="R211" i="42"/>
  <c r="R212" i="42"/>
  <c r="R213" i="42"/>
  <c r="R214" i="42"/>
  <c r="R215" i="42"/>
  <c r="R216" i="42"/>
  <c r="R217" i="42"/>
  <c r="R218" i="42"/>
  <c r="R219" i="42"/>
  <c r="R220" i="42"/>
  <c r="R221" i="42"/>
  <c r="R222" i="42"/>
  <c r="R223" i="42"/>
  <c r="R224" i="42"/>
  <c r="R225" i="42"/>
  <c r="R226" i="42"/>
  <c r="R227" i="42"/>
  <c r="R228" i="42"/>
  <c r="R229" i="42"/>
  <c r="R230" i="42"/>
  <c r="R231" i="42"/>
  <c r="R232" i="42"/>
  <c r="R233" i="42"/>
  <c r="R234" i="42"/>
  <c r="R235" i="42"/>
  <c r="R236" i="42"/>
  <c r="R237" i="42"/>
  <c r="R238" i="42"/>
  <c r="R239" i="42"/>
  <c r="R240" i="42"/>
  <c r="R241" i="42"/>
  <c r="R242" i="42"/>
  <c r="R243" i="42"/>
  <c r="R244" i="42"/>
  <c r="R245" i="42"/>
  <c r="R246" i="42"/>
  <c r="R247" i="42"/>
  <c r="R248" i="42"/>
  <c r="R249" i="42"/>
  <c r="R250" i="42"/>
  <c r="R251" i="42"/>
  <c r="R252" i="42"/>
  <c r="R253" i="42"/>
  <c r="R254" i="42"/>
  <c r="R255" i="42"/>
  <c r="R256" i="42"/>
  <c r="R257" i="42"/>
  <c r="R258" i="42"/>
  <c r="R259" i="42"/>
  <c r="R260" i="42"/>
  <c r="R261" i="42"/>
  <c r="R262" i="42"/>
  <c r="R263" i="42"/>
  <c r="R264" i="42"/>
  <c r="R265" i="42"/>
  <c r="R266" i="42"/>
  <c r="R267" i="42"/>
  <c r="R268" i="42"/>
  <c r="R269" i="42"/>
  <c r="R270" i="42"/>
  <c r="R271" i="42"/>
  <c r="R272" i="42"/>
  <c r="R273" i="42"/>
  <c r="R274" i="42"/>
  <c r="R275" i="42"/>
  <c r="R276" i="42"/>
  <c r="R277" i="42"/>
  <c r="R278" i="42"/>
  <c r="R279" i="42"/>
  <c r="R280" i="42"/>
  <c r="R281" i="42"/>
  <c r="R282" i="42"/>
  <c r="R283" i="42"/>
  <c r="R284" i="42"/>
  <c r="R285" i="42"/>
  <c r="R286" i="42"/>
  <c r="R287" i="42"/>
  <c r="R288" i="42"/>
  <c r="R289" i="42"/>
  <c r="R290" i="42"/>
  <c r="R291" i="42"/>
  <c r="R292" i="42"/>
  <c r="R293" i="42"/>
  <c r="R294" i="42"/>
  <c r="R295" i="42"/>
  <c r="R296" i="42"/>
  <c r="R297" i="42"/>
  <c r="R298" i="42"/>
  <c r="R299" i="42"/>
  <c r="R300" i="42"/>
  <c r="R301" i="42"/>
  <c r="R302" i="42"/>
  <c r="R303" i="42"/>
  <c r="R304" i="42"/>
  <c r="R305" i="42"/>
  <c r="R306" i="42"/>
  <c r="R307" i="42"/>
  <c r="R308" i="42"/>
  <c r="R309" i="42"/>
  <c r="R310" i="42"/>
  <c r="R311" i="42"/>
  <c r="R312" i="42"/>
  <c r="R313" i="42"/>
  <c r="R314" i="42"/>
  <c r="R315" i="42"/>
  <c r="R316" i="42"/>
  <c r="R317" i="42"/>
  <c r="R318" i="42"/>
  <c r="R319" i="42"/>
  <c r="R320" i="42"/>
  <c r="R321" i="42"/>
  <c r="R322" i="42"/>
  <c r="R323" i="42"/>
  <c r="R324" i="42"/>
  <c r="R325" i="42"/>
  <c r="R326" i="42"/>
  <c r="R327" i="42"/>
  <c r="R328" i="42"/>
  <c r="R329" i="42"/>
  <c r="R330" i="42"/>
  <c r="R331" i="42"/>
  <c r="R332" i="42"/>
  <c r="R333" i="42"/>
  <c r="R334" i="42"/>
  <c r="R335" i="42"/>
  <c r="R336" i="42"/>
  <c r="R337" i="42"/>
  <c r="R338" i="42"/>
  <c r="R339" i="42"/>
  <c r="R340" i="42"/>
  <c r="R341" i="42"/>
  <c r="R342" i="42"/>
  <c r="R343" i="42"/>
  <c r="R344" i="42"/>
  <c r="R345" i="42"/>
  <c r="R346" i="42"/>
  <c r="R347" i="42"/>
  <c r="R348" i="42"/>
  <c r="R349" i="42"/>
  <c r="R350" i="42"/>
  <c r="R351" i="42"/>
  <c r="R352" i="42"/>
  <c r="R353" i="42"/>
  <c r="R354" i="42"/>
  <c r="R355" i="42"/>
  <c r="R356" i="42"/>
  <c r="R357" i="42"/>
  <c r="R358" i="42"/>
  <c r="R359" i="42"/>
  <c r="R360" i="42"/>
  <c r="R361" i="42"/>
  <c r="R362" i="42"/>
  <c r="R363" i="42"/>
  <c r="R364" i="42"/>
  <c r="R365" i="42"/>
  <c r="R366" i="42"/>
  <c r="R367" i="42"/>
  <c r="R368" i="42"/>
  <c r="R369" i="42"/>
  <c r="R370" i="42"/>
  <c r="R371" i="42"/>
  <c r="R372" i="42"/>
  <c r="R373" i="42"/>
  <c r="R374" i="42"/>
  <c r="R375" i="42"/>
  <c r="R376" i="42"/>
  <c r="R377" i="42"/>
  <c r="R378" i="42"/>
  <c r="R379" i="42"/>
  <c r="R380" i="42"/>
  <c r="R381" i="42"/>
  <c r="R382" i="42"/>
  <c r="R383" i="42"/>
  <c r="R384" i="42"/>
  <c r="R385" i="42"/>
  <c r="R386" i="42"/>
  <c r="R387" i="42"/>
  <c r="R388" i="42"/>
  <c r="R389" i="42"/>
  <c r="R390" i="42"/>
  <c r="R391" i="42"/>
  <c r="R392" i="42"/>
  <c r="R393" i="42"/>
  <c r="R394" i="42"/>
  <c r="R395" i="42"/>
  <c r="R396" i="42"/>
  <c r="R397" i="42"/>
  <c r="R398" i="42"/>
  <c r="R399" i="42"/>
  <c r="R400" i="42"/>
  <c r="R401" i="42"/>
  <c r="R402" i="42"/>
  <c r="R403" i="42"/>
  <c r="R404" i="42"/>
  <c r="R405" i="42"/>
  <c r="R406" i="42"/>
  <c r="R407" i="42"/>
  <c r="R408" i="42"/>
  <c r="R409" i="42"/>
  <c r="R410" i="42"/>
  <c r="R411" i="42"/>
  <c r="R412" i="42"/>
  <c r="R413" i="42"/>
  <c r="R414" i="42"/>
  <c r="R415" i="42"/>
  <c r="R416" i="42"/>
  <c r="R417" i="42"/>
  <c r="R418" i="42"/>
  <c r="R419" i="42"/>
  <c r="R420" i="42"/>
  <c r="R421" i="42"/>
  <c r="R422" i="42"/>
  <c r="R423" i="42"/>
  <c r="R424" i="42"/>
  <c r="R425" i="42"/>
  <c r="R426" i="42"/>
  <c r="R427" i="42"/>
  <c r="R428" i="42"/>
  <c r="R429" i="42"/>
  <c r="R430" i="42"/>
  <c r="R431" i="42"/>
  <c r="R432" i="42"/>
  <c r="R433" i="42"/>
  <c r="R12" i="42"/>
  <c r="R16" i="42"/>
  <c r="R20" i="42"/>
  <c r="R24" i="42"/>
  <c r="R28" i="42"/>
  <c r="R32" i="42"/>
  <c r="R36" i="42"/>
  <c r="Q125" i="40"/>
  <c r="K125" i="40"/>
  <c r="Q124" i="40"/>
  <c r="K124" i="40"/>
  <c r="R124" i="40" s="1"/>
  <c r="Q123" i="40"/>
  <c r="K123" i="40"/>
  <c r="Q122" i="40"/>
  <c r="K122" i="40"/>
  <c r="Q121" i="40"/>
  <c r="K121" i="40"/>
  <c r="Q120" i="40"/>
  <c r="K120" i="40"/>
  <c r="R120" i="40" s="1"/>
  <c r="Q119" i="40"/>
  <c r="K119" i="40"/>
  <c r="Q118" i="40"/>
  <c r="K118" i="40"/>
  <c r="R118" i="40" s="1"/>
  <c r="Q117" i="40"/>
  <c r="K117" i="40"/>
  <c r="Q116" i="40"/>
  <c r="K116" i="40"/>
  <c r="R116" i="40" s="1"/>
  <c r="Q115" i="40"/>
  <c r="K115" i="40"/>
  <c r="Q114" i="40"/>
  <c r="K114" i="40"/>
  <c r="Q113" i="40"/>
  <c r="K113" i="40"/>
  <c r="Q112" i="40"/>
  <c r="K112" i="40"/>
  <c r="R112" i="40" s="1"/>
  <c r="Q111" i="40"/>
  <c r="K111" i="40"/>
  <c r="Q110" i="40"/>
  <c r="K110" i="40"/>
  <c r="R110" i="40" s="1"/>
  <c r="Q109" i="40"/>
  <c r="K109" i="40"/>
  <c r="Q108" i="40"/>
  <c r="K108" i="40"/>
  <c r="R108" i="40" s="1"/>
  <c r="Q107" i="40"/>
  <c r="K107" i="40"/>
  <c r="Q106" i="40"/>
  <c r="K106" i="40"/>
  <c r="Q105" i="40"/>
  <c r="K105" i="40"/>
  <c r="Q104" i="40"/>
  <c r="K104" i="40"/>
  <c r="R104" i="40" s="1"/>
  <c r="Q103" i="40"/>
  <c r="K103" i="40"/>
  <c r="Q102" i="40"/>
  <c r="K102" i="40"/>
  <c r="R102" i="40" s="1"/>
  <c r="Q101" i="40"/>
  <c r="K101" i="40"/>
  <c r="Q100" i="40"/>
  <c r="K100" i="40"/>
  <c r="R100" i="40" s="1"/>
  <c r="Q99" i="40"/>
  <c r="K99" i="40"/>
  <c r="Q98" i="40"/>
  <c r="K98" i="40"/>
  <c r="Q97" i="40"/>
  <c r="K97" i="40"/>
  <c r="Q96" i="40"/>
  <c r="K96" i="40"/>
  <c r="R96" i="40" s="1"/>
  <c r="Q95" i="40"/>
  <c r="K95" i="40"/>
  <c r="Q94" i="40"/>
  <c r="K94" i="40"/>
  <c r="R94" i="40" s="1"/>
  <c r="Q93" i="40"/>
  <c r="K93" i="40"/>
  <c r="Q92" i="40"/>
  <c r="K92" i="40"/>
  <c r="R92" i="40" s="1"/>
  <c r="Q91" i="40"/>
  <c r="K91" i="40"/>
  <c r="Q90" i="40"/>
  <c r="K90" i="40"/>
  <c r="Q89" i="40"/>
  <c r="K89" i="40"/>
  <c r="Q88" i="40"/>
  <c r="K88" i="40"/>
  <c r="R88" i="40" s="1"/>
  <c r="Q87" i="40"/>
  <c r="K87" i="40"/>
  <c r="Q86" i="40"/>
  <c r="K86" i="40"/>
  <c r="R86" i="40" s="1"/>
  <c r="Q85" i="40"/>
  <c r="K85" i="40"/>
  <c r="Q84" i="40"/>
  <c r="K84" i="40"/>
  <c r="R84" i="40" s="1"/>
  <c r="Q83" i="40"/>
  <c r="K83" i="40"/>
  <c r="Q82" i="40"/>
  <c r="K82" i="40"/>
  <c r="Q81" i="40"/>
  <c r="K81" i="40"/>
  <c r="Q80" i="40"/>
  <c r="K80" i="40"/>
  <c r="R80" i="40" s="1"/>
  <c r="Q79" i="40"/>
  <c r="K79" i="40"/>
  <c r="Q78" i="40"/>
  <c r="K78" i="40"/>
  <c r="R78" i="40" s="1"/>
  <c r="Q77" i="40"/>
  <c r="K77" i="40"/>
  <c r="Q76" i="40"/>
  <c r="K76" i="40"/>
  <c r="R76" i="40" s="1"/>
  <c r="Q75" i="40"/>
  <c r="K75" i="40"/>
  <c r="Q74" i="40"/>
  <c r="K74" i="40"/>
  <c r="Q73" i="40"/>
  <c r="K73" i="40"/>
  <c r="Q72" i="40"/>
  <c r="K72" i="40"/>
  <c r="R72" i="40" s="1"/>
  <c r="Q71" i="40"/>
  <c r="K71" i="40"/>
  <c r="Q70" i="40"/>
  <c r="K70" i="40"/>
  <c r="R70" i="40" s="1"/>
  <c r="Q69" i="40"/>
  <c r="K69" i="40"/>
  <c r="Q68" i="40"/>
  <c r="K68" i="40"/>
  <c r="R68" i="40" s="1"/>
  <c r="Q67" i="40"/>
  <c r="K67" i="40"/>
  <c r="Q66" i="40"/>
  <c r="K66" i="40"/>
  <c r="Q65" i="40"/>
  <c r="K65" i="40"/>
  <c r="Q64" i="40"/>
  <c r="K64" i="40"/>
  <c r="R64" i="40" s="1"/>
  <c r="Q63" i="40"/>
  <c r="K63" i="40"/>
  <c r="Q62" i="40"/>
  <c r="K62" i="40"/>
  <c r="R62" i="40" s="1"/>
  <c r="Q61" i="40"/>
  <c r="K61" i="40"/>
  <c r="Q60" i="40"/>
  <c r="K60" i="40"/>
  <c r="R60" i="40" s="1"/>
  <c r="Q59" i="40"/>
  <c r="K59" i="40"/>
  <c r="Q58" i="40"/>
  <c r="K58" i="40"/>
  <c r="Q57" i="40"/>
  <c r="K57" i="40"/>
  <c r="Q56" i="40"/>
  <c r="K56" i="40"/>
  <c r="R56" i="40" s="1"/>
  <c r="Q55" i="40"/>
  <c r="K55" i="40"/>
  <c r="Q54" i="40"/>
  <c r="K54" i="40"/>
  <c r="R54" i="40" s="1"/>
  <c r="Q53" i="40"/>
  <c r="K53" i="40"/>
  <c r="Q49" i="40"/>
  <c r="K49" i="40"/>
  <c r="R49" i="40" s="1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R41" i="40" s="1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R33" i="40" s="1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R25" i="40" s="1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R17" i="40" s="1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" i="40" s="1"/>
  <c r="R10" i="40" l="1"/>
  <c r="R18" i="40"/>
  <c r="R26" i="40"/>
  <c r="R34" i="40"/>
  <c r="R42" i="40"/>
  <c r="R53" i="40"/>
  <c r="R61" i="40"/>
  <c r="R69" i="40"/>
  <c r="R77" i="40"/>
  <c r="R85" i="40"/>
  <c r="R93" i="40"/>
  <c r="R101" i="40"/>
  <c r="R109" i="40"/>
  <c r="R117" i="40"/>
  <c r="R125" i="40"/>
  <c r="C27" i="43"/>
  <c r="D27" i="43" s="1"/>
  <c r="C26" i="43"/>
  <c r="D26" i="43" s="1"/>
  <c r="C25" i="43"/>
  <c r="D25" i="43" s="1"/>
  <c r="C24" i="43"/>
  <c r="R12" i="40"/>
  <c r="R16" i="40"/>
  <c r="R20" i="40"/>
  <c r="R24" i="40"/>
  <c r="R28" i="40"/>
  <c r="R32" i="40"/>
  <c r="R36" i="40"/>
  <c r="R40" i="40"/>
  <c r="R44" i="40"/>
  <c r="R48" i="40"/>
  <c r="R15" i="40"/>
  <c r="R23" i="40"/>
  <c r="R31" i="40"/>
  <c r="R39" i="40"/>
  <c r="R47" i="40"/>
  <c r="R59" i="40"/>
  <c r="R67" i="40"/>
  <c r="R75" i="40"/>
  <c r="R83" i="40"/>
  <c r="R91" i="40"/>
  <c r="R99" i="40"/>
  <c r="R107" i="40"/>
  <c r="R115" i="40"/>
  <c r="R123" i="40"/>
  <c r="R11" i="40"/>
  <c r="R13" i="40"/>
  <c r="R14" i="40"/>
  <c r="R19" i="40"/>
  <c r="R21" i="40"/>
  <c r="R22" i="40"/>
  <c r="R27" i="40"/>
  <c r="R29" i="40"/>
  <c r="R30" i="40"/>
  <c r="R35" i="40"/>
  <c r="R37" i="40"/>
  <c r="R38" i="40"/>
  <c r="R43" i="40"/>
  <c r="R45" i="40"/>
  <c r="R46" i="40"/>
  <c r="R55" i="40"/>
  <c r="R57" i="40"/>
  <c r="R58" i="40"/>
  <c r="R63" i="40"/>
  <c r="R65" i="40"/>
  <c r="R66" i="40"/>
  <c r="R71" i="40"/>
  <c r="R73" i="40"/>
  <c r="R74" i="40"/>
  <c r="R79" i="40"/>
  <c r="R81" i="40"/>
  <c r="R82" i="40"/>
  <c r="R87" i="40"/>
  <c r="R89" i="40"/>
  <c r="R90" i="40"/>
  <c r="R95" i="40"/>
  <c r="R97" i="40"/>
  <c r="R98" i="40"/>
  <c r="R103" i="40"/>
  <c r="R105" i="40"/>
  <c r="R106" i="40"/>
  <c r="R111" i="40"/>
  <c r="R113" i="40"/>
  <c r="R114" i="40"/>
  <c r="R119" i="40"/>
  <c r="R121" i="40"/>
  <c r="R122" i="40"/>
  <c r="Q62" i="41"/>
  <c r="K62" i="41"/>
  <c r="Q61" i="41"/>
  <c r="K61" i="41"/>
  <c r="Q60" i="41"/>
  <c r="K60" i="41"/>
  <c r="R60" i="41" s="1"/>
  <c r="Q59" i="41"/>
  <c r="K59" i="41"/>
  <c r="Q58" i="41"/>
  <c r="K58" i="41"/>
  <c r="R58" i="41" s="1"/>
  <c r="Q57" i="41"/>
  <c r="K57" i="41"/>
  <c r="Q56" i="41"/>
  <c r="K56" i="41"/>
  <c r="Q55" i="41"/>
  <c r="K55" i="41"/>
  <c r="Q54" i="41"/>
  <c r="K54" i="41"/>
  <c r="Q53" i="41"/>
  <c r="K53" i="41"/>
  <c r="Q52" i="41"/>
  <c r="K52" i="41"/>
  <c r="R52" i="41" s="1"/>
  <c r="Q51" i="41"/>
  <c r="K51" i="41"/>
  <c r="Q50" i="41"/>
  <c r="K50" i="41"/>
  <c r="R50" i="41" s="1"/>
  <c r="Q49" i="41"/>
  <c r="K49" i="41"/>
  <c r="Q48" i="41"/>
  <c r="K48" i="41"/>
  <c r="Q47" i="41"/>
  <c r="K47" i="41"/>
  <c r="Q46" i="41"/>
  <c r="K46" i="41"/>
  <c r="Q45" i="41"/>
  <c r="K45" i="41"/>
  <c r="Q44" i="41"/>
  <c r="K44" i="41"/>
  <c r="R44" i="41" s="1"/>
  <c r="Q43" i="41"/>
  <c r="K43" i="41"/>
  <c r="Q42" i="41"/>
  <c r="K42" i="41"/>
  <c r="R42" i="41" s="1"/>
  <c r="Q41" i="41"/>
  <c r="K41" i="41"/>
  <c r="Q40" i="41"/>
  <c r="K40" i="41"/>
  <c r="Q39" i="41"/>
  <c r="K39" i="41"/>
  <c r="Q38" i="41"/>
  <c r="K38" i="41"/>
  <c r="Q37" i="41"/>
  <c r="K37" i="41"/>
  <c r="Q36" i="41"/>
  <c r="K36" i="41"/>
  <c r="R36" i="41" s="1"/>
  <c r="Q35" i="41"/>
  <c r="K35" i="41"/>
  <c r="Q34" i="41"/>
  <c r="K34" i="41"/>
  <c r="R34" i="41" s="1"/>
  <c r="Q33" i="41"/>
  <c r="K33" i="41"/>
  <c r="Q32" i="41"/>
  <c r="K32" i="41"/>
  <c r="Q31" i="41"/>
  <c r="K31" i="41"/>
  <c r="Q30" i="41"/>
  <c r="K30" i="41"/>
  <c r="Q29" i="41"/>
  <c r="K29" i="41"/>
  <c r="Q28" i="41"/>
  <c r="K28" i="41"/>
  <c r="R28" i="41" s="1"/>
  <c r="Q27" i="41"/>
  <c r="K27" i="41"/>
  <c r="Q26" i="41"/>
  <c r="K26" i="41"/>
  <c r="R26" i="41" s="1"/>
  <c r="Q25" i="41"/>
  <c r="K25" i="41"/>
  <c r="Q24" i="41"/>
  <c r="K24" i="41"/>
  <c r="Q23" i="41"/>
  <c r="K23" i="41"/>
  <c r="Q22" i="41"/>
  <c r="K22" i="41"/>
  <c r="Q21" i="41"/>
  <c r="K21" i="41"/>
  <c r="Q20" i="41"/>
  <c r="K20" i="41"/>
  <c r="R20" i="41" s="1"/>
  <c r="Q19" i="41"/>
  <c r="K19" i="41"/>
  <c r="Q18" i="41"/>
  <c r="K18" i="41"/>
  <c r="R18" i="41" s="1"/>
  <c r="Q17" i="41"/>
  <c r="K17" i="41"/>
  <c r="Q16" i="41"/>
  <c r="K16" i="41"/>
  <c r="Q15" i="41"/>
  <c r="K15" i="41"/>
  <c r="Q14" i="41"/>
  <c r="K14" i="41"/>
  <c r="Q13" i="41"/>
  <c r="K13" i="41"/>
  <c r="Q12" i="41"/>
  <c r="K12" i="41"/>
  <c r="R12" i="41" s="1"/>
  <c r="Q11" i="41"/>
  <c r="K11" i="41"/>
  <c r="Q10" i="41"/>
  <c r="K10" i="41"/>
  <c r="R10" i="41" s="1"/>
  <c r="Q9" i="41"/>
  <c r="K9" i="41"/>
  <c r="AB4" i="41"/>
  <c r="Z4" i="41"/>
  <c r="W4" i="41"/>
  <c r="F4" i="41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R1262" i="40" s="1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R1256" i="40" s="1"/>
  <c r="Q1255" i="40"/>
  <c r="K1255" i="40"/>
  <c r="Q1254" i="40"/>
  <c r="K1254" i="40"/>
  <c r="R1254" i="40" s="1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R1248" i="40" s="1"/>
  <c r="Q1247" i="40"/>
  <c r="K1247" i="40"/>
  <c r="Q1246" i="40"/>
  <c r="K1246" i="40"/>
  <c r="R1246" i="40" s="1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R1240" i="40" s="1"/>
  <c r="Q1239" i="40"/>
  <c r="K1239" i="40"/>
  <c r="Q1238" i="40"/>
  <c r="K1238" i="40"/>
  <c r="R1238" i="40" s="1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R1232" i="40" s="1"/>
  <c r="Q1231" i="40"/>
  <c r="K1231" i="40"/>
  <c r="Q1230" i="40"/>
  <c r="K1230" i="40"/>
  <c r="R1230" i="40" s="1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R1224" i="40" s="1"/>
  <c r="Q1223" i="40"/>
  <c r="K1223" i="40"/>
  <c r="Q1222" i="40"/>
  <c r="K1222" i="40"/>
  <c r="R1222" i="40" s="1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R1216" i="40" s="1"/>
  <c r="Q1215" i="40"/>
  <c r="K1215" i="40"/>
  <c r="Q1214" i="40"/>
  <c r="K1214" i="40"/>
  <c r="R1214" i="40" s="1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R1208" i="40" s="1"/>
  <c r="Q1207" i="40"/>
  <c r="K1207" i="40"/>
  <c r="Q1206" i="40"/>
  <c r="K1206" i="40"/>
  <c r="R1206" i="40" s="1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R1200" i="40" s="1"/>
  <c r="Q1199" i="40"/>
  <c r="K1199" i="40"/>
  <c r="Q1198" i="40"/>
  <c r="K1198" i="40"/>
  <c r="R1198" i="40" s="1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R1192" i="40" s="1"/>
  <c r="Q1191" i="40"/>
  <c r="K1191" i="40"/>
  <c r="Q1190" i="40"/>
  <c r="K1190" i="40"/>
  <c r="R1190" i="40" s="1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R1184" i="40" s="1"/>
  <c r="Q1183" i="40"/>
  <c r="K1183" i="40"/>
  <c r="Q1182" i="40"/>
  <c r="K1182" i="40"/>
  <c r="R1182" i="40" s="1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R1174" i="40" s="1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R1166" i="40" s="1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R1158" i="40" s="1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R1150" i="40" s="1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R1142" i="40" s="1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R1134" i="40" s="1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R1126" i="40" s="1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R1118" i="40" s="1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R1110" i="40" s="1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R1102" i="40" s="1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R1094" i="40" s="1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R1086" i="40" s="1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R1078" i="40" s="1"/>
  <c r="Q1077" i="40"/>
  <c r="K1077" i="40"/>
  <c r="Q1076" i="40"/>
  <c r="K1076" i="40"/>
  <c r="Q1075" i="40"/>
  <c r="K1075" i="40"/>
  <c r="Q1074" i="40"/>
  <c r="K1074" i="40"/>
  <c r="R1074" i="40" s="1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R1066" i="40" s="1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R1058" i="40" s="1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R1050" i="40" s="1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R1042" i="40" s="1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R1034" i="40" s="1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R1026" i="40" s="1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R1018" i="40" s="1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R1010" i="40" s="1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R1002" i="40" s="1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R994" i="40" s="1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R986" i="40" s="1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R978" i="40" s="1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R970" i="40" s="1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R962" i="40" s="1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R954" i="40" s="1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R938" i="40" s="1"/>
  <c r="Q937" i="40"/>
  <c r="K937" i="40"/>
  <c r="Q936" i="40"/>
  <c r="K936" i="40"/>
  <c r="R936" i="40" s="1"/>
  <c r="Q935" i="40"/>
  <c r="K935" i="40"/>
  <c r="Q934" i="40"/>
  <c r="K934" i="40"/>
  <c r="Q933" i="40"/>
  <c r="K933" i="40"/>
  <c r="Q932" i="40"/>
  <c r="K932" i="40"/>
  <c r="R932" i="40" s="1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R924" i="40" s="1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R916" i="40" s="1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R908" i="40" s="1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R900" i="40" s="1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R892" i="40" s="1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R884" i="40" s="1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R876" i="40" s="1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R868" i="40" s="1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R860" i="40" s="1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R852" i="40" s="1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R844" i="40" s="1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R836" i="40" s="1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R828" i="40" s="1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R820" i="40" s="1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R812" i="40" s="1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R804" i="40" s="1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R796" i="40" s="1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R788" i="40" s="1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R778" i="40" s="1"/>
  <c r="Q777" i="40"/>
  <c r="K777" i="40"/>
  <c r="Q776" i="40"/>
  <c r="K776" i="40"/>
  <c r="R776" i="40" s="1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R770" i="40" s="1"/>
  <c r="Q769" i="40"/>
  <c r="K769" i="40"/>
  <c r="Q768" i="40"/>
  <c r="K768" i="40"/>
  <c r="R768" i="40" s="1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R762" i="40" s="1"/>
  <c r="Q761" i="40"/>
  <c r="K761" i="40"/>
  <c r="Q760" i="40"/>
  <c r="K760" i="40"/>
  <c r="R760" i="40" s="1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R754" i="40" s="1"/>
  <c r="Q753" i="40"/>
  <c r="K753" i="40"/>
  <c r="Q752" i="40"/>
  <c r="K752" i="40"/>
  <c r="R752" i="40" s="1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R746" i="40" s="1"/>
  <c r="Q745" i="40"/>
  <c r="K745" i="40"/>
  <c r="Q744" i="40"/>
  <c r="K744" i="40"/>
  <c r="R744" i="40" s="1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R738" i="40" s="1"/>
  <c r="Q737" i="40"/>
  <c r="K737" i="40"/>
  <c r="Q736" i="40"/>
  <c r="K736" i="40"/>
  <c r="R736" i="40" s="1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R730" i="40" s="1"/>
  <c r="Q729" i="40"/>
  <c r="K729" i="40"/>
  <c r="Q728" i="40"/>
  <c r="K728" i="40"/>
  <c r="R728" i="40" s="1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R722" i="40" s="1"/>
  <c r="Q721" i="40"/>
  <c r="K721" i="40"/>
  <c r="Q720" i="40"/>
  <c r="K720" i="40"/>
  <c r="R720" i="40" s="1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R714" i="40" s="1"/>
  <c r="Q713" i="40"/>
  <c r="K713" i="40"/>
  <c r="Q712" i="40"/>
  <c r="K712" i="40"/>
  <c r="R712" i="40" s="1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R706" i="40" s="1"/>
  <c r="Q705" i="40"/>
  <c r="K705" i="40"/>
  <c r="Q704" i="40"/>
  <c r="K704" i="40"/>
  <c r="R704" i="40" s="1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R698" i="40" s="1"/>
  <c r="Q697" i="40"/>
  <c r="K697" i="40"/>
  <c r="Q696" i="40"/>
  <c r="K696" i="40"/>
  <c r="R696" i="40" s="1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R690" i="40" s="1"/>
  <c r="Q689" i="40"/>
  <c r="K689" i="40"/>
  <c r="Q688" i="40"/>
  <c r="K688" i="40"/>
  <c r="R688" i="40" s="1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R682" i="40" s="1"/>
  <c r="Q681" i="40"/>
  <c r="K681" i="40"/>
  <c r="Q680" i="40"/>
  <c r="K680" i="40"/>
  <c r="Q679" i="40"/>
  <c r="K679" i="40"/>
  <c r="Q678" i="40"/>
  <c r="K678" i="40"/>
  <c r="R678" i="40" s="1"/>
  <c r="Q677" i="40"/>
  <c r="K677" i="40"/>
  <c r="Q676" i="40"/>
  <c r="K676" i="40"/>
  <c r="Q675" i="40"/>
  <c r="K675" i="40"/>
  <c r="Q674" i="40"/>
  <c r="K674" i="40"/>
  <c r="R674" i="40" s="1"/>
  <c r="Q673" i="40"/>
  <c r="K673" i="40"/>
  <c r="Q672" i="40"/>
  <c r="K672" i="40"/>
  <c r="Q671" i="40"/>
  <c r="K671" i="40"/>
  <c r="Q670" i="40"/>
  <c r="K670" i="40"/>
  <c r="R670" i="40" s="1"/>
  <c r="Q669" i="40"/>
  <c r="K669" i="40"/>
  <c r="Q668" i="40"/>
  <c r="K668" i="40"/>
  <c r="Q667" i="40"/>
  <c r="K667" i="40"/>
  <c r="Q666" i="40"/>
  <c r="K666" i="40"/>
  <c r="R666" i="40" s="1"/>
  <c r="Q665" i="40"/>
  <c r="K665" i="40"/>
  <c r="Q664" i="40"/>
  <c r="K664" i="40"/>
  <c r="Q663" i="40"/>
  <c r="K663" i="40"/>
  <c r="Q662" i="40"/>
  <c r="K662" i="40"/>
  <c r="R662" i="40" s="1"/>
  <c r="Q661" i="40"/>
  <c r="K661" i="40"/>
  <c r="Q660" i="40"/>
  <c r="K660" i="40"/>
  <c r="Q659" i="40"/>
  <c r="K659" i="40"/>
  <c r="Q658" i="40"/>
  <c r="K658" i="40"/>
  <c r="R658" i="40" s="1"/>
  <c r="Q657" i="40"/>
  <c r="K657" i="40"/>
  <c r="Q656" i="40"/>
  <c r="K656" i="40"/>
  <c r="Q655" i="40"/>
  <c r="K655" i="40"/>
  <c r="Q654" i="40"/>
  <c r="K654" i="40"/>
  <c r="R654" i="40" s="1"/>
  <c r="Q653" i="40"/>
  <c r="K653" i="40"/>
  <c r="Q652" i="40"/>
  <c r="K652" i="40"/>
  <c r="Q651" i="40"/>
  <c r="K651" i="40"/>
  <c r="Q650" i="40"/>
  <c r="K650" i="40"/>
  <c r="R650" i="40" s="1"/>
  <c r="Q649" i="40"/>
  <c r="K649" i="40"/>
  <c r="Q648" i="40"/>
  <c r="K648" i="40"/>
  <c r="Q647" i="40"/>
  <c r="K647" i="40"/>
  <c r="Q646" i="40"/>
  <c r="K646" i="40"/>
  <c r="R646" i="40" s="1"/>
  <c r="Q645" i="40"/>
  <c r="K645" i="40"/>
  <c r="Q644" i="40"/>
  <c r="K644" i="40"/>
  <c r="Q643" i="40"/>
  <c r="K643" i="40"/>
  <c r="Q642" i="40"/>
  <c r="K642" i="40"/>
  <c r="R642" i="40" s="1"/>
  <c r="Q641" i="40"/>
  <c r="K641" i="40"/>
  <c r="Q640" i="40"/>
  <c r="K640" i="40"/>
  <c r="Q639" i="40"/>
  <c r="K639" i="40"/>
  <c r="Q638" i="40"/>
  <c r="K638" i="40"/>
  <c r="R638" i="40" s="1"/>
  <c r="Q637" i="40"/>
  <c r="K637" i="40"/>
  <c r="Q636" i="40"/>
  <c r="K636" i="40"/>
  <c r="R636" i="40" s="1"/>
  <c r="Q635" i="40"/>
  <c r="K635" i="40"/>
  <c r="Q634" i="40"/>
  <c r="K634" i="40"/>
  <c r="R634" i="40" s="1"/>
  <c r="Q633" i="40"/>
  <c r="K633" i="40"/>
  <c r="Q632" i="40"/>
  <c r="K632" i="40"/>
  <c r="Q631" i="40"/>
  <c r="K631" i="40"/>
  <c r="Q630" i="40"/>
  <c r="K630" i="40"/>
  <c r="R630" i="40" s="1"/>
  <c r="Q629" i="40"/>
  <c r="K629" i="40"/>
  <c r="Q628" i="40"/>
  <c r="K628" i="40"/>
  <c r="R628" i="40" s="1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R622" i="40" s="1"/>
  <c r="Q621" i="40"/>
  <c r="K621" i="40"/>
  <c r="Q620" i="40"/>
  <c r="K620" i="40"/>
  <c r="R620" i="40" s="1"/>
  <c r="Q619" i="40"/>
  <c r="K619" i="40"/>
  <c r="Q618" i="40"/>
  <c r="K618" i="40"/>
  <c r="R618" i="40" s="1"/>
  <c r="Q617" i="40"/>
  <c r="K617" i="40"/>
  <c r="Q616" i="40"/>
  <c r="K616" i="40"/>
  <c r="Q615" i="40"/>
  <c r="K615" i="40"/>
  <c r="Q614" i="40"/>
  <c r="K614" i="40"/>
  <c r="R614" i="40" s="1"/>
  <c r="Q613" i="40"/>
  <c r="K613" i="40"/>
  <c r="Q612" i="40"/>
  <c r="K612" i="40"/>
  <c r="R612" i="40" s="1"/>
  <c r="Q611" i="40"/>
  <c r="K611" i="40"/>
  <c r="Q610" i="40"/>
  <c r="K610" i="40"/>
  <c r="R610" i="40" s="1"/>
  <c r="Q609" i="40"/>
  <c r="K609" i="40"/>
  <c r="Q608" i="40"/>
  <c r="K608" i="40"/>
  <c r="Q607" i="40"/>
  <c r="K607" i="40"/>
  <c r="Q606" i="40"/>
  <c r="K606" i="40"/>
  <c r="R606" i="40" s="1"/>
  <c r="Q605" i="40"/>
  <c r="K605" i="40"/>
  <c r="Q604" i="40"/>
  <c r="K604" i="40"/>
  <c r="R604" i="40" s="1"/>
  <c r="Q603" i="40"/>
  <c r="K603" i="40"/>
  <c r="Q602" i="40"/>
  <c r="K602" i="40"/>
  <c r="R602" i="40" s="1"/>
  <c r="Q601" i="40"/>
  <c r="K601" i="40"/>
  <c r="Q600" i="40"/>
  <c r="K600" i="40"/>
  <c r="Q599" i="40"/>
  <c r="K599" i="40"/>
  <c r="Q598" i="40"/>
  <c r="K598" i="40"/>
  <c r="R598" i="40" s="1"/>
  <c r="Q597" i="40"/>
  <c r="K597" i="40"/>
  <c r="Q596" i="40"/>
  <c r="K596" i="40"/>
  <c r="R596" i="40" s="1"/>
  <c r="Q595" i="40"/>
  <c r="K595" i="40"/>
  <c r="Q594" i="40"/>
  <c r="K594" i="40"/>
  <c r="R594" i="40" s="1"/>
  <c r="Q593" i="40"/>
  <c r="K593" i="40"/>
  <c r="Q592" i="40"/>
  <c r="K592" i="40"/>
  <c r="Q591" i="40"/>
  <c r="K591" i="40"/>
  <c r="Q590" i="40"/>
  <c r="K590" i="40"/>
  <c r="R590" i="40" s="1"/>
  <c r="Q589" i="40"/>
  <c r="K589" i="40"/>
  <c r="Q588" i="40"/>
  <c r="K588" i="40"/>
  <c r="R588" i="40" s="1"/>
  <c r="Q587" i="40"/>
  <c r="K587" i="40"/>
  <c r="Q586" i="40"/>
  <c r="K586" i="40"/>
  <c r="R586" i="40" s="1"/>
  <c r="Q585" i="40"/>
  <c r="K585" i="40"/>
  <c r="Q584" i="40"/>
  <c r="K584" i="40"/>
  <c r="Q583" i="40"/>
  <c r="K583" i="40"/>
  <c r="Q582" i="40"/>
  <c r="K582" i="40"/>
  <c r="R582" i="40" s="1"/>
  <c r="Q581" i="40"/>
  <c r="K581" i="40"/>
  <c r="Q580" i="40"/>
  <c r="K580" i="40"/>
  <c r="R580" i="40" s="1"/>
  <c r="Q579" i="40"/>
  <c r="K579" i="40"/>
  <c r="Q578" i="40"/>
  <c r="K578" i="40"/>
  <c r="R578" i="40" s="1"/>
  <c r="Q577" i="40"/>
  <c r="K577" i="40"/>
  <c r="Q576" i="40"/>
  <c r="K576" i="40"/>
  <c r="Q575" i="40"/>
  <c r="K575" i="40"/>
  <c r="Q574" i="40"/>
  <c r="K574" i="40"/>
  <c r="R574" i="40" s="1"/>
  <c r="Q573" i="40"/>
  <c r="K573" i="40"/>
  <c r="Q572" i="40"/>
  <c r="K572" i="40"/>
  <c r="R572" i="40" s="1"/>
  <c r="Q571" i="40"/>
  <c r="K571" i="40"/>
  <c r="Q570" i="40"/>
  <c r="K570" i="40"/>
  <c r="R570" i="40" s="1"/>
  <c r="Q569" i="40"/>
  <c r="K569" i="40"/>
  <c r="Q568" i="40"/>
  <c r="K568" i="40"/>
  <c r="Q567" i="40"/>
  <c r="K567" i="40"/>
  <c r="Q566" i="40"/>
  <c r="K566" i="40"/>
  <c r="R566" i="40" s="1"/>
  <c r="Q565" i="40"/>
  <c r="K565" i="40"/>
  <c r="Q564" i="40"/>
  <c r="K564" i="40"/>
  <c r="R564" i="40" s="1"/>
  <c r="Q563" i="40"/>
  <c r="K563" i="40"/>
  <c r="Q562" i="40"/>
  <c r="K562" i="40"/>
  <c r="R562" i="40" s="1"/>
  <c r="Q561" i="40"/>
  <c r="K561" i="40"/>
  <c r="Q560" i="40"/>
  <c r="K560" i="40"/>
  <c r="Q559" i="40"/>
  <c r="K559" i="40"/>
  <c r="Q558" i="40"/>
  <c r="K558" i="40"/>
  <c r="R558" i="40" s="1"/>
  <c r="Q557" i="40"/>
  <c r="K557" i="40"/>
  <c r="Q556" i="40"/>
  <c r="K556" i="40"/>
  <c r="R556" i="40" s="1"/>
  <c r="Q555" i="40"/>
  <c r="K555" i="40"/>
  <c r="Q554" i="40"/>
  <c r="K554" i="40"/>
  <c r="R554" i="40" s="1"/>
  <c r="Q553" i="40"/>
  <c r="K553" i="40"/>
  <c r="Q552" i="40"/>
  <c r="K552" i="40"/>
  <c r="Q551" i="40"/>
  <c r="K551" i="40"/>
  <c r="Q550" i="40"/>
  <c r="K550" i="40"/>
  <c r="R550" i="40" s="1"/>
  <c r="Q549" i="40"/>
  <c r="K549" i="40"/>
  <c r="Q548" i="40"/>
  <c r="K548" i="40"/>
  <c r="R548" i="40" s="1"/>
  <c r="Q547" i="40"/>
  <c r="K547" i="40"/>
  <c r="Q546" i="40"/>
  <c r="K546" i="40"/>
  <c r="R546" i="40" s="1"/>
  <c r="Q545" i="40"/>
  <c r="K545" i="40"/>
  <c r="Q544" i="40"/>
  <c r="K544" i="40"/>
  <c r="Q543" i="40"/>
  <c r="K543" i="40"/>
  <c r="Q542" i="40"/>
  <c r="K542" i="40"/>
  <c r="R542" i="40" s="1"/>
  <c r="Q541" i="40"/>
  <c r="K541" i="40"/>
  <c r="Q540" i="40"/>
  <c r="K540" i="40"/>
  <c r="R540" i="40" s="1"/>
  <c r="Q539" i="40"/>
  <c r="K539" i="40"/>
  <c r="Q538" i="40"/>
  <c r="K538" i="40"/>
  <c r="R538" i="40" s="1"/>
  <c r="Q537" i="40"/>
  <c r="K537" i="40"/>
  <c r="Q536" i="40"/>
  <c r="K536" i="40"/>
  <c r="Q535" i="40"/>
  <c r="K535" i="40"/>
  <c r="Q534" i="40"/>
  <c r="K534" i="40"/>
  <c r="R534" i="40" s="1"/>
  <c r="Q533" i="40"/>
  <c r="K533" i="40"/>
  <c r="Q532" i="40"/>
  <c r="K532" i="40"/>
  <c r="R532" i="40" s="1"/>
  <c r="Q531" i="40"/>
  <c r="K531" i="40"/>
  <c r="Q530" i="40"/>
  <c r="K530" i="40"/>
  <c r="R530" i="40" s="1"/>
  <c r="Q529" i="40"/>
  <c r="K529" i="40"/>
  <c r="Q528" i="40"/>
  <c r="K528" i="40"/>
  <c r="Q527" i="40"/>
  <c r="K527" i="40"/>
  <c r="Q526" i="40"/>
  <c r="K526" i="40"/>
  <c r="R526" i="40" s="1"/>
  <c r="Q525" i="40"/>
  <c r="K525" i="40"/>
  <c r="Q524" i="40"/>
  <c r="K524" i="40"/>
  <c r="R524" i="40" s="1"/>
  <c r="Q523" i="40"/>
  <c r="K523" i="40"/>
  <c r="Q522" i="40"/>
  <c r="K522" i="40"/>
  <c r="R522" i="40" s="1"/>
  <c r="Q521" i="40"/>
  <c r="K521" i="40"/>
  <c r="Q520" i="40"/>
  <c r="K520" i="40"/>
  <c r="Q519" i="40"/>
  <c r="K519" i="40"/>
  <c r="Q518" i="40"/>
  <c r="K518" i="40"/>
  <c r="R518" i="40" s="1"/>
  <c r="Q517" i="40"/>
  <c r="K517" i="40"/>
  <c r="Q516" i="40"/>
  <c r="K516" i="40"/>
  <c r="R516" i="40" s="1"/>
  <c r="Q515" i="40"/>
  <c r="K515" i="40"/>
  <c r="Q514" i="40"/>
  <c r="K514" i="40"/>
  <c r="R514" i="40" s="1"/>
  <c r="Q513" i="40"/>
  <c r="K513" i="40"/>
  <c r="Q512" i="40"/>
  <c r="K512" i="40"/>
  <c r="Q511" i="40"/>
  <c r="K511" i="40"/>
  <c r="Q510" i="40"/>
  <c r="K510" i="40"/>
  <c r="R510" i="40" s="1"/>
  <c r="Q509" i="40"/>
  <c r="K509" i="40"/>
  <c r="Q508" i="40"/>
  <c r="K508" i="40"/>
  <c r="R508" i="40" s="1"/>
  <c r="Q507" i="40"/>
  <c r="K507" i="40"/>
  <c r="Q506" i="40"/>
  <c r="K506" i="40"/>
  <c r="R506" i="40" s="1"/>
  <c r="Q505" i="40"/>
  <c r="K505" i="40"/>
  <c r="Q504" i="40"/>
  <c r="K504" i="40"/>
  <c r="Q503" i="40"/>
  <c r="K503" i="40"/>
  <c r="Q502" i="40"/>
  <c r="K502" i="40"/>
  <c r="R502" i="40" s="1"/>
  <c r="Q501" i="40"/>
  <c r="K501" i="40"/>
  <c r="Q500" i="40"/>
  <c r="K500" i="40"/>
  <c r="R500" i="40" s="1"/>
  <c r="Q499" i="40"/>
  <c r="K499" i="40"/>
  <c r="Q498" i="40"/>
  <c r="K498" i="40"/>
  <c r="R498" i="40" s="1"/>
  <c r="Q497" i="40"/>
  <c r="K497" i="40"/>
  <c r="Q496" i="40"/>
  <c r="K496" i="40"/>
  <c r="Q495" i="40"/>
  <c r="K495" i="40"/>
  <c r="Q494" i="40"/>
  <c r="K494" i="40"/>
  <c r="R494" i="40" s="1"/>
  <c r="Q493" i="40"/>
  <c r="K493" i="40"/>
  <c r="Q492" i="40"/>
  <c r="K492" i="40"/>
  <c r="R492" i="40" s="1"/>
  <c r="Q491" i="40"/>
  <c r="K491" i="40"/>
  <c r="Q490" i="40"/>
  <c r="K490" i="40"/>
  <c r="R490" i="40" s="1"/>
  <c r="Q489" i="40"/>
  <c r="K489" i="40"/>
  <c r="Q488" i="40"/>
  <c r="K488" i="40"/>
  <c r="Q487" i="40"/>
  <c r="K487" i="40"/>
  <c r="Q486" i="40"/>
  <c r="K486" i="40"/>
  <c r="R486" i="40" s="1"/>
  <c r="Q485" i="40"/>
  <c r="K485" i="40"/>
  <c r="Q484" i="40"/>
  <c r="K484" i="40"/>
  <c r="R484" i="40" s="1"/>
  <c r="Q483" i="40"/>
  <c r="K483" i="40"/>
  <c r="Q482" i="40"/>
  <c r="K482" i="40"/>
  <c r="R482" i="40" s="1"/>
  <c r="Q481" i="40"/>
  <c r="K481" i="40"/>
  <c r="Q480" i="40"/>
  <c r="K480" i="40"/>
  <c r="Q479" i="40"/>
  <c r="K479" i="40"/>
  <c r="Q478" i="40"/>
  <c r="K478" i="40"/>
  <c r="R478" i="40" s="1"/>
  <c r="Q477" i="40"/>
  <c r="K477" i="40"/>
  <c r="Q476" i="40"/>
  <c r="K476" i="40"/>
  <c r="R476" i="40" s="1"/>
  <c r="Q475" i="40"/>
  <c r="K475" i="40"/>
  <c r="Q474" i="40"/>
  <c r="K474" i="40"/>
  <c r="R474" i="40" s="1"/>
  <c r="Q473" i="40"/>
  <c r="K473" i="40"/>
  <c r="Q472" i="40"/>
  <c r="K472" i="40"/>
  <c r="Q471" i="40"/>
  <c r="K471" i="40"/>
  <c r="Q470" i="40"/>
  <c r="K470" i="40"/>
  <c r="R470" i="40" s="1"/>
  <c r="Q469" i="40"/>
  <c r="K469" i="40"/>
  <c r="Q468" i="40"/>
  <c r="K468" i="40"/>
  <c r="R468" i="40" s="1"/>
  <c r="Q467" i="40"/>
  <c r="K467" i="40"/>
  <c r="Q466" i="40"/>
  <c r="K466" i="40"/>
  <c r="R466" i="40" s="1"/>
  <c r="Q465" i="40"/>
  <c r="K465" i="40"/>
  <c r="Q464" i="40"/>
  <c r="K464" i="40"/>
  <c r="Q463" i="40"/>
  <c r="K463" i="40"/>
  <c r="Q462" i="40"/>
  <c r="K462" i="40"/>
  <c r="R462" i="40" s="1"/>
  <c r="Q461" i="40"/>
  <c r="K461" i="40"/>
  <c r="Q460" i="40"/>
  <c r="K460" i="40"/>
  <c r="R460" i="40" s="1"/>
  <c r="Q459" i="40"/>
  <c r="K459" i="40"/>
  <c r="Q458" i="40"/>
  <c r="K458" i="40"/>
  <c r="R458" i="40" s="1"/>
  <c r="Q457" i="40"/>
  <c r="K457" i="40"/>
  <c r="Q456" i="40"/>
  <c r="K456" i="40"/>
  <c r="Q455" i="40"/>
  <c r="K455" i="40"/>
  <c r="Q454" i="40"/>
  <c r="K454" i="40"/>
  <c r="R454" i="40" s="1"/>
  <c r="Q453" i="40"/>
  <c r="K453" i="40"/>
  <c r="Q452" i="40"/>
  <c r="K452" i="40"/>
  <c r="R452" i="40" s="1"/>
  <c r="Q451" i="40"/>
  <c r="K451" i="40"/>
  <c r="Q450" i="40"/>
  <c r="K450" i="40"/>
  <c r="R450" i="40" s="1"/>
  <c r="Q449" i="40"/>
  <c r="K449" i="40"/>
  <c r="Q448" i="40"/>
  <c r="K448" i="40"/>
  <c r="Q447" i="40"/>
  <c r="K447" i="40"/>
  <c r="Q446" i="40"/>
  <c r="K446" i="40"/>
  <c r="R446" i="40" s="1"/>
  <c r="Q445" i="40"/>
  <c r="K445" i="40"/>
  <c r="Q444" i="40"/>
  <c r="K444" i="40"/>
  <c r="R444" i="40" s="1"/>
  <c r="Q443" i="40"/>
  <c r="K443" i="40"/>
  <c r="Q442" i="40"/>
  <c r="K442" i="40"/>
  <c r="R442" i="40" s="1"/>
  <c r="Q441" i="40"/>
  <c r="K441" i="40"/>
  <c r="Q440" i="40"/>
  <c r="K440" i="40"/>
  <c r="Q439" i="40"/>
  <c r="K439" i="40"/>
  <c r="Q438" i="40"/>
  <c r="K438" i="40"/>
  <c r="R438" i="40" s="1"/>
  <c r="Q437" i="40"/>
  <c r="K437" i="40"/>
  <c r="Q436" i="40"/>
  <c r="K436" i="40"/>
  <c r="R436" i="40" s="1"/>
  <c r="Q435" i="40"/>
  <c r="K435" i="40"/>
  <c r="Q434" i="40"/>
  <c r="K434" i="40"/>
  <c r="R434" i="40" s="1"/>
  <c r="Q433" i="40"/>
  <c r="K433" i="40"/>
  <c r="Q432" i="40"/>
  <c r="K432" i="40"/>
  <c r="Q431" i="40"/>
  <c r="K431" i="40"/>
  <c r="Q430" i="40"/>
  <c r="K430" i="40"/>
  <c r="R430" i="40" s="1"/>
  <c r="Q429" i="40"/>
  <c r="K429" i="40"/>
  <c r="Q428" i="40"/>
  <c r="K428" i="40"/>
  <c r="R428" i="40" s="1"/>
  <c r="Q427" i="40"/>
  <c r="K427" i="40"/>
  <c r="Q426" i="40"/>
  <c r="K426" i="40"/>
  <c r="R426" i="40" s="1"/>
  <c r="Q425" i="40"/>
  <c r="K425" i="40"/>
  <c r="Q424" i="40"/>
  <c r="K424" i="40"/>
  <c r="Q423" i="40"/>
  <c r="K423" i="40"/>
  <c r="Q422" i="40"/>
  <c r="K422" i="40"/>
  <c r="R422" i="40" s="1"/>
  <c r="Q421" i="40"/>
  <c r="K421" i="40"/>
  <c r="Q420" i="40"/>
  <c r="K420" i="40"/>
  <c r="R420" i="40" s="1"/>
  <c r="Q419" i="40"/>
  <c r="K419" i="40"/>
  <c r="Q418" i="40"/>
  <c r="K418" i="40"/>
  <c r="R418" i="40" s="1"/>
  <c r="Q417" i="40"/>
  <c r="K417" i="40"/>
  <c r="Q416" i="40"/>
  <c r="K416" i="40"/>
  <c r="Q415" i="40"/>
  <c r="K415" i="40"/>
  <c r="Q414" i="40"/>
  <c r="K414" i="40"/>
  <c r="R414" i="40" s="1"/>
  <c r="Q413" i="40"/>
  <c r="K413" i="40"/>
  <c r="Q412" i="40"/>
  <c r="K412" i="40"/>
  <c r="R412" i="40" s="1"/>
  <c r="Q411" i="40"/>
  <c r="K411" i="40"/>
  <c r="Q410" i="40"/>
  <c r="K410" i="40"/>
  <c r="R410" i="40" s="1"/>
  <c r="Q409" i="40"/>
  <c r="K409" i="40"/>
  <c r="Q408" i="40"/>
  <c r="K408" i="40"/>
  <c r="Q407" i="40"/>
  <c r="K407" i="40"/>
  <c r="Q406" i="40"/>
  <c r="K406" i="40"/>
  <c r="R406" i="40" s="1"/>
  <c r="Q405" i="40"/>
  <c r="K405" i="40"/>
  <c r="Q404" i="40"/>
  <c r="K404" i="40"/>
  <c r="R404" i="40" s="1"/>
  <c r="Q403" i="40"/>
  <c r="K403" i="40"/>
  <c r="Q402" i="40"/>
  <c r="K402" i="40"/>
  <c r="R402" i="40" s="1"/>
  <c r="Q401" i="40"/>
  <c r="K401" i="40"/>
  <c r="Q400" i="40"/>
  <c r="K400" i="40"/>
  <c r="Q399" i="40"/>
  <c r="K399" i="40"/>
  <c r="Q398" i="40"/>
  <c r="K398" i="40"/>
  <c r="R398" i="40" s="1"/>
  <c r="Q397" i="40"/>
  <c r="K397" i="40"/>
  <c r="Q396" i="40"/>
  <c r="K396" i="40"/>
  <c r="R396" i="40" s="1"/>
  <c r="Q395" i="40"/>
  <c r="K395" i="40"/>
  <c r="Q394" i="40"/>
  <c r="K394" i="40"/>
  <c r="R394" i="40" s="1"/>
  <c r="Q393" i="40"/>
  <c r="K393" i="40"/>
  <c r="Q392" i="40"/>
  <c r="K392" i="40"/>
  <c r="Q391" i="40"/>
  <c r="K391" i="40"/>
  <c r="Q390" i="40"/>
  <c r="K390" i="40"/>
  <c r="R390" i="40" s="1"/>
  <c r="Q389" i="40"/>
  <c r="K389" i="40"/>
  <c r="Q388" i="40"/>
  <c r="K388" i="40"/>
  <c r="R388" i="40" s="1"/>
  <c r="Q387" i="40"/>
  <c r="K387" i="40"/>
  <c r="Q386" i="40"/>
  <c r="K386" i="40"/>
  <c r="R386" i="40" s="1"/>
  <c r="Q385" i="40"/>
  <c r="K385" i="40"/>
  <c r="Q384" i="40"/>
  <c r="K384" i="40"/>
  <c r="Q383" i="40"/>
  <c r="K383" i="40"/>
  <c r="Q382" i="40"/>
  <c r="K382" i="40"/>
  <c r="R382" i="40" s="1"/>
  <c r="Q381" i="40"/>
  <c r="K381" i="40"/>
  <c r="Q380" i="40"/>
  <c r="K380" i="40"/>
  <c r="R380" i="40" s="1"/>
  <c r="Q379" i="40"/>
  <c r="K379" i="40"/>
  <c r="Q378" i="40"/>
  <c r="K378" i="40"/>
  <c r="R378" i="40" s="1"/>
  <c r="Q377" i="40"/>
  <c r="K377" i="40"/>
  <c r="Q376" i="40"/>
  <c r="K376" i="40"/>
  <c r="Q375" i="40"/>
  <c r="K375" i="40"/>
  <c r="Q374" i="40"/>
  <c r="K374" i="40"/>
  <c r="R374" i="40" s="1"/>
  <c r="Q373" i="40"/>
  <c r="K373" i="40"/>
  <c r="Q372" i="40"/>
  <c r="K372" i="40"/>
  <c r="R372" i="40" s="1"/>
  <c r="Q371" i="40"/>
  <c r="K371" i="40"/>
  <c r="Q370" i="40"/>
  <c r="K370" i="40"/>
  <c r="R370" i="40" s="1"/>
  <c r="Q369" i="40"/>
  <c r="K369" i="40"/>
  <c r="Q368" i="40"/>
  <c r="K368" i="40"/>
  <c r="Q367" i="40"/>
  <c r="K367" i="40"/>
  <c r="Q366" i="40"/>
  <c r="K366" i="40"/>
  <c r="R366" i="40" s="1"/>
  <c r="Q365" i="40"/>
  <c r="K365" i="40"/>
  <c r="Q364" i="40"/>
  <c r="K364" i="40"/>
  <c r="R364" i="40" s="1"/>
  <c r="Q363" i="40"/>
  <c r="K363" i="40"/>
  <c r="Q362" i="40"/>
  <c r="K362" i="40"/>
  <c r="R362" i="40" s="1"/>
  <c r="Q361" i="40"/>
  <c r="K361" i="40"/>
  <c r="Q360" i="40"/>
  <c r="K360" i="40"/>
  <c r="Q359" i="40"/>
  <c r="K359" i="40"/>
  <c r="Q358" i="40"/>
  <c r="K358" i="40"/>
  <c r="R358" i="40" s="1"/>
  <c r="Q357" i="40"/>
  <c r="K357" i="40"/>
  <c r="Q356" i="40"/>
  <c r="K356" i="40"/>
  <c r="R356" i="40" s="1"/>
  <c r="Q355" i="40"/>
  <c r="K355" i="40"/>
  <c r="Q354" i="40"/>
  <c r="K354" i="40"/>
  <c r="R354" i="40" s="1"/>
  <c r="Q353" i="40"/>
  <c r="K353" i="40"/>
  <c r="Q352" i="40"/>
  <c r="K352" i="40"/>
  <c r="Q351" i="40"/>
  <c r="K351" i="40"/>
  <c r="Q350" i="40"/>
  <c r="K350" i="40"/>
  <c r="R350" i="40" s="1"/>
  <c r="Q349" i="40"/>
  <c r="K349" i="40"/>
  <c r="Q348" i="40"/>
  <c r="K348" i="40"/>
  <c r="R348" i="40" s="1"/>
  <c r="Q347" i="40"/>
  <c r="K347" i="40"/>
  <c r="Q346" i="40"/>
  <c r="K346" i="40"/>
  <c r="R346" i="40" s="1"/>
  <c r="Q345" i="40"/>
  <c r="K345" i="40"/>
  <c r="Q344" i="40"/>
  <c r="K344" i="40"/>
  <c r="Q343" i="40"/>
  <c r="K343" i="40"/>
  <c r="Q342" i="40"/>
  <c r="K342" i="40"/>
  <c r="R342" i="40" s="1"/>
  <c r="Q341" i="40"/>
  <c r="K341" i="40"/>
  <c r="Q340" i="40"/>
  <c r="K340" i="40"/>
  <c r="R340" i="40" s="1"/>
  <c r="Q339" i="40"/>
  <c r="K339" i="40"/>
  <c r="Q338" i="40"/>
  <c r="K338" i="40"/>
  <c r="R338" i="40" s="1"/>
  <c r="Q337" i="40"/>
  <c r="K337" i="40"/>
  <c r="Q336" i="40"/>
  <c r="K336" i="40"/>
  <c r="Q335" i="40"/>
  <c r="K335" i="40"/>
  <c r="Q334" i="40"/>
  <c r="K334" i="40"/>
  <c r="R334" i="40" s="1"/>
  <c r="Q333" i="40"/>
  <c r="K333" i="40"/>
  <c r="Q332" i="40"/>
  <c r="K332" i="40"/>
  <c r="R332" i="40" s="1"/>
  <c r="Q331" i="40"/>
  <c r="K331" i="40"/>
  <c r="Q330" i="40"/>
  <c r="K330" i="40"/>
  <c r="R330" i="40" s="1"/>
  <c r="Q329" i="40"/>
  <c r="K329" i="40"/>
  <c r="Q328" i="40"/>
  <c r="K328" i="40"/>
  <c r="Q327" i="40"/>
  <c r="K327" i="40"/>
  <c r="Q326" i="40"/>
  <c r="K326" i="40"/>
  <c r="R326" i="40" s="1"/>
  <c r="Q325" i="40"/>
  <c r="K325" i="40"/>
  <c r="Q324" i="40"/>
  <c r="K324" i="40"/>
  <c r="R324" i="40" s="1"/>
  <c r="Q323" i="40"/>
  <c r="K323" i="40"/>
  <c r="Q322" i="40"/>
  <c r="K322" i="40"/>
  <c r="R322" i="40" s="1"/>
  <c r="Q321" i="40"/>
  <c r="K321" i="40"/>
  <c r="Q320" i="40"/>
  <c r="K320" i="40"/>
  <c r="R320" i="40" s="1"/>
  <c r="Q319" i="40"/>
  <c r="K319" i="40"/>
  <c r="Q318" i="40"/>
  <c r="K318" i="40"/>
  <c r="R318" i="40" s="1"/>
  <c r="Q317" i="40"/>
  <c r="K317" i="40"/>
  <c r="Q316" i="40"/>
  <c r="K316" i="40"/>
  <c r="R316" i="40" s="1"/>
  <c r="Q315" i="40"/>
  <c r="K315" i="40"/>
  <c r="Q314" i="40"/>
  <c r="K314" i="40"/>
  <c r="R314" i="40" s="1"/>
  <c r="Q313" i="40"/>
  <c r="K313" i="40"/>
  <c r="Q312" i="40"/>
  <c r="K312" i="40"/>
  <c r="R312" i="40" s="1"/>
  <c r="Q311" i="40"/>
  <c r="K311" i="40"/>
  <c r="Q310" i="40"/>
  <c r="K310" i="40"/>
  <c r="R310" i="40" s="1"/>
  <c r="Q309" i="40"/>
  <c r="K309" i="40"/>
  <c r="Q308" i="40"/>
  <c r="K308" i="40"/>
  <c r="R308" i="40" s="1"/>
  <c r="Q307" i="40"/>
  <c r="K307" i="40"/>
  <c r="Q306" i="40"/>
  <c r="K306" i="40"/>
  <c r="R306" i="40" s="1"/>
  <c r="Q305" i="40"/>
  <c r="K305" i="40"/>
  <c r="Q304" i="40"/>
  <c r="K304" i="40"/>
  <c r="R304" i="40" s="1"/>
  <c r="Q303" i="40"/>
  <c r="K303" i="40"/>
  <c r="Q302" i="40"/>
  <c r="K302" i="40"/>
  <c r="R302" i="40" s="1"/>
  <c r="Q301" i="40"/>
  <c r="K301" i="40"/>
  <c r="Q300" i="40"/>
  <c r="K300" i="40"/>
  <c r="R300" i="40" s="1"/>
  <c r="Q299" i="40"/>
  <c r="K299" i="40"/>
  <c r="Q298" i="40"/>
  <c r="K298" i="40"/>
  <c r="R298" i="40" s="1"/>
  <c r="Q297" i="40"/>
  <c r="K297" i="40"/>
  <c r="Q296" i="40"/>
  <c r="K296" i="40"/>
  <c r="R296" i="40" s="1"/>
  <c r="Q295" i="40"/>
  <c r="K295" i="40"/>
  <c r="Q294" i="40"/>
  <c r="K294" i="40"/>
  <c r="R294" i="40" s="1"/>
  <c r="Q293" i="40"/>
  <c r="K293" i="40"/>
  <c r="Q292" i="40"/>
  <c r="K292" i="40"/>
  <c r="R292" i="40" s="1"/>
  <c r="Q291" i="40"/>
  <c r="K291" i="40"/>
  <c r="Q290" i="40"/>
  <c r="K290" i="40"/>
  <c r="R290" i="40" s="1"/>
  <c r="Q289" i="40"/>
  <c r="K289" i="40"/>
  <c r="Q288" i="40"/>
  <c r="K288" i="40"/>
  <c r="R288" i="40" s="1"/>
  <c r="Q287" i="40"/>
  <c r="K287" i="40"/>
  <c r="Q286" i="40"/>
  <c r="K286" i="40"/>
  <c r="R286" i="40" s="1"/>
  <c r="Q285" i="40"/>
  <c r="K285" i="40"/>
  <c r="Q284" i="40"/>
  <c r="K284" i="40"/>
  <c r="R284" i="40" s="1"/>
  <c r="Q283" i="40"/>
  <c r="K283" i="40"/>
  <c r="Q282" i="40"/>
  <c r="K282" i="40"/>
  <c r="R282" i="40" s="1"/>
  <c r="Q281" i="40"/>
  <c r="K281" i="40"/>
  <c r="Q280" i="40"/>
  <c r="K280" i="40"/>
  <c r="Q279" i="40"/>
  <c r="K279" i="40"/>
  <c r="Q278" i="40"/>
  <c r="K278" i="40"/>
  <c r="R278" i="40" s="1"/>
  <c r="Q277" i="40"/>
  <c r="K277" i="40"/>
  <c r="Q276" i="40"/>
  <c r="K276" i="40"/>
  <c r="R276" i="40" s="1"/>
  <c r="Q275" i="40"/>
  <c r="K275" i="40"/>
  <c r="Q274" i="40"/>
  <c r="K274" i="40"/>
  <c r="R274" i="40" s="1"/>
  <c r="Q273" i="40"/>
  <c r="K273" i="40"/>
  <c r="Q272" i="40"/>
  <c r="K272" i="40"/>
  <c r="R272" i="40" s="1"/>
  <c r="Q271" i="40"/>
  <c r="K271" i="40"/>
  <c r="Q270" i="40"/>
  <c r="K270" i="40"/>
  <c r="R270" i="40" s="1"/>
  <c r="Q269" i="40"/>
  <c r="K269" i="40"/>
  <c r="Q268" i="40"/>
  <c r="K268" i="40"/>
  <c r="R268" i="40" s="1"/>
  <c r="Q267" i="40"/>
  <c r="K267" i="40"/>
  <c r="Q266" i="40"/>
  <c r="K266" i="40"/>
  <c r="R266" i="40" s="1"/>
  <c r="Q265" i="40"/>
  <c r="K265" i="40"/>
  <c r="Q264" i="40"/>
  <c r="K264" i="40"/>
  <c r="Q263" i="40"/>
  <c r="K263" i="40"/>
  <c r="Q262" i="40"/>
  <c r="K262" i="40"/>
  <c r="R262" i="40" s="1"/>
  <c r="Q261" i="40"/>
  <c r="K261" i="40"/>
  <c r="Q260" i="40"/>
  <c r="K260" i="40"/>
  <c r="R260" i="40" s="1"/>
  <c r="Q259" i="40"/>
  <c r="K259" i="40"/>
  <c r="Q258" i="40"/>
  <c r="K258" i="40"/>
  <c r="R258" i="40" s="1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R252" i="40" s="1"/>
  <c r="Q251" i="40"/>
  <c r="K251" i="40"/>
  <c r="Q250" i="40"/>
  <c r="K250" i="40"/>
  <c r="Q249" i="40"/>
  <c r="K249" i="40"/>
  <c r="Q248" i="40"/>
  <c r="K248" i="40"/>
  <c r="R248" i="40" s="1"/>
  <c r="Q247" i="40"/>
  <c r="K247" i="40"/>
  <c r="Q246" i="40"/>
  <c r="K246" i="40"/>
  <c r="R246" i="40" s="1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R234" i="40" s="1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R226" i="40" s="1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R218" i="40" s="1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R210" i="40" s="1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R202" i="40" s="1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R194" i="40" s="1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R186" i="40" s="1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R178" i="40" s="1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R170" i="40" s="1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R162" i="40" s="1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R154" i="40" s="1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R146" i="40" s="1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R138" i="40" s="1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R130" i="40" s="1"/>
  <c r="Q129" i="40"/>
  <c r="K129" i="40"/>
  <c r="Q128" i="40"/>
  <c r="K128" i="40"/>
  <c r="Q127" i="40"/>
  <c r="K127" i="40"/>
  <c r="Q126" i="40"/>
  <c r="K126" i="40"/>
  <c r="R127" i="40" l="1"/>
  <c r="R131" i="40"/>
  <c r="R135" i="40"/>
  <c r="R139" i="40"/>
  <c r="R143" i="40"/>
  <c r="R147" i="40"/>
  <c r="R151" i="40"/>
  <c r="R155" i="40"/>
  <c r="R159" i="40"/>
  <c r="R163" i="40"/>
  <c r="R167" i="40"/>
  <c r="R171" i="40"/>
  <c r="R175" i="40"/>
  <c r="R179" i="40"/>
  <c r="R183" i="40"/>
  <c r="R187" i="40"/>
  <c r="R191" i="40"/>
  <c r="R195" i="40"/>
  <c r="R199" i="40"/>
  <c r="R203" i="40"/>
  <c r="R207" i="40"/>
  <c r="R211" i="40"/>
  <c r="R215" i="40"/>
  <c r="R219" i="40"/>
  <c r="R223" i="40"/>
  <c r="R227" i="40"/>
  <c r="R231" i="40"/>
  <c r="R235" i="40"/>
  <c r="R239" i="40"/>
  <c r="R251" i="40"/>
  <c r="R259" i="40"/>
  <c r="R267" i="40"/>
  <c r="R275" i="40"/>
  <c r="R283" i="40"/>
  <c r="R291" i="40"/>
  <c r="R299" i="40"/>
  <c r="R307" i="40"/>
  <c r="R315" i="40"/>
  <c r="R323" i="40"/>
  <c r="R331" i="40"/>
  <c r="R339" i="40"/>
  <c r="R347" i="40"/>
  <c r="R355" i="40"/>
  <c r="R363" i="40"/>
  <c r="R371" i="40"/>
  <c r="R379" i="40"/>
  <c r="R387" i="40"/>
  <c r="R395" i="40"/>
  <c r="R403" i="40"/>
  <c r="R411" i="40"/>
  <c r="R419" i="40"/>
  <c r="R427" i="40"/>
  <c r="R435" i="40"/>
  <c r="R443" i="40"/>
  <c r="R451" i="40"/>
  <c r="R459" i="40"/>
  <c r="R467" i="40"/>
  <c r="R475" i="40"/>
  <c r="R483" i="40"/>
  <c r="R491" i="40"/>
  <c r="R499" i="40"/>
  <c r="R507" i="40"/>
  <c r="R515" i="40"/>
  <c r="R523" i="40"/>
  <c r="R531" i="40"/>
  <c r="R539" i="40"/>
  <c r="R547" i="40"/>
  <c r="R555" i="40"/>
  <c r="R563" i="40"/>
  <c r="R571" i="40"/>
  <c r="R579" i="40"/>
  <c r="R587" i="40"/>
  <c r="R595" i="40"/>
  <c r="R603" i="40"/>
  <c r="R611" i="40"/>
  <c r="R619" i="40"/>
  <c r="R627" i="40"/>
  <c r="R635" i="40"/>
  <c r="R639" i="40"/>
  <c r="R643" i="40"/>
  <c r="R647" i="40"/>
  <c r="R651" i="40"/>
  <c r="R655" i="40"/>
  <c r="R659" i="40"/>
  <c r="R661" i="40"/>
  <c r="R663" i="40"/>
  <c r="R665" i="40"/>
  <c r="R667" i="40"/>
  <c r="R669" i="40"/>
  <c r="R671" i="40"/>
  <c r="R673" i="40"/>
  <c r="R675" i="40"/>
  <c r="R677" i="40"/>
  <c r="R679" i="40"/>
  <c r="R681" i="40"/>
  <c r="R683" i="40"/>
  <c r="R687" i="40"/>
  <c r="R689" i="40"/>
  <c r="R691" i="40"/>
  <c r="R695" i="40"/>
  <c r="R697" i="40"/>
  <c r="R699" i="40"/>
  <c r="R703" i="40"/>
  <c r="R705" i="40"/>
  <c r="R707" i="40"/>
  <c r="R711" i="40"/>
  <c r="R713" i="40"/>
  <c r="R715" i="40"/>
  <c r="R719" i="40"/>
  <c r="R721" i="40"/>
  <c r="R723" i="40"/>
  <c r="R727" i="40"/>
  <c r="R729" i="40"/>
  <c r="R731" i="40"/>
  <c r="R735" i="40"/>
  <c r="R737" i="40"/>
  <c r="R739" i="40"/>
  <c r="R743" i="40"/>
  <c r="R745" i="40"/>
  <c r="R747" i="40"/>
  <c r="R751" i="40"/>
  <c r="R753" i="40"/>
  <c r="R755" i="40"/>
  <c r="R759" i="40"/>
  <c r="R761" i="40"/>
  <c r="R763" i="40"/>
  <c r="R767" i="40"/>
  <c r="R769" i="40"/>
  <c r="R771" i="40"/>
  <c r="R775" i="40"/>
  <c r="R777" i="40"/>
  <c r="R779" i="40"/>
  <c r="R783" i="40"/>
  <c r="R787" i="40"/>
  <c r="R789" i="40"/>
  <c r="R791" i="40"/>
  <c r="R795" i="40"/>
  <c r="R797" i="40"/>
  <c r="R799" i="40"/>
  <c r="R803" i="40"/>
  <c r="R805" i="40"/>
  <c r="R807" i="40"/>
  <c r="R811" i="40"/>
  <c r="R813" i="40"/>
  <c r="R815" i="40"/>
  <c r="R819" i="40"/>
  <c r="R821" i="40"/>
  <c r="R823" i="40"/>
  <c r="R827" i="40"/>
  <c r="R829" i="40"/>
  <c r="R831" i="40"/>
  <c r="R835" i="40"/>
  <c r="R837" i="40"/>
  <c r="R839" i="40"/>
  <c r="R843" i="40"/>
  <c r="R845" i="40"/>
  <c r="R847" i="40"/>
  <c r="R851" i="40"/>
  <c r="R853" i="40"/>
  <c r="R855" i="40"/>
  <c r="R859" i="40"/>
  <c r="R861" i="40"/>
  <c r="R863" i="40"/>
  <c r="R867" i="40"/>
  <c r="R869" i="40"/>
  <c r="R871" i="40"/>
  <c r="R875" i="40"/>
  <c r="R877" i="40"/>
  <c r="R879" i="40"/>
  <c r="R883" i="40"/>
  <c r="R885" i="40"/>
  <c r="R887" i="40"/>
  <c r="R891" i="40"/>
  <c r="R893" i="40"/>
  <c r="R895" i="40"/>
  <c r="R899" i="40"/>
  <c r="R901" i="40"/>
  <c r="R903" i="40"/>
  <c r="R907" i="40"/>
  <c r="R909" i="40"/>
  <c r="R911" i="40"/>
  <c r="R915" i="40"/>
  <c r="R917" i="40"/>
  <c r="R919" i="40"/>
  <c r="R923" i="40"/>
  <c r="R925" i="40"/>
  <c r="R927" i="40"/>
  <c r="R931" i="40"/>
  <c r="R933" i="40"/>
  <c r="R935" i="40"/>
  <c r="R937" i="40"/>
  <c r="R939" i="40"/>
  <c r="R941" i="40"/>
  <c r="R949" i="40"/>
  <c r="R951" i="40"/>
  <c r="R953" i="40"/>
  <c r="R955" i="40"/>
  <c r="R957" i="40"/>
  <c r="R961" i="40"/>
  <c r="R963" i="40"/>
  <c r="R965" i="40"/>
  <c r="R969" i="40"/>
  <c r="R973" i="40"/>
  <c r="R977" i="40"/>
  <c r="R981" i="40"/>
  <c r="R985" i="40"/>
  <c r="R989" i="40"/>
  <c r="R993" i="40"/>
  <c r="R997" i="40"/>
  <c r="R1001" i="40"/>
  <c r="R1005" i="40"/>
  <c r="R1009" i="40"/>
  <c r="R1013" i="40"/>
  <c r="R1017" i="40"/>
  <c r="R1021" i="40"/>
  <c r="R1025" i="40"/>
  <c r="R1029" i="40"/>
  <c r="R1033" i="40"/>
  <c r="R1037" i="40"/>
  <c r="R1041" i="40"/>
  <c r="R1045" i="40"/>
  <c r="R1049" i="40"/>
  <c r="R1053" i="40"/>
  <c r="R1057" i="40"/>
  <c r="R1061" i="40"/>
  <c r="R1065" i="40"/>
  <c r="R1069" i="40"/>
  <c r="R1073" i="40"/>
  <c r="R1077" i="40"/>
  <c r="R1081" i="40"/>
  <c r="R1085" i="40"/>
  <c r="R1089" i="40"/>
  <c r="R1093" i="40"/>
  <c r="R1097" i="40"/>
  <c r="R1101" i="40"/>
  <c r="R1105" i="40"/>
  <c r="R1109" i="40"/>
  <c r="R1113" i="40"/>
  <c r="R1117" i="40"/>
  <c r="R1121" i="40"/>
  <c r="R1125" i="40"/>
  <c r="R1129" i="40"/>
  <c r="R1133" i="40"/>
  <c r="R1137" i="40"/>
  <c r="R1141" i="40"/>
  <c r="R1145" i="40"/>
  <c r="R1149" i="40"/>
  <c r="R1153" i="40"/>
  <c r="R1157" i="40"/>
  <c r="R1161" i="40"/>
  <c r="R1165" i="40"/>
  <c r="R1169" i="40"/>
  <c r="R1173" i="40"/>
  <c r="R1177" i="40"/>
  <c r="R1181" i="40"/>
  <c r="R1185" i="40"/>
  <c r="R1189" i="40"/>
  <c r="R1193" i="40"/>
  <c r="R1197" i="40"/>
  <c r="R1201" i="40"/>
  <c r="R1205" i="40"/>
  <c r="R1209" i="40"/>
  <c r="R1213" i="40"/>
  <c r="R1217" i="40"/>
  <c r="R1221" i="40"/>
  <c r="R1225" i="40"/>
  <c r="R1229" i="40"/>
  <c r="R1233" i="40"/>
  <c r="R1237" i="40"/>
  <c r="R1241" i="40"/>
  <c r="R1245" i="40"/>
  <c r="R1249" i="40"/>
  <c r="R1253" i="40"/>
  <c r="R1257" i="40"/>
  <c r="R1261" i="40"/>
  <c r="R9" i="41"/>
  <c r="R13" i="41"/>
  <c r="R17" i="41"/>
  <c r="R21" i="41"/>
  <c r="R25" i="41"/>
  <c r="R29" i="41"/>
  <c r="R33" i="41"/>
  <c r="R37" i="41"/>
  <c r="R41" i="41"/>
  <c r="R971" i="40"/>
  <c r="R979" i="40"/>
  <c r="R987" i="40"/>
  <c r="R995" i="40"/>
  <c r="R1003" i="40"/>
  <c r="R1011" i="40"/>
  <c r="R1019" i="40"/>
  <c r="R1027" i="40"/>
  <c r="R1035" i="40"/>
  <c r="R1043" i="40"/>
  <c r="R1051" i="40"/>
  <c r="R1059" i="40"/>
  <c r="R1067" i="40"/>
  <c r="R1079" i="40"/>
  <c r="R1087" i="40"/>
  <c r="R1095" i="40"/>
  <c r="R1103" i="40"/>
  <c r="R1111" i="40"/>
  <c r="R1119" i="40"/>
  <c r="R1127" i="40"/>
  <c r="R1135" i="40"/>
  <c r="R1143" i="40"/>
  <c r="R1151" i="40"/>
  <c r="R1159" i="40"/>
  <c r="R1167" i="40"/>
  <c r="R1175" i="40"/>
  <c r="R1183" i="40"/>
  <c r="R1191" i="40"/>
  <c r="R1199" i="40"/>
  <c r="R1207" i="40"/>
  <c r="R1215" i="40"/>
  <c r="R1223" i="40"/>
  <c r="R1231" i="40"/>
  <c r="R1239" i="40"/>
  <c r="R1247" i="40"/>
  <c r="R1255" i="40"/>
  <c r="R1263" i="40"/>
  <c r="R11" i="41"/>
  <c r="R19" i="41"/>
  <c r="R27" i="41"/>
  <c r="R35" i="41"/>
  <c r="R43" i="41"/>
  <c r="R51" i="41"/>
  <c r="R59" i="41"/>
  <c r="D24" i="43"/>
  <c r="C28" i="43"/>
  <c r="D28" i="43" s="1"/>
  <c r="R129" i="40"/>
  <c r="R137" i="40"/>
  <c r="R145" i="40"/>
  <c r="R153" i="40"/>
  <c r="R161" i="40"/>
  <c r="R169" i="40"/>
  <c r="R177" i="40"/>
  <c r="R185" i="40"/>
  <c r="R193" i="40"/>
  <c r="R201" i="40"/>
  <c r="R209" i="40"/>
  <c r="R217" i="40"/>
  <c r="R225" i="40"/>
  <c r="R233" i="40"/>
  <c r="R241" i="40"/>
  <c r="R249" i="40"/>
  <c r="R257" i="40"/>
  <c r="R429" i="40"/>
  <c r="R437" i="40"/>
  <c r="R445" i="40"/>
  <c r="R453" i="40"/>
  <c r="R461" i="40"/>
  <c r="R469" i="40"/>
  <c r="R477" i="40"/>
  <c r="R485" i="40"/>
  <c r="R493" i="40"/>
  <c r="R501" i="40"/>
  <c r="R509" i="40"/>
  <c r="R517" i="40"/>
  <c r="R525" i="40"/>
  <c r="R533" i="40"/>
  <c r="R541" i="40"/>
  <c r="R549" i="40"/>
  <c r="R557" i="40"/>
  <c r="R565" i="40"/>
  <c r="R641" i="40"/>
  <c r="R645" i="40"/>
  <c r="R649" i="40"/>
  <c r="R653" i="40"/>
  <c r="R657" i="40"/>
  <c r="R45" i="41"/>
  <c r="R49" i="41"/>
  <c r="R53" i="41"/>
  <c r="R57" i="41"/>
  <c r="R61" i="41"/>
  <c r="R1264" i="40"/>
  <c r="R1265" i="40"/>
  <c r="R1266" i="40"/>
  <c r="R1267" i="40"/>
  <c r="R1269" i="40"/>
  <c r="R1270" i="40"/>
  <c r="R14" i="41"/>
  <c r="R15" i="41"/>
  <c r="R16" i="41"/>
  <c r="R22" i="41"/>
  <c r="R23" i="41"/>
  <c r="R24" i="41"/>
  <c r="R30" i="41"/>
  <c r="R31" i="41"/>
  <c r="R32" i="41"/>
  <c r="R38" i="41"/>
  <c r="R39" i="41"/>
  <c r="R40" i="41"/>
  <c r="R46" i="41"/>
  <c r="R47" i="41"/>
  <c r="R48" i="41"/>
  <c r="R54" i="41"/>
  <c r="R55" i="41"/>
  <c r="R56" i="41"/>
  <c r="R62" i="41"/>
  <c r="R132" i="40"/>
  <c r="R140" i="40"/>
  <c r="R148" i="40"/>
  <c r="R156" i="40"/>
  <c r="R164" i="40"/>
  <c r="R172" i="40"/>
  <c r="R180" i="40"/>
  <c r="R188" i="40"/>
  <c r="R196" i="40"/>
  <c r="R204" i="40"/>
  <c r="R212" i="40"/>
  <c r="R220" i="40"/>
  <c r="R228" i="40"/>
  <c r="R236" i="40"/>
  <c r="R245" i="40"/>
  <c r="R253" i="40"/>
  <c r="R256" i="40"/>
  <c r="R329" i="40"/>
  <c r="R337" i="40"/>
  <c r="R345" i="40"/>
  <c r="R353" i="40"/>
  <c r="R361" i="40"/>
  <c r="R369" i="40"/>
  <c r="R377" i="40"/>
  <c r="R385" i="40"/>
  <c r="R393" i="40"/>
  <c r="R401" i="40"/>
  <c r="R409" i="40"/>
  <c r="R417" i="40"/>
  <c r="R425" i="40"/>
  <c r="R569" i="40"/>
  <c r="R577" i="40"/>
  <c r="R585" i="40"/>
  <c r="R593" i="40"/>
  <c r="R601" i="40"/>
  <c r="R609" i="40"/>
  <c r="R617" i="40"/>
  <c r="R625" i="40"/>
  <c r="R633" i="40"/>
  <c r="R874" i="40"/>
  <c r="R882" i="40"/>
  <c r="R890" i="40"/>
  <c r="R898" i="40"/>
  <c r="R906" i="40"/>
  <c r="R914" i="40"/>
  <c r="R922" i="40"/>
  <c r="R930" i="40"/>
  <c r="R944" i="40"/>
  <c r="R948" i="40"/>
  <c r="R960" i="40"/>
  <c r="R968" i="40"/>
  <c r="R976" i="40"/>
  <c r="R984" i="40"/>
  <c r="R992" i="40"/>
  <c r="R1000" i="40"/>
  <c r="R1008" i="40"/>
  <c r="R1016" i="40"/>
  <c r="R1024" i="40"/>
  <c r="R1032" i="40"/>
  <c r="R1040" i="40"/>
  <c r="R1048" i="40"/>
  <c r="R1056" i="40"/>
  <c r="R1064" i="40"/>
  <c r="R1072" i="40"/>
  <c r="R1076" i="40"/>
  <c r="R1084" i="40"/>
  <c r="R1092" i="40"/>
  <c r="R1100" i="40"/>
  <c r="R1108" i="40"/>
  <c r="R1116" i="40"/>
  <c r="R1124" i="40"/>
  <c r="R1132" i="40"/>
  <c r="R1140" i="40"/>
  <c r="R1148" i="40"/>
  <c r="R1156" i="40"/>
  <c r="R1164" i="40"/>
  <c r="R1172" i="40"/>
  <c r="R126" i="40"/>
  <c r="R128" i="40"/>
  <c r="R133" i="40"/>
  <c r="R134" i="40"/>
  <c r="R136" i="40"/>
  <c r="R141" i="40"/>
  <c r="R142" i="40"/>
  <c r="R144" i="40"/>
  <c r="R149" i="40"/>
  <c r="R150" i="40"/>
  <c r="R152" i="40"/>
  <c r="R157" i="40"/>
  <c r="R158" i="40"/>
  <c r="R160" i="40"/>
  <c r="R165" i="40"/>
  <c r="R166" i="40"/>
  <c r="R168" i="40"/>
  <c r="R173" i="40"/>
  <c r="R174" i="40"/>
  <c r="R176" i="40"/>
  <c r="R181" i="40"/>
  <c r="R182" i="40"/>
  <c r="R184" i="40"/>
  <c r="R189" i="40"/>
  <c r="R190" i="40"/>
  <c r="R192" i="40"/>
  <c r="R197" i="40"/>
  <c r="R198" i="40"/>
  <c r="R200" i="40"/>
  <c r="R205" i="40"/>
  <c r="R206" i="40"/>
  <c r="R208" i="40"/>
  <c r="R213" i="40"/>
  <c r="R214" i="40"/>
  <c r="R216" i="40"/>
  <c r="R221" i="40"/>
  <c r="R222" i="40"/>
  <c r="R224" i="40"/>
  <c r="R229" i="40"/>
  <c r="R230" i="40"/>
  <c r="R232" i="40"/>
  <c r="R237" i="40"/>
  <c r="R238" i="40"/>
  <c r="R240" i="40"/>
  <c r="R242" i="40"/>
  <c r="R243" i="40"/>
  <c r="R244" i="40"/>
  <c r="R250" i="40"/>
  <c r="R264" i="40"/>
  <c r="R280" i="40"/>
  <c r="R254" i="40"/>
  <c r="R261" i="40"/>
  <c r="R263" i="40"/>
  <c r="R265" i="40"/>
  <c r="R269" i="40"/>
  <c r="R271" i="40"/>
  <c r="R273" i="40"/>
  <c r="R277" i="40"/>
  <c r="R279" i="40"/>
  <c r="R281" i="40"/>
  <c r="R285" i="40"/>
  <c r="R287" i="40"/>
  <c r="R289" i="40"/>
  <c r="R293" i="40"/>
  <c r="R295" i="40"/>
  <c r="R297" i="40"/>
  <c r="R301" i="40"/>
  <c r="R303" i="40"/>
  <c r="R305" i="40"/>
  <c r="R309" i="40"/>
  <c r="R311" i="40"/>
  <c r="R313" i="40"/>
  <c r="R317" i="40"/>
  <c r="R319" i="40"/>
  <c r="R321" i="40"/>
  <c r="R325" i="40"/>
  <c r="R327" i="40"/>
  <c r="R328" i="40"/>
  <c r="R333" i="40"/>
  <c r="R335" i="40"/>
  <c r="R336" i="40"/>
  <c r="R341" i="40"/>
  <c r="R343" i="40"/>
  <c r="R344" i="40"/>
  <c r="R349" i="40"/>
  <c r="R351" i="40"/>
  <c r="R352" i="40"/>
  <c r="R357" i="40"/>
  <c r="R359" i="40"/>
  <c r="R360" i="40"/>
  <c r="R365" i="40"/>
  <c r="R367" i="40"/>
  <c r="R368" i="40"/>
  <c r="R373" i="40"/>
  <c r="R375" i="40"/>
  <c r="R376" i="40"/>
  <c r="R381" i="40"/>
  <c r="R383" i="40"/>
  <c r="R384" i="40"/>
  <c r="R389" i="40"/>
  <c r="R391" i="40"/>
  <c r="R392" i="40"/>
  <c r="R397" i="40"/>
  <c r="R399" i="40"/>
  <c r="R400" i="40"/>
  <c r="R405" i="40"/>
  <c r="R407" i="40"/>
  <c r="R408" i="40"/>
  <c r="R413" i="40"/>
  <c r="R415" i="40"/>
  <c r="R416" i="40"/>
  <c r="R421" i="40"/>
  <c r="R423" i="40"/>
  <c r="R424" i="40"/>
  <c r="R431" i="40"/>
  <c r="R432" i="40"/>
  <c r="R439" i="40"/>
  <c r="R440" i="40"/>
  <c r="R447" i="40"/>
  <c r="R448" i="40"/>
  <c r="R455" i="40"/>
  <c r="R456" i="40"/>
  <c r="R463" i="40"/>
  <c r="R464" i="40"/>
  <c r="R471" i="40"/>
  <c r="R472" i="40"/>
  <c r="R479" i="40"/>
  <c r="R480" i="40"/>
  <c r="R487" i="40"/>
  <c r="R488" i="40"/>
  <c r="R495" i="40"/>
  <c r="R496" i="40"/>
  <c r="R503" i="40"/>
  <c r="R504" i="40"/>
  <c r="R511" i="40"/>
  <c r="R512" i="40"/>
  <c r="R519" i="40"/>
  <c r="R520" i="40"/>
  <c r="R527" i="40"/>
  <c r="R528" i="40"/>
  <c r="R535" i="40"/>
  <c r="R536" i="40"/>
  <c r="R543" i="40"/>
  <c r="R544" i="40"/>
  <c r="R551" i="40"/>
  <c r="R552" i="40"/>
  <c r="R559" i="40"/>
  <c r="R560" i="40"/>
  <c r="R567" i="40"/>
  <c r="R568" i="40"/>
  <c r="R573" i="40"/>
  <c r="R575" i="40"/>
  <c r="R576" i="40"/>
  <c r="R581" i="40"/>
  <c r="R583" i="40"/>
  <c r="R584" i="40"/>
  <c r="R589" i="40"/>
  <c r="R591" i="40"/>
  <c r="R592" i="40"/>
  <c r="R597" i="40"/>
  <c r="R599" i="40"/>
  <c r="R600" i="40"/>
  <c r="R605" i="40"/>
  <c r="R607" i="40"/>
  <c r="R608" i="40"/>
  <c r="R613" i="40"/>
  <c r="R615" i="40"/>
  <c r="R616" i="40"/>
  <c r="R621" i="40"/>
  <c r="R623" i="40"/>
  <c r="R624" i="40"/>
  <c r="R626" i="40"/>
  <c r="R629" i="40"/>
  <c r="R631" i="40"/>
  <c r="R632" i="40"/>
  <c r="R637" i="40"/>
  <c r="R684" i="40"/>
  <c r="R685" i="40"/>
  <c r="R692" i="40"/>
  <c r="R693" i="40"/>
  <c r="R700" i="40"/>
  <c r="R701" i="40"/>
  <c r="R708" i="40"/>
  <c r="R709" i="40"/>
  <c r="R716" i="40"/>
  <c r="R717" i="40"/>
  <c r="R724" i="40"/>
  <c r="R725" i="40"/>
  <c r="R732" i="40"/>
  <c r="R733" i="40"/>
  <c r="R740" i="40"/>
  <c r="R741" i="40"/>
  <c r="R748" i="40"/>
  <c r="R749" i="40"/>
  <c r="R756" i="40"/>
  <c r="R757" i="40"/>
  <c r="R764" i="40"/>
  <c r="R765" i="40"/>
  <c r="R772" i="40"/>
  <c r="R773" i="40"/>
  <c r="R780" i="40"/>
  <c r="R781" i="40"/>
  <c r="R784" i="40"/>
  <c r="R785" i="40"/>
  <c r="R786" i="40"/>
  <c r="R792" i="40"/>
  <c r="R793" i="40"/>
  <c r="R794" i="40"/>
  <c r="R800" i="40"/>
  <c r="R801" i="40"/>
  <c r="R802" i="40"/>
  <c r="R808" i="40"/>
  <c r="R809" i="40"/>
  <c r="R810" i="40"/>
  <c r="R816" i="40"/>
  <c r="R817" i="40"/>
  <c r="R818" i="40"/>
  <c r="R824" i="40"/>
  <c r="R825" i="40"/>
  <c r="R826" i="40"/>
  <c r="R832" i="40"/>
  <c r="R833" i="40"/>
  <c r="R834" i="40"/>
  <c r="R840" i="40"/>
  <c r="R841" i="40"/>
  <c r="R842" i="40"/>
  <c r="R848" i="40"/>
  <c r="R849" i="40"/>
  <c r="R850" i="40"/>
  <c r="R856" i="40"/>
  <c r="R857" i="40"/>
  <c r="R858" i="40"/>
  <c r="R864" i="40"/>
  <c r="R865" i="40"/>
  <c r="R866" i="40"/>
  <c r="R870" i="40"/>
  <c r="R872" i="40"/>
  <c r="R873" i="40"/>
  <c r="R878" i="40"/>
  <c r="R880" i="40"/>
  <c r="R881" i="40"/>
  <c r="R886" i="40"/>
  <c r="R888" i="40"/>
  <c r="R889" i="40"/>
  <c r="R894" i="40"/>
  <c r="R896" i="40"/>
  <c r="R897" i="40"/>
  <c r="R902" i="40"/>
  <c r="R904" i="40"/>
  <c r="R905" i="40"/>
  <c r="R910" i="40"/>
  <c r="R912" i="40"/>
  <c r="R913" i="40"/>
  <c r="R918" i="40"/>
  <c r="R920" i="40"/>
  <c r="R921" i="40"/>
  <c r="R926" i="40"/>
  <c r="R928" i="40"/>
  <c r="R929" i="40"/>
  <c r="R940" i="40"/>
  <c r="R943" i="40"/>
  <c r="R945" i="40"/>
  <c r="R947" i="40"/>
  <c r="R952" i="40"/>
  <c r="R956" i="40"/>
  <c r="R958" i="40"/>
  <c r="R959" i="40"/>
  <c r="R964" i="40"/>
  <c r="R966" i="40"/>
  <c r="R967" i="40"/>
  <c r="R972" i="40"/>
  <c r="R974" i="40"/>
  <c r="R975" i="40"/>
  <c r="R980" i="40"/>
  <c r="R982" i="40"/>
  <c r="R983" i="40"/>
  <c r="R988" i="40"/>
  <c r="R990" i="40"/>
  <c r="R991" i="40"/>
  <c r="R996" i="40"/>
  <c r="R998" i="40"/>
  <c r="R999" i="40"/>
  <c r="R1004" i="40"/>
  <c r="R1006" i="40"/>
  <c r="R1007" i="40"/>
  <c r="R1012" i="40"/>
  <c r="R1014" i="40"/>
  <c r="R1015" i="40"/>
  <c r="R1020" i="40"/>
  <c r="R1022" i="40"/>
  <c r="R1023" i="40"/>
  <c r="R1028" i="40"/>
  <c r="R1030" i="40"/>
  <c r="R1031" i="40"/>
  <c r="R1036" i="40"/>
  <c r="R1038" i="40"/>
  <c r="R1039" i="40"/>
  <c r="R1044" i="40"/>
  <c r="R1046" i="40"/>
  <c r="R1047" i="40"/>
  <c r="R1052" i="40"/>
  <c r="R1054" i="40"/>
  <c r="R1055" i="40"/>
  <c r="R1060" i="40"/>
  <c r="R1062" i="40"/>
  <c r="R1063" i="40"/>
  <c r="R1068" i="40"/>
  <c r="R1070" i="40"/>
  <c r="R1071" i="40"/>
  <c r="R1075" i="40"/>
  <c r="R1080" i="40"/>
  <c r="R1082" i="40"/>
  <c r="R1083" i="40"/>
  <c r="R1088" i="40"/>
  <c r="R1090" i="40"/>
  <c r="R1091" i="40"/>
  <c r="R1096" i="40"/>
  <c r="R1098" i="40"/>
  <c r="R1099" i="40"/>
  <c r="R1104" i="40"/>
  <c r="R1106" i="40"/>
  <c r="R1107" i="40"/>
  <c r="R1112" i="40"/>
  <c r="R1114" i="40"/>
  <c r="R1115" i="40"/>
  <c r="R1120" i="40"/>
  <c r="R1122" i="40"/>
  <c r="R1123" i="40"/>
  <c r="R1128" i="40"/>
  <c r="R1130" i="40"/>
  <c r="R1131" i="40"/>
  <c r="R1136" i="40"/>
  <c r="R1138" i="40"/>
  <c r="R1139" i="40"/>
  <c r="R1144" i="40"/>
  <c r="R1146" i="40"/>
  <c r="R1147" i="40"/>
  <c r="R1152" i="40"/>
  <c r="R1154" i="40"/>
  <c r="R1155" i="40"/>
  <c r="R1160" i="40"/>
  <c r="R1162" i="40"/>
  <c r="R1163" i="40"/>
  <c r="R1168" i="40"/>
  <c r="R1170" i="40"/>
  <c r="R1171" i="40"/>
  <c r="R1176" i="40"/>
  <c r="R1178" i="40"/>
  <c r="R1179" i="40"/>
  <c r="R1186" i="40"/>
  <c r="R1187" i="40"/>
  <c r="R1194" i="40"/>
  <c r="R1195" i="40"/>
  <c r="R1202" i="40"/>
  <c r="R1203" i="40"/>
  <c r="R1210" i="40"/>
  <c r="R1211" i="40"/>
  <c r="R1218" i="40"/>
  <c r="R1219" i="40"/>
  <c r="R1226" i="40"/>
  <c r="R1227" i="40"/>
  <c r="R1234" i="40"/>
  <c r="R1235" i="40"/>
  <c r="R1242" i="40"/>
  <c r="R1243" i="40"/>
  <c r="R1250" i="40"/>
  <c r="R1251" i="40"/>
  <c r="R1258" i="40"/>
  <c r="R1259" i="40"/>
  <c r="R247" i="40"/>
  <c r="R433" i="40"/>
  <c r="R449" i="40"/>
  <c r="R465" i="40"/>
  <c r="R481" i="40"/>
  <c r="R497" i="40"/>
  <c r="R513" i="40"/>
  <c r="R529" i="40"/>
  <c r="R545" i="40"/>
  <c r="R561" i="40"/>
  <c r="R255" i="40"/>
  <c r="R441" i="40"/>
  <c r="R457" i="40"/>
  <c r="R473" i="40"/>
  <c r="R489" i="40"/>
  <c r="R505" i="40"/>
  <c r="R521" i="40"/>
  <c r="R537" i="40"/>
  <c r="R553" i="40"/>
  <c r="R644" i="40"/>
  <c r="R652" i="40"/>
  <c r="R660" i="40"/>
  <c r="R668" i="40"/>
  <c r="R676" i="40"/>
  <c r="R686" i="40"/>
  <c r="R702" i="40"/>
  <c r="R718" i="40"/>
  <c r="R734" i="40"/>
  <c r="R750" i="40"/>
  <c r="R766" i="40"/>
  <c r="R782" i="40"/>
  <c r="R798" i="40"/>
  <c r="R814" i="40"/>
  <c r="R830" i="40"/>
  <c r="R846" i="40"/>
  <c r="R862" i="40"/>
  <c r="R640" i="40"/>
  <c r="R648" i="40"/>
  <c r="R656" i="40"/>
  <c r="R664" i="40"/>
  <c r="R672" i="40"/>
  <c r="R680" i="40"/>
  <c r="R694" i="40"/>
  <c r="R710" i="40"/>
  <c r="R726" i="40"/>
  <c r="R742" i="40"/>
  <c r="R758" i="40"/>
  <c r="R774" i="40"/>
  <c r="R790" i="40"/>
  <c r="R806" i="40"/>
  <c r="R822" i="40"/>
  <c r="R838" i="40"/>
  <c r="R854" i="40"/>
  <c r="R942" i="40"/>
  <c r="R950" i="40"/>
  <c r="R1188" i="40"/>
  <c r="R1204" i="40"/>
  <c r="R1220" i="40"/>
  <c r="R1236" i="40"/>
  <c r="R1252" i="40"/>
  <c r="R1268" i="40"/>
  <c r="R934" i="40"/>
  <c r="R946" i="40"/>
  <c r="R1180" i="40"/>
  <c r="R1196" i="40"/>
  <c r="R1212" i="40"/>
  <c r="R1228" i="40"/>
  <c r="R1244" i="40"/>
  <c r="R1260" i="40"/>
  <c r="Q9" i="3" l="1"/>
  <c r="Q10" i="3"/>
  <c r="K38" i="3" l="1"/>
  <c r="Q38" i="3"/>
  <c r="K39" i="3"/>
  <c r="Q39" i="3"/>
  <c r="K40" i="3"/>
  <c r="Q40" i="3"/>
  <c r="K41" i="3"/>
  <c r="Q41" i="3"/>
  <c r="R41" i="3" s="1"/>
  <c r="K42" i="3"/>
  <c r="Q42" i="3"/>
  <c r="K43" i="3"/>
  <c r="Q43" i="3"/>
  <c r="K44" i="3"/>
  <c r="Q44" i="3"/>
  <c r="K45" i="3"/>
  <c r="Q45" i="3"/>
  <c r="R45" i="3" s="1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R53" i="3" s="1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R89" i="3" s="1"/>
  <c r="K90" i="3"/>
  <c r="Q90" i="3"/>
  <c r="K91" i="3"/>
  <c r="Q91" i="3"/>
  <c r="K92" i="3"/>
  <c r="Q92" i="3"/>
  <c r="K93" i="3"/>
  <c r="Q93" i="3"/>
  <c r="R93" i="3" s="1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R101" i="3" s="1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R117" i="3" s="1"/>
  <c r="K118" i="3"/>
  <c r="Q118" i="3"/>
  <c r="K119" i="3"/>
  <c r="Q119" i="3"/>
  <c r="K120" i="3"/>
  <c r="Q120" i="3"/>
  <c r="K121" i="3"/>
  <c r="Q121" i="3"/>
  <c r="R121" i="3" s="1"/>
  <c r="K122" i="3"/>
  <c r="Q122" i="3"/>
  <c r="K123" i="3"/>
  <c r="Q123" i="3"/>
  <c r="K124" i="3"/>
  <c r="Q124" i="3"/>
  <c r="K125" i="3"/>
  <c r="Q125" i="3"/>
  <c r="R125" i="3" s="1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R145" i="3" s="1"/>
  <c r="K146" i="3"/>
  <c r="Q146" i="3"/>
  <c r="K147" i="3"/>
  <c r="Q147" i="3"/>
  <c r="K148" i="3"/>
  <c r="Q148" i="3"/>
  <c r="K149" i="3"/>
  <c r="Q149" i="3"/>
  <c r="R149" i="3" s="1"/>
  <c r="K150" i="3"/>
  <c r="Q150" i="3"/>
  <c r="K151" i="3"/>
  <c r="Q151" i="3"/>
  <c r="K152" i="3"/>
  <c r="Q152" i="3"/>
  <c r="K153" i="3"/>
  <c r="Q153" i="3"/>
  <c r="R153" i="3" s="1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R169" i="3" s="1"/>
  <c r="K170" i="3"/>
  <c r="Q170" i="3"/>
  <c r="R170" i="3" s="1"/>
  <c r="K171" i="3"/>
  <c r="Q171" i="3"/>
  <c r="R171" i="3" s="1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R178" i="3" s="1"/>
  <c r="K179" i="3"/>
  <c r="Q179" i="3"/>
  <c r="R179" i="3" s="1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R194" i="3" s="1"/>
  <c r="K195" i="3"/>
  <c r="Q195" i="3"/>
  <c r="R195" i="3" s="1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R228" i="3" s="1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R236" i="3" s="1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R252" i="3" s="1"/>
  <c r="K253" i="3"/>
  <c r="Q253" i="3"/>
  <c r="K254" i="3"/>
  <c r="Q254" i="3"/>
  <c r="K255" i="3"/>
  <c r="Q255" i="3"/>
  <c r="K256" i="3"/>
  <c r="Q256" i="3"/>
  <c r="K257" i="3"/>
  <c r="Q257" i="3"/>
  <c r="K258" i="3"/>
  <c r="R258" i="3" s="1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R284" i="3" s="1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R292" i="3" s="1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R316" i="3" s="1"/>
  <c r="Q316" i="3"/>
  <c r="K317" i="3"/>
  <c r="Q317" i="3"/>
  <c r="K318" i="3"/>
  <c r="Q318" i="3"/>
  <c r="K319" i="3"/>
  <c r="Q319" i="3"/>
  <c r="K320" i="3"/>
  <c r="R320" i="3" s="1"/>
  <c r="Q320" i="3"/>
  <c r="K321" i="3"/>
  <c r="Q321" i="3"/>
  <c r="K322" i="3"/>
  <c r="Q322" i="3"/>
  <c r="K323" i="3"/>
  <c r="Q323" i="3"/>
  <c r="K324" i="3"/>
  <c r="R324" i="3" s="1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Q360" i="3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K391" i="3"/>
  <c r="Q391" i="3"/>
  <c r="K392" i="3"/>
  <c r="Q392" i="3"/>
  <c r="K393" i="3"/>
  <c r="Q393" i="3"/>
  <c r="K394" i="3"/>
  <c r="Q394" i="3"/>
  <c r="K395" i="3"/>
  <c r="Q395" i="3"/>
  <c r="K396" i="3"/>
  <c r="R396" i="3" s="1"/>
  <c r="Q396" i="3"/>
  <c r="K397" i="3"/>
  <c r="Q397" i="3"/>
  <c r="K398" i="3"/>
  <c r="Q398" i="3"/>
  <c r="K399" i="3"/>
  <c r="Q399" i="3"/>
  <c r="K400" i="3"/>
  <c r="Q400" i="3"/>
  <c r="K401" i="3"/>
  <c r="Q401" i="3"/>
  <c r="K402" i="3"/>
  <c r="Q402" i="3"/>
  <c r="K403" i="3"/>
  <c r="Q403" i="3"/>
  <c r="K404" i="3"/>
  <c r="Q404" i="3"/>
  <c r="K405" i="3"/>
  <c r="Q405" i="3"/>
  <c r="K406" i="3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Q414" i="3"/>
  <c r="K415" i="3"/>
  <c r="Q415" i="3"/>
  <c r="K416" i="3"/>
  <c r="Q416" i="3"/>
  <c r="K417" i="3"/>
  <c r="Q417" i="3"/>
  <c r="K418" i="3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R438" i="3" s="1"/>
  <c r="K439" i="3"/>
  <c r="Q439" i="3"/>
  <c r="K440" i="3"/>
  <c r="Q440" i="3"/>
  <c r="K441" i="3"/>
  <c r="Q441" i="3"/>
  <c r="K442" i="3"/>
  <c r="Q442" i="3"/>
  <c r="K443" i="3"/>
  <c r="Q443" i="3"/>
  <c r="K444" i="3"/>
  <c r="Q444" i="3"/>
  <c r="K445" i="3"/>
  <c r="Q445" i="3"/>
  <c r="K446" i="3"/>
  <c r="Q446" i="3"/>
  <c r="R446" i="3" s="1"/>
  <c r="K447" i="3"/>
  <c r="Q447" i="3"/>
  <c r="K448" i="3"/>
  <c r="Q448" i="3"/>
  <c r="K449" i="3"/>
  <c r="Q449" i="3"/>
  <c r="K450" i="3"/>
  <c r="Q450" i="3"/>
  <c r="K451" i="3"/>
  <c r="Q451" i="3"/>
  <c r="K452" i="3"/>
  <c r="Q452" i="3"/>
  <c r="K453" i="3"/>
  <c r="Q453" i="3"/>
  <c r="K454" i="3"/>
  <c r="Q454" i="3"/>
  <c r="R454" i="3" s="1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R462" i="3" s="1"/>
  <c r="K463" i="3"/>
  <c r="Q463" i="3"/>
  <c r="K464" i="3"/>
  <c r="Q464" i="3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R484" i="3" s="1"/>
  <c r="Q484" i="3"/>
  <c r="K485" i="3"/>
  <c r="Q485" i="3"/>
  <c r="K486" i="3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R493" i="3" s="1"/>
  <c r="K494" i="3"/>
  <c r="Q494" i="3"/>
  <c r="K495" i="3"/>
  <c r="Q495" i="3"/>
  <c r="K496" i="3"/>
  <c r="Q496" i="3"/>
  <c r="K497" i="3"/>
  <c r="Q497" i="3"/>
  <c r="K498" i="3"/>
  <c r="Q498" i="3"/>
  <c r="K499" i="3"/>
  <c r="Q499" i="3"/>
  <c r="K500" i="3"/>
  <c r="Q500" i="3"/>
  <c r="K501" i="3"/>
  <c r="Q501" i="3"/>
  <c r="R501" i="3" s="1"/>
  <c r="K502" i="3"/>
  <c r="Q502" i="3"/>
  <c r="K503" i="3"/>
  <c r="Q503" i="3"/>
  <c r="K504" i="3"/>
  <c r="Q504" i="3"/>
  <c r="K505" i="3"/>
  <c r="Q505" i="3"/>
  <c r="K506" i="3"/>
  <c r="Q506" i="3"/>
  <c r="K507" i="3"/>
  <c r="Q507" i="3"/>
  <c r="K508" i="3"/>
  <c r="Q508" i="3"/>
  <c r="K509" i="3"/>
  <c r="Q509" i="3"/>
  <c r="K510" i="3"/>
  <c r="Q510" i="3"/>
  <c r="K511" i="3"/>
  <c r="Q511" i="3"/>
  <c r="K512" i="3"/>
  <c r="Q512" i="3"/>
  <c r="K513" i="3"/>
  <c r="Q513" i="3"/>
  <c r="K514" i="3"/>
  <c r="Q514" i="3"/>
  <c r="K515" i="3"/>
  <c r="Q515" i="3"/>
  <c r="K516" i="3"/>
  <c r="R516" i="3" s="1"/>
  <c r="Q516" i="3"/>
  <c r="K517" i="3"/>
  <c r="Q517" i="3"/>
  <c r="R517" i="3" s="1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R525" i="3" s="1"/>
  <c r="K526" i="3"/>
  <c r="Q526" i="3"/>
  <c r="K527" i="3"/>
  <c r="Q527" i="3"/>
  <c r="K528" i="3"/>
  <c r="Q528" i="3"/>
  <c r="K529" i="3"/>
  <c r="Q529" i="3"/>
  <c r="K530" i="3"/>
  <c r="Q530" i="3"/>
  <c r="K531" i="3"/>
  <c r="Q531" i="3"/>
  <c r="K532" i="3"/>
  <c r="Q532" i="3"/>
  <c r="K533" i="3"/>
  <c r="Q533" i="3"/>
  <c r="R533" i="3" s="1"/>
  <c r="K534" i="3"/>
  <c r="Q534" i="3"/>
  <c r="K535" i="3"/>
  <c r="Q535" i="3"/>
  <c r="K536" i="3"/>
  <c r="Q536" i="3"/>
  <c r="K537" i="3"/>
  <c r="Q537" i="3"/>
  <c r="R537" i="3" s="1"/>
  <c r="K538" i="3"/>
  <c r="Q538" i="3"/>
  <c r="K539" i="3"/>
  <c r="Q539" i="3"/>
  <c r="K540" i="3"/>
  <c r="Q540" i="3"/>
  <c r="K541" i="3"/>
  <c r="Q541" i="3"/>
  <c r="K542" i="3"/>
  <c r="Q542" i="3"/>
  <c r="K543" i="3"/>
  <c r="Q543" i="3"/>
  <c r="K544" i="3"/>
  <c r="R544" i="3" s="1"/>
  <c r="Q544" i="3"/>
  <c r="K545" i="3"/>
  <c r="Q545" i="3"/>
  <c r="R545" i="3" s="1"/>
  <c r="K546" i="3"/>
  <c r="Q546" i="3"/>
  <c r="K547" i="3"/>
  <c r="Q547" i="3"/>
  <c r="K548" i="3"/>
  <c r="Q548" i="3"/>
  <c r="K549" i="3"/>
  <c r="Q549" i="3"/>
  <c r="R549" i="3" s="1"/>
  <c r="K550" i="3"/>
  <c r="Q550" i="3"/>
  <c r="K551" i="3"/>
  <c r="Q551" i="3"/>
  <c r="K552" i="3"/>
  <c r="Q552" i="3"/>
  <c r="K553" i="3"/>
  <c r="Q553" i="3"/>
  <c r="R553" i="3" s="1"/>
  <c r="K554" i="3"/>
  <c r="Q554" i="3"/>
  <c r="K555" i="3"/>
  <c r="Q555" i="3"/>
  <c r="K556" i="3"/>
  <c r="Q556" i="3"/>
  <c r="K557" i="3"/>
  <c r="Q557" i="3"/>
  <c r="K558" i="3"/>
  <c r="Q558" i="3"/>
  <c r="K559" i="3"/>
  <c r="Q559" i="3"/>
  <c r="K560" i="3"/>
  <c r="R560" i="3" s="1"/>
  <c r="Q560" i="3"/>
  <c r="K561" i="3"/>
  <c r="Q561" i="3"/>
  <c r="K562" i="3"/>
  <c r="Q562" i="3"/>
  <c r="K563" i="3"/>
  <c r="Q563" i="3"/>
  <c r="K564" i="3"/>
  <c r="Q564" i="3"/>
  <c r="K565" i="3"/>
  <c r="Q565" i="3"/>
  <c r="K566" i="3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K575" i="3"/>
  <c r="Q575" i="3"/>
  <c r="K576" i="3"/>
  <c r="Q576" i="3"/>
  <c r="R576" i="3"/>
  <c r="K577" i="3"/>
  <c r="Q577" i="3"/>
  <c r="R577" i="3" s="1"/>
  <c r="K578" i="3"/>
  <c r="Q578" i="3"/>
  <c r="R578" i="3" s="1"/>
  <c r="K579" i="3"/>
  <c r="Q579" i="3"/>
  <c r="K580" i="3"/>
  <c r="Q580" i="3"/>
  <c r="K581" i="3"/>
  <c r="Q581" i="3"/>
  <c r="R581" i="3" s="1"/>
  <c r="K582" i="3"/>
  <c r="Q582" i="3"/>
  <c r="K583" i="3"/>
  <c r="Q583" i="3"/>
  <c r="K584" i="3"/>
  <c r="Q584" i="3"/>
  <c r="K585" i="3"/>
  <c r="Q585" i="3"/>
  <c r="R585" i="3" s="1"/>
  <c r="K586" i="3"/>
  <c r="Q586" i="3"/>
  <c r="R586" i="3" s="1"/>
  <c r="K587" i="3"/>
  <c r="Q587" i="3"/>
  <c r="K588" i="3"/>
  <c r="Q588" i="3"/>
  <c r="R588" i="3" s="1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R609" i="3" s="1"/>
  <c r="K610" i="3"/>
  <c r="Q610" i="3"/>
  <c r="R610" i="3" s="1"/>
  <c r="K611" i="3"/>
  <c r="Q611" i="3"/>
  <c r="K612" i="3"/>
  <c r="Q612" i="3"/>
  <c r="R612" i="3" s="1"/>
  <c r="K613" i="3"/>
  <c r="Q613" i="3"/>
  <c r="K614" i="3"/>
  <c r="Q614" i="3"/>
  <c r="K615" i="3"/>
  <c r="Q615" i="3"/>
  <c r="R615" i="3" s="1"/>
  <c r="K616" i="3"/>
  <c r="Q616" i="3"/>
  <c r="K617" i="3"/>
  <c r="Q617" i="3"/>
  <c r="K618" i="3"/>
  <c r="Q618" i="3"/>
  <c r="K619" i="3"/>
  <c r="Q619" i="3"/>
  <c r="R619" i="3" s="1"/>
  <c r="K620" i="3"/>
  <c r="Q620" i="3"/>
  <c r="R620" i="3" s="1"/>
  <c r="K621" i="3"/>
  <c r="Q621" i="3"/>
  <c r="K622" i="3"/>
  <c r="Q622" i="3"/>
  <c r="R622" i="3" s="1"/>
  <c r="K623" i="3"/>
  <c r="Q623" i="3"/>
  <c r="K624" i="3"/>
  <c r="Q624" i="3"/>
  <c r="K625" i="3"/>
  <c r="Q625" i="3"/>
  <c r="K626" i="3"/>
  <c r="R626" i="3" s="1"/>
  <c r="Q626" i="3"/>
  <c r="K627" i="3"/>
  <c r="Q627" i="3"/>
  <c r="K628" i="3"/>
  <c r="Q628" i="3"/>
  <c r="K629" i="3"/>
  <c r="Q629" i="3"/>
  <c r="K630" i="3"/>
  <c r="Q630" i="3"/>
  <c r="K631" i="3"/>
  <c r="Q631" i="3"/>
  <c r="K632" i="3"/>
  <c r="Q632" i="3"/>
  <c r="K633" i="3"/>
  <c r="Q633" i="3"/>
  <c r="K634" i="3"/>
  <c r="Q634" i="3"/>
  <c r="K635" i="3"/>
  <c r="Q635" i="3"/>
  <c r="K636" i="3"/>
  <c r="Q636" i="3"/>
  <c r="K637" i="3"/>
  <c r="Q637" i="3"/>
  <c r="K638" i="3"/>
  <c r="Q638" i="3"/>
  <c r="K639" i="3"/>
  <c r="Q639" i="3"/>
  <c r="K640" i="3"/>
  <c r="Q640" i="3"/>
  <c r="K641" i="3"/>
  <c r="Q641" i="3"/>
  <c r="K642" i="3"/>
  <c r="R642" i="3" s="1"/>
  <c r="Q642" i="3"/>
  <c r="K643" i="3"/>
  <c r="Q643" i="3"/>
  <c r="R643" i="3" s="1"/>
  <c r="K644" i="3"/>
  <c r="Q644" i="3"/>
  <c r="R644" i="3" s="1"/>
  <c r="K645" i="3"/>
  <c r="Q645" i="3"/>
  <c r="K646" i="3"/>
  <c r="Q646" i="3"/>
  <c r="K647" i="3"/>
  <c r="Q647" i="3"/>
  <c r="R647" i="3" s="1"/>
  <c r="K648" i="3"/>
  <c r="Q648" i="3"/>
  <c r="K649" i="3"/>
  <c r="Q649" i="3"/>
  <c r="K650" i="3"/>
  <c r="Q650" i="3"/>
  <c r="K651" i="3"/>
  <c r="Q651" i="3"/>
  <c r="R651" i="3" s="1"/>
  <c r="K652" i="3"/>
  <c r="Q652" i="3"/>
  <c r="R652" i="3" s="1"/>
  <c r="K653" i="3"/>
  <c r="Q653" i="3"/>
  <c r="K654" i="3"/>
  <c r="Q654" i="3"/>
  <c r="R654" i="3" s="1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Q664" i="3"/>
  <c r="K665" i="3"/>
  <c r="Q665" i="3"/>
  <c r="K666" i="3"/>
  <c r="Q666" i="3"/>
  <c r="K667" i="3"/>
  <c r="Q667" i="3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K677" i="3"/>
  <c r="Q677" i="3"/>
  <c r="K678" i="3"/>
  <c r="Q678" i="3"/>
  <c r="K679" i="3"/>
  <c r="Q679" i="3"/>
  <c r="K680" i="3"/>
  <c r="Q680" i="3"/>
  <c r="K681" i="3"/>
  <c r="Q681" i="3"/>
  <c r="K682" i="3"/>
  <c r="Q682" i="3"/>
  <c r="K683" i="3"/>
  <c r="Q683" i="3"/>
  <c r="K684" i="3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R691" i="3" s="1"/>
  <c r="K692" i="3"/>
  <c r="Q692" i="3"/>
  <c r="R692" i="3" s="1"/>
  <c r="K693" i="3"/>
  <c r="Q693" i="3"/>
  <c r="K694" i="3"/>
  <c r="Q694" i="3"/>
  <c r="K695" i="3"/>
  <c r="Q695" i="3"/>
  <c r="R695" i="3" s="1"/>
  <c r="K696" i="3"/>
  <c r="Q696" i="3"/>
  <c r="K697" i="3"/>
  <c r="Q697" i="3"/>
  <c r="K698" i="3"/>
  <c r="Q698" i="3"/>
  <c r="K699" i="3"/>
  <c r="Q699" i="3"/>
  <c r="R699" i="3" s="1"/>
  <c r="K700" i="3"/>
  <c r="Q700" i="3"/>
  <c r="R700" i="3" s="1"/>
  <c r="K701" i="3"/>
  <c r="Q701" i="3"/>
  <c r="K702" i="3"/>
  <c r="Q702" i="3"/>
  <c r="R702" i="3" s="1"/>
  <c r="K703" i="3"/>
  <c r="Q703" i="3"/>
  <c r="K704" i="3"/>
  <c r="Q704" i="3"/>
  <c r="K705" i="3"/>
  <c r="Q705" i="3"/>
  <c r="K706" i="3"/>
  <c r="Q706" i="3"/>
  <c r="R706" i="3" s="1"/>
  <c r="K707" i="3"/>
  <c r="Q707" i="3"/>
  <c r="K708" i="3"/>
  <c r="Q708" i="3"/>
  <c r="K709" i="3"/>
  <c r="Q709" i="3"/>
  <c r="K710" i="3"/>
  <c r="Q710" i="3"/>
  <c r="K711" i="3"/>
  <c r="Q711" i="3"/>
  <c r="K712" i="3"/>
  <c r="Q712" i="3"/>
  <c r="K713" i="3"/>
  <c r="Q713" i="3"/>
  <c r="K714" i="3"/>
  <c r="Q714" i="3"/>
  <c r="K715" i="3"/>
  <c r="Q715" i="3"/>
  <c r="K716" i="3"/>
  <c r="Q716" i="3"/>
  <c r="R716" i="3" s="1"/>
  <c r="K717" i="3"/>
  <c r="Q717" i="3"/>
  <c r="K718" i="3"/>
  <c r="Q718" i="3"/>
  <c r="R718" i="3" s="1"/>
  <c r="K719" i="3"/>
  <c r="Q719" i="3"/>
  <c r="K720" i="3"/>
  <c r="Q720" i="3"/>
  <c r="K721" i="3"/>
  <c r="Q721" i="3"/>
  <c r="K722" i="3"/>
  <c r="Q722" i="3"/>
  <c r="R722" i="3" s="1"/>
  <c r="K723" i="3"/>
  <c r="Q723" i="3"/>
  <c r="K724" i="3"/>
  <c r="Q724" i="3"/>
  <c r="K725" i="3"/>
  <c r="Q725" i="3"/>
  <c r="K726" i="3"/>
  <c r="Q726" i="3"/>
  <c r="K727" i="3"/>
  <c r="Q727" i="3"/>
  <c r="K728" i="3"/>
  <c r="Q728" i="3"/>
  <c r="K729" i="3"/>
  <c r="Q729" i="3"/>
  <c r="K730" i="3"/>
  <c r="Q730" i="3"/>
  <c r="K731" i="3"/>
  <c r="Q731" i="3"/>
  <c r="K732" i="3"/>
  <c r="Q732" i="3"/>
  <c r="R732" i="3" s="1"/>
  <c r="K733" i="3"/>
  <c r="Q733" i="3"/>
  <c r="K734" i="3"/>
  <c r="Q734" i="3"/>
  <c r="R734" i="3" s="1"/>
  <c r="K735" i="3"/>
  <c r="Q735" i="3"/>
  <c r="K736" i="3"/>
  <c r="Q736" i="3"/>
  <c r="K737" i="3"/>
  <c r="Q737" i="3"/>
  <c r="K738" i="3"/>
  <c r="Q738" i="3"/>
  <c r="R738" i="3" s="1"/>
  <c r="K739" i="3"/>
  <c r="Q739" i="3"/>
  <c r="K740" i="3"/>
  <c r="Q740" i="3"/>
  <c r="R740" i="3" s="1"/>
  <c r="K741" i="3"/>
  <c r="Q741" i="3"/>
  <c r="K742" i="3"/>
  <c r="Q742" i="3"/>
  <c r="K743" i="3"/>
  <c r="Q743" i="3"/>
  <c r="K744" i="3"/>
  <c r="Q744" i="3"/>
  <c r="K745" i="3"/>
  <c r="Q745" i="3"/>
  <c r="K746" i="3"/>
  <c r="Q746" i="3"/>
  <c r="K747" i="3"/>
  <c r="Q747" i="3"/>
  <c r="K748" i="3"/>
  <c r="Q748" i="3"/>
  <c r="R748" i="3" s="1"/>
  <c r="K749" i="3"/>
  <c r="Q749" i="3"/>
  <c r="K750" i="3"/>
  <c r="Q750" i="3"/>
  <c r="K751" i="3"/>
  <c r="Q751" i="3"/>
  <c r="K752" i="3"/>
  <c r="Q752" i="3"/>
  <c r="K753" i="3"/>
  <c r="Q753" i="3"/>
  <c r="K754" i="3"/>
  <c r="Q754" i="3"/>
  <c r="K755" i="3"/>
  <c r="Q755" i="3"/>
  <c r="K756" i="3"/>
  <c r="Q756" i="3"/>
  <c r="K757" i="3"/>
  <c r="Q757" i="3"/>
  <c r="K758" i="3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R764" i="3" s="1"/>
  <c r="K765" i="3"/>
  <c r="Q765" i="3"/>
  <c r="K766" i="3"/>
  <c r="Q766" i="3"/>
  <c r="K767" i="3"/>
  <c r="Q767" i="3"/>
  <c r="K768" i="3"/>
  <c r="Q768" i="3"/>
  <c r="K769" i="3"/>
  <c r="Q769" i="3"/>
  <c r="K770" i="3"/>
  <c r="Q770" i="3"/>
  <c r="K771" i="3"/>
  <c r="Q771" i="3"/>
  <c r="K772" i="3"/>
  <c r="Q772" i="3"/>
  <c r="R772" i="3" s="1"/>
  <c r="K773" i="3"/>
  <c r="Q773" i="3"/>
  <c r="K774" i="3"/>
  <c r="Q774" i="3"/>
  <c r="K775" i="3"/>
  <c r="Q775" i="3"/>
  <c r="K776" i="3"/>
  <c r="Q776" i="3"/>
  <c r="K777" i="3"/>
  <c r="Q777" i="3"/>
  <c r="K778" i="3"/>
  <c r="Q778" i="3"/>
  <c r="K779" i="3"/>
  <c r="Q779" i="3"/>
  <c r="K780" i="3"/>
  <c r="Q780" i="3"/>
  <c r="R780" i="3" s="1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Q790" i="3"/>
  <c r="K791" i="3"/>
  <c r="Q791" i="3"/>
  <c r="K792" i="3"/>
  <c r="Q792" i="3"/>
  <c r="K793" i="3"/>
  <c r="Q793" i="3"/>
  <c r="K794" i="3"/>
  <c r="Q794" i="3"/>
  <c r="K795" i="3"/>
  <c r="Q795" i="3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R802" i="3" s="1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K810" i="3"/>
  <c r="Q810" i="3"/>
  <c r="K811" i="3"/>
  <c r="Q811" i="3"/>
  <c r="K812" i="3"/>
  <c r="Q812" i="3"/>
  <c r="K813" i="3"/>
  <c r="Q813" i="3"/>
  <c r="K814" i="3"/>
  <c r="Q814" i="3"/>
  <c r="K815" i="3"/>
  <c r="Q815" i="3"/>
  <c r="K816" i="3"/>
  <c r="Q816" i="3"/>
  <c r="K817" i="3"/>
  <c r="Q817" i="3"/>
  <c r="K818" i="3"/>
  <c r="Q818" i="3"/>
  <c r="K819" i="3"/>
  <c r="Q819" i="3"/>
  <c r="K820" i="3"/>
  <c r="Q820" i="3"/>
  <c r="K821" i="3"/>
  <c r="Q821" i="3"/>
  <c r="K822" i="3"/>
  <c r="Q822" i="3"/>
  <c r="K823" i="3"/>
  <c r="Q823" i="3"/>
  <c r="K824" i="3"/>
  <c r="Q824" i="3"/>
  <c r="K825" i="3"/>
  <c r="Q825" i="3"/>
  <c r="K826" i="3"/>
  <c r="Q826" i="3"/>
  <c r="K827" i="3"/>
  <c r="Q827" i="3"/>
  <c r="K828" i="3"/>
  <c r="Q828" i="3"/>
  <c r="K829" i="3"/>
  <c r="Q829" i="3"/>
  <c r="K830" i="3"/>
  <c r="Q830" i="3"/>
  <c r="K831" i="3"/>
  <c r="Q831" i="3"/>
  <c r="K832" i="3"/>
  <c r="Q832" i="3"/>
  <c r="K833" i="3"/>
  <c r="Q833" i="3"/>
  <c r="K834" i="3"/>
  <c r="Q834" i="3"/>
  <c r="K835" i="3"/>
  <c r="Q835" i="3"/>
  <c r="K836" i="3"/>
  <c r="Q836" i="3"/>
  <c r="K837" i="3"/>
  <c r="Q837" i="3"/>
  <c r="K838" i="3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R850" i="3" s="1"/>
  <c r="Q850" i="3"/>
  <c r="K851" i="3"/>
  <c r="Q851" i="3"/>
  <c r="K852" i="3"/>
  <c r="Q852" i="3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Q864" i="3"/>
  <c r="K865" i="3"/>
  <c r="Q865" i="3"/>
  <c r="K866" i="3"/>
  <c r="Q866" i="3"/>
  <c r="K867" i="3"/>
  <c r="Q867" i="3"/>
  <c r="K868" i="3"/>
  <c r="Q868" i="3"/>
  <c r="K869" i="3"/>
  <c r="Q869" i="3"/>
  <c r="K870" i="3"/>
  <c r="Q870" i="3"/>
  <c r="K871" i="3"/>
  <c r="Q871" i="3"/>
  <c r="K872" i="3"/>
  <c r="Q872" i="3"/>
  <c r="K873" i="3"/>
  <c r="Q873" i="3"/>
  <c r="K874" i="3"/>
  <c r="R874" i="3" s="1"/>
  <c r="Q874" i="3"/>
  <c r="K875" i="3"/>
  <c r="Q875" i="3"/>
  <c r="K876" i="3"/>
  <c r="Q876" i="3"/>
  <c r="K877" i="3"/>
  <c r="Q877" i="3"/>
  <c r="K878" i="3"/>
  <c r="Q878" i="3"/>
  <c r="K879" i="3"/>
  <c r="Q879" i="3"/>
  <c r="K880" i="3"/>
  <c r="Q880" i="3"/>
  <c r="K881" i="3"/>
  <c r="Q881" i="3"/>
  <c r="K882" i="3"/>
  <c r="Q882" i="3"/>
  <c r="K883" i="3"/>
  <c r="Q883" i="3"/>
  <c r="K884" i="3"/>
  <c r="Q884" i="3"/>
  <c r="K885" i="3"/>
  <c r="Q885" i="3"/>
  <c r="K886" i="3"/>
  <c r="Q886" i="3"/>
  <c r="K887" i="3"/>
  <c r="Q887" i="3"/>
  <c r="K888" i="3"/>
  <c r="Q888" i="3"/>
  <c r="K889" i="3"/>
  <c r="Q889" i="3"/>
  <c r="K890" i="3"/>
  <c r="R890" i="3" s="1"/>
  <c r="Q890" i="3"/>
  <c r="K891" i="3"/>
  <c r="Q891" i="3"/>
  <c r="K892" i="3"/>
  <c r="Q892" i="3"/>
  <c r="K893" i="3"/>
  <c r="Q893" i="3"/>
  <c r="K894" i="3"/>
  <c r="Q894" i="3"/>
  <c r="K895" i="3"/>
  <c r="Q895" i="3"/>
  <c r="K896" i="3"/>
  <c r="Q896" i="3"/>
  <c r="K897" i="3"/>
  <c r="Q897" i="3"/>
  <c r="K898" i="3"/>
  <c r="Q898" i="3"/>
  <c r="K899" i="3"/>
  <c r="Q899" i="3"/>
  <c r="K900" i="3"/>
  <c r="Q900" i="3"/>
  <c r="K901" i="3"/>
  <c r="Q901" i="3"/>
  <c r="K902" i="3"/>
  <c r="Q902" i="3"/>
  <c r="K903" i="3"/>
  <c r="Q903" i="3"/>
  <c r="K904" i="3"/>
  <c r="Q904" i="3"/>
  <c r="K905" i="3"/>
  <c r="Q905" i="3"/>
  <c r="K906" i="3"/>
  <c r="R906" i="3" s="1"/>
  <c r="Q906" i="3"/>
  <c r="K907" i="3"/>
  <c r="Q907" i="3"/>
  <c r="K908" i="3"/>
  <c r="Q908" i="3"/>
  <c r="K909" i="3"/>
  <c r="Q909" i="3"/>
  <c r="K910" i="3"/>
  <c r="Q910" i="3"/>
  <c r="K911" i="3"/>
  <c r="Q911" i="3"/>
  <c r="K912" i="3"/>
  <c r="Q912" i="3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Q920" i="3"/>
  <c r="K921" i="3"/>
  <c r="Q921" i="3"/>
  <c r="K922" i="3"/>
  <c r="Q922" i="3"/>
  <c r="K923" i="3"/>
  <c r="Q923" i="3"/>
  <c r="K924" i="3"/>
  <c r="Q924" i="3"/>
  <c r="K925" i="3"/>
  <c r="Q925" i="3"/>
  <c r="K926" i="3"/>
  <c r="Q926" i="3"/>
  <c r="K927" i="3"/>
  <c r="Q927" i="3"/>
  <c r="K928" i="3"/>
  <c r="Q928" i="3"/>
  <c r="K929" i="3"/>
  <c r="Q929" i="3"/>
  <c r="K930" i="3"/>
  <c r="Q930" i="3"/>
  <c r="K931" i="3"/>
  <c r="Q931" i="3"/>
  <c r="K932" i="3"/>
  <c r="Q932" i="3"/>
  <c r="K933" i="3"/>
  <c r="Q933" i="3"/>
  <c r="K934" i="3"/>
  <c r="R934" i="3" s="1"/>
  <c r="Q934" i="3"/>
  <c r="K935" i="3"/>
  <c r="Q935" i="3"/>
  <c r="K936" i="3"/>
  <c r="Q936" i="3"/>
  <c r="K937" i="3"/>
  <c r="Q937" i="3"/>
  <c r="K938" i="3"/>
  <c r="R938" i="3" s="1"/>
  <c r="Q938" i="3"/>
  <c r="K939" i="3"/>
  <c r="Q939" i="3"/>
  <c r="K940" i="3"/>
  <c r="Q940" i="3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K948" i="3"/>
  <c r="Q948" i="3"/>
  <c r="K949" i="3"/>
  <c r="Q949" i="3"/>
  <c r="K950" i="3"/>
  <c r="Q950" i="3"/>
  <c r="K951" i="3"/>
  <c r="Q951" i="3"/>
  <c r="K952" i="3"/>
  <c r="Q952" i="3"/>
  <c r="K953" i="3"/>
  <c r="Q953" i="3"/>
  <c r="K954" i="3"/>
  <c r="R954" i="3" s="1"/>
  <c r="Q954" i="3"/>
  <c r="K955" i="3"/>
  <c r="Q955" i="3"/>
  <c r="K956" i="3"/>
  <c r="Q956" i="3"/>
  <c r="K957" i="3"/>
  <c r="Q957" i="3"/>
  <c r="K958" i="3"/>
  <c r="Q958" i="3"/>
  <c r="K959" i="3"/>
  <c r="Q959" i="3"/>
  <c r="K960" i="3"/>
  <c r="Q960" i="3"/>
  <c r="K961" i="3"/>
  <c r="Q961" i="3"/>
  <c r="K962" i="3"/>
  <c r="Q962" i="3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R970" i="3" s="1"/>
  <c r="Q970" i="3"/>
  <c r="K971" i="3"/>
  <c r="Q971" i="3"/>
  <c r="K972" i="3"/>
  <c r="Q972" i="3"/>
  <c r="K973" i="3"/>
  <c r="Q973" i="3"/>
  <c r="K974" i="3"/>
  <c r="Q974" i="3"/>
  <c r="K975" i="3"/>
  <c r="Q975" i="3"/>
  <c r="K976" i="3"/>
  <c r="Q976" i="3"/>
  <c r="K977" i="3"/>
  <c r="Q977" i="3"/>
  <c r="K978" i="3"/>
  <c r="Q978" i="3"/>
  <c r="K979" i="3"/>
  <c r="Q979" i="3"/>
  <c r="K980" i="3"/>
  <c r="Q980" i="3"/>
  <c r="K981" i="3"/>
  <c r="Q981" i="3"/>
  <c r="K982" i="3"/>
  <c r="R982" i="3" s="1"/>
  <c r="Q982" i="3"/>
  <c r="K983" i="3"/>
  <c r="Q983" i="3"/>
  <c r="K984" i="3"/>
  <c r="Q984" i="3"/>
  <c r="K985" i="3"/>
  <c r="Q985" i="3"/>
  <c r="K986" i="3"/>
  <c r="R986" i="3" s="1"/>
  <c r="Q986" i="3"/>
  <c r="K987" i="3"/>
  <c r="Q987" i="3"/>
  <c r="K988" i="3"/>
  <c r="Q988" i="3"/>
  <c r="K989" i="3"/>
  <c r="Q989" i="3"/>
  <c r="K990" i="3"/>
  <c r="Q990" i="3"/>
  <c r="K991" i="3"/>
  <c r="Q991" i="3"/>
  <c r="K992" i="3"/>
  <c r="Q992" i="3"/>
  <c r="K993" i="3"/>
  <c r="Q993" i="3"/>
  <c r="K994" i="3"/>
  <c r="Q994" i="3"/>
  <c r="K995" i="3"/>
  <c r="Q995" i="3"/>
  <c r="K996" i="3"/>
  <c r="Q996" i="3"/>
  <c r="K997" i="3"/>
  <c r="Q997" i="3"/>
  <c r="K998" i="3"/>
  <c r="Q998" i="3"/>
  <c r="K999" i="3"/>
  <c r="Q999" i="3"/>
  <c r="K1000" i="3"/>
  <c r="Q1000" i="3"/>
  <c r="K1001" i="3"/>
  <c r="Q1001" i="3"/>
  <c r="K1002" i="3"/>
  <c r="R1002" i="3" s="1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K1011" i="3"/>
  <c r="Q1011" i="3"/>
  <c r="K1012" i="3"/>
  <c r="Q1012" i="3"/>
  <c r="K1013" i="3"/>
  <c r="Q1013" i="3"/>
  <c r="K1014" i="3"/>
  <c r="Q1014" i="3"/>
  <c r="K1015" i="3"/>
  <c r="Q1015" i="3"/>
  <c r="K1016" i="3"/>
  <c r="Q1016" i="3"/>
  <c r="K1017" i="3"/>
  <c r="Q1017" i="3"/>
  <c r="K1018" i="3"/>
  <c r="R1018" i="3" s="1"/>
  <c r="Q1018" i="3"/>
  <c r="K1019" i="3"/>
  <c r="Q1019" i="3"/>
  <c r="K1020" i="3"/>
  <c r="Q1020" i="3"/>
  <c r="K1021" i="3"/>
  <c r="Q1021" i="3"/>
  <c r="K1022" i="3"/>
  <c r="Q1022" i="3"/>
  <c r="K1023" i="3"/>
  <c r="Q1023" i="3"/>
  <c r="K1024" i="3"/>
  <c r="Q1024" i="3"/>
  <c r="K1025" i="3"/>
  <c r="Q1025" i="3"/>
  <c r="K1026" i="3"/>
  <c r="Q1026" i="3"/>
  <c r="K1027" i="3"/>
  <c r="Q1027" i="3"/>
  <c r="K1028" i="3"/>
  <c r="Q1028" i="3"/>
  <c r="K1029" i="3"/>
  <c r="Q1029" i="3"/>
  <c r="K1030" i="3"/>
  <c r="Q1030" i="3"/>
  <c r="K1031" i="3"/>
  <c r="Q1031" i="3"/>
  <c r="K1032" i="3"/>
  <c r="Q1032" i="3"/>
  <c r="K1033" i="3"/>
  <c r="Q1033" i="3"/>
  <c r="K1034" i="3"/>
  <c r="R1034" i="3" s="1"/>
  <c r="Q1034" i="3"/>
  <c r="K1035" i="3"/>
  <c r="Q1035" i="3"/>
  <c r="K1036" i="3"/>
  <c r="Q1036" i="3"/>
  <c r="K1037" i="3"/>
  <c r="Q1037" i="3"/>
  <c r="K1038" i="3"/>
  <c r="Q1038" i="3"/>
  <c r="K1039" i="3"/>
  <c r="Q1039" i="3"/>
  <c r="K1040" i="3"/>
  <c r="Q1040" i="3"/>
  <c r="K1041" i="3"/>
  <c r="Q1041" i="3"/>
  <c r="K1042" i="3"/>
  <c r="R1042" i="3" s="1"/>
  <c r="Q1042" i="3"/>
  <c r="K1043" i="3"/>
  <c r="Q1043" i="3"/>
  <c r="K1044" i="3"/>
  <c r="Q1044" i="3"/>
  <c r="K1045" i="3"/>
  <c r="Q1045" i="3"/>
  <c r="K1046" i="3"/>
  <c r="Q1046" i="3"/>
  <c r="K1047" i="3"/>
  <c r="Q1047" i="3"/>
  <c r="K1048" i="3"/>
  <c r="Q1048" i="3"/>
  <c r="K1049" i="3"/>
  <c r="Q1049" i="3"/>
  <c r="K1050" i="3"/>
  <c r="R1050" i="3" s="1"/>
  <c r="Q1050" i="3"/>
  <c r="K1051" i="3"/>
  <c r="Q1051" i="3"/>
  <c r="K1052" i="3"/>
  <c r="Q1052" i="3"/>
  <c r="K1053" i="3"/>
  <c r="Q1053" i="3"/>
  <c r="K1054" i="3"/>
  <c r="Q1054" i="3"/>
  <c r="R1054" i="3" s="1"/>
  <c r="K1055" i="3"/>
  <c r="Q1055" i="3"/>
  <c r="K1056" i="3"/>
  <c r="Q1056" i="3"/>
  <c r="K1057" i="3"/>
  <c r="Q1057" i="3"/>
  <c r="K1058" i="3"/>
  <c r="Q1058" i="3"/>
  <c r="R1058" i="3" s="1"/>
  <c r="K1059" i="3"/>
  <c r="Q1059" i="3"/>
  <c r="K1060" i="3"/>
  <c r="Q1060" i="3"/>
  <c r="K1061" i="3"/>
  <c r="Q1061" i="3"/>
  <c r="K1062" i="3"/>
  <c r="Q1062" i="3"/>
  <c r="K1063" i="3"/>
  <c r="Q1063" i="3"/>
  <c r="K1064" i="3"/>
  <c r="Q1064" i="3"/>
  <c r="K1065" i="3"/>
  <c r="Q1065" i="3"/>
  <c r="K1066" i="3"/>
  <c r="Q1066" i="3"/>
  <c r="K1067" i="3"/>
  <c r="Q1067" i="3"/>
  <c r="K1068" i="3"/>
  <c r="Q1068" i="3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K1075" i="3"/>
  <c r="Q1075" i="3"/>
  <c r="K1076" i="3"/>
  <c r="Q1076" i="3"/>
  <c r="K1077" i="3"/>
  <c r="Q1077" i="3"/>
  <c r="K1078" i="3"/>
  <c r="Q1078" i="3"/>
  <c r="K1079" i="3"/>
  <c r="Q1079" i="3"/>
  <c r="K1080" i="3"/>
  <c r="Q1080" i="3"/>
  <c r="K1081" i="3"/>
  <c r="Q1081" i="3"/>
  <c r="K1082" i="3"/>
  <c r="Q1082" i="3"/>
  <c r="R1082" i="3" s="1"/>
  <c r="K1083" i="3"/>
  <c r="Q1083" i="3"/>
  <c r="K1084" i="3"/>
  <c r="Q1084" i="3"/>
  <c r="K1085" i="3"/>
  <c r="Q1085" i="3"/>
  <c r="K1086" i="3"/>
  <c r="Q1086" i="3"/>
  <c r="K1087" i="3"/>
  <c r="Q1087" i="3"/>
  <c r="K1088" i="3"/>
  <c r="Q1088" i="3"/>
  <c r="K1089" i="3"/>
  <c r="Q1089" i="3"/>
  <c r="K1090" i="3"/>
  <c r="Q1090" i="3"/>
  <c r="K1091" i="3"/>
  <c r="Q1091" i="3"/>
  <c r="K1092" i="3"/>
  <c r="Q1092" i="3"/>
  <c r="K1093" i="3"/>
  <c r="Q1093" i="3"/>
  <c r="K1094" i="3"/>
  <c r="Q1094" i="3"/>
  <c r="K1095" i="3"/>
  <c r="Q1095" i="3"/>
  <c r="K1096" i="3"/>
  <c r="Q1096" i="3"/>
  <c r="K1097" i="3"/>
  <c r="Q1097" i="3"/>
  <c r="K1098" i="3"/>
  <c r="Q1098" i="3"/>
  <c r="K1099" i="3"/>
  <c r="Q1099" i="3"/>
  <c r="K1100" i="3"/>
  <c r="Q1100" i="3"/>
  <c r="K1101" i="3"/>
  <c r="Q1101" i="3"/>
  <c r="K1102" i="3"/>
  <c r="Q1102" i="3"/>
  <c r="K1103" i="3"/>
  <c r="Q1103" i="3"/>
  <c r="K1104" i="3"/>
  <c r="Q1104" i="3"/>
  <c r="K1105" i="3"/>
  <c r="Q1105" i="3"/>
  <c r="K1106" i="3"/>
  <c r="Q1106" i="3"/>
  <c r="K1107" i="3"/>
  <c r="Q1107" i="3"/>
  <c r="K1108" i="3"/>
  <c r="Q1108" i="3"/>
  <c r="K1109" i="3"/>
  <c r="Q1109" i="3"/>
  <c r="K1110" i="3"/>
  <c r="Q1110" i="3"/>
  <c r="K1111" i="3"/>
  <c r="Q1111" i="3"/>
  <c r="K1112" i="3"/>
  <c r="Q1112" i="3"/>
  <c r="K1113" i="3"/>
  <c r="Q1113" i="3"/>
  <c r="K1114" i="3"/>
  <c r="Q1114" i="3"/>
  <c r="K1115" i="3"/>
  <c r="Q1115" i="3"/>
  <c r="K1116" i="3"/>
  <c r="Q1116" i="3"/>
  <c r="K1117" i="3"/>
  <c r="Q1117" i="3"/>
  <c r="K1118" i="3"/>
  <c r="Q1118" i="3"/>
  <c r="K1119" i="3"/>
  <c r="Q1119" i="3"/>
  <c r="K1120" i="3"/>
  <c r="Q1120" i="3"/>
  <c r="K1121" i="3"/>
  <c r="Q1121" i="3"/>
  <c r="K1122" i="3"/>
  <c r="Q1122" i="3"/>
  <c r="K1123" i="3"/>
  <c r="Q1123" i="3"/>
  <c r="K1124" i="3"/>
  <c r="Q1124" i="3"/>
  <c r="K1125" i="3"/>
  <c r="Q1125" i="3"/>
  <c r="K1126" i="3"/>
  <c r="Q1126" i="3"/>
  <c r="K1127" i="3"/>
  <c r="Q1127" i="3"/>
  <c r="K1128" i="3"/>
  <c r="Q1128" i="3"/>
  <c r="K1129" i="3"/>
  <c r="Q1129" i="3"/>
  <c r="K1130" i="3"/>
  <c r="Q1130" i="3"/>
  <c r="K1131" i="3"/>
  <c r="Q1131" i="3"/>
  <c r="K1132" i="3"/>
  <c r="Q1132" i="3"/>
  <c r="K1133" i="3"/>
  <c r="Q1133" i="3"/>
  <c r="K1134" i="3"/>
  <c r="Q1134" i="3"/>
  <c r="K1135" i="3"/>
  <c r="Q1135" i="3"/>
  <c r="K1136" i="3"/>
  <c r="Q1136" i="3"/>
  <c r="K1137" i="3"/>
  <c r="Q1137" i="3"/>
  <c r="K1138" i="3"/>
  <c r="Q1138" i="3"/>
  <c r="K1139" i="3"/>
  <c r="Q1139" i="3"/>
  <c r="K1140" i="3"/>
  <c r="Q1140" i="3"/>
  <c r="K1141" i="3"/>
  <c r="Q1141" i="3"/>
  <c r="K1142" i="3"/>
  <c r="Q1142" i="3"/>
  <c r="K1143" i="3"/>
  <c r="Q1143" i="3"/>
  <c r="K1144" i="3"/>
  <c r="Q1144" i="3"/>
  <c r="K1145" i="3"/>
  <c r="Q1145" i="3"/>
  <c r="K1146" i="3"/>
  <c r="Q1146" i="3"/>
  <c r="K1147" i="3"/>
  <c r="Q1147" i="3"/>
  <c r="K1148" i="3"/>
  <c r="Q1148" i="3"/>
  <c r="K1149" i="3"/>
  <c r="Q1149" i="3"/>
  <c r="K1150" i="3"/>
  <c r="Q1150" i="3"/>
  <c r="K1151" i="3"/>
  <c r="Q1151" i="3"/>
  <c r="K1152" i="3"/>
  <c r="Q1152" i="3"/>
  <c r="K1153" i="3"/>
  <c r="Q1153" i="3"/>
  <c r="K1154" i="3"/>
  <c r="Q1154" i="3"/>
  <c r="K1155" i="3"/>
  <c r="Q1155" i="3"/>
  <c r="K1156" i="3"/>
  <c r="Q1156" i="3"/>
  <c r="K1157" i="3"/>
  <c r="Q1157" i="3"/>
  <c r="K1158" i="3"/>
  <c r="Q1158" i="3"/>
  <c r="K1159" i="3"/>
  <c r="Q1159" i="3"/>
  <c r="K1160" i="3"/>
  <c r="Q1160" i="3"/>
  <c r="K1161" i="3"/>
  <c r="Q1161" i="3"/>
  <c r="K1162" i="3"/>
  <c r="R1162" i="3" s="1"/>
  <c r="Q1162" i="3"/>
  <c r="K1163" i="3"/>
  <c r="Q1163" i="3"/>
  <c r="K1164" i="3"/>
  <c r="Q1164" i="3"/>
  <c r="K1165" i="3"/>
  <c r="Q1165" i="3"/>
  <c r="K1166" i="3"/>
  <c r="Q1166" i="3"/>
  <c r="K1167" i="3"/>
  <c r="Q1167" i="3"/>
  <c r="K1168" i="3"/>
  <c r="Q1168" i="3"/>
  <c r="K1169" i="3"/>
  <c r="Q1169" i="3"/>
  <c r="K1170" i="3"/>
  <c r="R1170" i="3" s="1"/>
  <c r="Q1170" i="3"/>
  <c r="K1171" i="3"/>
  <c r="Q1171" i="3"/>
  <c r="K1172" i="3"/>
  <c r="Q1172" i="3"/>
  <c r="K1173" i="3"/>
  <c r="Q1173" i="3"/>
  <c r="K1174" i="3"/>
  <c r="Q1174" i="3"/>
  <c r="K1175" i="3"/>
  <c r="Q1175" i="3"/>
  <c r="K1176" i="3"/>
  <c r="Q1176" i="3"/>
  <c r="K1177" i="3"/>
  <c r="Q1177" i="3"/>
  <c r="K1178" i="3"/>
  <c r="Q1178" i="3"/>
  <c r="K1179" i="3"/>
  <c r="Q1179" i="3"/>
  <c r="K1180" i="3"/>
  <c r="Q1180" i="3"/>
  <c r="K1181" i="3"/>
  <c r="Q1181" i="3"/>
  <c r="K1182" i="3"/>
  <c r="Q1182" i="3"/>
  <c r="K1183" i="3"/>
  <c r="Q1183" i="3"/>
  <c r="K1184" i="3"/>
  <c r="Q1184" i="3"/>
  <c r="K1185" i="3"/>
  <c r="Q1185" i="3"/>
  <c r="K1186" i="3"/>
  <c r="Q1186" i="3"/>
  <c r="K1187" i="3"/>
  <c r="Q1187" i="3"/>
  <c r="K1188" i="3"/>
  <c r="Q1188" i="3"/>
  <c r="K1189" i="3"/>
  <c r="Q1189" i="3"/>
  <c r="K1190" i="3"/>
  <c r="Q1190" i="3"/>
  <c r="K1191" i="3"/>
  <c r="Q1191" i="3"/>
  <c r="K1192" i="3"/>
  <c r="Q1192" i="3"/>
  <c r="K1193" i="3"/>
  <c r="Q1193" i="3"/>
  <c r="K1194" i="3"/>
  <c r="Q1194" i="3"/>
  <c r="K1195" i="3"/>
  <c r="Q1195" i="3"/>
  <c r="K1196" i="3"/>
  <c r="Q1196" i="3"/>
  <c r="K1197" i="3"/>
  <c r="Q1197" i="3"/>
  <c r="K1198" i="3"/>
  <c r="Q1198" i="3"/>
  <c r="K1199" i="3"/>
  <c r="Q1199" i="3"/>
  <c r="K1200" i="3"/>
  <c r="Q1200" i="3"/>
  <c r="K1201" i="3"/>
  <c r="Q1201" i="3"/>
  <c r="K1202" i="3"/>
  <c r="Q1202" i="3"/>
  <c r="K1203" i="3"/>
  <c r="Q1203" i="3"/>
  <c r="K1204" i="3"/>
  <c r="Q1204" i="3"/>
  <c r="K1205" i="3"/>
  <c r="Q1205" i="3"/>
  <c r="K1206" i="3"/>
  <c r="Q1206" i="3"/>
  <c r="K1207" i="3"/>
  <c r="Q1207" i="3"/>
  <c r="K1208" i="3"/>
  <c r="Q1208" i="3"/>
  <c r="K1209" i="3"/>
  <c r="Q1209" i="3"/>
  <c r="K1210" i="3"/>
  <c r="Q1210" i="3"/>
  <c r="K1211" i="3"/>
  <c r="Q1211" i="3"/>
  <c r="K1212" i="3"/>
  <c r="Q1212" i="3"/>
  <c r="K1213" i="3"/>
  <c r="Q1213" i="3"/>
  <c r="K1214" i="3"/>
  <c r="Q1214" i="3"/>
  <c r="K1215" i="3"/>
  <c r="Q1215" i="3"/>
  <c r="K1216" i="3"/>
  <c r="Q1216" i="3"/>
  <c r="K1217" i="3"/>
  <c r="Q1217" i="3"/>
  <c r="K1218" i="3"/>
  <c r="Q1218" i="3"/>
  <c r="K1219" i="3"/>
  <c r="Q1219" i="3"/>
  <c r="K1220" i="3"/>
  <c r="Q1220" i="3"/>
  <c r="K1221" i="3"/>
  <c r="Q1221" i="3"/>
  <c r="K1222" i="3"/>
  <c r="Q1222" i="3"/>
  <c r="K1223" i="3"/>
  <c r="Q1223" i="3"/>
  <c r="K1224" i="3"/>
  <c r="Q1224" i="3"/>
  <c r="K1225" i="3"/>
  <c r="Q1225" i="3"/>
  <c r="K1226" i="3"/>
  <c r="Q1226" i="3"/>
  <c r="K1227" i="3"/>
  <c r="Q1227" i="3"/>
  <c r="K1228" i="3"/>
  <c r="Q1228" i="3"/>
  <c r="K1229" i="3"/>
  <c r="Q1229" i="3"/>
  <c r="K1230" i="3"/>
  <c r="Q1230" i="3"/>
  <c r="K1231" i="3"/>
  <c r="Q1231" i="3"/>
  <c r="K1232" i="3"/>
  <c r="Q1232" i="3"/>
  <c r="K1233" i="3"/>
  <c r="Q1233" i="3"/>
  <c r="K1234" i="3"/>
  <c r="Q1234" i="3"/>
  <c r="K1235" i="3"/>
  <c r="Q1235" i="3"/>
  <c r="K1236" i="3"/>
  <c r="Q1236" i="3"/>
  <c r="K1237" i="3"/>
  <c r="Q1237" i="3"/>
  <c r="K1238" i="3"/>
  <c r="Q1238" i="3"/>
  <c r="K1239" i="3"/>
  <c r="Q1239" i="3"/>
  <c r="K1240" i="3"/>
  <c r="Q1240" i="3"/>
  <c r="K1241" i="3"/>
  <c r="Q1241" i="3"/>
  <c r="K1242" i="3"/>
  <c r="Q1242" i="3"/>
  <c r="K1243" i="3"/>
  <c r="Q1243" i="3"/>
  <c r="K1244" i="3"/>
  <c r="Q1244" i="3"/>
  <c r="K1245" i="3"/>
  <c r="Q1245" i="3"/>
  <c r="K1246" i="3"/>
  <c r="Q1246" i="3"/>
  <c r="K1247" i="3"/>
  <c r="Q1247" i="3"/>
  <c r="K1248" i="3"/>
  <c r="Q1248" i="3"/>
  <c r="K1249" i="3"/>
  <c r="Q1249" i="3"/>
  <c r="K1250" i="3"/>
  <c r="Q1250" i="3"/>
  <c r="K1251" i="3"/>
  <c r="Q1251" i="3"/>
  <c r="K1252" i="3"/>
  <c r="Q1252" i="3"/>
  <c r="K1253" i="3"/>
  <c r="Q1253" i="3"/>
  <c r="K1254" i="3"/>
  <c r="Q1254" i="3"/>
  <c r="K1255" i="3"/>
  <c r="Q1255" i="3"/>
  <c r="K1256" i="3"/>
  <c r="Q1256" i="3"/>
  <c r="K1257" i="3"/>
  <c r="Q1257" i="3"/>
  <c r="K1258" i="3"/>
  <c r="Q1258" i="3"/>
  <c r="K1259" i="3"/>
  <c r="R1259" i="3" s="1"/>
  <c r="Q1259" i="3"/>
  <c r="K1260" i="3"/>
  <c r="Q1260" i="3"/>
  <c r="K1261" i="3"/>
  <c r="Q1261" i="3"/>
  <c r="K1262" i="3"/>
  <c r="Q1262" i="3"/>
  <c r="K1263" i="3"/>
  <c r="Q1263" i="3"/>
  <c r="K1264" i="3"/>
  <c r="Q1264" i="3"/>
  <c r="K1265" i="3"/>
  <c r="Q1265" i="3"/>
  <c r="K1266" i="3"/>
  <c r="Q1266" i="3"/>
  <c r="K1267" i="3"/>
  <c r="Q1267" i="3"/>
  <c r="K1268" i="3"/>
  <c r="Q1268" i="3"/>
  <c r="K1269" i="3"/>
  <c r="Q1269" i="3"/>
  <c r="K1270" i="3"/>
  <c r="Q1270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R177" i="39" s="1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R210" i="39" s="1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R242" i="39" s="1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R376" i="39" s="1"/>
  <c r="Q376" i="39"/>
  <c r="K377" i="39"/>
  <c r="Q377" i="39"/>
  <c r="R377" i="39" s="1"/>
  <c r="K378" i="39"/>
  <c r="Q378" i="39"/>
  <c r="R378" i="39" s="1"/>
  <c r="K379" i="39"/>
  <c r="Q379" i="39"/>
  <c r="K380" i="39"/>
  <c r="Q380" i="39"/>
  <c r="R380" i="39" s="1"/>
  <c r="K381" i="39"/>
  <c r="Q381" i="39"/>
  <c r="K382" i="39"/>
  <c r="Q382" i="39"/>
  <c r="K383" i="39"/>
  <c r="Q383" i="39"/>
  <c r="K384" i="39"/>
  <c r="Q384" i="39"/>
  <c r="R384" i="39" s="1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R410" i="39" s="1"/>
  <c r="K411" i="39"/>
  <c r="Q411" i="39"/>
  <c r="K412" i="39"/>
  <c r="Q412" i="39"/>
  <c r="R412" i="39" s="1"/>
  <c r="K413" i="39"/>
  <c r="Q413" i="39"/>
  <c r="K414" i="39"/>
  <c r="Q414" i="39"/>
  <c r="K415" i="39"/>
  <c r="Q415" i="39"/>
  <c r="K416" i="39"/>
  <c r="Q416" i="39"/>
  <c r="R416" i="39" s="1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R424" i="39" s="1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R440" i="39" s="1"/>
  <c r="K441" i="39"/>
  <c r="Q441" i="39"/>
  <c r="R441" i="39" s="1"/>
  <c r="K442" i="39"/>
  <c r="Q442" i="39"/>
  <c r="R442" i="39" s="1"/>
  <c r="K443" i="39"/>
  <c r="Q443" i="39"/>
  <c r="K444" i="39"/>
  <c r="Q444" i="39"/>
  <c r="R444" i="39" s="1"/>
  <c r="K445" i="39"/>
  <c r="Q445" i="39"/>
  <c r="K446" i="39"/>
  <c r="Q446" i="39"/>
  <c r="K447" i="39"/>
  <c r="Q447" i="39"/>
  <c r="K448" i="39"/>
  <c r="Q448" i="39"/>
  <c r="R448" i="39" s="1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R456" i="39" s="1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R474" i="39" s="1"/>
  <c r="K475" i="39"/>
  <c r="Q475" i="39"/>
  <c r="K476" i="39"/>
  <c r="Q476" i="39"/>
  <c r="R476" i="39" s="1"/>
  <c r="K477" i="39"/>
  <c r="Q477" i="39"/>
  <c r="K478" i="39"/>
  <c r="Q478" i="39"/>
  <c r="K479" i="39"/>
  <c r="Q479" i="39"/>
  <c r="K480" i="39"/>
  <c r="Q480" i="39"/>
  <c r="R480" i="39" s="1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R513" i="39" s="1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R578" i="39" s="1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R640" i="39" s="1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Q658" i="39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R744" i="39" s="1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R752" i="39" s="1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R768" i="39" s="1"/>
  <c r="K769" i="39"/>
  <c r="Q769" i="39"/>
  <c r="K770" i="39"/>
  <c r="Q770" i="39"/>
  <c r="K771" i="39"/>
  <c r="Q771" i="39"/>
  <c r="K772" i="39"/>
  <c r="Q772" i="39"/>
  <c r="R772" i="39" s="1"/>
  <c r="K773" i="39"/>
  <c r="Q773" i="39"/>
  <c r="K774" i="39"/>
  <c r="Q774" i="39"/>
  <c r="K775" i="39"/>
  <c r="Q775" i="39"/>
  <c r="K776" i="39"/>
  <c r="Q776" i="39"/>
  <c r="R776" i="39" s="1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R784" i="39" s="1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R804" i="39" s="1"/>
  <c r="K805" i="39"/>
  <c r="Q805" i="39"/>
  <c r="K806" i="39"/>
  <c r="Q806" i="39"/>
  <c r="K807" i="39"/>
  <c r="Q807" i="39"/>
  <c r="K808" i="39"/>
  <c r="Q808" i="39"/>
  <c r="R808" i="39" s="1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R836" i="39" s="1"/>
  <c r="K837" i="39"/>
  <c r="Q837" i="39"/>
  <c r="R837" i="39" s="1"/>
  <c r="K838" i="39"/>
  <c r="Q838" i="39"/>
  <c r="R838" i="39" s="1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R845" i="39" s="1"/>
  <c r="K846" i="39"/>
  <c r="Q846" i="39"/>
  <c r="R846" i="39" s="1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R877" i="39" s="1"/>
  <c r="K878" i="39"/>
  <c r="Q878" i="39"/>
  <c r="R878" i="39" s="1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Q966" i="39"/>
  <c r="K967" i="39"/>
  <c r="Q967" i="39"/>
  <c r="K968" i="39"/>
  <c r="Q968" i="39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R1037" i="39" s="1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R1044" i="39" s="1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R1070" i="39" s="1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R1076" i="39" s="1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R1084" i="39" s="1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R1100" i="39" s="1"/>
  <c r="K1101" i="39"/>
  <c r="Q1101" i="39"/>
  <c r="K1102" i="39"/>
  <c r="Q1102" i="39"/>
  <c r="K1103" i="39"/>
  <c r="Q1103" i="39"/>
  <c r="K1104" i="39"/>
  <c r="Q1104" i="39"/>
  <c r="R1104" i="39" s="1"/>
  <c r="K1105" i="39"/>
  <c r="Q1105" i="39"/>
  <c r="K1106" i="39"/>
  <c r="Q1106" i="39"/>
  <c r="K1107" i="39"/>
  <c r="Q1107" i="39"/>
  <c r="K1108" i="39"/>
  <c r="Q1108" i="39"/>
  <c r="R1108" i="39" s="1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R1148" i="39" s="1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R1166" i="39" s="1"/>
  <c r="K1167" i="39"/>
  <c r="Q1167" i="39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R1231" i="39" s="1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R1263" i="39" s="1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Q1327" i="39"/>
  <c r="R1327" i="39" s="1"/>
  <c r="K1328" i="39"/>
  <c r="Q1328" i="39"/>
  <c r="K1329" i="39"/>
  <c r="Q1329" i="39"/>
  <c r="R1329" i="39" s="1"/>
  <c r="K1330" i="39"/>
  <c r="Q1330" i="39"/>
  <c r="K1331" i="39"/>
  <c r="Q1331" i="39"/>
  <c r="R1331" i="39" s="1"/>
  <c r="K1332" i="39"/>
  <c r="Q1332" i="39"/>
  <c r="K1333" i="39"/>
  <c r="Q1333" i="39"/>
  <c r="K1334" i="39"/>
  <c r="Q1334" i="39"/>
  <c r="K1335" i="39"/>
  <c r="Q1335" i="39"/>
  <c r="R1335" i="39" s="1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R1361" i="39" s="1"/>
  <c r="K38" i="38"/>
  <c r="Q38" i="38"/>
  <c r="K39" i="38"/>
  <c r="Q39" i="38"/>
  <c r="K40" i="38"/>
  <c r="Q40" i="38"/>
  <c r="K41" i="38"/>
  <c r="Q41" i="38"/>
  <c r="K42" i="38"/>
  <c r="Q42" i="38"/>
  <c r="K43" i="38"/>
  <c r="Q43" i="38"/>
  <c r="R43" i="38" s="1"/>
  <c r="K44" i="38"/>
  <c r="Q44" i="38"/>
  <c r="K45" i="38"/>
  <c r="Q45" i="38"/>
  <c r="R45" i="38" s="1"/>
  <c r="K46" i="38"/>
  <c r="Q46" i="38"/>
  <c r="K47" i="38"/>
  <c r="Q47" i="38"/>
  <c r="K48" i="38"/>
  <c r="Q48" i="38"/>
  <c r="K49" i="38"/>
  <c r="Q49" i="38"/>
  <c r="R49" i="38" s="1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R57" i="38" s="1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R75" i="38" s="1"/>
  <c r="K76" i="38"/>
  <c r="Q76" i="38"/>
  <c r="K77" i="38"/>
  <c r="Q77" i="38"/>
  <c r="R77" i="38" s="1"/>
  <c r="K78" i="38"/>
  <c r="Q78" i="38"/>
  <c r="K79" i="38"/>
  <c r="Q79" i="38"/>
  <c r="K80" i="38"/>
  <c r="Q80" i="38"/>
  <c r="K81" i="38"/>
  <c r="Q81" i="38"/>
  <c r="R81" i="38" s="1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R89" i="38" s="1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R105" i="38" s="1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R197" i="38" s="1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R205" i="38" s="1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R230" i="38"/>
  <c r="K231" i="38"/>
  <c r="Q231" i="38"/>
  <c r="R231" i="38" s="1"/>
  <c r="K232" i="38"/>
  <c r="Q232" i="38"/>
  <c r="R232" i="38" s="1"/>
  <c r="K233" i="38"/>
  <c r="Q233" i="38"/>
  <c r="K234" i="38"/>
  <c r="Q234" i="38"/>
  <c r="R234" i="38" s="1"/>
  <c r="K235" i="38"/>
  <c r="Q235" i="38"/>
  <c r="K236" i="38"/>
  <c r="Q236" i="38"/>
  <c r="K237" i="38"/>
  <c r="Q237" i="38"/>
  <c r="K238" i="38"/>
  <c r="Q238" i="38"/>
  <c r="R238" i="38" s="1"/>
  <c r="K239" i="38"/>
  <c r="Q239" i="38"/>
  <c r="K240" i="38"/>
  <c r="Q240" i="38"/>
  <c r="K241" i="38"/>
  <c r="Q241" i="38"/>
  <c r="K242" i="38"/>
  <c r="Q242" i="38"/>
  <c r="R242" i="38" s="1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R360" i="38" s="1"/>
  <c r="K361" i="38"/>
  <c r="Q361" i="38"/>
  <c r="K362" i="38"/>
  <c r="Q362" i="38"/>
  <c r="K363" i="38"/>
  <c r="Q363" i="38"/>
  <c r="K364" i="38"/>
  <c r="Q364" i="38"/>
  <c r="R364" i="38" s="1"/>
  <c r="K365" i="38"/>
  <c r="Q365" i="38"/>
  <c r="K366" i="38"/>
  <c r="Q366" i="38"/>
  <c r="R366" i="38" s="1"/>
  <c r="K367" i="38"/>
  <c r="Q367" i="38"/>
  <c r="K368" i="38"/>
  <c r="Q368" i="38"/>
  <c r="R368" i="38" s="1"/>
  <c r="K369" i="38"/>
  <c r="Q369" i="38"/>
  <c r="K370" i="38"/>
  <c r="Q370" i="38"/>
  <c r="K371" i="38"/>
  <c r="Q371" i="38"/>
  <c r="K372" i="38"/>
  <c r="Q372" i="38"/>
  <c r="R372" i="38" s="1"/>
  <c r="K373" i="38"/>
  <c r="Q373" i="38"/>
  <c r="K374" i="38"/>
  <c r="Q374" i="38"/>
  <c r="R374" i="38" s="1"/>
  <c r="K375" i="38"/>
  <c r="Q375" i="38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K395" i="38"/>
  <c r="Q395" i="38"/>
  <c r="R395" i="38" s="1"/>
  <c r="K396" i="38"/>
  <c r="Q396" i="38"/>
  <c r="K397" i="38"/>
  <c r="Q397" i="38"/>
  <c r="K398" i="38"/>
  <c r="Q398" i="38"/>
  <c r="K399" i="38"/>
  <c r="Q399" i="38"/>
  <c r="K400" i="38"/>
  <c r="Q400" i="38"/>
  <c r="K401" i="38"/>
  <c r="Q401" i="38"/>
  <c r="K402" i="38"/>
  <c r="Q402" i="38"/>
  <c r="K403" i="38"/>
  <c r="Q403" i="38"/>
  <c r="K404" i="38"/>
  <c r="Q404" i="38"/>
  <c r="R404" i="38" s="1"/>
  <c r="K405" i="38"/>
  <c r="Q405" i="38"/>
  <c r="K406" i="38"/>
  <c r="Q406" i="38"/>
  <c r="R406" i="38" s="1"/>
  <c r="K407" i="38"/>
  <c r="Q407" i="38"/>
  <c r="K408" i="38"/>
  <c r="Q408" i="38"/>
  <c r="R408" i="38" s="1"/>
  <c r="K409" i="38"/>
  <c r="Q409" i="38"/>
  <c r="K410" i="38"/>
  <c r="Q410" i="38"/>
  <c r="R410" i="38" s="1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R416" i="38" s="1"/>
  <c r="K417" i="38"/>
  <c r="Q417" i="38"/>
  <c r="K418" i="38"/>
  <c r="Q418" i="38"/>
  <c r="R418" i="38" s="1"/>
  <c r="K419" i="38"/>
  <c r="Q419" i="38"/>
  <c r="K420" i="38"/>
  <c r="Q420" i="38"/>
  <c r="R420" i="38" s="1"/>
  <c r="K421" i="38"/>
  <c r="Q421" i="38"/>
  <c r="K422" i="38"/>
  <c r="Q422" i="38"/>
  <c r="R422" i="38" s="1"/>
  <c r="K423" i="38"/>
  <c r="Q423" i="38"/>
  <c r="K424" i="38"/>
  <c r="Q424" i="38"/>
  <c r="K425" i="38"/>
  <c r="Q425" i="38"/>
  <c r="K426" i="38"/>
  <c r="Q426" i="38"/>
  <c r="R426" i="38" s="1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R442" i="38" s="1"/>
  <c r="K443" i="38"/>
  <c r="Q443" i="38"/>
  <c r="K444" i="38"/>
  <c r="Q444" i="38"/>
  <c r="R444" i="38" s="1"/>
  <c r="K445" i="38"/>
  <c r="Q445" i="38"/>
  <c r="K446" i="38"/>
  <c r="Q446" i="38"/>
  <c r="R446" i="38" s="1"/>
  <c r="K447" i="38"/>
  <c r="Q447" i="38"/>
  <c r="R447" i="38" s="1"/>
  <c r="K448" i="38"/>
  <c r="Q448" i="38"/>
  <c r="R448" i="38" s="1"/>
  <c r="K449" i="38"/>
  <c r="Q449" i="38"/>
  <c r="K450" i="38"/>
  <c r="Q450" i="38"/>
  <c r="R450" i="38" s="1"/>
  <c r="K451" i="38"/>
  <c r="Q451" i="38"/>
  <c r="R451" i="38" s="1"/>
  <c r="K452" i="38"/>
  <c r="Q452" i="38"/>
  <c r="R452" i="38" s="1"/>
  <c r="K453" i="38"/>
  <c r="Q453" i="38"/>
  <c r="K454" i="38"/>
  <c r="Q454" i="38"/>
  <c r="R454" i="38" s="1"/>
  <c r="K455" i="38"/>
  <c r="Q455" i="38"/>
  <c r="R455" i="38" s="1"/>
  <c r="K456" i="38"/>
  <c r="Q456" i="38"/>
  <c r="R456" i="38" s="1"/>
  <c r="K457" i="38"/>
  <c r="Q457" i="38"/>
  <c r="K458" i="38"/>
  <c r="Q458" i="38"/>
  <c r="R458" i="38" s="1"/>
  <c r="K459" i="38"/>
  <c r="Q459" i="38"/>
  <c r="K460" i="38"/>
  <c r="Q460" i="38"/>
  <c r="R460" i="38" s="1"/>
  <c r="K461" i="38"/>
  <c r="Q461" i="38"/>
  <c r="K462" i="38"/>
  <c r="Q462" i="38"/>
  <c r="R462" i="38" s="1"/>
  <c r="K463" i="38"/>
  <c r="Q463" i="38"/>
  <c r="K464" i="38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R470" i="38" s="1"/>
  <c r="Q470" i="38"/>
  <c r="K471" i="38"/>
  <c r="Q471" i="38"/>
  <c r="K472" i="38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Q480" i="38"/>
  <c r="K481" i="38"/>
  <c r="Q481" i="38"/>
  <c r="K482" i="38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R550" i="38" s="1"/>
  <c r="Q550" i="38"/>
  <c r="K551" i="38"/>
  <c r="Q551" i="38"/>
  <c r="R551" i="38" s="1"/>
  <c r="K552" i="38"/>
  <c r="Q552" i="38"/>
  <c r="K553" i="38"/>
  <c r="Q553" i="38"/>
  <c r="K554" i="38"/>
  <c r="Q554" i="38"/>
  <c r="R554" i="38" s="1"/>
  <c r="K555" i="38"/>
  <c r="Q555" i="38"/>
  <c r="R555" i="38" s="1"/>
  <c r="K556" i="38"/>
  <c r="Q556" i="38"/>
  <c r="K557" i="38"/>
  <c r="Q557" i="38"/>
  <c r="K558" i="38"/>
  <c r="Q558" i="38"/>
  <c r="R558" i="38" s="1"/>
  <c r="K559" i="38"/>
  <c r="Q559" i="38"/>
  <c r="K560" i="38"/>
  <c r="Q560" i="38"/>
  <c r="K561" i="38"/>
  <c r="Q561" i="38"/>
  <c r="K562" i="38"/>
  <c r="Q562" i="38"/>
  <c r="K563" i="38"/>
  <c r="Q563" i="38"/>
  <c r="R563" i="38" s="1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K571" i="38"/>
  <c r="Q571" i="38"/>
  <c r="R571" i="38" s="1"/>
  <c r="K572" i="38"/>
  <c r="Q572" i="38"/>
  <c r="K573" i="38"/>
  <c r="Q573" i="38"/>
  <c r="K574" i="38"/>
  <c r="Q574" i="38"/>
  <c r="R574" i="38" s="1"/>
  <c r="K575" i="38"/>
  <c r="Q575" i="38"/>
  <c r="K576" i="38"/>
  <c r="Q576" i="38"/>
  <c r="K577" i="38"/>
  <c r="Q577" i="38"/>
  <c r="K578" i="38"/>
  <c r="Q578" i="38"/>
  <c r="R578" i="38" s="1"/>
  <c r="K579" i="38"/>
  <c r="Q579" i="38"/>
  <c r="R579" i="38" s="1"/>
  <c r="K580" i="38"/>
  <c r="Q580" i="38"/>
  <c r="K581" i="38"/>
  <c r="Q581" i="38"/>
  <c r="K582" i="38"/>
  <c r="Q582" i="38"/>
  <c r="R582" i="38" s="1"/>
  <c r="K583" i="38"/>
  <c r="Q583" i="38"/>
  <c r="K584" i="38"/>
  <c r="Q584" i="38"/>
  <c r="K585" i="38"/>
  <c r="Q585" i="38"/>
  <c r="K586" i="38"/>
  <c r="Q586" i="38"/>
  <c r="R586" i="38" s="1"/>
  <c r="K587" i="38"/>
  <c r="Q587" i="38"/>
  <c r="R587" i="38" s="1"/>
  <c r="K588" i="38"/>
  <c r="Q588" i="38"/>
  <c r="K589" i="38"/>
  <c r="Q589" i="38"/>
  <c r="K590" i="38"/>
  <c r="Q590" i="38"/>
  <c r="R590" i="38" s="1"/>
  <c r="K591" i="38"/>
  <c r="Q591" i="38"/>
  <c r="K592" i="38"/>
  <c r="Q592" i="38"/>
  <c r="K593" i="38"/>
  <c r="Q593" i="38"/>
  <c r="K594" i="38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K603" i="38"/>
  <c r="Q603" i="38"/>
  <c r="K604" i="38"/>
  <c r="Q604" i="38"/>
  <c r="K605" i="38"/>
  <c r="Q605" i="38"/>
  <c r="K606" i="38"/>
  <c r="Q606" i="38"/>
  <c r="K607" i="38"/>
  <c r="Q607" i="38"/>
  <c r="K608" i="38"/>
  <c r="Q608" i="38"/>
  <c r="R608" i="38" s="1"/>
  <c r="K609" i="38"/>
  <c r="Q609" i="38"/>
  <c r="R609" i="38" s="1"/>
  <c r="K610" i="38"/>
  <c r="Q610" i="38"/>
  <c r="K611" i="38"/>
  <c r="Q611" i="38"/>
  <c r="K612" i="38"/>
  <c r="Q612" i="38"/>
  <c r="R612" i="38" s="1"/>
  <c r="K613" i="38"/>
  <c r="Q613" i="38"/>
  <c r="K614" i="38"/>
  <c r="Q614" i="38"/>
  <c r="K615" i="38"/>
  <c r="Q615" i="38"/>
  <c r="K616" i="38"/>
  <c r="Q616" i="38"/>
  <c r="K617" i="38"/>
  <c r="Q617" i="38"/>
  <c r="R617" i="38" s="1"/>
  <c r="K618" i="38"/>
  <c r="Q618" i="38"/>
  <c r="K619" i="38"/>
  <c r="Q619" i="38"/>
  <c r="K620" i="38"/>
  <c r="Q620" i="38"/>
  <c r="K621" i="38"/>
  <c r="Q621" i="38"/>
  <c r="K622" i="38"/>
  <c r="Q622" i="38"/>
  <c r="K623" i="38"/>
  <c r="Q623" i="38"/>
  <c r="K624" i="38"/>
  <c r="Q624" i="38"/>
  <c r="K625" i="38"/>
  <c r="Q625" i="38"/>
  <c r="R625" i="38" s="1"/>
  <c r="K626" i="38"/>
  <c r="Q626" i="38"/>
  <c r="K627" i="38"/>
  <c r="Q627" i="38"/>
  <c r="K628" i="38"/>
  <c r="Q628" i="38"/>
  <c r="R628" i="38" s="1"/>
  <c r="K629" i="38"/>
  <c r="Q629" i="38"/>
  <c r="K630" i="38"/>
  <c r="Q630" i="38"/>
  <c r="K631" i="38"/>
  <c r="Q631" i="38"/>
  <c r="K632" i="38"/>
  <c r="Q632" i="38"/>
  <c r="R632" i="38" s="1"/>
  <c r="K633" i="38"/>
  <c r="Q633" i="38"/>
  <c r="K634" i="38"/>
  <c r="Q634" i="38"/>
  <c r="K635" i="38"/>
  <c r="Q635" i="38"/>
  <c r="K636" i="38"/>
  <c r="Q636" i="38"/>
  <c r="R636" i="38" s="1"/>
  <c r="K637" i="38"/>
  <c r="Q637" i="38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R644" i="38" s="1"/>
  <c r="K645" i="38"/>
  <c r="Q645" i="38"/>
  <c r="R645" i="38" s="1"/>
  <c r="K646" i="38"/>
  <c r="Q646" i="38"/>
  <c r="R646" i="38" s="1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R653" i="38" s="1"/>
  <c r="K654" i="38"/>
  <c r="Q654" i="38"/>
  <c r="K655" i="38"/>
  <c r="Q655" i="38"/>
  <c r="K656" i="38"/>
  <c r="Q656" i="38"/>
  <c r="K657" i="38"/>
  <c r="Q657" i="38"/>
  <c r="K658" i="38"/>
  <c r="Q658" i="38"/>
  <c r="K659" i="38"/>
  <c r="Q659" i="38"/>
  <c r="K660" i="38"/>
  <c r="Q660" i="38"/>
  <c r="K661" i="38"/>
  <c r="Q661" i="38"/>
  <c r="R661" i="38" s="1"/>
  <c r="K662" i="38"/>
  <c r="Q662" i="38"/>
  <c r="R662" i="38" s="1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Q670" i="38"/>
  <c r="K671" i="38"/>
  <c r="Q671" i="38"/>
  <c r="K672" i="38"/>
  <c r="Q672" i="38"/>
  <c r="K673" i="38"/>
  <c r="Q673" i="38"/>
  <c r="K674" i="38"/>
  <c r="Q674" i="38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R680" i="38" s="1"/>
  <c r="K681" i="38"/>
  <c r="Q681" i="38"/>
  <c r="K682" i="38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K697" i="38"/>
  <c r="Q697" i="38"/>
  <c r="K698" i="38"/>
  <c r="Q698" i="38"/>
  <c r="K699" i="38"/>
  <c r="Q699" i="38"/>
  <c r="K700" i="38"/>
  <c r="Q700" i="38"/>
  <c r="K701" i="38"/>
  <c r="Q701" i="38"/>
  <c r="K702" i="38"/>
  <c r="Q702" i="38"/>
  <c r="K703" i="38"/>
  <c r="Q703" i="38"/>
  <c r="K704" i="38"/>
  <c r="Q704" i="38"/>
  <c r="R704" i="38" s="1"/>
  <c r="K705" i="38"/>
  <c r="Q705" i="38"/>
  <c r="K706" i="38"/>
  <c r="Q706" i="38"/>
  <c r="K707" i="38"/>
  <c r="Q707" i="38"/>
  <c r="K708" i="38"/>
  <c r="Q708" i="38"/>
  <c r="R708" i="38" s="1"/>
  <c r="K709" i="38"/>
  <c r="Q709" i="38"/>
  <c r="K710" i="38"/>
  <c r="Q710" i="38"/>
  <c r="K711" i="38"/>
  <c r="Q711" i="38"/>
  <c r="K712" i="38"/>
  <c r="Q712" i="38"/>
  <c r="R712" i="38" s="1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R720" i="38" s="1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K739" i="38"/>
  <c r="Q739" i="38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Q746" i="38"/>
  <c r="K747" i="38"/>
  <c r="Q747" i="38"/>
  <c r="K748" i="38"/>
  <c r="Q748" i="38"/>
  <c r="K749" i="38"/>
  <c r="Q749" i="38"/>
  <c r="K750" i="38"/>
  <c r="Q750" i="38"/>
  <c r="K751" i="38"/>
  <c r="Q751" i="38"/>
  <c r="K752" i="38"/>
  <c r="Q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R768" i="38" s="1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R864" i="38" s="1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Q880" i="38"/>
  <c r="K881" i="38"/>
  <c r="Q881" i="38"/>
  <c r="K882" i="38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Q914" i="38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Q976" i="38"/>
  <c r="K977" i="38"/>
  <c r="Q977" i="38"/>
  <c r="K978" i="38"/>
  <c r="Q978" i="38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K1003" i="38"/>
  <c r="Q1003" i="38"/>
  <c r="K1004" i="38"/>
  <c r="Q1004" i="38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R1048" i="38" s="1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R1080" i="38"/>
  <c r="K1081" i="38"/>
  <c r="Q1081" i="38"/>
  <c r="R1081" i="38" s="1"/>
  <c r="K1082" i="38"/>
  <c r="Q1082" i="38"/>
  <c r="K1083" i="38"/>
  <c r="Q1083" i="38"/>
  <c r="K1084" i="38"/>
  <c r="Q1084" i="38"/>
  <c r="R1084" i="38" s="1"/>
  <c r="K1085" i="38"/>
  <c r="Q1085" i="38"/>
  <c r="K1086" i="38"/>
  <c r="Q1086" i="38"/>
  <c r="K1087" i="38"/>
  <c r="Q1087" i="38"/>
  <c r="K1088" i="38"/>
  <c r="Q1088" i="38"/>
  <c r="K1089" i="38"/>
  <c r="Q1089" i="38"/>
  <c r="R1089" i="38" s="1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R1097" i="38" s="1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R1105" i="38" s="1"/>
  <c r="K1106" i="38"/>
  <c r="Q1106" i="38"/>
  <c r="K1107" i="38"/>
  <c r="Q1107" i="38"/>
  <c r="K1108" i="38"/>
  <c r="Q1108" i="38"/>
  <c r="R1108" i="38" s="1"/>
  <c r="K1109" i="38"/>
  <c r="Q1109" i="38"/>
  <c r="K1110" i="38"/>
  <c r="Q1110" i="38"/>
  <c r="K1111" i="38"/>
  <c r="Q1111" i="38"/>
  <c r="K1112" i="38"/>
  <c r="Q1112" i="38"/>
  <c r="R1112" i="38" s="1"/>
  <c r="K1113" i="38"/>
  <c r="Q1113" i="38"/>
  <c r="K1114" i="38"/>
  <c r="Q1114" i="38"/>
  <c r="K1115" i="38"/>
  <c r="Q1115" i="38"/>
  <c r="K1116" i="38"/>
  <c r="Q1116" i="38"/>
  <c r="K1117" i="38"/>
  <c r="Q1117" i="38"/>
  <c r="K1118" i="38"/>
  <c r="Q1118" i="38"/>
  <c r="K1119" i="38"/>
  <c r="Q1119" i="38"/>
  <c r="K1120" i="38"/>
  <c r="Q1120" i="38"/>
  <c r="R1120" i="38" s="1"/>
  <c r="K1121" i="38"/>
  <c r="Q1121" i="38"/>
  <c r="R1121" i="38" s="1"/>
  <c r="K1122" i="38"/>
  <c r="Q1122" i="38"/>
  <c r="R1122" i="38" s="1"/>
  <c r="K1123" i="38"/>
  <c r="Q1123" i="38"/>
  <c r="K1124" i="38"/>
  <c r="Q1124" i="38"/>
  <c r="K1125" i="38"/>
  <c r="Q1125" i="38"/>
  <c r="K1126" i="38"/>
  <c r="Q1126" i="38"/>
  <c r="K1127" i="38"/>
  <c r="Q1127" i="38"/>
  <c r="K1128" i="38"/>
  <c r="Q1128" i="38"/>
  <c r="K1129" i="38"/>
  <c r="Q1129" i="38"/>
  <c r="R1129" i="38" s="1"/>
  <c r="K1130" i="38"/>
  <c r="Q1130" i="38"/>
  <c r="R1130" i="38" s="1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R1137" i="38" s="1"/>
  <c r="K1138" i="38"/>
  <c r="Q1138" i="38"/>
  <c r="K1139" i="38"/>
  <c r="Q1139" i="38"/>
  <c r="K1140" i="38"/>
  <c r="Q1140" i="38"/>
  <c r="K1141" i="38"/>
  <c r="Q1141" i="38"/>
  <c r="R1141" i="38" s="1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R1149" i="38" s="1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R1157" i="38" s="1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R1165" i="38" s="1"/>
  <c r="K1166" i="38"/>
  <c r="Q1166" i="38"/>
  <c r="K1167" i="38"/>
  <c r="Q1167" i="38"/>
  <c r="K1168" i="38"/>
  <c r="Q1168" i="38"/>
  <c r="K1169" i="38"/>
  <c r="Q1169" i="38"/>
  <c r="R1169" i="38" s="1"/>
  <c r="K1170" i="38"/>
  <c r="Q1170" i="38"/>
  <c r="K1171" i="38"/>
  <c r="Q1171" i="38"/>
  <c r="K1172" i="38"/>
  <c r="Q1172" i="38"/>
  <c r="K1173" i="38"/>
  <c r="Q1173" i="38"/>
  <c r="R1173" i="38" s="1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R1181" i="38" s="1"/>
  <c r="K1182" i="38"/>
  <c r="Q1182" i="38"/>
  <c r="K1183" i="38"/>
  <c r="Q1183" i="38"/>
  <c r="K1184" i="38"/>
  <c r="Q1184" i="38"/>
  <c r="K1185" i="38"/>
  <c r="Q1185" i="38"/>
  <c r="R1185" i="38" s="1"/>
  <c r="K1186" i="38"/>
  <c r="Q1186" i="38"/>
  <c r="K1187" i="38"/>
  <c r="Q1187" i="38"/>
  <c r="K1188" i="38"/>
  <c r="Q1188" i="38"/>
  <c r="K1189" i="38"/>
  <c r="Q1189" i="38"/>
  <c r="R1189" i="38" s="1"/>
  <c r="K1190" i="38"/>
  <c r="Q1190" i="38"/>
  <c r="K1191" i="38"/>
  <c r="Q1191" i="38"/>
  <c r="K1192" i="38"/>
  <c r="Q1192" i="38"/>
  <c r="K1193" i="38"/>
  <c r="Q1193" i="38"/>
  <c r="R1193" i="38" s="1"/>
  <c r="K1194" i="38"/>
  <c r="Q1194" i="38"/>
  <c r="K1195" i="38"/>
  <c r="Q1195" i="38"/>
  <c r="K1196" i="38"/>
  <c r="Q1196" i="38"/>
  <c r="K1197" i="38"/>
  <c r="Q1197" i="38"/>
  <c r="R1197" i="38" s="1"/>
  <c r="K1198" i="38"/>
  <c r="Q1198" i="38"/>
  <c r="K1199" i="38"/>
  <c r="Q1199" i="38"/>
  <c r="K1200" i="38"/>
  <c r="Q1200" i="38"/>
  <c r="K1201" i="38"/>
  <c r="Q1201" i="38"/>
  <c r="R1201" i="38" s="1"/>
  <c r="K1202" i="38"/>
  <c r="Q1202" i="38"/>
  <c r="R1202" i="38" s="1"/>
  <c r="K1203" i="38"/>
  <c r="Q1203" i="38"/>
  <c r="K1204" i="38"/>
  <c r="Q1204" i="38"/>
  <c r="K1205" i="38"/>
  <c r="Q1205" i="38"/>
  <c r="K1206" i="38"/>
  <c r="Q1206" i="38"/>
  <c r="R1206" i="38" s="1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R1234" i="38" s="1"/>
  <c r="K1235" i="38"/>
  <c r="Q1235" i="38"/>
  <c r="K1236" i="38"/>
  <c r="Q1236" i="38"/>
  <c r="K1237" i="38"/>
  <c r="Q1237" i="38"/>
  <c r="R1237" i="38" s="1"/>
  <c r="K1238" i="38"/>
  <c r="Q1238" i="38"/>
  <c r="K1239" i="38"/>
  <c r="Q1239" i="38"/>
  <c r="K1240" i="38"/>
  <c r="Q1240" i="38"/>
  <c r="K1241" i="38"/>
  <c r="Q1241" i="38"/>
  <c r="R1241" i="38" s="1"/>
  <c r="K1242" i="38"/>
  <c r="Q1242" i="38"/>
  <c r="R1242" i="38" s="1"/>
  <c r="K1243" i="38"/>
  <c r="Q1243" i="38"/>
  <c r="K1244" i="38"/>
  <c r="Q1244" i="38"/>
  <c r="K1245" i="38"/>
  <c r="Q1245" i="38"/>
  <c r="R1245" i="38" s="1"/>
  <c r="K1246" i="38"/>
  <c r="Q1246" i="38"/>
  <c r="K1247" i="38"/>
  <c r="Q1247" i="38"/>
  <c r="K1248" i="38"/>
  <c r="Q1248" i="38"/>
  <c r="K1249" i="38"/>
  <c r="Q1249" i="38"/>
  <c r="R1249" i="38" s="1"/>
  <c r="K1250" i="38"/>
  <c r="Q1250" i="38"/>
  <c r="R1250" i="38" s="1"/>
  <c r="K1251" i="38"/>
  <c r="Q1251" i="38"/>
  <c r="K1252" i="38"/>
  <c r="Q1252" i="38"/>
  <c r="K1253" i="38"/>
  <c r="Q1253" i="38"/>
  <c r="R1253" i="38" s="1"/>
  <c r="K1254" i="38"/>
  <c r="Q1254" i="38"/>
  <c r="K1255" i="38"/>
  <c r="Q1255" i="38"/>
  <c r="K1256" i="38"/>
  <c r="Q1256" i="38"/>
  <c r="K1257" i="38"/>
  <c r="Q1257" i="38"/>
  <c r="R1257" i="38" s="1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K1276" i="38"/>
  <c r="Q1276" i="38"/>
  <c r="K1277" i="38"/>
  <c r="Q1277" i="38"/>
  <c r="R1277" i="38" s="1"/>
  <c r="K1278" i="38"/>
  <c r="Q1278" i="38"/>
  <c r="K1279" i="38"/>
  <c r="Q1279" i="38"/>
  <c r="K1280" i="38"/>
  <c r="Q1280" i="38"/>
  <c r="K1281" i="38"/>
  <c r="Q1281" i="38"/>
  <c r="R1281" i="38" s="1"/>
  <c r="K1282" i="38"/>
  <c r="Q1282" i="38"/>
  <c r="K1283" i="38"/>
  <c r="Q1283" i="38"/>
  <c r="K1284" i="38"/>
  <c r="Q1284" i="38"/>
  <c r="K1285" i="38"/>
  <c r="Q1285" i="38"/>
  <c r="R1285" i="38" s="1"/>
  <c r="K1286" i="38"/>
  <c r="Q1286" i="38"/>
  <c r="K1287" i="38"/>
  <c r="Q1287" i="38"/>
  <c r="K1288" i="38"/>
  <c r="Q1288" i="38"/>
  <c r="K1289" i="38"/>
  <c r="Q1289" i="38"/>
  <c r="R1289" i="38" s="1"/>
  <c r="K1290" i="38"/>
  <c r="Q1290" i="38"/>
  <c r="R1290" i="38" s="1"/>
  <c r="K1291" i="38"/>
  <c r="Q1291" i="38"/>
  <c r="K1292" i="38"/>
  <c r="Q1292" i="38"/>
  <c r="K1293" i="38"/>
  <c r="Q1293" i="38"/>
  <c r="R1293" i="38" s="1"/>
  <c r="K1294" i="38"/>
  <c r="Q1294" i="38"/>
  <c r="K1295" i="38"/>
  <c r="Q1295" i="38"/>
  <c r="K1296" i="38"/>
  <c r="Q1296" i="38"/>
  <c r="K1297" i="38"/>
  <c r="Q1297" i="38"/>
  <c r="K1298" i="38"/>
  <c r="Q1298" i="38"/>
  <c r="R1298" i="38" s="1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R1306" i="38" s="1"/>
  <c r="K1307" i="38"/>
  <c r="Q1307" i="38"/>
  <c r="K1308" i="38"/>
  <c r="Q1308" i="38"/>
  <c r="K1309" i="38"/>
  <c r="Q1309" i="38"/>
  <c r="R1309" i="38" s="1"/>
  <c r="K1310" i="38"/>
  <c r="Q1310" i="38"/>
  <c r="K1311" i="38"/>
  <c r="Q1311" i="38"/>
  <c r="K1312" i="38"/>
  <c r="Q1312" i="38"/>
  <c r="K1313" i="38"/>
  <c r="Q1313" i="38"/>
  <c r="R1313" i="38" s="1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R1325" i="38" s="1"/>
  <c r="K1326" i="38"/>
  <c r="Q1326" i="38"/>
  <c r="R1326" i="38" s="1"/>
  <c r="K1327" i="38"/>
  <c r="Q1327" i="38"/>
  <c r="K1328" i="38"/>
  <c r="Q1328" i="38"/>
  <c r="K1329" i="38"/>
  <c r="Q1329" i="38"/>
  <c r="R1329" i="38" s="1"/>
  <c r="K1330" i="38"/>
  <c r="Q1330" i="38"/>
  <c r="K1331" i="38"/>
  <c r="Q1331" i="38"/>
  <c r="K1332" i="38"/>
  <c r="Q1332" i="38"/>
  <c r="K1333" i="38"/>
  <c r="Q1333" i="38"/>
  <c r="K1334" i="38"/>
  <c r="Q1334" i="38"/>
  <c r="R1334" i="38" s="1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R1342" i="38" s="1"/>
  <c r="K1343" i="38"/>
  <c r="Q1343" i="38"/>
  <c r="K1344" i="38"/>
  <c r="Q1344" i="38"/>
  <c r="K1345" i="38"/>
  <c r="Q1345" i="38"/>
  <c r="R1345" i="38" s="1"/>
  <c r="K1346" i="38"/>
  <c r="Q1346" i="38"/>
  <c r="K1347" i="38"/>
  <c r="Q1347" i="38"/>
  <c r="K1348" i="38"/>
  <c r="Q1348" i="38"/>
  <c r="K1349" i="38"/>
  <c r="Q1349" i="38"/>
  <c r="R1349" i="38" s="1"/>
  <c r="K1350" i="38"/>
  <c r="Q1350" i="38"/>
  <c r="K1351" i="38"/>
  <c r="Q1351" i="38"/>
  <c r="K1352" i="38"/>
  <c r="Q1352" i="38"/>
  <c r="K1353" i="38"/>
  <c r="Q1353" i="38"/>
  <c r="K1354" i="38"/>
  <c r="Q1354" i="38"/>
  <c r="K1355" i="38"/>
  <c r="Q1355" i="38"/>
  <c r="K1356" i="38"/>
  <c r="Q1356" i="38"/>
  <c r="K1357" i="38"/>
  <c r="Q1357" i="38"/>
  <c r="K1358" i="38"/>
  <c r="Q1358" i="38"/>
  <c r="K1359" i="38"/>
  <c r="Q1359" i="38"/>
  <c r="R1359" i="38" s="1"/>
  <c r="K1360" i="38"/>
  <c r="Q1360" i="38"/>
  <c r="K1361" i="38"/>
  <c r="Q1361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R1066" i="38" l="1"/>
  <c r="R1050" i="38"/>
  <c r="R1038" i="38"/>
  <c r="R1034" i="38"/>
  <c r="R1018" i="38"/>
  <c r="R1014" i="38"/>
  <c r="R1010" i="38"/>
  <c r="R1006" i="38"/>
  <c r="R1002" i="38"/>
  <c r="R998" i="38"/>
  <c r="R994" i="38"/>
  <c r="R982" i="38"/>
  <c r="R978" i="38"/>
  <c r="R974" i="38"/>
  <c r="R970" i="38"/>
  <c r="R954" i="38"/>
  <c r="R950" i="38"/>
  <c r="R946" i="38"/>
  <c r="R914" i="38"/>
  <c r="R912" i="38"/>
  <c r="R904" i="38"/>
  <c r="R900" i="38"/>
  <c r="R884" i="38"/>
  <c r="R880" i="38"/>
  <c r="R876" i="38"/>
  <c r="R872" i="38"/>
  <c r="R868" i="38"/>
  <c r="R850" i="38"/>
  <c r="R806" i="38"/>
  <c r="R790" i="38"/>
  <c r="R770" i="38"/>
  <c r="R752" i="38"/>
  <c r="R748" i="38"/>
  <c r="R732" i="38"/>
  <c r="R728" i="38"/>
  <c r="R724" i="38"/>
  <c r="R1357" i="38"/>
  <c r="R1033" i="38"/>
  <c r="R1025" i="38"/>
  <c r="R1017" i="38"/>
  <c r="R1009" i="38"/>
  <c r="R1005" i="38"/>
  <c r="R997" i="38"/>
  <c r="R945" i="38"/>
  <c r="R937" i="38"/>
  <c r="R929" i="38"/>
  <c r="R921" i="38"/>
  <c r="R913" i="38"/>
  <c r="R745" i="38"/>
  <c r="R737" i="38"/>
  <c r="R729" i="38"/>
  <c r="R721" i="38"/>
  <c r="R676" i="38"/>
  <c r="R606" i="38"/>
  <c r="R542" i="38"/>
  <c r="R538" i="38"/>
  <c r="R534" i="38"/>
  <c r="R530" i="38"/>
  <c r="R1328" i="39"/>
  <c r="R1296" i="39"/>
  <c r="R1264" i="39"/>
  <c r="R1206" i="39"/>
  <c r="R1202" i="39"/>
  <c r="R1182" i="39"/>
  <c r="R1174" i="39"/>
  <c r="R1170" i="39"/>
  <c r="R556" i="3"/>
  <c r="R554" i="3"/>
  <c r="R546" i="3"/>
  <c r="R508" i="3"/>
  <c r="R496" i="3"/>
  <c r="R526" i="38"/>
  <c r="R522" i="38"/>
  <c r="R518" i="38"/>
  <c r="R514" i="38"/>
  <c r="R510" i="38"/>
  <c r="R506" i="38"/>
  <c r="R502" i="38"/>
  <c r="R498" i="38"/>
  <c r="R494" i="38"/>
  <c r="R490" i="38"/>
  <c r="R476" i="38"/>
  <c r="R474" i="38"/>
  <c r="R472" i="38"/>
  <c r="R175" i="38"/>
  <c r="R161" i="38"/>
  <c r="R109" i="38"/>
  <c r="R740" i="39"/>
  <c r="R712" i="39"/>
  <c r="R708" i="39"/>
  <c r="R704" i="39"/>
  <c r="R680" i="39"/>
  <c r="R676" i="39"/>
  <c r="R656" i="39"/>
  <c r="R648" i="39"/>
  <c r="R644" i="39"/>
  <c r="R1268" i="3"/>
  <c r="R1260" i="3"/>
  <c r="R1220" i="3"/>
  <c r="R1218" i="3"/>
  <c r="R1214" i="3"/>
  <c r="R1212" i="3"/>
  <c r="R1204" i="3"/>
  <c r="R1202" i="3"/>
  <c r="R1198" i="3"/>
  <c r="R1186" i="3"/>
  <c r="R1182" i="3"/>
  <c r="R1180" i="3"/>
  <c r="R1172" i="3"/>
  <c r="R1134" i="3"/>
  <c r="R1132" i="3"/>
  <c r="R1118" i="3"/>
  <c r="R1114" i="3"/>
  <c r="R1108" i="3"/>
  <c r="R1102" i="3"/>
  <c r="R1090" i="3"/>
  <c r="R1086" i="3"/>
  <c r="R1084" i="3"/>
  <c r="R1019" i="3"/>
  <c r="R1003" i="3"/>
  <c r="R995" i="3"/>
  <c r="R923" i="3"/>
  <c r="R915" i="3"/>
  <c r="R867" i="3"/>
  <c r="R859" i="3"/>
  <c r="R851" i="3"/>
  <c r="R835" i="3"/>
  <c r="R811" i="3"/>
  <c r="R803" i="3"/>
  <c r="R794" i="3"/>
  <c r="R790" i="3"/>
  <c r="R762" i="3"/>
  <c r="R690" i="3"/>
  <c r="R638" i="3"/>
  <c r="R430" i="3"/>
  <c r="R422" i="3"/>
  <c r="R414" i="3"/>
  <c r="R406" i="3"/>
  <c r="R398" i="3"/>
  <c r="R382" i="3"/>
  <c r="R374" i="3"/>
  <c r="R366" i="3"/>
  <c r="R358" i="3"/>
  <c r="R356" i="3"/>
  <c r="R340" i="3"/>
  <c r="R334" i="3"/>
  <c r="R328" i="3"/>
  <c r="R326" i="3"/>
  <c r="R262" i="3"/>
  <c r="R201" i="3"/>
  <c r="R1311" i="39"/>
  <c r="R1303" i="39"/>
  <c r="R1299" i="39"/>
  <c r="R1297" i="39"/>
  <c r="R1279" i="39"/>
  <c r="R1271" i="39"/>
  <c r="R1267" i="39"/>
  <c r="R1265" i="39"/>
  <c r="R1132" i="39"/>
  <c r="R1068" i="39"/>
  <c r="R1036" i="39"/>
  <c r="R940" i="39"/>
  <c r="R908" i="39"/>
  <c r="R485" i="3"/>
  <c r="R476" i="3"/>
  <c r="R358" i="38"/>
  <c r="R302" i="38"/>
  <c r="R286" i="38"/>
  <c r="R266" i="38"/>
  <c r="R208" i="38"/>
  <c r="R174" i="38"/>
  <c r="R608" i="39"/>
  <c r="R576" i="39"/>
  <c r="R512" i="39"/>
  <c r="R342" i="39"/>
  <c r="R310" i="39"/>
  <c r="R308" i="39"/>
  <c r="R258" i="39"/>
  <c r="R250" i="39"/>
  <c r="R246" i="39"/>
  <c r="R244" i="39"/>
  <c r="R1243" i="3"/>
  <c r="R1239" i="3"/>
  <c r="R1203" i="3"/>
  <c r="R1179" i="3"/>
  <c r="R1171" i="3"/>
  <c r="R1123" i="3"/>
  <c r="R1083" i="3"/>
  <c r="R1020" i="3"/>
  <c r="R836" i="3"/>
  <c r="R834" i="3"/>
  <c r="R830" i="3"/>
  <c r="R828" i="3"/>
  <c r="R818" i="3"/>
  <c r="R814" i="3"/>
  <c r="R812" i="3"/>
  <c r="R804" i="3"/>
  <c r="R608" i="3"/>
  <c r="R572" i="3"/>
  <c r="R333" i="3"/>
  <c r="R325" i="3"/>
  <c r="R267" i="3"/>
  <c r="R259" i="3"/>
  <c r="R250" i="3"/>
  <c r="R218" i="3"/>
  <c r="R1361" i="38"/>
  <c r="R1106" i="38"/>
  <c r="R1082" i="38"/>
  <c r="R856" i="38"/>
  <c r="R852" i="38"/>
  <c r="R808" i="38"/>
  <c r="R804" i="38"/>
  <c r="R800" i="38"/>
  <c r="R796" i="38"/>
  <c r="R792" i="38"/>
  <c r="R772" i="38"/>
  <c r="R705" i="38"/>
  <c r="R701" i="38"/>
  <c r="R693" i="38"/>
  <c r="R689" i="38"/>
  <c r="R685" i="38"/>
  <c r="R677" i="38"/>
  <c r="R626" i="38"/>
  <c r="R610" i="38"/>
  <c r="R531" i="38"/>
  <c r="R519" i="38"/>
  <c r="R515" i="38"/>
  <c r="R511" i="38"/>
  <c r="R243" i="39"/>
  <c r="R658" i="3"/>
  <c r="R1229" i="38"/>
  <c r="R1208" i="38"/>
  <c r="R1204" i="38"/>
  <c r="R1132" i="38"/>
  <c r="R1128" i="38"/>
  <c r="R1124" i="38"/>
  <c r="R1065" i="38"/>
  <c r="R1057" i="38"/>
  <c r="R1049" i="38"/>
  <c r="R898" i="38"/>
  <c r="R882" i="38"/>
  <c r="R878" i="38"/>
  <c r="R874" i="38"/>
  <c r="R870" i="38"/>
  <c r="R866" i="38"/>
  <c r="R668" i="38"/>
  <c r="R664" i="38"/>
  <c r="R648" i="38"/>
  <c r="R884" i="39"/>
  <c r="R880" i="39"/>
  <c r="R860" i="39"/>
  <c r="R852" i="39"/>
  <c r="R848" i="39"/>
  <c r="R844" i="39"/>
  <c r="R840" i="39"/>
  <c r="R577" i="39"/>
  <c r="R502" i="3"/>
  <c r="R494" i="3"/>
  <c r="R1343" i="38"/>
  <c r="R1331" i="38"/>
  <c r="R1327" i="38"/>
  <c r="R1323" i="38"/>
  <c r="R1307" i="38"/>
  <c r="R1291" i="38"/>
  <c r="R1283" i="38"/>
  <c r="R1279" i="38"/>
  <c r="R1251" i="38"/>
  <c r="R1247" i="38"/>
  <c r="R1243" i="38"/>
  <c r="R1239" i="38"/>
  <c r="R1235" i="38"/>
  <c r="R1072" i="38"/>
  <c r="R1068" i="38"/>
  <c r="R1052" i="38"/>
  <c r="R897" i="38"/>
  <c r="R889" i="38"/>
  <c r="R881" i="38"/>
  <c r="R873" i="38"/>
  <c r="R865" i="38"/>
  <c r="R746" i="38"/>
  <c r="R730" i="38"/>
  <c r="R726" i="38"/>
  <c r="R722" i="38"/>
  <c r="R588" i="38"/>
  <c r="R584" i="38"/>
  <c r="R580" i="38"/>
  <c r="R576" i="38"/>
  <c r="R572" i="38"/>
  <c r="R560" i="38"/>
  <c r="R556" i="38"/>
  <c r="R552" i="38"/>
  <c r="R1138" i="3"/>
  <c r="R1098" i="3"/>
  <c r="R1094" i="3"/>
  <c r="R1358" i="38"/>
  <c r="R1040" i="38"/>
  <c r="R1036" i="38"/>
  <c r="R1020" i="38"/>
  <c r="R1016" i="38"/>
  <c r="R1012" i="38"/>
  <c r="R1008" i="38"/>
  <c r="R1004" i="38"/>
  <c r="R1000" i="38"/>
  <c r="R996" i="38"/>
  <c r="R984" i="38"/>
  <c r="R980" i="38"/>
  <c r="R976" i="38"/>
  <c r="R972" i="38"/>
  <c r="R968" i="38"/>
  <c r="R960" i="38"/>
  <c r="R956" i="38"/>
  <c r="R952" i="38"/>
  <c r="R948" i="38"/>
  <c r="R916" i="38"/>
  <c r="R849" i="38"/>
  <c r="R841" i="38"/>
  <c r="R837" i="38"/>
  <c r="R829" i="38"/>
  <c r="R825" i="38"/>
  <c r="R821" i="38"/>
  <c r="R813" i="38"/>
  <c r="R805" i="38"/>
  <c r="R789" i="38"/>
  <c r="R785" i="38"/>
  <c r="R777" i="38"/>
  <c r="R769" i="38"/>
  <c r="R706" i="38"/>
  <c r="R702" i="38"/>
  <c r="R678" i="38"/>
  <c r="R607" i="38"/>
  <c r="R536" i="38"/>
  <c r="R532" i="38"/>
  <c r="R528" i="38"/>
  <c r="R524" i="38"/>
  <c r="R520" i="38"/>
  <c r="R516" i="38"/>
  <c r="R512" i="38"/>
  <c r="R508" i="38"/>
  <c r="R504" i="38"/>
  <c r="R500" i="38"/>
  <c r="R496" i="38"/>
  <c r="R492" i="38"/>
  <c r="R488" i="38"/>
  <c r="R185" i="38"/>
  <c r="R181" i="38"/>
  <c r="R177" i="38"/>
  <c r="R42" i="38"/>
  <c r="R1245" i="3"/>
  <c r="R1237" i="3"/>
  <c r="R592" i="3"/>
  <c r="R370" i="38"/>
  <c r="R362" i="38"/>
  <c r="R137" i="38"/>
  <c r="R1198" i="39"/>
  <c r="R1038" i="39"/>
  <c r="R800" i="39"/>
  <c r="R616" i="39"/>
  <c r="R612" i="39"/>
  <c r="R592" i="39"/>
  <c r="R584" i="39"/>
  <c r="R580" i="39"/>
  <c r="R473" i="39"/>
  <c r="R1074" i="3"/>
  <c r="R1066" i="3"/>
  <c r="R1062" i="3"/>
  <c r="R1038" i="3"/>
  <c r="R1026" i="3"/>
  <c r="R1022" i="3"/>
  <c r="R165" i="3"/>
  <c r="R161" i="3"/>
  <c r="R438" i="38"/>
  <c r="R430" i="38"/>
  <c r="R390" i="38"/>
  <c r="R382" i="38"/>
  <c r="R274" i="38"/>
  <c r="R270" i="38"/>
  <c r="R207" i="38"/>
  <c r="R1233" i="39"/>
  <c r="R1006" i="39"/>
  <c r="R974" i="39"/>
  <c r="R942" i="39"/>
  <c r="R910" i="39"/>
  <c r="R552" i="39"/>
  <c r="R548" i="39"/>
  <c r="R520" i="39"/>
  <c r="R516" i="39"/>
  <c r="R341" i="39"/>
  <c r="R309" i="39"/>
  <c r="R218" i="39"/>
  <c r="R214" i="39"/>
  <c r="R1148" i="3"/>
  <c r="R1140" i="3"/>
  <c r="R1010" i="3"/>
  <c r="R1006" i="3"/>
  <c r="R994" i="3"/>
  <c r="R990" i="3"/>
  <c r="R978" i="3"/>
  <c r="R974" i="3"/>
  <c r="R962" i="3"/>
  <c r="R958" i="3"/>
  <c r="R946" i="3"/>
  <c r="R942" i="3"/>
  <c r="R930" i="3"/>
  <c r="R926" i="3"/>
  <c r="R914" i="3"/>
  <c r="R910" i="3"/>
  <c r="R898" i="3"/>
  <c r="R894" i="3"/>
  <c r="R882" i="3"/>
  <c r="R878" i="3"/>
  <c r="R866" i="3"/>
  <c r="R862" i="3"/>
  <c r="R779" i="3"/>
  <c r="R747" i="3"/>
  <c r="R739" i="3"/>
  <c r="R684" i="3"/>
  <c r="R676" i="3"/>
  <c r="R668" i="3"/>
  <c r="R660" i="3"/>
  <c r="R602" i="3"/>
  <c r="R594" i="3"/>
  <c r="R540" i="3"/>
  <c r="R536" i="3"/>
  <c r="R520" i="3"/>
  <c r="R461" i="3"/>
  <c r="R445" i="3"/>
  <c r="R437" i="3"/>
  <c r="R429" i="3"/>
  <c r="R413" i="3"/>
  <c r="R381" i="3"/>
  <c r="R365" i="3"/>
  <c r="R357" i="3"/>
  <c r="R302" i="3"/>
  <c r="R294" i="3"/>
  <c r="R235" i="3"/>
  <c r="R227" i="3"/>
  <c r="R203" i="3"/>
  <c r="R144" i="3"/>
  <c r="R258" i="38"/>
  <c r="R250" i="38"/>
  <c r="R214" i="38"/>
  <c r="R210" i="38"/>
  <c r="R206" i="38"/>
  <c r="R107" i="38"/>
  <c r="R1168" i="39"/>
  <c r="R1005" i="39"/>
  <c r="R973" i="39"/>
  <c r="R909" i="39"/>
  <c r="R802" i="39"/>
  <c r="R770" i="39"/>
  <c r="R738" i="39"/>
  <c r="R706" i="39"/>
  <c r="R674" i="39"/>
  <c r="R642" i="39"/>
  <c r="R408" i="39"/>
  <c r="R348" i="39"/>
  <c r="R344" i="39"/>
  <c r="R324" i="39"/>
  <c r="R316" i="39"/>
  <c r="R312" i="39"/>
  <c r="R1251" i="3"/>
  <c r="R1235" i="3"/>
  <c r="R1147" i="3"/>
  <c r="R1139" i="3"/>
  <c r="R1052" i="3"/>
  <c r="R842" i="3"/>
  <c r="R826" i="3"/>
  <c r="R786" i="3"/>
  <c r="R782" i="3"/>
  <c r="R770" i="3"/>
  <c r="R766" i="3"/>
  <c r="R754" i="3"/>
  <c r="R750" i="3"/>
  <c r="R683" i="3"/>
  <c r="R679" i="3"/>
  <c r="R675" i="3"/>
  <c r="R667" i="3"/>
  <c r="R663" i="3"/>
  <c r="R659" i="3"/>
  <c r="R636" i="3"/>
  <c r="R628" i="3"/>
  <c r="R601" i="3"/>
  <c r="R597" i="3"/>
  <c r="R593" i="3"/>
  <c r="R570" i="3"/>
  <c r="R562" i="3"/>
  <c r="R480" i="3"/>
  <c r="R468" i="3"/>
  <c r="R464" i="3"/>
  <c r="R452" i="3"/>
  <c r="R440" i="3"/>
  <c r="R436" i="3"/>
  <c r="R424" i="3"/>
  <c r="R420" i="3"/>
  <c r="R416" i="3"/>
  <c r="R404" i="3"/>
  <c r="R400" i="3"/>
  <c r="R388" i="3"/>
  <c r="R384" i="3"/>
  <c r="R376" i="3"/>
  <c r="R372" i="3"/>
  <c r="R360" i="3"/>
  <c r="R301" i="3"/>
  <c r="R293" i="3"/>
  <c r="R242" i="3"/>
  <c r="R230" i="3"/>
  <c r="R226" i="3"/>
  <c r="R222" i="3"/>
  <c r="R210" i="3"/>
  <c r="R202" i="3"/>
  <c r="R143" i="3"/>
  <c r="R119" i="3"/>
  <c r="R87" i="3"/>
  <c r="R39" i="3"/>
  <c r="R1136" i="39"/>
  <c r="R1072" i="39"/>
  <c r="R1040" i="39"/>
  <c r="R503" i="38"/>
  <c r="R495" i="38"/>
  <c r="R487" i="38"/>
  <c r="R479" i="38"/>
  <c r="R471" i="38"/>
  <c r="R106" i="38"/>
  <c r="R1239" i="39"/>
  <c r="R1235" i="39"/>
  <c r="R1167" i="39"/>
  <c r="R1012" i="39"/>
  <c r="R1008" i="39"/>
  <c r="R980" i="39"/>
  <c r="R976" i="39"/>
  <c r="R972" i="39"/>
  <c r="R948" i="39"/>
  <c r="R944" i="39"/>
  <c r="R916" i="39"/>
  <c r="R912" i="39"/>
  <c r="R801" i="39"/>
  <c r="R769" i="39"/>
  <c r="R737" i="39"/>
  <c r="R705" i="39"/>
  <c r="R673" i="39"/>
  <c r="R641" i="39"/>
  <c r="R546" i="39"/>
  <c r="R514" i="39"/>
  <c r="R1269" i="3"/>
  <c r="R1261" i="3"/>
  <c r="R1226" i="3"/>
  <c r="R1210" i="3"/>
  <c r="R1194" i="3"/>
  <c r="R1166" i="3"/>
  <c r="R1154" i="3"/>
  <c r="R1150" i="3"/>
  <c r="R1051" i="3"/>
  <c r="R1012" i="3"/>
  <c r="R1004" i="3"/>
  <c r="R996" i="3"/>
  <c r="R988" i="3"/>
  <c r="R972" i="3"/>
  <c r="R964" i="3"/>
  <c r="R956" i="3"/>
  <c r="R924" i="3"/>
  <c r="R916" i="3"/>
  <c r="R900" i="3"/>
  <c r="R892" i="3"/>
  <c r="R884" i="3"/>
  <c r="R876" i="3"/>
  <c r="R868" i="3"/>
  <c r="R860" i="3"/>
  <c r="R852" i="3"/>
  <c r="R730" i="3"/>
  <c r="R726" i="3"/>
  <c r="R714" i="3"/>
  <c r="R686" i="3"/>
  <c r="R674" i="3"/>
  <c r="R670" i="3"/>
  <c r="R635" i="3"/>
  <c r="R631" i="3"/>
  <c r="R627" i="3"/>
  <c r="R604" i="3"/>
  <c r="R569" i="3"/>
  <c r="R565" i="3"/>
  <c r="R561" i="3"/>
  <c r="R538" i="3"/>
  <c r="R534" i="3"/>
  <c r="R526" i="3"/>
  <c r="R518" i="3"/>
  <c r="R348" i="3"/>
  <c r="R308" i="3"/>
  <c r="R304" i="3"/>
  <c r="R296" i="3"/>
  <c r="R205" i="3"/>
  <c r="R142" i="3"/>
  <c r="R118" i="3"/>
  <c r="R86" i="3"/>
  <c r="R70" i="3"/>
  <c r="R38" i="3"/>
  <c r="R486" i="3"/>
  <c r="R276" i="3"/>
  <c r="R268" i="3"/>
  <c r="R260" i="3"/>
  <c r="R189" i="3"/>
  <c r="R185" i="3"/>
  <c r="R173" i="3"/>
  <c r="R1353" i="38"/>
  <c r="R1351" i="38"/>
  <c r="R1341" i="38"/>
  <c r="R1333" i="38"/>
  <c r="R1321" i="38"/>
  <c r="R1317" i="38"/>
  <c r="R1315" i="38"/>
  <c r="R1305" i="38"/>
  <c r="R1275" i="38"/>
  <c r="R1273" i="38"/>
  <c r="R1271" i="38"/>
  <c r="R1269" i="38"/>
  <c r="R1267" i="38"/>
  <c r="R1265" i="38"/>
  <c r="R1263" i="38"/>
  <c r="R1261" i="38"/>
  <c r="R1259" i="38"/>
  <c r="R992" i="38"/>
  <c r="R990" i="38"/>
  <c r="R989" i="38"/>
  <c r="R988" i="38"/>
  <c r="R986" i="38"/>
  <c r="R985" i="38"/>
  <c r="R440" i="38"/>
  <c r="R439" i="38"/>
  <c r="R431" i="38"/>
  <c r="R424" i="38"/>
  <c r="R423" i="38"/>
  <c r="R403" i="38"/>
  <c r="R391" i="38"/>
  <c r="R383" i="38"/>
  <c r="R380" i="38"/>
  <c r="R378" i="38"/>
  <c r="R376" i="38"/>
  <c r="R347" i="38"/>
  <c r="R314" i="38"/>
  <c r="R312" i="38"/>
  <c r="R310" i="38"/>
  <c r="R308" i="38"/>
  <c r="R306" i="38"/>
  <c r="R304" i="38"/>
  <c r="R303" i="38"/>
  <c r="R294" i="38"/>
  <c r="R290" i="38"/>
  <c r="R288" i="38"/>
  <c r="R287" i="38"/>
  <c r="R254" i="38"/>
  <c r="R218" i="38"/>
  <c r="R216" i="38"/>
  <c r="R215" i="38"/>
  <c r="R201" i="38"/>
  <c r="R199" i="38"/>
  <c r="R198" i="38"/>
  <c r="R173" i="38"/>
  <c r="R165" i="38"/>
  <c r="R153" i="38"/>
  <c r="R145" i="38"/>
  <c r="R141" i="38"/>
  <c r="R139" i="38"/>
  <c r="R138" i="38"/>
  <c r="R113" i="38"/>
  <c r="R1359" i="39"/>
  <c r="R1343" i="39"/>
  <c r="R1247" i="39"/>
  <c r="R1214" i="39"/>
  <c r="R1140" i="39"/>
  <c r="R1134" i="39"/>
  <c r="R1133" i="39"/>
  <c r="R1102" i="39"/>
  <c r="R1101" i="39"/>
  <c r="R1052" i="39"/>
  <c r="R956" i="39"/>
  <c r="R924" i="39"/>
  <c r="R816" i="39"/>
  <c r="R688" i="39"/>
  <c r="R672" i="39"/>
  <c r="R610" i="39"/>
  <c r="R609" i="39"/>
  <c r="R560" i="39"/>
  <c r="R544" i="39"/>
  <c r="R528" i="39"/>
  <c r="R392" i="39"/>
  <c r="R1287" i="38"/>
  <c r="R1286" i="38"/>
  <c r="R1233" i="38"/>
  <c r="R1231" i="38"/>
  <c r="R1230" i="38"/>
  <c r="R1226" i="38"/>
  <c r="R1224" i="38"/>
  <c r="R1222" i="38"/>
  <c r="R1220" i="38"/>
  <c r="R1218" i="38"/>
  <c r="R1216" i="38"/>
  <c r="R1214" i="38"/>
  <c r="R1212" i="38"/>
  <c r="R1210" i="38"/>
  <c r="R1200" i="38"/>
  <c r="R1116" i="38"/>
  <c r="R1114" i="38"/>
  <c r="R1104" i="38"/>
  <c r="R1076" i="38"/>
  <c r="R1074" i="38"/>
  <c r="R1064" i="38"/>
  <c r="R1044" i="38"/>
  <c r="R1042" i="38"/>
  <c r="R1032" i="38"/>
  <c r="R966" i="38"/>
  <c r="R964" i="38"/>
  <c r="R962" i="38"/>
  <c r="R944" i="38"/>
  <c r="R920" i="38"/>
  <c r="R908" i="38"/>
  <c r="R906" i="38"/>
  <c r="R896" i="38"/>
  <c r="R888" i="38"/>
  <c r="R860" i="38"/>
  <c r="R858" i="38"/>
  <c r="R848" i="38"/>
  <c r="R812" i="38"/>
  <c r="R798" i="38"/>
  <c r="R788" i="38"/>
  <c r="R776" i="38"/>
  <c r="R764" i="38"/>
  <c r="R762" i="38"/>
  <c r="R760" i="38"/>
  <c r="R758" i="38"/>
  <c r="R756" i="38"/>
  <c r="R754" i="38"/>
  <c r="R744" i="38"/>
  <c r="R736" i="38"/>
  <c r="R716" i="38"/>
  <c r="R714" i="38"/>
  <c r="R700" i="38"/>
  <c r="R684" i="38"/>
  <c r="R672" i="38"/>
  <c r="R670" i="38"/>
  <c r="R660" i="38"/>
  <c r="R652" i="38"/>
  <c r="R640" i="38"/>
  <c r="R638" i="38"/>
  <c r="R624" i="38"/>
  <c r="R616" i="38"/>
  <c r="R604" i="38"/>
  <c r="R602" i="38"/>
  <c r="R600" i="38"/>
  <c r="R598" i="38"/>
  <c r="R596" i="38"/>
  <c r="R594" i="38"/>
  <c r="R592" i="38"/>
  <c r="R570" i="38"/>
  <c r="R562" i="38"/>
  <c r="R548" i="38"/>
  <c r="R546" i="38"/>
  <c r="R544" i="38"/>
  <c r="R486" i="38"/>
  <c r="R478" i="38"/>
  <c r="R466" i="38"/>
  <c r="R464" i="38"/>
  <c r="R414" i="38"/>
  <c r="R412" i="38"/>
  <c r="R402" i="38"/>
  <c r="R1360" i="39"/>
  <c r="R1295" i="39"/>
  <c r="R1232" i="39"/>
  <c r="R1200" i="39"/>
  <c r="R1199" i="39"/>
  <c r="R1069" i="39"/>
  <c r="R1020" i="39"/>
  <c r="R1004" i="39"/>
  <c r="R941" i="39"/>
  <c r="R892" i="39"/>
  <c r="R876" i="39"/>
  <c r="R736" i="39"/>
  <c r="R624" i="39"/>
  <c r="R545" i="39"/>
  <c r="R488" i="39"/>
  <c r="R472" i="39"/>
  <c r="R409" i="39"/>
  <c r="R356" i="39"/>
  <c r="R340" i="39"/>
  <c r="R290" i="39"/>
  <c r="R282" i="39"/>
  <c r="R278" i="39"/>
  <c r="R276" i="39"/>
  <c r="R275" i="39"/>
  <c r="R226" i="39"/>
  <c r="R193" i="39"/>
  <c r="R1267" i="3"/>
  <c r="R1255" i="3"/>
  <c r="R1253" i="3"/>
  <c r="R1252" i="3"/>
  <c r="R1244" i="3"/>
  <c r="R1211" i="3"/>
  <c r="R1130" i="3"/>
  <c r="R1126" i="3"/>
  <c r="R1107" i="3"/>
  <c r="R1100" i="3"/>
  <c r="R1099" i="3"/>
  <c r="R1092" i="3"/>
  <c r="R1091" i="3"/>
  <c r="R1076" i="3"/>
  <c r="R1075" i="3"/>
  <c r="R1070" i="3"/>
  <c r="R1068" i="3"/>
  <c r="R1067" i="3"/>
  <c r="R1060" i="3"/>
  <c r="R1059" i="3"/>
  <c r="R1044" i="3"/>
  <c r="R1043" i="3"/>
  <c r="R1036" i="3"/>
  <c r="R1035" i="3"/>
  <c r="R1028" i="3"/>
  <c r="R1027" i="3"/>
  <c r="R1011" i="3"/>
  <c r="R998" i="3"/>
  <c r="R987" i="3"/>
  <c r="R980" i="3"/>
  <c r="R979" i="3"/>
  <c r="R955" i="3"/>
  <c r="R948" i="3"/>
  <c r="R947" i="3"/>
  <c r="R891" i="3"/>
  <c r="R883" i="3"/>
  <c r="R870" i="3"/>
  <c r="R827" i="3"/>
  <c r="R820" i="3"/>
  <c r="R819" i="3"/>
  <c r="R810" i="3"/>
  <c r="R806" i="3"/>
  <c r="R798" i="3"/>
  <c r="R796" i="3"/>
  <c r="R795" i="3"/>
  <c r="R788" i="3"/>
  <c r="R787" i="3"/>
  <c r="R778" i="3"/>
  <c r="R763" i="3"/>
  <c r="R756" i="3"/>
  <c r="R755" i="3"/>
  <c r="R746" i="3"/>
  <c r="R742" i="3"/>
  <c r="R731" i="3"/>
  <c r="R724" i="3"/>
  <c r="R723" i="3"/>
  <c r="R274" i="39"/>
  <c r="R212" i="39"/>
  <c r="R211" i="39"/>
  <c r="R185" i="39"/>
  <c r="R181" i="39"/>
  <c r="R179" i="39"/>
  <c r="R178" i="39"/>
  <c r="R1236" i="3"/>
  <c r="R1229" i="3"/>
  <c r="R1228" i="3"/>
  <c r="R1227" i="3"/>
  <c r="R1219" i="3"/>
  <c r="R1196" i="3"/>
  <c r="R1195" i="3"/>
  <c r="R1188" i="3"/>
  <c r="R1187" i="3"/>
  <c r="R1178" i="3"/>
  <c r="R1174" i="3"/>
  <c r="R1164" i="3"/>
  <c r="R1163" i="3"/>
  <c r="R1156" i="3"/>
  <c r="R1155" i="3"/>
  <c r="R1146" i="3"/>
  <c r="R1131" i="3"/>
  <c r="R1122" i="3"/>
  <c r="R1116" i="3"/>
  <c r="R1115" i="3"/>
  <c r="R1106" i="3"/>
  <c r="R1030" i="3"/>
  <c r="R971" i="3"/>
  <c r="R963" i="3"/>
  <c r="R940" i="3"/>
  <c r="R939" i="3"/>
  <c r="R932" i="3"/>
  <c r="R931" i="3"/>
  <c r="R922" i="3"/>
  <c r="R918" i="3"/>
  <c r="R908" i="3"/>
  <c r="R907" i="3"/>
  <c r="R899" i="3"/>
  <c r="R875" i="3"/>
  <c r="R858" i="3"/>
  <c r="R854" i="3"/>
  <c r="R846" i="3"/>
  <c r="R844" i="3"/>
  <c r="R843" i="3"/>
  <c r="R771" i="3"/>
  <c r="R715" i="3"/>
  <c r="R708" i="3"/>
  <c r="R707" i="3"/>
  <c r="R698" i="3"/>
  <c r="R688" i="3"/>
  <c r="R682" i="3"/>
  <c r="R678" i="3"/>
  <c r="R672" i="3"/>
  <c r="R666" i="3"/>
  <c r="R656" i="3"/>
  <c r="R650" i="3"/>
  <c r="R646" i="3"/>
  <c r="R640" i="3"/>
  <c r="R634" i="3"/>
  <c r="R624" i="3"/>
  <c r="R618" i="3"/>
  <c r="R614" i="3"/>
  <c r="R606" i="3"/>
  <c r="R600" i="3"/>
  <c r="R590" i="3"/>
  <c r="R584" i="3"/>
  <c r="R580" i="3"/>
  <c r="R574" i="3"/>
  <c r="R568" i="3"/>
  <c r="R558" i="3"/>
  <c r="R552" i="3"/>
  <c r="R548" i="3"/>
  <c r="R542" i="3"/>
  <c r="R532" i="3"/>
  <c r="R528" i="3"/>
  <c r="R524" i="3"/>
  <c r="R510" i="3"/>
  <c r="R509" i="3"/>
  <c r="R504" i="3"/>
  <c r="R500" i="3"/>
  <c r="R492" i="3"/>
  <c r="R488" i="3"/>
  <c r="R478" i="3"/>
  <c r="R477" i="3"/>
  <c r="R470" i="3"/>
  <c r="R469" i="3"/>
  <c r="R460" i="3"/>
  <c r="R432" i="3"/>
  <c r="R428" i="3"/>
  <c r="R405" i="3"/>
  <c r="R373" i="3"/>
  <c r="R368" i="3"/>
  <c r="R364" i="3"/>
  <c r="R352" i="3"/>
  <c r="R350" i="3"/>
  <c r="R349" i="3"/>
  <c r="R342" i="3"/>
  <c r="R341" i="3"/>
  <c r="R336" i="3"/>
  <c r="R332" i="3"/>
  <c r="R318" i="3"/>
  <c r="R317" i="3"/>
  <c r="R312" i="3"/>
  <c r="R310" i="3"/>
  <c r="R309" i="3"/>
  <c r="R300" i="3"/>
  <c r="R288" i="3"/>
  <c r="R286" i="3"/>
  <c r="R285" i="3"/>
  <c r="R278" i="3"/>
  <c r="R277" i="3"/>
  <c r="R270" i="3"/>
  <c r="R266" i="3"/>
  <c r="R251" i="3"/>
  <c r="R246" i="3"/>
  <c r="R244" i="3"/>
  <c r="R243" i="3"/>
  <c r="R238" i="3"/>
  <c r="R234" i="3"/>
  <c r="R220" i="3"/>
  <c r="R219" i="3"/>
  <c r="R212" i="3"/>
  <c r="R211" i="3"/>
  <c r="R187" i="3"/>
  <c r="R186" i="3"/>
  <c r="R181" i="3"/>
  <c r="R177" i="3"/>
  <c r="R163" i="3"/>
  <c r="R162" i="3"/>
  <c r="R157" i="3"/>
  <c r="R155" i="3"/>
  <c r="R154" i="3"/>
  <c r="R141" i="3"/>
  <c r="R133" i="3"/>
  <c r="R453" i="3"/>
  <c r="R448" i="3"/>
  <c r="R444" i="3"/>
  <c r="R421" i="3"/>
  <c r="R412" i="3"/>
  <c r="R397" i="3"/>
  <c r="R390" i="3"/>
  <c r="R389" i="3"/>
  <c r="R380" i="3"/>
  <c r="R254" i="3"/>
  <c r="R197" i="3"/>
  <c r="R193" i="3"/>
  <c r="R85" i="3"/>
  <c r="R1088" i="38"/>
  <c r="R1024" i="38"/>
  <c r="R1297" i="38"/>
  <c r="R1136" i="38"/>
  <c r="R1056" i="38"/>
  <c r="R278" i="38"/>
  <c r="R246" i="38"/>
  <c r="R121" i="38"/>
  <c r="R988" i="39"/>
  <c r="R720" i="39"/>
  <c r="R1263" i="3"/>
  <c r="R1222" i="3"/>
  <c r="R1158" i="3"/>
  <c r="R1247" i="3"/>
  <c r="R1206" i="3"/>
  <c r="R1142" i="3"/>
  <c r="R1350" i="38"/>
  <c r="R1337" i="38"/>
  <c r="R1335" i="38"/>
  <c r="R1322" i="38"/>
  <c r="R1314" i="38"/>
  <c r="R1303" i="38"/>
  <c r="R1301" i="38"/>
  <c r="R1299" i="38"/>
  <c r="R1278" i="38"/>
  <c r="R1274" i="38"/>
  <c r="R1270" i="38"/>
  <c r="R1266" i="38"/>
  <c r="R1258" i="38"/>
  <c r="R1221" i="38"/>
  <c r="R1217" i="38"/>
  <c r="R1209" i="38"/>
  <c r="R1198" i="38"/>
  <c r="R1196" i="38"/>
  <c r="R1194" i="38"/>
  <c r="R1192" i="38"/>
  <c r="R1190" i="38"/>
  <c r="R1188" i="38"/>
  <c r="R1186" i="38"/>
  <c r="R1184" i="38"/>
  <c r="R1182" i="38"/>
  <c r="R1180" i="38"/>
  <c r="R1178" i="38"/>
  <c r="R1176" i="38"/>
  <c r="R1174" i="38"/>
  <c r="R1172" i="38"/>
  <c r="R1170" i="38"/>
  <c r="R1168" i="38"/>
  <c r="R1166" i="38"/>
  <c r="R1164" i="38"/>
  <c r="R1162" i="38"/>
  <c r="R1160" i="38"/>
  <c r="R1158" i="38"/>
  <c r="R1156" i="38"/>
  <c r="R1154" i="38"/>
  <c r="R1152" i="38"/>
  <c r="R1150" i="38"/>
  <c r="R1148" i="38"/>
  <c r="R1146" i="38"/>
  <c r="R1144" i="38"/>
  <c r="R1142" i="38"/>
  <c r="R1140" i="38"/>
  <c r="R1138" i="38"/>
  <c r="R1113" i="38"/>
  <c r="R1100" i="38"/>
  <c r="R1098" i="38"/>
  <c r="R1096" i="38"/>
  <c r="R1094" i="38"/>
  <c r="R1092" i="38"/>
  <c r="R1090" i="38"/>
  <c r="R1073" i="38"/>
  <c r="R1060" i="38"/>
  <c r="R1058" i="38"/>
  <c r="R1041" i="38"/>
  <c r="R1028" i="38"/>
  <c r="R1026" i="38"/>
  <c r="R977" i="38"/>
  <c r="R973" i="38"/>
  <c r="R969" i="38"/>
  <c r="R961" i="38"/>
  <c r="R940" i="38"/>
  <c r="R938" i="38"/>
  <c r="R936" i="38"/>
  <c r="R934" i="38"/>
  <c r="R932" i="38"/>
  <c r="R930" i="38"/>
  <c r="R928" i="38"/>
  <c r="R926" i="38"/>
  <c r="R924" i="38"/>
  <c r="R922" i="38"/>
  <c r="R905" i="38"/>
  <c r="R892" i="38"/>
  <c r="R890" i="38"/>
  <c r="R857" i="38"/>
  <c r="R844" i="38"/>
  <c r="R842" i="38"/>
  <c r="R840" i="38"/>
  <c r="R838" i="38"/>
  <c r="R836" i="38"/>
  <c r="R834" i="38"/>
  <c r="R832" i="38"/>
  <c r="R830" i="38"/>
  <c r="R828" i="38"/>
  <c r="R826" i="38"/>
  <c r="R824" i="38"/>
  <c r="R822" i="38"/>
  <c r="R820" i="38"/>
  <c r="R818" i="38"/>
  <c r="R816" i="38"/>
  <c r="R814" i="38"/>
  <c r="R797" i="38"/>
  <c r="R786" i="38"/>
  <c r="R784" i="38"/>
  <c r="R782" i="38"/>
  <c r="R780" i="38"/>
  <c r="R778" i="38"/>
  <c r="R761" i="38"/>
  <c r="R753" i="38"/>
  <c r="R740" i="38"/>
  <c r="R738" i="38"/>
  <c r="R713" i="38"/>
  <c r="R696" i="38"/>
  <c r="R694" i="38"/>
  <c r="R692" i="38"/>
  <c r="R690" i="38"/>
  <c r="R688" i="38"/>
  <c r="R686" i="38"/>
  <c r="R669" i="38"/>
  <c r="R656" i="38"/>
  <c r="R654" i="38"/>
  <c r="R637" i="38"/>
  <c r="R620" i="38"/>
  <c r="R618" i="38"/>
  <c r="R591" i="38"/>
  <c r="R568" i="38"/>
  <c r="R566" i="38"/>
  <c r="R564" i="38"/>
  <c r="R547" i="38"/>
  <c r="R543" i="38"/>
  <c r="R482" i="38"/>
  <c r="R480" i="38"/>
  <c r="R463" i="38"/>
  <c r="R434" i="38"/>
  <c r="R432" i="38"/>
  <c r="R388" i="38"/>
  <c r="R386" i="38"/>
  <c r="R384" i="38"/>
  <c r="R367" i="38"/>
  <c r="R359" i="38"/>
  <c r="R318" i="38"/>
  <c r="R262" i="38"/>
  <c r="R222" i="38"/>
  <c r="R189" i="38"/>
  <c r="R1116" i="39"/>
  <c r="R161" i="39"/>
  <c r="R1231" i="3"/>
  <c r="R1190" i="3"/>
  <c r="R343" i="38"/>
  <c r="R335" i="38"/>
  <c r="R327" i="38"/>
  <c r="R319" i="38"/>
  <c r="R298" i="38"/>
  <c r="R296" i="38"/>
  <c r="R279" i="38"/>
  <c r="R272" i="38"/>
  <c r="R263" i="38"/>
  <c r="R256" i="38"/>
  <c r="R240" i="38"/>
  <c r="R223" i="38"/>
  <c r="R190" i="38"/>
  <c r="R183" i="38"/>
  <c r="R166" i="38"/>
  <c r="R157" i="38"/>
  <c r="R1344" i="39"/>
  <c r="R1319" i="39"/>
  <c r="R1315" i="39"/>
  <c r="R1313" i="39"/>
  <c r="R1280" i="39"/>
  <c r="R1255" i="39"/>
  <c r="R1251" i="39"/>
  <c r="R1249" i="39"/>
  <c r="R1222" i="39"/>
  <c r="R1218" i="39"/>
  <c r="R1216" i="39"/>
  <c r="R1183" i="39"/>
  <c r="R1158" i="39"/>
  <c r="R1152" i="39"/>
  <c r="R1150" i="39"/>
  <c r="R1117" i="39"/>
  <c r="R1092" i="39"/>
  <c r="R1088" i="39"/>
  <c r="R1086" i="39"/>
  <c r="R1053" i="39"/>
  <c r="R1028" i="39"/>
  <c r="R1024" i="39"/>
  <c r="R1022" i="39"/>
  <c r="R989" i="39"/>
  <c r="R964" i="39"/>
  <c r="R960" i="39"/>
  <c r="R958" i="39"/>
  <c r="R925" i="39"/>
  <c r="R900" i="39"/>
  <c r="R896" i="39"/>
  <c r="R894" i="39"/>
  <c r="R861" i="39"/>
  <c r="R828" i="39"/>
  <c r="R824" i="39"/>
  <c r="R822" i="39"/>
  <c r="R820" i="39"/>
  <c r="R818" i="39"/>
  <c r="R785" i="39"/>
  <c r="R760" i="39"/>
  <c r="R756" i="39"/>
  <c r="R754" i="39"/>
  <c r="R721" i="39"/>
  <c r="R696" i="39"/>
  <c r="R692" i="39"/>
  <c r="R690" i="39"/>
  <c r="R657" i="39"/>
  <c r="R632" i="39"/>
  <c r="R628" i="39"/>
  <c r="R626" i="39"/>
  <c r="R593" i="39"/>
  <c r="R568" i="39"/>
  <c r="R564" i="39"/>
  <c r="R562" i="39"/>
  <c r="R529" i="39"/>
  <c r="R504" i="39"/>
  <c r="R496" i="39"/>
  <c r="R492" i="39"/>
  <c r="R490" i="39"/>
  <c r="R457" i="39"/>
  <c r="R432" i="39"/>
  <c r="R428" i="39"/>
  <c r="R426" i="39"/>
  <c r="R393" i="39"/>
  <c r="R364" i="39"/>
  <c r="R360" i="39"/>
  <c r="R358" i="39"/>
  <c r="R325" i="39"/>
  <c r="R298" i="39"/>
  <c r="R294" i="39"/>
  <c r="R292" i="39"/>
  <c r="R259" i="39"/>
  <c r="R234" i="39"/>
  <c r="R230" i="39"/>
  <c r="R228" i="39"/>
  <c r="R201" i="39"/>
  <c r="R197" i="39"/>
  <c r="R195" i="39"/>
  <c r="R162" i="39"/>
  <c r="R1264" i="3"/>
  <c r="R1257" i="3"/>
  <c r="R1248" i="3"/>
  <c r="R1241" i="3"/>
  <c r="R1232" i="3"/>
  <c r="R1223" i="3"/>
  <c r="R1216" i="3"/>
  <c r="R1207" i="3"/>
  <c r="R1200" i="3"/>
  <c r="R1191" i="3"/>
  <c r="R1184" i="3"/>
  <c r="R1175" i="3"/>
  <c r="R1168" i="3"/>
  <c r="R1159" i="3"/>
  <c r="R1152" i="3"/>
  <c r="R1143" i="3"/>
  <c r="R1136" i="3"/>
  <c r="R1127" i="3"/>
  <c r="R966" i="3"/>
  <c r="R902" i="3"/>
  <c r="R838" i="3"/>
  <c r="R774" i="3"/>
  <c r="R710" i="3"/>
  <c r="R1110" i="3"/>
  <c r="R1078" i="3"/>
  <c r="R1046" i="3"/>
  <c r="R1014" i="3"/>
  <c r="R950" i="3"/>
  <c r="R886" i="3"/>
  <c r="R822" i="3"/>
  <c r="R758" i="3"/>
  <c r="R694" i="3"/>
  <c r="R662" i="3"/>
  <c r="R630" i="3"/>
  <c r="R596" i="3"/>
  <c r="R564" i="3"/>
  <c r="R419" i="38"/>
  <c r="R415" i="38"/>
  <c r="R411" i="38"/>
  <c r="R398" i="38"/>
  <c r="R396" i="38"/>
  <c r="R394" i="38"/>
  <c r="R392" i="38"/>
  <c r="R379" i="38"/>
  <c r="R375" i="38"/>
  <c r="R356" i="38"/>
  <c r="R354" i="38"/>
  <c r="R352" i="38"/>
  <c r="R350" i="38"/>
  <c r="R348" i="38"/>
  <c r="R346" i="38"/>
  <c r="R344" i="38"/>
  <c r="R342" i="38"/>
  <c r="R340" i="38"/>
  <c r="R338" i="38"/>
  <c r="R336" i="38"/>
  <c r="R334" i="38"/>
  <c r="R332" i="38"/>
  <c r="R330" i="38"/>
  <c r="R328" i="38"/>
  <c r="R326" i="38"/>
  <c r="R324" i="38"/>
  <c r="R322" i="38"/>
  <c r="R320" i="38"/>
  <c r="R295" i="38"/>
  <c r="R282" i="38"/>
  <c r="R280" i="38"/>
  <c r="R271" i="38"/>
  <c r="R264" i="38"/>
  <c r="R255" i="38"/>
  <c r="R239" i="38"/>
  <c r="R226" i="38"/>
  <c r="R224" i="38"/>
  <c r="R193" i="38"/>
  <c r="R191" i="38"/>
  <c r="R182" i="38"/>
  <c r="R169" i="38"/>
  <c r="R167" i="38"/>
  <c r="R158" i="38"/>
  <c r="R1351" i="39"/>
  <c r="R1347" i="39"/>
  <c r="R1345" i="39"/>
  <c r="R1312" i="39"/>
  <c r="R1287" i="39"/>
  <c r="R1283" i="39"/>
  <c r="R1281" i="39"/>
  <c r="R1248" i="39"/>
  <c r="R1215" i="39"/>
  <c r="R1190" i="39"/>
  <c r="R1186" i="39"/>
  <c r="R1184" i="39"/>
  <c r="R1149" i="39"/>
  <c r="R1124" i="39"/>
  <c r="R1120" i="39"/>
  <c r="R1118" i="39"/>
  <c r="R1085" i="39"/>
  <c r="R1060" i="39"/>
  <c r="R1056" i="39"/>
  <c r="R1054" i="39"/>
  <c r="R1021" i="39"/>
  <c r="R996" i="39"/>
  <c r="R992" i="39"/>
  <c r="R990" i="39"/>
  <c r="R957" i="39"/>
  <c r="R932" i="39"/>
  <c r="R928" i="39"/>
  <c r="R926" i="39"/>
  <c r="R893" i="39"/>
  <c r="R868" i="39"/>
  <c r="R864" i="39"/>
  <c r="R862" i="39"/>
  <c r="R817" i="39"/>
  <c r="R792" i="39"/>
  <c r="R788" i="39"/>
  <c r="R786" i="39"/>
  <c r="R753" i="39"/>
  <c r="R728" i="39"/>
  <c r="R724" i="39"/>
  <c r="R722" i="39"/>
  <c r="R689" i="39"/>
  <c r="R664" i="39"/>
  <c r="R660" i="39"/>
  <c r="R658" i="39"/>
  <c r="R625" i="39"/>
  <c r="R600" i="39"/>
  <c r="R596" i="39"/>
  <c r="R594" i="39"/>
  <c r="R561" i="39"/>
  <c r="R536" i="39"/>
  <c r="R532" i="39"/>
  <c r="R530" i="39"/>
  <c r="R489" i="39"/>
  <c r="R464" i="39"/>
  <c r="R460" i="39"/>
  <c r="R458" i="39"/>
  <c r="R425" i="39"/>
  <c r="R400" i="39"/>
  <c r="R396" i="39"/>
  <c r="R394" i="39"/>
  <c r="R357" i="39"/>
  <c r="R332" i="39"/>
  <c r="R328" i="39"/>
  <c r="R326" i="39"/>
  <c r="R291" i="39"/>
  <c r="R266" i="39"/>
  <c r="R262" i="39"/>
  <c r="R260" i="39"/>
  <c r="R227" i="39"/>
  <c r="R194" i="39"/>
  <c r="R169" i="39"/>
  <c r="R165" i="39"/>
  <c r="R163" i="39"/>
  <c r="R1265" i="3"/>
  <c r="R1256" i="3"/>
  <c r="R1249" i="3"/>
  <c r="R1240" i="3"/>
  <c r="R1233" i="3"/>
  <c r="R1224" i="3"/>
  <c r="R1215" i="3"/>
  <c r="R1208" i="3"/>
  <c r="R1199" i="3"/>
  <c r="R1192" i="3"/>
  <c r="R1183" i="3"/>
  <c r="R1176" i="3"/>
  <c r="R1167" i="3"/>
  <c r="R1160" i="3"/>
  <c r="R1151" i="3"/>
  <c r="R1144" i="3"/>
  <c r="R1124" i="3"/>
  <c r="R1120" i="3"/>
  <c r="R1111" i="3"/>
  <c r="R1104" i="3"/>
  <c r="R1095" i="3"/>
  <c r="R1088" i="3"/>
  <c r="R1079" i="3"/>
  <c r="R1072" i="3"/>
  <c r="R1063" i="3"/>
  <c r="R1056" i="3"/>
  <c r="R1047" i="3"/>
  <c r="R1040" i="3"/>
  <c r="R1031" i="3"/>
  <c r="R1024" i="3"/>
  <c r="R1015" i="3"/>
  <c r="R1008" i="3"/>
  <c r="R999" i="3"/>
  <c r="R992" i="3"/>
  <c r="R983" i="3"/>
  <c r="R976" i="3"/>
  <c r="R967" i="3"/>
  <c r="R960" i="3"/>
  <c r="R951" i="3"/>
  <c r="R944" i="3"/>
  <c r="R935" i="3"/>
  <c r="R928" i="3"/>
  <c r="R919" i="3"/>
  <c r="R912" i="3"/>
  <c r="R903" i="3"/>
  <c r="R896" i="3"/>
  <c r="R887" i="3"/>
  <c r="R880" i="3"/>
  <c r="R871" i="3"/>
  <c r="R864" i="3"/>
  <c r="R855" i="3"/>
  <c r="R848" i="3"/>
  <c r="R839" i="3"/>
  <c r="R832" i="3"/>
  <c r="R823" i="3"/>
  <c r="R816" i="3"/>
  <c r="R807" i="3"/>
  <c r="R800" i="3"/>
  <c r="R791" i="3"/>
  <c r="R784" i="3"/>
  <c r="R775" i="3"/>
  <c r="R768" i="3"/>
  <c r="R759" i="3"/>
  <c r="R752" i="3"/>
  <c r="R743" i="3"/>
  <c r="R736" i="3"/>
  <c r="R727" i="3"/>
  <c r="R720" i="3"/>
  <c r="R711" i="3"/>
  <c r="R704" i="3"/>
  <c r="R472" i="3"/>
  <c r="R408" i="3"/>
  <c r="R344" i="3"/>
  <c r="R280" i="3"/>
  <c r="R214" i="3"/>
  <c r="R512" i="3"/>
  <c r="R456" i="3"/>
  <c r="R392" i="3"/>
  <c r="R1135" i="3"/>
  <c r="R1128" i="3"/>
  <c r="R1119" i="3"/>
  <c r="R1112" i="3"/>
  <c r="R1103" i="3"/>
  <c r="R1096" i="3"/>
  <c r="R1087" i="3"/>
  <c r="R1080" i="3"/>
  <c r="R1071" i="3"/>
  <c r="R1064" i="3"/>
  <c r="R1055" i="3"/>
  <c r="R1048" i="3"/>
  <c r="R1039" i="3"/>
  <c r="R1032" i="3"/>
  <c r="R1023" i="3"/>
  <c r="R1016" i="3"/>
  <c r="R1007" i="3"/>
  <c r="R1000" i="3"/>
  <c r="R991" i="3"/>
  <c r="R984" i="3"/>
  <c r="R975" i="3"/>
  <c r="R968" i="3"/>
  <c r="R959" i="3"/>
  <c r="R952" i="3"/>
  <c r="R943" i="3"/>
  <c r="R936" i="3"/>
  <c r="R927" i="3"/>
  <c r="R920" i="3"/>
  <c r="R911" i="3"/>
  <c r="R904" i="3"/>
  <c r="R895" i="3"/>
  <c r="R888" i="3"/>
  <c r="R879" i="3"/>
  <c r="R872" i="3"/>
  <c r="R863" i="3"/>
  <c r="R856" i="3"/>
  <c r="R847" i="3"/>
  <c r="R840" i="3"/>
  <c r="R831" i="3"/>
  <c r="R824" i="3"/>
  <c r="R815" i="3"/>
  <c r="R808" i="3"/>
  <c r="R799" i="3"/>
  <c r="R792" i="3"/>
  <c r="R783" i="3"/>
  <c r="R776" i="3"/>
  <c r="R767" i="3"/>
  <c r="R760" i="3"/>
  <c r="R751" i="3"/>
  <c r="R744" i="3"/>
  <c r="R735" i="3"/>
  <c r="R728" i="3"/>
  <c r="R719" i="3"/>
  <c r="R712" i="3"/>
  <c r="R703" i="3"/>
  <c r="R696" i="3"/>
  <c r="R687" i="3"/>
  <c r="R680" i="3"/>
  <c r="R671" i="3"/>
  <c r="R664" i="3"/>
  <c r="R655" i="3"/>
  <c r="R648" i="3"/>
  <c r="R639" i="3"/>
  <c r="R632" i="3"/>
  <c r="R623" i="3"/>
  <c r="R616" i="3"/>
  <c r="R605" i="3"/>
  <c r="R598" i="3"/>
  <c r="R589" i="3"/>
  <c r="R582" i="3"/>
  <c r="R573" i="3"/>
  <c r="R566" i="3"/>
  <c r="R557" i="3"/>
  <c r="R550" i="3"/>
  <c r="R541" i="3"/>
  <c r="R530" i="3"/>
  <c r="R521" i="3"/>
  <c r="R514" i="3"/>
  <c r="R505" i="3"/>
  <c r="R498" i="3"/>
  <c r="R489" i="3"/>
  <c r="R482" i="3"/>
  <c r="R473" i="3"/>
  <c r="R466" i="3"/>
  <c r="R457" i="3"/>
  <c r="R450" i="3"/>
  <c r="R441" i="3"/>
  <c r="R434" i="3"/>
  <c r="R425" i="3"/>
  <c r="R418" i="3"/>
  <c r="R409" i="3"/>
  <c r="R402" i="3"/>
  <c r="R393" i="3"/>
  <c r="R386" i="3"/>
  <c r="R377" i="3"/>
  <c r="R370" i="3"/>
  <c r="R361" i="3"/>
  <c r="R354" i="3"/>
  <c r="R345" i="3"/>
  <c r="R338" i="3"/>
  <c r="R329" i="3"/>
  <c r="R322" i="3"/>
  <c r="R313" i="3"/>
  <c r="R306" i="3"/>
  <c r="R297" i="3"/>
  <c r="R290" i="3"/>
  <c r="R281" i="3"/>
  <c r="R274" i="3"/>
  <c r="R272" i="3"/>
  <c r="R263" i="3"/>
  <c r="R256" i="3"/>
  <c r="R247" i="3"/>
  <c r="R240" i="3"/>
  <c r="R231" i="3"/>
  <c r="R224" i="3"/>
  <c r="R215" i="3"/>
  <c r="R208" i="3"/>
  <c r="R206" i="3"/>
  <c r="R199" i="3"/>
  <c r="R190" i="3"/>
  <c r="R183" i="3"/>
  <c r="R174" i="3"/>
  <c r="R167" i="3"/>
  <c r="R158" i="3"/>
  <c r="R151" i="3"/>
  <c r="R136" i="3"/>
  <c r="R134" i="3"/>
  <c r="R109" i="3"/>
  <c r="R105" i="3"/>
  <c r="R103" i="3"/>
  <c r="R54" i="3"/>
  <c r="R529" i="3"/>
  <c r="R522" i="3"/>
  <c r="R513" i="3"/>
  <c r="R506" i="3"/>
  <c r="R497" i="3"/>
  <c r="R490" i="3"/>
  <c r="R481" i="3"/>
  <c r="R474" i="3"/>
  <c r="R465" i="3"/>
  <c r="R458" i="3"/>
  <c r="R449" i="3"/>
  <c r="R442" i="3"/>
  <c r="R433" i="3"/>
  <c r="R426" i="3"/>
  <c r="R417" i="3"/>
  <c r="R410" i="3"/>
  <c r="R401" i="3"/>
  <c r="R394" i="3"/>
  <c r="R385" i="3"/>
  <c r="R378" i="3"/>
  <c r="R369" i="3"/>
  <c r="R362" i="3"/>
  <c r="R353" i="3"/>
  <c r="R346" i="3"/>
  <c r="R337" i="3"/>
  <c r="R330" i="3"/>
  <c r="R321" i="3"/>
  <c r="R314" i="3"/>
  <c r="R305" i="3"/>
  <c r="R298" i="3"/>
  <c r="R289" i="3"/>
  <c r="R282" i="3"/>
  <c r="R271" i="3"/>
  <c r="R264" i="3"/>
  <c r="R255" i="3"/>
  <c r="R248" i="3"/>
  <c r="R239" i="3"/>
  <c r="R232" i="3"/>
  <c r="R223" i="3"/>
  <c r="R216" i="3"/>
  <c r="R207" i="3"/>
  <c r="R198" i="3"/>
  <c r="R191" i="3"/>
  <c r="R182" i="3"/>
  <c r="R175" i="3"/>
  <c r="R166" i="3"/>
  <c r="R159" i="3"/>
  <c r="R150" i="3"/>
  <c r="R137" i="3"/>
  <c r="R135" i="3"/>
  <c r="R102" i="3"/>
  <c r="R77" i="3"/>
  <c r="R73" i="3"/>
  <c r="R71" i="3"/>
  <c r="R69" i="3"/>
  <c r="R61" i="3"/>
  <c r="R57" i="3"/>
  <c r="R55" i="3"/>
  <c r="R1355" i="39"/>
  <c r="R1353" i="39"/>
  <c r="R1352" i="39"/>
  <c r="R1339" i="39"/>
  <c r="R1337" i="39"/>
  <c r="R1336" i="39"/>
  <c r="R1323" i="39"/>
  <c r="R1321" i="39"/>
  <c r="R1320" i="39"/>
  <c r="R1307" i="39"/>
  <c r="R1305" i="39"/>
  <c r="R1304" i="39"/>
  <c r="R1291" i="39"/>
  <c r="R1289" i="39"/>
  <c r="R1288" i="39"/>
  <c r="R1275" i="39"/>
  <c r="R1273" i="39"/>
  <c r="R1272" i="39"/>
  <c r="R1259" i="39"/>
  <c r="R1257" i="39"/>
  <c r="R1256" i="39"/>
  <c r="R1243" i="39"/>
  <c r="R1241" i="39"/>
  <c r="R1240" i="39"/>
  <c r="R1226" i="39"/>
  <c r="R1224" i="39"/>
  <c r="R1223" i="39"/>
  <c r="R1210" i="39"/>
  <c r="R1208" i="39"/>
  <c r="R1207" i="39"/>
  <c r="R1194" i="39"/>
  <c r="R1192" i="39"/>
  <c r="R1191" i="39"/>
  <c r="R1178" i="39"/>
  <c r="R1176" i="39"/>
  <c r="R1175" i="39"/>
  <c r="R1162" i="39"/>
  <c r="R1160" i="39"/>
  <c r="R1159" i="39"/>
  <c r="R1144" i="39"/>
  <c r="R1142" i="39"/>
  <c r="R1141" i="39"/>
  <c r="R1128" i="39"/>
  <c r="R1126" i="39"/>
  <c r="R1125" i="39"/>
  <c r="R1112" i="39"/>
  <c r="R1110" i="39"/>
  <c r="R1109" i="39"/>
  <c r="R1096" i="39"/>
  <c r="R1094" i="39"/>
  <c r="R1093" i="39"/>
  <c r="R1080" i="39"/>
  <c r="R1078" i="39"/>
  <c r="R1077" i="39"/>
  <c r="R1064" i="39"/>
  <c r="R1062" i="39"/>
  <c r="R1061" i="39"/>
  <c r="R1048" i="39"/>
  <c r="R1046" i="39"/>
  <c r="R1045" i="39"/>
  <c r="R1032" i="39"/>
  <c r="R1030" i="39"/>
  <c r="R1029" i="39"/>
  <c r="R1016" i="39"/>
  <c r="R1014" i="39"/>
  <c r="R1013" i="39"/>
  <c r="R1000" i="39"/>
  <c r="R998" i="39"/>
  <c r="R997" i="39"/>
  <c r="R984" i="39"/>
  <c r="R982" i="39"/>
  <c r="R981" i="39"/>
  <c r="R968" i="39"/>
  <c r="R966" i="39"/>
  <c r="R965" i="39"/>
  <c r="R952" i="39"/>
  <c r="R950" i="39"/>
  <c r="R949" i="39"/>
  <c r="R936" i="39"/>
  <c r="R934" i="39"/>
  <c r="R933" i="39"/>
  <c r="R920" i="39"/>
  <c r="R918" i="39"/>
  <c r="R917" i="39"/>
  <c r="R904" i="39"/>
  <c r="R902" i="39"/>
  <c r="R901" i="39"/>
  <c r="R888" i="39"/>
  <c r="R886" i="39"/>
  <c r="R885" i="39"/>
  <c r="R872" i="39"/>
  <c r="R870" i="39"/>
  <c r="R869" i="39"/>
  <c r="R856" i="39"/>
  <c r="R854" i="39"/>
  <c r="R853" i="39"/>
  <c r="R832" i="39"/>
  <c r="R830" i="39"/>
  <c r="R829" i="39"/>
  <c r="R812" i="39"/>
  <c r="R810" i="39"/>
  <c r="R809" i="39"/>
  <c r="R796" i="39"/>
  <c r="R794" i="39"/>
  <c r="R793" i="39"/>
  <c r="R780" i="39"/>
  <c r="R778" i="39"/>
  <c r="R777" i="39"/>
  <c r="R764" i="39"/>
  <c r="R762" i="39"/>
  <c r="R761" i="39"/>
  <c r="R748" i="39"/>
  <c r="R746" i="39"/>
  <c r="R745" i="39"/>
  <c r="R732" i="39"/>
  <c r="R730" i="39"/>
  <c r="R729" i="39"/>
  <c r="R716" i="39"/>
  <c r="R714" i="39"/>
  <c r="R713" i="39"/>
  <c r="R700" i="39"/>
  <c r="R698" i="39"/>
  <c r="R697" i="39"/>
  <c r="R684" i="39"/>
  <c r="R682" i="39"/>
  <c r="R681" i="39"/>
  <c r="R668" i="39"/>
  <c r="R666" i="39"/>
  <c r="R665" i="39"/>
  <c r="R652" i="39"/>
  <c r="R650" i="39"/>
  <c r="R649" i="39"/>
  <c r="R636" i="39"/>
  <c r="R634" i="39"/>
  <c r="R633" i="39"/>
  <c r="R620" i="39"/>
  <c r="R618" i="39"/>
  <c r="R617" i="39"/>
  <c r="R604" i="39"/>
  <c r="R602" i="39"/>
  <c r="R601" i="39"/>
  <c r="R588" i="39"/>
  <c r="R586" i="39"/>
  <c r="R585" i="39"/>
  <c r="R572" i="39"/>
  <c r="R570" i="39"/>
  <c r="R569" i="39"/>
  <c r="R556" i="39"/>
  <c r="R554" i="39"/>
  <c r="R553" i="39"/>
  <c r="R540" i="39"/>
  <c r="R538" i="39"/>
  <c r="R537" i="39"/>
  <c r="R524" i="39"/>
  <c r="R522" i="39"/>
  <c r="R521" i="39"/>
  <c r="R508" i="39"/>
  <c r="R506" i="39"/>
  <c r="R505" i="39"/>
  <c r="R500" i="39"/>
  <c r="R498" i="39"/>
  <c r="R497" i="39"/>
  <c r="R484" i="39"/>
  <c r="R482" i="39"/>
  <c r="R481" i="39"/>
  <c r="R468" i="39"/>
  <c r="R466" i="39"/>
  <c r="R465" i="39"/>
  <c r="R452" i="39"/>
  <c r="R450" i="39"/>
  <c r="R449" i="39"/>
  <c r="R436" i="39"/>
  <c r="R434" i="39"/>
  <c r="R433" i="39"/>
  <c r="R420" i="39"/>
  <c r="R418" i="39"/>
  <c r="R417" i="39"/>
  <c r="R404" i="39"/>
  <c r="R402" i="39"/>
  <c r="R401" i="39"/>
  <c r="R388" i="39"/>
  <c r="R386" i="39"/>
  <c r="R385" i="39"/>
  <c r="R372" i="39"/>
  <c r="R370" i="39"/>
  <c r="R369" i="39"/>
  <c r="R368" i="39"/>
  <c r="R366" i="39"/>
  <c r="R365" i="39"/>
  <c r="R352" i="39"/>
  <c r="R350" i="39"/>
  <c r="R349" i="39"/>
  <c r="R336" i="39"/>
  <c r="R334" i="39"/>
  <c r="R333" i="39"/>
  <c r="R320" i="39"/>
  <c r="R318" i="39"/>
  <c r="R317" i="39"/>
  <c r="R302" i="39"/>
  <c r="R300" i="39"/>
  <c r="R299" i="39"/>
  <c r="R286" i="39"/>
  <c r="R284" i="39"/>
  <c r="R283" i="39"/>
  <c r="R270" i="39"/>
  <c r="R268" i="39"/>
  <c r="R267" i="39"/>
  <c r="R254" i="39"/>
  <c r="R252" i="39"/>
  <c r="R251" i="39"/>
  <c r="R238" i="39"/>
  <c r="R236" i="39"/>
  <c r="R235" i="39"/>
  <c r="R222" i="39"/>
  <c r="R220" i="39"/>
  <c r="R219" i="39"/>
  <c r="R205" i="39"/>
  <c r="R203" i="39"/>
  <c r="R202" i="39"/>
  <c r="R189" i="39"/>
  <c r="R187" i="39"/>
  <c r="R186" i="39"/>
  <c r="R173" i="39"/>
  <c r="R171" i="39"/>
  <c r="R170" i="39"/>
  <c r="R103" i="39"/>
  <c r="R39" i="39"/>
  <c r="R71" i="39"/>
  <c r="R55" i="39"/>
  <c r="R47" i="39"/>
  <c r="R43" i="39"/>
  <c r="R41" i="39"/>
  <c r="R40" i="39"/>
  <c r="R1357" i="39"/>
  <c r="R1356" i="39"/>
  <c r="R1349" i="39"/>
  <c r="R1348" i="39"/>
  <c r="R1341" i="39"/>
  <c r="R1340" i="39"/>
  <c r="R1333" i="39"/>
  <c r="R1332" i="39"/>
  <c r="R1325" i="39"/>
  <c r="R1324" i="39"/>
  <c r="R1317" i="39"/>
  <c r="R1316" i="39"/>
  <c r="R1309" i="39"/>
  <c r="R1308" i="39"/>
  <c r="R1301" i="39"/>
  <c r="R1300" i="39"/>
  <c r="R1293" i="39"/>
  <c r="R1292" i="39"/>
  <c r="R1285" i="39"/>
  <c r="R1284" i="39"/>
  <c r="R1277" i="39"/>
  <c r="R1276" i="39"/>
  <c r="R1269" i="39"/>
  <c r="R1268" i="39"/>
  <c r="R1261" i="39"/>
  <c r="R1260" i="39"/>
  <c r="R1253" i="39"/>
  <c r="R1252" i="39"/>
  <c r="R1245" i="39"/>
  <c r="R1244" i="39"/>
  <c r="R1237" i="39"/>
  <c r="R1236" i="39"/>
  <c r="R1229" i="39"/>
  <c r="R1228" i="39"/>
  <c r="R1227" i="39"/>
  <c r="R1220" i="39"/>
  <c r="R1219" i="39"/>
  <c r="R1212" i="39"/>
  <c r="R1211" i="39"/>
  <c r="R1204" i="39"/>
  <c r="R1203" i="39"/>
  <c r="R1196" i="39"/>
  <c r="R1195" i="39"/>
  <c r="R1188" i="39"/>
  <c r="R1187" i="39"/>
  <c r="R1180" i="39"/>
  <c r="R1179" i="39"/>
  <c r="R1172" i="39"/>
  <c r="R1171" i="39"/>
  <c r="R1164" i="39"/>
  <c r="R1163" i="39"/>
  <c r="R1156" i="39"/>
  <c r="R1155" i="39"/>
  <c r="R1154" i="39"/>
  <c r="R1153" i="39"/>
  <c r="R1146" i="39"/>
  <c r="R1145" i="39"/>
  <c r="R1138" i="39"/>
  <c r="R1137" i="39"/>
  <c r="R1130" i="39"/>
  <c r="R1129" i="39"/>
  <c r="R1122" i="39"/>
  <c r="R1121" i="39"/>
  <c r="R1114" i="39"/>
  <c r="R1113" i="39"/>
  <c r="R1106" i="39"/>
  <c r="R1105" i="39"/>
  <c r="R1098" i="39"/>
  <c r="R1097" i="39"/>
  <c r="R1090" i="39"/>
  <c r="R1089" i="39"/>
  <c r="R1082" i="39"/>
  <c r="R1081" i="39"/>
  <c r="R1074" i="39"/>
  <c r="R1073" i="39"/>
  <c r="R1066" i="39"/>
  <c r="R1065" i="39"/>
  <c r="R1058" i="39"/>
  <c r="R1057" i="39"/>
  <c r="R1050" i="39"/>
  <c r="R1049" i="39"/>
  <c r="R1042" i="39"/>
  <c r="R1041" i="39"/>
  <c r="R1034" i="39"/>
  <c r="R1033" i="39"/>
  <c r="R1026" i="39"/>
  <c r="R1025" i="39"/>
  <c r="R1018" i="39"/>
  <c r="R1017" i="39"/>
  <c r="R1010" i="39"/>
  <c r="R1009" i="39"/>
  <c r="R1002" i="39"/>
  <c r="R1001" i="39"/>
  <c r="R994" i="39"/>
  <c r="R993" i="39"/>
  <c r="R986" i="39"/>
  <c r="R985" i="39"/>
  <c r="R978" i="39"/>
  <c r="R977" i="39"/>
  <c r="R970" i="39"/>
  <c r="R969" i="39"/>
  <c r="R962" i="39"/>
  <c r="R961" i="39"/>
  <c r="R954" i="39"/>
  <c r="R953" i="39"/>
  <c r="R946" i="39"/>
  <c r="R945" i="39"/>
  <c r="R938" i="39"/>
  <c r="R937" i="39"/>
  <c r="R930" i="39"/>
  <c r="R929" i="39"/>
  <c r="R922" i="39"/>
  <c r="R921" i="39"/>
  <c r="R914" i="39"/>
  <c r="R913" i="39"/>
  <c r="R906" i="39"/>
  <c r="R905" i="39"/>
  <c r="R898" i="39"/>
  <c r="R897" i="39"/>
  <c r="R890" i="39"/>
  <c r="R889" i="39"/>
  <c r="R882" i="39"/>
  <c r="R881" i="39"/>
  <c r="R874" i="39"/>
  <c r="R873" i="39"/>
  <c r="R866" i="39"/>
  <c r="R865" i="39"/>
  <c r="R858" i="39"/>
  <c r="R857" i="39"/>
  <c r="R850" i="39"/>
  <c r="R849" i="39"/>
  <c r="R842" i="39"/>
  <c r="R841" i="39"/>
  <c r="R834" i="39"/>
  <c r="R833" i="39"/>
  <c r="R826" i="39"/>
  <c r="R825" i="39"/>
  <c r="R821" i="39"/>
  <c r="R814" i="39"/>
  <c r="R813" i="39"/>
  <c r="R806" i="39"/>
  <c r="R805" i="39"/>
  <c r="R798" i="39"/>
  <c r="R797" i="39"/>
  <c r="R790" i="39"/>
  <c r="R789" i="39"/>
  <c r="R782" i="39"/>
  <c r="R781" i="39"/>
  <c r="R774" i="39"/>
  <c r="R773" i="39"/>
  <c r="R766" i="39"/>
  <c r="R765" i="39"/>
  <c r="R758" i="39"/>
  <c r="R757" i="39"/>
  <c r="R750" i="39"/>
  <c r="R749" i="39"/>
  <c r="R742" i="39"/>
  <c r="R741" i="39"/>
  <c r="R734" i="39"/>
  <c r="R733" i="39"/>
  <c r="R726" i="39"/>
  <c r="R725" i="39"/>
  <c r="R718" i="39"/>
  <c r="R717" i="39"/>
  <c r="R710" i="39"/>
  <c r="R709" i="39"/>
  <c r="R702" i="39"/>
  <c r="R701" i="39"/>
  <c r="R694" i="39"/>
  <c r="R693" i="39"/>
  <c r="R686" i="39"/>
  <c r="R685" i="39"/>
  <c r="R678" i="39"/>
  <c r="R677" i="39"/>
  <c r="R670" i="39"/>
  <c r="R669" i="39"/>
  <c r="R662" i="39"/>
  <c r="R661" i="39"/>
  <c r="R654" i="39"/>
  <c r="R653" i="39"/>
  <c r="R646" i="39"/>
  <c r="R645" i="39"/>
  <c r="R638" i="39"/>
  <c r="R637" i="39"/>
  <c r="R630" i="39"/>
  <c r="R629" i="39"/>
  <c r="R622" i="39"/>
  <c r="R621" i="39"/>
  <c r="R614" i="39"/>
  <c r="R613" i="39"/>
  <c r="R606" i="39"/>
  <c r="R605" i="39"/>
  <c r="R598" i="39"/>
  <c r="R597" i="39"/>
  <c r="R590" i="39"/>
  <c r="R589" i="39"/>
  <c r="R582" i="39"/>
  <c r="R581" i="39"/>
  <c r="R574" i="39"/>
  <c r="R573" i="39"/>
  <c r="R566" i="39"/>
  <c r="R565" i="39"/>
  <c r="R558" i="39"/>
  <c r="R557" i="39"/>
  <c r="R550" i="39"/>
  <c r="R549" i="39"/>
  <c r="R542" i="39"/>
  <c r="R541" i="39"/>
  <c r="R534" i="39"/>
  <c r="R533" i="39"/>
  <c r="R526" i="39"/>
  <c r="R525" i="39"/>
  <c r="R518" i="39"/>
  <c r="R517" i="39"/>
  <c r="R510" i="39"/>
  <c r="R509" i="39"/>
  <c r="R502" i="39"/>
  <c r="R501" i="39"/>
  <c r="R494" i="39"/>
  <c r="R493" i="39"/>
  <c r="R486" i="39"/>
  <c r="R485" i="39"/>
  <c r="R478" i="39"/>
  <c r="R477" i="39"/>
  <c r="R470" i="39"/>
  <c r="R469" i="39"/>
  <c r="R462" i="39"/>
  <c r="R461" i="39"/>
  <c r="R454" i="39"/>
  <c r="R453" i="39"/>
  <c r="R446" i="39"/>
  <c r="R445" i="39"/>
  <c r="R438" i="39"/>
  <c r="R437" i="39"/>
  <c r="R430" i="39"/>
  <c r="R429" i="39"/>
  <c r="R422" i="39"/>
  <c r="R421" i="39"/>
  <c r="R414" i="39"/>
  <c r="R413" i="39"/>
  <c r="R406" i="39"/>
  <c r="R405" i="39"/>
  <c r="R398" i="39"/>
  <c r="R397" i="39"/>
  <c r="R390" i="39"/>
  <c r="R389" i="39"/>
  <c r="R382" i="39"/>
  <c r="R381" i="39"/>
  <c r="R374" i="39"/>
  <c r="R373" i="39"/>
  <c r="R362" i="39"/>
  <c r="R361" i="39"/>
  <c r="R354" i="39"/>
  <c r="R353" i="39"/>
  <c r="R346" i="39"/>
  <c r="R345" i="39"/>
  <c r="R338" i="39"/>
  <c r="R337" i="39"/>
  <c r="R330" i="39"/>
  <c r="R329" i="39"/>
  <c r="R322" i="39"/>
  <c r="R321" i="39"/>
  <c r="R314" i="39"/>
  <c r="R313" i="39"/>
  <c r="R306" i="39"/>
  <c r="R304" i="39"/>
  <c r="R303" i="39"/>
  <c r="R296" i="39"/>
  <c r="R295" i="39"/>
  <c r="R288" i="39"/>
  <c r="R287" i="39"/>
  <c r="R280" i="39"/>
  <c r="R279" i="39"/>
  <c r="R272" i="39"/>
  <c r="R271" i="39"/>
  <c r="R264" i="39"/>
  <c r="R263" i="39"/>
  <c r="R256" i="39"/>
  <c r="R255" i="39"/>
  <c r="R248" i="39"/>
  <c r="R247" i="39"/>
  <c r="R240" i="39"/>
  <c r="R239" i="39"/>
  <c r="R232" i="39"/>
  <c r="R231" i="39"/>
  <c r="R224" i="39"/>
  <c r="R223" i="39"/>
  <c r="R216" i="39"/>
  <c r="R215" i="39"/>
  <c r="R208" i="39"/>
  <c r="R207" i="39"/>
  <c r="R206" i="39"/>
  <c r="R199" i="39"/>
  <c r="R198" i="39"/>
  <c r="R191" i="39"/>
  <c r="R190" i="39"/>
  <c r="R183" i="39"/>
  <c r="R182" i="39"/>
  <c r="R175" i="39"/>
  <c r="R174" i="39"/>
  <c r="R167" i="39"/>
  <c r="R166" i="39"/>
  <c r="R135" i="39"/>
  <c r="R119" i="39"/>
  <c r="R111" i="39"/>
  <c r="R107" i="39"/>
  <c r="R105" i="39"/>
  <c r="R104" i="39"/>
  <c r="R1358" i="39"/>
  <c r="R1354" i="39"/>
  <c r="R1350" i="39"/>
  <c r="R1346" i="39"/>
  <c r="R1342" i="39"/>
  <c r="R1338" i="39"/>
  <c r="R1334" i="39"/>
  <c r="R1330" i="39"/>
  <c r="R1326" i="39"/>
  <c r="R1322" i="39"/>
  <c r="R1318" i="39"/>
  <c r="R1314" i="39"/>
  <c r="R1310" i="39"/>
  <c r="R1306" i="39"/>
  <c r="R1302" i="39"/>
  <c r="R1298" i="39"/>
  <c r="R1294" i="39"/>
  <c r="R1290" i="39"/>
  <c r="R1286" i="39"/>
  <c r="R1282" i="39"/>
  <c r="R1278" i="39"/>
  <c r="R1274" i="39"/>
  <c r="R1270" i="39"/>
  <c r="R1266" i="39"/>
  <c r="R1262" i="39"/>
  <c r="R1258" i="39"/>
  <c r="R1254" i="39"/>
  <c r="R1250" i="39"/>
  <c r="R1246" i="39"/>
  <c r="R1242" i="39"/>
  <c r="R1238" i="39"/>
  <c r="R1234" i="39"/>
  <c r="R1230" i="39"/>
  <c r="R1225" i="39"/>
  <c r="R1221" i="39"/>
  <c r="R1217" i="39"/>
  <c r="R1213" i="39"/>
  <c r="R1209" i="39"/>
  <c r="R1205" i="39"/>
  <c r="R1201" i="39"/>
  <c r="R1197" i="39"/>
  <c r="R1193" i="39"/>
  <c r="R1189" i="39"/>
  <c r="R1185" i="39"/>
  <c r="R1181" i="39"/>
  <c r="R1177" i="39"/>
  <c r="R1173" i="39"/>
  <c r="R1169" i="39"/>
  <c r="R1165" i="39"/>
  <c r="R1161" i="39"/>
  <c r="R1157" i="39"/>
  <c r="R1151" i="39"/>
  <c r="R1147" i="39"/>
  <c r="R1143" i="39"/>
  <c r="R1139" i="39"/>
  <c r="R1135" i="39"/>
  <c r="R1131" i="39"/>
  <c r="R1127" i="39"/>
  <c r="R1123" i="39"/>
  <c r="R1119" i="39"/>
  <c r="R1115" i="39"/>
  <c r="R1111" i="39"/>
  <c r="R1107" i="39"/>
  <c r="R1103" i="39"/>
  <c r="R1099" i="39"/>
  <c r="R1095" i="39"/>
  <c r="R1091" i="39"/>
  <c r="R1087" i="39"/>
  <c r="R1083" i="39"/>
  <c r="R1079" i="39"/>
  <c r="R1075" i="39"/>
  <c r="R1071" i="39"/>
  <c r="R1067" i="39"/>
  <c r="R1063" i="39"/>
  <c r="R1059" i="39"/>
  <c r="R1055" i="39"/>
  <c r="R1051" i="39"/>
  <c r="R1047" i="39"/>
  <c r="R1043" i="39"/>
  <c r="R1039" i="39"/>
  <c r="R1035" i="39"/>
  <c r="R1031" i="39"/>
  <c r="R1027" i="39"/>
  <c r="R1023" i="39"/>
  <c r="R1019" i="39"/>
  <c r="R1015" i="39"/>
  <c r="R1011" i="39"/>
  <c r="R1007" i="39"/>
  <c r="R1003" i="39"/>
  <c r="R999" i="39"/>
  <c r="R995" i="39"/>
  <c r="R991" i="39"/>
  <c r="R987" i="39"/>
  <c r="R983" i="39"/>
  <c r="R979" i="39"/>
  <c r="R975" i="39"/>
  <c r="R971" i="39"/>
  <c r="R967" i="39"/>
  <c r="R963" i="39"/>
  <c r="R959" i="39"/>
  <c r="R955" i="39"/>
  <c r="R951" i="39"/>
  <c r="R947" i="39"/>
  <c r="R943" i="39"/>
  <c r="R939" i="39"/>
  <c r="R935" i="39"/>
  <c r="R931" i="39"/>
  <c r="R927" i="39"/>
  <c r="R923" i="39"/>
  <c r="R919" i="39"/>
  <c r="R915" i="39"/>
  <c r="R911" i="39"/>
  <c r="R907" i="39"/>
  <c r="R903" i="39"/>
  <c r="R899" i="39"/>
  <c r="R895" i="39"/>
  <c r="R891" i="39"/>
  <c r="R887" i="39"/>
  <c r="R883" i="39"/>
  <c r="R879" i="39"/>
  <c r="R875" i="39"/>
  <c r="R871" i="39"/>
  <c r="R867" i="39"/>
  <c r="R863" i="39"/>
  <c r="R859" i="39"/>
  <c r="R855" i="39"/>
  <c r="R851" i="39"/>
  <c r="R847" i="39"/>
  <c r="R843" i="39"/>
  <c r="R839" i="39"/>
  <c r="R835" i="39"/>
  <c r="R831" i="39"/>
  <c r="R827" i="39"/>
  <c r="R823" i="39"/>
  <c r="R819" i="39"/>
  <c r="R815" i="39"/>
  <c r="R811" i="39"/>
  <c r="R807" i="39"/>
  <c r="R803" i="39"/>
  <c r="R799" i="39"/>
  <c r="R795" i="39"/>
  <c r="R791" i="39"/>
  <c r="R787" i="39"/>
  <c r="R783" i="39"/>
  <c r="R779" i="39"/>
  <c r="R775" i="39"/>
  <c r="R771" i="39"/>
  <c r="R767" i="39"/>
  <c r="R763" i="39"/>
  <c r="R759" i="39"/>
  <c r="R755" i="39"/>
  <c r="R751" i="39"/>
  <c r="R747" i="39"/>
  <c r="R743" i="39"/>
  <c r="R739" i="39"/>
  <c r="R735" i="39"/>
  <c r="R731" i="39"/>
  <c r="R727" i="39"/>
  <c r="R723" i="39"/>
  <c r="R719" i="39"/>
  <c r="R715" i="39"/>
  <c r="R711" i="39"/>
  <c r="R707" i="39"/>
  <c r="R703" i="39"/>
  <c r="R699" i="39"/>
  <c r="R695" i="39"/>
  <c r="R691" i="39"/>
  <c r="R687" i="39"/>
  <c r="R683" i="39"/>
  <c r="R679" i="39"/>
  <c r="R675" i="39"/>
  <c r="R671" i="39"/>
  <c r="R667" i="39"/>
  <c r="R663" i="39"/>
  <c r="R659" i="39"/>
  <c r="R655" i="39"/>
  <c r="R651" i="39"/>
  <c r="R647" i="39"/>
  <c r="R643" i="39"/>
  <c r="R639" i="39"/>
  <c r="R635" i="39"/>
  <c r="R631" i="39"/>
  <c r="R627" i="39"/>
  <c r="R623" i="39"/>
  <c r="R619" i="39"/>
  <c r="R615" i="39"/>
  <c r="R611" i="39"/>
  <c r="R607" i="39"/>
  <c r="R603" i="39"/>
  <c r="R599" i="39"/>
  <c r="R595" i="39"/>
  <c r="R591" i="39"/>
  <c r="R587" i="39"/>
  <c r="R583" i="39"/>
  <c r="R579" i="39"/>
  <c r="R575" i="39"/>
  <c r="R571" i="39"/>
  <c r="R567" i="39"/>
  <c r="R563" i="39"/>
  <c r="R559" i="39"/>
  <c r="R555" i="39"/>
  <c r="R551" i="39"/>
  <c r="R547" i="39"/>
  <c r="R543" i="39"/>
  <c r="R539" i="39"/>
  <c r="R535" i="39"/>
  <c r="R531" i="39"/>
  <c r="R527" i="39"/>
  <c r="R523" i="39"/>
  <c r="R519" i="39"/>
  <c r="R515" i="39"/>
  <c r="R511" i="39"/>
  <c r="R507" i="39"/>
  <c r="R503" i="39"/>
  <c r="R499" i="39"/>
  <c r="R495" i="39"/>
  <c r="R491" i="39"/>
  <c r="R487" i="39"/>
  <c r="R483" i="39"/>
  <c r="R479" i="39"/>
  <c r="R475" i="39"/>
  <c r="R471" i="39"/>
  <c r="R467" i="39"/>
  <c r="R463" i="39"/>
  <c r="R459" i="39"/>
  <c r="R455" i="39"/>
  <c r="R451" i="39"/>
  <c r="R447" i="39"/>
  <c r="R443" i="39"/>
  <c r="R439" i="39"/>
  <c r="R435" i="39"/>
  <c r="R431" i="39"/>
  <c r="R427" i="39"/>
  <c r="R423" i="39"/>
  <c r="R419" i="39"/>
  <c r="R415" i="39"/>
  <c r="R411" i="39"/>
  <c r="R407" i="39"/>
  <c r="R403" i="39"/>
  <c r="R399" i="39"/>
  <c r="R395" i="39"/>
  <c r="R391" i="39"/>
  <c r="R387" i="39"/>
  <c r="R383" i="39"/>
  <c r="R379" i="39"/>
  <c r="R375" i="39"/>
  <c r="R371" i="39"/>
  <c r="R367" i="39"/>
  <c r="R363" i="39"/>
  <c r="R359" i="39"/>
  <c r="R355" i="39"/>
  <c r="R351" i="39"/>
  <c r="R347" i="39"/>
  <c r="R343" i="39"/>
  <c r="R339" i="39"/>
  <c r="R335" i="39"/>
  <c r="R331" i="39"/>
  <c r="R327" i="39"/>
  <c r="R323" i="39"/>
  <c r="R319" i="39"/>
  <c r="R315" i="39"/>
  <c r="R311" i="39"/>
  <c r="R307" i="39"/>
  <c r="R305" i="39"/>
  <c r="R301" i="39"/>
  <c r="R297" i="39"/>
  <c r="R293" i="39"/>
  <c r="R289" i="39"/>
  <c r="R285" i="39"/>
  <c r="R281" i="39"/>
  <c r="R277" i="39"/>
  <c r="R273" i="39"/>
  <c r="R269" i="39"/>
  <c r="R265" i="39"/>
  <c r="R261" i="39"/>
  <c r="R257" i="39"/>
  <c r="R253" i="39"/>
  <c r="R249" i="39"/>
  <c r="R245" i="39"/>
  <c r="R241" i="39"/>
  <c r="R237" i="39"/>
  <c r="R233" i="39"/>
  <c r="R229" i="39"/>
  <c r="R225" i="39"/>
  <c r="R221" i="39"/>
  <c r="R217" i="39"/>
  <c r="R213" i="39"/>
  <c r="R209" i="39"/>
  <c r="R204" i="39"/>
  <c r="R200" i="39"/>
  <c r="R196" i="39"/>
  <c r="R192" i="39"/>
  <c r="R188" i="39"/>
  <c r="R184" i="39"/>
  <c r="R180" i="39"/>
  <c r="R176" i="39"/>
  <c r="R172" i="39"/>
  <c r="R168" i="39"/>
  <c r="R164" i="39"/>
  <c r="R160" i="39"/>
  <c r="R151" i="39"/>
  <c r="R143" i="39"/>
  <c r="R139" i="39"/>
  <c r="R137" i="39"/>
  <c r="R136" i="39"/>
  <c r="R87" i="39"/>
  <c r="R79" i="39"/>
  <c r="R75" i="39"/>
  <c r="R73" i="39"/>
  <c r="R72" i="39"/>
  <c r="R1355" i="38"/>
  <c r="R1354" i="38"/>
  <c r="R1347" i="38"/>
  <c r="R1346" i="38"/>
  <c r="R1339" i="38"/>
  <c r="R1338" i="38"/>
  <c r="R1330" i="38"/>
  <c r="R1282" i="38"/>
  <c r="R1225" i="38"/>
  <c r="R1177" i="38"/>
  <c r="R1161" i="38"/>
  <c r="R1153" i="38"/>
  <c r="R1145" i="38"/>
  <c r="R1001" i="38"/>
  <c r="R993" i="38"/>
  <c r="R953" i="38"/>
  <c r="R833" i="38"/>
  <c r="R817" i="38"/>
  <c r="R810" i="38"/>
  <c r="R809" i="38"/>
  <c r="R802" i="38"/>
  <c r="R801" i="38"/>
  <c r="R794" i="38"/>
  <c r="R793" i="38"/>
  <c r="R698" i="38"/>
  <c r="R697" i="38"/>
  <c r="R682" i="38"/>
  <c r="R681" i="38"/>
  <c r="R674" i="38"/>
  <c r="R673" i="38"/>
  <c r="R666" i="38"/>
  <c r="R665" i="38"/>
  <c r="R658" i="38"/>
  <c r="R657" i="38"/>
  <c r="R650" i="38"/>
  <c r="R649" i="38"/>
  <c r="R642" i="38"/>
  <c r="R641" i="38"/>
  <c r="R634" i="38"/>
  <c r="R633" i="38"/>
  <c r="R1319" i="38"/>
  <c r="R1318" i="38"/>
  <c r="R1311" i="38"/>
  <c r="R1310" i="38"/>
  <c r="R1302" i="38"/>
  <c r="R1295" i="38"/>
  <c r="R1294" i="38"/>
  <c r="R1262" i="38"/>
  <c r="R1255" i="38"/>
  <c r="R1254" i="38"/>
  <c r="R1246" i="38"/>
  <c r="R1238" i="38"/>
  <c r="R1213" i="38"/>
  <c r="R1205" i="38"/>
  <c r="R1134" i="38"/>
  <c r="R1133" i="38"/>
  <c r="R1126" i="38"/>
  <c r="R1125" i="38"/>
  <c r="R1118" i="38"/>
  <c r="R1117" i="38"/>
  <c r="R1110" i="38"/>
  <c r="R1109" i="38"/>
  <c r="R1102" i="38"/>
  <c r="R1101" i="38"/>
  <c r="R1093" i="38"/>
  <c r="R1086" i="38"/>
  <c r="R1085" i="38"/>
  <c r="R1078" i="38"/>
  <c r="R1077" i="38"/>
  <c r="R1070" i="38"/>
  <c r="R1069" i="38"/>
  <c r="R1062" i="38"/>
  <c r="R1061" i="38"/>
  <c r="R1054" i="38"/>
  <c r="R1053" i="38"/>
  <c r="R1046" i="38"/>
  <c r="R1045" i="38"/>
  <c r="R1037" i="38"/>
  <c r="R1030" i="38"/>
  <c r="R1029" i="38"/>
  <c r="R1022" i="38"/>
  <c r="R1021" i="38"/>
  <c r="R1013" i="38"/>
  <c r="R981" i="38"/>
  <c r="R965" i="38"/>
  <c r="R958" i="38"/>
  <c r="R957" i="38"/>
  <c r="R949" i="38"/>
  <c r="R942" i="38"/>
  <c r="R941" i="38"/>
  <c r="R933" i="38"/>
  <c r="R925" i="38"/>
  <c r="R918" i="38"/>
  <c r="R917" i="38"/>
  <c r="R910" i="38"/>
  <c r="R909" i="38"/>
  <c r="R902" i="38"/>
  <c r="R901" i="38"/>
  <c r="R894" i="38"/>
  <c r="R893" i="38"/>
  <c r="R886" i="38"/>
  <c r="R885" i="38"/>
  <c r="R877" i="38"/>
  <c r="R869" i="38"/>
  <c r="R862" i="38"/>
  <c r="R861" i="38"/>
  <c r="R854" i="38"/>
  <c r="R853" i="38"/>
  <c r="R846" i="38"/>
  <c r="R845" i="38"/>
  <c r="R781" i="38"/>
  <c r="R774" i="38"/>
  <c r="R773" i="38"/>
  <c r="R766" i="38"/>
  <c r="R765" i="38"/>
  <c r="R757" i="38"/>
  <c r="R750" i="38"/>
  <c r="R749" i="38"/>
  <c r="R742" i="38"/>
  <c r="R741" i="38"/>
  <c r="R734" i="38"/>
  <c r="R733" i="38"/>
  <c r="R725" i="38"/>
  <c r="R718" i="38"/>
  <c r="R717" i="38"/>
  <c r="R710" i="38"/>
  <c r="R709" i="38"/>
  <c r="R599" i="38"/>
  <c r="R583" i="38"/>
  <c r="R575" i="38"/>
  <c r="R567" i="38"/>
  <c r="R559" i="38"/>
  <c r="R535" i="38"/>
  <c r="R527" i="38"/>
  <c r="R407" i="38"/>
  <c r="R400" i="38"/>
  <c r="R399" i="38"/>
  <c r="R351" i="38"/>
  <c r="R311" i="38"/>
  <c r="R248" i="38"/>
  <c r="R247" i="38"/>
  <c r="R159" i="38"/>
  <c r="R74" i="38"/>
  <c r="R73" i="38"/>
  <c r="R630" i="38"/>
  <c r="R629" i="38"/>
  <c r="R622" i="38"/>
  <c r="R621" i="38"/>
  <c r="R614" i="38"/>
  <c r="R613" i="38"/>
  <c r="R603" i="38"/>
  <c r="R595" i="38"/>
  <c r="R540" i="38"/>
  <c r="R539" i="38"/>
  <c r="R523" i="38"/>
  <c r="R507" i="38"/>
  <c r="R499" i="38"/>
  <c r="R491" i="38"/>
  <c r="R484" i="38"/>
  <c r="R483" i="38"/>
  <c r="R475" i="38"/>
  <c r="R468" i="38"/>
  <c r="R467" i="38"/>
  <c r="R459" i="38"/>
  <c r="R443" i="38"/>
  <c r="R436" i="38"/>
  <c r="R435" i="38"/>
  <c r="R428" i="38"/>
  <c r="R427" i="38"/>
  <c r="R387" i="38"/>
  <c r="R371" i="38"/>
  <c r="R363" i="38"/>
  <c r="R355" i="38"/>
  <c r="R339" i="38"/>
  <c r="R331" i="38"/>
  <c r="R323" i="38"/>
  <c r="R316" i="38"/>
  <c r="R315" i="38"/>
  <c r="R307" i="38"/>
  <c r="R300" i="38"/>
  <c r="R299" i="38"/>
  <c r="R292" i="38"/>
  <c r="R41" i="38"/>
  <c r="R291" i="38"/>
  <c r="R284" i="38"/>
  <c r="R283" i="38"/>
  <c r="R276" i="38"/>
  <c r="R275" i="38"/>
  <c r="R268" i="38"/>
  <c r="R267" i="38"/>
  <c r="R260" i="38"/>
  <c r="R259" i="38"/>
  <c r="R252" i="38"/>
  <c r="R251" i="38"/>
  <c r="R244" i="38"/>
  <c r="R243" i="38"/>
  <c r="R236" i="38"/>
  <c r="R235" i="38"/>
  <c r="R228" i="38"/>
  <c r="R227" i="38"/>
  <c r="R220" i="38"/>
  <c r="R219" i="38"/>
  <c r="R212" i="38"/>
  <c r="R211" i="38"/>
  <c r="R203" i="38"/>
  <c r="R202" i="38"/>
  <c r="R195" i="38"/>
  <c r="R194" i="38"/>
  <c r="R187" i="38"/>
  <c r="R186" i="38"/>
  <c r="R179" i="38"/>
  <c r="R178" i="38"/>
  <c r="R171" i="38"/>
  <c r="R170" i="38"/>
  <c r="R163" i="38"/>
  <c r="R162" i="38"/>
  <c r="R155" i="38"/>
  <c r="R154" i="38"/>
  <c r="R129" i="38"/>
  <c r="R125" i="38"/>
  <c r="R123" i="38"/>
  <c r="R122" i="38"/>
  <c r="R97" i="38"/>
  <c r="R93" i="38"/>
  <c r="R91" i="38"/>
  <c r="R90" i="38"/>
  <c r="R65" i="38"/>
  <c r="R61" i="38"/>
  <c r="R59" i="38"/>
  <c r="R58" i="38"/>
  <c r="R1360" i="38"/>
  <c r="R1356" i="38"/>
  <c r="R1352" i="38"/>
  <c r="R1348" i="38"/>
  <c r="R1344" i="38"/>
  <c r="R1340" i="38"/>
  <c r="R1336" i="38"/>
  <c r="R1332" i="38"/>
  <c r="R1328" i="38"/>
  <c r="R1324" i="38"/>
  <c r="R1320" i="38"/>
  <c r="R1316" i="38"/>
  <c r="R1312" i="38"/>
  <c r="R1308" i="38"/>
  <c r="R1304" i="38"/>
  <c r="R1300" i="38"/>
  <c r="R1296" i="38"/>
  <c r="R1292" i="38"/>
  <c r="R1288" i="38"/>
  <c r="R1284" i="38"/>
  <c r="R1280" i="38"/>
  <c r="R1276" i="38"/>
  <c r="R1272" i="38"/>
  <c r="R1268" i="38"/>
  <c r="R1264" i="38"/>
  <c r="R1260" i="38"/>
  <c r="R1256" i="38"/>
  <c r="R1252" i="38"/>
  <c r="R1248" i="38"/>
  <c r="R1244" i="38"/>
  <c r="R1240" i="38"/>
  <c r="R1236" i="38"/>
  <c r="R1232" i="38"/>
  <c r="R1228" i="38"/>
  <c r="R1227" i="38"/>
  <c r="R1223" i="38"/>
  <c r="R1219" i="38"/>
  <c r="R1215" i="38"/>
  <c r="R1211" i="38"/>
  <c r="R1207" i="38"/>
  <c r="R1203" i="38"/>
  <c r="R1199" i="38"/>
  <c r="R1195" i="38"/>
  <c r="R1191" i="38"/>
  <c r="R1187" i="38"/>
  <c r="R1183" i="38"/>
  <c r="R1179" i="38"/>
  <c r="R1175" i="38"/>
  <c r="R1171" i="38"/>
  <c r="R1167" i="38"/>
  <c r="R1163" i="38"/>
  <c r="R1159" i="38"/>
  <c r="R1155" i="38"/>
  <c r="R1151" i="38"/>
  <c r="R1147" i="38"/>
  <c r="R1143" i="38"/>
  <c r="R1139" i="38"/>
  <c r="R1135" i="38"/>
  <c r="R1131" i="38"/>
  <c r="R1127" i="38"/>
  <c r="R1123" i="38"/>
  <c r="R1119" i="38"/>
  <c r="R1115" i="38"/>
  <c r="R1111" i="38"/>
  <c r="R1107" i="38"/>
  <c r="R1103" i="38"/>
  <c r="R1099" i="38"/>
  <c r="R1095" i="38"/>
  <c r="R1091" i="38"/>
  <c r="R1087" i="38"/>
  <c r="R1083" i="38"/>
  <c r="R1079" i="38"/>
  <c r="R1075" i="38"/>
  <c r="R1071" i="38"/>
  <c r="R1067" i="38"/>
  <c r="R1063" i="38"/>
  <c r="R1059" i="38"/>
  <c r="R1055" i="38"/>
  <c r="R1051" i="38"/>
  <c r="R1047" i="38"/>
  <c r="R1043" i="38"/>
  <c r="R1039" i="38"/>
  <c r="R1035" i="38"/>
  <c r="R1031" i="38"/>
  <c r="R1027" i="38"/>
  <c r="R1023" i="38"/>
  <c r="R1019" i="38"/>
  <c r="R1015" i="38"/>
  <c r="R1011" i="38"/>
  <c r="R1007" i="38"/>
  <c r="R1003" i="38"/>
  <c r="R999" i="38"/>
  <c r="R995" i="38"/>
  <c r="R991" i="38"/>
  <c r="R987" i="38"/>
  <c r="R983" i="38"/>
  <c r="R979" i="38"/>
  <c r="R975" i="38"/>
  <c r="R971" i="38"/>
  <c r="R967" i="38"/>
  <c r="R963" i="38"/>
  <c r="R959" i="38"/>
  <c r="R955" i="38"/>
  <c r="R951" i="38"/>
  <c r="R947" i="38"/>
  <c r="R943" i="38"/>
  <c r="R939" i="38"/>
  <c r="R935" i="38"/>
  <c r="R931" i="38"/>
  <c r="R927" i="38"/>
  <c r="R923" i="38"/>
  <c r="R919" i="38"/>
  <c r="R915" i="38"/>
  <c r="R911" i="38"/>
  <c r="R907" i="38"/>
  <c r="R903" i="38"/>
  <c r="R899" i="38"/>
  <c r="R895" i="38"/>
  <c r="R891" i="38"/>
  <c r="R887" i="38"/>
  <c r="R883" i="38"/>
  <c r="R879" i="38"/>
  <c r="R875" i="38"/>
  <c r="R871" i="38"/>
  <c r="R867" i="38"/>
  <c r="R863" i="38"/>
  <c r="R859" i="38"/>
  <c r="R855" i="38"/>
  <c r="R851" i="38"/>
  <c r="R847" i="38"/>
  <c r="R843" i="38"/>
  <c r="R839" i="38"/>
  <c r="R835" i="38"/>
  <c r="R831" i="38"/>
  <c r="R827" i="38"/>
  <c r="R823" i="38"/>
  <c r="R819" i="38"/>
  <c r="R815" i="38"/>
  <c r="R811" i="38"/>
  <c r="R807" i="38"/>
  <c r="R803" i="38"/>
  <c r="R799" i="38"/>
  <c r="R795" i="38"/>
  <c r="R791" i="38"/>
  <c r="R787" i="38"/>
  <c r="R783" i="38"/>
  <c r="R779" i="38"/>
  <c r="R775" i="38"/>
  <c r="R771" i="38"/>
  <c r="R767" i="38"/>
  <c r="R763" i="38"/>
  <c r="R759" i="38"/>
  <c r="R755" i="38"/>
  <c r="R751" i="38"/>
  <c r="R747" i="38"/>
  <c r="R743" i="38"/>
  <c r="R739" i="38"/>
  <c r="R735" i="38"/>
  <c r="R731" i="38"/>
  <c r="R727" i="38"/>
  <c r="R723" i="38"/>
  <c r="R719" i="38"/>
  <c r="R715" i="38"/>
  <c r="R711" i="38"/>
  <c r="R707" i="38"/>
  <c r="R703" i="38"/>
  <c r="R699" i="38"/>
  <c r="R695" i="38"/>
  <c r="R691" i="38"/>
  <c r="R687" i="38"/>
  <c r="R683" i="38"/>
  <c r="R679" i="38"/>
  <c r="R675" i="38"/>
  <c r="R671" i="38"/>
  <c r="R667" i="38"/>
  <c r="R663" i="38"/>
  <c r="R659" i="38"/>
  <c r="R655" i="38"/>
  <c r="R651" i="38"/>
  <c r="R647" i="38"/>
  <c r="R643" i="38"/>
  <c r="R639" i="38"/>
  <c r="R635" i="38"/>
  <c r="R631" i="38"/>
  <c r="R627" i="38"/>
  <c r="R623" i="38"/>
  <c r="R619" i="38"/>
  <c r="R615" i="38"/>
  <c r="R611" i="38"/>
  <c r="R605" i="38"/>
  <c r="R601" i="38"/>
  <c r="R597" i="38"/>
  <c r="R593" i="38"/>
  <c r="R589" i="38"/>
  <c r="R585" i="38"/>
  <c r="R581" i="38"/>
  <c r="R577" i="38"/>
  <c r="R573" i="38"/>
  <c r="R569" i="38"/>
  <c r="R565" i="38"/>
  <c r="R561" i="38"/>
  <c r="R557" i="38"/>
  <c r="R553" i="38"/>
  <c r="R549" i="38"/>
  <c r="R545" i="38"/>
  <c r="R541" i="38"/>
  <c r="R537" i="38"/>
  <c r="R533" i="38"/>
  <c r="R529" i="38"/>
  <c r="R525" i="38"/>
  <c r="R521" i="38"/>
  <c r="R517" i="38"/>
  <c r="R513" i="38"/>
  <c r="R509" i="38"/>
  <c r="R505" i="38"/>
  <c r="R501" i="38"/>
  <c r="R497" i="38"/>
  <c r="R493" i="38"/>
  <c r="R489" i="38"/>
  <c r="R485" i="38"/>
  <c r="R481" i="38"/>
  <c r="R477" i="38"/>
  <c r="R473" i="38"/>
  <c r="R469" i="38"/>
  <c r="R465" i="38"/>
  <c r="R461" i="38"/>
  <c r="R457" i="38"/>
  <c r="R453" i="38"/>
  <c r="R449" i="38"/>
  <c r="R445" i="38"/>
  <c r="R441" i="38"/>
  <c r="R437" i="38"/>
  <c r="R433" i="38"/>
  <c r="R429" i="38"/>
  <c r="R425" i="38"/>
  <c r="R421" i="38"/>
  <c r="R417" i="38"/>
  <c r="R413" i="38"/>
  <c r="R409" i="38"/>
  <c r="R405" i="38"/>
  <c r="R401" i="38"/>
  <c r="R397" i="38"/>
  <c r="R393" i="38"/>
  <c r="R389" i="38"/>
  <c r="R385" i="38"/>
  <c r="R381" i="38"/>
  <c r="R377" i="38"/>
  <c r="R373" i="38"/>
  <c r="R369" i="38"/>
  <c r="R365" i="38"/>
  <c r="R361" i="38"/>
  <c r="R357" i="38"/>
  <c r="R353" i="38"/>
  <c r="R349" i="38"/>
  <c r="R345" i="38"/>
  <c r="R341" i="38"/>
  <c r="R337" i="38"/>
  <c r="R333" i="38"/>
  <c r="R329" i="38"/>
  <c r="R325" i="38"/>
  <c r="R321" i="38"/>
  <c r="R317" i="38"/>
  <c r="R313" i="38"/>
  <c r="R309" i="38"/>
  <c r="R305" i="38"/>
  <c r="R301" i="38"/>
  <c r="R297" i="38"/>
  <c r="R293" i="38"/>
  <c r="R289" i="38"/>
  <c r="R285" i="38"/>
  <c r="R281" i="38"/>
  <c r="R277" i="38"/>
  <c r="R273" i="38"/>
  <c r="R269" i="38"/>
  <c r="R265" i="38"/>
  <c r="R261" i="38"/>
  <c r="R257" i="38"/>
  <c r="R253" i="38"/>
  <c r="R249" i="38"/>
  <c r="R245" i="38"/>
  <c r="R241" i="38"/>
  <c r="R237" i="38"/>
  <c r="R233" i="38"/>
  <c r="R229" i="38"/>
  <c r="R225" i="38"/>
  <c r="R221" i="38"/>
  <c r="R217" i="38"/>
  <c r="R213" i="38"/>
  <c r="R209" i="38"/>
  <c r="R204" i="38"/>
  <c r="R200" i="38"/>
  <c r="R196" i="38"/>
  <c r="R192" i="38"/>
  <c r="R188" i="38"/>
  <c r="R184" i="38"/>
  <c r="R180" i="38"/>
  <c r="R176" i="38"/>
  <c r="R172" i="38"/>
  <c r="R168" i="38"/>
  <c r="R164" i="38"/>
  <c r="R160" i="38"/>
  <c r="R156" i="38"/>
  <c r="R149" i="38"/>
  <c r="R147" i="38"/>
  <c r="R146" i="38"/>
  <c r="R133" i="38"/>
  <c r="R131" i="38"/>
  <c r="R130" i="38"/>
  <c r="R117" i="38"/>
  <c r="R115" i="38"/>
  <c r="R114" i="38"/>
  <c r="R101" i="38"/>
  <c r="R99" i="38"/>
  <c r="R98" i="38"/>
  <c r="R85" i="38"/>
  <c r="R83" i="38"/>
  <c r="R82" i="38"/>
  <c r="R69" i="38"/>
  <c r="R67" i="38"/>
  <c r="R66" i="38"/>
  <c r="R53" i="38"/>
  <c r="R51" i="38"/>
  <c r="R50" i="38"/>
  <c r="R107" i="37"/>
  <c r="R105" i="37"/>
  <c r="R103" i="37"/>
  <c r="R101" i="37"/>
  <c r="R99" i="37"/>
  <c r="R97" i="37"/>
  <c r="R95" i="37"/>
  <c r="R93" i="37"/>
  <c r="R91" i="37"/>
  <c r="R89" i="37"/>
  <c r="R87" i="37"/>
  <c r="R85" i="37"/>
  <c r="R83" i="37"/>
  <c r="R81" i="37"/>
  <c r="R79" i="37"/>
  <c r="R77" i="37"/>
  <c r="R75" i="37"/>
  <c r="R73" i="37"/>
  <c r="R71" i="37"/>
  <c r="R69" i="37"/>
  <c r="R67" i="37"/>
  <c r="R65" i="37"/>
  <c r="R63" i="37"/>
  <c r="R61" i="37"/>
  <c r="R59" i="37"/>
  <c r="R57" i="37"/>
  <c r="R55" i="37"/>
  <c r="R53" i="37"/>
  <c r="R51" i="37"/>
  <c r="R49" i="37"/>
  <c r="R47" i="37"/>
  <c r="R45" i="37"/>
  <c r="R43" i="37"/>
  <c r="R41" i="37"/>
  <c r="R39" i="37"/>
  <c r="R108" i="37"/>
  <c r="R106" i="37"/>
  <c r="R104" i="37"/>
  <c r="R102" i="37"/>
  <c r="R100" i="37"/>
  <c r="R98" i="37"/>
  <c r="R96" i="37"/>
  <c r="R94" i="37"/>
  <c r="R92" i="37"/>
  <c r="R90" i="37"/>
  <c r="R88" i="37"/>
  <c r="R86" i="37"/>
  <c r="R84" i="37"/>
  <c r="R82" i="37"/>
  <c r="R80" i="37"/>
  <c r="R78" i="37"/>
  <c r="R76" i="37"/>
  <c r="R74" i="37"/>
  <c r="R72" i="37"/>
  <c r="R70" i="37"/>
  <c r="R68" i="37"/>
  <c r="R66" i="37"/>
  <c r="R64" i="37"/>
  <c r="R62" i="37"/>
  <c r="R60" i="37"/>
  <c r="R58" i="37"/>
  <c r="R56" i="37"/>
  <c r="R54" i="37"/>
  <c r="R52" i="37"/>
  <c r="R50" i="37"/>
  <c r="R48" i="37"/>
  <c r="R46" i="37"/>
  <c r="R44" i="37"/>
  <c r="R42" i="37"/>
  <c r="R40" i="37"/>
  <c r="R38" i="37"/>
  <c r="R1270" i="3"/>
  <c r="R1266" i="3"/>
  <c r="R1262" i="3"/>
  <c r="R1258" i="3"/>
  <c r="R1254" i="3"/>
  <c r="R1250" i="3"/>
  <c r="R1246" i="3"/>
  <c r="R1242" i="3"/>
  <c r="R1238" i="3"/>
  <c r="R1234" i="3"/>
  <c r="R1230" i="3"/>
  <c r="R1225" i="3"/>
  <c r="R1221" i="3"/>
  <c r="R1217" i="3"/>
  <c r="R1213" i="3"/>
  <c r="R1209" i="3"/>
  <c r="R1205" i="3"/>
  <c r="R1201" i="3"/>
  <c r="R1197" i="3"/>
  <c r="R1193" i="3"/>
  <c r="R1189" i="3"/>
  <c r="R1185" i="3"/>
  <c r="R1181" i="3"/>
  <c r="R1177" i="3"/>
  <c r="R1173" i="3"/>
  <c r="R1169" i="3"/>
  <c r="R1165" i="3"/>
  <c r="R1161" i="3"/>
  <c r="R1157" i="3"/>
  <c r="R1153" i="3"/>
  <c r="R1149" i="3"/>
  <c r="R1145" i="3"/>
  <c r="R1141" i="3"/>
  <c r="R1137" i="3"/>
  <c r="R1133" i="3"/>
  <c r="R1129" i="3"/>
  <c r="R1125" i="3"/>
  <c r="R1121" i="3"/>
  <c r="R1117" i="3"/>
  <c r="R1113" i="3"/>
  <c r="R1109" i="3"/>
  <c r="R1105" i="3"/>
  <c r="R1101" i="3"/>
  <c r="R1097" i="3"/>
  <c r="R1093" i="3"/>
  <c r="R1089" i="3"/>
  <c r="R1085" i="3"/>
  <c r="R1081" i="3"/>
  <c r="R1077" i="3"/>
  <c r="R1073" i="3"/>
  <c r="R1069" i="3"/>
  <c r="R1065" i="3"/>
  <c r="R1061" i="3"/>
  <c r="R1057" i="3"/>
  <c r="R1053" i="3"/>
  <c r="R1049" i="3"/>
  <c r="R1045" i="3"/>
  <c r="R1041" i="3"/>
  <c r="R1037" i="3"/>
  <c r="R1033" i="3"/>
  <c r="R1029" i="3"/>
  <c r="R1025" i="3"/>
  <c r="R1021" i="3"/>
  <c r="R1017" i="3"/>
  <c r="R1013" i="3"/>
  <c r="R1009" i="3"/>
  <c r="R1005" i="3"/>
  <c r="R1001" i="3"/>
  <c r="R997" i="3"/>
  <c r="R993" i="3"/>
  <c r="R989" i="3"/>
  <c r="R985" i="3"/>
  <c r="R981" i="3"/>
  <c r="R977" i="3"/>
  <c r="R973" i="3"/>
  <c r="R969" i="3"/>
  <c r="R965" i="3"/>
  <c r="R961" i="3"/>
  <c r="R957" i="3"/>
  <c r="R953" i="3"/>
  <c r="R949" i="3"/>
  <c r="R945" i="3"/>
  <c r="R941" i="3"/>
  <c r="R937" i="3"/>
  <c r="R933" i="3"/>
  <c r="R929" i="3"/>
  <c r="R925" i="3"/>
  <c r="R921" i="3"/>
  <c r="R917" i="3"/>
  <c r="R913" i="3"/>
  <c r="R909" i="3"/>
  <c r="R905" i="3"/>
  <c r="R901" i="3"/>
  <c r="R897" i="3"/>
  <c r="R893" i="3"/>
  <c r="R889" i="3"/>
  <c r="R885" i="3"/>
  <c r="R881" i="3"/>
  <c r="R877" i="3"/>
  <c r="R873" i="3"/>
  <c r="R869" i="3"/>
  <c r="R865" i="3"/>
  <c r="R861" i="3"/>
  <c r="R857" i="3"/>
  <c r="R853" i="3"/>
  <c r="R849" i="3"/>
  <c r="R845" i="3"/>
  <c r="R841" i="3"/>
  <c r="R837" i="3"/>
  <c r="R833" i="3"/>
  <c r="R829" i="3"/>
  <c r="R825" i="3"/>
  <c r="R821" i="3"/>
  <c r="R817" i="3"/>
  <c r="R813" i="3"/>
  <c r="R809" i="3"/>
  <c r="R805" i="3"/>
  <c r="R801" i="3"/>
  <c r="R797" i="3"/>
  <c r="R793" i="3"/>
  <c r="R789" i="3"/>
  <c r="R785" i="3"/>
  <c r="R781" i="3"/>
  <c r="R777" i="3"/>
  <c r="R773" i="3"/>
  <c r="R769" i="3"/>
  <c r="R765" i="3"/>
  <c r="R761" i="3"/>
  <c r="R757" i="3"/>
  <c r="R753" i="3"/>
  <c r="R749" i="3"/>
  <c r="R745" i="3"/>
  <c r="R741" i="3"/>
  <c r="R737" i="3"/>
  <c r="R733" i="3"/>
  <c r="R729" i="3"/>
  <c r="R725" i="3"/>
  <c r="R721" i="3"/>
  <c r="R717" i="3"/>
  <c r="R713" i="3"/>
  <c r="R709" i="3"/>
  <c r="R705" i="3"/>
  <c r="R701" i="3"/>
  <c r="R697" i="3"/>
  <c r="R693" i="3"/>
  <c r="R689" i="3"/>
  <c r="R685" i="3"/>
  <c r="R681" i="3"/>
  <c r="R677" i="3"/>
  <c r="R673" i="3"/>
  <c r="R669" i="3"/>
  <c r="R665" i="3"/>
  <c r="R661" i="3"/>
  <c r="R657" i="3"/>
  <c r="R653" i="3"/>
  <c r="R649" i="3"/>
  <c r="R645" i="3"/>
  <c r="R641" i="3"/>
  <c r="R637" i="3"/>
  <c r="R633" i="3"/>
  <c r="R629" i="3"/>
  <c r="R625" i="3"/>
  <c r="R621" i="3"/>
  <c r="R617" i="3"/>
  <c r="R613" i="3"/>
  <c r="R611" i="3"/>
  <c r="R607" i="3"/>
  <c r="R603" i="3"/>
  <c r="R599" i="3"/>
  <c r="R595" i="3"/>
  <c r="R591" i="3"/>
  <c r="R587" i="3"/>
  <c r="R583" i="3"/>
  <c r="R579" i="3"/>
  <c r="R575" i="3"/>
  <c r="R571" i="3"/>
  <c r="R567" i="3"/>
  <c r="R563" i="3"/>
  <c r="R559" i="3"/>
  <c r="R555" i="3"/>
  <c r="R551" i="3"/>
  <c r="R547" i="3"/>
  <c r="R543" i="3"/>
  <c r="R539" i="3"/>
  <c r="R535" i="3"/>
  <c r="R531" i="3"/>
  <c r="R527" i="3"/>
  <c r="R523" i="3"/>
  <c r="R519" i="3"/>
  <c r="R515" i="3"/>
  <c r="R511" i="3"/>
  <c r="R507" i="3"/>
  <c r="R503" i="3"/>
  <c r="R499" i="3"/>
  <c r="R495" i="3"/>
  <c r="R491" i="3"/>
  <c r="R487" i="3"/>
  <c r="R483" i="3"/>
  <c r="R479" i="3"/>
  <c r="R475" i="3"/>
  <c r="R471" i="3"/>
  <c r="R467" i="3"/>
  <c r="R463" i="3"/>
  <c r="R459" i="3"/>
  <c r="R455" i="3"/>
  <c r="R451" i="3"/>
  <c r="R447" i="3"/>
  <c r="R443" i="3"/>
  <c r="R439" i="3"/>
  <c r="R435" i="3"/>
  <c r="R431" i="3"/>
  <c r="R427" i="3"/>
  <c r="R423" i="3"/>
  <c r="R419" i="3"/>
  <c r="R415" i="3"/>
  <c r="R411" i="3"/>
  <c r="R407" i="3"/>
  <c r="R403" i="3"/>
  <c r="R399" i="3"/>
  <c r="R395" i="3"/>
  <c r="R391" i="3"/>
  <c r="R387" i="3"/>
  <c r="R383" i="3"/>
  <c r="R379" i="3"/>
  <c r="R375" i="3"/>
  <c r="R371" i="3"/>
  <c r="R367" i="3"/>
  <c r="R363" i="3"/>
  <c r="R359" i="3"/>
  <c r="R355" i="3"/>
  <c r="R351" i="3"/>
  <c r="R347" i="3"/>
  <c r="R343" i="3"/>
  <c r="R339" i="3"/>
  <c r="R335" i="3"/>
  <c r="R331" i="3"/>
  <c r="R327" i="3"/>
  <c r="R323" i="3"/>
  <c r="R319" i="3"/>
  <c r="R315" i="3"/>
  <c r="R311" i="3"/>
  <c r="R307" i="3"/>
  <c r="R303" i="3"/>
  <c r="R299" i="3"/>
  <c r="R295" i="3"/>
  <c r="R291" i="3"/>
  <c r="R287" i="3"/>
  <c r="R283" i="3"/>
  <c r="R279" i="3"/>
  <c r="R275" i="3"/>
  <c r="R273" i="3"/>
  <c r="R269" i="3"/>
  <c r="R265" i="3"/>
  <c r="R261" i="3"/>
  <c r="R257" i="3"/>
  <c r="R253" i="3"/>
  <c r="R249" i="3"/>
  <c r="R245" i="3"/>
  <c r="R241" i="3"/>
  <c r="R237" i="3"/>
  <c r="R233" i="3"/>
  <c r="R229" i="3"/>
  <c r="R225" i="3"/>
  <c r="R221" i="3"/>
  <c r="R217" i="3"/>
  <c r="R213" i="3"/>
  <c r="R209" i="3"/>
  <c r="R204" i="3"/>
  <c r="R200" i="3"/>
  <c r="R196" i="3"/>
  <c r="R192" i="3"/>
  <c r="R188" i="3"/>
  <c r="R184" i="3"/>
  <c r="R180" i="3"/>
  <c r="R176" i="3"/>
  <c r="R172" i="3"/>
  <c r="R168" i="3"/>
  <c r="R164" i="3"/>
  <c r="R160" i="3"/>
  <c r="R156" i="3"/>
  <c r="R152" i="3"/>
  <c r="R148" i="3"/>
  <c r="R147" i="3"/>
  <c r="R146" i="3"/>
  <c r="R140" i="3"/>
  <c r="R139" i="3"/>
  <c r="R138" i="3"/>
  <c r="R129" i="3"/>
  <c r="R127" i="3"/>
  <c r="R126" i="3"/>
  <c r="R113" i="3"/>
  <c r="R111" i="3"/>
  <c r="R110" i="3"/>
  <c r="R97" i="3"/>
  <c r="R95" i="3"/>
  <c r="R94" i="3"/>
  <c r="R81" i="3"/>
  <c r="R79" i="3"/>
  <c r="R78" i="3"/>
  <c r="R65" i="3"/>
  <c r="R63" i="3"/>
  <c r="R62" i="3"/>
  <c r="R49" i="3"/>
  <c r="R47" i="3"/>
  <c r="R46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159" i="39"/>
  <c r="R155" i="39"/>
  <c r="R153" i="39"/>
  <c r="R152" i="39"/>
  <c r="R127" i="39"/>
  <c r="R123" i="39"/>
  <c r="R121" i="39"/>
  <c r="R120" i="39"/>
  <c r="R95" i="39"/>
  <c r="R91" i="39"/>
  <c r="R89" i="39"/>
  <c r="R88" i="39"/>
  <c r="R63" i="39"/>
  <c r="R59" i="39"/>
  <c r="R57" i="39"/>
  <c r="R56" i="39"/>
  <c r="R147" i="39"/>
  <c r="R145" i="39"/>
  <c r="R144" i="39"/>
  <c r="R131" i="39"/>
  <c r="R129" i="39"/>
  <c r="R128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Z4" i="38"/>
  <c r="Z4" i="39" s="1"/>
  <c r="W4" i="38"/>
  <c r="W4" i="39" s="1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R9" i="3" s="1"/>
  <c r="K10" i="3"/>
  <c r="R10" i="3" s="1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36" i="3"/>
  <c r="R32" i="3"/>
  <c r="R28" i="3"/>
  <c r="R24" i="3"/>
  <c r="R20" i="3"/>
  <c r="R16" i="3"/>
  <c r="R12" i="3"/>
</calcChain>
</file>

<file path=xl/sharedStrings.xml><?xml version="1.0" encoding="utf-8"?>
<sst xmlns="http://schemas.openxmlformats.org/spreadsheetml/2006/main" count="6538" uniqueCount="617">
  <si>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</si>
  <si>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</si>
  <si>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</si>
  <si>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</si>
  <si>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</si>
  <si>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</si>
  <si>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</si>
  <si>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</si>
  <si>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</si>
  <si>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</si>
  <si>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</si>
  <si>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</si>
  <si>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</si>
  <si>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</si>
  <si>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</si>
  <si>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</si>
  <si>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</si>
  <si>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</si>
  <si>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</si>
  <si>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</si>
  <si>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</si>
  <si>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</si>
  <si>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</si>
  <si>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</si>
  <si>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</si>
  <si>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</si>
  <si>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</si>
  <si>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</si>
  <si>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</si>
  <si>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</si>
  <si>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</si>
  <si>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</si>
  <si>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</si>
  <si>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</si>
  <si>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</si>
  <si>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</si>
  <si>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</si>
  <si>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</si>
  <si>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</si>
  <si>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</si>
  <si>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</si>
  <si>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</si>
  <si>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</si>
  <si>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</si>
  <si>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</si>
  <si>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</si>
  <si>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</si>
  <si>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</si>
  <si>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</si>
  <si>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</si>
  <si>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</si>
  <si>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</si>
  <si>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</si>
  <si>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</si>
  <si>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</si>
  <si>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</si>
  <si>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</si>
  <si>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</si>
  <si>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</si>
  <si>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</si>
  <si>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</si>
  <si>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</si>
  <si>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</si>
  <si>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</si>
  <si>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</si>
  <si>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</si>
  <si>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</si>
  <si>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</si>
  <si>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</si>
  <si>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</si>
  <si>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</si>
  <si>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</si>
  <si>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</si>
  <si>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</si>
  <si>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</si>
  <si>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</si>
  <si>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</si>
  <si>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</si>
  <si>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</si>
  <si>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</si>
  <si>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</si>
  <si>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</si>
  <si>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</si>
  <si>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</si>
  <si>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</si>
  <si>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</si>
  <si>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</si>
  <si>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</si>
  <si>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</si>
  <si>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</si>
  <si>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</si>
  <si>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</si>
  <si>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</si>
  <si>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</si>
  <si>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</si>
  <si>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</si>
  <si>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</si>
  <si>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</si>
  <si>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</si>
  <si>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</si>
  <si>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</si>
  <si>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</si>
  <si>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</si>
  <si>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</si>
  <si>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</si>
  <si>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</si>
  <si>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</si>
  <si>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</si>
  <si>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</si>
  <si>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</si>
  <si>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</si>
  <si>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</si>
  <si>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</si>
  <si>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</si>
  <si>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</si>
  <si>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</si>
  <si>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</si>
  <si>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</si>
  <si>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</si>
  <si>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</si>
  <si>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</si>
  <si>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</si>
  <si>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</si>
  <si>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</si>
  <si>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</si>
  <si>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</si>
  <si>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</si>
  <si>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</si>
  <si>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</si>
  <si>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</si>
  <si>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</si>
  <si>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</si>
  <si>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</si>
  <si>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</si>
  <si>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</si>
  <si>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</si>
  <si>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</si>
  <si>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</si>
  <si>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</si>
  <si>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</si>
  <si>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</si>
  <si>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</si>
  <si>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</si>
  <si>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</si>
  <si>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</si>
  <si>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</si>
  <si>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</si>
  <si>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</si>
  <si>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</si>
  <si>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</si>
  <si>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</si>
  <si>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</si>
  <si>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</si>
  <si>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</si>
  <si>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</si>
  <si>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</si>
  <si>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</si>
  <si>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</si>
  <si>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</si>
  <si>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</si>
  <si>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</si>
  <si>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</si>
  <si>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</si>
  <si>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</si>
  <si>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</si>
  <si>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</si>
  <si>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</si>
  <si>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</si>
  <si>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</si>
  <si>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</si>
  <si>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</si>
  <si>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</si>
  <si>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</si>
  <si>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</si>
  <si>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</si>
  <si>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</si>
  <si>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</si>
  <si>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</si>
  <si>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</si>
  <si>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</si>
  <si>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</si>
  <si>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</si>
  <si>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</si>
  <si>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</si>
  <si>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</si>
  <si>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</si>
  <si>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</si>
  <si>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</si>
  <si>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</si>
  <si>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</si>
  <si>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</si>
  <si>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</si>
  <si>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</si>
  <si>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</si>
  <si>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</si>
  <si>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</si>
  <si>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</si>
  <si>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</si>
  <si>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</si>
  <si>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</si>
  <si>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</si>
  <si>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</si>
  <si>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</si>
  <si>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</si>
  <si>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</si>
  <si>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</si>
  <si>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</si>
  <si>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</si>
  <si>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</si>
  <si>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</si>
  <si>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</si>
  <si>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</si>
  <si>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</si>
  <si>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</si>
  <si>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</si>
  <si>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</si>
  <si>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</si>
  <si>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</si>
  <si>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</si>
  <si>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</si>
  <si>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</si>
  <si>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</si>
  <si>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</si>
  <si>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</si>
  <si>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</si>
  <si>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</si>
  <si>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</si>
  <si>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</si>
  <si>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</si>
  <si>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</si>
  <si>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</si>
  <si>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</si>
  <si>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</si>
  <si>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</si>
  <si>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</si>
  <si>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Irene, Enock B, Goeffrey I</t>
  </si>
  <si>
    <t>Isaac</t>
  </si>
  <si>
    <t>Goeffrey I, Justus B,</t>
  </si>
  <si>
    <t>Irene, Enock</t>
  </si>
  <si>
    <t>Geoffrey I, Justus B</t>
  </si>
  <si>
    <t>Nairobi</t>
  </si>
  <si>
    <t>Kampala</t>
  </si>
  <si>
    <t>Kabarole</t>
  </si>
  <si>
    <t>Rubirizi</t>
  </si>
  <si>
    <t xml:space="preserve">Fortportal </t>
  </si>
  <si>
    <t>Tororo</t>
  </si>
  <si>
    <t>Hoima</t>
  </si>
  <si>
    <t>Kasanyi</t>
  </si>
  <si>
    <t>Mbarara</t>
  </si>
  <si>
    <t>Kikorongo</t>
  </si>
  <si>
    <t>Dar es Salam</t>
  </si>
  <si>
    <t>kyazanga</t>
  </si>
  <si>
    <t>Lwengo</t>
  </si>
  <si>
    <t>masaka</t>
  </si>
  <si>
    <t>UGA</t>
  </si>
  <si>
    <t>Kasindi</t>
  </si>
  <si>
    <t>Mpondwe</t>
  </si>
  <si>
    <t>Kasinga</t>
  </si>
  <si>
    <t>Kisinga</t>
  </si>
  <si>
    <t>Kinyamaseke</t>
  </si>
  <si>
    <t>Kagando</t>
  </si>
  <si>
    <t>Kyarumba</t>
  </si>
  <si>
    <t>9:49</t>
  </si>
  <si>
    <t>9:53</t>
  </si>
  <si>
    <t>9:59</t>
  </si>
  <si>
    <t>10:1</t>
  </si>
  <si>
    <t>10:13</t>
  </si>
  <si>
    <t>10:22</t>
  </si>
  <si>
    <t>10:24</t>
  </si>
  <si>
    <t>10:27</t>
  </si>
  <si>
    <t>10:29</t>
  </si>
  <si>
    <t>10:33</t>
  </si>
  <si>
    <t>10:36</t>
  </si>
  <si>
    <t>10:40</t>
  </si>
  <si>
    <t>10:45</t>
  </si>
  <si>
    <t>10:50</t>
  </si>
  <si>
    <t>10:53</t>
  </si>
  <si>
    <t>11:0</t>
  </si>
  <si>
    <t>11:8</t>
  </si>
  <si>
    <t>11:26</t>
  </si>
  <si>
    <t>11:29</t>
  </si>
  <si>
    <t>11:27</t>
  </si>
  <si>
    <t>11:30</t>
  </si>
  <si>
    <t>11:38</t>
  </si>
  <si>
    <t>11:42</t>
  </si>
  <si>
    <t>11:46</t>
  </si>
  <si>
    <t>11:53</t>
  </si>
  <si>
    <t>11:57</t>
  </si>
  <si>
    <t>12:9</t>
  </si>
  <si>
    <t>12:17</t>
  </si>
  <si>
    <t>12:20</t>
  </si>
  <si>
    <t>12:33</t>
  </si>
  <si>
    <t>12:44</t>
  </si>
  <si>
    <t>12:50</t>
  </si>
  <si>
    <t>12:56</t>
  </si>
  <si>
    <t>12:59</t>
  </si>
  <si>
    <t>13:2</t>
  </si>
  <si>
    <t>13:9</t>
  </si>
  <si>
    <t>13:14</t>
  </si>
  <si>
    <t>13:17</t>
  </si>
  <si>
    <t>13:20</t>
  </si>
  <si>
    <t>13:27</t>
  </si>
  <si>
    <t>13:37</t>
  </si>
  <si>
    <t>13:47</t>
  </si>
  <si>
    <t>13:55</t>
  </si>
  <si>
    <t>13:58</t>
  </si>
  <si>
    <t>14:0</t>
  </si>
  <si>
    <t>14:13</t>
  </si>
  <si>
    <t>14:23</t>
  </si>
  <si>
    <t>14:25</t>
  </si>
  <si>
    <t>14:40</t>
  </si>
  <si>
    <t>14:46</t>
  </si>
  <si>
    <t>15:49</t>
  </si>
  <si>
    <t>15:6</t>
  </si>
  <si>
    <t>15:11</t>
  </si>
  <si>
    <t>15:16</t>
  </si>
  <si>
    <t>15:20</t>
  </si>
  <si>
    <t>15:23</t>
  </si>
  <si>
    <t>15:29</t>
  </si>
  <si>
    <t>16:14</t>
  </si>
  <si>
    <t>16:30</t>
  </si>
  <si>
    <t>16:35</t>
  </si>
  <si>
    <t>16:37</t>
  </si>
  <si>
    <t>16:43</t>
  </si>
  <si>
    <t>16:45</t>
  </si>
  <si>
    <t>17:25</t>
  </si>
  <si>
    <t>17:33</t>
  </si>
  <si>
    <t>17:35</t>
  </si>
  <si>
    <t>17:44</t>
  </si>
  <si>
    <t>18:0</t>
  </si>
  <si>
    <t>18:24</t>
  </si>
  <si>
    <t>19:5</t>
  </si>
  <si>
    <t>19:10</t>
  </si>
  <si>
    <t>19:14</t>
  </si>
  <si>
    <t>19:19</t>
  </si>
  <si>
    <t>19:23</t>
  </si>
  <si>
    <t>19:38</t>
  </si>
  <si>
    <t>19:43</t>
  </si>
  <si>
    <t>19:46</t>
  </si>
  <si>
    <t>19:48</t>
  </si>
  <si>
    <t>19:50</t>
  </si>
  <si>
    <t>19:59</t>
  </si>
  <si>
    <t>20:0</t>
  </si>
  <si>
    <t>20:13</t>
  </si>
  <si>
    <t>20:23</t>
  </si>
  <si>
    <t>20:40</t>
  </si>
  <si>
    <t>20:54</t>
  </si>
  <si>
    <t>20:59</t>
  </si>
  <si>
    <t>21:8</t>
  </si>
  <si>
    <t>21:13</t>
  </si>
  <si>
    <t>21:20</t>
  </si>
  <si>
    <t>21:23</t>
  </si>
  <si>
    <t>21:32</t>
  </si>
  <si>
    <t>21:46</t>
  </si>
  <si>
    <t>21:54</t>
  </si>
  <si>
    <t>22:1</t>
  </si>
  <si>
    <t>22:20</t>
  </si>
  <si>
    <t>22:30</t>
  </si>
  <si>
    <t>22:44</t>
  </si>
  <si>
    <t>22:48</t>
  </si>
  <si>
    <t>22:55</t>
  </si>
  <si>
    <t>kinymaske</t>
  </si>
  <si>
    <t>kisiinga</t>
  </si>
  <si>
    <t>kyalumba</t>
  </si>
  <si>
    <t>kyarumba</t>
  </si>
  <si>
    <t>kabarole</t>
  </si>
  <si>
    <t>Kisoro</t>
  </si>
  <si>
    <t>5:22</t>
  </si>
  <si>
    <t>5:41</t>
  </si>
  <si>
    <t>6:1</t>
  </si>
  <si>
    <t>6:16</t>
  </si>
  <si>
    <t>6:22</t>
  </si>
  <si>
    <t>6:34</t>
  </si>
  <si>
    <t>6:40</t>
  </si>
  <si>
    <t>6:52</t>
  </si>
  <si>
    <t>6:57</t>
  </si>
  <si>
    <t>7:48</t>
  </si>
  <si>
    <t>7:50</t>
  </si>
  <si>
    <t>7:59</t>
  </si>
  <si>
    <t>8:10</t>
  </si>
  <si>
    <t>8:29</t>
  </si>
  <si>
    <t>8:34</t>
  </si>
  <si>
    <t>8:46</t>
  </si>
  <si>
    <t>8:58</t>
  </si>
  <si>
    <t>9:3</t>
  </si>
  <si>
    <t>9:7</t>
  </si>
  <si>
    <t>9:23</t>
  </si>
  <si>
    <t>9:26</t>
  </si>
  <si>
    <t>9:29</t>
  </si>
  <si>
    <t>9:37</t>
  </si>
  <si>
    <t>10:12</t>
  </si>
  <si>
    <t>10:20</t>
  </si>
  <si>
    <t>10:35</t>
  </si>
  <si>
    <t>10:39</t>
  </si>
  <si>
    <t>10:43</t>
  </si>
  <si>
    <t>10:58</t>
  </si>
  <si>
    <t>11:3</t>
  </si>
  <si>
    <t>11:16</t>
  </si>
  <si>
    <t>11:24</t>
  </si>
  <si>
    <t>11:35</t>
  </si>
  <si>
    <t>11:54</t>
  </si>
  <si>
    <t>12:0</t>
  </si>
  <si>
    <t>12:40</t>
  </si>
  <si>
    <t>12:48</t>
  </si>
  <si>
    <t>12:53</t>
  </si>
  <si>
    <t>13:12</t>
  </si>
  <si>
    <t>13:30</t>
  </si>
  <si>
    <t>13:36</t>
  </si>
  <si>
    <t>13:40</t>
  </si>
  <si>
    <t>13:52</t>
  </si>
  <si>
    <t>14:9</t>
  </si>
  <si>
    <t>14:14</t>
  </si>
  <si>
    <t>14:17</t>
  </si>
  <si>
    <t>14:20</t>
  </si>
  <si>
    <t>14:33</t>
  </si>
  <si>
    <t>14:59</t>
  </si>
  <si>
    <t>15:4</t>
  </si>
  <si>
    <t>15:15</t>
  </si>
  <si>
    <t>15:30</t>
  </si>
  <si>
    <t>15:42</t>
  </si>
  <si>
    <t>15:47</t>
  </si>
  <si>
    <t>15:50</t>
  </si>
  <si>
    <t>17:4</t>
  </si>
  <si>
    <t>17:15</t>
  </si>
  <si>
    <t>17:23</t>
  </si>
  <si>
    <t>17:31</t>
  </si>
  <si>
    <t>17:32</t>
  </si>
  <si>
    <t>17:38</t>
  </si>
  <si>
    <t>17:46</t>
  </si>
  <si>
    <t>17:53</t>
  </si>
  <si>
    <t>18:4</t>
  </si>
  <si>
    <t>18:22</t>
  </si>
  <si>
    <t>18:25</t>
  </si>
  <si>
    <t>18:30</t>
  </si>
  <si>
    <t>18:50</t>
  </si>
  <si>
    <t>Mugonyu</t>
  </si>
  <si>
    <t>kinyamaskr</t>
  </si>
  <si>
    <t>nyakatonzi</t>
  </si>
  <si>
    <t>Ndongo</t>
  </si>
  <si>
    <t>Fortportal</t>
  </si>
  <si>
    <t>Kirorongo</t>
  </si>
  <si>
    <t>mubende</t>
  </si>
  <si>
    <t>4:44</t>
  </si>
  <si>
    <t>5:43</t>
  </si>
  <si>
    <t>5:54</t>
  </si>
  <si>
    <t>6:43</t>
  </si>
  <si>
    <t>8:39</t>
  </si>
  <si>
    <t>8:48</t>
  </si>
  <si>
    <t>8:52</t>
  </si>
  <si>
    <t>9:38</t>
  </si>
  <si>
    <t>9:42</t>
  </si>
  <si>
    <t>9:43</t>
  </si>
  <si>
    <t>9:58</t>
  </si>
  <si>
    <t>10:9</t>
  </si>
  <si>
    <t>10:15</t>
  </si>
  <si>
    <t>10:16</t>
  </si>
  <si>
    <t>10:30</t>
  </si>
  <si>
    <t>10:34</t>
  </si>
  <si>
    <t>10:38</t>
  </si>
  <si>
    <t>10:47</t>
  </si>
  <si>
    <t>10:57</t>
  </si>
  <si>
    <t>11:6</t>
  </si>
  <si>
    <t>11:20</t>
  </si>
  <si>
    <t>11:44</t>
  </si>
  <si>
    <t>11:48</t>
  </si>
  <si>
    <t>12:29</t>
  </si>
  <si>
    <t>12:38</t>
  </si>
  <si>
    <t>12:57</t>
  </si>
  <si>
    <t>13:10</t>
  </si>
  <si>
    <t>13:13</t>
  </si>
  <si>
    <t>13:32</t>
  </si>
  <si>
    <t>13:34</t>
  </si>
  <si>
    <t>13:38</t>
  </si>
  <si>
    <t>13:48</t>
  </si>
  <si>
    <t>13:50</t>
  </si>
  <si>
    <t>14:4</t>
  </si>
  <si>
    <t>14:7</t>
  </si>
  <si>
    <t>14:12</t>
  </si>
  <si>
    <t>14:30</t>
  </si>
  <si>
    <t>14:35</t>
  </si>
  <si>
    <t>14:39</t>
  </si>
  <si>
    <t>14:48</t>
  </si>
  <si>
    <t>15:1</t>
  </si>
  <si>
    <t>15:3</t>
  </si>
  <si>
    <t>15:7</t>
  </si>
  <si>
    <t>15:10</t>
  </si>
  <si>
    <t>16:12</t>
  </si>
  <si>
    <t>17:9</t>
  </si>
  <si>
    <t>17:13</t>
  </si>
  <si>
    <t>17:17</t>
  </si>
  <si>
    <t>17:26</t>
  </si>
  <si>
    <t>17:28</t>
  </si>
  <si>
    <t>17:34</t>
  </si>
  <si>
    <t>17:36</t>
  </si>
  <si>
    <t>17:37</t>
  </si>
  <si>
    <t>17:39</t>
  </si>
  <si>
    <t>17:42</t>
  </si>
  <si>
    <t>17:50</t>
  </si>
  <si>
    <t>17:59</t>
  </si>
  <si>
    <t>18:5</t>
  </si>
  <si>
    <t>18:14</t>
  </si>
  <si>
    <t>18:28</t>
  </si>
  <si>
    <t>18:33</t>
  </si>
  <si>
    <t>1:25</t>
  </si>
  <si>
    <t>Bakole</t>
  </si>
  <si>
    <t>7:55</t>
  </si>
  <si>
    <t>8:30</t>
  </si>
  <si>
    <t>8:49</t>
  </si>
  <si>
    <t>9:45</t>
  </si>
  <si>
    <t>Kisiinga</t>
  </si>
  <si>
    <t>9:56</t>
  </si>
  <si>
    <t>Kibulala</t>
  </si>
  <si>
    <t>10:14</t>
  </si>
  <si>
    <t>10:8</t>
  </si>
  <si>
    <t>10:11</t>
  </si>
  <si>
    <t>kinyamaseke</t>
  </si>
  <si>
    <t>10:17</t>
  </si>
  <si>
    <t>bwera</t>
  </si>
  <si>
    <t>12:8</t>
  </si>
  <si>
    <t>12:15</t>
  </si>
  <si>
    <t>12:19</t>
  </si>
  <si>
    <t>12:23</t>
  </si>
  <si>
    <t>12:30</t>
  </si>
  <si>
    <t>12:37</t>
  </si>
  <si>
    <t>Nyakatonzi</t>
  </si>
  <si>
    <t>12:54</t>
  </si>
  <si>
    <t>13:22</t>
  </si>
  <si>
    <t>13:49</t>
  </si>
  <si>
    <t>13:57</t>
  </si>
  <si>
    <t>14:15</t>
  </si>
  <si>
    <t>14:50</t>
  </si>
  <si>
    <t>14:54</t>
  </si>
  <si>
    <t>15:2</t>
  </si>
  <si>
    <t>15:13</t>
  </si>
  <si>
    <t>15:18</t>
  </si>
  <si>
    <t>15:25</t>
  </si>
  <si>
    <t>15:28</t>
  </si>
  <si>
    <t>15:38</t>
  </si>
  <si>
    <t>15:56</t>
  </si>
  <si>
    <t>16:18</t>
  </si>
  <si>
    <t>16:21</t>
  </si>
  <si>
    <t>16:23</t>
  </si>
  <si>
    <t>16:25</t>
  </si>
  <si>
    <t>16:29</t>
  </si>
  <si>
    <t>16:34</t>
  </si>
  <si>
    <t>17:1</t>
  </si>
  <si>
    <t>17:10</t>
  </si>
  <si>
    <t>9:32</t>
  </si>
  <si>
    <t xml:space="preserve"> </t>
  </si>
  <si>
    <t>9:48</t>
  </si>
  <si>
    <t>kagando</t>
  </si>
  <si>
    <t>12:10</t>
  </si>
  <si>
    <t>13:6</t>
  </si>
  <si>
    <t>13:24</t>
  </si>
  <si>
    <t>13:39</t>
  </si>
  <si>
    <t>13:44</t>
  </si>
  <si>
    <t>14:3</t>
  </si>
  <si>
    <t>14:19</t>
  </si>
  <si>
    <t>14:49</t>
  </si>
  <si>
    <t>14:53</t>
  </si>
  <si>
    <t>15:35</t>
  </si>
  <si>
    <t>15:45</t>
  </si>
  <si>
    <t>16:2</t>
  </si>
  <si>
    <t>16:10</t>
  </si>
  <si>
    <t>Kabale</t>
  </si>
  <si>
    <t>16:54</t>
  </si>
  <si>
    <t>17:2</t>
  </si>
  <si>
    <t>BWERA-MPONDWE</t>
  </si>
  <si>
    <t>KIKORONGO</t>
  </si>
  <si>
    <t>BWERA</t>
  </si>
  <si>
    <t>08.08.19</t>
  </si>
  <si>
    <t>09.08.19</t>
  </si>
  <si>
    <t>10.08.19</t>
  </si>
  <si>
    <t>FORT PORTAL</t>
  </si>
  <si>
    <t>Fort portal</t>
  </si>
  <si>
    <t>Dar-es-Salaam</t>
  </si>
  <si>
    <t>KISINGA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</si>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</sst>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4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color rgb="FF000000"/>
      <name val="Calibri"/>
      <family val="2"/>
    </font>
    <font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164" fontId="6" fillId="0" borderId="0" applyFont="0" applyFill="0" applyBorder="0" applyAlignment="0" applyProtection="0"/>
    <xf numFmtId="0" fontId="1" fillId="0" borderId="0"/>
    <xf numFmtId="0" fontId="13" fillId="0" borderId="0">
      <alignment vertical="center"/>
    </xf>
  </cellStyleXfs>
  <cellXfs count="153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6" fillId="3" borderId="8" xfId="0" applyNumberFormat="1" applyFont="1" applyFill="1" applyBorder="1" applyAlignment="1">
      <alignment horizontal="center" vertical="center"/>
    </xf>
    <xf numFmtId="1" fontId="6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69" fontId="6" fillId="3" borderId="2" xfId="0" applyNumberFormat="1" applyFont="1" applyFill="1" applyBorder="1"/>
    <xf numFmtId="167" fontId="6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6" fillId="3" borderId="2" xfId="4" applyNumberFormat="1" applyFont="1" applyFill="1" applyBorder="1"/>
    <xf numFmtId="3" fontId="0" fillId="3" borderId="3" xfId="0" applyNumberFormat="1" applyFill="1" applyBorder="1"/>
    <xf numFmtId="20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0" borderId="0" xfId="0" applyFont="1"/>
    <xf numFmtId="0" fontId="2" fillId="5" borderId="0" xfId="0" applyFont="1" applyFill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4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2" fillId="7" borderId="2" xfId="0" applyFont="1" applyFill="1" applyBorder="1"/>
    <xf numFmtId="0" fontId="2" fillId="9" borderId="2" xfId="0" applyFont="1" applyFill="1" applyBorder="1" applyAlignment="1">
      <alignment vertical="center" wrapText="1"/>
    </xf>
    <xf numFmtId="0" fontId="2" fillId="9" borderId="2" xfId="0" applyFont="1" applyFill="1" applyBorder="1" applyAlignment="1">
      <alignment wrapText="1"/>
    </xf>
    <xf numFmtId="0" fontId="2" fillId="10" borderId="0" xfId="0" applyFont="1" applyFill="1"/>
    <xf numFmtId="0" fontId="6" fillId="7" borderId="2" xfId="0" applyFont="1" applyFill="1" applyBorder="1"/>
    <xf numFmtId="167" fontId="0" fillId="7" borderId="2" xfId="4" applyNumberFormat="1" applyFont="1" applyFill="1" applyBorder="1"/>
    <xf numFmtId="0" fontId="6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2" fillId="11" borderId="2" xfId="0" applyFont="1" applyFill="1" applyBorder="1"/>
    <xf numFmtId="167" fontId="2" fillId="7" borderId="2" xfId="4" applyNumberFormat="1" applyFont="1" applyFill="1" applyBorder="1"/>
    <xf numFmtId="0" fontId="2" fillId="6" borderId="0" xfId="0" applyFont="1" applyFill="1"/>
    <xf numFmtId="0" fontId="6" fillId="8" borderId="2" xfId="0" applyFont="1" applyFill="1" applyBorder="1"/>
    <xf numFmtId="0" fontId="0" fillId="8" borderId="2" xfId="0" applyFill="1" applyBorder="1"/>
    <xf numFmtId="0" fontId="2" fillId="8" borderId="2" xfId="0" applyFont="1" applyFill="1" applyBorder="1"/>
    <xf numFmtId="0" fontId="2" fillId="12" borderId="2" xfId="0" applyFont="1" applyFill="1" applyBorder="1" applyAlignment="1">
      <alignment vertical="center"/>
    </xf>
    <xf numFmtId="0" fontId="6" fillId="12" borderId="2" xfId="0" applyFont="1" applyFill="1" applyBorder="1" applyAlignment="1">
      <alignment wrapText="1"/>
    </xf>
    <xf numFmtId="0" fontId="2" fillId="13" borderId="2" xfId="0" applyFont="1" applyFill="1" applyBorder="1" applyAlignment="1">
      <alignment wrapText="1"/>
    </xf>
    <xf numFmtId="0" fontId="2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vertical="center" wrapText="1"/>
    </xf>
    <xf numFmtId="0" fontId="2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4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 3 2" xfId="6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6F-42FD-9546-76B780F42D4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6F-42FD-9546-76B780F42D4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6F-42FD-9546-76B780F42D4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6F-42FD-9546-76B780F42D4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6F-42FD-9546-76B780F42D4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6F-42FD-9546-76B780F42D4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6F-42FD-9546-76B780F42D4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6F-42FD-9546-76B780F42D4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6F-42FD-9546-76B780F42D4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6F-42FD-9546-76B780F42D4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6F-42FD-9546-76B780F42D4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6F-42FD-9546-76B780F42D4F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F6F-42FD-9546-76B780F42D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81</c:v>
                </c:pt>
                <c:pt idx="1">
                  <c:v>77</c:v>
                </c:pt>
                <c:pt idx="2">
                  <c:v>122</c:v>
                </c:pt>
                <c:pt idx="3">
                  <c:v>16</c:v>
                </c:pt>
                <c:pt idx="4">
                  <c:v>15</c:v>
                </c:pt>
                <c:pt idx="5">
                  <c:v>1</c:v>
                </c:pt>
                <c:pt idx="6">
                  <c:v>0</c:v>
                </c:pt>
                <c:pt idx="7">
                  <c:v>38</c:v>
                </c:pt>
                <c:pt idx="8">
                  <c:v>6</c:v>
                </c:pt>
                <c:pt idx="9">
                  <c:v>0</c:v>
                </c:pt>
                <c:pt idx="10">
                  <c:v>0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6F-42FD-9546-76B780F42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F22-4542-B263-70CA09B45F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F22-4542-B263-70CA09B45FB3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F22-4542-B263-70CA09B45F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F22-4542-B263-70CA09B45FB3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F22-4542-B263-70CA09B45FB3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22-4542-B263-70CA09B45FB3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F22-4542-B263-70CA09B45FB3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F22-4542-B263-70CA09B45FB3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F22-4542-B263-70CA09B45FB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48</c:v>
                </c:pt>
                <c:pt idx="1">
                  <c:v>22</c:v>
                </c:pt>
                <c:pt idx="2">
                  <c:v>47</c:v>
                </c:pt>
                <c:pt idx="3">
                  <c:v>28</c:v>
                </c:pt>
                <c:pt idx="4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22-4542-B263-70CA09B45F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01-4B86-BEB2-F25FC9FC1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8-4072-B032-DA5EB7E30C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8F-4C83-B3C4-78A3B8B95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159</c:v>
                </c:pt>
                <c:pt idx="1">
                  <c:v>4</c:v>
                </c:pt>
                <c:pt idx="2">
                  <c:v>4</c:v>
                </c:pt>
                <c:pt idx="3">
                  <c:v>80</c:v>
                </c:pt>
                <c:pt idx="4">
                  <c:v>3</c:v>
                </c:pt>
                <c:pt idx="5">
                  <c:v>41</c:v>
                </c:pt>
                <c:pt idx="6">
                  <c:v>65</c:v>
                </c:pt>
                <c:pt idx="7">
                  <c:v>30</c:v>
                </c:pt>
                <c:pt idx="8">
                  <c:v>7</c:v>
                </c:pt>
                <c:pt idx="9">
                  <c:v>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DE-4B61-A6C1-1FBBED7A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D40-446E-BC12-24F1260DC2E4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D40-446E-BC12-24F1260DC2E4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D40-446E-BC12-24F1260DC2E4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D40-446E-BC12-24F1260DC2E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D40-446E-BC12-24F1260DC2E4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D40-446E-BC12-24F1260DC2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46</c:v>
                </c:pt>
                <c:pt idx="1">
                  <c:v>137</c:v>
                </c:pt>
                <c:pt idx="2">
                  <c:v>138</c:v>
                </c:pt>
                <c:pt idx="3">
                  <c:v>83</c:v>
                </c:pt>
                <c:pt idx="4">
                  <c:v>14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D40-446E-BC12-24F1260DC2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494325</xdr:rowOff>
    </xdr:from>
    <xdr:to>
      <xdr:col>11</xdr:col>
      <xdr:colOff>15629</xdr:colOff>
      <xdr:row>38</xdr:row>
      <xdr:rowOff>29310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40</xdr:row>
      <xdr:rowOff>21494</xdr:rowOff>
    </xdr:from>
    <xdr:to>
      <xdr:col>11</xdr:col>
      <xdr:colOff>330687</xdr:colOff>
      <xdr:row>56</xdr:row>
      <xdr:rowOff>123095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57</xdr:row>
      <xdr:rowOff>201248</xdr:rowOff>
    </xdr:from>
    <xdr:to>
      <xdr:col>10</xdr:col>
      <xdr:colOff>560754</xdr:colOff>
      <xdr:row>74</xdr:row>
      <xdr:rowOff>128956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201248</xdr:rowOff>
    </xdr:from>
    <xdr:to>
      <xdr:col>12</xdr:col>
      <xdr:colOff>571500</xdr:colOff>
      <xdr:row>94</xdr:row>
      <xdr:rowOff>78156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2</xdr:row>
      <xdr:rowOff>175848</xdr:rowOff>
    </xdr:from>
    <xdr:to>
      <xdr:col>25</xdr:col>
      <xdr:colOff>217854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159239</xdr:rowOff>
    </xdr:from>
    <xdr:to>
      <xdr:col>24</xdr:col>
      <xdr:colOff>395653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FOR%20RE-ZONING\STN144%20SUAM%20BORDER%20POST\OD\OD-C4-STN144-SUAM-BUKWO%20RO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tve%20clean%20od\OD-C-STN105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 1"/>
      <sheetName val="24.08 Suam-Bukwo"/>
      <sheetName val="RSI FORM"/>
      <sheetName val="24.08 Bukwo-Suam"/>
      <sheetName val="26.08 Suam-Bukwo"/>
      <sheetName val="26.08 Bukwo-Suam"/>
      <sheetName val="27.08 Suam-Bukwo"/>
      <sheetName val="27.08 Bukwo-Suam"/>
      <sheetName val="Key"/>
      <sheetName val="Analysis"/>
    </sheetNames>
    <sheetDataSet>
      <sheetData sheetId="0"/>
      <sheetData sheetId="1">
        <row r="2">
          <cell r="A2" t="str">
            <v>Abim</v>
          </cell>
          <cell r="B2" t="str">
            <v>Abim</v>
          </cell>
          <cell r="C2" t="str">
            <v>Labwor</v>
          </cell>
          <cell r="D2" t="str">
            <v>Abim</v>
          </cell>
          <cell r="F2">
            <v>1</v>
          </cell>
        </row>
        <row r="3">
          <cell r="A3" t="str">
            <v>Abim Town Council</v>
          </cell>
          <cell r="B3" t="str">
            <v>Abim</v>
          </cell>
          <cell r="C3" t="str">
            <v>Labwor</v>
          </cell>
          <cell r="D3" t="str">
            <v>Abim Town Council</v>
          </cell>
          <cell r="F3">
            <v>2</v>
          </cell>
        </row>
        <row r="4">
          <cell r="A4" t="str">
            <v>Alerek</v>
          </cell>
          <cell r="B4" t="str">
            <v>Abim</v>
          </cell>
          <cell r="C4" t="str">
            <v>Labwor</v>
          </cell>
          <cell r="D4" t="str">
            <v>Alerek</v>
          </cell>
          <cell r="F4">
            <v>3</v>
          </cell>
        </row>
        <row r="5">
          <cell r="A5" t="str">
            <v>Lotukei</v>
          </cell>
          <cell r="B5" t="str">
            <v>Abim</v>
          </cell>
          <cell r="C5" t="str">
            <v>Labwor</v>
          </cell>
          <cell r="D5" t="str">
            <v>Lotukei</v>
          </cell>
          <cell r="F5">
            <v>4</v>
          </cell>
        </row>
        <row r="6">
          <cell r="A6" t="str">
            <v>Morulem</v>
          </cell>
          <cell r="B6" t="str">
            <v>Abim</v>
          </cell>
          <cell r="C6" t="str">
            <v>Labwor</v>
          </cell>
          <cell r="D6" t="str">
            <v>Morulem</v>
          </cell>
          <cell r="F6">
            <v>5</v>
          </cell>
        </row>
        <row r="7">
          <cell r="A7" t="str">
            <v>Nyakwae</v>
          </cell>
          <cell r="B7" t="str">
            <v>Abim</v>
          </cell>
          <cell r="C7" t="str">
            <v>Labwor</v>
          </cell>
          <cell r="D7" t="str">
            <v>Nyakwae</v>
          </cell>
          <cell r="F7">
            <v>6</v>
          </cell>
        </row>
        <row r="8">
          <cell r="A8" t="str">
            <v>Adjumani Town Council</v>
          </cell>
          <cell r="B8" t="str">
            <v>Adjumani</v>
          </cell>
          <cell r="C8" t="str">
            <v>East Moyo</v>
          </cell>
          <cell r="D8" t="str">
            <v>Adjumani Town Council</v>
          </cell>
          <cell r="F8">
            <v>7</v>
          </cell>
        </row>
        <row r="9">
          <cell r="A9" t="str">
            <v>Adjuman</v>
          </cell>
          <cell r="F9">
            <v>7</v>
          </cell>
        </row>
        <row r="10">
          <cell r="A10" t="str">
            <v>ADJUMANI</v>
          </cell>
          <cell r="F10">
            <v>7</v>
          </cell>
        </row>
        <row r="11">
          <cell r="A11" t="str">
            <v>Adropi</v>
          </cell>
          <cell r="B11" t="str">
            <v>Adjumani</v>
          </cell>
          <cell r="C11" t="str">
            <v>East Moyo</v>
          </cell>
          <cell r="D11" t="str">
            <v>Adropi</v>
          </cell>
          <cell r="F11">
            <v>8</v>
          </cell>
        </row>
        <row r="12">
          <cell r="A12" t="str">
            <v>Arinyapi</v>
          </cell>
          <cell r="B12" t="str">
            <v>Adjumani</v>
          </cell>
          <cell r="C12" t="str">
            <v>East Moyo</v>
          </cell>
          <cell r="D12" t="str">
            <v>Arinyapi</v>
          </cell>
          <cell r="F12">
            <v>9</v>
          </cell>
        </row>
        <row r="13">
          <cell r="A13" t="str">
            <v>Ciforo</v>
          </cell>
          <cell r="B13" t="str">
            <v>Adjumani</v>
          </cell>
          <cell r="C13" t="str">
            <v>East Moyo</v>
          </cell>
          <cell r="D13" t="str">
            <v>Ciforo</v>
          </cell>
          <cell r="F13">
            <v>10</v>
          </cell>
        </row>
        <row r="14">
          <cell r="A14" t="str">
            <v>Dzaipi</v>
          </cell>
          <cell r="B14" t="str">
            <v>Adjumani</v>
          </cell>
          <cell r="C14" t="str">
            <v>East Moyo</v>
          </cell>
          <cell r="D14" t="str">
            <v>Dzaipi</v>
          </cell>
          <cell r="F14">
            <v>11</v>
          </cell>
        </row>
        <row r="15">
          <cell r="A15" t="str">
            <v>Itirikwa</v>
          </cell>
          <cell r="B15" t="str">
            <v>Adjumani</v>
          </cell>
          <cell r="C15" t="str">
            <v>East Moyo</v>
          </cell>
          <cell r="D15" t="str">
            <v>Itirikwa</v>
          </cell>
          <cell r="F15">
            <v>12</v>
          </cell>
        </row>
        <row r="16">
          <cell r="A16" t="str">
            <v>Ofua</v>
          </cell>
          <cell r="B16" t="str">
            <v>Adjumani</v>
          </cell>
          <cell r="C16" t="str">
            <v>East Moyo</v>
          </cell>
          <cell r="D16" t="str">
            <v>Ofua</v>
          </cell>
          <cell r="F16">
            <v>13</v>
          </cell>
        </row>
        <row r="17">
          <cell r="A17" t="str">
            <v>Pacara</v>
          </cell>
          <cell r="B17" t="str">
            <v>Adjumani</v>
          </cell>
          <cell r="C17" t="str">
            <v>East Moyo</v>
          </cell>
          <cell r="D17" t="str">
            <v>Pacara</v>
          </cell>
          <cell r="F17">
            <v>14</v>
          </cell>
        </row>
        <row r="18">
          <cell r="A18" t="str">
            <v>Pakele</v>
          </cell>
          <cell r="B18" t="str">
            <v>Adjumani</v>
          </cell>
          <cell r="C18" t="str">
            <v>East Moyo</v>
          </cell>
          <cell r="D18" t="str">
            <v>Pakele</v>
          </cell>
          <cell r="F18">
            <v>15</v>
          </cell>
        </row>
        <row r="19">
          <cell r="A19" t="str">
            <v>Ukusijoni</v>
          </cell>
          <cell r="B19" t="str">
            <v>Adjumani</v>
          </cell>
          <cell r="C19" t="str">
            <v>East Moyo</v>
          </cell>
          <cell r="D19" t="str">
            <v>Ukusijoni</v>
          </cell>
          <cell r="F19">
            <v>16</v>
          </cell>
        </row>
        <row r="20">
          <cell r="A20" t="str">
            <v>Adilang</v>
          </cell>
          <cell r="B20" t="str">
            <v>Agago</v>
          </cell>
          <cell r="C20" t="str">
            <v>Agago</v>
          </cell>
          <cell r="D20" t="str">
            <v>Adilang</v>
          </cell>
          <cell r="F20">
            <v>17</v>
          </cell>
        </row>
        <row r="21">
          <cell r="A21" t="str">
            <v>Agago Town Council</v>
          </cell>
          <cell r="B21" t="str">
            <v>Agago</v>
          </cell>
          <cell r="C21" t="str">
            <v>Agago</v>
          </cell>
          <cell r="D21" t="str">
            <v>Agago Town Council</v>
          </cell>
          <cell r="F21">
            <v>18</v>
          </cell>
        </row>
        <row r="22">
          <cell r="A22" t="str">
            <v>Arum</v>
          </cell>
          <cell r="B22" t="str">
            <v>Agago</v>
          </cell>
          <cell r="C22" t="str">
            <v>Agago</v>
          </cell>
          <cell r="D22" t="str">
            <v>Arum</v>
          </cell>
          <cell r="F22">
            <v>19</v>
          </cell>
        </row>
        <row r="23">
          <cell r="A23" t="str">
            <v>Kalongo Town Council</v>
          </cell>
          <cell r="B23" t="str">
            <v>Agago</v>
          </cell>
          <cell r="C23" t="str">
            <v>Agago</v>
          </cell>
          <cell r="D23" t="str">
            <v>Kalongo Town Council</v>
          </cell>
          <cell r="F23">
            <v>20</v>
          </cell>
        </row>
        <row r="24">
          <cell r="A24" t="str">
            <v>Kotomol</v>
          </cell>
          <cell r="B24" t="str">
            <v>Agago</v>
          </cell>
          <cell r="C24" t="str">
            <v>Agago</v>
          </cell>
          <cell r="D24" t="str">
            <v>Kotomol</v>
          </cell>
          <cell r="F24">
            <v>21</v>
          </cell>
        </row>
        <row r="25">
          <cell r="A25" t="str">
            <v>Lamiyo</v>
          </cell>
          <cell r="B25" t="str">
            <v>Agago</v>
          </cell>
          <cell r="C25" t="str">
            <v>Agago</v>
          </cell>
          <cell r="D25" t="str">
            <v>Lamiyo</v>
          </cell>
          <cell r="F25">
            <v>22</v>
          </cell>
        </row>
        <row r="26">
          <cell r="A26" t="str">
            <v>Lapono</v>
          </cell>
          <cell r="B26" t="str">
            <v>Agago</v>
          </cell>
          <cell r="C26" t="str">
            <v>Agago</v>
          </cell>
          <cell r="D26" t="str">
            <v>Lapono</v>
          </cell>
          <cell r="F26">
            <v>23</v>
          </cell>
        </row>
        <row r="27">
          <cell r="A27" t="str">
            <v>Lira Palwo</v>
          </cell>
          <cell r="B27" t="str">
            <v>Agago</v>
          </cell>
          <cell r="C27" t="str">
            <v>Agago</v>
          </cell>
          <cell r="D27" t="str">
            <v>Lira Palwo</v>
          </cell>
          <cell r="F27">
            <v>24</v>
          </cell>
        </row>
        <row r="28">
          <cell r="A28" t="str">
            <v>LIIRA</v>
          </cell>
          <cell r="F28">
            <v>24</v>
          </cell>
        </row>
        <row r="29">
          <cell r="A29" t="str">
            <v>Lokole</v>
          </cell>
          <cell r="B29" t="str">
            <v>Agago</v>
          </cell>
          <cell r="C29" t="str">
            <v>Agago</v>
          </cell>
          <cell r="D29" t="str">
            <v>Lokole</v>
          </cell>
          <cell r="F29">
            <v>25</v>
          </cell>
        </row>
        <row r="30">
          <cell r="A30" t="str">
            <v>Omiya Pacwa</v>
          </cell>
          <cell r="B30" t="str">
            <v>Agago</v>
          </cell>
          <cell r="C30" t="str">
            <v>Agago</v>
          </cell>
          <cell r="D30" t="str">
            <v>Omiya Pacwa</v>
          </cell>
          <cell r="F30">
            <v>26</v>
          </cell>
        </row>
        <row r="31">
          <cell r="A31" t="str">
            <v>Omot</v>
          </cell>
          <cell r="B31" t="str">
            <v>Agago</v>
          </cell>
          <cell r="C31" t="str">
            <v>Agago</v>
          </cell>
          <cell r="D31" t="str">
            <v>Omot</v>
          </cell>
          <cell r="F31">
            <v>27</v>
          </cell>
        </row>
        <row r="32">
          <cell r="A32" t="str">
            <v>Paimol</v>
          </cell>
          <cell r="B32" t="str">
            <v>Agago</v>
          </cell>
          <cell r="C32" t="str">
            <v>Agago</v>
          </cell>
          <cell r="D32" t="str">
            <v>Paimol</v>
          </cell>
          <cell r="F32">
            <v>28</v>
          </cell>
        </row>
        <row r="33">
          <cell r="A33" t="str">
            <v>Parabongo</v>
          </cell>
          <cell r="B33" t="str">
            <v>Agago</v>
          </cell>
          <cell r="C33" t="str">
            <v>Agago</v>
          </cell>
          <cell r="D33" t="str">
            <v>Parabongo</v>
          </cell>
          <cell r="F33">
            <v>29</v>
          </cell>
        </row>
        <row r="34">
          <cell r="A34" t="str">
            <v>Patongo</v>
          </cell>
          <cell r="B34" t="str">
            <v>Agago</v>
          </cell>
          <cell r="C34" t="str">
            <v>Agago</v>
          </cell>
          <cell r="D34" t="str">
            <v>Patongo</v>
          </cell>
          <cell r="F34">
            <v>30</v>
          </cell>
        </row>
        <row r="35">
          <cell r="A35" t="str">
            <v>Patongo Town Council</v>
          </cell>
          <cell r="B35" t="str">
            <v>Agago</v>
          </cell>
          <cell r="C35" t="str">
            <v>Agago</v>
          </cell>
          <cell r="D35" t="str">
            <v>Patongo Town Council</v>
          </cell>
          <cell r="F35">
            <v>31</v>
          </cell>
        </row>
        <row r="36">
          <cell r="A36" t="str">
            <v>Wol</v>
          </cell>
          <cell r="B36" t="str">
            <v>Agago</v>
          </cell>
          <cell r="C36" t="str">
            <v>Agago</v>
          </cell>
          <cell r="D36" t="str">
            <v>Wol</v>
          </cell>
          <cell r="F36">
            <v>32</v>
          </cell>
        </row>
        <row r="37">
          <cell r="A37" t="str">
            <v>Abako</v>
          </cell>
          <cell r="B37" t="str">
            <v>Alebtong</v>
          </cell>
          <cell r="C37" t="str">
            <v>Moroto</v>
          </cell>
          <cell r="D37" t="str">
            <v>Abako</v>
          </cell>
          <cell r="F37">
            <v>33</v>
          </cell>
        </row>
        <row r="38">
          <cell r="A38" t="str">
            <v>Abia</v>
          </cell>
          <cell r="B38" t="str">
            <v>Alebtong</v>
          </cell>
          <cell r="C38" t="str">
            <v>Moroto</v>
          </cell>
          <cell r="D38" t="str">
            <v>Abia</v>
          </cell>
          <cell r="F38">
            <v>34</v>
          </cell>
        </row>
        <row r="39">
          <cell r="A39" t="str">
            <v>Akura</v>
          </cell>
          <cell r="B39" t="str">
            <v>Alebtong</v>
          </cell>
          <cell r="C39" t="str">
            <v>Moroto</v>
          </cell>
          <cell r="D39" t="str">
            <v>Akura</v>
          </cell>
          <cell r="F39">
            <v>35</v>
          </cell>
        </row>
        <row r="40">
          <cell r="A40" t="str">
            <v>Alebtong Town Council</v>
          </cell>
          <cell r="B40" t="str">
            <v>Alebtong</v>
          </cell>
          <cell r="C40" t="str">
            <v>Moroto</v>
          </cell>
          <cell r="D40" t="str">
            <v>Alebtong Town Council</v>
          </cell>
          <cell r="F40">
            <v>36</v>
          </cell>
        </row>
        <row r="41">
          <cell r="A41" t="str">
            <v>Aloi</v>
          </cell>
          <cell r="B41" t="str">
            <v>Alebtong</v>
          </cell>
          <cell r="C41" t="str">
            <v>Moroto</v>
          </cell>
          <cell r="D41" t="str">
            <v>Aloi</v>
          </cell>
          <cell r="F41">
            <v>37</v>
          </cell>
        </row>
        <row r="42">
          <cell r="A42" t="str">
            <v>Amugu</v>
          </cell>
          <cell r="B42" t="str">
            <v>Alebtong</v>
          </cell>
          <cell r="C42" t="str">
            <v>Moroto</v>
          </cell>
          <cell r="D42" t="str">
            <v>Amugu</v>
          </cell>
          <cell r="F42">
            <v>38</v>
          </cell>
        </row>
        <row r="43">
          <cell r="A43" t="str">
            <v>Apala</v>
          </cell>
          <cell r="B43" t="str">
            <v>Alebtong</v>
          </cell>
          <cell r="C43" t="str">
            <v>Moroto</v>
          </cell>
          <cell r="D43" t="str">
            <v>Apala</v>
          </cell>
          <cell r="F43">
            <v>39</v>
          </cell>
        </row>
        <row r="44">
          <cell r="A44" t="str">
            <v>Awei</v>
          </cell>
          <cell r="B44" t="str">
            <v>Alebtong</v>
          </cell>
          <cell r="C44" t="str">
            <v>Moroto</v>
          </cell>
          <cell r="D44" t="str">
            <v>Awei</v>
          </cell>
          <cell r="F44">
            <v>40</v>
          </cell>
        </row>
        <row r="45">
          <cell r="A45" t="str">
            <v>Omoro</v>
          </cell>
          <cell r="B45" t="str">
            <v>Alebtong</v>
          </cell>
          <cell r="C45" t="str">
            <v>Moroto</v>
          </cell>
          <cell r="D45" t="str">
            <v>Omoro</v>
          </cell>
          <cell r="F45">
            <v>41</v>
          </cell>
        </row>
        <row r="46">
          <cell r="A46" t="str">
            <v>Agikdak</v>
          </cell>
          <cell r="B46" t="str">
            <v>Amolatar</v>
          </cell>
          <cell r="C46" t="str">
            <v>Kioga</v>
          </cell>
          <cell r="D46" t="str">
            <v>Agikdak</v>
          </cell>
          <cell r="F46">
            <v>42</v>
          </cell>
        </row>
        <row r="47">
          <cell r="A47" t="str">
            <v>Agwingiri</v>
          </cell>
          <cell r="B47" t="str">
            <v>Amolatar</v>
          </cell>
          <cell r="C47" t="str">
            <v>Kioga</v>
          </cell>
          <cell r="D47" t="str">
            <v>Agwingiri</v>
          </cell>
          <cell r="F47">
            <v>43</v>
          </cell>
        </row>
        <row r="48">
          <cell r="A48" t="str">
            <v>Akwon</v>
          </cell>
          <cell r="B48" t="str">
            <v>Amolatar</v>
          </cell>
          <cell r="C48" t="str">
            <v>Kioga</v>
          </cell>
          <cell r="D48" t="str">
            <v>Akwon</v>
          </cell>
          <cell r="F48">
            <v>44</v>
          </cell>
        </row>
        <row r="49">
          <cell r="A49" t="str">
            <v>Amolatar Town Council</v>
          </cell>
          <cell r="B49" t="str">
            <v>Amolatar</v>
          </cell>
          <cell r="C49" t="str">
            <v>Kioga</v>
          </cell>
          <cell r="D49" t="str">
            <v>Amolatar Town Council</v>
          </cell>
          <cell r="F49">
            <v>45</v>
          </cell>
        </row>
        <row r="50">
          <cell r="A50" t="str">
            <v>Aputi</v>
          </cell>
          <cell r="B50" t="str">
            <v>Amolatar</v>
          </cell>
          <cell r="C50" t="str">
            <v>Kioga</v>
          </cell>
          <cell r="D50" t="str">
            <v>Aputi</v>
          </cell>
          <cell r="F50">
            <v>46</v>
          </cell>
        </row>
        <row r="51">
          <cell r="A51" t="str">
            <v>Arwotcek</v>
          </cell>
          <cell r="B51" t="str">
            <v>Amolatar</v>
          </cell>
          <cell r="C51" t="str">
            <v>Kioga</v>
          </cell>
          <cell r="D51" t="str">
            <v>Arwotcek</v>
          </cell>
          <cell r="F51">
            <v>47</v>
          </cell>
        </row>
        <row r="52">
          <cell r="A52" t="str">
            <v>Awelo</v>
          </cell>
          <cell r="B52" t="str">
            <v>Amolatar</v>
          </cell>
          <cell r="C52" t="str">
            <v>Kioga</v>
          </cell>
          <cell r="D52" t="str">
            <v>Awelo</v>
          </cell>
          <cell r="F52">
            <v>48</v>
          </cell>
        </row>
        <row r="53">
          <cell r="A53" t="str">
            <v>Etam</v>
          </cell>
          <cell r="B53" t="str">
            <v>Amolatar</v>
          </cell>
          <cell r="C53" t="str">
            <v>Kioga</v>
          </cell>
          <cell r="D53" t="str">
            <v>Etam</v>
          </cell>
          <cell r="F53">
            <v>49</v>
          </cell>
        </row>
        <row r="54">
          <cell r="A54" t="str">
            <v>Muntu</v>
          </cell>
          <cell r="B54" t="str">
            <v>Amolatar</v>
          </cell>
          <cell r="C54" t="str">
            <v>Kioga</v>
          </cell>
          <cell r="D54" t="str">
            <v>Muntu</v>
          </cell>
          <cell r="F54">
            <v>50</v>
          </cell>
        </row>
        <row r="55">
          <cell r="A55" t="str">
            <v>Namasale</v>
          </cell>
          <cell r="B55" t="str">
            <v>Amolatar</v>
          </cell>
          <cell r="C55" t="str">
            <v>Kioga</v>
          </cell>
          <cell r="D55" t="str">
            <v>Namasale</v>
          </cell>
          <cell r="F55">
            <v>51</v>
          </cell>
        </row>
        <row r="56">
          <cell r="A56" t="str">
            <v>Namasale Town Council</v>
          </cell>
          <cell r="B56" t="str">
            <v>Amolatar</v>
          </cell>
          <cell r="C56" t="str">
            <v>Kioga</v>
          </cell>
          <cell r="D56" t="str">
            <v>Namasale Town Council</v>
          </cell>
          <cell r="F56">
            <v>52</v>
          </cell>
        </row>
        <row r="57">
          <cell r="A57" t="str">
            <v>Amudat</v>
          </cell>
          <cell r="B57" t="str">
            <v>Amudat</v>
          </cell>
          <cell r="C57" t="str">
            <v>Pokot</v>
          </cell>
          <cell r="D57" t="str">
            <v>Amudat</v>
          </cell>
          <cell r="F57">
            <v>53</v>
          </cell>
        </row>
        <row r="58">
          <cell r="A58" t="str">
            <v>Amudat Town Council</v>
          </cell>
          <cell r="B58" t="str">
            <v>Amudat</v>
          </cell>
          <cell r="C58" t="str">
            <v>Pokot</v>
          </cell>
          <cell r="D58" t="str">
            <v>Amudat Town Council</v>
          </cell>
          <cell r="F58">
            <v>54</v>
          </cell>
        </row>
        <row r="59">
          <cell r="A59" t="str">
            <v>Karita</v>
          </cell>
          <cell r="B59" t="str">
            <v>Amudat</v>
          </cell>
          <cell r="C59" t="str">
            <v>Pokot</v>
          </cell>
          <cell r="D59" t="str">
            <v>Karita</v>
          </cell>
          <cell r="F59">
            <v>55</v>
          </cell>
        </row>
        <row r="60">
          <cell r="A60" t="str">
            <v>Loroo</v>
          </cell>
          <cell r="B60" t="str">
            <v>Amudat</v>
          </cell>
          <cell r="C60" t="str">
            <v>Pokot</v>
          </cell>
          <cell r="D60" t="str">
            <v>Loroo</v>
          </cell>
          <cell r="F60">
            <v>56</v>
          </cell>
        </row>
        <row r="61">
          <cell r="A61" t="str">
            <v>Abarilela</v>
          </cell>
          <cell r="B61" t="str">
            <v>Amuria</v>
          </cell>
          <cell r="C61" t="str">
            <v>Amuria</v>
          </cell>
          <cell r="D61" t="str">
            <v>Abarilela</v>
          </cell>
          <cell r="F61">
            <v>57</v>
          </cell>
        </row>
        <row r="62">
          <cell r="A62" t="str">
            <v>Acowa</v>
          </cell>
          <cell r="B62" t="str">
            <v>Amuria</v>
          </cell>
          <cell r="C62" t="str">
            <v>Kapelebyong</v>
          </cell>
          <cell r="D62" t="str">
            <v>Acowa</v>
          </cell>
          <cell r="F62">
            <v>58</v>
          </cell>
        </row>
        <row r="63">
          <cell r="A63" t="str">
            <v>Akeriau</v>
          </cell>
          <cell r="B63" t="str">
            <v>Amuria</v>
          </cell>
          <cell r="C63" t="str">
            <v>Amuria</v>
          </cell>
          <cell r="D63" t="str">
            <v>Akeriau</v>
          </cell>
          <cell r="F63">
            <v>59</v>
          </cell>
        </row>
        <row r="64">
          <cell r="A64" t="str">
            <v>Akoromit</v>
          </cell>
          <cell r="B64" t="str">
            <v>Amuria</v>
          </cell>
          <cell r="C64" t="str">
            <v>Kapelebyong</v>
          </cell>
          <cell r="D64" t="str">
            <v>Akoromit</v>
          </cell>
          <cell r="F64">
            <v>60</v>
          </cell>
        </row>
        <row r="65">
          <cell r="A65" t="str">
            <v>Amuria Town Council</v>
          </cell>
          <cell r="B65" t="str">
            <v>Amuria</v>
          </cell>
          <cell r="C65" t="str">
            <v>Amuria</v>
          </cell>
          <cell r="D65" t="str">
            <v>Amuria Town Council</v>
          </cell>
          <cell r="F65">
            <v>61</v>
          </cell>
        </row>
        <row r="66">
          <cell r="A66" t="str">
            <v>Amuriata</v>
          </cell>
          <cell r="F66">
            <v>61</v>
          </cell>
        </row>
        <row r="67">
          <cell r="A67" t="str">
            <v>Apeduru</v>
          </cell>
          <cell r="B67" t="str">
            <v>Amuria</v>
          </cell>
          <cell r="C67" t="str">
            <v>Amuria</v>
          </cell>
          <cell r="D67" t="str">
            <v>Apeduru</v>
          </cell>
          <cell r="F67">
            <v>62</v>
          </cell>
        </row>
        <row r="68">
          <cell r="A68" t="str">
            <v>Asamuk</v>
          </cell>
          <cell r="B68" t="str">
            <v>Amuria</v>
          </cell>
          <cell r="C68" t="str">
            <v>Amuria</v>
          </cell>
          <cell r="D68" t="str">
            <v>Asamuk</v>
          </cell>
          <cell r="F68">
            <v>63</v>
          </cell>
        </row>
        <row r="69">
          <cell r="A69" t="str">
            <v>Kapelebyong</v>
          </cell>
          <cell r="B69" t="str">
            <v>Amuria</v>
          </cell>
          <cell r="C69" t="str">
            <v>Kapelebyong</v>
          </cell>
          <cell r="D69" t="str">
            <v>Kapelebyong</v>
          </cell>
          <cell r="F69">
            <v>64</v>
          </cell>
        </row>
        <row r="70">
          <cell r="A70" t="str">
            <v>Kuju</v>
          </cell>
          <cell r="B70" t="str">
            <v>Amuria</v>
          </cell>
          <cell r="C70" t="str">
            <v>Amuria</v>
          </cell>
          <cell r="D70" t="str">
            <v>Kuju</v>
          </cell>
          <cell r="F70">
            <v>65</v>
          </cell>
        </row>
        <row r="71">
          <cell r="A71" t="str">
            <v>Morungatuny</v>
          </cell>
          <cell r="B71" t="str">
            <v>Amuria</v>
          </cell>
          <cell r="C71" t="str">
            <v>Amuria</v>
          </cell>
          <cell r="D71" t="str">
            <v>Morungatuny</v>
          </cell>
          <cell r="F71">
            <v>66</v>
          </cell>
        </row>
        <row r="72">
          <cell r="A72" t="str">
            <v>Obalanga</v>
          </cell>
          <cell r="B72" t="str">
            <v>Amuria</v>
          </cell>
          <cell r="C72" t="str">
            <v>Kapelebyong</v>
          </cell>
          <cell r="D72" t="str">
            <v>Obalanga</v>
          </cell>
          <cell r="F72">
            <v>67</v>
          </cell>
        </row>
        <row r="73">
          <cell r="A73" t="str">
            <v>Ogolai</v>
          </cell>
          <cell r="B73" t="str">
            <v>Amuria</v>
          </cell>
          <cell r="C73" t="str">
            <v>Amuria</v>
          </cell>
          <cell r="D73" t="str">
            <v>Ogolai</v>
          </cell>
          <cell r="F73">
            <v>68</v>
          </cell>
        </row>
        <row r="74">
          <cell r="A74" t="str">
            <v>Okungur</v>
          </cell>
          <cell r="B74" t="str">
            <v>Amuria</v>
          </cell>
          <cell r="C74" t="str">
            <v>Kapelebyong</v>
          </cell>
          <cell r="D74" t="str">
            <v>Okungur</v>
          </cell>
          <cell r="F74">
            <v>69</v>
          </cell>
        </row>
        <row r="75">
          <cell r="A75" t="str">
            <v>Orungo</v>
          </cell>
          <cell r="B75" t="str">
            <v>Amuria</v>
          </cell>
          <cell r="C75" t="str">
            <v>Amuria</v>
          </cell>
          <cell r="D75" t="str">
            <v>Orungo</v>
          </cell>
          <cell r="F75">
            <v>70</v>
          </cell>
        </row>
        <row r="76">
          <cell r="A76" t="str">
            <v>Wera</v>
          </cell>
          <cell r="B76" t="str">
            <v>Amuria</v>
          </cell>
          <cell r="C76" t="str">
            <v>Amuria</v>
          </cell>
          <cell r="D76" t="str">
            <v>Wera</v>
          </cell>
          <cell r="F76">
            <v>71</v>
          </cell>
        </row>
        <row r="77">
          <cell r="A77" t="str">
            <v>Willa</v>
          </cell>
          <cell r="B77" t="str">
            <v>Amuria</v>
          </cell>
          <cell r="C77" t="str">
            <v>Amuria</v>
          </cell>
          <cell r="D77" t="str">
            <v>Willa</v>
          </cell>
          <cell r="F77">
            <v>72</v>
          </cell>
        </row>
        <row r="78">
          <cell r="A78" t="str">
            <v>Amuru</v>
          </cell>
          <cell r="B78" t="str">
            <v>Amuru</v>
          </cell>
          <cell r="C78" t="str">
            <v>Kilak</v>
          </cell>
          <cell r="D78" t="str">
            <v>Amuru</v>
          </cell>
          <cell r="F78">
            <v>73</v>
          </cell>
        </row>
        <row r="79">
          <cell r="A79" t="str">
            <v>Amuru Town Council</v>
          </cell>
          <cell r="B79" t="str">
            <v>Amuru</v>
          </cell>
          <cell r="C79" t="str">
            <v>Kilak</v>
          </cell>
          <cell r="D79" t="str">
            <v>Amuru Town Council</v>
          </cell>
          <cell r="F79">
            <v>74</v>
          </cell>
        </row>
        <row r="80">
          <cell r="A80" t="str">
            <v>Attiak</v>
          </cell>
          <cell r="B80" t="str">
            <v>Amuru</v>
          </cell>
          <cell r="C80" t="str">
            <v>Kilak</v>
          </cell>
          <cell r="D80" t="str">
            <v>Attiak</v>
          </cell>
          <cell r="F80">
            <v>75</v>
          </cell>
        </row>
        <row r="81">
          <cell r="A81" t="str">
            <v>Atiaka</v>
          </cell>
          <cell r="F81">
            <v>75</v>
          </cell>
        </row>
        <row r="82">
          <cell r="A82" t="str">
            <v>Lamogi</v>
          </cell>
          <cell r="B82" t="str">
            <v>Amuru</v>
          </cell>
          <cell r="C82" t="str">
            <v>Kilak</v>
          </cell>
          <cell r="D82" t="str">
            <v>Lamogi</v>
          </cell>
          <cell r="F82">
            <v>76</v>
          </cell>
        </row>
        <row r="83">
          <cell r="A83" t="str">
            <v>Pabo</v>
          </cell>
          <cell r="B83" t="str">
            <v>Amuru</v>
          </cell>
          <cell r="C83" t="str">
            <v>Kilak</v>
          </cell>
          <cell r="D83" t="str">
            <v>Pabo</v>
          </cell>
          <cell r="F83">
            <v>77</v>
          </cell>
        </row>
        <row r="84">
          <cell r="A84" t="str">
            <v>Abongomola</v>
          </cell>
          <cell r="B84" t="str">
            <v>Apac</v>
          </cell>
          <cell r="C84" t="str">
            <v>Kwania</v>
          </cell>
          <cell r="D84" t="str">
            <v>Abongomola</v>
          </cell>
          <cell r="F84">
            <v>78</v>
          </cell>
        </row>
        <row r="85">
          <cell r="A85" t="str">
            <v>Aduku</v>
          </cell>
          <cell r="B85" t="str">
            <v>Apac</v>
          </cell>
          <cell r="C85" t="str">
            <v>Kwania</v>
          </cell>
          <cell r="D85" t="str">
            <v>Aduku</v>
          </cell>
          <cell r="F85">
            <v>79</v>
          </cell>
        </row>
        <row r="86">
          <cell r="A86" t="str">
            <v>Aduku Town Council</v>
          </cell>
          <cell r="B86" t="str">
            <v>Apac</v>
          </cell>
          <cell r="C86" t="str">
            <v>Kwania</v>
          </cell>
          <cell r="D86" t="str">
            <v>Aduku Town Council</v>
          </cell>
          <cell r="F86">
            <v>80</v>
          </cell>
        </row>
        <row r="87">
          <cell r="A87" t="str">
            <v>Akokoro</v>
          </cell>
          <cell r="B87" t="str">
            <v>Apac</v>
          </cell>
          <cell r="C87" t="str">
            <v>Maruzi</v>
          </cell>
          <cell r="D87" t="str">
            <v>Akokoro</v>
          </cell>
          <cell r="F87">
            <v>81</v>
          </cell>
        </row>
        <row r="88">
          <cell r="A88" t="str">
            <v>KAYEI</v>
          </cell>
          <cell r="F88">
            <v>81</v>
          </cell>
        </row>
        <row r="89">
          <cell r="A89" t="str">
            <v>Apac Muicipality</v>
          </cell>
          <cell r="B89" t="str">
            <v>Apac</v>
          </cell>
          <cell r="C89" t="str">
            <v>Apac Municipality</v>
          </cell>
          <cell r="D89" t="str">
            <v>Apac Muicipality</v>
          </cell>
          <cell r="F89">
            <v>82</v>
          </cell>
        </row>
        <row r="90">
          <cell r="A90" t="str">
            <v>APAC</v>
          </cell>
          <cell r="F90">
            <v>82</v>
          </cell>
        </row>
        <row r="91">
          <cell r="A91" t="str">
            <v>Chawente</v>
          </cell>
          <cell r="B91" t="str">
            <v>Apac</v>
          </cell>
          <cell r="C91" t="str">
            <v>Kwania</v>
          </cell>
          <cell r="D91" t="str">
            <v>Chawente</v>
          </cell>
          <cell r="F91">
            <v>83</v>
          </cell>
        </row>
        <row r="92">
          <cell r="A92" t="str">
            <v>Chegere</v>
          </cell>
          <cell r="B92" t="str">
            <v>Apac</v>
          </cell>
          <cell r="C92" t="str">
            <v>Maruzi</v>
          </cell>
          <cell r="D92" t="str">
            <v>Chegere</v>
          </cell>
          <cell r="F92">
            <v>84</v>
          </cell>
        </row>
        <row r="93">
          <cell r="A93" t="str">
            <v>Ibuje</v>
          </cell>
          <cell r="B93" t="str">
            <v>Apac</v>
          </cell>
          <cell r="C93" t="str">
            <v>Maruzi</v>
          </cell>
          <cell r="D93" t="str">
            <v>Ibuje</v>
          </cell>
          <cell r="F93">
            <v>85</v>
          </cell>
        </row>
        <row r="94">
          <cell r="A94" t="str">
            <v>Inomo</v>
          </cell>
          <cell r="B94" t="str">
            <v>Apac</v>
          </cell>
          <cell r="C94" t="str">
            <v>Kwania</v>
          </cell>
          <cell r="D94" t="str">
            <v>Inomo</v>
          </cell>
          <cell r="F94">
            <v>86</v>
          </cell>
        </row>
        <row r="95">
          <cell r="A95" t="str">
            <v>Nambieso</v>
          </cell>
          <cell r="B95" t="str">
            <v>Apac</v>
          </cell>
          <cell r="C95" t="str">
            <v>Kwania</v>
          </cell>
          <cell r="D95" t="str">
            <v>Nambieso</v>
          </cell>
          <cell r="F95">
            <v>87</v>
          </cell>
        </row>
        <row r="96">
          <cell r="A96" t="str">
            <v>Adumi</v>
          </cell>
          <cell r="B96" t="str">
            <v>Arua</v>
          </cell>
          <cell r="C96" t="str">
            <v>Ayivu</v>
          </cell>
          <cell r="D96" t="str">
            <v>Adumi</v>
          </cell>
          <cell r="F96">
            <v>88</v>
          </cell>
        </row>
        <row r="97">
          <cell r="A97" t="str">
            <v>Aii-Vu</v>
          </cell>
          <cell r="B97" t="str">
            <v>Arua</v>
          </cell>
          <cell r="C97" t="str">
            <v>Terego</v>
          </cell>
          <cell r="D97" t="str">
            <v>Aii-Vu</v>
          </cell>
          <cell r="F97">
            <v>89</v>
          </cell>
        </row>
        <row r="98">
          <cell r="A98" t="str">
            <v>Ajia</v>
          </cell>
          <cell r="B98" t="str">
            <v>Arua</v>
          </cell>
          <cell r="C98" t="str">
            <v>Vurra</v>
          </cell>
          <cell r="D98" t="str">
            <v>Ajia</v>
          </cell>
          <cell r="F98">
            <v>90</v>
          </cell>
        </row>
        <row r="99">
          <cell r="A99" t="str">
            <v>Anyiribu</v>
          </cell>
          <cell r="B99" t="str">
            <v>Arua</v>
          </cell>
          <cell r="C99" t="str">
            <v>Madi Okollo</v>
          </cell>
          <cell r="D99" t="str">
            <v>Anyiribu</v>
          </cell>
          <cell r="F99">
            <v>91</v>
          </cell>
        </row>
        <row r="100">
          <cell r="A100" t="str">
            <v>Arivu</v>
          </cell>
          <cell r="B100" t="str">
            <v>Arua</v>
          </cell>
          <cell r="C100" t="str">
            <v>Vurra</v>
          </cell>
          <cell r="D100" t="str">
            <v>Arivu</v>
          </cell>
          <cell r="F100">
            <v>92</v>
          </cell>
        </row>
        <row r="101">
          <cell r="A101" t="str">
            <v>Aroi</v>
          </cell>
          <cell r="B101" t="str">
            <v>Arua</v>
          </cell>
          <cell r="C101" t="str">
            <v>Ayivu</v>
          </cell>
          <cell r="D101" t="str">
            <v>Aroi</v>
          </cell>
          <cell r="F101">
            <v>93</v>
          </cell>
        </row>
        <row r="102">
          <cell r="A102" t="str">
            <v>Arua Municipality</v>
          </cell>
          <cell r="B102" t="str">
            <v>Arua</v>
          </cell>
          <cell r="C102" t="str">
            <v>Arua Municipality</v>
          </cell>
          <cell r="D102" t="str">
            <v>Arua Municipality</v>
          </cell>
          <cell r="F102">
            <v>94</v>
          </cell>
        </row>
        <row r="103">
          <cell r="A103" t="str">
            <v>ARUA</v>
          </cell>
          <cell r="F103">
            <v>94</v>
          </cell>
        </row>
        <row r="104">
          <cell r="A104" t="str">
            <v>ARUA TOWN</v>
          </cell>
          <cell r="F104">
            <v>94</v>
          </cell>
        </row>
        <row r="105">
          <cell r="A105" t="str">
            <v>Ayivuni</v>
          </cell>
          <cell r="B105" t="str">
            <v>Arua</v>
          </cell>
          <cell r="C105" t="str">
            <v>Ayivu</v>
          </cell>
          <cell r="D105" t="str">
            <v>Ayivuni</v>
          </cell>
          <cell r="F105">
            <v>95</v>
          </cell>
        </row>
        <row r="106">
          <cell r="A106" t="str">
            <v>Bileafe</v>
          </cell>
          <cell r="B106" t="str">
            <v>Arua</v>
          </cell>
          <cell r="C106" t="str">
            <v>Terego</v>
          </cell>
          <cell r="D106" t="str">
            <v>Bileafe</v>
          </cell>
          <cell r="F106">
            <v>96</v>
          </cell>
        </row>
        <row r="107">
          <cell r="A107" t="str">
            <v>Dadamu</v>
          </cell>
          <cell r="B107" t="str">
            <v>Arua</v>
          </cell>
          <cell r="C107" t="str">
            <v>Ayivu</v>
          </cell>
          <cell r="D107" t="str">
            <v>Dadamu</v>
          </cell>
          <cell r="F107">
            <v>97</v>
          </cell>
        </row>
        <row r="108">
          <cell r="A108" t="str">
            <v>Ewanga</v>
          </cell>
          <cell r="B108" t="str">
            <v>Arua</v>
          </cell>
          <cell r="C108" t="str">
            <v>Madi Okollo</v>
          </cell>
          <cell r="D108" t="str">
            <v>Ewanga</v>
          </cell>
          <cell r="F108">
            <v>98</v>
          </cell>
        </row>
        <row r="109">
          <cell r="A109" t="str">
            <v>Katrini</v>
          </cell>
          <cell r="B109" t="str">
            <v>Arua</v>
          </cell>
          <cell r="C109" t="str">
            <v>Terego</v>
          </cell>
          <cell r="D109" t="str">
            <v>Katrini</v>
          </cell>
          <cell r="F109">
            <v>99</v>
          </cell>
        </row>
        <row r="110">
          <cell r="A110" t="str">
            <v>Logiri</v>
          </cell>
          <cell r="B110" t="str">
            <v>Arua</v>
          </cell>
          <cell r="C110" t="str">
            <v>Vurra</v>
          </cell>
          <cell r="D110" t="str">
            <v>Logiri</v>
          </cell>
          <cell r="F110">
            <v>100</v>
          </cell>
        </row>
        <row r="111">
          <cell r="A111" t="str">
            <v>Manibe</v>
          </cell>
          <cell r="B111" t="str">
            <v>Arua</v>
          </cell>
          <cell r="C111" t="str">
            <v>Ayivu</v>
          </cell>
          <cell r="D111" t="str">
            <v>Manibe</v>
          </cell>
          <cell r="F111">
            <v>101</v>
          </cell>
        </row>
        <row r="112">
          <cell r="A112" t="str">
            <v>Odupi</v>
          </cell>
          <cell r="B112" t="str">
            <v>Arua</v>
          </cell>
          <cell r="C112" t="str">
            <v>Terego</v>
          </cell>
          <cell r="D112" t="str">
            <v>Odupi</v>
          </cell>
          <cell r="F112">
            <v>102</v>
          </cell>
        </row>
        <row r="113">
          <cell r="A113" t="str">
            <v>Offaka</v>
          </cell>
          <cell r="B113" t="str">
            <v>Arua</v>
          </cell>
          <cell r="C113" t="str">
            <v>Madi Okollo</v>
          </cell>
          <cell r="D113" t="str">
            <v>Offaka</v>
          </cell>
          <cell r="F113">
            <v>103</v>
          </cell>
        </row>
        <row r="114">
          <cell r="A114" t="str">
            <v>Ogoko</v>
          </cell>
          <cell r="B114" t="str">
            <v>Arua</v>
          </cell>
          <cell r="C114" t="str">
            <v>Madi Okollo</v>
          </cell>
          <cell r="D114" t="str">
            <v>Ogoko</v>
          </cell>
          <cell r="F114">
            <v>104</v>
          </cell>
        </row>
        <row r="115">
          <cell r="A115" t="str">
            <v>Okollo</v>
          </cell>
          <cell r="B115" t="str">
            <v>Arua</v>
          </cell>
          <cell r="C115" t="str">
            <v>Madi Okollo</v>
          </cell>
          <cell r="D115" t="str">
            <v>Okollo</v>
          </cell>
          <cell r="F115">
            <v>105</v>
          </cell>
        </row>
        <row r="116">
          <cell r="A116" t="str">
            <v>Oluko</v>
          </cell>
          <cell r="B116" t="str">
            <v>Arua</v>
          </cell>
          <cell r="C116" t="str">
            <v>Ayivu</v>
          </cell>
          <cell r="D116" t="str">
            <v>Oluko</v>
          </cell>
          <cell r="F116">
            <v>106</v>
          </cell>
        </row>
        <row r="117">
          <cell r="A117" t="str">
            <v>Omugo</v>
          </cell>
          <cell r="B117" t="str">
            <v>Arua</v>
          </cell>
          <cell r="C117" t="str">
            <v>Terego</v>
          </cell>
          <cell r="D117" t="str">
            <v>Omugo</v>
          </cell>
          <cell r="F117">
            <v>107</v>
          </cell>
        </row>
        <row r="118">
          <cell r="A118" t="str">
            <v>Pajulu</v>
          </cell>
          <cell r="B118" t="str">
            <v>Arua</v>
          </cell>
          <cell r="C118" t="str">
            <v>Ayivu</v>
          </cell>
          <cell r="D118" t="str">
            <v>Pajulu</v>
          </cell>
          <cell r="F118">
            <v>108</v>
          </cell>
        </row>
        <row r="119">
          <cell r="A119" t="str">
            <v>Pawor</v>
          </cell>
          <cell r="B119" t="str">
            <v>Arua</v>
          </cell>
          <cell r="C119" t="str">
            <v>Madi Okollo</v>
          </cell>
          <cell r="D119" t="str">
            <v>Pawor</v>
          </cell>
          <cell r="F119">
            <v>109</v>
          </cell>
        </row>
        <row r="120">
          <cell r="A120" t="str">
            <v>Rhino Camp</v>
          </cell>
          <cell r="B120" t="str">
            <v>Arua</v>
          </cell>
          <cell r="C120" t="str">
            <v>Madi Okollo</v>
          </cell>
          <cell r="D120" t="str">
            <v>Rhino Camp</v>
          </cell>
          <cell r="F120">
            <v>110</v>
          </cell>
        </row>
        <row r="121">
          <cell r="A121" t="str">
            <v>Rigbo</v>
          </cell>
          <cell r="B121" t="str">
            <v>Arua</v>
          </cell>
          <cell r="C121" t="str">
            <v>Madi Okollo</v>
          </cell>
          <cell r="D121" t="str">
            <v>Rigbo</v>
          </cell>
          <cell r="F121">
            <v>111</v>
          </cell>
        </row>
        <row r="122">
          <cell r="A122" t="str">
            <v>Uleppi</v>
          </cell>
          <cell r="B122" t="str">
            <v>Arua</v>
          </cell>
          <cell r="C122" t="str">
            <v>Madi Okollo</v>
          </cell>
          <cell r="D122" t="str">
            <v>Uleppi</v>
          </cell>
          <cell r="F122">
            <v>112</v>
          </cell>
        </row>
        <row r="123">
          <cell r="A123" t="str">
            <v>Uriama</v>
          </cell>
          <cell r="B123" t="str">
            <v>Arua</v>
          </cell>
          <cell r="C123" t="str">
            <v>Terego</v>
          </cell>
          <cell r="D123" t="str">
            <v>Uriama</v>
          </cell>
          <cell r="F123">
            <v>113</v>
          </cell>
        </row>
        <row r="124">
          <cell r="A124" t="str">
            <v>Vurra</v>
          </cell>
          <cell r="B124" t="str">
            <v>Arua</v>
          </cell>
          <cell r="C124" t="str">
            <v>Vurra</v>
          </cell>
          <cell r="D124" t="str">
            <v>Vurra</v>
          </cell>
          <cell r="F124">
            <v>114</v>
          </cell>
        </row>
        <row r="125">
          <cell r="A125" t="str">
            <v>Budaka</v>
          </cell>
          <cell r="B125" t="str">
            <v>Budaka</v>
          </cell>
          <cell r="C125" t="str">
            <v>Budaka</v>
          </cell>
          <cell r="D125" t="str">
            <v>Budaka</v>
          </cell>
          <cell r="F125">
            <v>115</v>
          </cell>
        </row>
        <row r="126">
          <cell r="A126" t="str">
            <v>Budaka Town Council</v>
          </cell>
          <cell r="B126" t="str">
            <v>Budaka</v>
          </cell>
          <cell r="C126" t="str">
            <v>Budaka</v>
          </cell>
          <cell r="D126" t="str">
            <v>Budaka Town Council</v>
          </cell>
          <cell r="F126">
            <v>116</v>
          </cell>
        </row>
        <row r="127">
          <cell r="A127" t="str">
            <v>Iki-Iki</v>
          </cell>
          <cell r="B127" t="str">
            <v>Budaka</v>
          </cell>
          <cell r="C127" t="str">
            <v>Iki-Iki</v>
          </cell>
          <cell r="D127" t="str">
            <v>Iki-Iki</v>
          </cell>
          <cell r="F127">
            <v>117</v>
          </cell>
        </row>
        <row r="128">
          <cell r="A128" t="str">
            <v>Kachomo</v>
          </cell>
          <cell r="B128" t="str">
            <v>Budaka</v>
          </cell>
          <cell r="C128" t="str">
            <v>Budaka</v>
          </cell>
          <cell r="D128" t="str">
            <v>Kachomo</v>
          </cell>
          <cell r="F128">
            <v>118</v>
          </cell>
        </row>
        <row r="129">
          <cell r="A129" t="str">
            <v>Kaderuna</v>
          </cell>
          <cell r="B129" t="str">
            <v>Budaka</v>
          </cell>
          <cell r="C129" t="str">
            <v>Budaka</v>
          </cell>
          <cell r="D129" t="str">
            <v>Kaderuna</v>
          </cell>
          <cell r="F129">
            <v>119</v>
          </cell>
        </row>
        <row r="130">
          <cell r="A130" t="str">
            <v>Kakule</v>
          </cell>
          <cell r="B130" t="str">
            <v>Budaka</v>
          </cell>
          <cell r="C130" t="str">
            <v>Budaka</v>
          </cell>
          <cell r="D130" t="str">
            <v>Kakule</v>
          </cell>
          <cell r="F130">
            <v>120</v>
          </cell>
        </row>
        <row r="131">
          <cell r="A131" t="str">
            <v>Kameruka</v>
          </cell>
          <cell r="B131" t="str">
            <v>Budaka</v>
          </cell>
          <cell r="C131" t="str">
            <v>Iki-Iki</v>
          </cell>
          <cell r="D131" t="str">
            <v>Kameruka</v>
          </cell>
          <cell r="F131">
            <v>121</v>
          </cell>
        </row>
        <row r="132">
          <cell r="A132" t="str">
            <v>Kamonkoli</v>
          </cell>
          <cell r="B132" t="str">
            <v>Budaka</v>
          </cell>
          <cell r="C132" t="str">
            <v>Iki-Iki</v>
          </cell>
          <cell r="D132" t="str">
            <v>Kamonkoli</v>
          </cell>
          <cell r="F132">
            <v>122</v>
          </cell>
        </row>
        <row r="133">
          <cell r="A133" t="str">
            <v>Katiira</v>
          </cell>
          <cell r="B133" t="str">
            <v>Budaka</v>
          </cell>
          <cell r="C133" t="str">
            <v>Iki-Iki</v>
          </cell>
          <cell r="D133" t="str">
            <v>Katiira</v>
          </cell>
          <cell r="F133">
            <v>123</v>
          </cell>
        </row>
        <row r="134">
          <cell r="A134" t="str">
            <v>Lyama</v>
          </cell>
          <cell r="B134" t="str">
            <v>Budaka</v>
          </cell>
          <cell r="C134" t="str">
            <v>Budaka</v>
          </cell>
          <cell r="D134" t="str">
            <v>Lyama</v>
          </cell>
          <cell r="F134">
            <v>124</v>
          </cell>
        </row>
        <row r="135">
          <cell r="A135" t="str">
            <v>Mugiti</v>
          </cell>
          <cell r="B135" t="str">
            <v>Budaka</v>
          </cell>
          <cell r="C135" t="str">
            <v>Iki-Iki</v>
          </cell>
          <cell r="D135" t="str">
            <v>Mugiti</v>
          </cell>
          <cell r="F135">
            <v>125</v>
          </cell>
        </row>
        <row r="136">
          <cell r="A136" t="str">
            <v>Naboa</v>
          </cell>
          <cell r="B136" t="str">
            <v>Budaka</v>
          </cell>
          <cell r="C136" t="str">
            <v>Budaka</v>
          </cell>
          <cell r="D136" t="str">
            <v>Naboa</v>
          </cell>
          <cell r="F136">
            <v>126</v>
          </cell>
        </row>
        <row r="137">
          <cell r="A137" t="str">
            <v>Nansanga</v>
          </cell>
          <cell r="B137" t="str">
            <v>Budaka</v>
          </cell>
          <cell r="C137" t="str">
            <v>Budaka</v>
          </cell>
          <cell r="D137" t="str">
            <v>Nansanga</v>
          </cell>
          <cell r="F137">
            <v>127</v>
          </cell>
        </row>
        <row r="138">
          <cell r="A138" t="str">
            <v>Bubiita</v>
          </cell>
          <cell r="B138" t="str">
            <v>Bududa</v>
          </cell>
          <cell r="C138" t="str">
            <v>Manjiya</v>
          </cell>
          <cell r="D138" t="str">
            <v>Bubiita</v>
          </cell>
          <cell r="F138">
            <v>128</v>
          </cell>
        </row>
        <row r="139">
          <cell r="A139" t="str">
            <v>Bududa</v>
          </cell>
          <cell r="B139" t="str">
            <v>Bududa</v>
          </cell>
          <cell r="C139" t="str">
            <v>Manjiya</v>
          </cell>
          <cell r="D139" t="str">
            <v>Bududa</v>
          </cell>
          <cell r="F139">
            <v>129</v>
          </cell>
        </row>
        <row r="140">
          <cell r="A140" t="str">
            <v>Bududa Town Council</v>
          </cell>
          <cell r="B140" t="str">
            <v>Bududa</v>
          </cell>
          <cell r="C140" t="str">
            <v>Manjiya</v>
          </cell>
          <cell r="D140" t="str">
            <v>Bududa Town Council</v>
          </cell>
          <cell r="F140">
            <v>130</v>
          </cell>
        </row>
        <row r="141">
          <cell r="A141" t="str">
            <v>Bukalasi</v>
          </cell>
          <cell r="B141" t="str">
            <v>Bududa</v>
          </cell>
          <cell r="C141" t="str">
            <v>Manjiya</v>
          </cell>
          <cell r="D141" t="str">
            <v>Bukalasi</v>
          </cell>
          <cell r="F141">
            <v>131</v>
          </cell>
        </row>
        <row r="142">
          <cell r="A142" t="str">
            <v>Buhalasi</v>
          </cell>
          <cell r="F142">
            <v>131</v>
          </cell>
        </row>
        <row r="143">
          <cell r="A143" t="str">
            <v>Bukibokolo</v>
          </cell>
          <cell r="B143" t="str">
            <v>Bududa</v>
          </cell>
          <cell r="C143" t="str">
            <v>Manjiya</v>
          </cell>
          <cell r="D143" t="str">
            <v>Bukibokolo</v>
          </cell>
          <cell r="F143">
            <v>132</v>
          </cell>
        </row>
        <row r="144">
          <cell r="A144" t="str">
            <v>Bukigai</v>
          </cell>
          <cell r="B144" t="str">
            <v>Bududa</v>
          </cell>
          <cell r="C144" t="str">
            <v>Manjiya</v>
          </cell>
          <cell r="D144" t="str">
            <v>Bukigai</v>
          </cell>
          <cell r="F144">
            <v>133</v>
          </cell>
        </row>
        <row r="145">
          <cell r="A145" t="str">
            <v>Bulucheke</v>
          </cell>
          <cell r="B145" t="str">
            <v>Bududa</v>
          </cell>
          <cell r="C145" t="str">
            <v>Manjiya</v>
          </cell>
          <cell r="D145" t="str">
            <v>Bulucheke</v>
          </cell>
          <cell r="F145">
            <v>134</v>
          </cell>
        </row>
        <row r="146">
          <cell r="A146" t="str">
            <v>Bumasheti</v>
          </cell>
          <cell r="B146" t="str">
            <v>Bududa</v>
          </cell>
          <cell r="C146" t="str">
            <v>Manjiya</v>
          </cell>
          <cell r="D146" t="str">
            <v>Bumasheti</v>
          </cell>
          <cell r="F146">
            <v>135</v>
          </cell>
        </row>
        <row r="147">
          <cell r="A147" t="str">
            <v>Bumayoka</v>
          </cell>
          <cell r="B147" t="str">
            <v>Bududa</v>
          </cell>
          <cell r="C147" t="str">
            <v>Manjiya</v>
          </cell>
          <cell r="D147" t="str">
            <v>Bumayoka</v>
          </cell>
          <cell r="F147">
            <v>136</v>
          </cell>
        </row>
        <row r="148">
          <cell r="A148" t="str">
            <v>Bushika</v>
          </cell>
          <cell r="B148" t="str">
            <v>Bududa</v>
          </cell>
          <cell r="C148" t="str">
            <v>Manjiya</v>
          </cell>
          <cell r="D148" t="str">
            <v>Bushika</v>
          </cell>
          <cell r="F148">
            <v>137</v>
          </cell>
        </row>
        <row r="149">
          <cell r="A149" t="str">
            <v>Bumboyi</v>
          </cell>
          <cell r="F149">
            <v>137</v>
          </cell>
        </row>
        <row r="150">
          <cell r="A150" t="str">
            <v>Bushiribo</v>
          </cell>
          <cell r="B150" t="str">
            <v>Bududa</v>
          </cell>
          <cell r="C150" t="str">
            <v>Manjiya</v>
          </cell>
          <cell r="D150" t="str">
            <v>Bushiribo</v>
          </cell>
          <cell r="F150">
            <v>138</v>
          </cell>
        </row>
        <row r="151">
          <cell r="A151" t="str">
            <v>Bushiyi</v>
          </cell>
          <cell r="B151" t="str">
            <v>Bududa</v>
          </cell>
          <cell r="C151" t="str">
            <v>Manjiya</v>
          </cell>
          <cell r="D151" t="str">
            <v>Bushiyi</v>
          </cell>
          <cell r="F151">
            <v>139</v>
          </cell>
        </row>
        <row r="152">
          <cell r="A152" t="str">
            <v>Buwali</v>
          </cell>
          <cell r="B152" t="str">
            <v>Bududa</v>
          </cell>
          <cell r="C152" t="str">
            <v>Manjiya</v>
          </cell>
          <cell r="D152" t="str">
            <v>Buwali</v>
          </cell>
          <cell r="F152">
            <v>140</v>
          </cell>
        </row>
        <row r="153">
          <cell r="A153" t="str">
            <v>Nabweya</v>
          </cell>
          <cell r="B153" t="str">
            <v>Bududa</v>
          </cell>
          <cell r="C153" t="str">
            <v>Manjiya</v>
          </cell>
          <cell r="D153" t="str">
            <v>Nabweya</v>
          </cell>
          <cell r="F153">
            <v>141</v>
          </cell>
        </row>
        <row r="154">
          <cell r="A154" t="str">
            <v>Nakatsi</v>
          </cell>
          <cell r="B154" t="str">
            <v>Bududa</v>
          </cell>
          <cell r="C154" t="str">
            <v>Manjiya</v>
          </cell>
          <cell r="D154" t="str">
            <v>Nakatsi</v>
          </cell>
          <cell r="F154">
            <v>142</v>
          </cell>
        </row>
        <row r="155">
          <cell r="A155" t="str">
            <v>Nalwanza</v>
          </cell>
          <cell r="B155" t="str">
            <v>Bududa</v>
          </cell>
          <cell r="C155" t="str">
            <v>Manjiya</v>
          </cell>
          <cell r="D155" t="str">
            <v>Nalwanza</v>
          </cell>
          <cell r="F155">
            <v>143</v>
          </cell>
        </row>
        <row r="156">
          <cell r="A156" t="str">
            <v>Budhaya</v>
          </cell>
          <cell r="B156" t="str">
            <v>Bugiri</v>
          </cell>
          <cell r="C156" t="str">
            <v>Bukooli North</v>
          </cell>
          <cell r="D156" t="str">
            <v>Budhaya</v>
          </cell>
          <cell r="F156">
            <v>144</v>
          </cell>
        </row>
        <row r="157">
          <cell r="A157" t="str">
            <v>Bugiri Municipality</v>
          </cell>
          <cell r="B157" t="str">
            <v>Bugiri</v>
          </cell>
          <cell r="C157" t="str">
            <v>Bugiri Municipality</v>
          </cell>
          <cell r="D157" t="str">
            <v>Bugiri Municipality</v>
          </cell>
          <cell r="F157">
            <v>145</v>
          </cell>
        </row>
        <row r="158">
          <cell r="A158" t="str">
            <v>NALUWERERE</v>
          </cell>
          <cell r="F158">
            <v>145</v>
          </cell>
        </row>
        <row r="159">
          <cell r="A159" t="str">
            <v>Bugiri</v>
          </cell>
          <cell r="F159">
            <v>145</v>
          </cell>
        </row>
        <row r="160">
          <cell r="A160" t="str">
            <v>Bulesa</v>
          </cell>
          <cell r="B160" t="str">
            <v>Bugiri</v>
          </cell>
          <cell r="C160" t="str">
            <v>Bukooli North</v>
          </cell>
          <cell r="D160" t="str">
            <v>Bulesa</v>
          </cell>
          <cell r="F160">
            <v>146</v>
          </cell>
        </row>
        <row r="161">
          <cell r="A161" t="str">
            <v>Busiwu</v>
          </cell>
          <cell r="F161">
            <v>146</v>
          </cell>
        </row>
        <row r="162">
          <cell r="A162" t="str">
            <v>Bushuwu</v>
          </cell>
          <cell r="F162">
            <v>146</v>
          </cell>
        </row>
        <row r="163">
          <cell r="A163" t="str">
            <v>Busiwu/Mbale</v>
          </cell>
          <cell r="F163">
            <v>146</v>
          </cell>
        </row>
        <row r="164">
          <cell r="A164" t="str">
            <v>Bulidha</v>
          </cell>
          <cell r="B164" t="str">
            <v>Bugiri</v>
          </cell>
          <cell r="C164" t="str">
            <v>Bukooli North</v>
          </cell>
          <cell r="D164" t="str">
            <v>Bulidha</v>
          </cell>
          <cell r="F164">
            <v>147</v>
          </cell>
        </row>
        <row r="165">
          <cell r="A165" t="str">
            <v>Wakawaka</v>
          </cell>
          <cell r="F165">
            <v>147</v>
          </cell>
        </row>
        <row r="166">
          <cell r="A166" t="str">
            <v>Buluguyi</v>
          </cell>
          <cell r="B166" t="str">
            <v>Bugiri</v>
          </cell>
          <cell r="C166" t="str">
            <v>Bukooli North</v>
          </cell>
          <cell r="D166" t="str">
            <v>Buluguyi</v>
          </cell>
          <cell r="F166">
            <v>148</v>
          </cell>
        </row>
        <row r="167">
          <cell r="A167" t="str">
            <v>Buwunga-Bugiri</v>
          </cell>
          <cell r="B167" t="str">
            <v>Bugiri</v>
          </cell>
          <cell r="C167" t="str">
            <v>Bukooli North</v>
          </cell>
          <cell r="D167" t="str">
            <v>Buwunga-Bugiri</v>
          </cell>
          <cell r="F167">
            <v>149</v>
          </cell>
        </row>
        <row r="168">
          <cell r="A168" t="str">
            <v>Iwemba</v>
          </cell>
          <cell r="B168" t="str">
            <v>Bugiri</v>
          </cell>
          <cell r="C168" t="str">
            <v>Bukooli North</v>
          </cell>
          <cell r="D168" t="str">
            <v>Iwemba</v>
          </cell>
          <cell r="F168">
            <v>150</v>
          </cell>
        </row>
        <row r="169">
          <cell r="A169" t="str">
            <v>Kapyanga</v>
          </cell>
          <cell r="B169" t="str">
            <v>Bugiri</v>
          </cell>
          <cell r="C169" t="str">
            <v>Bukooli North</v>
          </cell>
          <cell r="D169" t="str">
            <v>Kapyanga</v>
          </cell>
          <cell r="F169">
            <v>151</v>
          </cell>
        </row>
        <row r="170">
          <cell r="A170" t="str">
            <v>Muterere</v>
          </cell>
          <cell r="B170" t="str">
            <v>Bugiri</v>
          </cell>
          <cell r="C170" t="str">
            <v>Bukooli North</v>
          </cell>
          <cell r="D170" t="str">
            <v>Muterere</v>
          </cell>
          <cell r="F170">
            <v>152</v>
          </cell>
        </row>
        <row r="171">
          <cell r="A171" t="str">
            <v>Nabukalu</v>
          </cell>
          <cell r="B171" t="str">
            <v>Bugiri</v>
          </cell>
          <cell r="C171" t="str">
            <v>Bukooli North</v>
          </cell>
          <cell r="D171" t="str">
            <v>Nabukalu</v>
          </cell>
          <cell r="F171">
            <v>153</v>
          </cell>
        </row>
        <row r="172">
          <cell r="A172" t="str">
            <v>Nankoma</v>
          </cell>
          <cell r="B172" t="str">
            <v>Bugiri</v>
          </cell>
          <cell r="C172" t="str">
            <v>Bukooli North</v>
          </cell>
          <cell r="D172" t="str">
            <v>Nankoma</v>
          </cell>
          <cell r="F172">
            <v>154</v>
          </cell>
        </row>
        <row r="173">
          <cell r="A173" t="str">
            <v>Bihanga-Buhweju</v>
          </cell>
          <cell r="B173" t="str">
            <v>Buhweju</v>
          </cell>
          <cell r="C173" t="str">
            <v>Buhweju</v>
          </cell>
          <cell r="D173" t="str">
            <v>Bihanga-Buhweju</v>
          </cell>
          <cell r="F173">
            <v>155</v>
          </cell>
        </row>
        <row r="174">
          <cell r="A174" t="str">
            <v>Bitsya</v>
          </cell>
          <cell r="B174" t="str">
            <v>Buhweju</v>
          </cell>
          <cell r="C174" t="str">
            <v>Buhweju</v>
          </cell>
          <cell r="D174" t="str">
            <v>Bitsya</v>
          </cell>
          <cell r="F174">
            <v>156</v>
          </cell>
        </row>
        <row r="175">
          <cell r="A175" t="str">
            <v>Burere</v>
          </cell>
          <cell r="B175" t="str">
            <v>Buhweju</v>
          </cell>
          <cell r="C175" t="str">
            <v>Buhweju</v>
          </cell>
          <cell r="D175" t="str">
            <v>Burere</v>
          </cell>
          <cell r="F175">
            <v>157</v>
          </cell>
        </row>
        <row r="176">
          <cell r="A176" t="str">
            <v>Engaju</v>
          </cell>
          <cell r="B176" t="str">
            <v>Buhweju</v>
          </cell>
          <cell r="C176" t="str">
            <v>Buhweju</v>
          </cell>
          <cell r="D176" t="str">
            <v>Engaju</v>
          </cell>
          <cell r="F176">
            <v>158</v>
          </cell>
        </row>
        <row r="177">
          <cell r="A177" t="str">
            <v>Karungu</v>
          </cell>
          <cell r="B177" t="str">
            <v>Buhweju</v>
          </cell>
          <cell r="C177" t="str">
            <v>Buhweju</v>
          </cell>
          <cell r="D177" t="str">
            <v>Karungu</v>
          </cell>
          <cell r="F177">
            <v>159</v>
          </cell>
        </row>
        <row r="178">
          <cell r="A178" t="str">
            <v>Nsiika Town Council</v>
          </cell>
          <cell r="B178" t="str">
            <v>Buhweju</v>
          </cell>
          <cell r="C178" t="str">
            <v>Buhweju</v>
          </cell>
          <cell r="D178" t="str">
            <v>Nsiika Town Council</v>
          </cell>
          <cell r="F178">
            <v>160</v>
          </cell>
        </row>
        <row r="179">
          <cell r="A179" t="str">
            <v>Nyakishana</v>
          </cell>
          <cell r="B179" t="str">
            <v>Buhweju</v>
          </cell>
          <cell r="C179" t="str">
            <v>Buhweju</v>
          </cell>
          <cell r="D179" t="str">
            <v>Nyakishana</v>
          </cell>
          <cell r="F179">
            <v>161</v>
          </cell>
        </row>
        <row r="180">
          <cell r="A180" t="str">
            <v>Rwengwe</v>
          </cell>
          <cell r="B180" t="str">
            <v>Buhweju</v>
          </cell>
          <cell r="C180" t="str">
            <v>Buhweju</v>
          </cell>
          <cell r="D180" t="str">
            <v>Rwengwe</v>
          </cell>
          <cell r="F180">
            <v>162</v>
          </cell>
        </row>
        <row r="181">
          <cell r="A181" t="str">
            <v>Buikwe</v>
          </cell>
          <cell r="B181" t="str">
            <v>Buikwe</v>
          </cell>
          <cell r="C181" t="str">
            <v>Buikwe</v>
          </cell>
          <cell r="D181" t="str">
            <v>Buikwe</v>
          </cell>
          <cell r="F181">
            <v>163</v>
          </cell>
        </row>
        <row r="182">
          <cell r="A182" t="str">
            <v>Buikwe Town Council</v>
          </cell>
          <cell r="B182" t="str">
            <v>Buikwe</v>
          </cell>
          <cell r="C182" t="str">
            <v>Buikwe</v>
          </cell>
          <cell r="D182" t="str">
            <v>Buikwe Town Council</v>
          </cell>
          <cell r="F182">
            <v>164</v>
          </cell>
        </row>
        <row r="183">
          <cell r="A183" t="str">
            <v>Lugazi Municipality</v>
          </cell>
          <cell r="B183" t="str">
            <v>Buikwe</v>
          </cell>
          <cell r="C183" t="str">
            <v>Lugazi Municipality</v>
          </cell>
          <cell r="D183" t="str">
            <v>Lugazi Municipality</v>
          </cell>
          <cell r="F183">
            <v>165</v>
          </cell>
        </row>
        <row r="184">
          <cell r="A184" t="str">
            <v>LUGAZI</v>
          </cell>
          <cell r="F184">
            <v>165</v>
          </cell>
        </row>
        <row r="185">
          <cell r="A185" t="str">
            <v>Kawolo</v>
          </cell>
          <cell r="F185">
            <v>165</v>
          </cell>
        </row>
        <row r="186">
          <cell r="A186" t="str">
            <v>Najja</v>
          </cell>
          <cell r="B186" t="str">
            <v>Buikwe</v>
          </cell>
          <cell r="C186" t="str">
            <v>Buikwe</v>
          </cell>
          <cell r="D186" t="str">
            <v>Najja</v>
          </cell>
          <cell r="F186">
            <v>166</v>
          </cell>
        </row>
        <row r="187">
          <cell r="A187" t="str">
            <v>Najja road</v>
          </cell>
          <cell r="F187">
            <v>166</v>
          </cell>
        </row>
        <row r="188">
          <cell r="A188" t="str">
            <v>Ngogwe</v>
          </cell>
          <cell r="B188" t="str">
            <v>Buikwe</v>
          </cell>
          <cell r="C188" t="str">
            <v>Buikwe</v>
          </cell>
          <cell r="D188" t="str">
            <v>Ngogwe</v>
          </cell>
          <cell r="F188">
            <v>167</v>
          </cell>
        </row>
        <row r="189">
          <cell r="A189" t="str">
            <v>Njeru Municipality</v>
          </cell>
          <cell r="B189" t="str">
            <v>Buikwe</v>
          </cell>
          <cell r="C189" t="str">
            <v>Njeru Municipality</v>
          </cell>
          <cell r="D189" t="str">
            <v>Njeru Municipality</v>
          </cell>
          <cell r="F189">
            <v>168</v>
          </cell>
        </row>
        <row r="190">
          <cell r="A190" t="str">
            <v>NJERU</v>
          </cell>
          <cell r="F190">
            <v>168</v>
          </cell>
        </row>
        <row r="191">
          <cell r="A191" t="str">
            <v>Nkokonjeru Town Council</v>
          </cell>
          <cell r="B191" t="str">
            <v>Buikwe</v>
          </cell>
          <cell r="C191" t="str">
            <v>Buikwe</v>
          </cell>
          <cell r="D191" t="str">
            <v>Nkokonjeru Town Council</v>
          </cell>
          <cell r="F191">
            <v>169</v>
          </cell>
        </row>
        <row r="192">
          <cell r="A192" t="str">
            <v>Nkokonjeru</v>
          </cell>
          <cell r="F192">
            <v>169</v>
          </cell>
        </row>
        <row r="193">
          <cell r="A193" t="str">
            <v>Ssi-Bukunja</v>
          </cell>
          <cell r="B193" t="str">
            <v>Buikwe</v>
          </cell>
          <cell r="C193" t="str">
            <v>Buikwe</v>
          </cell>
          <cell r="D193" t="str">
            <v>Ssi-Bukunja</v>
          </cell>
          <cell r="F193">
            <v>170</v>
          </cell>
        </row>
        <row r="194">
          <cell r="A194" t="str">
            <v>Bukedea</v>
          </cell>
          <cell r="B194" t="str">
            <v>Bukedea</v>
          </cell>
          <cell r="C194" t="str">
            <v>Bukedea</v>
          </cell>
          <cell r="D194" t="str">
            <v>Bukedea</v>
          </cell>
          <cell r="F194">
            <v>171</v>
          </cell>
        </row>
        <row r="195">
          <cell r="A195" t="str">
            <v>Bukedea Town Council</v>
          </cell>
          <cell r="B195" t="str">
            <v>Bukedea</v>
          </cell>
          <cell r="C195" t="str">
            <v>Bukedea</v>
          </cell>
          <cell r="D195" t="str">
            <v>Bukedea Town Council</v>
          </cell>
          <cell r="F195">
            <v>172</v>
          </cell>
        </row>
        <row r="196">
          <cell r="A196" t="str">
            <v>Bukediya</v>
          </cell>
          <cell r="F196">
            <v>172</v>
          </cell>
        </row>
        <row r="197">
          <cell r="A197" t="str">
            <v>Kachumbala</v>
          </cell>
          <cell r="B197" t="str">
            <v>Bukedea</v>
          </cell>
          <cell r="C197" t="str">
            <v>Bukedea</v>
          </cell>
          <cell r="D197" t="str">
            <v>Kachumbala</v>
          </cell>
          <cell r="F197">
            <v>173</v>
          </cell>
        </row>
        <row r="198">
          <cell r="A198" t="str">
            <v>Kidongole</v>
          </cell>
          <cell r="B198" t="str">
            <v>Bukedea</v>
          </cell>
          <cell r="C198" t="str">
            <v>Bukedea</v>
          </cell>
          <cell r="D198" t="str">
            <v>Kidongole</v>
          </cell>
          <cell r="F198">
            <v>174</v>
          </cell>
        </row>
        <row r="199">
          <cell r="A199" t="str">
            <v>Kolir</v>
          </cell>
          <cell r="B199" t="str">
            <v>Bukedea</v>
          </cell>
          <cell r="C199" t="str">
            <v>Bukedea</v>
          </cell>
          <cell r="D199" t="str">
            <v>Kolir</v>
          </cell>
          <cell r="F199">
            <v>175</v>
          </cell>
        </row>
        <row r="200">
          <cell r="A200" t="str">
            <v>Malera</v>
          </cell>
          <cell r="B200" t="str">
            <v>Bukedea</v>
          </cell>
          <cell r="C200" t="str">
            <v>Bukedea</v>
          </cell>
          <cell r="D200" t="str">
            <v>Malera</v>
          </cell>
          <cell r="F200">
            <v>176</v>
          </cell>
        </row>
        <row r="201">
          <cell r="A201" t="str">
            <v>Bigasa</v>
          </cell>
          <cell r="B201" t="str">
            <v>Bukomansimbi</v>
          </cell>
          <cell r="C201" t="str">
            <v>Bukomansimbi</v>
          </cell>
          <cell r="D201" t="str">
            <v>Bigasa</v>
          </cell>
          <cell r="F201">
            <v>177</v>
          </cell>
        </row>
        <row r="202">
          <cell r="A202" t="str">
            <v>Bukomansimbi Town Council</v>
          </cell>
          <cell r="B202" t="str">
            <v>Bukomansimbi</v>
          </cell>
          <cell r="C202" t="str">
            <v>Bukomansimbi</v>
          </cell>
          <cell r="D202" t="str">
            <v>Bukomansimbi Town Council</v>
          </cell>
          <cell r="F202">
            <v>178</v>
          </cell>
        </row>
        <row r="203">
          <cell r="A203" t="str">
            <v>BUKOMANSIMBI</v>
          </cell>
          <cell r="F203">
            <v>178</v>
          </cell>
        </row>
        <row r="204">
          <cell r="A204" t="str">
            <v>BUKOMASIMBI</v>
          </cell>
          <cell r="F204">
            <v>178</v>
          </cell>
        </row>
        <row r="205">
          <cell r="A205" t="str">
            <v>Butenga</v>
          </cell>
          <cell r="B205" t="str">
            <v>Bukomansimbi</v>
          </cell>
          <cell r="C205" t="str">
            <v>Bukomansimbi</v>
          </cell>
          <cell r="D205" t="str">
            <v>Butenga</v>
          </cell>
          <cell r="F205">
            <v>179</v>
          </cell>
        </row>
        <row r="206">
          <cell r="A206" t="str">
            <v>KAWUKO</v>
          </cell>
          <cell r="F206">
            <v>179</v>
          </cell>
        </row>
        <row r="207">
          <cell r="A207" t="str">
            <v>Kibinge</v>
          </cell>
          <cell r="B207" t="str">
            <v>Bukomansimbi</v>
          </cell>
          <cell r="C207" t="str">
            <v>Bukomansimbi</v>
          </cell>
          <cell r="D207" t="str">
            <v>Kibinge</v>
          </cell>
          <cell r="F207">
            <v>180</v>
          </cell>
        </row>
        <row r="208">
          <cell r="A208" t="str">
            <v>Kitanda</v>
          </cell>
          <cell r="B208" t="str">
            <v>Bukomansimbi</v>
          </cell>
          <cell r="C208" t="str">
            <v>Bukomansimbi</v>
          </cell>
          <cell r="D208" t="str">
            <v>Kitanda</v>
          </cell>
          <cell r="F208">
            <v>181</v>
          </cell>
        </row>
        <row r="209">
          <cell r="A209" t="str">
            <v>Bukwo</v>
          </cell>
          <cell r="B209" t="str">
            <v>Bukwo</v>
          </cell>
          <cell r="C209" t="str">
            <v>Kongasis</v>
          </cell>
          <cell r="D209" t="str">
            <v>Bukwo</v>
          </cell>
          <cell r="F209">
            <v>182</v>
          </cell>
        </row>
        <row r="210">
          <cell r="A210" t="str">
            <v>Bukwo Town Council</v>
          </cell>
          <cell r="B210" t="str">
            <v>Bukwo</v>
          </cell>
          <cell r="C210" t="str">
            <v>Kongasis</v>
          </cell>
          <cell r="D210" t="str">
            <v>Bukwo Town Council</v>
          </cell>
          <cell r="F210">
            <v>183</v>
          </cell>
        </row>
        <row r="211">
          <cell r="A211" t="str">
            <v>Chepkwasta</v>
          </cell>
          <cell r="B211" t="str">
            <v>Bukwo</v>
          </cell>
          <cell r="C211" t="str">
            <v>Kongasis</v>
          </cell>
          <cell r="D211" t="str">
            <v>Chepkwasta</v>
          </cell>
          <cell r="F211">
            <v>184</v>
          </cell>
        </row>
        <row r="212">
          <cell r="A212" t="str">
            <v>Chesower</v>
          </cell>
          <cell r="B212" t="str">
            <v>Bukwo</v>
          </cell>
          <cell r="C212" t="str">
            <v>Kongasis</v>
          </cell>
          <cell r="D212" t="str">
            <v>Chesower</v>
          </cell>
          <cell r="F212">
            <v>185</v>
          </cell>
        </row>
        <row r="213">
          <cell r="A213" t="str">
            <v>Kabei</v>
          </cell>
          <cell r="B213" t="str">
            <v>Bukwo</v>
          </cell>
          <cell r="C213" t="str">
            <v>Kongasis</v>
          </cell>
          <cell r="D213" t="str">
            <v>Kabei</v>
          </cell>
          <cell r="F213">
            <v>186</v>
          </cell>
        </row>
        <row r="214">
          <cell r="A214" t="str">
            <v>Kamet</v>
          </cell>
          <cell r="B214" t="str">
            <v>Bukwo</v>
          </cell>
          <cell r="C214" t="str">
            <v>Kongasis</v>
          </cell>
          <cell r="D214" t="str">
            <v>Kamet</v>
          </cell>
          <cell r="F214">
            <v>187</v>
          </cell>
        </row>
        <row r="215">
          <cell r="A215" t="str">
            <v>Kaptererwo</v>
          </cell>
          <cell r="B215" t="str">
            <v>Bukwo</v>
          </cell>
          <cell r="C215" t="str">
            <v>Kongasis</v>
          </cell>
          <cell r="D215" t="str">
            <v>Kaptererwo</v>
          </cell>
          <cell r="F215">
            <v>188</v>
          </cell>
        </row>
        <row r="216">
          <cell r="A216" t="str">
            <v>Kortek</v>
          </cell>
          <cell r="B216" t="str">
            <v>Bukwo</v>
          </cell>
          <cell r="C216" t="str">
            <v>Kongasis</v>
          </cell>
          <cell r="D216" t="str">
            <v>Kortek</v>
          </cell>
          <cell r="F216">
            <v>189</v>
          </cell>
        </row>
        <row r="217">
          <cell r="A217" t="str">
            <v>Riwo</v>
          </cell>
          <cell r="B217" t="str">
            <v>Bukwo</v>
          </cell>
          <cell r="C217" t="str">
            <v>Kongasis</v>
          </cell>
          <cell r="D217" t="str">
            <v>Riwo</v>
          </cell>
          <cell r="F217">
            <v>190</v>
          </cell>
        </row>
        <row r="218">
          <cell r="A218" t="str">
            <v>Senendet</v>
          </cell>
          <cell r="B218" t="str">
            <v>Bukwo</v>
          </cell>
          <cell r="C218" t="str">
            <v>Kongasis</v>
          </cell>
          <cell r="D218" t="str">
            <v>Senendet</v>
          </cell>
          <cell r="F218">
            <v>191</v>
          </cell>
        </row>
        <row r="219">
          <cell r="A219" t="str">
            <v>Suam</v>
          </cell>
          <cell r="B219" t="str">
            <v>Bukwo</v>
          </cell>
          <cell r="C219" t="str">
            <v>Kongasis</v>
          </cell>
          <cell r="D219" t="str">
            <v>Suam</v>
          </cell>
          <cell r="F219">
            <v>192</v>
          </cell>
        </row>
        <row r="220">
          <cell r="A220" t="str">
            <v>Tulel</v>
          </cell>
          <cell r="B220" t="str">
            <v>Bukwo</v>
          </cell>
          <cell r="C220" t="str">
            <v>Kongasis</v>
          </cell>
          <cell r="D220" t="str">
            <v>Tulel</v>
          </cell>
          <cell r="F220">
            <v>193</v>
          </cell>
        </row>
        <row r="221">
          <cell r="A221" t="str">
            <v>Buginyanya</v>
          </cell>
          <cell r="B221" t="str">
            <v>Bulambuli</v>
          </cell>
          <cell r="C221" t="str">
            <v>Bulambuli</v>
          </cell>
          <cell r="D221" t="str">
            <v>Buginyanya</v>
          </cell>
          <cell r="F221">
            <v>194</v>
          </cell>
        </row>
        <row r="222">
          <cell r="A222" t="str">
            <v>Bukhalu</v>
          </cell>
          <cell r="B222" t="str">
            <v>Bulambuli</v>
          </cell>
          <cell r="C222" t="str">
            <v>Bulambuli</v>
          </cell>
          <cell r="D222" t="str">
            <v>Bukhalu</v>
          </cell>
          <cell r="F222">
            <v>195</v>
          </cell>
        </row>
        <row r="223">
          <cell r="A223" t="str">
            <v>Bulaago</v>
          </cell>
          <cell r="B223" t="str">
            <v>Bulambuli</v>
          </cell>
          <cell r="C223" t="str">
            <v>Bulambuli</v>
          </cell>
          <cell r="D223" t="str">
            <v>Bulaago</v>
          </cell>
          <cell r="F223">
            <v>196</v>
          </cell>
        </row>
        <row r="224">
          <cell r="A224" t="str">
            <v>Bulambuli Town Council</v>
          </cell>
          <cell r="B224" t="str">
            <v>Bulambuli</v>
          </cell>
          <cell r="C224" t="str">
            <v>Bulambuli</v>
          </cell>
          <cell r="D224" t="str">
            <v>Bulambuli Town Council</v>
          </cell>
          <cell r="F224">
            <v>197</v>
          </cell>
        </row>
        <row r="225">
          <cell r="A225" t="str">
            <v>Bulambuli</v>
          </cell>
          <cell r="F225">
            <v>197</v>
          </cell>
        </row>
        <row r="226">
          <cell r="A226" t="str">
            <v>Bulegeni</v>
          </cell>
          <cell r="B226" t="str">
            <v>Bulambuli</v>
          </cell>
          <cell r="C226" t="str">
            <v>Bulambuli</v>
          </cell>
          <cell r="D226" t="str">
            <v>Bulegeni</v>
          </cell>
          <cell r="F226">
            <v>198</v>
          </cell>
        </row>
        <row r="227">
          <cell r="A227" t="str">
            <v>Bulegeni Town Council</v>
          </cell>
          <cell r="B227" t="str">
            <v>Bulambuli</v>
          </cell>
          <cell r="C227" t="str">
            <v>Bulambuli</v>
          </cell>
          <cell r="D227" t="str">
            <v>Bulegeni Town Council</v>
          </cell>
          <cell r="F227">
            <v>199</v>
          </cell>
        </row>
        <row r="228">
          <cell r="A228" t="str">
            <v>Buluganya</v>
          </cell>
          <cell r="B228" t="str">
            <v>Bulambuli</v>
          </cell>
          <cell r="C228" t="str">
            <v>Bulambuli</v>
          </cell>
          <cell r="D228" t="str">
            <v>Buluganya</v>
          </cell>
          <cell r="F228">
            <v>200</v>
          </cell>
        </row>
        <row r="229">
          <cell r="A229" t="str">
            <v>Bumasobo</v>
          </cell>
          <cell r="B229" t="str">
            <v>Bulambuli</v>
          </cell>
          <cell r="C229" t="str">
            <v>Bulambuli</v>
          </cell>
          <cell r="D229" t="str">
            <v>Bumasobo</v>
          </cell>
          <cell r="F229">
            <v>201</v>
          </cell>
        </row>
        <row r="230">
          <cell r="A230" t="str">
            <v>Bumugibole</v>
          </cell>
          <cell r="B230" t="str">
            <v>Bulambuli</v>
          </cell>
          <cell r="C230" t="str">
            <v>Bulambuli</v>
          </cell>
          <cell r="D230" t="str">
            <v>Bumugibole</v>
          </cell>
          <cell r="F230">
            <v>202</v>
          </cell>
        </row>
        <row r="231">
          <cell r="A231" t="str">
            <v>Bunambutye</v>
          </cell>
          <cell r="B231" t="str">
            <v>Bulambuli</v>
          </cell>
          <cell r="C231" t="str">
            <v>Bulambuli</v>
          </cell>
          <cell r="D231" t="str">
            <v>Bunambutye</v>
          </cell>
          <cell r="F231">
            <v>203</v>
          </cell>
        </row>
        <row r="232">
          <cell r="A232" t="str">
            <v>Bwikhonge</v>
          </cell>
          <cell r="B232" t="str">
            <v>Bulambuli</v>
          </cell>
          <cell r="C232" t="str">
            <v>Bulambuli</v>
          </cell>
          <cell r="D232" t="str">
            <v>Bwikhonge</v>
          </cell>
          <cell r="F232">
            <v>204</v>
          </cell>
        </row>
        <row r="233">
          <cell r="A233" t="str">
            <v>Kamu</v>
          </cell>
          <cell r="B233" t="str">
            <v>Bulambuli</v>
          </cell>
          <cell r="C233" t="str">
            <v>Bulambuli</v>
          </cell>
          <cell r="D233" t="str">
            <v>Kamu</v>
          </cell>
          <cell r="F233">
            <v>205</v>
          </cell>
        </row>
        <row r="234">
          <cell r="A234" t="str">
            <v>Lusha</v>
          </cell>
          <cell r="B234" t="str">
            <v>Bulambuli</v>
          </cell>
          <cell r="C234" t="str">
            <v>Bulambuli</v>
          </cell>
          <cell r="D234" t="str">
            <v>Lusha</v>
          </cell>
          <cell r="F234">
            <v>206</v>
          </cell>
        </row>
        <row r="235">
          <cell r="A235" t="str">
            <v>Masiira</v>
          </cell>
          <cell r="B235" t="str">
            <v>Bulambuli</v>
          </cell>
          <cell r="C235" t="str">
            <v>Bulambuli</v>
          </cell>
          <cell r="D235" t="str">
            <v>Masiira</v>
          </cell>
          <cell r="F235">
            <v>207</v>
          </cell>
        </row>
        <row r="236">
          <cell r="A236" t="str">
            <v>Muyembe</v>
          </cell>
          <cell r="B236" t="str">
            <v>Bulambuli</v>
          </cell>
          <cell r="C236" t="str">
            <v>Bulambuli</v>
          </cell>
          <cell r="D236" t="str">
            <v>Muyembe</v>
          </cell>
          <cell r="F236">
            <v>208</v>
          </cell>
        </row>
        <row r="237">
          <cell r="A237" t="str">
            <v>Nabbongo</v>
          </cell>
          <cell r="B237" t="str">
            <v>Bulambuli</v>
          </cell>
          <cell r="C237" t="str">
            <v>Bulambuli</v>
          </cell>
          <cell r="D237" t="str">
            <v>Nabbongo</v>
          </cell>
          <cell r="F237">
            <v>209</v>
          </cell>
        </row>
        <row r="238">
          <cell r="A238" t="str">
            <v>Namisuni</v>
          </cell>
          <cell r="B238" t="str">
            <v>Bulambuli</v>
          </cell>
          <cell r="C238" t="str">
            <v>Bulambuli</v>
          </cell>
          <cell r="D238" t="str">
            <v>Namisuni</v>
          </cell>
          <cell r="F238">
            <v>210</v>
          </cell>
        </row>
        <row r="239">
          <cell r="A239" t="str">
            <v>Simu</v>
          </cell>
          <cell r="B239" t="str">
            <v>Bulambuli</v>
          </cell>
          <cell r="C239" t="str">
            <v>Bulambuli</v>
          </cell>
          <cell r="D239" t="str">
            <v>Simu</v>
          </cell>
          <cell r="F239">
            <v>211</v>
          </cell>
        </row>
        <row r="240">
          <cell r="A240" t="str">
            <v>Sisiyi</v>
          </cell>
          <cell r="B240" t="str">
            <v>Bulambuli</v>
          </cell>
          <cell r="C240" t="str">
            <v>Bulambuli</v>
          </cell>
          <cell r="D240" t="str">
            <v>Sisiyi</v>
          </cell>
          <cell r="F240">
            <v>212</v>
          </cell>
        </row>
        <row r="241">
          <cell r="A241" t="str">
            <v>Biiso</v>
          </cell>
          <cell r="B241" t="str">
            <v>Buliisa</v>
          </cell>
          <cell r="C241" t="str">
            <v>Buliisa</v>
          </cell>
          <cell r="D241" t="str">
            <v>Biiso</v>
          </cell>
          <cell r="F241">
            <v>213</v>
          </cell>
        </row>
        <row r="242">
          <cell r="A242" t="str">
            <v>BUTYABA</v>
          </cell>
          <cell r="F242">
            <v>213</v>
          </cell>
        </row>
        <row r="243">
          <cell r="A243" t="str">
            <v>WALUKUBA</v>
          </cell>
          <cell r="F243">
            <v>213</v>
          </cell>
        </row>
        <row r="244">
          <cell r="A244" t="str">
            <v>KIGOLOBYA</v>
          </cell>
          <cell r="F244">
            <v>213</v>
          </cell>
        </row>
        <row r="245">
          <cell r="A245" t="str">
            <v>Buliisa</v>
          </cell>
          <cell r="B245" t="str">
            <v>Buliisa</v>
          </cell>
          <cell r="C245" t="str">
            <v>Buliisa</v>
          </cell>
          <cell r="D245" t="str">
            <v>Buliisa</v>
          </cell>
          <cell r="F245">
            <v>214</v>
          </cell>
        </row>
        <row r="246">
          <cell r="A246" t="str">
            <v>BUGUNGU</v>
          </cell>
          <cell r="F246">
            <v>214</v>
          </cell>
        </row>
        <row r="247">
          <cell r="A247" t="str">
            <v>KITAHURA</v>
          </cell>
          <cell r="F247">
            <v>214</v>
          </cell>
        </row>
        <row r="248">
          <cell r="A248" t="str">
            <v>Buliisa Town Council</v>
          </cell>
          <cell r="B248" t="str">
            <v>Buliisa</v>
          </cell>
          <cell r="C248" t="str">
            <v>Buliisa</v>
          </cell>
          <cell r="D248" t="str">
            <v>Buliisa Town Council</v>
          </cell>
          <cell r="F248">
            <v>215</v>
          </cell>
        </row>
        <row r="249">
          <cell r="A249" t="str">
            <v>KISIABI</v>
          </cell>
          <cell r="F249">
            <v>215</v>
          </cell>
        </row>
        <row r="250">
          <cell r="A250" t="str">
            <v>BULIISA TOWN</v>
          </cell>
          <cell r="F250">
            <v>215</v>
          </cell>
        </row>
        <row r="251">
          <cell r="A251" t="str">
            <v>BULISA TOWN</v>
          </cell>
          <cell r="F251">
            <v>215</v>
          </cell>
        </row>
        <row r="252">
          <cell r="A252" t="str">
            <v>KABOLWA</v>
          </cell>
          <cell r="F252">
            <v>215</v>
          </cell>
        </row>
        <row r="253">
          <cell r="A253" t="str">
            <v>KABOOLWA</v>
          </cell>
          <cell r="F253">
            <v>215</v>
          </cell>
        </row>
        <row r="254">
          <cell r="A254" t="str">
            <v>BUGOIGO</v>
          </cell>
          <cell r="F254">
            <v>215</v>
          </cell>
        </row>
        <row r="255">
          <cell r="A255" t="str">
            <v>KIGOYA</v>
          </cell>
          <cell r="F255">
            <v>215</v>
          </cell>
        </row>
        <row r="256">
          <cell r="A256" t="str">
            <v>Butiaba</v>
          </cell>
          <cell r="B256" t="str">
            <v>Buliisa</v>
          </cell>
          <cell r="C256" t="str">
            <v>Buliisa</v>
          </cell>
          <cell r="D256" t="str">
            <v>Butiaba</v>
          </cell>
          <cell r="F256">
            <v>216</v>
          </cell>
        </row>
        <row r="257">
          <cell r="A257" t="str">
            <v>Kigwera</v>
          </cell>
          <cell r="B257" t="str">
            <v>Buliisa</v>
          </cell>
          <cell r="C257" t="str">
            <v>Buliisa</v>
          </cell>
          <cell r="D257" t="str">
            <v>Kigwera</v>
          </cell>
          <cell r="F257">
            <v>217</v>
          </cell>
        </row>
        <row r="258">
          <cell r="A258" t="str">
            <v>WANSEKO</v>
          </cell>
          <cell r="F258">
            <v>217</v>
          </cell>
        </row>
        <row r="259">
          <cell r="A259" t="str">
            <v>WANSEKO STAGE</v>
          </cell>
          <cell r="F259">
            <v>217</v>
          </cell>
        </row>
        <row r="260">
          <cell r="A260" t="str">
            <v>Kihungya</v>
          </cell>
          <cell r="B260" t="str">
            <v>Buliisa</v>
          </cell>
          <cell r="C260" t="str">
            <v>Buliisa</v>
          </cell>
          <cell r="D260" t="str">
            <v>Kihungya</v>
          </cell>
          <cell r="F260">
            <v>218</v>
          </cell>
        </row>
        <row r="261">
          <cell r="A261" t="str">
            <v>Ngwedo</v>
          </cell>
          <cell r="B261" t="str">
            <v>Buliisa</v>
          </cell>
          <cell r="C261" t="str">
            <v>Buliisa</v>
          </cell>
          <cell r="D261" t="str">
            <v>Ngwedo</v>
          </cell>
          <cell r="F261">
            <v>219</v>
          </cell>
        </row>
        <row r="262">
          <cell r="A262" t="str">
            <v>Bubandi</v>
          </cell>
          <cell r="B262" t="str">
            <v>Bundibugyo</v>
          </cell>
          <cell r="C262" t="str">
            <v>Bwamba</v>
          </cell>
          <cell r="D262" t="str">
            <v>Bubandi</v>
          </cell>
          <cell r="F262">
            <v>220</v>
          </cell>
        </row>
        <row r="263">
          <cell r="A263" t="str">
            <v>MAKISION FALLS</v>
          </cell>
          <cell r="F263">
            <v>220</v>
          </cell>
        </row>
        <row r="264">
          <cell r="A264" t="str">
            <v>MACHISSION FALLS</v>
          </cell>
          <cell r="F264">
            <v>220</v>
          </cell>
        </row>
        <row r="265">
          <cell r="A265" t="str">
            <v>KISANSYA</v>
          </cell>
          <cell r="F265">
            <v>220</v>
          </cell>
        </row>
        <row r="266">
          <cell r="A266" t="str">
            <v>KISANJA</v>
          </cell>
          <cell r="F266">
            <v>220</v>
          </cell>
        </row>
        <row r="267">
          <cell r="A267" t="str">
            <v>Bubukwanga</v>
          </cell>
          <cell r="B267" t="str">
            <v>Bundibugyo</v>
          </cell>
          <cell r="C267" t="str">
            <v>Bwamba</v>
          </cell>
          <cell r="D267" t="str">
            <v>Bubukwanga</v>
          </cell>
          <cell r="F267">
            <v>221</v>
          </cell>
        </row>
        <row r="268">
          <cell r="A268" t="str">
            <v>Bukonzo</v>
          </cell>
          <cell r="B268" t="str">
            <v>Bundibugyo</v>
          </cell>
          <cell r="C268" t="str">
            <v>Bughendera</v>
          </cell>
          <cell r="D268" t="str">
            <v>Bukonzo</v>
          </cell>
          <cell r="F268">
            <v>222</v>
          </cell>
        </row>
        <row r="269">
          <cell r="A269" t="str">
            <v>Bundibugyo Town Council</v>
          </cell>
          <cell r="B269" t="str">
            <v>Bundibugyo</v>
          </cell>
          <cell r="C269" t="str">
            <v>Bwamba</v>
          </cell>
          <cell r="D269" t="str">
            <v>Bundibugyo Town Council</v>
          </cell>
          <cell r="F269">
            <v>223</v>
          </cell>
        </row>
        <row r="270">
          <cell r="A270" t="str">
            <v>BUNDIBUGYO TOWN</v>
          </cell>
          <cell r="F270">
            <v>223</v>
          </cell>
        </row>
        <row r="271">
          <cell r="A271" t="str">
            <v>BUNDIBUJO TOWN</v>
          </cell>
          <cell r="F271">
            <v>223</v>
          </cell>
        </row>
        <row r="272">
          <cell r="A272" t="str">
            <v>Bundingoma</v>
          </cell>
          <cell r="B272" t="str">
            <v>Bundibugyo</v>
          </cell>
          <cell r="C272" t="str">
            <v>Bwamba</v>
          </cell>
          <cell r="D272" t="str">
            <v>Bundingoma</v>
          </cell>
          <cell r="F272">
            <v>224</v>
          </cell>
        </row>
        <row r="273">
          <cell r="A273" t="str">
            <v>Burondo</v>
          </cell>
          <cell r="B273" t="str">
            <v>Bundibugyo</v>
          </cell>
          <cell r="C273" t="str">
            <v>Bughendera</v>
          </cell>
          <cell r="D273" t="str">
            <v>Burondo</v>
          </cell>
          <cell r="F273">
            <v>225</v>
          </cell>
        </row>
        <row r="274">
          <cell r="A274" t="str">
            <v>Busaru</v>
          </cell>
          <cell r="B274" t="str">
            <v>Bundibugyo</v>
          </cell>
          <cell r="C274" t="str">
            <v>Bwamba</v>
          </cell>
          <cell r="D274" t="str">
            <v>Busaru</v>
          </cell>
          <cell r="F274">
            <v>226</v>
          </cell>
        </row>
        <row r="275">
          <cell r="A275" t="str">
            <v>Harugale</v>
          </cell>
          <cell r="B275" t="str">
            <v>Bundibugyo</v>
          </cell>
          <cell r="C275" t="str">
            <v>Bughendera</v>
          </cell>
          <cell r="D275" t="str">
            <v>Harugale</v>
          </cell>
          <cell r="F275">
            <v>227</v>
          </cell>
        </row>
        <row r="276">
          <cell r="A276" t="str">
            <v>Kagugu</v>
          </cell>
          <cell r="B276" t="str">
            <v>Bundibugyo</v>
          </cell>
          <cell r="C276" t="str">
            <v>Bughendera</v>
          </cell>
          <cell r="D276" t="str">
            <v>Kagugu</v>
          </cell>
          <cell r="F276">
            <v>228</v>
          </cell>
        </row>
        <row r="277">
          <cell r="A277" t="str">
            <v>Kasitu</v>
          </cell>
          <cell r="B277" t="str">
            <v>Bundibugyo</v>
          </cell>
          <cell r="C277" t="str">
            <v>Bughendera</v>
          </cell>
          <cell r="D277" t="str">
            <v>Kasitu</v>
          </cell>
          <cell r="F277">
            <v>229</v>
          </cell>
        </row>
        <row r="278">
          <cell r="A278" t="str">
            <v>Kirumya</v>
          </cell>
          <cell r="B278" t="str">
            <v>Bundibugyo</v>
          </cell>
          <cell r="C278" t="str">
            <v>Bwamba</v>
          </cell>
          <cell r="D278" t="str">
            <v>Kirumya</v>
          </cell>
          <cell r="F278">
            <v>230</v>
          </cell>
        </row>
        <row r="279">
          <cell r="A279" t="str">
            <v>Kisubba</v>
          </cell>
          <cell r="B279" t="str">
            <v>Bundibugyo</v>
          </cell>
          <cell r="C279" t="str">
            <v>Bwamba</v>
          </cell>
          <cell r="D279" t="str">
            <v>Kisubba</v>
          </cell>
          <cell r="F279">
            <v>231</v>
          </cell>
        </row>
        <row r="280">
          <cell r="A280" t="str">
            <v>Mirambi</v>
          </cell>
          <cell r="B280" t="str">
            <v>Bundibugyo</v>
          </cell>
          <cell r="C280" t="str">
            <v>Bwamba</v>
          </cell>
          <cell r="D280" t="str">
            <v>Mirambi</v>
          </cell>
          <cell r="F280">
            <v>232</v>
          </cell>
        </row>
        <row r="281">
          <cell r="A281" t="str">
            <v>Nduguto</v>
          </cell>
          <cell r="B281" t="str">
            <v>Bundibugyo</v>
          </cell>
          <cell r="C281" t="str">
            <v>Bughendera</v>
          </cell>
          <cell r="D281" t="str">
            <v>Nduguto</v>
          </cell>
          <cell r="F281">
            <v>233</v>
          </cell>
        </row>
        <row r="282">
          <cell r="A282" t="str">
            <v>Ngamba</v>
          </cell>
          <cell r="B282" t="str">
            <v>Bundibugyo</v>
          </cell>
          <cell r="C282" t="str">
            <v>Bughendera</v>
          </cell>
          <cell r="D282" t="str">
            <v>Ngamba</v>
          </cell>
          <cell r="F282">
            <v>234</v>
          </cell>
        </row>
        <row r="283">
          <cell r="A283" t="str">
            <v>Ntandi Town Council</v>
          </cell>
          <cell r="B283" t="str">
            <v>Bundibugyo</v>
          </cell>
          <cell r="C283" t="str">
            <v>Bughendera</v>
          </cell>
          <cell r="D283" t="str">
            <v>Ntandi Town Council</v>
          </cell>
          <cell r="F283">
            <v>235</v>
          </cell>
        </row>
        <row r="284">
          <cell r="A284" t="str">
            <v>Ntotoro</v>
          </cell>
          <cell r="B284" t="str">
            <v>Bundibugyo</v>
          </cell>
          <cell r="C284" t="str">
            <v>Bughendera</v>
          </cell>
          <cell r="D284" t="str">
            <v>Ntotoro</v>
          </cell>
          <cell r="F284">
            <v>236</v>
          </cell>
        </row>
        <row r="285">
          <cell r="A285" t="str">
            <v>Nyahuka Town Council</v>
          </cell>
          <cell r="B285" t="str">
            <v>Bundibugyo</v>
          </cell>
          <cell r="C285" t="str">
            <v>Bwamba</v>
          </cell>
          <cell r="D285" t="str">
            <v>Nyahuka Town Council</v>
          </cell>
          <cell r="F285">
            <v>237</v>
          </cell>
        </row>
        <row r="286">
          <cell r="A286" t="str">
            <v>Sindila</v>
          </cell>
          <cell r="B286" t="str">
            <v>Bundibugyo</v>
          </cell>
          <cell r="C286" t="str">
            <v>Bughendera</v>
          </cell>
          <cell r="D286" t="str">
            <v>Sindila</v>
          </cell>
          <cell r="F286">
            <v>238</v>
          </cell>
        </row>
        <row r="287">
          <cell r="A287" t="str">
            <v>Tokwe</v>
          </cell>
          <cell r="B287" t="str">
            <v>Bundibugyo</v>
          </cell>
          <cell r="C287" t="str">
            <v>Bwamba</v>
          </cell>
          <cell r="D287" t="str">
            <v>Tokwe</v>
          </cell>
          <cell r="F287">
            <v>239</v>
          </cell>
        </row>
        <row r="288">
          <cell r="A288" t="str">
            <v>Buheesi</v>
          </cell>
          <cell r="B288" t="str">
            <v>Bunyangabu</v>
          </cell>
          <cell r="C288" t="str">
            <v>Bunyangabu</v>
          </cell>
          <cell r="D288" t="str">
            <v>Buheesi</v>
          </cell>
          <cell r="F288">
            <v>240</v>
          </cell>
        </row>
        <row r="289">
          <cell r="A289" t="str">
            <v>Buheesi Town Council</v>
          </cell>
          <cell r="B289" t="str">
            <v>Bunyangabu</v>
          </cell>
          <cell r="C289" t="str">
            <v>Bunyangabu</v>
          </cell>
          <cell r="D289" t="str">
            <v>Buheesi Town Council</v>
          </cell>
          <cell r="F289">
            <v>241</v>
          </cell>
        </row>
        <row r="290">
          <cell r="A290" t="str">
            <v>Kabonero</v>
          </cell>
          <cell r="B290" t="str">
            <v>Bunyangabu</v>
          </cell>
          <cell r="C290" t="str">
            <v>Bunyangabu</v>
          </cell>
          <cell r="D290" t="str">
            <v>Kabonero</v>
          </cell>
          <cell r="F290">
            <v>242</v>
          </cell>
        </row>
        <row r="291">
          <cell r="A291" t="str">
            <v>Katebwa</v>
          </cell>
          <cell r="B291" t="str">
            <v>Bunyangabu</v>
          </cell>
          <cell r="C291" t="str">
            <v>Bunyangabu</v>
          </cell>
          <cell r="D291" t="str">
            <v>Katebwa</v>
          </cell>
          <cell r="F291">
            <v>243</v>
          </cell>
        </row>
        <row r="292">
          <cell r="A292" t="str">
            <v>Kibiito</v>
          </cell>
          <cell r="B292" t="str">
            <v>Bunyangabu</v>
          </cell>
          <cell r="C292" t="str">
            <v>Bunyangabu</v>
          </cell>
          <cell r="D292" t="str">
            <v>Kibiito</v>
          </cell>
          <cell r="F292">
            <v>244</v>
          </cell>
        </row>
        <row r="293">
          <cell r="A293" t="str">
            <v>Kibiito Town Council</v>
          </cell>
          <cell r="B293" t="str">
            <v>Bunyangabu</v>
          </cell>
          <cell r="C293" t="str">
            <v>Bunyangabu</v>
          </cell>
          <cell r="D293" t="str">
            <v>Kibiito Town Council</v>
          </cell>
          <cell r="F293">
            <v>245</v>
          </cell>
        </row>
        <row r="294">
          <cell r="A294" t="str">
            <v>Kisomoro</v>
          </cell>
          <cell r="B294" t="str">
            <v>Bunyangabu</v>
          </cell>
          <cell r="C294" t="str">
            <v>Bunyangabu</v>
          </cell>
          <cell r="D294" t="str">
            <v>Kisomoro</v>
          </cell>
          <cell r="F294">
            <v>246</v>
          </cell>
        </row>
        <row r="295">
          <cell r="A295" t="str">
            <v>Kyamukube Town Council</v>
          </cell>
          <cell r="B295" t="str">
            <v>Bunyangabu</v>
          </cell>
          <cell r="C295" t="str">
            <v>Bunyangabu</v>
          </cell>
          <cell r="D295" t="str">
            <v>Kyamukube Town Council</v>
          </cell>
          <cell r="F295">
            <v>247</v>
          </cell>
        </row>
        <row r="296">
          <cell r="A296" t="str">
            <v>Rubona Town Council</v>
          </cell>
          <cell r="B296" t="str">
            <v>Bunyangabu</v>
          </cell>
          <cell r="C296" t="str">
            <v>Bunyangabu</v>
          </cell>
          <cell r="D296" t="str">
            <v>Rubona Town Council</v>
          </cell>
          <cell r="F296">
            <v>248</v>
          </cell>
        </row>
        <row r="297">
          <cell r="A297" t="str">
            <v>Rwimi</v>
          </cell>
          <cell r="B297" t="str">
            <v>Bunyangabu</v>
          </cell>
          <cell r="C297" t="str">
            <v>Bunyangabu</v>
          </cell>
          <cell r="D297" t="str">
            <v>Rwimi</v>
          </cell>
          <cell r="F297">
            <v>249</v>
          </cell>
        </row>
        <row r="298">
          <cell r="A298" t="str">
            <v>Rwimi Town Council</v>
          </cell>
          <cell r="B298" t="str">
            <v>Bunyangabu</v>
          </cell>
          <cell r="C298" t="str">
            <v>Bunyangabu</v>
          </cell>
          <cell r="D298" t="str">
            <v>Rwimi Town Council</v>
          </cell>
          <cell r="F298">
            <v>250</v>
          </cell>
        </row>
        <row r="299">
          <cell r="A299" t="str">
            <v>Bitooma</v>
          </cell>
          <cell r="B299" t="str">
            <v>Bushenyi</v>
          </cell>
          <cell r="C299" t="str">
            <v>Igara</v>
          </cell>
          <cell r="D299" t="str">
            <v>Bitooma</v>
          </cell>
          <cell r="F299">
            <v>251</v>
          </cell>
        </row>
        <row r="300">
          <cell r="A300" t="str">
            <v>Bumbaire</v>
          </cell>
          <cell r="B300" t="str">
            <v>Bushenyi</v>
          </cell>
          <cell r="C300" t="str">
            <v>Igara</v>
          </cell>
          <cell r="D300" t="str">
            <v>Bumbaire</v>
          </cell>
          <cell r="F300">
            <v>252</v>
          </cell>
        </row>
        <row r="301">
          <cell r="A301" t="str">
            <v>Bushenyi-Ishaka Municipality</v>
          </cell>
          <cell r="B301" t="str">
            <v>Bushenyi</v>
          </cell>
          <cell r="C301" t="str">
            <v>Bushenyi-Ishaka Municipality</v>
          </cell>
          <cell r="D301" t="str">
            <v>Bushenyi-Ishaka Municipality</v>
          </cell>
          <cell r="F301">
            <v>253</v>
          </cell>
        </row>
        <row r="302">
          <cell r="A302" t="str">
            <v>BUSHENYI</v>
          </cell>
          <cell r="F302">
            <v>253</v>
          </cell>
        </row>
        <row r="303">
          <cell r="A303" t="str">
            <v>ISHAKA</v>
          </cell>
          <cell r="F303">
            <v>253</v>
          </cell>
        </row>
        <row r="304">
          <cell r="A304" t="str">
            <v>Ibaare</v>
          </cell>
          <cell r="B304" t="str">
            <v>Bushenyi</v>
          </cell>
          <cell r="C304" t="str">
            <v>Igara</v>
          </cell>
          <cell r="D304" t="str">
            <v>Ibaare</v>
          </cell>
          <cell r="F304">
            <v>254</v>
          </cell>
        </row>
        <row r="305">
          <cell r="A305" t="str">
            <v>Kakanju</v>
          </cell>
          <cell r="B305" t="str">
            <v>Bushenyi</v>
          </cell>
          <cell r="C305" t="str">
            <v>Igara</v>
          </cell>
          <cell r="D305" t="str">
            <v>Kakanju</v>
          </cell>
          <cell r="F305">
            <v>255</v>
          </cell>
        </row>
        <row r="306">
          <cell r="A306" t="str">
            <v>Kyabugimbi</v>
          </cell>
          <cell r="B306" t="str">
            <v>Bushenyi</v>
          </cell>
          <cell r="C306" t="str">
            <v>Igara</v>
          </cell>
          <cell r="D306" t="str">
            <v>Kyabugimbi</v>
          </cell>
          <cell r="F306">
            <v>256</v>
          </cell>
        </row>
        <row r="307">
          <cell r="A307" t="str">
            <v>Kyamuhunga</v>
          </cell>
          <cell r="B307" t="str">
            <v>Bushenyi</v>
          </cell>
          <cell r="C307" t="str">
            <v>Igara</v>
          </cell>
          <cell r="D307" t="str">
            <v>Kyamuhunga</v>
          </cell>
          <cell r="F307">
            <v>257</v>
          </cell>
        </row>
        <row r="308">
          <cell r="A308" t="str">
            <v>Kyamuhunga Town Council</v>
          </cell>
          <cell r="B308" t="str">
            <v>Bushenyi</v>
          </cell>
          <cell r="C308" t="str">
            <v>Igara</v>
          </cell>
          <cell r="D308" t="str">
            <v>Kyamuhunga Town Council</v>
          </cell>
          <cell r="F308">
            <v>258</v>
          </cell>
        </row>
        <row r="309">
          <cell r="A309" t="str">
            <v>Kyeizooba</v>
          </cell>
          <cell r="B309" t="str">
            <v>Bushenyi</v>
          </cell>
          <cell r="C309" t="str">
            <v>Igara</v>
          </cell>
          <cell r="D309" t="str">
            <v>Kyeizooba</v>
          </cell>
          <cell r="F309">
            <v>259</v>
          </cell>
        </row>
        <row r="310">
          <cell r="A310" t="str">
            <v>Nyabubare</v>
          </cell>
          <cell r="B310" t="str">
            <v>Bushenyi</v>
          </cell>
          <cell r="C310" t="str">
            <v>Igara</v>
          </cell>
          <cell r="D310" t="str">
            <v>Nyabubare</v>
          </cell>
          <cell r="F310">
            <v>260</v>
          </cell>
        </row>
        <row r="311">
          <cell r="A311" t="str">
            <v>Ruhumuro</v>
          </cell>
          <cell r="B311" t="str">
            <v>Bushenyi</v>
          </cell>
          <cell r="C311" t="str">
            <v>Igara</v>
          </cell>
          <cell r="D311" t="str">
            <v>Ruhumuro</v>
          </cell>
          <cell r="F311">
            <v>261</v>
          </cell>
        </row>
        <row r="312">
          <cell r="A312" t="str">
            <v>Buhehe</v>
          </cell>
          <cell r="B312" t="str">
            <v>Busia</v>
          </cell>
          <cell r="C312" t="str">
            <v>Samia-Bugwe</v>
          </cell>
          <cell r="D312" t="str">
            <v>Buhehe</v>
          </cell>
          <cell r="F312">
            <v>262</v>
          </cell>
        </row>
        <row r="313">
          <cell r="A313" t="str">
            <v>Bulumbi</v>
          </cell>
          <cell r="B313" t="str">
            <v>Busia</v>
          </cell>
          <cell r="C313" t="str">
            <v>Samia-Bugwe</v>
          </cell>
          <cell r="D313" t="str">
            <v>Bulumbi</v>
          </cell>
          <cell r="F313">
            <v>263</v>
          </cell>
        </row>
        <row r="314">
          <cell r="A314" t="str">
            <v>Busia Municipality</v>
          </cell>
          <cell r="B314" t="str">
            <v>Busia</v>
          </cell>
          <cell r="C314" t="str">
            <v>Busia Municipality</v>
          </cell>
          <cell r="D314" t="str">
            <v>Busia Municipality</v>
          </cell>
          <cell r="F314">
            <v>264</v>
          </cell>
        </row>
        <row r="315">
          <cell r="A315" t="str">
            <v>BUSIA TC</v>
          </cell>
          <cell r="F315">
            <v>264</v>
          </cell>
        </row>
        <row r="316">
          <cell r="A316" t="str">
            <v>Busime</v>
          </cell>
          <cell r="B316" t="str">
            <v>Busia</v>
          </cell>
          <cell r="C316" t="str">
            <v>Samia-Bugwe</v>
          </cell>
          <cell r="D316" t="str">
            <v>Busime</v>
          </cell>
          <cell r="F316">
            <v>265</v>
          </cell>
        </row>
        <row r="317">
          <cell r="A317" t="str">
            <v>Busitema</v>
          </cell>
          <cell r="B317" t="str">
            <v>Busia</v>
          </cell>
          <cell r="C317" t="str">
            <v>Samia-Bugwe</v>
          </cell>
          <cell r="D317" t="str">
            <v>Busitema</v>
          </cell>
          <cell r="F317">
            <v>266</v>
          </cell>
        </row>
        <row r="318">
          <cell r="A318" t="str">
            <v>Buteba</v>
          </cell>
          <cell r="B318" t="str">
            <v>Busia</v>
          </cell>
          <cell r="C318" t="str">
            <v>Samia-Bugwe</v>
          </cell>
          <cell r="D318" t="str">
            <v>Buteba</v>
          </cell>
          <cell r="F318">
            <v>267</v>
          </cell>
        </row>
        <row r="319">
          <cell r="A319" t="str">
            <v>AMONGURA</v>
          </cell>
          <cell r="F319">
            <v>267</v>
          </cell>
        </row>
        <row r="320">
          <cell r="A320" t="str">
            <v xml:space="preserve">BUTEBA </v>
          </cell>
          <cell r="F320">
            <v>267</v>
          </cell>
        </row>
        <row r="321">
          <cell r="A321" t="str">
            <v>Buyanga-Busia</v>
          </cell>
          <cell r="B321" t="str">
            <v>Busia</v>
          </cell>
          <cell r="C321" t="str">
            <v>Samia-Bugwe</v>
          </cell>
          <cell r="D321" t="str">
            <v>Buyanga-Busia</v>
          </cell>
          <cell r="F321">
            <v>268</v>
          </cell>
        </row>
        <row r="322">
          <cell r="A322" t="str">
            <v>Dabani</v>
          </cell>
          <cell r="B322" t="str">
            <v>Busia</v>
          </cell>
          <cell r="C322" t="str">
            <v>Samia-Bugwe</v>
          </cell>
          <cell r="D322" t="str">
            <v>Dabani</v>
          </cell>
          <cell r="F322">
            <v>269</v>
          </cell>
        </row>
        <row r="323">
          <cell r="A323" t="str">
            <v>Lumino</v>
          </cell>
          <cell r="B323" t="str">
            <v>Busia</v>
          </cell>
          <cell r="C323" t="str">
            <v>Samia-Bugwe</v>
          </cell>
          <cell r="D323" t="str">
            <v>Lumino</v>
          </cell>
          <cell r="F323">
            <v>270</v>
          </cell>
        </row>
        <row r="324">
          <cell r="A324" t="str">
            <v>Lunyo</v>
          </cell>
          <cell r="B324" t="str">
            <v>Busia</v>
          </cell>
          <cell r="C324" t="str">
            <v>Samia-Bugwe</v>
          </cell>
          <cell r="D324" t="str">
            <v>Lunyo</v>
          </cell>
          <cell r="F324">
            <v>271</v>
          </cell>
        </row>
        <row r="325">
          <cell r="A325" t="str">
            <v>Majanji</v>
          </cell>
          <cell r="B325" t="str">
            <v>Busia</v>
          </cell>
          <cell r="C325" t="str">
            <v>Samia-Bugwe</v>
          </cell>
          <cell r="D325" t="str">
            <v>Majanji</v>
          </cell>
          <cell r="F325">
            <v>272</v>
          </cell>
        </row>
        <row r="326">
          <cell r="A326" t="str">
            <v>Masaba-Busia</v>
          </cell>
          <cell r="B326" t="str">
            <v>Busia</v>
          </cell>
          <cell r="C326" t="str">
            <v>Samia-Bugwe</v>
          </cell>
          <cell r="D326" t="str">
            <v>Masaba-Busia</v>
          </cell>
          <cell r="F326">
            <v>273</v>
          </cell>
        </row>
        <row r="327">
          <cell r="A327" t="str">
            <v>Masafu</v>
          </cell>
          <cell r="B327" t="str">
            <v>Busia</v>
          </cell>
          <cell r="C327" t="str">
            <v>Samia-Bugwe</v>
          </cell>
          <cell r="D327" t="str">
            <v>Masafu</v>
          </cell>
          <cell r="F327">
            <v>274</v>
          </cell>
        </row>
        <row r="328">
          <cell r="A328" t="str">
            <v>Masinya</v>
          </cell>
          <cell r="B328" t="str">
            <v>Busia</v>
          </cell>
          <cell r="C328" t="str">
            <v>Samia-Bugwe</v>
          </cell>
          <cell r="D328" t="str">
            <v>Masinya</v>
          </cell>
          <cell r="F328">
            <v>275</v>
          </cell>
        </row>
        <row r="329">
          <cell r="A329" t="str">
            <v>Sikuda</v>
          </cell>
          <cell r="B329" t="str">
            <v>Busia</v>
          </cell>
          <cell r="C329" t="str">
            <v>Samia-Bugwe</v>
          </cell>
          <cell r="D329" t="str">
            <v>Sikuda</v>
          </cell>
          <cell r="F329">
            <v>276</v>
          </cell>
        </row>
        <row r="330">
          <cell r="A330" t="str">
            <v>Budumba</v>
          </cell>
          <cell r="B330" t="str">
            <v>Butaleja</v>
          </cell>
          <cell r="C330" t="str">
            <v>Bunyole</v>
          </cell>
          <cell r="D330" t="str">
            <v>Budumba</v>
          </cell>
          <cell r="F330">
            <v>277</v>
          </cell>
        </row>
        <row r="331">
          <cell r="A331" t="str">
            <v>Busaba</v>
          </cell>
          <cell r="B331" t="str">
            <v>Butaleja</v>
          </cell>
          <cell r="C331" t="str">
            <v>Bunyole</v>
          </cell>
          <cell r="D331" t="str">
            <v>Busaba</v>
          </cell>
          <cell r="F331">
            <v>278</v>
          </cell>
        </row>
        <row r="332">
          <cell r="A332" t="str">
            <v>Busabi</v>
          </cell>
          <cell r="B332" t="str">
            <v>Butaleja</v>
          </cell>
          <cell r="C332" t="str">
            <v>Bunyole</v>
          </cell>
          <cell r="D332" t="str">
            <v>Busabi</v>
          </cell>
          <cell r="F332">
            <v>279</v>
          </cell>
        </row>
        <row r="333">
          <cell r="A333" t="str">
            <v>Busolwe</v>
          </cell>
          <cell r="B333" t="str">
            <v>Butaleja</v>
          </cell>
          <cell r="C333" t="str">
            <v>Bunyole</v>
          </cell>
          <cell r="D333" t="str">
            <v>Busolwe</v>
          </cell>
          <cell r="F333">
            <v>280</v>
          </cell>
        </row>
        <row r="334">
          <cell r="A334" t="str">
            <v>Busolwe Town Council</v>
          </cell>
          <cell r="B334" t="str">
            <v>Butaleja</v>
          </cell>
          <cell r="C334" t="str">
            <v>Bunyole</v>
          </cell>
          <cell r="D334" t="str">
            <v>Busolwe Town Council</v>
          </cell>
          <cell r="F334">
            <v>281</v>
          </cell>
        </row>
        <row r="335">
          <cell r="A335" t="str">
            <v>Butaleja</v>
          </cell>
          <cell r="B335" t="str">
            <v>Butaleja</v>
          </cell>
          <cell r="C335" t="str">
            <v>Bunyole</v>
          </cell>
          <cell r="D335" t="str">
            <v>Butaleja</v>
          </cell>
          <cell r="F335">
            <v>282</v>
          </cell>
        </row>
        <row r="336">
          <cell r="A336" t="str">
            <v>Butaleja Town Council</v>
          </cell>
          <cell r="B336" t="str">
            <v>Butaleja</v>
          </cell>
          <cell r="C336" t="str">
            <v>Bunyole</v>
          </cell>
          <cell r="D336" t="str">
            <v>Butaleja Town Council</v>
          </cell>
          <cell r="F336">
            <v>283</v>
          </cell>
        </row>
        <row r="337">
          <cell r="A337" t="str">
            <v>Himutu</v>
          </cell>
          <cell r="B337" t="str">
            <v>Butaleja</v>
          </cell>
          <cell r="C337" t="str">
            <v>Bunyole</v>
          </cell>
          <cell r="D337" t="str">
            <v>Himutu</v>
          </cell>
          <cell r="F337">
            <v>284</v>
          </cell>
        </row>
        <row r="338">
          <cell r="A338" t="str">
            <v>Kachonga</v>
          </cell>
          <cell r="B338" t="str">
            <v>Butaleja</v>
          </cell>
          <cell r="C338" t="str">
            <v>Bunyole</v>
          </cell>
          <cell r="D338" t="str">
            <v>Kachonga</v>
          </cell>
          <cell r="F338">
            <v>285</v>
          </cell>
        </row>
        <row r="339">
          <cell r="A339" t="str">
            <v>Mazimasa</v>
          </cell>
          <cell r="B339" t="str">
            <v>Butaleja</v>
          </cell>
          <cell r="C339" t="str">
            <v>Bunyole</v>
          </cell>
          <cell r="D339" t="str">
            <v>Mazimasa</v>
          </cell>
          <cell r="F339">
            <v>286</v>
          </cell>
        </row>
        <row r="340">
          <cell r="A340" t="str">
            <v>Nawanjofu</v>
          </cell>
          <cell r="B340" t="str">
            <v>Butaleja</v>
          </cell>
          <cell r="C340" t="str">
            <v>Bunyole</v>
          </cell>
          <cell r="D340" t="str">
            <v>Nawanjofu</v>
          </cell>
          <cell r="F340">
            <v>287</v>
          </cell>
        </row>
        <row r="341">
          <cell r="A341" t="str">
            <v>NAWANJOVU</v>
          </cell>
          <cell r="F341">
            <v>287</v>
          </cell>
        </row>
        <row r="342">
          <cell r="A342" t="str">
            <v>Naweyo</v>
          </cell>
          <cell r="B342" t="str">
            <v>Butaleja</v>
          </cell>
          <cell r="C342" t="str">
            <v>Bunyole</v>
          </cell>
          <cell r="D342" t="str">
            <v>Naweyo</v>
          </cell>
          <cell r="F342">
            <v>288</v>
          </cell>
        </row>
        <row r="343">
          <cell r="A343" t="str">
            <v>Budde</v>
          </cell>
          <cell r="B343" t="str">
            <v>Butambala</v>
          </cell>
          <cell r="C343" t="str">
            <v>Butambala</v>
          </cell>
          <cell r="D343" t="str">
            <v>Budde</v>
          </cell>
          <cell r="F343">
            <v>289</v>
          </cell>
        </row>
        <row r="344">
          <cell r="A344" t="str">
            <v>Kyabadaza</v>
          </cell>
          <cell r="F344">
            <v>289</v>
          </cell>
        </row>
        <row r="345">
          <cell r="A345" t="str">
            <v>Bulo</v>
          </cell>
          <cell r="B345" t="str">
            <v>Butambala</v>
          </cell>
          <cell r="C345" t="str">
            <v>Butambala</v>
          </cell>
          <cell r="D345" t="str">
            <v>Bulo</v>
          </cell>
          <cell r="F345">
            <v>290</v>
          </cell>
        </row>
        <row r="346">
          <cell r="A346" t="str">
            <v>Gombe Town Council</v>
          </cell>
          <cell r="B346" t="str">
            <v>Butambala</v>
          </cell>
          <cell r="C346" t="str">
            <v>Butambala</v>
          </cell>
          <cell r="D346" t="str">
            <v>Gombe Town Council</v>
          </cell>
          <cell r="F346">
            <v>291</v>
          </cell>
        </row>
        <row r="347">
          <cell r="A347" t="str">
            <v>BUTAMBALA</v>
          </cell>
          <cell r="F347">
            <v>291</v>
          </cell>
        </row>
        <row r="348">
          <cell r="A348" t="str">
            <v>Butamabala</v>
          </cell>
          <cell r="F348">
            <v>291</v>
          </cell>
        </row>
        <row r="349">
          <cell r="A349" t="str">
            <v>Kalamba</v>
          </cell>
          <cell r="B349" t="str">
            <v>Butambala</v>
          </cell>
          <cell r="C349" t="str">
            <v>Butambala</v>
          </cell>
          <cell r="D349" t="str">
            <v>Kalamba</v>
          </cell>
          <cell r="F349">
            <v>292</v>
          </cell>
        </row>
        <row r="350">
          <cell r="A350" t="str">
            <v>Kibibi</v>
          </cell>
          <cell r="B350" t="str">
            <v>Butambala</v>
          </cell>
          <cell r="C350" t="str">
            <v>Butambala</v>
          </cell>
          <cell r="D350" t="str">
            <v>Kibibi</v>
          </cell>
          <cell r="F350">
            <v>293</v>
          </cell>
        </row>
        <row r="351">
          <cell r="A351" t="str">
            <v>Ngando</v>
          </cell>
          <cell r="B351" t="str">
            <v>Butambala</v>
          </cell>
          <cell r="C351" t="str">
            <v>Butambala</v>
          </cell>
          <cell r="D351" t="str">
            <v>Ngando</v>
          </cell>
          <cell r="F351">
            <v>294</v>
          </cell>
        </row>
        <row r="352">
          <cell r="A352" t="str">
            <v>Butebo</v>
          </cell>
          <cell r="B352" t="str">
            <v>Butebo</v>
          </cell>
          <cell r="C352" t="str">
            <v>Butebo Town Council</v>
          </cell>
          <cell r="D352" t="str">
            <v>Butebo</v>
          </cell>
          <cell r="F352">
            <v>295</v>
          </cell>
        </row>
        <row r="353">
          <cell r="A353" t="str">
            <v>Kabwangasi</v>
          </cell>
          <cell r="B353" t="str">
            <v>Butebo</v>
          </cell>
          <cell r="C353" t="str">
            <v>Butebo Town Council</v>
          </cell>
          <cell r="D353" t="str">
            <v>Kabwangasi</v>
          </cell>
          <cell r="F353">
            <v>296</v>
          </cell>
        </row>
        <row r="354">
          <cell r="A354" t="str">
            <v>Kakoro</v>
          </cell>
          <cell r="B354" t="str">
            <v>Butebo</v>
          </cell>
          <cell r="C354" t="str">
            <v>Butebo Town Council</v>
          </cell>
          <cell r="D354" t="str">
            <v>Kakoro</v>
          </cell>
          <cell r="F354">
            <v>297</v>
          </cell>
        </row>
        <row r="355">
          <cell r="A355" t="str">
            <v>Kanginima</v>
          </cell>
          <cell r="B355" t="str">
            <v>Butebo</v>
          </cell>
          <cell r="C355" t="str">
            <v>Butebo Town Council</v>
          </cell>
          <cell r="D355" t="str">
            <v>Kanginima</v>
          </cell>
          <cell r="F355">
            <v>298</v>
          </cell>
        </row>
        <row r="356">
          <cell r="A356" t="str">
            <v>Kibale</v>
          </cell>
          <cell r="B356" t="str">
            <v>Butebo</v>
          </cell>
          <cell r="C356" t="str">
            <v>Butebo Town Council</v>
          </cell>
          <cell r="D356" t="str">
            <v>Kibale</v>
          </cell>
          <cell r="F356">
            <v>299</v>
          </cell>
        </row>
        <row r="357">
          <cell r="A357" t="str">
            <v>KIBALE TOWN</v>
          </cell>
          <cell r="F357">
            <v>299</v>
          </cell>
        </row>
        <row r="358">
          <cell r="A358" t="str">
            <v>KIBAALE TOWN</v>
          </cell>
          <cell r="F358">
            <v>299</v>
          </cell>
        </row>
        <row r="359">
          <cell r="A359" t="str">
            <v>Opwateta</v>
          </cell>
          <cell r="B359" t="str">
            <v>Butebo</v>
          </cell>
          <cell r="C359" t="str">
            <v>Butebo Town Council</v>
          </cell>
          <cell r="D359" t="str">
            <v>Opwateta</v>
          </cell>
          <cell r="F359">
            <v>300</v>
          </cell>
        </row>
        <row r="360">
          <cell r="A360" t="str">
            <v>Petete</v>
          </cell>
          <cell r="B360" t="str">
            <v>Butebo</v>
          </cell>
          <cell r="C360" t="str">
            <v>Butebo Town Council</v>
          </cell>
          <cell r="D360" t="str">
            <v>Petete</v>
          </cell>
          <cell r="F360">
            <v>301</v>
          </cell>
        </row>
        <row r="361">
          <cell r="A361" t="str">
            <v>Bugaya-Buvuma</v>
          </cell>
          <cell r="B361" t="str">
            <v>Buvuma</v>
          </cell>
          <cell r="C361" t="str">
            <v>Buvuma Island</v>
          </cell>
          <cell r="D361" t="str">
            <v>Bugaya-Buvuma</v>
          </cell>
          <cell r="F361">
            <v>302</v>
          </cell>
        </row>
        <row r="362">
          <cell r="A362" t="str">
            <v>Busamuzi</v>
          </cell>
          <cell r="B362" t="str">
            <v>Buvuma</v>
          </cell>
          <cell r="C362" t="str">
            <v>Buvuma Island</v>
          </cell>
          <cell r="D362" t="str">
            <v>Busamuzi</v>
          </cell>
          <cell r="F362">
            <v>303</v>
          </cell>
        </row>
        <row r="363">
          <cell r="A363" t="str">
            <v>Buvuma Town Council</v>
          </cell>
          <cell r="B363" t="str">
            <v>Buvuma</v>
          </cell>
          <cell r="C363" t="str">
            <v>Buvuma Island</v>
          </cell>
          <cell r="D363" t="str">
            <v>Buvuma Town Council</v>
          </cell>
          <cell r="F363">
            <v>304</v>
          </cell>
        </row>
        <row r="364">
          <cell r="A364" t="str">
            <v>Buwooya</v>
          </cell>
          <cell r="B364" t="str">
            <v>Buvuma</v>
          </cell>
          <cell r="C364" t="str">
            <v>Buvuma Island</v>
          </cell>
          <cell r="D364" t="str">
            <v>Buwooya</v>
          </cell>
          <cell r="F364">
            <v>305</v>
          </cell>
        </row>
        <row r="365">
          <cell r="A365" t="str">
            <v>Bweema</v>
          </cell>
          <cell r="B365" t="str">
            <v>Buvuma</v>
          </cell>
          <cell r="C365" t="str">
            <v>Buvuma Island</v>
          </cell>
          <cell r="D365" t="str">
            <v>Bweema</v>
          </cell>
          <cell r="F365">
            <v>306</v>
          </cell>
        </row>
        <row r="366">
          <cell r="A366" t="str">
            <v>Lubya</v>
          </cell>
          <cell r="B366" t="str">
            <v>Buvuma</v>
          </cell>
          <cell r="C366" t="str">
            <v>Buvuma Island</v>
          </cell>
          <cell r="D366" t="str">
            <v>Lubya</v>
          </cell>
          <cell r="F366">
            <v>307</v>
          </cell>
        </row>
        <row r="367">
          <cell r="A367" t="str">
            <v>LUGALA</v>
          </cell>
          <cell r="F367">
            <v>307</v>
          </cell>
        </row>
        <row r="368">
          <cell r="A368" t="str">
            <v>Lwajje</v>
          </cell>
          <cell r="B368" t="str">
            <v>Buvuma</v>
          </cell>
          <cell r="C368" t="str">
            <v>Buvuma Island</v>
          </cell>
          <cell r="D368" t="str">
            <v>Lwajje</v>
          </cell>
          <cell r="F368">
            <v>308</v>
          </cell>
        </row>
        <row r="369">
          <cell r="A369" t="str">
            <v>Lyabaana</v>
          </cell>
          <cell r="B369" t="str">
            <v>Buvuma</v>
          </cell>
          <cell r="C369" t="str">
            <v>Buvuma Island</v>
          </cell>
          <cell r="D369" t="str">
            <v>Lyabaana</v>
          </cell>
          <cell r="F369">
            <v>309</v>
          </cell>
        </row>
        <row r="370">
          <cell r="A370" t="str">
            <v>Nairambi</v>
          </cell>
          <cell r="B370" t="str">
            <v>Buvuma</v>
          </cell>
          <cell r="C370" t="str">
            <v>Buvuma Island</v>
          </cell>
          <cell r="D370" t="str">
            <v>Nairambi</v>
          </cell>
          <cell r="F370">
            <v>310</v>
          </cell>
        </row>
        <row r="371">
          <cell r="A371" t="str">
            <v>Bugaya-Buyende</v>
          </cell>
          <cell r="B371" t="str">
            <v>Buyende</v>
          </cell>
          <cell r="C371" t="str">
            <v>Budiope</v>
          </cell>
          <cell r="D371" t="str">
            <v>Bugaya-Buyende</v>
          </cell>
          <cell r="F371">
            <v>311</v>
          </cell>
        </row>
        <row r="372">
          <cell r="A372" t="str">
            <v>Buyende</v>
          </cell>
          <cell r="B372" t="str">
            <v>Buyende</v>
          </cell>
          <cell r="C372" t="str">
            <v>Budiope</v>
          </cell>
          <cell r="D372" t="str">
            <v>Buyende</v>
          </cell>
          <cell r="F372">
            <v>312</v>
          </cell>
        </row>
        <row r="373">
          <cell r="A373" t="str">
            <v>Buyende Town Council</v>
          </cell>
          <cell r="B373" t="str">
            <v>Buyende</v>
          </cell>
          <cell r="C373" t="str">
            <v>Budiope</v>
          </cell>
          <cell r="D373" t="str">
            <v>Buyende Town Council</v>
          </cell>
          <cell r="F373">
            <v>313</v>
          </cell>
        </row>
        <row r="374">
          <cell r="A374" t="str">
            <v>Kagulu</v>
          </cell>
          <cell r="B374" t="str">
            <v>Buyende</v>
          </cell>
          <cell r="C374" t="str">
            <v>Budiope</v>
          </cell>
          <cell r="D374" t="str">
            <v>Kagulu</v>
          </cell>
          <cell r="F374">
            <v>314</v>
          </cell>
        </row>
        <row r="375">
          <cell r="A375" t="str">
            <v>Kidera</v>
          </cell>
          <cell r="B375" t="str">
            <v>Buyende</v>
          </cell>
          <cell r="C375" t="str">
            <v>Budiope</v>
          </cell>
          <cell r="D375" t="str">
            <v>Kidera</v>
          </cell>
          <cell r="F375">
            <v>315</v>
          </cell>
        </row>
        <row r="376">
          <cell r="A376" t="str">
            <v>Nkondo</v>
          </cell>
          <cell r="B376" t="str">
            <v>Buyende</v>
          </cell>
          <cell r="C376" t="str">
            <v>Budiope</v>
          </cell>
          <cell r="D376" t="str">
            <v>Nkondo</v>
          </cell>
          <cell r="F376">
            <v>316</v>
          </cell>
        </row>
        <row r="377">
          <cell r="A377" t="str">
            <v>Adeknino</v>
          </cell>
          <cell r="B377" t="str">
            <v>Dokolo</v>
          </cell>
          <cell r="C377" t="str">
            <v>Dokolo</v>
          </cell>
          <cell r="D377" t="str">
            <v>Adeknino</v>
          </cell>
          <cell r="F377">
            <v>317</v>
          </cell>
        </row>
        <row r="378">
          <cell r="A378" t="str">
            <v>Adok</v>
          </cell>
          <cell r="B378" t="str">
            <v>Dokolo</v>
          </cell>
          <cell r="C378" t="str">
            <v>Dokolo</v>
          </cell>
          <cell r="D378" t="str">
            <v>Adok</v>
          </cell>
          <cell r="F378">
            <v>318</v>
          </cell>
        </row>
        <row r="379">
          <cell r="A379" t="str">
            <v>Agwata</v>
          </cell>
          <cell r="B379" t="str">
            <v>Dokolo</v>
          </cell>
          <cell r="C379" t="str">
            <v>Dokolo</v>
          </cell>
          <cell r="D379" t="str">
            <v>Agwata</v>
          </cell>
          <cell r="F379">
            <v>319</v>
          </cell>
        </row>
        <row r="380">
          <cell r="A380" t="str">
            <v>Amwoma</v>
          </cell>
          <cell r="B380" t="str">
            <v>Dokolo</v>
          </cell>
          <cell r="C380" t="str">
            <v>Dokolo</v>
          </cell>
          <cell r="D380" t="str">
            <v>Amwoma</v>
          </cell>
          <cell r="F380">
            <v>320</v>
          </cell>
        </row>
        <row r="381">
          <cell r="A381" t="str">
            <v>Batta</v>
          </cell>
          <cell r="B381" t="str">
            <v>Dokolo</v>
          </cell>
          <cell r="C381" t="str">
            <v>Dokolo</v>
          </cell>
          <cell r="D381" t="str">
            <v>Batta</v>
          </cell>
          <cell r="F381">
            <v>321</v>
          </cell>
        </row>
        <row r="382">
          <cell r="A382" t="str">
            <v>Dokolo</v>
          </cell>
          <cell r="B382" t="str">
            <v>Dokolo</v>
          </cell>
          <cell r="C382" t="str">
            <v>Dokolo</v>
          </cell>
          <cell r="D382" t="str">
            <v>Dokolo</v>
          </cell>
          <cell r="F382">
            <v>322</v>
          </cell>
        </row>
        <row r="383">
          <cell r="A383" t="str">
            <v>Dokolo Tc</v>
          </cell>
          <cell r="B383" t="str">
            <v>Dokolo</v>
          </cell>
          <cell r="C383" t="str">
            <v>Dokolo</v>
          </cell>
          <cell r="D383" t="str">
            <v>Dokolo Tc</v>
          </cell>
          <cell r="F383">
            <v>323</v>
          </cell>
        </row>
        <row r="384">
          <cell r="A384" t="str">
            <v>Kangai</v>
          </cell>
          <cell r="B384" t="str">
            <v>Dokolo</v>
          </cell>
          <cell r="C384" t="str">
            <v>Dokolo</v>
          </cell>
          <cell r="D384" t="str">
            <v>Kangai</v>
          </cell>
          <cell r="F384">
            <v>324</v>
          </cell>
        </row>
        <row r="385">
          <cell r="A385" t="str">
            <v>Kwera</v>
          </cell>
          <cell r="B385" t="str">
            <v>Dokolo</v>
          </cell>
          <cell r="C385" t="str">
            <v>Dokolo</v>
          </cell>
          <cell r="D385" t="str">
            <v>Kwera</v>
          </cell>
          <cell r="F385">
            <v>325</v>
          </cell>
        </row>
        <row r="386">
          <cell r="A386" t="str">
            <v>Okwalongwen</v>
          </cell>
          <cell r="B386" t="str">
            <v>Dokolo</v>
          </cell>
          <cell r="C386" t="str">
            <v>Dokolo</v>
          </cell>
          <cell r="D386" t="str">
            <v>Okwalongwen</v>
          </cell>
          <cell r="F386">
            <v>326</v>
          </cell>
        </row>
        <row r="387">
          <cell r="A387" t="str">
            <v>Okwongodul</v>
          </cell>
          <cell r="B387" t="str">
            <v>Dokolo</v>
          </cell>
          <cell r="C387" t="str">
            <v>Dokolo</v>
          </cell>
          <cell r="D387" t="str">
            <v>Okwongodul</v>
          </cell>
          <cell r="F387">
            <v>327</v>
          </cell>
        </row>
        <row r="388">
          <cell r="A388" t="str">
            <v>Kabulasoke</v>
          </cell>
          <cell r="B388" t="str">
            <v>Gomba</v>
          </cell>
          <cell r="C388" t="str">
            <v>Gomba</v>
          </cell>
          <cell r="D388" t="str">
            <v>Kabulasoke</v>
          </cell>
          <cell r="F388">
            <v>328</v>
          </cell>
        </row>
        <row r="389">
          <cell r="A389" t="str">
            <v>GOMBA</v>
          </cell>
          <cell r="F389">
            <v>328</v>
          </cell>
        </row>
        <row r="390">
          <cell r="A390" t="str">
            <v>Kanoni Town Council</v>
          </cell>
          <cell r="B390" t="str">
            <v>Gomba</v>
          </cell>
          <cell r="C390" t="str">
            <v>Gomba</v>
          </cell>
          <cell r="D390" t="str">
            <v>Kanoni Town Council</v>
          </cell>
          <cell r="F390">
            <v>329</v>
          </cell>
        </row>
        <row r="391">
          <cell r="A391" t="str">
            <v>Kyegonza</v>
          </cell>
          <cell r="B391" t="str">
            <v>Gomba</v>
          </cell>
          <cell r="C391" t="str">
            <v>Gomba</v>
          </cell>
          <cell r="D391" t="str">
            <v>Kyegonza</v>
          </cell>
          <cell r="F391">
            <v>330</v>
          </cell>
        </row>
        <row r="392">
          <cell r="A392" t="str">
            <v>Maddu</v>
          </cell>
          <cell r="B392" t="str">
            <v>Gomba</v>
          </cell>
          <cell r="C392" t="str">
            <v>Gomba</v>
          </cell>
          <cell r="D392" t="str">
            <v>Maddu</v>
          </cell>
          <cell r="F392">
            <v>331</v>
          </cell>
        </row>
        <row r="393">
          <cell r="A393" t="str">
            <v>Mpenja</v>
          </cell>
          <cell r="B393" t="str">
            <v>Gomba</v>
          </cell>
          <cell r="C393" t="str">
            <v>Gomba</v>
          </cell>
          <cell r="D393" t="str">
            <v>Mpenja</v>
          </cell>
          <cell r="F393">
            <v>332</v>
          </cell>
        </row>
        <row r="394">
          <cell r="A394" t="str">
            <v>Awach</v>
          </cell>
          <cell r="B394" t="str">
            <v>Gulu</v>
          </cell>
          <cell r="C394" t="str">
            <v>Aswa</v>
          </cell>
          <cell r="D394" t="str">
            <v>Awach</v>
          </cell>
          <cell r="F394">
            <v>333</v>
          </cell>
        </row>
        <row r="395">
          <cell r="A395" t="str">
            <v>Bungatira</v>
          </cell>
          <cell r="B395" t="str">
            <v>Gulu</v>
          </cell>
          <cell r="C395" t="str">
            <v>Aswa</v>
          </cell>
          <cell r="D395" t="str">
            <v>Bungatira</v>
          </cell>
          <cell r="F395">
            <v>334</v>
          </cell>
        </row>
        <row r="396">
          <cell r="A396" t="str">
            <v>Gulu Municipality</v>
          </cell>
          <cell r="B396" t="str">
            <v>Gulu</v>
          </cell>
          <cell r="C396" t="str">
            <v>Gulu Municipality</v>
          </cell>
          <cell r="D396" t="str">
            <v>Gulu Municipality</v>
          </cell>
          <cell r="F396">
            <v>335</v>
          </cell>
        </row>
        <row r="397">
          <cell r="A397" t="str">
            <v>GULU</v>
          </cell>
          <cell r="F397">
            <v>335</v>
          </cell>
        </row>
        <row r="398">
          <cell r="A398" t="str">
            <v>GULU TOWN</v>
          </cell>
          <cell r="F398">
            <v>335</v>
          </cell>
        </row>
        <row r="399">
          <cell r="A399" t="str">
            <v>Paicho</v>
          </cell>
          <cell r="B399" t="str">
            <v>Gulu</v>
          </cell>
          <cell r="C399" t="str">
            <v>Aswa</v>
          </cell>
          <cell r="D399" t="str">
            <v>Paicho</v>
          </cell>
          <cell r="F399">
            <v>336</v>
          </cell>
        </row>
        <row r="400">
          <cell r="A400" t="str">
            <v>Unyama</v>
          </cell>
          <cell r="B400" t="str">
            <v>Gulu</v>
          </cell>
          <cell r="C400" t="str">
            <v>Aswa</v>
          </cell>
          <cell r="D400" t="str">
            <v>Unyama</v>
          </cell>
          <cell r="F400">
            <v>337</v>
          </cell>
        </row>
        <row r="401">
          <cell r="A401" t="str">
            <v>Bugambe</v>
          </cell>
          <cell r="B401" t="str">
            <v>Hoima</v>
          </cell>
          <cell r="C401" t="str">
            <v>Buhaguzi</v>
          </cell>
          <cell r="D401" t="str">
            <v>Bugambe</v>
          </cell>
          <cell r="F401">
            <v>338</v>
          </cell>
        </row>
        <row r="402">
          <cell r="A402" t="str">
            <v>Buhanika</v>
          </cell>
          <cell r="B402" t="str">
            <v>Hoima</v>
          </cell>
          <cell r="C402" t="str">
            <v>Bugahya</v>
          </cell>
          <cell r="D402" t="str">
            <v>Buhanika</v>
          </cell>
          <cell r="F402">
            <v>339</v>
          </cell>
        </row>
        <row r="403">
          <cell r="A403" t="str">
            <v>Buhimba</v>
          </cell>
          <cell r="B403" t="str">
            <v>Hoima</v>
          </cell>
          <cell r="C403" t="str">
            <v>Buhaguzi</v>
          </cell>
          <cell r="D403" t="str">
            <v>Buhimba</v>
          </cell>
          <cell r="F403">
            <v>340</v>
          </cell>
        </row>
        <row r="404">
          <cell r="A404" t="str">
            <v>Hoima Municipality</v>
          </cell>
          <cell r="B404" t="str">
            <v>Hoima</v>
          </cell>
          <cell r="C404" t="str">
            <v>Hoima Municipality</v>
          </cell>
          <cell r="D404" t="str">
            <v>Hoima Municipality</v>
          </cell>
          <cell r="F404">
            <v>341</v>
          </cell>
        </row>
        <row r="405">
          <cell r="A405" t="str">
            <v xml:space="preserve">Hoima </v>
          </cell>
          <cell r="F405">
            <v>341</v>
          </cell>
        </row>
        <row r="406">
          <cell r="A406" t="str">
            <v>HOIMA TOWN</v>
          </cell>
          <cell r="F406">
            <v>341</v>
          </cell>
        </row>
        <row r="407">
          <cell r="A407" t="str">
            <v>Hoima</v>
          </cell>
          <cell r="F407">
            <v>341</v>
          </cell>
        </row>
        <row r="408">
          <cell r="A408" t="str">
            <v>HOIMA ROAD</v>
          </cell>
          <cell r="F408">
            <v>341</v>
          </cell>
        </row>
        <row r="409">
          <cell r="A409" t="str">
            <v>KAYISU</v>
          </cell>
          <cell r="F409">
            <v>341</v>
          </cell>
        </row>
        <row r="410">
          <cell r="A410" t="str">
            <v>kinubi</v>
          </cell>
          <cell r="F410">
            <v>341</v>
          </cell>
        </row>
        <row r="411">
          <cell r="A411" t="str">
            <v>Kabwoya</v>
          </cell>
          <cell r="B411" t="str">
            <v>Hoima</v>
          </cell>
          <cell r="C411" t="str">
            <v>Buhaguzi</v>
          </cell>
          <cell r="D411" t="str">
            <v>Kabwoya</v>
          </cell>
          <cell r="F411">
            <v>342</v>
          </cell>
        </row>
        <row r="412">
          <cell r="A412" t="str">
            <v>Kigorobya</v>
          </cell>
          <cell r="B412" t="str">
            <v>Hoima</v>
          </cell>
          <cell r="C412" t="str">
            <v>Bugahya</v>
          </cell>
          <cell r="D412" t="str">
            <v>Kigorobya</v>
          </cell>
          <cell r="F412">
            <v>343</v>
          </cell>
        </row>
        <row r="413">
          <cell r="A413" t="str">
            <v>KIROBYA</v>
          </cell>
          <cell r="F413">
            <v>343</v>
          </cell>
        </row>
        <row r="414">
          <cell r="A414" t="str">
            <v>Kigorobya Town Council</v>
          </cell>
          <cell r="B414" t="str">
            <v>Hoima</v>
          </cell>
          <cell r="C414" t="str">
            <v>Bugahya</v>
          </cell>
          <cell r="D414" t="str">
            <v>Kigorobya Town Council</v>
          </cell>
          <cell r="F414">
            <v>344</v>
          </cell>
        </row>
        <row r="415">
          <cell r="A415" t="str">
            <v>Kitoba</v>
          </cell>
          <cell r="B415" t="str">
            <v>Hoima</v>
          </cell>
          <cell r="C415" t="str">
            <v>Bugahya</v>
          </cell>
          <cell r="D415" t="str">
            <v>Kitoba</v>
          </cell>
          <cell r="F415">
            <v>345</v>
          </cell>
        </row>
        <row r="416">
          <cell r="A416" t="str">
            <v>Kiziranfumbi</v>
          </cell>
          <cell r="B416" t="str">
            <v>Hoima</v>
          </cell>
          <cell r="C416" t="str">
            <v>Buhaguzi</v>
          </cell>
          <cell r="D416" t="str">
            <v>Kiziranfumbi</v>
          </cell>
          <cell r="F416">
            <v>346</v>
          </cell>
        </row>
        <row r="417">
          <cell r="A417" t="str">
            <v>kizirafumbi</v>
          </cell>
          <cell r="F417">
            <v>346</v>
          </cell>
        </row>
        <row r="418">
          <cell r="A418" t="str">
            <v>kaiso</v>
          </cell>
          <cell r="F418">
            <v>346</v>
          </cell>
        </row>
        <row r="419">
          <cell r="A419" t="str">
            <v>Kyabigambire</v>
          </cell>
          <cell r="B419" t="str">
            <v>Hoima</v>
          </cell>
          <cell r="C419" t="str">
            <v>Bugahya</v>
          </cell>
          <cell r="D419" t="str">
            <v>Kyabigambire</v>
          </cell>
          <cell r="F419">
            <v>347</v>
          </cell>
        </row>
        <row r="420">
          <cell r="A420" t="str">
            <v>bulindi</v>
          </cell>
          <cell r="F420">
            <v>347</v>
          </cell>
        </row>
        <row r="421">
          <cell r="A421" t="str">
            <v>Kyangwali</v>
          </cell>
          <cell r="B421" t="str">
            <v>Hoima</v>
          </cell>
          <cell r="C421" t="str">
            <v>Buhaguzi</v>
          </cell>
          <cell r="D421" t="str">
            <v>Kyangwali</v>
          </cell>
          <cell r="F421">
            <v>348</v>
          </cell>
        </row>
        <row r="422">
          <cell r="A422" t="str">
            <v>Ibanda Municipality</v>
          </cell>
          <cell r="B422" t="str">
            <v>Ibanda</v>
          </cell>
          <cell r="C422" t="str">
            <v>Ibanda Municipality</v>
          </cell>
          <cell r="D422" t="str">
            <v>Ibanda Municipality</v>
          </cell>
          <cell r="F422">
            <v>349</v>
          </cell>
        </row>
        <row r="423">
          <cell r="A423" t="str">
            <v>IBANDA</v>
          </cell>
          <cell r="F423">
            <v>349</v>
          </cell>
        </row>
        <row r="424">
          <cell r="A424" t="str">
            <v>Igorora Town Council</v>
          </cell>
          <cell r="B424" t="str">
            <v>Ibanda</v>
          </cell>
          <cell r="C424" t="str">
            <v>Ibanda</v>
          </cell>
          <cell r="D424" t="str">
            <v>Igorora Town Council</v>
          </cell>
          <cell r="F424">
            <v>350</v>
          </cell>
        </row>
        <row r="425">
          <cell r="A425" t="str">
            <v>Ishongororo</v>
          </cell>
          <cell r="B425" t="str">
            <v>Ibanda</v>
          </cell>
          <cell r="C425" t="str">
            <v>Ibanda</v>
          </cell>
          <cell r="D425" t="str">
            <v>Ishongororo</v>
          </cell>
          <cell r="F425">
            <v>351</v>
          </cell>
        </row>
        <row r="426">
          <cell r="A426" t="str">
            <v>Ishongororo Town Council</v>
          </cell>
          <cell r="B426" t="str">
            <v>Ibanda</v>
          </cell>
          <cell r="C426" t="str">
            <v>Ibanda</v>
          </cell>
          <cell r="D426" t="str">
            <v>Ishongororo Town Council</v>
          </cell>
          <cell r="F426">
            <v>352</v>
          </cell>
        </row>
        <row r="427">
          <cell r="A427" t="str">
            <v>Kagango Division-Ibanda</v>
          </cell>
          <cell r="B427" t="str">
            <v>Ibanda</v>
          </cell>
          <cell r="C427" t="str">
            <v>Ibanda Municipality</v>
          </cell>
          <cell r="D427" t="str">
            <v>Kagango Division-Ibanda</v>
          </cell>
          <cell r="F427">
            <v>353</v>
          </cell>
        </row>
        <row r="428">
          <cell r="A428" t="str">
            <v>Keihangara</v>
          </cell>
          <cell r="B428" t="str">
            <v>Ibanda</v>
          </cell>
          <cell r="C428" t="str">
            <v>Ibanda</v>
          </cell>
          <cell r="D428" t="str">
            <v>Keihangara</v>
          </cell>
          <cell r="F428">
            <v>354</v>
          </cell>
        </row>
        <row r="429">
          <cell r="A429" t="str">
            <v>Kicuzi</v>
          </cell>
          <cell r="B429" t="str">
            <v>Ibanda</v>
          </cell>
          <cell r="C429" t="str">
            <v>Ibanda</v>
          </cell>
          <cell r="D429" t="str">
            <v>Kicuzi</v>
          </cell>
          <cell r="F429">
            <v>355</v>
          </cell>
        </row>
        <row r="430">
          <cell r="A430" t="str">
            <v>Kijongo</v>
          </cell>
          <cell r="B430" t="str">
            <v>Ibanda</v>
          </cell>
          <cell r="C430" t="str">
            <v>Ibanda</v>
          </cell>
          <cell r="D430" t="str">
            <v>Kijongo</v>
          </cell>
          <cell r="F430">
            <v>356</v>
          </cell>
        </row>
        <row r="431">
          <cell r="A431" t="str">
            <v>Kikyenkye</v>
          </cell>
          <cell r="B431" t="str">
            <v>Ibanda</v>
          </cell>
          <cell r="C431" t="str">
            <v>Ibanda</v>
          </cell>
          <cell r="D431" t="str">
            <v>Kikyenkye</v>
          </cell>
          <cell r="F431">
            <v>357</v>
          </cell>
        </row>
        <row r="432">
          <cell r="A432" t="str">
            <v>Nyamarebe</v>
          </cell>
          <cell r="B432" t="str">
            <v>Ibanda</v>
          </cell>
          <cell r="C432" t="str">
            <v>Ibanda</v>
          </cell>
          <cell r="D432" t="str">
            <v>Nyamarebe</v>
          </cell>
          <cell r="F432">
            <v>358</v>
          </cell>
        </row>
        <row r="433">
          <cell r="A433" t="str">
            <v>Rukiri</v>
          </cell>
          <cell r="B433" t="str">
            <v>Ibanda</v>
          </cell>
          <cell r="C433" t="str">
            <v>Ibanda</v>
          </cell>
          <cell r="D433" t="str">
            <v>Rukiri</v>
          </cell>
          <cell r="F433">
            <v>359</v>
          </cell>
        </row>
        <row r="434">
          <cell r="A434" t="str">
            <v>Rushango Town Council</v>
          </cell>
          <cell r="B434" t="str">
            <v>Ibanda</v>
          </cell>
          <cell r="C434" t="str">
            <v>Ibanda</v>
          </cell>
          <cell r="D434" t="str">
            <v>Rushango Town Council</v>
          </cell>
          <cell r="F434">
            <v>360</v>
          </cell>
        </row>
        <row r="435">
          <cell r="A435" t="str">
            <v>Bulamogi</v>
          </cell>
          <cell r="B435" t="str">
            <v>Iganga</v>
          </cell>
          <cell r="C435" t="str">
            <v>Kigulu</v>
          </cell>
          <cell r="D435" t="str">
            <v>Bulamogi</v>
          </cell>
          <cell r="F435">
            <v>361</v>
          </cell>
        </row>
        <row r="436">
          <cell r="A436" t="str">
            <v>Busembatia Town Council</v>
          </cell>
          <cell r="B436" t="str">
            <v>Iganga</v>
          </cell>
          <cell r="C436" t="str">
            <v>Bugweri</v>
          </cell>
          <cell r="D436" t="str">
            <v>Busembatia Town Council</v>
          </cell>
          <cell r="F436">
            <v>362</v>
          </cell>
        </row>
        <row r="437">
          <cell r="A437" t="str">
            <v>Buyanga-Iganga</v>
          </cell>
          <cell r="B437" t="str">
            <v>Iganga</v>
          </cell>
          <cell r="C437" t="str">
            <v>Bugweri</v>
          </cell>
          <cell r="D437" t="str">
            <v>Buyanga-Iganga</v>
          </cell>
          <cell r="F437">
            <v>363</v>
          </cell>
        </row>
        <row r="438">
          <cell r="A438" t="str">
            <v>Ibulanku</v>
          </cell>
          <cell r="B438" t="str">
            <v>Iganga</v>
          </cell>
          <cell r="C438" t="str">
            <v>Bugweri</v>
          </cell>
          <cell r="D438" t="str">
            <v>Ibulanku</v>
          </cell>
          <cell r="F438">
            <v>364</v>
          </cell>
        </row>
        <row r="439">
          <cell r="A439" t="str">
            <v>Iganga Municipality</v>
          </cell>
          <cell r="B439" t="str">
            <v>Iganga</v>
          </cell>
          <cell r="C439" t="str">
            <v>Iganga Municipality</v>
          </cell>
          <cell r="D439" t="str">
            <v>Iganga Municipality</v>
          </cell>
          <cell r="F439">
            <v>365</v>
          </cell>
        </row>
        <row r="440">
          <cell r="A440" t="str">
            <v xml:space="preserve">NKONO </v>
          </cell>
          <cell r="F440">
            <v>365</v>
          </cell>
        </row>
        <row r="441">
          <cell r="A441" t="str">
            <v>YIGANGA</v>
          </cell>
          <cell r="F441">
            <v>365</v>
          </cell>
        </row>
        <row r="442">
          <cell r="A442" t="str">
            <v>IGANGA</v>
          </cell>
          <cell r="F442">
            <v>365</v>
          </cell>
        </row>
        <row r="443">
          <cell r="A443" t="str">
            <v>IGANGA TOWN</v>
          </cell>
          <cell r="F443">
            <v>365</v>
          </cell>
        </row>
        <row r="444">
          <cell r="A444" t="str">
            <v>Igombe</v>
          </cell>
          <cell r="B444" t="str">
            <v>Iganga</v>
          </cell>
          <cell r="C444" t="str">
            <v>Bugweri</v>
          </cell>
          <cell r="D444" t="str">
            <v>Igombe</v>
          </cell>
          <cell r="F444">
            <v>366</v>
          </cell>
        </row>
        <row r="445">
          <cell r="A445" t="str">
            <v>Makuutu</v>
          </cell>
          <cell r="B445" t="str">
            <v>Iganga</v>
          </cell>
          <cell r="C445" t="str">
            <v>Bugweri</v>
          </cell>
          <cell r="D445" t="str">
            <v>Makuutu</v>
          </cell>
          <cell r="F445">
            <v>367</v>
          </cell>
        </row>
        <row r="446">
          <cell r="A446" t="str">
            <v>Nabitende</v>
          </cell>
          <cell r="B446" t="str">
            <v>Iganga</v>
          </cell>
          <cell r="C446" t="str">
            <v>Kigulu</v>
          </cell>
          <cell r="D446" t="str">
            <v>Nabitende</v>
          </cell>
          <cell r="F446">
            <v>368</v>
          </cell>
        </row>
        <row r="447">
          <cell r="A447" t="str">
            <v>Nakalama</v>
          </cell>
          <cell r="B447" t="str">
            <v>Iganga</v>
          </cell>
          <cell r="C447" t="str">
            <v>Kigulu</v>
          </cell>
          <cell r="D447" t="str">
            <v>Nakalama</v>
          </cell>
          <cell r="F447">
            <v>369</v>
          </cell>
        </row>
        <row r="448">
          <cell r="A448" t="str">
            <v>Nakigo</v>
          </cell>
          <cell r="B448" t="str">
            <v>Iganga</v>
          </cell>
          <cell r="C448" t="str">
            <v>Kigulu</v>
          </cell>
          <cell r="D448" t="str">
            <v>Nakigo</v>
          </cell>
          <cell r="F448">
            <v>370</v>
          </cell>
        </row>
        <row r="449">
          <cell r="A449" t="str">
            <v>Namalemba</v>
          </cell>
          <cell r="B449" t="str">
            <v>Iganga</v>
          </cell>
          <cell r="C449" t="str">
            <v>Bugweri</v>
          </cell>
          <cell r="D449" t="str">
            <v>Namalemba</v>
          </cell>
          <cell r="F449">
            <v>371</v>
          </cell>
        </row>
        <row r="450">
          <cell r="A450" t="str">
            <v>Nambale</v>
          </cell>
          <cell r="B450" t="str">
            <v>Iganga</v>
          </cell>
          <cell r="C450" t="str">
            <v>Kigulu</v>
          </cell>
          <cell r="D450" t="str">
            <v>Nambale</v>
          </cell>
          <cell r="F450">
            <v>372</v>
          </cell>
        </row>
        <row r="451">
          <cell r="A451" t="str">
            <v>Namungalwe</v>
          </cell>
          <cell r="B451" t="str">
            <v>Iganga</v>
          </cell>
          <cell r="C451" t="str">
            <v>Kigulu</v>
          </cell>
          <cell r="D451" t="str">
            <v>Namungalwe</v>
          </cell>
          <cell r="F451">
            <v>373</v>
          </cell>
        </row>
        <row r="452">
          <cell r="A452" t="str">
            <v>Bubogo</v>
          </cell>
          <cell r="F452">
            <v>373</v>
          </cell>
        </row>
        <row r="453">
          <cell r="A453" t="str">
            <v>Nawandala</v>
          </cell>
          <cell r="B453" t="str">
            <v>Iganga</v>
          </cell>
          <cell r="C453" t="str">
            <v>Kigulu</v>
          </cell>
          <cell r="D453" t="str">
            <v>Nawandala</v>
          </cell>
          <cell r="F453">
            <v>374</v>
          </cell>
        </row>
        <row r="454">
          <cell r="A454" t="str">
            <v>Nawanyingi</v>
          </cell>
          <cell r="B454" t="str">
            <v>Iganga</v>
          </cell>
          <cell r="C454" t="str">
            <v>Kigulu</v>
          </cell>
          <cell r="D454" t="str">
            <v>Nawanyingi</v>
          </cell>
          <cell r="F454">
            <v>375</v>
          </cell>
        </row>
        <row r="455">
          <cell r="A455" t="str">
            <v>Birere</v>
          </cell>
          <cell r="B455" t="str">
            <v>Isingiro</v>
          </cell>
          <cell r="C455" t="str">
            <v>Isingiro</v>
          </cell>
          <cell r="D455" t="str">
            <v>Birere</v>
          </cell>
          <cell r="F455">
            <v>376</v>
          </cell>
        </row>
        <row r="456">
          <cell r="A456" t="str">
            <v>Endiinzi</v>
          </cell>
          <cell r="B456" t="str">
            <v>Isingiro</v>
          </cell>
          <cell r="C456" t="str">
            <v>Bukanga</v>
          </cell>
          <cell r="D456" t="str">
            <v>Endiinzi</v>
          </cell>
          <cell r="F456">
            <v>377</v>
          </cell>
        </row>
        <row r="457">
          <cell r="A457" t="str">
            <v>Endiinzi Town Council</v>
          </cell>
          <cell r="B457" t="str">
            <v>Isingiro</v>
          </cell>
          <cell r="C457" t="str">
            <v>Bukanga</v>
          </cell>
          <cell r="D457" t="str">
            <v>Endiinzi Town Council</v>
          </cell>
          <cell r="F457">
            <v>378</v>
          </cell>
        </row>
        <row r="458">
          <cell r="A458" t="str">
            <v>Isingiro Town Council</v>
          </cell>
          <cell r="B458" t="str">
            <v>Isingiro</v>
          </cell>
          <cell r="C458" t="str">
            <v>Isingiro</v>
          </cell>
          <cell r="D458" t="str">
            <v>Isingiro Town Council</v>
          </cell>
          <cell r="F458">
            <v>379</v>
          </cell>
        </row>
        <row r="459">
          <cell r="A459" t="str">
            <v>ISINGIRO</v>
          </cell>
          <cell r="F459">
            <v>379</v>
          </cell>
        </row>
        <row r="460">
          <cell r="A460" t="str">
            <v>Kaberebere Town Council</v>
          </cell>
          <cell r="B460" t="str">
            <v>Isingiro</v>
          </cell>
          <cell r="C460" t="str">
            <v>Isingiro</v>
          </cell>
          <cell r="D460" t="str">
            <v>Kaberebere Town Council</v>
          </cell>
          <cell r="F460">
            <v>380</v>
          </cell>
        </row>
        <row r="461">
          <cell r="A461" t="str">
            <v>Kabingo</v>
          </cell>
          <cell r="B461" t="str">
            <v>Isingiro</v>
          </cell>
          <cell r="C461" t="str">
            <v>Isingiro</v>
          </cell>
          <cell r="D461" t="str">
            <v>Kabingo</v>
          </cell>
          <cell r="F461">
            <v>381</v>
          </cell>
        </row>
        <row r="462">
          <cell r="A462" t="str">
            <v>Kabuyanda</v>
          </cell>
          <cell r="B462" t="str">
            <v>Isingiro</v>
          </cell>
          <cell r="C462" t="str">
            <v>Isingiro</v>
          </cell>
          <cell r="D462" t="str">
            <v>Kabuyanda</v>
          </cell>
          <cell r="F462">
            <v>382</v>
          </cell>
        </row>
        <row r="463">
          <cell r="A463" t="str">
            <v>Kabuyanda Town Council</v>
          </cell>
          <cell r="B463" t="str">
            <v>Isingiro</v>
          </cell>
          <cell r="C463" t="str">
            <v>Isingiro</v>
          </cell>
          <cell r="D463" t="str">
            <v>Kabuyanda Town Council</v>
          </cell>
          <cell r="F463">
            <v>383</v>
          </cell>
        </row>
        <row r="464">
          <cell r="A464" t="str">
            <v>Kakamba-Isingiro</v>
          </cell>
          <cell r="B464" t="str">
            <v>Isingiro</v>
          </cell>
          <cell r="C464" t="str">
            <v>Bukanga</v>
          </cell>
          <cell r="D464" t="str">
            <v>Kakamba-Isingiro</v>
          </cell>
          <cell r="F464">
            <v>384</v>
          </cell>
        </row>
        <row r="465">
          <cell r="A465" t="str">
            <v>Kikagate</v>
          </cell>
          <cell r="B465" t="str">
            <v>Isingiro</v>
          </cell>
          <cell r="C465" t="str">
            <v>Isingiro</v>
          </cell>
          <cell r="D465" t="str">
            <v>Kikagate</v>
          </cell>
          <cell r="F465">
            <v>385</v>
          </cell>
        </row>
        <row r="466">
          <cell r="A466" t="str">
            <v>Masha</v>
          </cell>
          <cell r="B466" t="str">
            <v>Isingiro</v>
          </cell>
          <cell r="C466" t="str">
            <v>Isingiro</v>
          </cell>
          <cell r="D466" t="str">
            <v>Masha</v>
          </cell>
          <cell r="F466">
            <v>386</v>
          </cell>
        </row>
        <row r="467">
          <cell r="A467" t="str">
            <v>Mbaare</v>
          </cell>
          <cell r="B467" t="str">
            <v>Isingiro</v>
          </cell>
          <cell r="C467" t="str">
            <v>Bukanga</v>
          </cell>
          <cell r="D467" t="str">
            <v>Mbaare</v>
          </cell>
          <cell r="F467">
            <v>387</v>
          </cell>
        </row>
        <row r="468">
          <cell r="A468" t="str">
            <v>Nakivale Refugee Camp</v>
          </cell>
          <cell r="B468" t="str">
            <v>Isingiro</v>
          </cell>
          <cell r="C468" t="str">
            <v>Bukanga</v>
          </cell>
          <cell r="D468" t="str">
            <v>Nakivale Refugee Camp</v>
          </cell>
          <cell r="F468">
            <v>388</v>
          </cell>
        </row>
        <row r="469">
          <cell r="A469" t="str">
            <v>Ngarama</v>
          </cell>
          <cell r="B469" t="str">
            <v>Isingiro</v>
          </cell>
          <cell r="C469" t="str">
            <v>Bukanga</v>
          </cell>
          <cell r="D469" t="str">
            <v>Ngarama</v>
          </cell>
          <cell r="F469">
            <v>389</v>
          </cell>
        </row>
        <row r="470">
          <cell r="A470" t="str">
            <v>Nyakitunda</v>
          </cell>
          <cell r="B470" t="str">
            <v>Isingiro</v>
          </cell>
          <cell r="C470" t="str">
            <v>Isingiro</v>
          </cell>
          <cell r="D470" t="str">
            <v>Nyakitunda</v>
          </cell>
          <cell r="F470">
            <v>390</v>
          </cell>
        </row>
        <row r="471">
          <cell r="A471" t="str">
            <v>Nyamuyanja</v>
          </cell>
          <cell r="B471" t="str">
            <v>Isingiro</v>
          </cell>
          <cell r="C471" t="str">
            <v>Isingiro</v>
          </cell>
          <cell r="D471" t="str">
            <v>Nyamuyanja</v>
          </cell>
          <cell r="F471">
            <v>391</v>
          </cell>
        </row>
        <row r="472">
          <cell r="A472" t="str">
            <v>Oruchinga Refugee Camp</v>
          </cell>
          <cell r="B472" t="str">
            <v>Isingiro</v>
          </cell>
          <cell r="C472" t="str">
            <v>Isingiro</v>
          </cell>
          <cell r="D472" t="str">
            <v>Oruchinga Refugee Camp</v>
          </cell>
          <cell r="F472">
            <v>392</v>
          </cell>
        </row>
        <row r="473">
          <cell r="A473" t="str">
            <v>Ruborogota</v>
          </cell>
          <cell r="B473" t="str">
            <v>Isingiro</v>
          </cell>
          <cell r="C473" t="str">
            <v>Isingiro</v>
          </cell>
          <cell r="D473" t="str">
            <v>Ruborogota</v>
          </cell>
          <cell r="F473">
            <v>393</v>
          </cell>
        </row>
        <row r="474">
          <cell r="A474" t="str">
            <v>Rugaaga</v>
          </cell>
          <cell r="B474" t="str">
            <v>Isingiro</v>
          </cell>
          <cell r="C474" t="str">
            <v>Bukanga</v>
          </cell>
          <cell r="D474" t="str">
            <v>Rugaaga</v>
          </cell>
          <cell r="F474">
            <v>394</v>
          </cell>
        </row>
        <row r="475">
          <cell r="A475" t="str">
            <v>Rushasha</v>
          </cell>
          <cell r="B475" t="str">
            <v>Isingiro</v>
          </cell>
          <cell r="C475" t="str">
            <v>Bukanga</v>
          </cell>
          <cell r="D475" t="str">
            <v>Rushasha</v>
          </cell>
          <cell r="F475">
            <v>395</v>
          </cell>
        </row>
        <row r="476">
          <cell r="A476" t="str">
            <v>Budondo</v>
          </cell>
          <cell r="B476" t="str">
            <v>Jinja</v>
          </cell>
          <cell r="C476" t="str">
            <v>Kagoma</v>
          </cell>
          <cell r="D476" t="str">
            <v>Budondo</v>
          </cell>
          <cell r="F476">
            <v>396</v>
          </cell>
        </row>
        <row r="477">
          <cell r="A477" t="str">
            <v>MAGANJO</v>
          </cell>
          <cell r="F477">
            <v>396</v>
          </cell>
        </row>
        <row r="478">
          <cell r="A478" t="str">
            <v>Maganjjo</v>
          </cell>
          <cell r="F478">
            <v>396</v>
          </cell>
        </row>
        <row r="479">
          <cell r="A479" t="str">
            <v>Bugembe Town Council</v>
          </cell>
          <cell r="B479" t="str">
            <v>Jinja</v>
          </cell>
          <cell r="C479" t="str">
            <v>Butembe</v>
          </cell>
          <cell r="D479" t="str">
            <v>Bugembe Town Council</v>
          </cell>
          <cell r="F479">
            <v>397</v>
          </cell>
        </row>
        <row r="480">
          <cell r="A480" t="str">
            <v>BUGEMBE</v>
          </cell>
          <cell r="F480">
            <v>397</v>
          </cell>
        </row>
        <row r="481">
          <cell r="A481" t="str">
            <v>MBIKO</v>
          </cell>
          <cell r="F481">
            <v>397</v>
          </cell>
        </row>
        <row r="482">
          <cell r="A482" t="str">
            <v>Busedde</v>
          </cell>
          <cell r="B482" t="str">
            <v>Jinja</v>
          </cell>
          <cell r="C482" t="str">
            <v>Butembe</v>
          </cell>
          <cell r="D482" t="str">
            <v>Busedde</v>
          </cell>
          <cell r="F482">
            <v>398</v>
          </cell>
        </row>
        <row r="483">
          <cell r="A483" t="str">
            <v>Butagaya</v>
          </cell>
          <cell r="B483" t="str">
            <v>Jinja</v>
          </cell>
          <cell r="C483" t="str">
            <v>Kagoma</v>
          </cell>
          <cell r="D483" t="str">
            <v>Butagaya</v>
          </cell>
          <cell r="F483">
            <v>399</v>
          </cell>
        </row>
        <row r="484">
          <cell r="A484" t="str">
            <v>Buwenge</v>
          </cell>
          <cell r="B484" t="str">
            <v>Jinja</v>
          </cell>
          <cell r="C484" t="str">
            <v>Kagoma</v>
          </cell>
          <cell r="D484" t="str">
            <v>Buwenge</v>
          </cell>
          <cell r="F484">
            <v>400</v>
          </cell>
        </row>
        <row r="485">
          <cell r="A485" t="str">
            <v>MASESE</v>
          </cell>
          <cell r="F485">
            <v>400</v>
          </cell>
        </row>
        <row r="486">
          <cell r="A486" t="str">
            <v>Buwenge Town Council</v>
          </cell>
          <cell r="B486" t="str">
            <v>Jinja</v>
          </cell>
          <cell r="C486" t="str">
            <v>Kagoma</v>
          </cell>
          <cell r="D486" t="str">
            <v>Buwenge Town Council</v>
          </cell>
          <cell r="F486">
            <v>401</v>
          </cell>
        </row>
        <row r="487">
          <cell r="A487" t="str">
            <v>Buyengo</v>
          </cell>
          <cell r="B487" t="str">
            <v>Jinja</v>
          </cell>
          <cell r="C487" t="str">
            <v>Kagoma</v>
          </cell>
          <cell r="D487" t="str">
            <v>Buyengo</v>
          </cell>
          <cell r="F487">
            <v>402</v>
          </cell>
        </row>
        <row r="488">
          <cell r="A488" t="str">
            <v>Jinja Municipality</v>
          </cell>
          <cell r="B488" t="str">
            <v>Jinja</v>
          </cell>
          <cell r="C488" t="str">
            <v>Jinja Municipality</v>
          </cell>
          <cell r="D488" t="str">
            <v>Jinja Municipality</v>
          </cell>
          <cell r="F488">
            <v>403</v>
          </cell>
        </row>
        <row r="489">
          <cell r="A489" t="str">
            <v>Bujojo</v>
          </cell>
          <cell r="F489">
            <v>403</v>
          </cell>
        </row>
        <row r="490">
          <cell r="A490" t="str">
            <v>JINJA</v>
          </cell>
          <cell r="F490">
            <v>403</v>
          </cell>
        </row>
        <row r="491">
          <cell r="A491" t="str">
            <v>JINJA TOWN</v>
          </cell>
          <cell r="F491">
            <v>403</v>
          </cell>
        </row>
        <row r="492">
          <cell r="A492" t="str">
            <v>NILE BREWERIES</v>
          </cell>
          <cell r="F492">
            <v>403</v>
          </cell>
        </row>
        <row r="493">
          <cell r="A493" t="str">
            <v>Kakira Town Council</v>
          </cell>
          <cell r="B493" t="str">
            <v>Jinja</v>
          </cell>
          <cell r="C493" t="str">
            <v>Butembe</v>
          </cell>
          <cell r="D493" t="str">
            <v>Kakira Town Council</v>
          </cell>
          <cell r="F493">
            <v>404</v>
          </cell>
        </row>
        <row r="494">
          <cell r="A494" t="str">
            <v>Mafubira</v>
          </cell>
          <cell r="B494" t="str">
            <v>Jinja</v>
          </cell>
          <cell r="C494" t="str">
            <v>Butembe</v>
          </cell>
          <cell r="D494" t="str">
            <v>Mafubira</v>
          </cell>
          <cell r="F494">
            <v>405</v>
          </cell>
        </row>
        <row r="495">
          <cell r="A495" t="str">
            <v>Kaabong East</v>
          </cell>
          <cell r="B495" t="str">
            <v>Kaabong</v>
          </cell>
          <cell r="C495" t="str">
            <v>Dodoth</v>
          </cell>
          <cell r="D495" t="str">
            <v>Kaabong East</v>
          </cell>
          <cell r="F495">
            <v>406</v>
          </cell>
        </row>
        <row r="496">
          <cell r="A496" t="str">
            <v>Kaabong Town Council</v>
          </cell>
          <cell r="B496" t="str">
            <v>Kaabong</v>
          </cell>
          <cell r="C496" t="str">
            <v>Dodoth</v>
          </cell>
          <cell r="D496" t="str">
            <v>Kaabong Town Council</v>
          </cell>
          <cell r="F496">
            <v>407</v>
          </cell>
        </row>
        <row r="497">
          <cell r="A497" t="str">
            <v>Kaabong West</v>
          </cell>
          <cell r="B497" t="str">
            <v>Kaabong</v>
          </cell>
          <cell r="C497" t="str">
            <v>Dodoth</v>
          </cell>
          <cell r="D497" t="str">
            <v>Kaabong West</v>
          </cell>
          <cell r="F497">
            <v>408</v>
          </cell>
        </row>
        <row r="498">
          <cell r="A498" t="str">
            <v>Kalapata</v>
          </cell>
          <cell r="B498" t="str">
            <v>Kaabong</v>
          </cell>
          <cell r="C498" t="str">
            <v>Dodoth</v>
          </cell>
          <cell r="D498" t="str">
            <v>Kalapata</v>
          </cell>
          <cell r="F498">
            <v>409</v>
          </cell>
        </row>
        <row r="499">
          <cell r="A499" t="str">
            <v>Kamion</v>
          </cell>
          <cell r="B499" t="str">
            <v>Kaabong</v>
          </cell>
          <cell r="C499" t="str">
            <v>Dodoth</v>
          </cell>
          <cell r="D499" t="str">
            <v>Kamion</v>
          </cell>
          <cell r="F499">
            <v>410</v>
          </cell>
        </row>
        <row r="500">
          <cell r="A500" t="str">
            <v>Kapedo</v>
          </cell>
          <cell r="B500" t="str">
            <v>Kaabong</v>
          </cell>
          <cell r="C500" t="str">
            <v>Dodoth</v>
          </cell>
          <cell r="D500" t="str">
            <v>Kapedo</v>
          </cell>
          <cell r="F500">
            <v>411</v>
          </cell>
        </row>
        <row r="501">
          <cell r="A501" t="str">
            <v>Kathile</v>
          </cell>
          <cell r="B501" t="str">
            <v>Kaabong</v>
          </cell>
          <cell r="C501" t="str">
            <v>Dodoth</v>
          </cell>
          <cell r="D501" t="str">
            <v>Kathile</v>
          </cell>
          <cell r="F501">
            <v>412</v>
          </cell>
        </row>
        <row r="502">
          <cell r="A502" t="str">
            <v>Kawalakol</v>
          </cell>
          <cell r="B502" t="str">
            <v>Kaabong</v>
          </cell>
          <cell r="C502" t="str">
            <v>Dodoth</v>
          </cell>
          <cell r="D502" t="str">
            <v>Kawalakol</v>
          </cell>
          <cell r="F502">
            <v>413</v>
          </cell>
        </row>
        <row r="503">
          <cell r="A503" t="str">
            <v>Lobalangit</v>
          </cell>
          <cell r="B503" t="str">
            <v>Kaabong</v>
          </cell>
          <cell r="C503" t="str">
            <v>Dodoth</v>
          </cell>
          <cell r="D503" t="str">
            <v>Lobalangit</v>
          </cell>
          <cell r="F503">
            <v>414</v>
          </cell>
        </row>
        <row r="504">
          <cell r="A504" t="str">
            <v>Lodiko</v>
          </cell>
          <cell r="B504" t="str">
            <v>Kaabong</v>
          </cell>
          <cell r="C504" t="str">
            <v>Dodoth</v>
          </cell>
          <cell r="D504" t="str">
            <v>Lodiko</v>
          </cell>
          <cell r="F504">
            <v>415</v>
          </cell>
        </row>
        <row r="505">
          <cell r="A505" t="str">
            <v>Lolelia</v>
          </cell>
          <cell r="B505" t="str">
            <v>Kaabong</v>
          </cell>
          <cell r="C505" t="str">
            <v>Dodoth</v>
          </cell>
          <cell r="D505" t="str">
            <v>Lolelia</v>
          </cell>
          <cell r="F505">
            <v>416</v>
          </cell>
        </row>
        <row r="506">
          <cell r="A506" t="str">
            <v>Loyoro</v>
          </cell>
          <cell r="B506" t="str">
            <v>Kaabong</v>
          </cell>
          <cell r="C506" t="str">
            <v>Dodoth</v>
          </cell>
          <cell r="D506" t="str">
            <v>Loyoro</v>
          </cell>
          <cell r="F506">
            <v>417</v>
          </cell>
        </row>
        <row r="507">
          <cell r="A507" t="str">
            <v>Napore Karenga</v>
          </cell>
          <cell r="B507" t="str">
            <v>Kaabong</v>
          </cell>
          <cell r="C507" t="str">
            <v>Dodoth</v>
          </cell>
          <cell r="D507" t="str">
            <v>Napore Karenga</v>
          </cell>
          <cell r="F507">
            <v>418</v>
          </cell>
        </row>
        <row r="508">
          <cell r="A508" t="str">
            <v>Sidok</v>
          </cell>
          <cell r="B508" t="str">
            <v>Kaabong</v>
          </cell>
          <cell r="C508" t="str">
            <v>Dodoth</v>
          </cell>
          <cell r="D508" t="str">
            <v>Sidok</v>
          </cell>
          <cell r="F508">
            <v>419</v>
          </cell>
        </row>
        <row r="509">
          <cell r="A509" t="str">
            <v>Buhara</v>
          </cell>
          <cell r="B509" t="str">
            <v>Kabale</v>
          </cell>
          <cell r="C509" t="str">
            <v>Ndorwa</v>
          </cell>
          <cell r="D509" t="str">
            <v>Buhara</v>
          </cell>
          <cell r="F509">
            <v>420</v>
          </cell>
        </row>
        <row r="510">
          <cell r="A510" t="str">
            <v>Butanda</v>
          </cell>
          <cell r="B510" t="str">
            <v>Kabale</v>
          </cell>
          <cell r="C510" t="str">
            <v>Ndorwa</v>
          </cell>
          <cell r="D510" t="str">
            <v>Butanda</v>
          </cell>
          <cell r="F510">
            <v>421</v>
          </cell>
        </row>
        <row r="511">
          <cell r="A511" t="str">
            <v>Kabale Municipality</v>
          </cell>
          <cell r="B511" t="str">
            <v>Kabale</v>
          </cell>
          <cell r="C511" t="str">
            <v>Kabale Municipality</v>
          </cell>
          <cell r="D511" t="str">
            <v>Kabale Municipality</v>
          </cell>
          <cell r="F511">
            <v>422</v>
          </cell>
        </row>
        <row r="512">
          <cell r="A512" t="str">
            <v>town</v>
          </cell>
          <cell r="F512">
            <v>422</v>
          </cell>
        </row>
        <row r="513">
          <cell r="A513" t="str">
            <v>KIBAALE TOWN</v>
          </cell>
          <cell r="F513">
            <v>422</v>
          </cell>
        </row>
        <row r="514">
          <cell r="A514" t="str">
            <v>KIBAALE TOWN</v>
          </cell>
          <cell r="F514">
            <v>422</v>
          </cell>
        </row>
        <row r="515">
          <cell r="A515" t="str">
            <v>ICD</v>
          </cell>
          <cell r="F515">
            <v>422</v>
          </cell>
        </row>
        <row r="516">
          <cell r="A516" t="str">
            <v>KABALE</v>
          </cell>
          <cell r="F516">
            <v>422</v>
          </cell>
        </row>
        <row r="517">
          <cell r="A517" t="str">
            <v>KABALE BUGOZI</v>
          </cell>
          <cell r="F517">
            <v>422</v>
          </cell>
        </row>
        <row r="518">
          <cell r="A518" t="str">
            <v>Kaharo</v>
          </cell>
          <cell r="B518" t="str">
            <v>Kabale</v>
          </cell>
          <cell r="C518" t="str">
            <v>Ndorwa</v>
          </cell>
          <cell r="D518" t="str">
            <v>Kaharo</v>
          </cell>
          <cell r="F518">
            <v>423</v>
          </cell>
        </row>
        <row r="519">
          <cell r="A519" t="str">
            <v>Kamuganguzi</v>
          </cell>
          <cell r="B519" t="str">
            <v>Kabale</v>
          </cell>
          <cell r="C519" t="str">
            <v>Ndorwa</v>
          </cell>
          <cell r="D519" t="str">
            <v>Kamuganguzi</v>
          </cell>
          <cell r="F519">
            <v>424</v>
          </cell>
        </row>
        <row r="520">
          <cell r="A520" t="str">
            <v>Katuna Town Council</v>
          </cell>
          <cell r="B520" t="str">
            <v>Kabale</v>
          </cell>
          <cell r="C520" t="str">
            <v>Ndorwa</v>
          </cell>
          <cell r="D520" t="str">
            <v>Katuna Town Council</v>
          </cell>
          <cell r="F520">
            <v>425</v>
          </cell>
        </row>
        <row r="521">
          <cell r="A521" t="str">
            <v>Kitumba</v>
          </cell>
          <cell r="B521" t="str">
            <v>Kabale</v>
          </cell>
          <cell r="C521" t="str">
            <v>Ndorwa</v>
          </cell>
          <cell r="D521" t="str">
            <v>Kitumba</v>
          </cell>
          <cell r="F521">
            <v>426</v>
          </cell>
        </row>
        <row r="522">
          <cell r="A522" t="str">
            <v xml:space="preserve">Kitumba </v>
          </cell>
          <cell r="F522">
            <v>426</v>
          </cell>
        </row>
        <row r="523">
          <cell r="A523" t="str">
            <v>Kyanamira</v>
          </cell>
          <cell r="B523" t="str">
            <v>Kabale</v>
          </cell>
          <cell r="C523" t="str">
            <v>Ndorwa</v>
          </cell>
          <cell r="D523" t="str">
            <v>Kyanamira</v>
          </cell>
          <cell r="F523">
            <v>427</v>
          </cell>
        </row>
        <row r="524">
          <cell r="A524" t="str">
            <v>Maziba</v>
          </cell>
          <cell r="B524" t="str">
            <v>Kabale</v>
          </cell>
          <cell r="C524" t="str">
            <v>Ndorwa</v>
          </cell>
          <cell r="D524" t="str">
            <v>Maziba</v>
          </cell>
          <cell r="F524">
            <v>428</v>
          </cell>
        </row>
        <row r="525">
          <cell r="A525" t="str">
            <v>Rubaya-Kabale</v>
          </cell>
          <cell r="B525" t="str">
            <v>Kabale</v>
          </cell>
          <cell r="C525" t="str">
            <v>Ndorwa</v>
          </cell>
          <cell r="D525" t="str">
            <v>Rubaya-Kabale</v>
          </cell>
          <cell r="F525">
            <v>429</v>
          </cell>
        </row>
        <row r="526">
          <cell r="A526" t="str">
            <v>Ryakirimira Town Council</v>
          </cell>
          <cell r="B526" t="str">
            <v>Kabale</v>
          </cell>
          <cell r="C526" t="str">
            <v>Ndorwa</v>
          </cell>
          <cell r="D526" t="str">
            <v>Ryakirimira Town Council</v>
          </cell>
          <cell r="F526">
            <v>430</v>
          </cell>
        </row>
        <row r="527">
          <cell r="A527" t="str">
            <v>Bukuuku</v>
          </cell>
          <cell r="B527" t="str">
            <v>Kabarole</v>
          </cell>
          <cell r="C527" t="str">
            <v>Burahya</v>
          </cell>
          <cell r="D527" t="str">
            <v>Bukuuku</v>
          </cell>
          <cell r="F527">
            <v>431</v>
          </cell>
        </row>
        <row r="528">
          <cell r="A528" t="str">
            <v>Busoro</v>
          </cell>
          <cell r="B528" t="str">
            <v>Kabarole</v>
          </cell>
          <cell r="C528" t="str">
            <v>Burahya</v>
          </cell>
          <cell r="D528" t="str">
            <v>Busoro</v>
          </cell>
          <cell r="F528">
            <v>432</v>
          </cell>
        </row>
        <row r="529">
          <cell r="A529" t="str">
            <v>Fort Portal Municipality</v>
          </cell>
          <cell r="B529" t="str">
            <v>Kabarole</v>
          </cell>
          <cell r="C529" t="str">
            <v>Fort Portal Municipality</v>
          </cell>
          <cell r="D529" t="str">
            <v>Fort Portal Municipality</v>
          </cell>
          <cell r="F529">
            <v>433</v>
          </cell>
        </row>
        <row r="530">
          <cell r="A530" t="str">
            <v>FORT PORTAL</v>
          </cell>
          <cell r="B530" t="str">
            <v>Kabarole</v>
          </cell>
          <cell r="C530" t="str">
            <v>Fort Portal Municipality</v>
          </cell>
          <cell r="D530" t="str">
            <v>FORT PORTAL</v>
          </cell>
          <cell r="F530">
            <v>433</v>
          </cell>
        </row>
        <row r="531">
          <cell r="A531" t="str">
            <v>FORTPOTAL</v>
          </cell>
          <cell r="F531">
            <v>433</v>
          </cell>
        </row>
        <row r="532">
          <cell r="A532" t="str">
            <v>FORT PROTAL</v>
          </cell>
          <cell r="F532">
            <v>433</v>
          </cell>
        </row>
        <row r="533">
          <cell r="A533" t="str">
            <v>FORTPORTAL TOWN</v>
          </cell>
          <cell r="F533">
            <v>433</v>
          </cell>
        </row>
        <row r="534">
          <cell r="A534" t="str">
            <v>Fortportal</v>
          </cell>
          <cell r="F534">
            <v>433</v>
          </cell>
        </row>
        <row r="535">
          <cell r="A535" t="str">
            <v>Hakibaale</v>
          </cell>
          <cell r="B535" t="str">
            <v>Kabarole</v>
          </cell>
          <cell r="C535" t="str">
            <v>Burahya</v>
          </cell>
          <cell r="D535" t="str">
            <v>Hakibaale</v>
          </cell>
          <cell r="F535">
            <v>434</v>
          </cell>
        </row>
        <row r="536">
          <cell r="A536" t="str">
            <v>Karago Town Council</v>
          </cell>
          <cell r="B536" t="str">
            <v>Kabarole</v>
          </cell>
          <cell r="C536" t="str">
            <v>Burahya</v>
          </cell>
          <cell r="D536" t="str">
            <v>Karago Town Council</v>
          </cell>
          <cell r="F536">
            <v>435</v>
          </cell>
        </row>
        <row r="537">
          <cell r="A537" t="str">
            <v>Karambi-Kabarole</v>
          </cell>
          <cell r="B537" t="str">
            <v>Kabarole</v>
          </cell>
          <cell r="C537" t="str">
            <v>Burahya</v>
          </cell>
          <cell r="D537" t="str">
            <v>Karambi-Kabarole</v>
          </cell>
          <cell r="F537">
            <v>436</v>
          </cell>
        </row>
        <row r="538">
          <cell r="A538" t="str">
            <v>kabarole</v>
          </cell>
          <cell r="F538">
            <v>436</v>
          </cell>
        </row>
        <row r="539">
          <cell r="A539" t="str">
            <v>Karangura</v>
          </cell>
          <cell r="B539" t="str">
            <v>Kabarole</v>
          </cell>
          <cell r="C539" t="str">
            <v>Burahya</v>
          </cell>
          <cell r="D539" t="str">
            <v>Karangura</v>
          </cell>
          <cell r="F539">
            <v>437</v>
          </cell>
        </row>
        <row r="540">
          <cell r="A540" t="str">
            <v>Kasenda</v>
          </cell>
          <cell r="B540" t="str">
            <v>Kabarole</v>
          </cell>
          <cell r="C540" t="str">
            <v>Burahya</v>
          </cell>
          <cell r="D540" t="str">
            <v>Kasenda</v>
          </cell>
          <cell r="F540">
            <v>438</v>
          </cell>
        </row>
        <row r="541">
          <cell r="A541" t="str">
            <v>Kicwamba</v>
          </cell>
          <cell r="B541" t="str">
            <v>Kabarole</v>
          </cell>
          <cell r="C541" t="str">
            <v>Burahya</v>
          </cell>
          <cell r="D541" t="str">
            <v>Kicwamba</v>
          </cell>
          <cell r="F541">
            <v>439</v>
          </cell>
        </row>
        <row r="542">
          <cell r="A542" t="str">
            <v>Kijura Town Council</v>
          </cell>
          <cell r="B542" t="str">
            <v>Kabarole</v>
          </cell>
          <cell r="C542" t="str">
            <v>Burahya</v>
          </cell>
          <cell r="D542" t="str">
            <v>Kijura Town Council</v>
          </cell>
          <cell r="F542">
            <v>440</v>
          </cell>
        </row>
        <row r="543">
          <cell r="A543" t="str">
            <v>Kiko Town Council</v>
          </cell>
          <cell r="B543" t="str">
            <v>Kabarole</v>
          </cell>
          <cell r="C543" t="str">
            <v>Burahya</v>
          </cell>
          <cell r="D543" t="str">
            <v>Kiko Town Council</v>
          </cell>
          <cell r="F543">
            <v>441</v>
          </cell>
        </row>
        <row r="544">
          <cell r="A544" t="str">
            <v>Mugusu</v>
          </cell>
          <cell r="B544" t="str">
            <v>Kabarole</v>
          </cell>
          <cell r="C544" t="str">
            <v>Burahya</v>
          </cell>
          <cell r="D544" t="str">
            <v>Mugusu</v>
          </cell>
          <cell r="F544">
            <v>442</v>
          </cell>
        </row>
        <row r="545">
          <cell r="A545" t="str">
            <v>Mugusu Town Council</v>
          </cell>
          <cell r="B545" t="str">
            <v>Kabarole</v>
          </cell>
          <cell r="C545" t="str">
            <v>Burahya</v>
          </cell>
          <cell r="D545" t="str">
            <v>Mugusu Town Council</v>
          </cell>
          <cell r="F545">
            <v>443</v>
          </cell>
        </row>
        <row r="546">
          <cell r="A546" t="str">
            <v>Ruteete-Kabarole</v>
          </cell>
          <cell r="B546" t="str">
            <v>Kabarole</v>
          </cell>
          <cell r="C546" t="str">
            <v>Burahya</v>
          </cell>
          <cell r="D546" t="str">
            <v>Ruteete-Kabarole</v>
          </cell>
          <cell r="F546">
            <v>444</v>
          </cell>
        </row>
        <row r="547">
          <cell r="A547" t="str">
            <v>Alwa</v>
          </cell>
          <cell r="B547" t="str">
            <v>Kaberamaido</v>
          </cell>
          <cell r="C547" t="str">
            <v>Kaberamaido</v>
          </cell>
          <cell r="D547" t="str">
            <v>Alwa</v>
          </cell>
          <cell r="F547">
            <v>445</v>
          </cell>
        </row>
        <row r="548">
          <cell r="A548" t="str">
            <v>Anyara</v>
          </cell>
          <cell r="B548" t="str">
            <v>Kaberamaido</v>
          </cell>
          <cell r="C548" t="str">
            <v>Kalaki</v>
          </cell>
          <cell r="D548" t="str">
            <v>Anyara</v>
          </cell>
          <cell r="F548">
            <v>446</v>
          </cell>
        </row>
        <row r="549">
          <cell r="A549" t="str">
            <v>Apapai</v>
          </cell>
          <cell r="B549" t="str">
            <v>Kaberamaido</v>
          </cell>
          <cell r="C549" t="str">
            <v>Kalaki</v>
          </cell>
          <cell r="D549" t="str">
            <v>Apapai</v>
          </cell>
          <cell r="F549">
            <v>447</v>
          </cell>
        </row>
        <row r="550">
          <cell r="A550" t="str">
            <v>Aperkira</v>
          </cell>
          <cell r="B550" t="str">
            <v>Kaberamaido</v>
          </cell>
          <cell r="C550" t="str">
            <v>Kaberamaido</v>
          </cell>
          <cell r="D550" t="str">
            <v>Aperkira</v>
          </cell>
          <cell r="F550">
            <v>448</v>
          </cell>
        </row>
        <row r="551">
          <cell r="A551" t="str">
            <v>Bululu</v>
          </cell>
          <cell r="B551" t="str">
            <v>Kaberamaido</v>
          </cell>
          <cell r="C551" t="str">
            <v>Kalaki</v>
          </cell>
          <cell r="D551" t="str">
            <v>Bululu</v>
          </cell>
          <cell r="F551">
            <v>449</v>
          </cell>
        </row>
        <row r="552">
          <cell r="A552" t="str">
            <v>Kaberamaido</v>
          </cell>
          <cell r="B552" t="str">
            <v>Kaberamaido</v>
          </cell>
          <cell r="C552" t="str">
            <v>Kaberamaido</v>
          </cell>
          <cell r="D552" t="str">
            <v>Kaberamaido</v>
          </cell>
          <cell r="F552">
            <v>450</v>
          </cell>
        </row>
        <row r="553">
          <cell r="A553" t="str">
            <v>Kaberamaido Town Council</v>
          </cell>
          <cell r="B553" t="str">
            <v>Kaberamaido</v>
          </cell>
          <cell r="C553" t="str">
            <v>Kaberamaido</v>
          </cell>
          <cell r="D553" t="str">
            <v>Kaberamaido Town Council</v>
          </cell>
          <cell r="F553">
            <v>451</v>
          </cell>
        </row>
        <row r="554">
          <cell r="A554" t="str">
            <v>Kakure</v>
          </cell>
          <cell r="B554" t="str">
            <v>Kaberamaido</v>
          </cell>
          <cell r="C554" t="str">
            <v>Kalaki</v>
          </cell>
          <cell r="D554" t="str">
            <v>Kakure</v>
          </cell>
          <cell r="F554">
            <v>452</v>
          </cell>
        </row>
        <row r="555">
          <cell r="A555" t="str">
            <v>Kalaki</v>
          </cell>
          <cell r="B555" t="str">
            <v>Kaberamaido</v>
          </cell>
          <cell r="C555" t="str">
            <v>Kalaki</v>
          </cell>
          <cell r="D555" t="str">
            <v>Kalaki</v>
          </cell>
          <cell r="F555">
            <v>453</v>
          </cell>
        </row>
        <row r="556">
          <cell r="A556" t="str">
            <v>Kobulubulu</v>
          </cell>
          <cell r="B556" t="str">
            <v>Kaberamaido</v>
          </cell>
          <cell r="C556" t="str">
            <v>Kaberamaido</v>
          </cell>
          <cell r="D556" t="str">
            <v>Kobulubulu</v>
          </cell>
          <cell r="F556">
            <v>454</v>
          </cell>
        </row>
        <row r="557">
          <cell r="A557" t="str">
            <v>Ochero</v>
          </cell>
          <cell r="B557" t="str">
            <v>Kaberamaido</v>
          </cell>
          <cell r="C557" t="str">
            <v>Kaberamaido</v>
          </cell>
          <cell r="D557" t="str">
            <v>Ochero</v>
          </cell>
          <cell r="F557">
            <v>455</v>
          </cell>
        </row>
        <row r="558">
          <cell r="A558" t="str">
            <v>Otuboi</v>
          </cell>
          <cell r="B558" t="str">
            <v>Kaberamaido</v>
          </cell>
          <cell r="C558" t="str">
            <v>Kalaki</v>
          </cell>
          <cell r="D558" t="str">
            <v>Otuboi</v>
          </cell>
          <cell r="F558">
            <v>456</v>
          </cell>
        </row>
        <row r="559">
          <cell r="A559" t="str">
            <v>Burora</v>
          </cell>
          <cell r="B559" t="str">
            <v>Kagadi</v>
          </cell>
          <cell r="C559" t="str">
            <v>Buyaga</v>
          </cell>
          <cell r="D559" t="str">
            <v>Burora</v>
          </cell>
          <cell r="F559">
            <v>457</v>
          </cell>
        </row>
        <row r="560">
          <cell r="A560" t="str">
            <v>Bwikara</v>
          </cell>
          <cell r="B560" t="str">
            <v>Kagadi</v>
          </cell>
          <cell r="C560" t="str">
            <v>Buyaga</v>
          </cell>
          <cell r="D560" t="str">
            <v>Bwikara</v>
          </cell>
          <cell r="F560">
            <v>458</v>
          </cell>
        </row>
        <row r="561">
          <cell r="A561" t="str">
            <v>Kabamba</v>
          </cell>
          <cell r="B561" t="str">
            <v>Kagadi</v>
          </cell>
          <cell r="C561" t="str">
            <v>Buyaga</v>
          </cell>
          <cell r="D561" t="str">
            <v>Kabamba</v>
          </cell>
          <cell r="F561">
            <v>459</v>
          </cell>
        </row>
        <row r="562">
          <cell r="A562" t="str">
            <v>Kagadi</v>
          </cell>
          <cell r="B562" t="str">
            <v>Kagadi</v>
          </cell>
          <cell r="C562" t="str">
            <v>Buyaga</v>
          </cell>
          <cell r="D562" t="str">
            <v>Kagadi</v>
          </cell>
          <cell r="F562">
            <v>460</v>
          </cell>
        </row>
        <row r="563">
          <cell r="A563" t="str">
            <v>Kagadi Town Council</v>
          </cell>
          <cell r="B563" t="str">
            <v>Kagadi</v>
          </cell>
          <cell r="C563" t="str">
            <v>Buyaga</v>
          </cell>
          <cell r="D563" t="str">
            <v>Kagadi Town Council</v>
          </cell>
          <cell r="F563">
            <v>461</v>
          </cell>
        </row>
        <row r="564">
          <cell r="A564" t="str">
            <v>KAGADI TOWN</v>
          </cell>
          <cell r="F564">
            <v>461</v>
          </cell>
        </row>
        <row r="565">
          <cell r="A565" t="str">
            <v>Kiryanga</v>
          </cell>
          <cell r="B565" t="str">
            <v>Kagadi</v>
          </cell>
          <cell r="C565" t="str">
            <v>Buyaga</v>
          </cell>
          <cell r="D565" t="str">
            <v>Kiryanga</v>
          </cell>
          <cell r="F565">
            <v>462</v>
          </cell>
        </row>
        <row r="566">
          <cell r="A566" t="str">
            <v>Kyakabadiima</v>
          </cell>
          <cell r="B566" t="str">
            <v>Kagadi</v>
          </cell>
          <cell r="C566" t="str">
            <v>Buyaga</v>
          </cell>
          <cell r="D566" t="str">
            <v>Kyakabadiima</v>
          </cell>
          <cell r="F566">
            <v>463</v>
          </cell>
        </row>
        <row r="567">
          <cell r="A567" t="str">
            <v>Kyanaisoke</v>
          </cell>
          <cell r="B567" t="str">
            <v>Kagadi</v>
          </cell>
          <cell r="C567" t="str">
            <v>Buyaga</v>
          </cell>
          <cell r="D567" t="str">
            <v>Kyanaisoke</v>
          </cell>
          <cell r="F567">
            <v>464</v>
          </cell>
        </row>
        <row r="568">
          <cell r="A568" t="str">
            <v>Kyaterekera</v>
          </cell>
          <cell r="B568" t="str">
            <v>Kagadi</v>
          </cell>
          <cell r="C568" t="str">
            <v>Buyaga</v>
          </cell>
          <cell r="D568" t="str">
            <v>Kyaterekera</v>
          </cell>
          <cell r="F568">
            <v>465</v>
          </cell>
        </row>
        <row r="569">
          <cell r="A569" t="str">
            <v>Kyenzige</v>
          </cell>
          <cell r="B569" t="str">
            <v>Kagadi</v>
          </cell>
          <cell r="C569" t="str">
            <v>Buyaga</v>
          </cell>
          <cell r="D569" t="str">
            <v>Kyenzige</v>
          </cell>
          <cell r="F569">
            <v>466</v>
          </cell>
        </row>
        <row r="570">
          <cell r="A570" t="str">
            <v>Mabaale</v>
          </cell>
          <cell r="B570" t="str">
            <v>Kagadi</v>
          </cell>
          <cell r="C570" t="str">
            <v>Buyaga</v>
          </cell>
          <cell r="D570" t="str">
            <v>Mabaale</v>
          </cell>
          <cell r="F570">
            <v>467</v>
          </cell>
        </row>
        <row r="571">
          <cell r="A571" t="str">
            <v>Mpeefu</v>
          </cell>
          <cell r="B571" t="str">
            <v>Kagadi</v>
          </cell>
          <cell r="C571" t="str">
            <v>Buyaga</v>
          </cell>
          <cell r="D571" t="str">
            <v>Mpeefu</v>
          </cell>
          <cell r="F571">
            <v>468</v>
          </cell>
        </row>
        <row r="572">
          <cell r="A572" t="str">
            <v>Muhorro</v>
          </cell>
          <cell r="B572" t="str">
            <v>Kagadi</v>
          </cell>
          <cell r="C572" t="str">
            <v>Buyaga</v>
          </cell>
          <cell r="D572" t="str">
            <v>Muhorro</v>
          </cell>
          <cell r="F572">
            <v>469</v>
          </cell>
        </row>
        <row r="573">
          <cell r="A573" t="str">
            <v>Muhorro Town Council</v>
          </cell>
          <cell r="B573" t="str">
            <v>Kagadi</v>
          </cell>
          <cell r="C573" t="str">
            <v>Buyaga</v>
          </cell>
          <cell r="D573" t="str">
            <v>Muhorro Town Council</v>
          </cell>
          <cell r="F573">
            <v>470</v>
          </cell>
        </row>
        <row r="574">
          <cell r="A574" t="str">
            <v>Ndaiga</v>
          </cell>
          <cell r="B574" t="str">
            <v>Kagadi</v>
          </cell>
          <cell r="C574" t="str">
            <v>Buyaga</v>
          </cell>
          <cell r="D574" t="str">
            <v>Ndaiga</v>
          </cell>
          <cell r="F574">
            <v>471</v>
          </cell>
        </row>
        <row r="575">
          <cell r="A575" t="str">
            <v>Paacwa</v>
          </cell>
          <cell r="B575" t="str">
            <v>Kagadi</v>
          </cell>
          <cell r="C575" t="str">
            <v>Buyaga</v>
          </cell>
          <cell r="D575" t="str">
            <v>Paacwa</v>
          </cell>
          <cell r="F575">
            <v>472</v>
          </cell>
        </row>
        <row r="576">
          <cell r="A576" t="str">
            <v>Rugashari</v>
          </cell>
          <cell r="B576" t="str">
            <v>Kagadi</v>
          </cell>
          <cell r="C576" t="str">
            <v>Buyaga</v>
          </cell>
          <cell r="D576" t="str">
            <v>Rugashari</v>
          </cell>
          <cell r="F576">
            <v>473</v>
          </cell>
        </row>
        <row r="577">
          <cell r="A577" t="str">
            <v>Ruteete-Kagadi</v>
          </cell>
          <cell r="B577" t="str">
            <v>Kagadi</v>
          </cell>
          <cell r="C577" t="str">
            <v>Buyaga</v>
          </cell>
          <cell r="D577" t="str">
            <v>Ruteete-Kagadi</v>
          </cell>
          <cell r="F577">
            <v>474</v>
          </cell>
        </row>
        <row r="578">
          <cell r="A578" t="str">
            <v>Birembo</v>
          </cell>
          <cell r="B578" t="str">
            <v>Kakumiro</v>
          </cell>
          <cell r="C578" t="str">
            <v>Bugangaizi</v>
          </cell>
          <cell r="D578" t="str">
            <v>Birembo</v>
          </cell>
          <cell r="F578">
            <v>475</v>
          </cell>
        </row>
        <row r="579">
          <cell r="A579" t="str">
            <v>Bwanswa</v>
          </cell>
          <cell r="B579" t="str">
            <v>Kakumiro</v>
          </cell>
          <cell r="C579" t="str">
            <v>Bugangaizi</v>
          </cell>
          <cell r="D579" t="str">
            <v>Bwanswa</v>
          </cell>
          <cell r="F579">
            <v>476</v>
          </cell>
        </row>
        <row r="580">
          <cell r="A580" t="str">
            <v>Kakindo</v>
          </cell>
          <cell r="B580" t="str">
            <v>Kakumiro</v>
          </cell>
          <cell r="C580" t="str">
            <v>Bugangaizi</v>
          </cell>
          <cell r="D580" t="str">
            <v>Kakindo</v>
          </cell>
          <cell r="F580">
            <v>477</v>
          </cell>
        </row>
        <row r="581">
          <cell r="A581" t="str">
            <v>Kakumiro Town Council</v>
          </cell>
          <cell r="B581" t="str">
            <v>Kakumiro</v>
          </cell>
          <cell r="C581" t="str">
            <v>Bugangaizi</v>
          </cell>
          <cell r="D581" t="str">
            <v>Kakumiro Town Council</v>
          </cell>
          <cell r="F581">
            <v>478</v>
          </cell>
        </row>
        <row r="582">
          <cell r="A582" t="str">
            <v>KAKUMIRO</v>
          </cell>
          <cell r="F582">
            <v>478</v>
          </cell>
        </row>
        <row r="583">
          <cell r="A583" t="str">
            <v>KAKUMIRO TOWN</v>
          </cell>
          <cell r="F583">
            <v>478</v>
          </cell>
        </row>
        <row r="584">
          <cell r="A584" t="str">
            <v>Kasambya-Kakumiro</v>
          </cell>
          <cell r="B584" t="str">
            <v>Kakumiro</v>
          </cell>
          <cell r="C584" t="str">
            <v>Bugangaizi</v>
          </cell>
          <cell r="D584" t="str">
            <v>Kasambya-Kakumiro</v>
          </cell>
          <cell r="F584">
            <v>479</v>
          </cell>
        </row>
        <row r="585">
          <cell r="A585" t="str">
            <v>Kikwaya</v>
          </cell>
          <cell r="B585" t="str">
            <v>Kakumiro</v>
          </cell>
          <cell r="C585" t="str">
            <v>Bugangaizi</v>
          </cell>
          <cell r="D585" t="str">
            <v>Kikwaya</v>
          </cell>
          <cell r="F585">
            <v>480</v>
          </cell>
        </row>
        <row r="586">
          <cell r="A586" t="str">
            <v>Kisiita</v>
          </cell>
          <cell r="B586" t="str">
            <v>Kakumiro</v>
          </cell>
          <cell r="C586" t="str">
            <v>Bugangaizi</v>
          </cell>
          <cell r="D586" t="str">
            <v>Kisiita</v>
          </cell>
          <cell r="F586">
            <v>481</v>
          </cell>
        </row>
        <row r="587">
          <cell r="A587" t="str">
            <v>Kitaihuka</v>
          </cell>
          <cell r="B587" t="str">
            <v>Kakumiro</v>
          </cell>
          <cell r="C587" t="str">
            <v>Bugangaizi</v>
          </cell>
          <cell r="D587" t="str">
            <v>Kitaihuka</v>
          </cell>
          <cell r="F587">
            <v>482</v>
          </cell>
        </row>
        <row r="588">
          <cell r="A588" t="str">
            <v>Mpasaana</v>
          </cell>
          <cell r="B588" t="str">
            <v>Kakumiro</v>
          </cell>
          <cell r="C588" t="str">
            <v>Bugangaizi</v>
          </cell>
          <cell r="D588" t="str">
            <v>Mpasaana</v>
          </cell>
          <cell r="F588">
            <v>483</v>
          </cell>
        </row>
        <row r="589">
          <cell r="A589" t="str">
            <v>Nalweyo</v>
          </cell>
          <cell r="B589" t="str">
            <v>Kakumiro</v>
          </cell>
          <cell r="C589" t="str">
            <v>Bugangaizi</v>
          </cell>
          <cell r="D589" t="str">
            <v>Nalweyo</v>
          </cell>
          <cell r="F589">
            <v>484</v>
          </cell>
        </row>
        <row r="590">
          <cell r="A590" t="str">
            <v>bujaja</v>
          </cell>
          <cell r="F590">
            <v>484</v>
          </cell>
        </row>
        <row r="591">
          <cell r="A591" t="str">
            <v>Nkooko</v>
          </cell>
          <cell r="B591" t="str">
            <v>Kakumiro</v>
          </cell>
          <cell r="C591" t="str">
            <v>Bugangaizi</v>
          </cell>
          <cell r="D591" t="str">
            <v>Nkooko</v>
          </cell>
          <cell r="F591">
            <v>485</v>
          </cell>
        </row>
        <row r="592">
          <cell r="A592" t="str">
            <v>Bubeke</v>
          </cell>
          <cell r="B592" t="str">
            <v>Kalangala</v>
          </cell>
          <cell r="C592" t="str">
            <v>Kyamuswa</v>
          </cell>
          <cell r="D592" t="str">
            <v>Bubeke</v>
          </cell>
          <cell r="F592">
            <v>486</v>
          </cell>
        </row>
        <row r="593">
          <cell r="A593" t="str">
            <v>Bufumira</v>
          </cell>
          <cell r="B593" t="str">
            <v>Kalangala</v>
          </cell>
          <cell r="C593" t="str">
            <v>Kyamuswa</v>
          </cell>
          <cell r="D593" t="str">
            <v>Bufumira</v>
          </cell>
          <cell r="F593">
            <v>487</v>
          </cell>
        </row>
        <row r="594">
          <cell r="A594" t="str">
            <v>Bujumba</v>
          </cell>
          <cell r="B594" t="str">
            <v>Kalangala</v>
          </cell>
          <cell r="C594" t="str">
            <v>Bujumba</v>
          </cell>
          <cell r="D594" t="str">
            <v>Bujumba</v>
          </cell>
          <cell r="F594">
            <v>488</v>
          </cell>
        </row>
        <row r="595">
          <cell r="A595" t="str">
            <v>Kalangala Town Council</v>
          </cell>
          <cell r="B595" t="str">
            <v>Kalangala</v>
          </cell>
          <cell r="C595" t="str">
            <v>Bujumba</v>
          </cell>
          <cell r="D595" t="str">
            <v>Kalangala Town Council</v>
          </cell>
          <cell r="F595">
            <v>489</v>
          </cell>
        </row>
        <row r="596">
          <cell r="A596" t="str">
            <v>Kalangala</v>
          </cell>
          <cell r="F596">
            <v>489</v>
          </cell>
        </row>
        <row r="597">
          <cell r="A597" t="str">
            <v>Kyamuswa</v>
          </cell>
          <cell r="B597" t="str">
            <v>Kalangala</v>
          </cell>
          <cell r="C597" t="str">
            <v>Kyamuswa</v>
          </cell>
          <cell r="D597" t="str">
            <v>Kyamuswa</v>
          </cell>
          <cell r="F597">
            <v>490</v>
          </cell>
        </row>
        <row r="598">
          <cell r="A598" t="str">
            <v>Mazinga</v>
          </cell>
          <cell r="B598" t="str">
            <v>Kalangala</v>
          </cell>
          <cell r="C598" t="str">
            <v>Kyamuswa</v>
          </cell>
          <cell r="D598" t="str">
            <v>Mazinga</v>
          </cell>
          <cell r="F598">
            <v>491</v>
          </cell>
        </row>
        <row r="599">
          <cell r="A599" t="str">
            <v>Mugoye</v>
          </cell>
          <cell r="B599" t="str">
            <v>Kalangala</v>
          </cell>
          <cell r="C599" t="str">
            <v>Bujumba</v>
          </cell>
          <cell r="D599" t="str">
            <v>Mugoye</v>
          </cell>
          <cell r="F599">
            <v>492</v>
          </cell>
        </row>
        <row r="600">
          <cell r="A600" t="str">
            <v>Budomero</v>
          </cell>
          <cell r="B600" t="str">
            <v>Kaliro</v>
          </cell>
          <cell r="C600" t="str">
            <v>Bulamogi</v>
          </cell>
          <cell r="D600" t="str">
            <v>Budomero</v>
          </cell>
          <cell r="F600">
            <v>493</v>
          </cell>
        </row>
        <row r="601">
          <cell r="A601" t="str">
            <v>Bukamba</v>
          </cell>
          <cell r="B601" t="str">
            <v>Kaliro</v>
          </cell>
          <cell r="C601" t="str">
            <v>Bulamogi</v>
          </cell>
          <cell r="D601" t="str">
            <v>Bukamba</v>
          </cell>
          <cell r="F601">
            <v>494</v>
          </cell>
        </row>
        <row r="602">
          <cell r="A602" t="str">
            <v>Bumanya</v>
          </cell>
          <cell r="B602" t="str">
            <v>Kaliro</v>
          </cell>
          <cell r="C602" t="str">
            <v>Bulamogi</v>
          </cell>
          <cell r="D602" t="str">
            <v>Bumanya</v>
          </cell>
          <cell r="F602">
            <v>495</v>
          </cell>
        </row>
        <row r="603">
          <cell r="A603" t="str">
            <v>KABIRI</v>
          </cell>
          <cell r="F603">
            <v>495</v>
          </cell>
        </row>
        <row r="604">
          <cell r="A604" t="str">
            <v>Buyinda</v>
          </cell>
          <cell r="B604" t="str">
            <v>Kaliro</v>
          </cell>
          <cell r="C604" t="str">
            <v>Bulamogi</v>
          </cell>
          <cell r="D604" t="str">
            <v>Buyinda</v>
          </cell>
          <cell r="F604">
            <v>496</v>
          </cell>
        </row>
        <row r="605">
          <cell r="A605" t="str">
            <v>Gadumire</v>
          </cell>
          <cell r="B605" t="str">
            <v>Kaliro</v>
          </cell>
          <cell r="C605" t="str">
            <v>Bulamogi</v>
          </cell>
          <cell r="D605" t="str">
            <v>Gadumire</v>
          </cell>
          <cell r="F605">
            <v>497</v>
          </cell>
        </row>
        <row r="606">
          <cell r="A606" t="str">
            <v>Kaliro Town Council</v>
          </cell>
          <cell r="B606" t="str">
            <v>Kaliro</v>
          </cell>
          <cell r="C606" t="str">
            <v>Bulamogi</v>
          </cell>
          <cell r="D606" t="str">
            <v>Kaliro Town Council</v>
          </cell>
          <cell r="F606">
            <v>498</v>
          </cell>
        </row>
        <row r="607">
          <cell r="A607" t="str">
            <v>Kasokwe</v>
          </cell>
          <cell r="B607" t="str">
            <v>Kaliro</v>
          </cell>
          <cell r="C607" t="str">
            <v>Bulamogi</v>
          </cell>
          <cell r="D607" t="str">
            <v>Kasokwe</v>
          </cell>
          <cell r="F607">
            <v>499</v>
          </cell>
        </row>
        <row r="608">
          <cell r="A608" t="str">
            <v>Kisinda</v>
          </cell>
          <cell r="B608" t="str">
            <v>Kaliro</v>
          </cell>
          <cell r="C608" t="str">
            <v>Bulamogi</v>
          </cell>
          <cell r="D608" t="str">
            <v>Kisinda</v>
          </cell>
          <cell r="F608">
            <v>500</v>
          </cell>
        </row>
        <row r="609">
          <cell r="A609" t="str">
            <v>Namugongo-Kaliro</v>
          </cell>
          <cell r="B609" t="str">
            <v>Kaliro</v>
          </cell>
          <cell r="C609" t="str">
            <v>Bulamogi</v>
          </cell>
          <cell r="D609" t="str">
            <v>Namugongo-Kaliro</v>
          </cell>
          <cell r="F609">
            <v>501</v>
          </cell>
        </row>
        <row r="610">
          <cell r="A610" t="str">
            <v>Namwiwa</v>
          </cell>
          <cell r="B610" t="str">
            <v>Kaliro</v>
          </cell>
          <cell r="C610" t="str">
            <v>Bulamogi</v>
          </cell>
          <cell r="D610" t="str">
            <v>Namwiwa</v>
          </cell>
          <cell r="F610">
            <v>502</v>
          </cell>
        </row>
        <row r="611">
          <cell r="A611" t="str">
            <v>Nansololo</v>
          </cell>
          <cell r="B611" t="str">
            <v>Kaliro</v>
          </cell>
          <cell r="C611" t="str">
            <v>Bulamogi</v>
          </cell>
          <cell r="D611" t="str">
            <v>Nansololo</v>
          </cell>
          <cell r="F611">
            <v>503</v>
          </cell>
        </row>
        <row r="612">
          <cell r="A612" t="str">
            <v>Nawaikoke</v>
          </cell>
          <cell r="B612" t="str">
            <v>Kaliro</v>
          </cell>
          <cell r="C612" t="str">
            <v>Bulamogi</v>
          </cell>
          <cell r="D612" t="str">
            <v>Nawaikoke</v>
          </cell>
          <cell r="F612">
            <v>504</v>
          </cell>
        </row>
        <row r="613">
          <cell r="A613" t="str">
            <v>Bukulula</v>
          </cell>
          <cell r="B613" t="str">
            <v>Kalungu</v>
          </cell>
          <cell r="C613" t="str">
            <v>Kalungu</v>
          </cell>
          <cell r="D613" t="str">
            <v>Bukulula</v>
          </cell>
          <cell r="F613">
            <v>505</v>
          </cell>
        </row>
        <row r="614">
          <cell r="A614" t="str">
            <v>BUKUULA</v>
          </cell>
          <cell r="F614">
            <v>505</v>
          </cell>
        </row>
        <row r="615">
          <cell r="A615" t="str">
            <v>Kalungu</v>
          </cell>
          <cell r="B615" t="str">
            <v>Kalungu</v>
          </cell>
          <cell r="C615" t="str">
            <v>Kalungu</v>
          </cell>
          <cell r="D615" t="str">
            <v>Kalungu</v>
          </cell>
          <cell r="F615">
            <v>506</v>
          </cell>
        </row>
        <row r="616">
          <cell r="A616" t="str">
            <v>Kalungu Town Council</v>
          </cell>
          <cell r="B616" t="str">
            <v>Kalungu</v>
          </cell>
          <cell r="C616" t="str">
            <v>Kalungu</v>
          </cell>
          <cell r="D616" t="str">
            <v>Kalungu Town Council</v>
          </cell>
          <cell r="F616">
            <v>507</v>
          </cell>
        </row>
        <row r="617">
          <cell r="A617" t="str">
            <v>Kyamulibwa</v>
          </cell>
          <cell r="B617" t="str">
            <v>Kalungu</v>
          </cell>
          <cell r="C617" t="str">
            <v>Kalungu</v>
          </cell>
          <cell r="D617" t="str">
            <v>Kyamulibwa</v>
          </cell>
          <cell r="F617">
            <v>508</v>
          </cell>
        </row>
        <row r="618">
          <cell r="A618" t="str">
            <v>Kyamulibwa Town Council</v>
          </cell>
          <cell r="B618" t="str">
            <v>Kalungu</v>
          </cell>
          <cell r="C618" t="str">
            <v>Kalungu</v>
          </cell>
          <cell r="D618" t="str">
            <v>Kyamulibwa Town Council</v>
          </cell>
          <cell r="F618">
            <v>509</v>
          </cell>
        </row>
        <row r="619">
          <cell r="A619" t="str">
            <v>Lukaya Town Council</v>
          </cell>
          <cell r="B619" t="str">
            <v>Kalungu</v>
          </cell>
          <cell r="C619" t="str">
            <v>Kalungu</v>
          </cell>
          <cell r="D619" t="str">
            <v>Lukaya Town Council</v>
          </cell>
          <cell r="F619">
            <v>510</v>
          </cell>
        </row>
        <row r="620">
          <cell r="A620" t="str">
            <v>LUKAYA</v>
          </cell>
          <cell r="F620">
            <v>510</v>
          </cell>
        </row>
        <row r="621">
          <cell r="A621" t="str">
            <v>Rukaya</v>
          </cell>
          <cell r="F621">
            <v>510</v>
          </cell>
        </row>
        <row r="622">
          <cell r="A622" t="str">
            <v>BIRONGO</v>
          </cell>
          <cell r="F622">
            <v>510</v>
          </cell>
        </row>
        <row r="623">
          <cell r="A623" t="str">
            <v>Lwabenge</v>
          </cell>
          <cell r="B623" t="str">
            <v>Kalungu</v>
          </cell>
          <cell r="C623" t="str">
            <v>Kalungu</v>
          </cell>
          <cell r="D623" t="str">
            <v>Lwabenge</v>
          </cell>
          <cell r="F623">
            <v>511</v>
          </cell>
        </row>
        <row r="624">
          <cell r="A624" t="str">
            <v>BWESA</v>
          </cell>
          <cell r="F624">
            <v>511</v>
          </cell>
        </row>
        <row r="625">
          <cell r="A625" t="str">
            <v>Banda</v>
          </cell>
          <cell r="B625" t="str">
            <v>Kampala</v>
          </cell>
          <cell r="C625" t="str">
            <v>KCCA</v>
          </cell>
          <cell r="D625" t="str">
            <v>Nakawa Division</v>
          </cell>
          <cell r="E625" t="str">
            <v>Banda</v>
          </cell>
          <cell r="F625">
            <v>512</v>
          </cell>
        </row>
        <row r="626">
          <cell r="A626" t="str">
            <v>JOMAYI ESTATE</v>
          </cell>
          <cell r="F626">
            <v>512</v>
          </cell>
        </row>
        <row r="627">
          <cell r="A627" t="str">
            <v>Bugolobi</v>
          </cell>
          <cell r="B627" t="str">
            <v>Kampala</v>
          </cell>
          <cell r="C627" t="str">
            <v>KCCA</v>
          </cell>
          <cell r="D627" t="str">
            <v>Nakawa Division</v>
          </cell>
          <cell r="E627" t="str">
            <v>Bugolobi</v>
          </cell>
          <cell r="F627">
            <v>513</v>
          </cell>
        </row>
        <row r="628">
          <cell r="A628" t="str">
            <v>KITINTALE</v>
          </cell>
          <cell r="F628">
            <v>513</v>
          </cell>
        </row>
        <row r="629">
          <cell r="A629" t="str">
            <v xml:space="preserve"> KINTALE</v>
          </cell>
          <cell r="F629">
            <v>513</v>
          </cell>
        </row>
        <row r="630">
          <cell r="A630" t="str">
            <v>Ndege</v>
          </cell>
          <cell r="F630">
            <v>513</v>
          </cell>
        </row>
        <row r="631">
          <cell r="A631" t="str">
            <v>Bukasa</v>
          </cell>
          <cell r="B631" t="str">
            <v>Kampala</v>
          </cell>
          <cell r="C631" t="str">
            <v>KCCA</v>
          </cell>
          <cell r="D631" t="str">
            <v>Makindye Division</v>
          </cell>
          <cell r="E631" t="str">
            <v>Bukasa</v>
          </cell>
          <cell r="F631">
            <v>514</v>
          </cell>
        </row>
        <row r="632">
          <cell r="A632" t="str">
            <v>Bukesa</v>
          </cell>
          <cell r="B632" t="str">
            <v>Kampala</v>
          </cell>
          <cell r="C632" t="str">
            <v>KCCA</v>
          </cell>
          <cell r="D632" t="str">
            <v>Central Division</v>
          </cell>
          <cell r="E632" t="str">
            <v>Bukesa</v>
          </cell>
          <cell r="F632">
            <v>515</v>
          </cell>
        </row>
        <row r="633">
          <cell r="A633" t="str">
            <v>Bukoto</v>
          </cell>
          <cell r="B633" t="str">
            <v>Kampala</v>
          </cell>
          <cell r="C633" t="str">
            <v>KCCA</v>
          </cell>
          <cell r="D633" t="str">
            <v>Nakawa Division</v>
          </cell>
          <cell r="E633" t="str">
            <v>Bukoto</v>
          </cell>
          <cell r="F633">
            <v>516</v>
          </cell>
        </row>
        <row r="634">
          <cell r="A634" t="str">
            <v>Busega</v>
          </cell>
          <cell r="B634" t="str">
            <v>Kampala</v>
          </cell>
          <cell r="C634" t="str">
            <v>KCCA</v>
          </cell>
          <cell r="D634" t="str">
            <v>Rubaga Division</v>
          </cell>
          <cell r="E634" t="str">
            <v>Busega</v>
          </cell>
          <cell r="F634">
            <v>517</v>
          </cell>
        </row>
        <row r="635">
          <cell r="A635" t="str">
            <v xml:space="preserve">BUSEGA </v>
          </cell>
          <cell r="F635">
            <v>517</v>
          </cell>
        </row>
        <row r="636">
          <cell r="A636" t="str">
            <v xml:space="preserve">MASAKA ROAD </v>
          </cell>
          <cell r="F636">
            <v>517</v>
          </cell>
        </row>
        <row r="637">
          <cell r="A637" t="str">
            <v>Butabika</v>
          </cell>
          <cell r="B637" t="str">
            <v>Kampala</v>
          </cell>
          <cell r="C637" t="str">
            <v>KCCA</v>
          </cell>
          <cell r="D637" t="str">
            <v>Nakawa Division</v>
          </cell>
          <cell r="E637" t="str">
            <v>Butabika</v>
          </cell>
          <cell r="F637">
            <v>518</v>
          </cell>
        </row>
        <row r="638">
          <cell r="A638" t="str">
            <v>Buziga</v>
          </cell>
          <cell r="B638" t="str">
            <v>Kampala</v>
          </cell>
          <cell r="C638" t="str">
            <v>KCCA</v>
          </cell>
          <cell r="D638" t="str">
            <v>Makindye Division</v>
          </cell>
          <cell r="E638" t="str">
            <v>Buziga</v>
          </cell>
          <cell r="F638">
            <v>519</v>
          </cell>
        </row>
        <row r="639">
          <cell r="A639" t="str">
            <v>Buzigga</v>
          </cell>
          <cell r="F639">
            <v>519</v>
          </cell>
        </row>
        <row r="640">
          <cell r="A640" t="str">
            <v>Bwaise</v>
          </cell>
          <cell r="B640" t="str">
            <v>Kampala</v>
          </cell>
          <cell r="C640" t="str">
            <v>KCCA</v>
          </cell>
          <cell r="D640" t="str">
            <v>Kawempe Division</v>
          </cell>
          <cell r="E640" t="str">
            <v>Bwaise</v>
          </cell>
          <cell r="F640">
            <v>520</v>
          </cell>
        </row>
        <row r="641">
          <cell r="A641" t="str">
            <v>BWAISE</v>
          </cell>
          <cell r="F641">
            <v>520</v>
          </cell>
        </row>
        <row r="642">
          <cell r="A642" t="str">
            <v>Civic Centre</v>
          </cell>
          <cell r="B642" t="str">
            <v>Kampala</v>
          </cell>
          <cell r="C642" t="str">
            <v>KCCA</v>
          </cell>
          <cell r="D642" t="str">
            <v>Central Division</v>
          </cell>
          <cell r="E642" t="str">
            <v>Civic Centre</v>
          </cell>
          <cell r="F642">
            <v>521</v>
          </cell>
        </row>
        <row r="643">
          <cell r="A643" t="str">
            <v>KCCA</v>
          </cell>
          <cell r="F643">
            <v>521</v>
          </cell>
        </row>
        <row r="644">
          <cell r="A644" t="str">
            <v xml:space="preserve">KAMPALA </v>
          </cell>
          <cell r="F644">
            <v>521</v>
          </cell>
        </row>
        <row r="645">
          <cell r="A645" t="str">
            <v>KAMPALA CITY</v>
          </cell>
          <cell r="F645">
            <v>521</v>
          </cell>
        </row>
        <row r="646">
          <cell r="A646" t="str">
            <v xml:space="preserve">KAMPALA CITY </v>
          </cell>
          <cell r="F646">
            <v>521</v>
          </cell>
        </row>
        <row r="647">
          <cell r="A647" t="str">
            <v>MULTIPLE</v>
          </cell>
          <cell r="F647">
            <v>521</v>
          </cell>
        </row>
        <row r="648">
          <cell r="A648" t="str">
            <v>Kampala</v>
          </cell>
          <cell r="F648">
            <v>521</v>
          </cell>
        </row>
        <row r="649">
          <cell r="A649" t="str">
            <v>Stanbic bank</v>
          </cell>
          <cell r="F649">
            <v>521</v>
          </cell>
        </row>
        <row r="650">
          <cell r="A650" t="str">
            <v>City Center</v>
          </cell>
          <cell r="F650">
            <v>521</v>
          </cell>
        </row>
        <row r="651">
          <cell r="A651" t="str">
            <v>KAMPALA TOWN</v>
          </cell>
          <cell r="F651">
            <v>521</v>
          </cell>
        </row>
        <row r="652">
          <cell r="A652" t="str">
            <v>KAMPALA ROAD</v>
          </cell>
          <cell r="F652">
            <v>521</v>
          </cell>
        </row>
        <row r="653">
          <cell r="A653" t="str">
            <v>TOWN CENTER</v>
          </cell>
          <cell r="F653">
            <v>521</v>
          </cell>
        </row>
        <row r="654">
          <cell r="A654" t="str">
            <v>SHERATON HOTEL</v>
          </cell>
          <cell r="F654">
            <v>521</v>
          </cell>
        </row>
        <row r="655">
          <cell r="A655" t="str">
            <v>SERENA KAMPALA</v>
          </cell>
          <cell r="F655">
            <v>521</v>
          </cell>
        </row>
        <row r="656">
          <cell r="A656" t="str">
            <v>SERENA</v>
          </cell>
          <cell r="F656">
            <v>521</v>
          </cell>
        </row>
        <row r="657">
          <cell r="A657" t="str">
            <v>CITY TYRES</v>
          </cell>
          <cell r="F657">
            <v>521</v>
          </cell>
        </row>
        <row r="658">
          <cell r="A658" t="str">
            <v>KISEKKA MARKET</v>
          </cell>
          <cell r="F658">
            <v>521</v>
          </cell>
        </row>
        <row r="659">
          <cell r="A659" t="str">
            <v>City centre</v>
          </cell>
          <cell r="F659">
            <v>521</v>
          </cell>
        </row>
        <row r="660">
          <cell r="A660" t="str">
            <v>Clock tower</v>
          </cell>
          <cell r="F660">
            <v>521</v>
          </cell>
        </row>
        <row r="661">
          <cell r="A661" t="str">
            <v>CLOCKTOWER</v>
          </cell>
          <cell r="F661">
            <v>521</v>
          </cell>
        </row>
        <row r="662">
          <cell r="A662" t="str">
            <v>CTYSQUARE</v>
          </cell>
          <cell r="F662">
            <v>521</v>
          </cell>
        </row>
        <row r="663">
          <cell r="A663" t="str">
            <v>Ultima hospital</v>
          </cell>
          <cell r="F663">
            <v>521</v>
          </cell>
        </row>
        <row r="664">
          <cell r="A664" t="str">
            <v>NALULE</v>
          </cell>
          <cell r="F664">
            <v>521</v>
          </cell>
        </row>
        <row r="665">
          <cell r="A665" t="str">
            <v>NAMAYIBA</v>
          </cell>
          <cell r="F665">
            <v>521</v>
          </cell>
        </row>
        <row r="666">
          <cell r="A666" t="str">
            <v>NAMAYIMBA</v>
          </cell>
          <cell r="F666">
            <v>521</v>
          </cell>
        </row>
        <row r="667">
          <cell r="A667" t="str">
            <v>NAMAYIBA PARK</v>
          </cell>
          <cell r="F667">
            <v>521</v>
          </cell>
        </row>
        <row r="668">
          <cell r="A668" t="str">
            <v>NAMAYIBA BUS PARK</v>
          </cell>
          <cell r="F668">
            <v>521</v>
          </cell>
        </row>
        <row r="669">
          <cell r="A669" t="str">
            <v>WORKERS HOUSE</v>
          </cell>
          <cell r="F669">
            <v>521</v>
          </cell>
        </row>
        <row r="670">
          <cell r="A670" t="str">
            <v>Shoprite</v>
          </cell>
          <cell r="F670">
            <v>521</v>
          </cell>
        </row>
        <row r="671">
          <cell r="A671" t="str">
            <v>LUGOGO</v>
          </cell>
          <cell r="F671">
            <v>521</v>
          </cell>
        </row>
        <row r="672">
          <cell r="A672" t="str">
            <v>KATI KATI</v>
          </cell>
          <cell r="F672">
            <v>521</v>
          </cell>
        </row>
        <row r="673">
          <cell r="A673" t="str">
            <v>Wava water</v>
          </cell>
          <cell r="F673">
            <v>521</v>
          </cell>
        </row>
        <row r="674">
          <cell r="A674" t="str">
            <v xml:space="preserve">Mini price </v>
          </cell>
          <cell r="F674">
            <v>521</v>
          </cell>
        </row>
        <row r="675">
          <cell r="A675" t="str">
            <v>Ben kiwanuka</v>
          </cell>
          <cell r="F675">
            <v>521</v>
          </cell>
        </row>
        <row r="676">
          <cell r="A676" t="str">
            <v>BENKIWANKA</v>
          </cell>
          <cell r="F676">
            <v>521</v>
          </cell>
        </row>
        <row r="677">
          <cell r="A677" t="str">
            <v>SAHSEN PLAZA</v>
          </cell>
          <cell r="F677">
            <v>521</v>
          </cell>
        </row>
        <row r="678">
          <cell r="A678" t="str">
            <v>OWINO</v>
          </cell>
          <cell r="F678">
            <v>521</v>
          </cell>
        </row>
        <row r="679">
          <cell r="A679" t="str">
            <v>TOWN</v>
          </cell>
          <cell r="F679">
            <v>521</v>
          </cell>
        </row>
        <row r="680">
          <cell r="A680" t="str">
            <v>PAL.AVENUE</v>
          </cell>
          <cell r="F680">
            <v>521</v>
          </cell>
        </row>
        <row r="681">
          <cell r="A681" t="str">
            <v>PALIARMENT</v>
          </cell>
          <cell r="F681">
            <v>521</v>
          </cell>
        </row>
        <row r="682">
          <cell r="A682" t="str">
            <v>PALIAMENT</v>
          </cell>
          <cell r="F682">
            <v>521</v>
          </cell>
        </row>
        <row r="683">
          <cell r="A683" t="str">
            <v>UGANDA BAATI</v>
          </cell>
          <cell r="F683">
            <v>521</v>
          </cell>
        </row>
        <row r="684">
          <cell r="A684" t="str">
            <v>Central</v>
          </cell>
          <cell r="F684">
            <v>521</v>
          </cell>
        </row>
        <row r="685">
          <cell r="A685" t="str">
            <v>ARUA PARK</v>
          </cell>
          <cell r="F685">
            <v>521</v>
          </cell>
        </row>
        <row r="686">
          <cell r="A686" t="str">
            <v>Bus park</v>
          </cell>
          <cell r="F686">
            <v>521</v>
          </cell>
        </row>
        <row r="687">
          <cell r="A687" t="str">
            <v>ARUAPARK</v>
          </cell>
          <cell r="F687">
            <v>521</v>
          </cell>
        </row>
        <row r="688">
          <cell r="A688" t="str">
            <v>Zai plaza</v>
          </cell>
          <cell r="F688">
            <v>521</v>
          </cell>
        </row>
        <row r="689">
          <cell r="A689" t="str">
            <v>Old taxi park</v>
          </cell>
          <cell r="F689">
            <v>521</v>
          </cell>
        </row>
        <row r="690">
          <cell r="A690" t="str">
            <v>OLDPARK</v>
          </cell>
          <cell r="F690">
            <v>521</v>
          </cell>
        </row>
        <row r="691">
          <cell r="A691" t="str">
            <v>Kikuubo</v>
          </cell>
          <cell r="F691">
            <v>521</v>
          </cell>
        </row>
        <row r="692">
          <cell r="A692" t="str">
            <v>Commercial plaza</v>
          </cell>
          <cell r="F692">
            <v>521</v>
          </cell>
        </row>
        <row r="693">
          <cell r="A693" t="str">
            <v>William street</v>
          </cell>
          <cell r="F693">
            <v>521</v>
          </cell>
        </row>
        <row r="694">
          <cell r="A694" t="str">
            <v>TWIN TOWER</v>
          </cell>
          <cell r="F694">
            <v>521</v>
          </cell>
        </row>
        <row r="695">
          <cell r="A695" t="str">
            <v>WAKISEKA</v>
          </cell>
          <cell r="F695">
            <v>521</v>
          </cell>
        </row>
        <row r="696">
          <cell r="A696" t="str">
            <v>KISEKA</v>
          </cell>
          <cell r="F696">
            <v>521</v>
          </cell>
        </row>
        <row r="697">
          <cell r="A697" t="str">
            <v>MABIRIZI</v>
          </cell>
          <cell r="F697">
            <v>521</v>
          </cell>
        </row>
        <row r="698">
          <cell r="A698" t="str">
            <v>KISOZI HOUSE</v>
          </cell>
          <cell r="F698">
            <v>521</v>
          </cell>
        </row>
        <row r="699">
          <cell r="A699" t="str">
            <v>Africana</v>
          </cell>
          <cell r="F699">
            <v>521</v>
          </cell>
        </row>
        <row r="700">
          <cell r="A700" t="str">
            <v>CONTAINER VILLAGE</v>
          </cell>
          <cell r="F700">
            <v>521</v>
          </cell>
        </row>
        <row r="701">
          <cell r="A701" t="str">
            <v>City parents</v>
          </cell>
          <cell r="F701">
            <v>521</v>
          </cell>
        </row>
        <row r="702">
          <cell r="A702" t="str">
            <v>Mega supermarket</v>
          </cell>
          <cell r="F702">
            <v>521</v>
          </cell>
        </row>
        <row r="703">
          <cell r="A703" t="str">
            <v>Sir Apollo</v>
          </cell>
          <cell r="F703">
            <v>521</v>
          </cell>
        </row>
        <row r="704">
          <cell r="A704" t="str">
            <v>SIR APPOLO</v>
          </cell>
          <cell r="F704">
            <v>521</v>
          </cell>
        </row>
        <row r="705">
          <cell r="A705" t="str">
            <v>SIR APOLLO KAGGWA</v>
          </cell>
          <cell r="F705">
            <v>521</v>
          </cell>
        </row>
        <row r="706">
          <cell r="A706" t="str">
            <v xml:space="preserve">SIR APOLLO KAGGWA ROAD </v>
          </cell>
          <cell r="F706">
            <v>521</v>
          </cell>
        </row>
        <row r="707">
          <cell r="A707" t="str">
            <v>City square</v>
          </cell>
          <cell r="F707">
            <v>521</v>
          </cell>
        </row>
        <row r="708">
          <cell r="A708" t="str">
            <v>CITYSQUARE</v>
          </cell>
          <cell r="F708">
            <v>521</v>
          </cell>
        </row>
        <row r="709">
          <cell r="A709" t="str">
            <v>CITY OIL</v>
          </cell>
          <cell r="F709">
            <v>521</v>
          </cell>
        </row>
        <row r="710">
          <cell r="A710" t="str">
            <v>POLICE HEADQUATERS</v>
          </cell>
          <cell r="F710">
            <v>521</v>
          </cell>
        </row>
        <row r="711">
          <cell r="A711" t="str">
            <v>JINJA RD.</v>
          </cell>
          <cell r="F711">
            <v>521</v>
          </cell>
        </row>
        <row r="712">
          <cell r="A712" t="str">
            <v>YUSUF LULE</v>
          </cell>
          <cell r="F712">
            <v>521</v>
          </cell>
        </row>
        <row r="713">
          <cell r="A713" t="str">
            <v>Bank of Baroda</v>
          </cell>
          <cell r="F713">
            <v>521</v>
          </cell>
        </row>
        <row r="714">
          <cell r="A714" t="str">
            <v>Kafumbe road</v>
          </cell>
          <cell r="F714">
            <v>521</v>
          </cell>
        </row>
        <row r="715">
          <cell r="A715" t="str">
            <v>BUGANDAROAD</v>
          </cell>
          <cell r="F715">
            <v>521</v>
          </cell>
        </row>
        <row r="716">
          <cell r="A716" t="str">
            <v>BUGANDA ROAD</v>
          </cell>
          <cell r="F716">
            <v>521</v>
          </cell>
        </row>
        <row r="717">
          <cell r="A717" t="str">
            <v>NORTHERN BYPASS</v>
          </cell>
          <cell r="F717">
            <v>521</v>
          </cell>
        </row>
        <row r="718">
          <cell r="A718" t="str">
            <v>NORTHERN BY PASS</v>
          </cell>
          <cell r="F718">
            <v>521</v>
          </cell>
        </row>
        <row r="719">
          <cell r="A719" t="str">
            <v>MUKWANO</v>
          </cell>
          <cell r="F719">
            <v>521</v>
          </cell>
        </row>
        <row r="720">
          <cell r="A720" t="str">
            <v>Mukwano arcade</v>
          </cell>
          <cell r="F720">
            <v>521</v>
          </cell>
        </row>
        <row r="721">
          <cell r="A721" t="str">
            <v>QUEENS WAY</v>
          </cell>
          <cell r="F721">
            <v>521</v>
          </cell>
        </row>
        <row r="722">
          <cell r="A722" t="str">
            <v xml:space="preserve">Speke road </v>
          </cell>
          <cell r="F722">
            <v>521</v>
          </cell>
        </row>
        <row r="723">
          <cell r="A723" t="str">
            <v>CENTRAL POLICE STATION</v>
          </cell>
          <cell r="F723">
            <v>521</v>
          </cell>
        </row>
        <row r="724">
          <cell r="A724" t="str">
            <v>KIKUBO</v>
          </cell>
          <cell r="F724">
            <v>521</v>
          </cell>
        </row>
        <row r="725">
          <cell r="A725" t="str">
            <v>Nakivubo</v>
          </cell>
          <cell r="F725">
            <v>521</v>
          </cell>
        </row>
        <row r="726">
          <cell r="A726" t="str">
            <v>Nassa</v>
          </cell>
          <cell r="F726">
            <v>521</v>
          </cell>
        </row>
        <row r="727">
          <cell r="A727" t="str">
            <v>NASHA</v>
          </cell>
          <cell r="F727">
            <v>521</v>
          </cell>
        </row>
        <row r="728">
          <cell r="A728" t="str">
            <v>Nasser</v>
          </cell>
          <cell r="F728">
            <v>521</v>
          </cell>
        </row>
        <row r="729">
          <cell r="A729" t="str">
            <v xml:space="preserve">NASSER </v>
          </cell>
          <cell r="F729">
            <v>521</v>
          </cell>
        </row>
        <row r="730">
          <cell r="A730" t="str">
            <v>HAM PLAZA</v>
          </cell>
          <cell r="F730">
            <v>521</v>
          </cell>
        </row>
        <row r="731">
          <cell r="A731" t="str">
            <v>GOLF CLUB</v>
          </cell>
          <cell r="F731">
            <v>521</v>
          </cell>
        </row>
        <row r="732">
          <cell r="A732" t="str">
            <v>NASSER ROAD</v>
          </cell>
          <cell r="F732">
            <v>521</v>
          </cell>
        </row>
        <row r="733">
          <cell r="A733" t="str">
            <v>BOMBO ROAD</v>
          </cell>
          <cell r="F733">
            <v>521</v>
          </cell>
        </row>
        <row r="734">
          <cell r="A734" t="str">
            <v>TOWN CITY CENTRE</v>
          </cell>
          <cell r="F734">
            <v>521</v>
          </cell>
        </row>
        <row r="735">
          <cell r="A735" t="str">
            <v>ENTEBBE ROAD</v>
          </cell>
          <cell r="F735">
            <v>521</v>
          </cell>
        </row>
        <row r="736">
          <cell r="A736" t="str">
            <v>Entebbe Rd</v>
          </cell>
          <cell r="F736">
            <v>521</v>
          </cell>
        </row>
        <row r="737">
          <cell r="A737" t="str">
            <v>ENERGY CENTRE</v>
          </cell>
          <cell r="F737">
            <v>521</v>
          </cell>
        </row>
        <row r="738">
          <cell r="A738" t="str">
            <v>Nkurumah</v>
          </cell>
          <cell r="F738">
            <v>521</v>
          </cell>
        </row>
        <row r="739">
          <cell r="A739" t="str">
            <v>Lumumba Avenue</v>
          </cell>
          <cell r="F739">
            <v>521</v>
          </cell>
        </row>
        <row r="740">
          <cell r="A740" t="str">
            <v xml:space="preserve">Lumumba </v>
          </cell>
          <cell r="F740">
            <v>521</v>
          </cell>
        </row>
        <row r="741">
          <cell r="A741" t="str">
            <v>LUMUMBA</v>
          </cell>
          <cell r="F741">
            <v>521</v>
          </cell>
        </row>
        <row r="742">
          <cell r="A742" t="str">
            <v>LUWUUM STREET</v>
          </cell>
          <cell r="F742">
            <v>521</v>
          </cell>
        </row>
        <row r="743">
          <cell r="A743" t="str">
            <v>PARLIAMENT AVENUE</v>
          </cell>
          <cell r="F743">
            <v>521</v>
          </cell>
        </row>
        <row r="744">
          <cell r="A744" t="str">
            <v>CEMENTERS</v>
          </cell>
          <cell r="F744">
            <v>521</v>
          </cell>
        </row>
        <row r="745">
          <cell r="A745" t="str">
            <v>Usafi</v>
          </cell>
          <cell r="F745">
            <v>521</v>
          </cell>
        </row>
        <row r="746">
          <cell r="A746" t="str">
            <v>WATOTO</v>
          </cell>
          <cell r="F746">
            <v>521</v>
          </cell>
        </row>
        <row r="747">
          <cell r="A747" t="str">
            <v>MAPEERA</v>
          </cell>
          <cell r="F747">
            <v>521</v>
          </cell>
        </row>
        <row r="748">
          <cell r="A748" t="str">
            <v>HARM TOWER</v>
          </cell>
          <cell r="F748">
            <v>521</v>
          </cell>
        </row>
        <row r="749">
          <cell r="A749" t="str">
            <v>Galilaya</v>
          </cell>
          <cell r="F749">
            <v>521</v>
          </cell>
        </row>
        <row r="750">
          <cell r="A750" t="str">
            <v>SIX STREET</v>
          </cell>
          <cell r="F750">
            <v>521</v>
          </cell>
        </row>
        <row r="751">
          <cell r="A751" t="str">
            <v>GAZALAND</v>
          </cell>
          <cell r="F751">
            <v>521</v>
          </cell>
        </row>
        <row r="752">
          <cell r="A752" t="str">
            <v>La bonita</v>
          </cell>
          <cell r="F752">
            <v>521</v>
          </cell>
        </row>
        <row r="753">
          <cell r="A753" t="str">
            <v>NATIONAL THEATRE</v>
          </cell>
          <cell r="F753">
            <v>521</v>
          </cell>
        </row>
        <row r="754">
          <cell r="A754" t="str">
            <v>RESORT HOTEL</v>
          </cell>
          <cell r="F754">
            <v>521</v>
          </cell>
        </row>
        <row r="755">
          <cell r="A755" t="str">
            <v>GARDEN CITY</v>
          </cell>
          <cell r="F755">
            <v>521</v>
          </cell>
        </row>
        <row r="756">
          <cell r="A756" t="str">
            <v>MULWANA</v>
          </cell>
          <cell r="F756">
            <v>521</v>
          </cell>
        </row>
        <row r="757">
          <cell r="A757" t="str">
            <v>Magistrate court</v>
          </cell>
          <cell r="F757">
            <v>521</v>
          </cell>
        </row>
        <row r="758">
          <cell r="A758" t="str">
            <v>HANINGTON ROAD</v>
          </cell>
          <cell r="F758">
            <v>521</v>
          </cell>
        </row>
        <row r="759">
          <cell r="A759" t="str">
            <v>Jinja road</v>
          </cell>
          <cell r="F759">
            <v>521</v>
          </cell>
        </row>
        <row r="760">
          <cell r="A760" t="str">
            <v>Charm Tower</v>
          </cell>
          <cell r="F760">
            <v>521</v>
          </cell>
        </row>
        <row r="761">
          <cell r="A761" t="str">
            <v>New taxi park</v>
          </cell>
          <cell r="F761">
            <v>521</v>
          </cell>
        </row>
        <row r="762">
          <cell r="A762" t="str">
            <v>NEWPARK</v>
          </cell>
          <cell r="F762">
            <v>521</v>
          </cell>
        </row>
        <row r="763">
          <cell r="A763" t="str">
            <v>NEW PARK</v>
          </cell>
          <cell r="F763">
            <v>521</v>
          </cell>
        </row>
        <row r="764">
          <cell r="A764" t="str">
            <v>NEWTAXI PARK</v>
          </cell>
          <cell r="F764">
            <v>521</v>
          </cell>
        </row>
        <row r="765">
          <cell r="A765" t="str">
            <v>NEW TAX PARK</v>
          </cell>
          <cell r="F765">
            <v>521</v>
          </cell>
        </row>
        <row r="766">
          <cell r="A766" t="str">
            <v>TAXI PARK</v>
          </cell>
          <cell r="F766">
            <v>521</v>
          </cell>
        </row>
        <row r="767">
          <cell r="A767" t="str">
            <v>LUFULA STAGE</v>
          </cell>
          <cell r="F767">
            <v>521</v>
          </cell>
        </row>
        <row r="768">
          <cell r="A768" t="str">
            <v>EQUITORIAL HOTEL</v>
          </cell>
          <cell r="F768">
            <v>521</v>
          </cell>
        </row>
        <row r="769">
          <cell r="A769" t="str">
            <v>PARK</v>
          </cell>
          <cell r="F769">
            <v>521</v>
          </cell>
        </row>
        <row r="770">
          <cell r="A770" t="str">
            <v>DE WITTON</v>
          </cell>
          <cell r="F770">
            <v>521</v>
          </cell>
        </row>
        <row r="771">
          <cell r="A771" t="str">
            <v>Mini price</v>
          </cell>
          <cell r="F771">
            <v>521</v>
          </cell>
        </row>
        <row r="772">
          <cell r="A772" t="str">
            <v>MINIPRICE</v>
          </cell>
          <cell r="F772">
            <v>521</v>
          </cell>
        </row>
        <row r="773">
          <cell r="A773" t="str">
            <v>Kampala</v>
          </cell>
          <cell r="D773" t="str">
            <v>Central Division</v>
          </cell>
          <cell r="E773" t="str">
            <v>Kampala</v>
          </cell>
          <cell r="F773">
            <v>521</v>
          </cell>
        </row>
        <row r="774">
          <cell r="A774" t="str">
            <v>Gaba</v>
          </cell>
          <cell r="D774" t="str">
            <v>Makindye Division</v>
          </cell>
          <cell r="E774" t="str">
            <v>Gaba</v>
          </cell>
          <cell r="F774">
            <v>522</v>
          </cell>
        </row>
        <row r="775">
          <cell r="A775" t="str">
            <v>KASANGA</v>
          </cell>
          <cell r="F775">
            <v>522</v>
          </cell>
        </row>
        <row r="776">
          <cell r="A776" t="str">
            <v>Munyonyo</v>
          </cell>
          <cell r="D776" t="str">
            <v>Makindye Division</v>
          </cell>
          <cell r="E776" t="str">
            <v>Munyonyo</v>
          </cell>
          <cell r="F776">
            <v>522</v>
          </cell>
        </row>
        <row r="777">
          <cell r="A777" t="str">
            <v>Muyoyo</v>
          </cell>
          <cell r="F777">
            <v>522</v>
          </cell>
        </row>
        <row r="778">
          <cell r="A778" t="str">
            <v>Busaabala</v>
          </cell>
          <cell r="F778">
            <v>522</v>
          </cell>
        </row>
        <row r="779">
          <cell r="A779" t="str">
            <v>Busabaala</v>
          </cell>
          <cell r="F779">
            <v>522</v>
          </cell>
        </row>
        <row r="780">
          <cell r="A780" t="str">
            <v>BUSABALA</v>
          </cell>
          <cell r="F780">
            <v>522</v>
          </cell>
        </row>
        <row r="781">
          <cell r="A781" t="str">
            <v>GANGU</v>
          </cell>
          <cell r="F781">
            <v>522</v>
          </cell>
        </row>
        <row r="782">
          <cell r="A782" t="str">
            <v>KIBIRI</v>
          </cell>
          <cell r="F782">
            <v>522</v>
          </cell>
        </row>
        <row r="783">
          <cell r="A783" t="str">
            <v>Kazi</v>
          </cell>
          <cell r="F783">
            <v>522</v>
          </cell>
        </row>
        <row r="784">
          <cell r="A784" t="str">
            <v>Ggaba</v>
          </cell>
          <cell r="B784" t="str">
            <v>Kampala</v>
          </cell>
          <cell r="C784" t="str">
            <v>KCCA</v>
          </cell>
          <cell r="D784" t="str">
            <v>Makindye Division</v>
          </cell>
          <cell r="E784" t="str">
            <v>Ggaba</v>
          </cell>
          <cell r="F784">
            <v>522</v>
          </cell>
        </row>
        <row r="785">
          <cell r="A785" t="str">
            <v xml:space="preserve">Bunga  </v>
          </cell>
          <cell r="F785">
            <v>522</v>
          </cell>
        </row>
        <row r="786">
          <cell r="A786" t="str">
            <v>BUNGA</v>
          </cell>
          <cell r="F786">
            <v>522</v>
          </cell>
        </row>
        <row r="787">
          <cell r="A787" t="str">
            <v>Kiruddu</v>
          </cell>
          <cell r="F787">
            <v>522</v>
          </cell>
        </row>
        <row r="788">
          <cell r="A788" t="str">
            <v>KILUDDU</v>
          </cell>
          <cell r="F788">
            <v>522</v>
          </cell>
        </row>
        <row r="789">
          <cell r="A789" t="str">
            <v>Kirundu</v>
          </cell>
          <cell r="F789">
            <v>522</v>
          </cell>
        </row>
        <row r="790">
          <cell r="A790" t="str">
            <v>Kirudu</v>
          </cell>
          <cell r="F790">
            <v>522</v>
          </cell>
        </row>
        <row r="791">
          <cell r="A791" t="str">
            <v>KIRUDU HOSPITAL</v>
          </cell>
          <cell r="F791">
            <v>522</v>
          </cell>
        </row>
        <row r="792">
          <cell r="A792" t="str">
            <v>Industrial Area</v>
          </cell>
          <cell r="B792" t="str">
            <v>Kampala</v>
          </cell>
          <cell r="C792" t="str">
            <v>KCCA</v>
          </cell>
          <cell r="D792" t="str">
            <v>Central Division</v>
          </cell>
          <cell r="E792" t="str">
            <v>Industrial Area</v>
          </cell>
          <cell r="F792">
            <v>523</v>
          </cell>
        </row>
        <row r="793">
          <cell r="A793" t="str">
            <v>INDUSTRIAL AREA</v>
          </cell>
          <cell r="F793">
            <v>523</v>
          </cell>
        </row>
        <row r="794">
          <cell r="A794" t="str">
            <v>IDUSTRAL AREA</v>
          </cell>
          <cell r="F794">
            <v>523</v>
          </cell>
        </row>
        <row r="795">
          <cell r="A795" t="str">
            <v>Iindustrial area</v>
          </cell>
          <cell r="F795">
            <v>523</v>
          </cell>
        </row>
        <row r="796">
          <cell r="A796" t="str">
            <v>Industrial Street</v>
          </cell>
          <cell r="F796">
            <v>523</v>
          </cell>
        </row>
        <row r="797">
          <cell r="A797" t="str">
            <v xml:space="preserve">SIXTH STEET </v>
          </cell>
          <cell r="F797">
            <v>523</v>
          </cell>
        </row>
        <row r="798">
          <cell r="A798" t="str">
            <v>SEVENTH STREET</v>
          </cell>
          <cell r="F798">
            <v>523</v>
          </cell>
        </row>
        <row r="799">
          <cell r="A799" t="str">
            <v>NAMUWONGO</v>
          </cell>
          <cell r="F799">
            <v>523</v>
          </cell>
        </row>
        <row r="800">
          <cell r="A800" t="str">
            <v>NEW VISSION</v>
          </cell>
          <cell r="F800">
            <v>523</v>
          </cell>
        </row>
        <row r="801">
          <cell r="A801" t="str">
            <v>Itek</v>
          </cell>
          <cell r="B801" t="str">
            <v>Kampala</v>
          </cell>
          <cell r="C801" t="str">
            <v>KCCA</v>
          </cell>
          <cell r="D801" t="str">
            <v>Nakawa Division</v>
          </cell>
          <cell r="E801" t="str">
            <v>Itek</v>
          </cell>
          <cell r="F801">
            <v>524</v>
          </cell>
        </row>
        <row r="802">
          <cell r="A802" t="str">
            <v>Kabalagala</v>
          </cell>
          <cell r="B802" t="str">
            <v>Kampala</v>
          </cell>
          <cell r="C802" t="str">
            <v>KCCA</v>
          </cell>
          <cell r="D802" t="str">
            <v>Makindye Division</v>
          </cell>
          <cell r="E802" t="str">
            <v>Kabalagala</v>
          </cell>
          <cell r="F802">
            <v>525</v>
          </cell>
        </row>
        <row r="803">
          <cell r="A803" t="str">
            <v>Muyenga</v>
          </cell>
          <cell r="F803">
            <v>525</v>
          </cell>
        </row>
        <row r="804">
          <cell r="A804" t="str">
            <v>Kabowa</v>
          </cell>
          <cell r="B804" t="str">
            <v>Kampala</v>
          </cell>
          <cell r="C804" t="str">
            <v>KCCA</v>
          </cell>
          <cell r="D804" t="str">
            <v>Rubaga Division</v>
          </cell>
          <cell r="E804" t="str">
            <v>Kabowa</v>
          </cell>
          <cell r="F804">
            <v>526</v>
          </cell>
        </row>
        <row r="805">
          <cell r="A805" t="str">
            <v>Wankulukuku</v>
          </cell>
          <cell r="E805" t="str">
            <v>Wankulukuku</v>
          </cell>
          <cell r="F805">
            <v>526</v>
          </cell>
        </row>
        <row r="806">
          <cell r="A806" t="str">
            <v>KITEBI</v>
          </cell>
          <cell r="F806">
            <v>526</v>
          </cell>
        </row>
        <row r="807">
          <cell r="A807" t="str">
            <v>Kagugube</v>
          </cell>
          <cell r="B807" t="str">
            <v>Kampala</v>
          </cell>
          <cell r="C807" t="str">
            <v>KCCA</v>
          </cell>
          <cell r="D807" t="str">
            <v>Central Division</v>
          </cell>
          <cell r="E807" t="str">
            <v>Kagugube</v>
          </cell>
          <cell r="F807">
            <v>527</v>
          </cell>
        </row>
        <row r="808">
          <cell r="A808" t="str">
            <v>Kamwokya</v>
          </cell>
          <cell r="B808" t="str">
            <v>Kampala</v>
          </cell>
          <cell r="C808" t="str">
            <v>KCCA</v>
          </cell>
          <cell r="D808" t="str">
            <v>Central Division</v>
          </cell>
          <cell r="E808" t="str">
            <v>Kamwokya</v>
          </cell>
          <cell r="F808">
            <v>528</v>
          </cell>
        </row>
        <row r="809">
          <cell r="A809" t="str">
            <v>MUESEUM</v>
          </cell>
          <cell r="F809">
            <v>528</v>
          </cell>
        </row>
        <row r="810">
          <cell r="A810" t="str">
            <v>MUSEUM</v>
          </cell>
          <cell r="F810">
            <v>528</v>
          </cell>
        </row>
        <row r="811">
          <cell r="A811" t="str">
            <v>Hillside</v>
          </cell>
          <cell r="F811">
            <v>528</v>
          </cell>
        </row>
        <row r="812">
          <cell r="A812" t="str">
            <v>British embassy</v>
          </cell>
          <cell r="F812">
            <v>528</v>
          </cell>
        </row>
        <row r="813">
          <cell r="A813" t="str">
            <v>KITANTE</v>
          </cell>
          <cell r="F813">
            <v>528</v>
          </cell>
        </row>
        <row r="814">
          <cell r="A814" t="str">
            <v>ACACIA</v>
          </cell>
          <cell r="F814">
            <v>528</v>
          </cell>
        </row>
        <row r="815">
          <cell r="A815" t="str">
            <v>ACCACIA</v>
          </cell>
          <cell r="F815">
            <v>528</v>
          </cell>
        </row>
        <row r="816">
          <cell r="A816" t="str">
            <v>ACACIA MALL</v>
          </cell>
          <cell r="F816">
            <v>528</v>
          </cell>
        </row>
        <row r="817">
          <cell r="A817" t="str">
            <v>Kisementi</v>
          </cell>
          <cell r="F817">
            <v>528</v>
          </cell>
        </row>
        <row r="818">
          <cell r="A818" t="str">
            <v>Lohanna</v>
          </cell>
          <cell r="F818">
            <v>528</v>
          </cell>
        </row>
        <row r="819">
          <cell r="A819" t="str">
            <v>KAMOKYA</v>
          </cell>
          <cell r="F819">
            <v>528</v>
          </cell>
        </row>
        <row r="820">
          <cell r="A820" t="str">
            <v>Mawanda</v>
          </cell>
          <cell r="F820">
            <v>528</v>
          </cell>
        </row>
        <row r="821">
          <cell r="A821" t="str">
            <v>MAWANDA RD</v>
          </cell>
          <cell r="F821">
            <v>528</v>
          </cell>
        </row>
        <row r="822">
          <cell r="A822" t="str">
            <v>Kansanga</v>
          </cell>
          <cell r="B822" t="str">
            <v>Kampala</v>
          </cell>
          <cell r="C822" t="str">
            <v>KCCA</v>
          </cell>
          <cell r="D822" t="str">
            <v>Makindye Division</v>
          </cell>
          <cell r="E822" t="str">
            <v>Kansanga</v>
          </cell>
          <cell r="F822">
            <v>529</v>
          </cell>
        </row>
        <row r="823">
          <cell r="A823" t="str">
            <v>Kanyanya</v>
          </cell>
          <cell r="B823" t="str">
            <v>Kampala</v>
          </cell>
          <cell r="C823" t="str">
            <v>KCCA</v>
          </cell>
          <cell r="D823" t="str">
            <v>Kawempe Division</v>
          </cell>
          <cell r="E823" t="str">
            <v>Kanyanya</v>
          </cell>
          <cell r="F823">
            <v>530</v>
          </cell>
        </row>
        <row r="824">
          <cell r="A824" t="str">
            <v>Kanyaya</v>
          </cell>
          <cell r="F824">
            <v>530</v>
          </cell>
        </row>
        <row r="825">
          <cell r="A825" t="str">
            <v>Kayaya</v>
          </cell>
          <cell r="F825">
            <v>530</v>
          </cell>
        </row>
        <row r="826">
          <cell r="A826" t="str">
            <v>MWENDE</v>
          </cell>
          <cell r="F826">
            <v>530</v>
          </cell>
        </row>
        <row r="827">
          <cell r="A827" t="str">
            <v>TUULA</v>
          </cell>
          <cell r="F827">
            <v>530</v>
          </cell>
        </row>
        <row r="828">
          <cell r="A828" t="str">
            <v>Kasubi</v>
          </cell>
          <cell r="B828" t="str">
            <v>Kampala</v>
          </cell>
          <cell r="C828" t="str">
            <v>KCCA</v>
          </cell>
          <cell r="D828" t="str">
            <v>Rubaga Division</v>
          </cell>
          <cell r="E828" t="str">
            <v>Kasubi</v>
          </cell>
          <cell r="F828">
            <v>531</v>
          </cell>
        </row>
        <row r="829">
          <cell r="A829" t="str">
            <v>KASSUB</v>
          </cell>
          <cell r="F829">
            <v>531</v>
          </cell>
        </row>
        <row r="830">
          <cell r="A830" t="str">
            <v>KILOKOLE</v>
          </cell>
          <cell r="F830">
            <v>531</v>
          </cell>
        </row>
        <row r="831">
          <cell r="A831" t="str">
            <v>KIROKORE</v>
          </cell>
          <cell r="F831">
            <v>531</v>
          </cell>
        </row>
        <row r="832">
          <cell r="A832" t="str">
            <v>Bulanga</v>
          </cell>
          <cell r="F832">
            <v>531</v>
          </cell>
        </row>
        <row r="833">
          <cell r="A833" t="str">
            <v>NAMUNGONA</v>
          </cell>
          <cell r="F833">
            <v>531</v>
          </cell>
        </row>
        <row r="834">
          <cell r="A834" t="str">
            <v>NAMUGONA</v>
          </cell>
          <cell r="F834">
            <v>531</v>
          </cell>
        </row>
        <row r="835">
          <cell r="A835" t="str">
            <v>NAMUNGOONA</v>
          </cell>
          <cell r="F835">
            <v>531</v>
          </cell>
        </row>
        <row r="836">
          <cell r="A836" t="str">
            <v>Katwe</v>
          </cell>
          <cell r="B836" t="str">
            <v>Kampala</v>
          </cell>
          <cell r="C836" t="str">
            <v>KCCA</v>
          </cell>
          <cell r="D836" t="str">
            <v>Makindye Division</v>
          </cell>
          <cell r="E836" t="str">
            <v>Katwe</v>
          </cell>
          <cell r="F836">
            <v>532</v>
          </cell>
        </row>
        <row r="837">
          <cell r="A837" t="str">
            <v>KABUSU</v>
          </cell>
          <cell r="F837">
            <v>532</v>
          </cell>
        </row>
        <row r="838">
          <cell r="A838" t="str">
            <v>Kawempe</v>
          </cell>
          <cell r="B838" t="str">
            <v>Kampala</v>
          </cell>
          <cell r="C838" t="str">
            <v>KCCA</v>
          </cell>
          <cell r="D838" t="str">
            <v>Kawempe Division</v>
          </cell>
          <cell r="E838" t="str">
            <v>Kawempe</v>
          </cell>
          <cell r="F838">
            <v>533</v>
          </cell>
        </row>
        <row r="839">
          <cell r="A839" t="str">
            <v>KAWEMPE HOSPITAL</v>
          </cell>
          <cell r="F839">
            <v>533</v>
          </cell>
        </row>
        <row r="840">
          <cell r="A840" t="str">
            <v>TICK HOTEL</v>
          </cell>
          <cell r="F840">
            <v>533</v>
          </cell>
        </row>
        <row r="841">
          <cell r="A841" t="str">
            <v>TULA</v>
          </cell>
          <cell r="F841">
            <v>533</v>
          </cell>
        </row>
        <row r="842">
          <cell r="A842" t="str">
            <v>Tula Kawempe</v>
          </cell>
          <cell r="F842">
            <v>533</v>
          </cell>
        </row>
        <row r="843">
          <cell r="A843" t="str">
            <v xml:space="preserve">TULA ROAD </v>
          </cell>
          <cell r="F843">
            <v>533</v>
          </cell>
        </row>
        <row r="844">
          <cell r="A844" t="str">
            <v>Kazo Angola</v>
          </cell>
          <cell r="B844" t="str">
            <v>Kampala</v>
          </cell>
          <cell r="C844" t="str">
            <v>KCCA</v>
          </cell>
          <cell r="D844" t="str">
            <v>Kawempe Division</v>
          </cell>
          <cell r="E844" t="str">
            <v>Kazo Angola</v>
          </cell>
          <cell r="F844">
            <v>534</v>
          </cell>
        </row>
        <row r="845">
          <cell r="A845" t="str">
            <v>Kazzo</v>
          </cell>
          <cell r="F845">
            <v>534</v>
          </cell>
        </row>
        <row r="846">
          <cell r="A846" t="str">
            <v>Kaazo</v>
          </cell>
          <cell r="F846">
            <v>534</v>
          </cell>
        </row>
        <row r="847">
          <cell r="A847" t="str">
            <v>ANGOLA</v>
          </cell>
          <cell r="F847">
            <v>534</v>
          </cell>
        </row>
        <row r="848">
          <cell r="A848" t="str">
            <v>Kibuli</v>
          </cell>
          <cell r="B848" t="str">
            <v>Kampala</v>
          </cell>
          <cell r="C848" t="str">
            <v>KCCA</v>
          </cell>
          <cell r="D848" t="str">
            <v>Makindye Division</v>
          </cell>
          <cell r="E848" t="str">
            <v>Kibuli</v>
          </cell>
          <cell r="F848">
            <v>535</v>
          </cell>
        </row>
        <row r="849">
          <cell r="A849" t="str">
            <v>Kibuye</v>
          </cell>
          <cell r="B849" t="str">
            <v>Kampala</v>
          </cell>
          <cell r="C849" t="str">
            <v>KCCA</v>
          </cell>
          <cell r="D849" t="str">
            <v>Makindye Division</v>
          </cell>
          <cell r="E849" t="str">
            <v>Kibuye</v>
          </cell>
          <cell r="F849">
            <v>536</v>
          </cell>
        </row>
        <row r="850">
          <cell r="A850" t="str">
            <v>KOBIL</v>
          </cell>
          <cell r="F850">
            <v>536</v>
          </cell>
        </row>
        <row r="851">
          <cell r="A851" t="str">
            <v>Kikaaya</v>
          </cell>
          <cell r="B851" t="str">
            <v>Kampala</v>
          </cell>
          <cell r="C851" t="str">
            <v>KCCA</v>
          </cell>
          <cell r="D851" t="str">
            <v>Kawempe Division</v>
          </cell>
          <cell r="E851" t="str">
            <v>Kikaaya</v>
          </cell>
          <cell r="F851">
            <v>537</v>
          </cell>
        </row>
        <row r="852">
          <cell r="A852" t="str">
            <v xml:space="preserve">Kisenyi </v>
          </cell>
          <cell r="B852" t="str">
            <v>Kampala</v>
          </cell>
          <cell r="C852" t="str">
            <v>KCCA</v>
          </cell>
          <cell r="D852" t="str">
            <v>Central Division</v>
          </cell>
          <cell r="E852" t="str">
            <v xml:space="preserve">Kisenyi </v>
          </cell>
          <cell r="F852">
            <v>538</v>
          </cell>
        </row>
        <row r="853">
          <cell r="A853" t="str">
            <v>Kisenyi</v>
          </cell>
          <cell r="F853">
            <v>538</v>
          </cell>
        </row>
        <row r="854">
          <cell r="A854" t="str">
            <v>Kibwa kampala</v>
          </cell>
          <cell r="F854">
            <v>538</v>
          </cell>
        </row>
        <row r="855">
          <cell r="A855" t="str">
            <v>Kisugu</v>
          </cell>
          <cell r="B855" t="str">
            <v>Kampala</v>
          </cell>
          <cell r="C855" t="str">
            <v>KCCA</v>
          </cell>
          <cell r="D855" t="str">
            <v>Makindye Division</v>
          </cell>
          <cell r="E855" t="str">
            <v>Kisugu</v>
          </cell>
          <cell r="F855">
            <v>539</v>
          </cell>
        </row>
        <row r="856">
          <cell r="A856" t="str">
            <v>MBOGO</v>
          </cell>
          <cell r="F856">
            <v>539</v>
          </cell>
        </row>
        <row r="857">
          <cell r="A857" t="str">
            <v>KAWEMBE MBOGO</v>
          </cell>
          <cell r="F857">
            <v>539</v>
          </cell>
        </row>
        <row r="858">
          <cell r="A858" t="str">
            <v>Kiswa</v>
          </cell>
          <cell r="B858" t="str">
            <v>Kampala</v>
          </cell>
          <cell r="C858" t="str">
            <v>KCCA</v>
          </cell>
          <cell r="D858" t="str">
            <v>Nakawa Division</v>
          </cell>
          <cell r="E858" t="str">
            <v>Kiswa</v>
          </cell>
          <cell r="F858">
            <v>540</v>
          </cell>
        </row>
        <row r="859">
          <cell r="A859" t="str">
            <v>Kiwatule</v>
          </cell>
          <cell r="B859" t="str">
            <v>Kampala</v>
          </cell>
          <cell r="C859" t="str">
            <v>KCCA</v>
          </cell>
          <cell r="D859" t="str">
            <v>Nakawa Division</v>
          </cell>
          <cell r="E859" t="str">
            <v>Kiwatule</v>
          </cell>
          <cell r="F859">
            <v>541</v>
          </cell>
        </row>
        <row r="860">
          <cell r="A860" t="str">
            <v>Kololo</v>
          </cell>
          <cell r="B860" t="str">
            <v>Kampala</v>
          </cell>
          <cell r="C860" t="str">
            <v>KCCA</v>
          </cell>
          <cell r="D860" t="str">
            <v>Central Division</v>
          </cell>
          <cell r="E860" t="str">
            <v>Kololo</v>
          </cell>
          <cell r="F860">
            <v>542</v>
          </cell>
        </row>
        <row r="861">
          <cell r="A861" t="str">
            <v>WAMPEWO ANVENU</v>
          </cell>
          <cell r="F861">
            <v>542</v>
          </cell>
        </row>
        <row r="862">
          <cell r="A862" t="str">
            <v>Wampeewo</v>
          </cell>
          <cell r="F862">
            <v>542</v>
          </cell>
        </row>
        <row r="863">
          <cell r="A863" t="str">
            <v>WAMPEWO</v>
          </cell>
          <cell r="F863">
            <v>542</v>
          </cell>
        </row>
        <row r="864">
          <cell r="A864" t="str">
            <v>Komamboga</v>
          </cell>
          <cell r="B864" t="str">
            <v>Kampala</v>
          </cell>
          <cell r="C864" t="str">
            <v>KCCA</v>
          </cell>
          <cell r="D864" t="str">
            <v>Kawempe Division</v>
          </cell>
          <cell r="E864" t="str">
            <v>Komamboga</v>
          </cell>
          <cell r="F864">
            <v>543</v>
          </cell>
        </row>
        <row r="865">
          <cell r="A865" t="str">
            <v>Kyambogo</v>
          </cell>
          <cell r="B865" t="str">
            <v>Kampala</v>
          </cell>
          <cell r="C865" t="str">
            <v>KCCA</v>
          </cell>
          <cell r="D865" t="str">
            <v>Nakawa Division</v>
          </cell>
          <cell r="E865" t="str">
            <v>Kyambogo</v>
          </cell>
          <cell r="F865">
            <v>544</v>
          </cell>
        </row>
        <row r="866">
          <cell r="A866" t="str">
            <v>Kyanja</v>
          </cell>
          <cell r="B866" t="str">
            <v>Kampala</v>
          </cell>
          <cell r="C866" t="str">
            <v>KCCA</v>
          </cell>
          <cell r="D866" t="str">
            <v>Nakawa Division</v>
          </cell>
          <cell r="E866" t="str">
            <v>Kyanja</v>
          </cell>
          <cell r="F866">
            <v>545</v>
          </cell>
        </row>
        <row r="867">
          <cell r="A867" t="str">
            <v>KITETIKA</v>
          </cell>
          <cell r="F867">
            <v>545</v>
          </cell>
        </row>
        <row r="868">
          <cell r="A868" t="str">
            <v>Kumamboga</v>
          </cell>
          <cell r="F868">
            <v>545</v>
          </cell>
        </row>
        <row r="869">
          <cell r="A869" t="str">
            <v>KISASI</v>
          </cell>
          <cell r="F869">
            <v>545</v>
          </cell>
        </row>
        <row r="870">
          <cell r="A870" t="str">
            <v>Kisaasi</v>
          </cell>
          <cell r="F870">
            <v>545</v>
          </cell>
        </row>
        <row r="871">
          <cell r="A871" t="str">
            <v>KULAMBIRO</v>
          </cell>
          <cell r="F871">
            <v>545</v>
          </cell>
        </row>
        <row r="872">
          <cell r="A872" t="str">
            <v>Kyebando</v>
          </cell>
          <cell r="B872" t="str">
            <v>Kampala</v>
          </cell>
          <cell r="C872" t="str">
            <v>KCCA</v>
          </cell>
          <cell r="D872" t="str">
            <v>Kawempe Division</v>
          </cell>
          <cell r="E872" t="str">
            <v>Kyebando</v>
          </cell>
          <cell r="F872">
            <v>546</v>
          </cell>
        </row>
        <row r="873">
          <cell r="A873" t="str">
            <v>DELTA KYEBANDO</v>
          </cell>
          <cell r="F873">
            <v>546</v>
          </cell>
        </row>
        <row r="874">
          <cell r="A874" t="str">
            <v>NSOOBA KYEBANDO</v>
          </cell>
          <cell r="F874">
            <v>546</v>
          </cell>
        </row>
        <row r="875">
          <cell r="A875" t="str">
            <v>Nsoba</v>
          </cell>
          <cell r="F875">
            <v>546</v>
          </cell>
        </row>
        <row r="876">
          <cell r="A876" t="str">
            <v>Nsooba</v>
          </cell>
          <cell r="F876">
            <v>546</v>
          </cell>
        </row>
        <row r="877">
          <cell r="A877" t="str">
            <v>Kalerwe</v>
          </cell>
          <cell r="F877">
            <v>546</v>
          </cell>
        </row>
        <row r="878">
          <cell r="A878" t="str">
            <v>Kalewre</v>
          </cell>
          <cell r="F878">
            <v>546</v>
          </cell>
        </row>
        <row r="879">
          <cell r="A879" t="str">
            <v>Kalerwe market</v>
          </cell>
          <cell r="F879">
            <v>546</v>
          </cell>
        </row>
        <row r="880">
          <cell r="A880" t="str">
            <v>Mabule</v>
          </cell>
          <cell r="F880">
            <v>546</v>
          </cell>
        </row>
        <row r="881">
          <cell r="A881" t="str">
            <v>Manbule</v>
          </cell>
          <cell r="F881">
            <v>546</v>
          </cell>
        </row>
        <row r="882">
          <cell r="A882" t="str">
            <v>Mambure</v>
          </cell>
          <cell r="F882">
            <v>546</v>
          </cell>
        </row>
        <row r="883">
          <cell r="A883" t="str">
            <v>Mambule</v>
          </cell>
          <cell r="F883">
            <v>546</v>
          </cell>
        </row>
        <row r="884">
          <cell r="A884" t="str">
            <v>Lubaga</v>
          </cell>
          <cell r="B884" t="str">
            <v>Kampala</v>
          </cell>
          <cell r="C884" t="str">
            <v>KCCA</v>
          </cell>
          <cell r="D884" t="str">
            <v>Rubaga Division</v>
          </cell>
          <cell r="E884" t="str">
            <v>Lubaga</v>
          </cell>
          <cell r="F884">
            <v>547</v>
          </cell>
        </row>
        <row r="885">
          <cell r="A885" t="str">
            <v>Rubaga</v>
          </cell>
          <cell r="E885" t="str">
            <v>Rubaga</v>
          </cell>
          <cell r="F885">
            <v>547</v>
          </cell>
        </row>
        <row r="886">
          <cell r="A886" t="str">
            <v>RUBAGA HOSPITAL</v>
          </cell>
          <cell r="F886">
            <v>547</v>
          </cell>
        </row>
        <row r="887">
          <cell r="A887" t="str">
            <v>Lubya</v>
          </cell>
          <cell r="B887" t="str">
            <v>Kampala</v>
          </cell>
          <cell r="C887" t="str">
            <v>KCCA</v>
          </cell>
          <cell r="D887" t="str">
            <v>Lubya</v>
          </cell>
          <cell r="E887" t="str">
            <v>Lubya</v>
          </cell>
          <cell r="F887">
            <v>548</v>
          </cell>
        </row>
        <row r="888">
          <cell r="A888" t="str">
            <v>MASANAFU</v>
          </cell>
          <cell r="F888">
            <v>548</v>
          </cell>
        </row>
        <row r="889">
          <cell r="A889" t="str">
            <v>Lukuli</v>
          </cell>
          <cell r="B889" t="str">
            <v>Kampala</v>
          </cell>
          <cell r="C889" t="str">
            <v>KCCA</v>
          </cell>
          <cell r="D889" t="str">
            <v>Makindye Division</v>
          </cell>
          <cell r="E889" t="str">
            <v>Lukuli</v>
          </cell>
          <cell r="F889">
            <v>549</v>
          </cell>
        </row>
        <row r="890">
          <cell r="A890" t="str">
            <v>Lungujja</v>
          </cell>
          <cell r="B890" t="str">
            <v>Kampala</v>
          </cell>
          <cell r="C890" t="str">
            <v>KCCA</v>
          </cell>
          <cell r="D890" t="str">
            <v>Rubaga Division</v>
          </cell>
          <cell r="E890" t="str">
            <v>Lungujja</v>
          </cell>
          <cell r="F890">
            <v>550</v>
          </cell>
        </row>
        <row r="891">
          <cell r="A891" t="str">
            <v>LUNGUJA</v>
          </cell>
          <cell r="F891">
            <v>550</v>
          </cell>
        </row>
        <row r="892">
          <cell r="A892" t="str">
            <v>Wakaliga</v>
          </cell>
          <cell r="F892">
            <v>550</v>
          </cell>
        </row>
        <row r="893">
          <cell r="A893" t="str">
            <v>Luwafu</v>
          </cell>
          <cell r="B893" t="str">
            <v>Kampala</v>
          </cell>
          <cell r="C893" t="str">
            <v>KCCA</v>
          </cell>
          <cell r="D893" t="str">
            <v>Makindye Division</v>
          </cell>
          <cell r="E893" t="str">
            <v>Luwafu</v>
          </cell>
          <cell r="F893">
            <v>551</v>
          </cell>
        </row>
        <row r="894">
          <cell r="A894" t="str">
            <v>Lyati stage</v>
          </cell>
          <cell r="F894">
            <v>551</v>
          </cell>
        </row>
        <row r="895">
          <cell r="A895" t="str">
            <v>Lwasa stage</v>
          </cell>
          <cell r="F895">
            <v>551</v>
          </cell>
        </row>
        <row r="896">
          <cell r="A896" t="str">
            <v>LUWASA</v>
          </cell>
          <cell r="F896">
            <v>551</v>
          </cell>
        </row>
        <row r="897">
          <cell r="A897" t="str">
            <v>Kulwasa</v>
          </cell>
          <cell r="F897">
            <v>551</v>
          </cell>
        </row>
        <row r="898">
          <cell r="A898" t="str">
            <v>Katuba stage</v>
          </cell>
          <cell r="F898">
            <v>551</v>
          </cell>
        </row>
        <row r="899">
          <cell r="A899" t="str">
            <v>Luzira</v>
          </cell>
          <cell r="B899" t="str">
            <v>Kampala</v>
          </cell>
          <cell r="C899" t="str">
            <v>KCCA</v>
          </cell>
          <cell r="D899" t="str">
            <v>Nakawa Division</v>
          </cell>
          <cell r="E899" t="str">
            <v>Luzira</v>
          </cell>
          <cell r="F899">
            <v>552</v>
          </cell>
        </row>
        <row r="900">
          <cell r="A900" t="str">
            <v>LUZIRA</v>
          </cell>
          <cell r="F900">
            <v>552</v>
          </cell>
        </row>
        <row r="901">
          <cell r="A901" t="str">
            <v>Luzira Prisons</v>
          </cell>
          <cell r="B901" t="str">
            <v>Kampala</v>
          </cell>
          <cell r="C901" t="str">
            <v>KCCA</v>
          </cell>
          <cell r="D901" t="str">
            <v>Nakawa Division</v>
          </cell>
          <cell r="E901" t="str">
            <v>Luzira Prisons</v>
          </cell>
          <cell r="F901">
            <v>553</v>
          </cell>
        </row>
        <row r="902">
          <cell r="A902" t="str">
            <v xml:space="preserve">LUZIRA </v>
          </cell>
          <cell r="F902">
            <v>553</v>
          </cell>
        </row>
        <row r="903">
          <cell r="A903" t="str">
            <v>PORT BELL ROAD</v>
          </cell>
          <cell r="F903">
            <v>553</v>
          </cell>
        </row>
        <row r="904">
          <cell r="A904" t="str">
            <v>KIROMBE</v>
          </cell>
          <cell r="F904">
            <v>553</v>
          </cell>
        </row>
        <row r="905">
          <cell r="A905" t="str">
            <v>Kunya</v>
          </cell>
          <cell r="F905">
            <v>553</v>
          </cell>
        </row>
        <row r="906">
          <cell r="A906" t="str">
            <v>Makerere</v>
          </cell>
          <cell r="B906" t="str">
            <v>Kampala</v>
          </cell>
          <cell r="C906" t="str">
            <v>KCCA</v>
          </cell>
          <cell r="D906" t="str">
            <v>Kawempe Division</v>
          </cell>
          <cell r="E906" t="str">
            <v>Makerere</v>
          </cell>
          <cell r="F906">
            <v>554</v>
          </cell>
        </row>
        <row r="907">
          <cell r="A907" t="str">
            <v>KIYINDI</v>
          </cell>
          <cell r="F907">
            <v>554</v>
          </cell>
        </row>
        <row r="908">
          <cell r="A908" t="str">
            <v>BBIRA</v>
          </cell>
          <cell r="F908">
            <v>554</v>
          </cell>
        </row>
        <row r="909">
          <cell r="A909" t="str">
            <v>Bira</v>
          </cell>
          <cell r="F909">
            <v>554</v>
          </cell>
        </row>
        <row r="910">
          <cell r="A910" t="str">
            <v>KAVULE</v>
          </cell>
          <cell r="F910">
            <v>554</v>
          </cell>
        </row>
        <row r="911">
          <cell r="A911" t="str">
            <v>KIKONI</v>
          </cell>
          <cell r="F911">
            <v>554</v>
          </cell>
        </row>
        <row r="912">
          <cell r="A912" t="str">
            <v>KIKONI MAKERERE</v>
          </cell>
          <cell r="F912">
            <v>554</v>
          </cell>
        </row>
        <row r="913">
          <cell r="A913" t="str">
            <v>KALULWE</v>
          </cell>
          <cell r="F913">
            <v>554</v>
          </cell>
        </row>
        <row r="914">
          <cell r="A914" t="str">
            <v>Makerere University</v>
          </cell>
          <cell r="B914" t="str">
            <v>Kampala</v>
          </cell>
          <cell r="C914" t="str">
            <v>KCCA</v>
          </cell>
          <cell r="D914" t="str">
            <v>Kawempe Division</v>
          </cell>
          <cell r="E914" t="str">
            <v>Makerere University</v>
          </cell>
          <cell r="F914">
            <v>555</v>
          </cell>
        </row>
        <row r="915">
          <cell r="A915" t="str">
            <v>MAKERERE COLLEGE</v>
          </cell>
          <cell r="F915">
            <v>555</v>
          </cell>
        </row>
        <row r="916">
          <cell r="A916" t="str">
            <v>Makindye</v>
          </cell>
          <cell r="B916" t="str">
            <v>Kampala</v>
          </cell>
          <cell r="C916" t="str">
            <v>KCCA</v>
          </cell>
          <cell r="D916" t="str">
            <v>Makindye Division</v>
          </cell>
          <cell r="E916" t="str">
            <v>Makindye</v>
          </cell>
          <cell r="F916">
            <v>556</v>
          </cell>
        </row>
        <row r="917">
          <cell r="A917" t="str">
            <v>MAKYINDYE</v>
          </cell>
          <cell r="F917">
            <v>556</v>
          </cell>
        </row>
        <row r="918">
          <cell r="A918" t="str">
            <v>KIZUNGU</v>
          </cell>
          <cell r="F918">
            <v>556</v>
          </cell>
        </row>
        <row r="919">
          <cell r="A919" t="str">
            <v>Mbuya</v>
          </cell>
          <cell r="B919" t="str">
            <v>Kampala</v>
          </cell>
          <cell r="C919" t="str">
            <v>KCCA</v>
          </cell>
          <cell r="D919" t="str">
            <v>Nakawa Division</v>
          </cell>
          <cell r="E919" t="str">
            <v>Mbuya</v>
          </cell>
          <cell r="F919">
            <v>557</v>
          </cell>
        </row>
        <row r="920">
          <cell r="A920" t="str">
            <v>MBUYA POLICE</v>
          </cell>
          <cell r="F920">
            <v>557</v>
          </cell>
        </row>
        <row r="921">
          <cell r="A921" t="str">
            <v>Mengo</v>
          </cell>
          <cell r="B921" t="str">
            <v>Kampala</v>
          </cell>
          <cell r="C921" t="str">
            <v>KCCA</v>
          </cell>
          <cell r="D921" t="str">
            <v>Central Division</v>
          </cell>
          <cell r="E921" t="str">
            <v>Mengo</v>
          </cell>
          <cell r="F921">
            <v>558</v>
          </cell>
        </row>
        <row r="922">
          <cell r="A922" t="str">
            <v>MENGO HOSPITAL</v>
          </cell>
          <cell r="F922">
            <v>558</v>
          </cell>
        </row>
        <row r="923">
          <cell r="A923" t="str">
            <v>Mpererwe</v>
          </cell>
          <cell r="B923" t="str">
            <v>Kampala</v>
          </cell>
          <cell r="C923" t="str">
            <v>KCCA</v>
          </cell>
          <cell r="D923" t="str">
            <v>Kawempe Division</v>
          </cell>
          <cell r="E923" t="str">
            <v>Mpererwe</v>
          </cell>
          <cell r="F923">
            <v>559</v>
          </cell>
        </row>
        <row r="924">
          <cell r="A924" t="str">
            <v>MPERELWE</v>
          </cell>
          <cell r="F924">
            <v>559</v>
          </cell>
        </row>
        <row r="925">
          <cell r="A925" t="str">
            <v>MPERWRWE</v>
          </cell>
          <cell r="F925">
            <v>559</v>
          </cell>
        </row>
        <row r="926">
          <cell r="A926" t="str">
            <v>MPELERWE</v>
          </cell>
          <cell r="F926">
            <v>559</v>
          </cell>
        </row>
        <row r="927">
          <cell r="A927" t="str">
            <v>Namere</v>
          </cell>
          <cell r="F927">
            <v>559</v>
          </cell>
        </row>
        <row r="928">
          <cell r="A928" t="str">
            <v>NAMERE MPELERWE</v>
          </cell>
          <cell r="F928">
            <v>559</v>
          </cell>
        </row>
        <row r="929">
          <cell r="A929" t="str">
            <v>KATALEMWA</v>
          </cell>
          <cell r="F929">
            <v>559</v>
          </cell>
        </row>
        <row r="930">
          <cell r="A930" t="str">
            <v>KATEMWA</v>
          </cell>
          <cell r="F930">
            <v>559</v>
          </cell>
        </row>
        <row r="931">
          <cell r="A931" t="str">
            <v>Mulago</v>
          </cell>
          <cell r="B931" t="str">
            <v>Kampala</v>
          </cell>
          <cell r="C931" t="str">
            <v>KCCA</v>
          </cell>
          <cell r="D931" t="str">
            <v>Kawempe Division</v>
          </cell>
          <cell r="E931" t="str">
            <v>Mulago</v>
          </cell>
          <cell r="F931">
            <v>560</v>
          </cell>
        </row>
        <row r="932">
          <cell r="A932" t="str">
            <v>KIUBIRI MULAGO</v>
          </cell>
          <cell r="F932">
            <v>560</v>
          </cell>
        </row>
        <row r="933">
          <cell r="A933" t="str">
            <v>Mutundwe</v>
          </cell>
          <cell r="B933" t="str">
            <v>Kampala</v>
          </cell>
          <cell r="C933" t="str">
            <v>KCCA</v>
          </cell>
          <cell r="D933" t="str">
            <v>Rubaga Division</v>
          </cell>
          <cell r="E933" t="str">
            <v>Mutundwe</v>
          </cell>
          <cell r="F933">
            <v>561</v>
          </cell>
        </row>
        <row r="934">
          <cell r="A934" t="str">
            <v>Nyanama</v>
          </cell>
          <cell r="F934">
            <v>561</v>
          </cell>
        </row>
        <row r="935">
          <cell r="A935" t="str">
            <v>MOVIT (LTD)</v>
          </cell>
          <cell r="F935">
            <v>561</v>
          </cell>
        </row>
        <row r="936">
          <cell r="A936" t="str">
            <v>NALUKONGO</v>
          </cell>
          <cell r="F936">
            <v>561</v>
          </cell>
        </row>
        <row r="937">
          <cell r="A937" t="str">
            <v>NALUKOLONGO</v>
          </cell>
          <cell r="F937">
            <v>561</v>
          </cell>
        </row>
        <row r="938">
          <cell r="A938" t="str">
            <v>KAKAJJO</v>
          </cell>
          <cell r="F938">
            <v>561</v>
          </cell>
        </row>
        <row r="939">
          <cell r="A939" t="str">
            <v>Mutungo</v>
          </cell>
          <cell r="B939" t="str">
            <v>Kampala</v>
          </cell>
          <cell r="C939" t="str">
            <v>KCCA</v>
          </cell>
          <cell r="D939" t="str">
            <v>Nakawa Division</v>
          </cell>
          <cell r="E939" t="str">
            <v>Mutungo</v>
          </cell>
          <cell r="F939">
            <v>562</v>
          </cell>
        </row>
        <row r="940">
          <cell r="A940" t="str">
            <v>Mutungo Binna</v>
          </cell>
          <cell r="F940">
            <v>562</v>
          </cell>
        </row>
        <row r="941">
          <cell r="A941" t="str">
            <v>KITIKO</v>
          </cell>
          <cell r="F941">
            <v>562</v>
          </cell>
        </row>
        <row r="942">
          <cell r="A942" t="str">
            <v>MUTUNGA</v>
          </cell>
          <cell r="F942">
            <v>562</v>
          </cell>
        </row>
        <row r="943">
          <cell r="A943" t="str">
            <v>BINA</v>
          </cell>
          <cell r="F943">
            <v>562</v>
          </cell>
        </row>
        <row r="944">
          <cell r="A944" t="str">
            <v>Nabisunsa</v>
          </cell>
          <cell r="B944" t="str">
            <v>Kampala</v>
          </cell>
          <cell r="C944" t="str">
            <v>KCCA</v>
          </cell>
          <cell r="D944" t="str">
            <v>Nakawa Division</v>
          </cell>
          <cell r="E944" t="str">
            <v>Nabisunsa</v>
          </cell>
          <cell r="F944">
            <v>563</v>
          </cell>
        </row>
        <row r="945">
          <cell r="A945" t="str">
            <v>Naguru</v>
          </cell>
          <cell r="B945" t="str">
            <v>Kampala</v>
          </cell>
          <cell r="C945" t="str">
            <v>KCCA</v>
          </cell>
          <cell r="D945" t="str">
            <v>Nakawa Division</v>
          </cell>
          <cell r="E945" t="str">
            <v>Naguru</v>
          </cell>
          <cell r="F945">
            <v>564</v>
          </cell>
        </row>
        <row r="946">
          <cell r="A946" t="str">
            <v>Nagulu</v>
          </cell>
          <cell r="F946">
            <v>564</v>
          </cell>
        </row>
        <row r="947">
          <cell r="A947" t="str">
            <v>Najjanankumbi</v>
          </cell>
          <cell r="B947" t="str">
            <v>Kampala</v>
          </cell>
          <cell r="C947" t="str">
            <v>KCCA</v>
          </cell>
          <cell r="D947" t="str">
            <v>Rubaga Division</v>
          </cell>
          <cell r="E947" t="str">
            <v>Najjanankumbi</v>
          </cell>
          <cell r="F947">
            <v>565</v>
          </cell>
        </row>
        <row r="948">
          <cell r="A948" t="str">
            <v>NAJANANKUBI</v>
          </cell>
          <cell r="F948">
            <v>565</v>
          </cell>
        </row>
        <row r="949">
          <cell r="A949" t="str">
            <v>NAJJANAKUMBI</v>
          </cell>
          <cell r="F949">
            <v>565</v>
          </cell>
        </row>
        <row r="950">
          <cell r="A950" t="str">
            <v>NAJANANKUMBI</v>
          </cell>
          <cell r="F950">
            <v>565</v>
          </cell>
        </row>
        <row r="951">
          <cell r="A951" t="str">
            <v>SITELLA</v>
          </cell>
          <cell r="F951">
            <v>565</v>
          </cell>
        </row>
        <row r="952">
          <cell r="A952" t="str">
            <v>Freedom city</v>
          </cell>
          <cell r="F952">
            <v>565</v>
          </cell>
        </row>
        <row r="953">
          <cell r="A953" t="str">
            <v>Zana</v>
          </cell>
          <cell r="F953">
            <v>565</v>
          </cell>
        </row>
        <row r="954">
          <cell r="A954" t="str">
            <v>ZAANA</v>
          </cell>
          <cell r="F954">
            <v>565</v>
          </cell>
        </row>
        <row r="955">
          <cell r="A955" t="str">
            <v>Nakasero</v>
          </cell>
          <cell r="B955" t="str">
            <v>Kampala</v>
          </cell>
          <cell r="C955" t="str">
            <v>KCCA</v>
          </cell>
          <cell r="D955" t="str">
            <v>Central Division</v>
          </cell>
          <cell r="E955" t="str">
            <v>Nakasero</v>
          </cell>
          <cell r="F955">
            <v>566</v>
          </cell>
        </row>
        <row r="956">
          <cell r="A956" t="str">
            <v>MEAT PACK</v>
          </cell>
          <cell r="F956">
            <v>566</v>
          </cell>
        </row>
        <row r="957">
          <cell r="A957" t="str">
            <v>RWENZORI COURTS</v>
          </cell>
          <cell r="F957">
            <v>566</v>
          </cell>
        </row>
        <row r="958">
          <cell r="A958" t="str">
            <v>FAIRWAY</v>
          </cell>
          <cell r="F958">
            <v>566</v>
          </cell>
        </row>
        <row r="959">
          <cell r="A959" t="str">
            <v>Nakawa</v>
          </cell>
          <cell r="B959" t="str">
            <v>Kampala</v>
          </cell>
          <cell r="C959" t="str">
            <v>KCCA</v>
          </cell>
          <cell r="D959" t="str">
            <v>Nakawa Division</v>
          </cell>
          <cell r="E959" t="str">
            <v>Nakawa</v>
          </cell>
          <cell r="F959">
            <v>567</v>
          </cell>
        </row>
        <row r="960">
          <cell r="A960" t="str">
            <v>Nakawa Institute</v>
          </cell>
          <cell r="B960" t="str">
            <v>Kampala</v>
          </cell>
          <cell r="C960" t="str">
            <v>KCCA</v>
          </cell>
          <cell r="D960" t="str">
            <v>Nakawa Division</v>
          </cell>
          <cell r="E960" t="str">
            <v>Nakawa Institute</v>
          </cell>
          <cell r="F960">
            <v>568</v>
          </cell>
        </row>
        <row r="961">
          <cell r="A961" t="str">
            <v>Kinawataka</v>
          </cell>
          <cell r="F961">
            <v>568</v>
          </cell>
        </row>
        <row r="962">
          <cell r="A962" t="str">
            <v>Nakivubo Shauriyaako</v>
          </cell>
          <cell r="B962" t="str">
            <v>Kampala</v>
          </cell>
          <cell r="C962" t="str">
            <v>KCCA</v>
          </cell>
          <cell r="D962" t="str">
            <v>Central Division</v>
          </cell>
          <cell r="E962" t="str">
            <v>Nakivubo Shauriyaako</v>
          </cell>
          <cell r="F962">
            <v>569</v>
          </cell>
        </row>
        <row r="963">
          <cell r="A963" t="str">
            <v>Namirembe</v>
          </cell>
          <cell r="B963" t="str">
            <v>Kampala</v>
          </cell>
          <cell r="C963" t="str">
            <v>KCCA</v>
          </cell>
          <cell r="D963" t="str">
            <v>Rubaga Division</v>
          </cell>
          <cell r="E963" t="str">
            <v>Namirembe</v>
          </cell>
          <cell r="F963">
            <v>570</v>
          </cell>
        </row>
        <row r="964">
          <cell r="A964" t="str">
            <v>NAMIREMBE ROAD</v>
          </cell>
          <cell r="F964">
            <v>570</v>
          </cell>
        </row>
        <row r="965">
          <cell r="A965" t="str">
            <v>Bakuli</v>
          </cell>
          <cell r="E965" t="str">
            <v>Bakuli</v>
          </cell>
          <cell r="F965">
            <v>570</v>
          </cell>
        </row>
        <row r="966">
          <cell r="A966" t="str">
            <v>Nankulabye</v>
          </cell>
          <cell r="B966" t="str">
            <v>Kampala</v>
          </cell>
          <cell r="C966" t="str">
            <v>KCCA</v>
          </cell>
          <cell r="D966" t="str">
            <v>Rubaga Division</v>
          </cell>
          <cell r="E966" t="str">
            <v>Nankulabye</v>
          </cell>
          <cell r="F966">
            <v>571</v>
          </cell>
        </row>
        <row r="967">
          <cell r="A967" t="str">
            <v>NAKULABYE</v>
          </cell>
          <cell r="F967">
            <v>571</v>
          </cell>
        </row>
        <row r="968">
          <cell r="A968" t="str">
            <v>Nateete</v>
          </cell>
          <cell r="B968" t="str">
            <v>Kampala</v>
          </cell>
          <cell r="C968" t="str">
            <v>KCCA</v>
          </cell>
          <cell r="D968" t="str">
            <v>Rubaga Division</v>
          </cell>
          <cell r="E968" t="str">
            <v>Nateete</v>
          </cell>
          <cell r="F968">
            <v>572</v>
          </cell>
        </row>
        <row r="969">
          <cell r="A969" t="str">
            <v>NATETEE</v>
          </cell>
          <cell r="F969">
            <v>572</v>
          </cell>
        </row>
        <row r="970">
          <cell r="A970" t="str">
            <v>Natete</v>
          </cell>
          <cell r="E970" t="str">
            <v>Natete</v>
          </cell>
          <cell r="F970">
            <v>572</v>
          </cell>
        </row>
        <row r="971">
          <cell r="A971" t="str">
            <v>Ndeeba</v>
          </cell>
          <cell r="B971" t="str">
            <v>Kampala</v>
          </cell>
          <cell r="C971" t="str">
            <v>KCCA</v>
          </cell>
          <cell r="D971" t="str">
            <v>Rubaga Division</v>
          </cell>
          <cell r="E971" t="str">
            <v>Ndeeba</v>
          </cell>
          <cell r="F971">
            <v>573</v>
          </cell>
        </row>
        <row r="972">
          <cell r="A972" t="str">
            <v>NDEBBA</v>
          </cell>
          <cell r="F972">
            <v>573</v>
          </cell>
        </row>
        <row r="973">
          <cell r="A973" t="str">
            <v>Ndeba</v>
          </cell>
          <cell r="E973" t="str">
            <v>Ndeba</v>
          </cell>
          <cell r="F973">
            <v>573</v>
          </cell>
        </row>
        <row r="974">
          <cell r="A974" t="str">
            <v>Nsambya</v>
          </cell>
          <cell r="B974" t="str">
            <v>Kampala</v>
          </cell>
          <cell r="C974" t="str">
            <v>KCCA</v>
          </cell>
          <cell r="D974" t="str">
            <v>Makindye Division</v>
          </cell>
          <cell r="E974" t="str">
            <v>Nsambya</v>
          </cell>
          <cell r="F974">
            <v>574</v>
          </cell>
        </row>
        <row r="975">
          <cell r="A975" t="str">
            <v>Nsabya</v>
          </cell>
          <cell r="E975" t="str">
            <v>Nsabya</v>
          </cell>
          <cell r="F975">
            <v>574</v>
          </cell>
        </row>
        <row r="976">
          <cell r="A976" t="str">
            <v>Nsambya Police Barracks</v>
          </cell>
          <cell r="B976" t="str">
            <v>Kampala</v>
          </cell>
          <cell r="C976" t="str">
            <v>KCCA</v>
          </cell>
          <cell r="D976" t="str">
            <v>Makindye Division</v>
          </cell>
          <cell r="E976" t="str">
            <v>Nsambya Police Barracks</v>
          </cell>
          <cell r="F976">
            <v>575</v>
          </cell>
        </row>
        <row r="977">
          <cell r="A977" t="str">
            <v>Nsambya Railway</v>
          </cell>
          <cell r="B977" t="str">
            <v>Kampala</v>
          </cell>
          <cell r="C977" t="str">
            <v>KCCA</v>
          </cell>
          <cell r="D977" t="str">
            <v>Makindye Division</v>
          </cell>
          <cell r="E977" t="str">
            <v>Nsambya Railway</v>
          </cell>
          <cell r="F977">
            <v>576</v>
          </cell>
        </row>
        <row r="978">
          <cell r="A978" t="str">
            <v>Ntinda</v>
          </cell>
          <cell r="B978" t="str">
            <v>Kampala</v>
          </cell>
          <cell r="C978" t="str">
            <v>KCCA</v>
          </cell>
          <cell r="D978" t="str">
            <v>Nakawa Division</v>
          </cell>
          <cell r="E978" t="str">
            <v>Ntinda</v>
          </cell>
          <cell r="F978">
            <v>577</v>
          </cell>
        </row>
        <row r="979">
          <cell r="A979" t="str">
            <v>UNEBU</v>
          </cell>
          <cell r="F979">
            <v>577</v>
          </cell>
        </row>
        <row r="980">
          <cell r="A980" t="str">
            <v>NALYA</v>
          </cell>
          <cell r="F980">
            <v>577</v>
          </cell>
        </row>
        <row r="981">
          <cell r="A981" t="str">
            <v>Naalya</v>
          </cell>
          <cell r="F981">
            <v>577</v>
          </cell>
        </row>
        <row r="982">
          <cell r="A982" t="str">
            <v>NALYA ESTATE</v>
          </cell>
          <cell r="F982">
            <v>577</v>
          </cell>
        </row>
        <row r="983">
          <cell r="A983" t="str">
            <v>Wazalendo</v>
          </cell>
          <cell r="F983">
            <v>577</v>
          </cell>
        </row>
        <row r="984">
          <cell r="A984" t="str">
            <v>Old Kampala</v>
          </cell>
          <cell r="B984" t="str">
            <v>Kampala</v>
          </cell>
          <cell r="C984" t="str">
            <v>KCCA</v>
          </cell>
          <cell r="D984" t="str">
            <v>Central Division</v>
          </cell>
          <cell r="E984" t="str">
            <v>Old Kampala</v>
          </cell>
          <cell r="F984">
            <v>578</v>
          </cell>
        </row>
        <row r="985">
          <cell r="A985" t="str">
            <v>OLDKAMPALA</v>
          </cell>
          <cell r="F985">
            <v>578</v>
          </cell>
        </row>
        <row r="986">
          <cell r="A986" t="str">
            <v>Old Park</v>
          </cell>
          <cell r="F986">
            <v>578</v>
          </cell>
        </row>
        <row r="987">
          <cell r="A987" t="str">
            <v>NAMYIBA</v>
          </cell>
          <cell r="F987">
            <v>578</v>
          </cell>
        </row>
        <row r="988">
          <cell r="A988" t="str">
            <v>Salaama</v>
          </cell>
          <cell r="B988" t="str">
            <v>Kampala</v>
          </cell>
          <cell r="C988" t="str">
            <v>KCCA</v>
          </cell>
          <cell r="D988" t="str">
            <v>Makindye Division</v>
          </cell>
          <cell r="E988" t="str">
            <v>Salaama</v>
          </cell>
          <cell r="F988">
            <v>579</v>
          </cell>
        </row>
        <row r="989">
          <cell r="A989" t="str">
            <v>Salama</v>
          </cell>
          <cell r="E989" t="str">
            <v>Salama</v>
          </cell>
          <cell r="F989">
            <v>579</v>
          </cell>
        </row>
        <row r="990">
          <cell r="A990" t="str">
            <v>Mayanja</v>
          </cell>
          <cell r="E990" t="str">
            <v>Mayanja</v>
          </cell>
          <cell r="F990">
            <v>579</v>
          </cell>
        </row>
        <row r="991">
          <cell r="A991" t="str">
            <v>Kyamula</v>
          </cell>
          <cell r="E991" t="str">
            <v>Kyamula</v>
          </cell>
          <cell r="F991">
            <v>579</v>
          </cell>
        </row>
        <row r="992">
          <cell r="A992" t="str">
            <v>St Ponsiano</v>
          </cell>
          <cell r="E992" t="str">
            <v>St Ponsiano</v>
          </cell>
          <cell r="F992">
            <v>579</v>
          </cell>
        </row>
        <row r="993">
          <cell r="A993" t="str">
            <v>Muswangali</v>
          </cell>
          <cell r="F993">
            <v>579</v>
          </cell>
        </row>
        <row r="994">
          <cell r="A994" t="str">
            <v>Kulekana</v>
          </cell>
          <cell r="F994">
            <v>579</v>
          </cell>
        </row>
        <row r="995">
          <cell r="A995" t="str">
            <v>Upk</v>
          </cell>
          <cell r="B995" t="str">
            <v>Kampala</v>
          </cell>
          <cell r="C995" t="str">
            <v>KCCA</v>
          </cell>
          <cell r="D995" t="str">
            <v>Nakawa Division</v>
          </cell>
          <cell r="E995" t="str">
            <v>Upk</v>
          </cell>
          <cell r="F995">
            <v>580</v>
          </cell>
        </row>
        <row r="996">
          <cell r="A996" t="str">
            <v>Upper Estate</v>
          </cell>
          <cell r="B996" t="str">
            <v>Kampala</v>
          </cell>
          <cell r="C996" t="str">
            <v>KCCA</v>
          </cell>
          <cell r="D996" t="str">
            <v>Nakawa Division</v>
          </cell>
          <cell r="E996" t="str">
            <v>Upper Estate</v>
          </cell>
          <cell r="F996">
            <v>581</v>
          </cell>
        </row>
        <row r="997">
          <cell r="A997" t="str">
            <v>Wabigalo</v>
          </cell>
          <cell r="B997" t="str">
            <v>Kampala</v>
          </cell>
          <cell r="C997" t="str">
            <v>KCCA</v>
          </cell>
          <cell r="D997" t="str">
            <v>Makindye Division</v>
          </cell>
          <cell r="E997" t="str">
            <v>Wabigalo</v>
          </cell>
          <cell r="F997">
            <v>582</v>
          </cell>
        </row>
        <row r="998">
          <cell r="A998" t="str">
            <v>Wandegeya</v>
          </cell>
          <cell r="B998" t="str">
            <v>Kampala</v>
          </cell>
          <cell r="C998" t="str">
            <v>KCCA</v>
          </cell>
          <cell r="D998" t="str">
            <v>Kawempe Division</v>
          </cell>
          <cell r="E998" t="str">
            <v>Wandegeya</v>
          </cell>
          <cell r="F998">
            <v>583</v>
          </cell>
        </row>
        <row r="999">
          <cell r="A999" t="str">
            <v>WANDEKEYA</v>
          </cell>
          <cell r="F999">
            <v>583</v>
          </cell>
        </row>
        <row r="1000">
          <cell r="A1000" t="str">
            <v>KIRA ROAD</v>
          </cell>
          <cell r="F1000">
            <v>583</v>
          </cell>
        </row>
        <row r="1001">
          <cell r="A1001" t="str">
            <v>PUBLIC SERVICE WANDEGEYA</v>
          </cell>
          <cell r="F1001">
            <v>583</v>
          </cell>
        </row>
        <row r="1002">
          <cell r="A1002" t="str">
            <v>KUBIRI</v>
          </cell>
          <cell r="F1002">
            <v>583</v>
          </cell>
        </row>
        <row r="1003">
          <cell r="A1003" t="str">
            <v>KUBIIRI</v>
          </cell>
          <cell r="F1003">
            <v>583</v>
          </cell>
        </row>
        <row r="1004">
          <cell r="A1004" t="str">
            <v>Balawoli</v>
          </cell>
          <cell r="B1004" t="str">
            <v>Kamuli</v>
          </cell>
          <cell r="C1004" t="str">
            <v>Bugabula</v>
          </cell>
          <cell r="D1004" t="str">
            <v>Balawoli</v>
          </cell>
          <cell r="F1004">
            <v>584</v>
          </cell>
        </row>
        <row r="1005">
          <cell r="A1005" t="str">
            <v>Bugulumbya</v>
          </cell>
          <cell r="B1005" t="str">
            <v>Kamuli</v>
          </cell>
          <cell r="C1005" t="str">
            <v>Buzaaya</v>
          </cell>
          <cell r="D1005" t="str">
            <v>Bugulumbya</v>
          </cell>
          <cell r="F1005">
            <v>585</v>
          </cell>
        </row>
        <row r="1006">
          <cell r="A1006" t="str">
            <v>Bulopa</v>
          </cell>
          <cell r="B1006" t="str">
            <v>Kamuli</v>
          </cell>
          <cell r="C1006" t="str">
            <v>Bugabula</v>
          </cell>
          <cell r="D1006" t="str">
            <v>Bulopa</v>
          </cell>
          <cell r="F1006">
            <v>586</v>
          </cell>
        </row>
        <row r="1007">
          <cell r="A1007" t="str">
            <v>Butansi</v>
          </cell>
          <cell r="B1007" t="str">
            <v>Kamuli</v>
          </cell>
          <cell r="C1007" t="str">
            <v>Bugabula</v>
          </cell>
          <cell r="D1007" t="str">
            <v>Butansi</v>
          </cell>
          <cell r="F1007">
            <v>587</v>
          </cell>
        </row>
        <row r="1008">
          <cell r="A1008" t="str">
            <v>Kamuli Municipality</v>
          </cell>
          <cell r="B1008" t="str">
            <v>Kamuli</v>
          </cell>
          <cell r="C1008" t="str">
            <v>Kamuli Municipality</v>
          </cell>
          <cell r="D1008" t="str">
            <v>Kamuli Municipality</v>
          </cell>
          <cell r="F1008">
            <v>588</v>
          </cell>
        </row>
        <row r="1009">
          <cell r="A1009" t="str">
            <v>Kamuli</v>
          </cell>
          <cell r="F1009">
            <v>588</v>
          </cell>
        </row>
        <row r="1010">
          <cell r="A1010" t="str">
            <v>KAMULI TOWN</v>
          </cell>
          <cell r="F1010">
            <v>588</v>
          </cell>
        </row>
        <row r="1011">
          <cell r="A1011" t="str">
            <v>Kisozi</v>
          </cell>
          <cell r="B1011" t="str">
            <v>Kamuli</v>
          </cell>
          <cell r="C1011" t="str">
            <v>Buzaaya</v>
          </cell>
          <cell r="D1011" t="str">
            <v>Kisozi</v>
          </cell>
          <cell r="F1011">
            <v>589</v>
          </cell>
        </row>
        <row r="1012">
          <cell r="A1012" t="str">
            <v>Kitayunjwa</v>
          </cell>
          <cell r="B1012" t="str">
            <v>Kamuli</v>
          </cell>
          <cell r="C1012" t="str">
            <v>Bugabula</v>
          </cell>
          <cell r="D1012" t="str">
            <v>Kitayunjwa</v>
          </cell>
          <cell r="F1012">
            <v>590</v>
          </cell>
        </row>
        <row r="1013">
          <cell r="A1013" t="str">
            <v>Mbulamuti</v>
          </cell>
          <cell r="B1013" t="str">
            <v>Kamuli</v>
          </cell>
          <cell r="C1013" t="str">
            <v>Buzaaya</v>
          </cell>
          <cell r="D1013" t="str">
            <v>Mbulamuti</v>
          </cell>
          <cell r="F1013">
            <v>591</v>
          </cell>
        </row>
        <row r="1014">
          <cell r="A1014" t="str">
            <v>Nabwigulu</v>
          </cell>
          <cell r="B1014" t="str">
            <v>Kamuli</v>
          </cell>
          <cell r="C1014" t="str">
            <v>Bugabula</v>
          </cell>
          <cell r="D1014" t="str">
            <v>Nabwigulu</v>
          </cell>
          <cell r="F1014">
            <v>592</v>
          </cell>
        </row>
        <row r="1015">
          <cell r="A1015" t="str">
            <v>Namasagali</v>
          </cell>
          <cell r="B1015" t="str">
            <v>Kamuli</v>
          </cell>
          <cell r="C1015" t="str">
            <v>Bugabula</v>
          </cell>
          <cell r="D1015" t="str">
            <v>Namasagali</v>
          </cell>
          <cell r="F1015">
            <v>593</v>
          </cell>
        </row>
        <row r="1016">
          <cell r="A1016" t="str">
            <v>Namwendwa</v>
          </cell>
          <cell r="B1016" t="str">
            <v>Kamuli</v>
          </cell>
          <cell r="C1016" t="str">
            <v>Bugabula</v>
          </cell>
          <cell r="D1016" t="str">
            <v>Namwendwa</v>
          </cell>
          <cell r="F1016">
            <v>594</v>
          </cell>
        </row>
        <row r="1017">
          <cell r="A1017" t="str">
            <v>Nawanyago</v>
          </cell>
          <cell r="B1017" t="str">
            <v>Kamuli</v>
          </cell>
          <cell r="C1017" t="str">
            <v>Buzaaya</v>
          </cell>
          <cell r="D1017" t="str">
            <v>Nawanyago</v>
          </cell>
          <cell r="F1017">
            <v>595</v>
          </cell>
        </row>
        <row r="1018">
          <cell r="A1018" t="str">
            <v>LUMULI</v>
          </cell>
          <cell r="F1018">
            <v>595</v>
          </cell>
        </row>
        <row r="1019">
          <cell r="A1019" t="str">
            <v>KIRORO</v>
          </cell>
          <cell r="F1019">
            <v>595</v>
          </cell>
        </row>
        <row r="1020">
          <cell r="A1020" t="str">
            <v>Wankole</v>
          </cell>
          <cell r="B1020" t="str">
            <v>Kamuli</v>
          </cell>
          <cell r="C1020" t="str">
            <v>Buzaaya</v>
          </cell>
          <cell r="D1020" t="str">
            <v>Wankole</v>
          </cell>
          <cell r="F1020">
            <v>596</v>
          </cell>
        </row>
        <row r="1021">
          <cell r="A1021" t="str">
            <v>Biguli</v>
          </cell>
          <cell r="B1021" t="str">
            <v>Kamwenge</v>
          </cell>
          <cell r="C1021" t="str">
            <v>Kibale</v>
          </cell>
          <cell r="D1021" t="str">
            <v>Biguli</v>
          </cell>
          <cell r="F1021">
            <v>597</v>
          </cell>
        </row>
        <row r="1022">
          <cell r="A1022" t="str">
            <v>Bihanga-Kamwenge</v>
          </cell>
          <cell r="B1022" t="str">
            <v>Kamwenge</v>
          </cell>
          <cell r="C1022" t="str">
            <v>Kibale</v>
          </cell>
          <cell r="D1022" t="str">
            <v>Bihanga-Kamwenge</v>
          </cell>
          <cell r="F1022">
            <v>598</v>
          </cell>
        </row>
        <row r="1023">
          <cell r="A1023" t="str">
            <v>Buhanda</v>
          </cell>
          <cell r="B1023" t="str">
            <v>Kamwenge</v>
          </cell>
          <cell r="C1023" t="str">
            <v>Kitagwenda</v>
          </cell>
          <cell r="D1023" t="str">
            <v>Buhanda</v>
          </cell>
          <cell r="F1023">
            <v>599</v>
          </cell>
        </row>
        <row r="1024">
          <cell r="A1024" t="str">
            <v>Busiriba</v>
          </cell>
          <cell r="B1024" t="str">
            <v>Kamwenge</v>
          </cell>
          <cell r="C1024" t="str">
            <v>Kibale</v>
          </cell>
          <cell r="D1024" t="str">
            <v>Busiriba</v>
          </cell>
          <cell r="F1024">
            <v>600</v>
          </cell>
        </row>
        <row r="1025">
          <cell r="A1025" t="str">
            <v>Bwizi</v>
          </cell>
          <cell r="B1025" t="str">
            <v>Kamwenge</v>
          </cell>
          <cell r="C1025" t="str">
            <v>Kibale</v>
          </cell>
          <cell r="D1025" t="str">
            <v>Bwizi</v>
          </cell>
          <cell r="F1025">
            <v>601</v>
          </cell>
        </row>
        <row r="1026">
          <cell r="A1026" t="str">
            <v>Kabambiro</v>
          </cell>
          <cell r="B1026" t="str">
            <v>Kamwenge</v>
          </cell>
          <cell r="C1026" t="str">
            <v>Kibale</v>
          </cell>
          <cell r="D1026" t="str">
            <v>Kabambiro</v>
          </cell>
          <cell r="F1026">
            <v>602</v>
          </cell>
        </row>
        <row r="1027">
          <cell r="A1027" t="str">
            <v>Kahunge</v>
          </cell>
          <cell r="B1027" t="str">
            <v>Kamwenge</v>
          </cell>
          <cell r="C1027" t="str">
            <v>Kibale</v>
          </cell>
          <cell r="D1027" t="str">
            <v>Kahunge</v>
          </cell>
          <cell r="F1027">
            <v>603</v>
          </cell>
        </row>
        <row r="1028">
          <cell r="A1028" t="str">
            <v>Kamwenge</v>
          </cell>
          <cell r="B1028" t="str">
            <v>Kamwenge</v>
          </cell>
          <cell r="C1028" t="str">
            <v>Kibale</v>
          </cell>
          <cell r="D1028" t="str">
            <v>Kamwenge</v>
          </cell>
          <cell r="F1028">
            <v>604</v>
          </cell>
        </row>
        <row r="1029">
          <cell r="A1029" t="str">
            <v>Kamwenge Town Council</v>
          </cell>
          <cell r="B1029" t="str">
            <v>Kamwenge</v>
          </cell>
          <cell r="C1029" t="str">
            <v>Kibale</v>
          </cell>
          <cell r="D1029" t="str">
            <v>Kamwenge Town Council</v>
          </cell>
          <cell r="F1029">
            <v>605</v>
          </cell>
        </row>
        <row r="1030">
          <cell r="A1030" t="str">
            <v>KAMWENGE TOWN</v>
          </cell>
          <cell r="F1030">
            <v>605</v>
          </cell>
        </row>
        <row r="1031">
          <cell r="A1031" t="str">
            <v>Kanara-Kamwenge</v>
          </cell>
          <cell r="B1031" t="str">
            <v>Kamwenge</v>
          </cell>
          <cell r="C1031" t="str">
            <v>Kitagwenda</v>
          </cell>
          <cell r="D1031" t="str">
            <v>Kanara-Kamwenge</v>
          </cell>
          <cell r="F1031">
            <v>606</v>
          </cell>
        </row>
        <row r="1032">
          <cell r="A1032" t="str">
            <v>Kicheche</v>
          </cell>
          <cell r="B1032" t="str">
            <v>Kamwenge</v>
          </cell>
          <cell r="C1032" t="str">
            <v>Kitagwenda</v>
          </cell>
          <cell r="D1032" t="str">
            <v>Kicheche</v>
          </cell>
          <cell r="F1032">
            <v>607</v>
          </cell>
        </row>
        <row r="1033">
          <cell r="A1033" t="str">
            <v>Mahyoro</v>
          </cell>
          <cell r="B1033" t="str">
            <v>Kamwenge</v>
          </cell>
          <cell r="C1033" t="str">
            <v>Kitagwenda</v>
          </cell>
          <cell r="D1033" t="str">
            <v>Mahyoro</v>
          </cell>
          <cell r="F1033">
            <v>608</v>
          </cell>
        </row>
        <row r="1034">
          <cell r="A1034" t="str">
            <v>Nkoma</v>
          </cell>
          <cell r="B1034" t="str">
            <v>Kamwenge</v>
          </cell>
          <cell r="C1034" t="str">
            <v>Kibale</v>
          </cell>
          <cell r="D1034" t="str">
            <v>Nkoma</v>
          </cell>
          <cell r="F1034">
            <v>609</v>
          </cell>
        </row>
        <row r="1035">
          <cell r="A1035" t="str">
            <v>Ntara</v>
          </cell>
          <cell r="B1035" t="str">
            <v>Kamwenge</v>
          </cell>
          <cell r="C1035" t="str">
            <v>Kitagwenda</v>
          </cell>
          <cell r="D1035" t="str">
            <v>Ntara</v>
          </cell>
          <cell r="F1035">
            <v>610</v>
          </cell>
        </row>
        <row r="1036">
          <cell r="A1036" t="str">
            <v>Nyabbani</v>
          </cell>
          <cell r="B1036" t="str">
            <v>Kamwenge</v>
          </cell>
          <cell r="C1036" t="str">
            <v>Kitagwenda</v>
          </cell>
          <cell r="D1036" t="str">
            <v>Nyabbani</v>
          </cell>
          <cell r="F1036">
            <v>611</v>
          </cell>
        </row>
        <row r="1037">
          <cell r="A1037" t="str">
            <v>Rwamwanja Refugee Camp</v>
          </cell>
          <cell r="B1037" t="str">
            <v>Kamwenge</v>
          </cell>
          <cell r="C1037" t="str">
            <v>Kibale</v>
          </cell>
          <cell r="D1037" t="str">
            <v>Rwamwanja Refugee Camp</v>
          </cell>
          <cell r="F1037">
            <v>612</v>
          </cell>
        </row>
        <row r="1038">
          <cell r="A1038" t="str">
            <v>Butogota Town Council</v>
          </cell>
          <cell r="B1038" t="str">
            <v>Kanungu</v>
          </cell>
          <cell r="C1038" t="str">
            <v>Kinkiizi</v>
          </cell>
          <cell r="D1038" t="str">
            <v>Butogota Town Council</v>
          </cell>
          <cell r="F1038">
            <v>613</v>
          </cell>
        </row>
        <row r="1039">
          <cell r="A1039" t="str">
            <v>Kambuga</v>
          </cell>
          <cell r="B1039" t="str">
            <v>Kanungu</v>
          </cell>
          <cell r="C1039" t="str">
            <v>Kinkiizi</v>
          </cell>
          <cell r="D1039" t="str">
            <v>Kambuga</v>
          </cell>
          <cell r="F1039">
            <v>614</v>
          </cell>
        </row>
        <row r="1040">
          <cell r="A1040" t="str">
            <v>Kambuga Town Council</v>
          </cell>
          <cell r="B1040" t="str">
            <v>Kanungu</v>
          </cell>
          <cell r="C1040" t="str">
            <v>Kinkiizi</v>
          </cell>
          <cell r="D1040" t="str">
            <v>Kambuga Town Council</v>
          </cell>
          <cell r="F1040">
            <v>615</v>
          </cell>
        </row>
        <row r="1041">
          <cell r="A1041" t="str">
            <v>Kanungu Town Council</v>
          </cell>
          <cell r="B1041" t="str">
            <v>Kanungu</v>
          </cell>
          <cell r="C1041" t="str">
            <v>Kinkiizi</v>
          </cell>
          <cell r="D1041" t="str">
            <v>Kanungu Town Council</v>
          </cell>
          <cell r="F1041">
            <v>616</v>
          </cell>
        </row>
        <row r="1042">
          <cell r="A1042" t="str">
            <v>KANUNGU</v>
          </cell>
          <cell r="F1042">
            <v>616</v>
          </cell>
        </row>
        <row r="1043">
          <cell r="A1043" t="str">
            <v>Kanyantorogo</v>
          </cell>
          <cell r="B1043" t="str">
            <v>Kanungu</v>
          </cell>
          <cell r="C1043" t="str">
            <v>Kinkiizi</v>
          </cell>
          <cell r="D1043" t="str">
            <v>Kanyantorogo</v>
          </cell>
          <cell r="F1043">
            <v>617</v>
          </cell>
        </row>
        <row r="1044">
          <cell r="A1044" t="str">
            <v>Katete</v>
          </cell>
          <cell r="B1044" t="str">
            <v>Kanungu</v>
          </cell>
          <cell r="C1044" t="str">
            <v>Kinkiizi</v>
          </cell>
          <cell r="D1044" t="str">
            <v>Katete</v>
          </cell>
          <cell r="F1044">
            <v>618</v>
          </cell>
        </row>
        <row r="1045">
          <cell r="A1045" t="str">
            <v>BWINDI</v>
          </cell>
          <cell r="F1045">
            <v>618</v>
          </cell>
        </row>
        <row r="1046">
          <cell r="A1046" t="str">
            <v>Kayonza-Kanungu</v>
          </cell>
          <cell r="B1046" t="str">
            <v>Kanungu</v>
          </cell>
          <cell r="C1046" t="str">
            <v>Kinkiizi</v>
          </cell>
          <cell r="D1046" t="str">
            <v>Kayonza-Kanungu</v>
          </cell>
          <cell r="F1046">
            <v>619</v>
          </cell>
        </row>
        <row r="1047">
          <cell r="A1047" t="str">
            <v>KAYONZA</v>
          </cell>
          <cell r="F1047">
            <v>619</v>
          </cell>
        </row>
        <row r="1048">
          <cell r="A1048" t="str">
            <v>Kihihi</v>
          </cell>
          <cell r="B1048" t="str">
            <v>Kanungu</v>
          </cell>
          <cell r="C1048" t="str">
            <v>Kinkiizi</v>
          </cell>
          <cell r="D1048" t="str">
            <v>Kihihi</v>
          </cell>
          <cell r="F1048">
            <v>620</v>
          </cell>
        </row>
        <row r="1049">
          <cell r="A1049" t="str">
            <v>Kihiihi Town Council</v>
          </cell>
          <cell r="B1049" t="str">
            <v>Kanungu</v>
          </cell>
          <cell r="C1049" t="str">
            <v>Kinkiizi</v>
          </cell>
          <cell r="D1049" t="str">
            <v>Kihiihi Town Council</v>
          </cell>
          <cell r="F1049">
            <v>621</v>
          </cell>
        </row>
        <row r="1050">
          <cell r="A1050" t="str">
            <v>Kasiroi</v>
          </cell>
          <cell r="F1050">
            <v>621</v>
          </cell>
        </row>
        <row r="1051">
          <cell r="A1051" t="str">
            <v>Kinaaba</v>
          </cell>
          <cell r="B1051" t="str">
            <v>Kanungu</v>
          </cell>
          <cell r="C1051" t="str">
            <v>Kinkiizi</v>
          </cell>
          <cell r="D1051" t="str">
            <v>Kinaaba</v>
          </cell>
          <cell r="F1051">
            <v>622</v>
          </cell>
        </row>
        <row r="1052">
          <cell r="A1052" t="str">
            <v>Kirima</v>
          </cell>
          <cell r="B1052" t="str">
            <v>Kanungu</v>
          </cell>
          <cell r="C1052" t="str">
            <v>Kinkiizi</v>
          </cell>
          <cell r="D1052" t="str">
            <v>Kirima</v>
          </cell>
          <cell r="F1052">
            <v>623</v>
          </cell>
        </row>
        <row r="1053">
          <cell r="A1053" t="str">
            <v>Mpungu</v>
          </cell>
          <cell r="B1053" t="str">
            <v>Kanungu</v>
          </cell>
          <cell r="C1053" t="str">
            <v>Kinkiizi</v>
          </cell>
          <cell r="D1053" t="str">
            <v>Mpungu</v>
          </cell>
          <cell r="F1053">
            <v>624</v>
          </cell>
        </row>
        <row r="1054">
          <cell r="A1054" t="str">
            <v>Nyakinoni</v>
          </cell>
          <cell r="B1054" t="str">
            <v>Kanungu</v>
          </cell>
          <cell r="C1054" t="str">
            <v>Kinkiizi</v>
          </cell>
          <cell r="D1054" t="str">
            <v>Nyakinoni</v>
          </cell>
          <cell r="F1054">
            <v>625</v>
          </cell>
        </row>
        <row r="1055">
          <cell r="A1055" t="str">
            <v>Nyamirama</v>
          </cell>
          <cell r="B1055" t="str">
            <v>Kanungu</v>
          </cell>
          <cell r="C1055" t="str">
            <v>Kinkiizi</v>
          </cell>
          <cell r="D1055" t="str">
            <v>Nyamirama</v>
          </cell>
          <cell r="F1055">
            <v>626</v>
          </cell>
        </row>
        <row r="1056">
          <cell r="A1056" t="str">
            <v>Nyanga</v>
          </cell>
          <cell r="B1056" t="str">
            <v>Kanungu</v>
          </cell>
          <cell r="C1056" t="str">
            <v>Kinkiizi</v>
          </cell>
          <cell r="D1056" t="str">
            <v>Nyanga</v>
          </cell>
          <cell r="F1056">
            <v>627</v>
          </cell>
        </row>
        <row r="1057">
          <cell r="A1057" t="str">
            <v>Rugyeyo</v>
          </cell>
          <cell r="B1057" t="str">
            <v>Kanungu</v>
          </cell>
          <cell r="C1057" t="str">
            <v>Kinkiizi</v>
          </cell>
          <cell r="D1057" t="str">
            <v>Rugyeyo</v>
          </cell>
          <cell r="F1057">
            <v>628</v>
          </cell>
        </row>
        <row r="1058">
          <cell r="A1058" t="str">
            <v>Rutenga</v>
          </cell>
          <cell r="B1058" t="str">
            <v>Kanungu</v>
          </cell>
          <cell r="C1058" t="str">
            <v>Kinkiizi</v>
          </cell>
          <cell r="D1058" t="str">
            <v>Rutenga</v>
          </cell>
          <cell r="F1058">
            <v>629</v>
          </cell>
        </row>
        <row r="1059">
          <cell r="A1059" t="str">
            <v>Amukol</v>
          </cell>
          <cell r="B1059" t="str">
            <v>Kapchorwa</v>
          </cell>
          <cell r="C1059" t="str">
            <v>Tingey</v>
          </cell>
          <cell r="D1059" t="str">
            <v>Amukol</v>
          </cell>
          <cell r="F1059">
            <v>630</v>
          </cell>
        </row>
        <row r="1060">
          <cell r="A1060" t="str">
            <v>Chema</v>
          </cell>
          <cell r="B1060" t="str">
            <v>Kapchorwa</v>
          </cell>
          <cell r="C1060" t="str">
            <v>Tingey</v>
          </cell>
          <cell r="D1060" t="str">
            <v>Chema</v>
          </cell>
          <cell r="F1060">
            <v>631</v>
          </cell>
        </row>
        <row r="1061">
          <cell r="A1061" t="str">
            <v>Chepterech</v>
          </cell>
          <cell r="B1061" t="str">
            <v>Kapchorwa</v>
          </cell>
          <cell r="C1061" t="str">
            <v>Tingey</v>
          </cell>
          <cell r="D1061" t="str">
            <v>Chepterech</v>
          </cell>
          <cell r="F1061">
            <v>632</v>
          </cell>
        </row>
        <row r="1062">
          <cell r="A1062" t="str">
            <v>Gamogo</v>
          </cell>
          <cell r="B1062" t="str">
            <v>Kapchorwa</v>
          </cell>
          <cell r="C1062" t="str">
            <v>Tingey</v>
          </cell>
          <cell r="D1062" t="str">
            <v>Gamogo</v>
          </cell>
          <cell r="F1062">
            <v>633</v>
          </cell>
        </row>
        <row r="1063">
          <cell r="A1063" t="str">
            <v>Kabeywa</v>
          </cell>
          <cell r="B1063" t="str">
            <v>Kapchorwa</v>
          </cell>
          <cell r="C1063" t="str">
            <v>Tingey</v>
          </cell>
          <cell r="D1063" t="str">
            <v>Kabeywa</v>
          </cell>
          <cell r="F1063">
            <v>634</v>
          </cell>
        </row>
        <row r="1064">
          <cell r="A1064" t="str">
            <v>Kapchorwa Municipality</v>
          </cell>
          <cell r="B1064" t="str">
            <v>Kapchorwa</v>
          </cell>
          <cell r="C1064" t="str">
            <v>Kapchorwa Municipality</v>
          </cell>
          <cell r="D1064" t="str">
            <v>Kapchorwa Municipality</v>
          </cell>
          <cell r="F1064">
            <v>635</v>
          </cell>
        </row>
        <row r="1065">
          <cell r="A1065" t="str">
            <v>Kapchorwa</v>
          </cell>
          <cell r="F1065">
            <v>635</v>
          </cell>
        </row>
        <row r="1066">
          <cell r="A1066" t="str">
            <v>Kapsinda</v>
          </cell>
          <cell r="B1066" t="str">
            <v>Kapchorwa</v>
          </cell>
          <cell r="C1066" t="str">
            <v>Tingey</v>
          </cell>
          <cell r="D1066" t="str">
            <v>Kapsinda</v>
          </cell>
          <cell r="F1066">
            <v>636</v>
          </cell>
        </row>
        <row r="1067">
          <cell r="A1067" t="str">
            <v>Kaptanya</v>
          </cell>
          <cell r="B1067" t="str">
            <v>Kapchorwa</v>
          </cell>
          <cell r="C1067" t="str">
            <v>Tingey</v>
          </cell>
          <cell r="D1067" t="str">
            <v>Kaptanya</v>
          </cell>
          <cell r="F1067">
            <v>637</v>
          </cell>
        </row>
        <row r="1068">
          <cell r="A1068" t="str">
            <v>Kaserem</v>
          </cell>
          <cell r="B1068" t="str">
            <v>Kapchorwa</v>
          </cell>
          <cell r="C1068" t="str">
            <v>Tingey</v>
          </cell>
          <cell r="D1068" t="str">
            <v>Kaserem</v>
          </cell>
          <cell r="F1068">
            <v>638</v>
          </cell>
        </row>
        <row r="1069">
          <cell r="A1069" t="str">
            <v>Kaseremu</v>
          </cell>
          <cell r="F1069">
            <v>638</v>
          </cell>
        </row>
        <row r="1070">
          <cell r="A1070" t="str">
            <v>Kaselemu</v>
          </cell>
          <cell r="F1070">
            <v>638</v>
          </cell>
        </row>
        <row r="1071">
          <cell r="A1071" t="str">
            <v>Kaselemu/Kapchorwa</v>
          </cell>
          <cell r="F1071">
            <v>638</v>
          </cell>
        </row>
        <row r="1072">
          <cell r="A1072" t="str">
            <v>Kawowo</v>
          </cell>
          <cell r="B1072" t="str">
            <v>Kapchorwa</v>
          </cell>
          <cell r="C1072" t="str">
            <v>Tingey</v>
          </cell>
          <cell r="D1072" t="str">
            <v>Kawowo</v>
          </cell>
          <cell r="F1072">
            <v>639</v>
          </cell>
        </row>
        <row r="1073">
          <cell r="A1073" t="str">
            <v>Munarya</v>
          </cell>
          <cell r="B1073" t="str">
            <v>Kapchorwa</v>
          </cell>
          <cell r="C1073" t="str">
            <v>Tingey</v>
          </cell>
          <cell r="D1073" t="str">
            <v>Munarya</v>
          </cell>
          <cell r="F1073">
            <v>640</v>
          </cell>
        </row>
        <row r="1074">
          <cell r="A1074" t="str">
            <v>Sipi</v>
          </cell>
          <cell r="B1074" t="str">
            <v>Kapchorwa</v>
          </cell>
          <cell r="C1074" t="str">
            <v>Tingey</v>
          </cell>
          <cell r="D1074" t="str">
            <v>Sipi</v>
          </cell>
          <cell r="F1074">
            <v>641</v>
          </cell>
        </row>
        <row r="1075">
          <cell r="A1075" t="str">
            <v>Bugoye</v>
          </cell>
          <cell r="B1075" t="str">
            <v>Kasese</v>
          </cell>
          <cell r="C1075" t="str">
            <v>Busongora</v>
          </cell>
          <cell r="D1075" t="str">
            <v>Bugoye</v>
          </cell>
          <cell r="F1075">
            <v>642</v>
          </cell>
        </row>
        <row r="1076">
          <cell r="A1076" t="str">
            <v>Buhuhira</v>
          </cell>
          <cell r="B1076" t="str">
            <v>Kasese</v>
          </cell>
          <cell r="C1076" t="str">
            <v>Busongora</v>
          </cell>
          <cell r="D1076" t="str">
            <v>Buhuhira</v>
          </cell>
          <cell r="F1076">
            <v>643</v>
          </cell>
        </row>
        <row r="1077">
          <cell r="A1077" t="str">
            <v>Bwera</v>
          </cell>
          <cell r="B1077" t="str">
            <v>Kasese</v>
          </cell>
          <cell r="C1077" t="str">
            <v>Bukonzo</v>
          </cell>
          <cell r="D1077" t="str">
            <v>Bwera</v>
          </cell>
          <cell r="F1077">
            <v>644</v>
          </cell>
        </row>
        <row r="1078">
          <cell r="A1078" t="str">
            <v xml:space="preserve">BWERA </v>
          </cell>
          <cell r="F1078">
            <v>644</v>
          </cell>
        </row>
        <row r="1079">
          <cell r="A1079" t="str">
            <v>Bwesumbu</v>
          </cell>
          <cell r="B1079" t="str">
            <v>Kasese</v>
          </cell>
          <cell r="C1079" t="str">
            <v>Busongora</v>
          </cell>
          <cell r="D1079" t="str">
            <v>Bwesumbu</v>
          </cell>
          <cell r="F1079">
            <v>645</v>
          </cell>
        </row>
        <row r="1080">
          <cell r="A1080" t="str">
            <v>Hima Town Council</v>
          </cell>
          <cell r="B1080" t="str">
            <v>Kasese</v>
          </cell>
          <cell r="C1080" t="str">
            <v>Busongora</v>
          </cell>
          <cell r="D1080" t="str">
            <v>Hima Town Council</v>
          </cell>
          <cell r="F1080">
            <v>646</v>
          </cell>
        </row>
        <row r="1081">
          <cell r="A1081" t="str">
            <v>Ihandiro</v>
          </cell>
          <cell r="B1081" t="str">
            <v>Kasese</v>
          </cell>
          <cell r="C1081" t="str">
            <v>Bukonzo</v>
          </cell>
          <cell r="D1081" t="str">
            <v>Ihandiro</v>
          </cell>
          <cell r="F1081">
            <v>647</v>
          </cell>
        </row>
        <row r="1082">
          <cell r="A1082" t="str">
            <v>Isango</v>
          </cell>
          <cell r="B1082" t="str">
            <v>Kasese</v>
          </cell>
          <cell r="C1082" t="str">
            <v>Bukonzo</v>
          </cell>
          <cell r="D1082" t="str">
            <v>Isango</v>
          </cell>
          <cell r="F1082">
            <v>648</v>
          </cell>
        </row>
        <row r="1083">
          <cell r="A1083" t="str">
            <v>Karambi-Kasese</v>
          </cell>
          <cell r="B1083" t="str">
            <v>Kasese</v>
          </cell>
          <cell r="C1083" t="str">
            <v>Bukonzo</v>
          </cell>
          <cell r="D1083" t="str">
            <v>Karambi-Kasese</v>
          </cell>
          <cell r="F1083">
            <v>649</v>
          </cell>
        </row>
        <row r="1084">
          <cell r="A1084" t="str">
            <v>Karusandara</v>
          </cell>
          <cell r="B1084" t="str">
            <v>Kasese</v>
          </cell>
          <cell r="C1084" t="str">
            <v>Busongora</v>
          </cell>
          <cell r="D1084" t="str">
            <v>Karusandara</v>
          </cell>
          <cell r="F1084">
            <v>650</v>
          </cell>
        </row>
        <row r="1085">
          <cell r="A1085" t="str">
            <v>Kasese Municipality</v>
          </cell>
          <cell r="B1085" t="str">
            <v>Kasese</v>
          </cell>
          <cell r="C1085" t="str">
            <v>Kasese Municipality</v>
          </cell>
          <cell r="D1085" t="str">
            <v>Kasese Municipality</v>
          </cell>
          <cell r="F1085">
            <v>651</v>
          </cell>
        </row>
        <row r="1086">
          <cell r="A1086" t="str">
            <v>KASESE</v>
          </cell>
          <cell r="F1086">
            <v>651</v>
          </cell>
        </row>
        <row r="1087">
          <cell r="A1087" t="str">
            <v>KASESE TOWN</v>
          </cell>
          <cell r="F1087">
            <v>651</v>
          </cell>
        </row>
        <row r="1088">
          <cell r="A1088" t="str">
            <v>KASESE TOWM</v>
          </cell>
          <cell r="F1088">
            <v>651</v>
          </cell>
        </row>
        <row r="1089">
          <cell r="A1089" t="str">
            <v>QUEEN ELIZABETH N.PARK</v>
          </cell>
          <cell r="F1089">
            <v>651</v>
          </cell>
        </row>
        <row r="1090">
          <cell r="A1090" t="str">
            <v>QUEEN ELIZABETH</v>
          </cell>
          <cell r="F1090">
            <v>651</v>
          </cell>
        </row>
        <row r="1091">
          <cell r="A1091" t="str">
            <v>Kagando</v>
          </cell>
          <cell r="F1091">
            <v>651</v>
          </cell>
        </row>
        <row r="1092">
          <cell r="A1092" t="str">
            <v>Kasanyi</v>
          </cell>
          <cell r="F1092">
            <v>651</v>
          </cell>
        </row>
        <row r="1093">
          <cell r="A1093" t="str">
            <v>Katwe Kabatoro Town Council</v>
          </cell>
          <cell r="B1093" t="str">
            <v>Kasese</v>
          </cell>
          <cell r="C1093" t="str">
            <v>Busongora</v>
          </cell>
          <cell r="D1093" t="str">
            <v>Katwe Kabatoro Town Council</v>
          </cell>
          <cell r="F1093">
            <v>652</v>
          </cell>
        </row>
        <row r="1094">
          <cell r="A1094" t="str">
            <v>Kilembe</v>
          </cell>
          <cell r="B1094" t="str">
            <v>Kasese</v>
          </cell>
          <cell r="C1094" t="str">
            <v>Busongora</v>
          </cell>
          <cell r="D1094" t="str">
            <v>Kilembe</v>
          </cell>
          <cell r="F1094">
            <v>653</v>
          </cell>
        </row>
        <row r="1095">
          <cell r="A1095" t="str">
            <v>Kisinga</v>
          </cell>
          <cell r="B1095" t="str">
            <v>Kasese</v>
          </cell>
          <cell r="C1095" t="str">
            <v>Bukonzo</v>
          </cell>
          <cell r="D1095" t="str">
            <v>Kisinga</v>
          </cell>
          <cell r="F1095">
            <v>655</v>
          </cell>
        </row>
        <row r="1096">
          <cell r="A1096" t="str">
            <v>Kisinga Town Council</v>
          </cell>
          <cell r="B1096" t="str">
            <v>Kasese</v>
          </cell>
          <cell r="C1096" t="str">
            <v>Bukonzo</v>
          </cell>
          <cell r="D1096" t="str">
            <v>Kisinga Town Council</v>
          </cell>
          <cell r="F1096">
            <v>655</v>
          </cell>
        </row>
        <row r="1097">
          <cell r="A1097" t="str">
            <v>Kikorongo</v>
          </cell>
          <cell r="B1097" t="str">
            <v>Kasese</v>
          </cell>
          <cell r="C1097" t="str">
            <v>Bukonzo</v>
          </cell>
          <cell r="D1097" t="str">
            <v>Kikorongo</v>
          </cell>
          <cell r="F1097">
            <v>655</v>
          </cell>
        </row>
        <row r="1098">
          <cell r="A1098" t="str">
            <v>Kitholhu</v>
          </cell>
          <cell r="B1098" t="str">
            <v>Kasese</v>
          </cell>
          <cell r="C1098" t="str">
            <v>Bukonzo</v>
          </cell>
          <cell r="D1098" t="str">
            <v>Kitholhu</v>
          </cell>
          <cell r="F1098">
            <v>656</v>
          </cell>
        </row>
        <row r="1099">
          <cell r="A1099" t="str">
            <v>Kitswamba</v>
          </cell>
          <cell r="B1099" t="str">
            <v>Kasese</v>
          </cell>
          <cell r="C1099" t="str">
            <v>Busongora</v>
          </cell>
          <cell r="D1099" t="str">
            <v>Kitswamba</v>
          </cell>
          <cell r="F1099">
            <v>657</v>
          </cell>
        </row>
        <row r="1100">
          <cell r="A1100" t="str">
            <v>Kyabarungira</v>
          </cell>
          <cell r="B1100" t="str">
            <v>Kasese</v>
          </cell>
          <cell r="C1100" t="str">
            <v>Busongora</v>
          </cell>
          <cell r="D1100" t="str">
            <v>Kyabarungira</v>
          </cell>
          <cell r="F1100">
            <v>658</v>
          </cell>
        </row>
        <row r="1101">
          <cell r="A1101" t="str">
            <v>Kyarumba</v>
          </cell>
          <cell r="B1101" t="str">
            <v>Kasese</v>
          </cell>
          <cell r="C1101" t="str">
            <v>Bukonzo</v>
          </cell>
          <cell r="D1101" t="str">
            <v>Kyarumba</v>
          </cell>
          <cell r="F1101">
            <v>659</v>
          </cell>
        </row>
        <row r="1102">
          <cell r="A1102" t="str">
            <v>Kiburara</v>
          </cell>
          <cell r="B1102" t="str">
            <v>Kasese</v>
          </cell>
          <cell r="C1102" t="str">
            <v>Bukonzo</v>
          </cell>
          <cell r="D1102" t="str">
            <v>Kiburara</v>
          </cell>
          <cell r="F1102">
            <v>659</v>
          </cell>
        </row>
        <row r="1103">
          <cell r="A1103" t="str">
            <v>Kyondo</v>
          </cell>
          <cell r="B1103" t="str">
            <v>Kasese</v>
          </cell>
          <cell r="C1103" t="str">
            <v>Bukonzo</v>
          </cell>
          <cell r="D1103" t="str">
            <v>Kyondo</v>
          </cell>
          <cell r="F1103">
            <v>660</v>
          </cell>
        </row>
        <row r="1104">
          <cell r="A1104" t="str">
            <v>Ndongo</v>
          </cell>
          <cell r="B1104" t="str">
            <v>Kasese</v>
          </cell>
          <cell r="C1104" t="str">
            <v>Bukonzo</v>
          </cell>
          <cell r="D1104" t="str">
            <v>Ndongo</v>
          </cell>
          <cell r="F1104">
            <v>660</v>
          </cell>
        </row>
        <row r="1105">
          <cell r="A1105" t="str">
            <v>Kirorongo</v>
          </cell>
          <cell r="F1105">
            <v>660</v>
          </cell>
        </row>
        <row r="1106">
          <cell r="A1106" t="str">
            <v>Lake Katwe</v>
          </cell>
          <cell r="B1106" t="str">
            <v>Kasese</v>
          </cell>
          <cell r="C1106" t="str">
            <v>Busongora</v>
          </cell>
          <cell r="D1106" t="str">
            <v>Lake Katwe</v>
          </cell>
          <cell r="F1106">
            <v>661</v>
          </cell>
        </row>
        <row r="1107">
          <cell r="A1107" t="str">
            <v>Mahango</v>
          </cell>
          <cell r="B1107" t="str">
            <v>Kasese</v>
          </cell>
          <cell r="C1107" t="str">
            <v>Bukonzo</v>
          </cell>
          <cell r="D1107" t="str">
            <v>Mahango</v>
          </cell>
          <cell r="F1107">
            <v>662</v>
          </cell>
        </row>
        <row r="1108">
          <cell r="A1108" t="str">
            <v>Maliba</v>
          </cell>
          <cell r="B1108" t="str">
            <v>Kasese</v>
          </cell>
          <cell r="C1108" t="str">
            <v>Busongora</v>
          </cell>
          <cell r="D1108" t="str">
            <v>Maliba</v>
          </cell>
          <cell r="F1108">
            <v>663</v>
          </cell>
        </row>
        <row r="1109">
          <cell r="A1109" t="str">
            <v>Mpondwe-Lhubiriha</v>
          </cell>
          <cell r="B1109" t="str">
            <v>Kasese</v>
          </cell>
          <cell r="C1109" t="str">
            <v>Bukonzo</v>
          </cell>
          <cell r="D1109" t="str">
            <v>Mpondwe-Lhubiriha</v>
          </cell>
          <cell r="F1109">
            <v>664</v>
          </cell>
        </row>
        <row r="1110">
          <cell r="A1110" t="str">
            <v>BONDWE</v>
          </cell>
          <cell r="F1110">
            <v>664</v>
          </cell>
        </row>
        <row r="1111">
          <cell r="A1111" t="str">
            <v>Muhokya</v>
          </cell>
          <cell r="B1111" t="str">
            <v>Kasese</v>
          </cell>
          <cell r="C1111" t="str">
            <v>Busongora</v>
          </cell>
          <cell r="D1111" t="str">
            <v>Muhokya</v>
          </cell>
          <cell r="F1111">
            <v>665</v>
          </cell>
        </row>
        <row r="1112">
          <cell r="A1112" t="str">
            <v>Mugonyu</v>
          </cell>
          <cell r="B1112" t="str">
            <v>Kasese</v>
          </cell>
          <cell r="C1112" t="str">
            <v>Busongora</v>
          </cell>
          <cell r="D1112" t="str">
            <v>Mugonyu</v>
          </cell>
          <cell r="F1112">
            <v>665</v>
          </cell>
        </row>
        <row r="1113">
          <cell r="A1113" t="str">
            <v>Munkunyu</v>
          </cell>
          <cell r="B1113" t="str">
            <v>Kasese</v>
          </cell>
          <cell r="C1113" t="str">
            <v>Bukonzo</v>
          </cell>
          <cell r="D1113" t="str">
            <v>Munkunyu</v>
          </cell>
          <cell r="F1113">
            <v>666</v>
          </cell>
        </row>
        <row r="1114">
          <cell r="A1114" t="str">
            <v>Kinyamaseke</v>
          </cell>
          <cell r="B1114" t="str">
            <v>Kasese</v>
          </cell>
          <cell r="C1114" t="str">
            <v>Bukonzo</v>
          </cell>
          <cell r="D1114" t="str">
            <v>Kinyamaseke</v>
          </cell>
          <cell r="F1114">
            <v>666</v>
          </cell>
        </row>
        <row r="1115">
          <cell r="A1115" t="str">
            <v>Nyakatonzi</v>
          </cell>
          <cell r="B1115" t="str">
            <v>Kasese</v>
          </cell>
          <cell r="C1115" t="str">
            <v>Bukonzo</v>
          </cell>
          <cell r="D1115" t="str">
            <v>Nyakatonzi</v>
          </cell>
          <cell r="F1115">
            <v>667</v>
          </cell>
        </row>
        <row r="1116">
          <cell r="A1116" t="str">
            <v>Nyakiyumbu</v>
          </cell>
          <cell r="B1116" t="str">
            <v>Kasese</v>
          </cell>
          <cell r="C1116" t="str">
            <v>Bukonzo</v>
          </cell>
          <cell r="D1116" t="str">
            <v>Nyakiyumbu</v>
          </cell>
          <cell r="F1116">
            <v>668</v>
          </cell>
        </row>
        <row r="1117">
          <cell r="A1117" t="str">
            <v>Rukoki</v>
          </cell>
          <cell r="B1117" t="str">
            <v>Kasese</v>
          </cell>
          <cell r="C1117" t="str">
            <v>Busongora</v>
          </cell>
          <cell r="D1117" t="str">
            <v>Rukoki</v>
          </cell>
          <cell r="F1117">
            <v>669</v>
          </cell>
        </row>
        <row r="1118">
          <cell r="A1118" t="str">
            <v>Kapujan</v>
          </cell>
          <cell r="B1118" t="str">
            <v>Katakwi</v>
          </cell>
          <cell r="C1118" t="str">
            <v>Toroma</v>
          </cell>
          <cell r="D1118" t="str">
            <v>Kapujan</v>
          </cell>
          <cell r="F1118">
            <v>670</v>
          </cell>
        </row>
        <row r="1119">
          <cell r="A1119" t="str">
            <v>Katakwi</v>
          </cell>
          <cell r="B1119" t="str">
            <v>Katakwi</v>
          </cell>
          <cell r="C1119" t="str">
            <v>Usuk</v>
          </cell>
          <cell r="D1119" t="str">
            <v>Katakwi</v>
          </cell>
          <cell r="F1119">
            <v>671</v>
          </cell>
        </row>
        <row r="1120">
          <cell r="A1120" t="str">
            <v>Katakwi Town Council</v>
          </cell>
          <cell r="B1120" t="str">
            <v>Katakwi</v>
          </cell>
          <cell r="C1120" t="str">
            <v>Usuk</v>
          </cell>
          <cell r="D1120" t="str">
            <v>Katakwi Town Council</v>
          </cell>
          <cell r="F1120">
            <v>672</v>
          </cell>
        </row>
        <row r="1121">
          <cell r="A1121" t="str">
            <v>NAKAPIRIPIRITI</v>
          </cell>
          <cell r="F1121">
            <v>672</v>
          </cell>
        </row>
        <row r="1122">
          <cell r="A1122" t="str">
            <v>Magoro</v>
          </cell>
          <cell r="B1122" t="str">
            <v>Katakwi</v>
          </cell>
          <cell r="C1122" t="str">
            <v>Toroma</v>
          </cell>
          <cell r="D1122" t="str">
            <v>Magoro</v>
          </cell>
          <cell r="F1122">
            <v>673</v>
          </cell>
        </row>
        <row r="1123">
          <cell r="A1123" t="str">
            <v>Ngariam</v>
          </cell>
          <cell r="B1123" t="str">
            <v>Katakwi</v>
          </cell>
          <cell r="C1123" t="str">
            <v>Usuk</v>
          </cell>
          <cell r="D1123" t="str">
            <v>Ngariam</v>
          </cell>
          <cell r="F1123">
            <v>674</v>
          </cell>
        </row>
        <row r="1124">
          <cell r="A1124" t="str">
            <v>Omodoi</v>
          </cell>
          <cell r="B1124" t="str">
            <v>Katakwi</v>
          </cell>
          <cell r="C1124" t="str">
            <v>Toroma</v>
          </cell>
          <cell r="D1124" t="str">
            <v>Omodoi</v>
          </cell>
          <cell r="F1124">
            <v>675</v>
          </cell>
        </row>
        <row r="1125">
          <cell r="A1125" t="str">
            <v>Ongongoja</v>
          </cell>
          <cell r="B1125" t="str">
            <v>Katakwi</v>
          </cell>
          <cell r="C1125" t="str">
            <v>Usuk</v>
          </cell>
          <cell r="D1125" t="str">
            <v>Ongongoja</v>
          </cell>
          <cell r="F1125">
            <v>676</v>
          </cell>
        </row>
        <row r="1126">
          <cell r="A1126" t="str">
            <v>Palam</v>
          </cell>
          <cell r="B1126" t="str">
            <v>Katakwi</v>
          </cell>
          <cell r="C1126" t="str">
            <v>Usuk</v>
          </cell>
          <cell r="D1126" t="str">
            <v>Palam</v>
          </cell>
          <cell r="F1126">
            <v>677</v>
          </cell>
        </row>
        <row r="1127">
          <cell r="A1127" t="str">
            <v>Toroma</v>
          </cell>
          <cell r="B1127" t="str">
            <v>Katakwi</v>
          </cell>
          <cell r="C1127" t="str">
            <v>Toroma</v>
          </cell>
          <cell r="D1127" t="str">
            <v>Toroma</v>
          </cell>
          <cell r="F1127">
            <v>678</v>
          </cell>
        </row>
        <row r="1128">
          <cell r="A1128" t="str">
            <v>Usuk</v>
          </cell>
          <cell r="B1128" t="str">
            <v>Katakwi</v>
          </cell>
          <cell r="C1128" t="str">
            <v>Usuk</v>
          </cell>
          <cell r="D1128" t="str">
            <v>Usuk</v>
          </cell>
          <cell r="F1128">
            <v>679</v>
          </cell>
        </row>
        <row r="1129">
          <cell r="A1129" t="str">
            <v>Bbaale</v>
          </cell>
          <cell r="B1129" t="str">
            <v>Kayunga</v>
          </cell>
          <cell r="C1129" t="str">
            <v>Bbaale</v>
          </cell>
          <cell r="D1129" t="str">
            <v>Bbaale</v>
          </cell>
          <cell r="F1129">
            <v>680</v>
          </cell>
        </row>
        <row r="1130">
          <cell r="A1130" t="str">
            <v>Busaana</v>
          </cell>
          <cell r="B1130" t="str">
            <v>Kayunga</v>
          </cell>
          <cell r="C1130" t="str">
            <v>Ntenjeru</v>
          </cell>
          <cell r="D1130" t="str">
            <v>Busaana</v>
          </cell>
          <cell r="F1130">
            <v>681</v>
          </cell>
        </row>
        <row r="1131">
          <cell r="A1131" t="str">
            <v>Galiraya</v>
          </cell>
          <cell r="B1131" t="str">
            <v>Kayunga</v>
          </cell>
          <cell r="C1131" t="str">
            <v>Bbaale</v>
          </cell>
          <cell r="D1131" t="str">
            <v>Galiraya</v>
          </cell>
          <cell r="F1131">
            <v>682</v>
          </cell>
        </row>
        <row r="1132">
          <cell r="A1132" t="str">
            <v>Kangulumira</v>
          </cell>
          <cell r="B1132" t="str">
            <v>Kayunga</v>
          </cell>
          <cell r="C1132" t="str">
            <v>Ntenjeru</v>
          </cell>
          <cell r="D1132" t="str">
            <v>Kangulumira</v>
          </cell>
          <cell r="F1132">
            <v>683</v>
          </cell>
        </row>
        <row r="1133">
          <cell r="A1133" t="str">
            <v>Kayonza-Kayunga</v>
          </cell>
          <cell r="B1133" t="str">
            <v>Kayunga</v>
          </cell>
          <cell r="C1133" t="str">
            <v>Bbaale</v>
          </cell>
          <cell r="D1133" t="str">
            <v>Kayonza-Kayunga</v>
          </cell>
          <cell r="F1133">
            <v>684</v>
          </cell>
        </row>
        <row r="1134">
          <cell r="A1134" t="str">
            <v>Kayunga</v>
          </cell>
          <cell r="B1134" t="str">
            <v>Kayunga</v>
          </cell>
          <cell r="C1134" t="str">
            <v>Ntenjeru</v>
          </cell>
          <cell r="D1134" t="str">
            <v>Kayunga</v>
          </cell>
          <cell r="F1134">
            <v>685</v>
          </cell>
        </row>
        <row r="1135">
          <cell r="A1135" t="str">
            <v>Kayunga Town Council</v>
          </cell>
          <cell r="B1135" t="str">
            <v>Kayunga</v>
          </cell>
          <cell r="C1135" t="str">
            <v>Ntenjeru</v>
          </cell>
          <cell r="D1135" t="str">
            <v>Kayunga Town Council</v>
          </cell>
          <cell r="F1135">
            <v>686</v>
          </cell>
        </row>
        <row r="1136">
          <cell r="A1136" t="str">
            <v>KAYUNGA TOWN</v>
          </cell>
          <cell r="F1136">
            <v>686</v>
          </cell>
        </row>
        <row r="1137">
          <cell r="A1137" t="str">
            <v>KAYUNGA HOSPITAL</v>
          </cell>
          <cell r="F1137">
            <v>686</v>
          </cell>
        </row>
        <row r="1138">
          <cell r="A1138" t="str">
            <v>KALAGI</v>
          </cell>
          <cell r="F1138">
            <v>686</v>
          </cell>
        </row>
        <row r="1139">
          <cell r="A1139" t="str">
            <v>BUKOLOTO</v>
          </cell>
          <cell r="F1139">
            <v>686</v>
          </cell>
        </row>
        <row r="1140">
          <cell r="A1140" t="str">
            <v>Bugerere</v>
          </cell>
          <cell r="F1140">
            <v>686</v>
          </cell>
        </row>
        <row r="1141">
          <cell r="A1141" t="str">
            <v>Bugelele</v>
          </cell>
          <cell r="F1141">
            <v>686</v>
          </cell>
        </row>
        <row r="1142">
          <cell r="A1142" t="str">
            <v>Kitimbwa</v>
          </cell>
          <cell r="B1142" t="str">
            <v>Kayunga</v>
          </cell>
          <cell r="C1142" t="str">
            <v>Bbaale</v>
          </cell>
          <cell r="D1142" t="str">
            <v>Kitimbwa</v>
          </cell>
          <cell r="F1142">
            <v>687</v>
          </cell>
        </row>
        <row r="1143">
          <cell r="A1143" t="str">
            <v>Nazigo</v>
          </cell>
          <cell r="B1143" t="str">
            <v>Kayunga</v>
          </cell>
          <cell r="C1143" t="str">
            <v>Ntenjeru</v>
          </cell>
          <cell r="D1143" t="str">
            <v>Nazigo</v>
          </cell>
          <cell r="F1143">
            <v>688</v>
          </cell>
        </row>
        <row r="1144">
          <cell r="A1144" t="str">
            <v>Bubango</v>
          </cell>
          <cell r="B1144" t="str">
            <v>Kibaale</v>
          </cell>
          <cell r="C1144" t="str">
            <v>Buyanja</v>
          </cell>
          <cell r="D1144" t="str">
            <v>Bubango</v>
          </cell>
          <cell r="F1144">
            <v>689</v>
          </cell>
        </row>
        <row r="1145">
          <cell r="A1145" t="str">
            <v>Bwamiramira</v>
          </cell>
          <cell r="B1145" t="str">
            <v>Kibaale</v>
          </cell>
          <cell r="C1145" t="str">
            <v>Buyanja</v>
          </cell>
          <cell r="D1145" t="str">
            <v>Bwamiramira</v>
          </cell>
          <cell r="F1145">
            <v>690</v>
          </cell>
        </row>
        <row r="1146">
          <cell r="A1146" t="str">
            <v>Kabasekende</v>
          </cell>
          <cell r="B1146" t="str">
            <v>Kibaale</v>
          </cell>
          <cell r="C1146" t="str">
            <v>Buyanja</v>
          </cell>
          <cell r="D1146" t="str">
            <v>Kabasekende</v>
          </cell>
          <cell r="F1146">
            <v>691</v>
          </cell>
        </row>
        <row r="1147">
          <cell r="A1147" t="str">
            <v>Kasimbi</v>
          </cell>
          <cell r="B1147" t="str">
            <v>Kibaale</v>
          </cell>
          <cell r="C1147" t="str">
            <v>Buyanja</v>
          </cell>
          <cell r="D1147" t="str">
            <v>Kasimbi</v>
          </cell>
          <cell r="F1147">
            <v>692</v>
          </cell>
        </row>
        <row r="1148">
          <cell r="A1148" t="str">
            <v>Kibaale Town Council</v>
          </cell>
          <cell r="B1148" t="str">
            <v>Kibaale</v>
          </cell>
          <cell r="C1148" t="str">
            <v>Buyanja</v>
          </cell>
          <cell r="D1148" t="str">
            <v>Kibaale Town Council</v>
          </cell>
          <cell r="F1148">
            <v>693</v>
          </cell>
        </row>
        <row r="1149">
          <cell r="A1149" t="str">
            <v>Kyebando</v>
          </cell>
          <cell r="B1149" t="str">
            <v>Kibaale</v>
          </cell>
          <cell r="C1149" t="str">
            <v>Buyanja</v>
          </cell>
          <cell r="D1149" t="str">
            <v>Kyebando</v>
          </cell>
          <cell r="F1149">
            <v>694</v>
          </cell>
        </row>
        <row r="1150">
          <cell r="A1150" t="str">
            <v>Matale</v>
          </cell>
          <cell r="B1150" t="str">
            <v>Kibaale</v>
          </cell>
          <cell r="C1150" t="str">
            <v>Buyanja</v>
          </cell>
          <cell r="D1150" t="str">
            <v>Matale</v>
          </cell>
          <cell r="F1150">
            <v>695</v>
          </cell>
        </row>
        <row r="1151">
          <cell r="A1151" t="str">
            <v>Mugarama</v>
          </cell>
          <cell r="B1151" t="str">
            <v>Kibaale</v>
          </cell>
          <cell r="C1151" t="str">
            <v>Buyanja</v>
          </cell>
          <cell r="D1151" t="str">
            <v>Mugarama</v>
          </cell>
          <cell r="F1151">
            <v>696</v>
          </cell>
        </row>
        <row r="1152">
          <cell r="A1152" t="str">
            <v>Nyamarunda</v>
          </cell>
          <cell r="B1152" t="str">
            <v>Kibaale</v>
          </cell>
          <cell r="C1152" t="str">
            <v>Buyanja</v>
          </cell>
          <cell r="D1152" t="str">
            <v>Nyamarunda</v>
          </cell>
          <cell r="F1152">
            <v>697</v>
          </cell>
        </row>
        <row r="1153">
          <cell r="A1153" t="str">
            <v>Nyamarwa</v>
          </cell>
          <cell r="B1153" t="str">
            <v>Kibaale</v>
          </cell>
          <cell r="C1153" t="str">
            <v>Buyanja</v>
          </cell>
          <cell r="D1153" t="str">
            <v>Nyamarwa</v>
          </cell>
          <cell r="F1153">
            <v>698</v>
          </cell>
        </row>
        <row r="1154">
          <cell r="A1154" t="str">
            <v>Bukomero</v>
          </cell>
          <cell r="B1154" t="str">
            <v>Kiboga</v>
          </cell>
          <cell r="C1154" t="str">
            <v>Kiboga</v>
          </cell>
          <cell r="D1154" t="str">
            <v>Bukomero</v>
          </cell>
          <cell r="F1154">
            <v>699</v>
          </cell>
        </row>
        <row r="1155">
          <cell r="A1155" t="str">
            <v>BUKOOMERO</v>
          </cell>
          <cell r="F1155">
            <v>699</v>
          </cell>
        </row>
        <row r="1156">
          <cell r="A1156" t="str">
            <v>Bukomero Town Council</v>
          </cell>
          <cell r="B1156" t="str">
            <v>Kiboga</v>
          </cell>
          <cell r="C1156" t="str">
            <v>Kiboga</v>
          </cell>
          <cell r="D1156" t="str">
            <v>Bukomero Town Council</v>
          </cell>
          <cell r="F1156">
            <v>700</v>
          </cell>
        </row>
        <row r="1157">
          <cell r="A1157" t="str">
            <v>KATERA</v>
          </cell>
          <cell r="F1157">
            <v>700</v>
          </cell>
        </row>
        <row r="1158">
          <cell r="A1158" t="str">
            <v>Ddwaniro-Kiboga</v>
          </cell>
          <cell r="B1158" t="str">
            <v>Kiboga</v>
          </cell>
          <cell r="C1158" t="str">
            <v>Kiboga</v>
          </cell>
          <cell r="D1158" t="str">
            <v>Ddwaniro-Kiboga</v>
          </cell>
          <cell r="F1158">
            <v>701</v>
          </cell>
        </row>
        <row r="1159">
          <cell r="A1159" t="str">
            <v>KIBOGA TOWN</v>
          </cell>
          <cell r="F1159">
            <v>701</v>
          </cell>
        </row>
        <row r="1160">
          <cell r="A1160" t="str">
            <v>Kapeke</v>
          </cell>
          <cell r="B1160" t="str">
            <v>Kiboga</v>
          </cell>
          <cell r="C1160" t="str">
            <v>Kiboga</v>
          </cell>
          <cell r="D1160" t="str">
            <v>Kapeke</v>
          </cell>
          <cell r="F1160">
            <v>702</v>
          </cell>
        </row>
        <row r="1161">
          <cell r="A1161" t="str">
            <v>Kibiga</v>
          </cell>
          <cell r="B1161" t="str">
            <v>Kiboga</v>
          </cell>
          <cell r="C1161" t="str">
            <v>Kiboga</v>
          </cell>
          <cell r="D1161" t="str">
            <v>Kibiga</v>
          </cell>
          <cell r="F1161">
            <v>703</v>
          </cell>
        </row>
        <row r="1162">
          <cell r="A1162" t="str">
            <v>Kiboga Town Council</v>
          </cell>
          <cell r="B1162" t="str">
            <v>Kiboga</v>
          </cell>
          <cell r="C1162" t="str">
            <v>Kiboga</v>
          </cell>
          <cell r="D1162" t="str">
            <v>Kiboga Town Council</v>
          </cell>
          <cell r="F1162">
            <v>704</v>
          </cell>
        </row>
        <row r="1163">
          <cell r="A1163" t="str">
            <v>KIBOGA</v>
          </cell>
          <cell r="F1163">
            <v>704</v>
          </cell>
        </row>
        <row r="1164">
          <cell r="A1164" t="str">
            <v>Lwamata</v>
          </cell>
          <cell r="B1164" t="str">
            <v>Kiboga</v>
          </cell>
          <cell r="C1164" t="str">
            <v>Kiboga</v>
          </cell>
          <cell r="D1164" t="str">
            <v>Lwamata</v>
          </cell>
          <cell r="F1164">
            <v>705</v>
          </cell>
        </row>
        <row r="1165">
          <cell r="A1165" t="str">
            <v>Muwanga</v>
          </cell>
          <cell r="B1165" t="str">
            <v>Kiboga</v>
          </cell>
          <cell r="C1165" t="str">
            <v>Kiboga</v>
          </cell>
          <cell r="D1165" t="str">
            <v>Muwanga</v>
          </cell>
          <cell r="F1165">
            <v>706</v>
          </cell>
        </row>
        <row r="1166">
          <cell r="A1166" t="str">
            <v>Bulangira</v>
          </cell>
          <cell r="B1166" t="str">
            <v>Kibuku</v>
          </cell>
          <cell r="C1166" t="str">
            <v>Kibuku</v>
          </cell>
          <cell r="D1166" t="str">
            <v>Bulangira</v>
          </cell>
          <cell r="F1166">
            <v>707</v>
          </cell>
        </row>
        <row r="1167">
          <cell r="A1167" t="str">
            <v>Buseta</v>
          </cell>
          <cell r="B1167" t="str">
            <v>Kibuku</v>
          </cell>
          <cell r="C1167" t="str">
            <v>Kibuku</v>
          </cell>
          <cell r="D1167" t="str">
            <v>Buseta</v>
          </cell>
          <cell r="F1167">
            <v>708</v>
          </cell>
        </row>
        <row r="1168">
          <cell r="A1168" t="str">
            <v>Kabweri</v>
          </cell>
          <cell r="B1168" t="str">
            <v>Kibuku</v>
          </cell>
          <cell r="C1168" t="str">
            <v>Kibuku</v>
          </cell>
          <cell r="D1168" t="str">
            <v>Kabweri</v>
          </cell>
          <cell r="F1168">
            <v>709</v>
          </cell>
        </row>
        <row r="1169">
          <cell r="A1169" t="str">
            <v>Kadama</v>
          </cell>
          <cell r="B1169" t="str">
            <v>Kibuku</v>
          </cell>
          <cell r="C1169" t="str">
            <v>Kibuku</v>
          </cell>
          <cell r="D1169" t="str">
            <v>Kadama</v>
          </cell>
          <cell r="F1169">
            <v>710</v>
          </cell>
        </row>
        <row r="1170">
          <cell r="A1170" t="str">
            <v>Kagumu</v>
          </cell>
          <cell r="B1170" t="str">
            <v>Kibuku</v>
          </cell>
          <cell r="C1170" t="str">
            <v>Kibuku</v>
          </cell>
          <cell r="D1170" t="str">
            <v>Kagumu</v>
          </cell>
          <cell r="F1170">
            <v>711</v>
          </cell>
        </row>
        <row r="1171">
          <cell r="A1171" t="str">
            <v>Kasasira</v>
          </cell>
          <cell r="B1171" t="str">
            <v>Kibuku</v>
          </cell>
          <cell r="C1171" t="str">
            <v>Kibuku</v>
          </cell>
          <cell r="D1171" t="str">
            <v>Kasasira</v>
          </cell>
          <cell r="F1171">
            <v>712</v>
          </cell>
        </row>
        <row r="1172">
          <cell r="A1172" t="str">
            <v>Kibuku</v>
          </cell>
          <cell r="B1172" t="str">
            <v>Kibuku</v>
          </cell>
          <cell r="C1172" t="str">
            <v>Kibuku</v>
          </cell>
          <cell r="D1172" t="str">
            <v>Kibuku</v>
          </cell>
          <cell r="F1172">
            <v>713</v>
          </cell>
        </row>
        <row r="1173">
          <cell r="A1173" t="str">
            <v>Kibuku Town Council</v>
          </cell>
          <cell r="B1173" t="str">
            <v>Kibuku</v>
          </cell>
          <cell r="C1173" t="str">
            <v>Kibuku</v>
          </cell>
          <cell r="D1173" t="str">
            <v>Kibuku Town Council</v>
          </cell>
          <cell r="F1173">
            <v>714</v>
          </cell>
        </row>
        <row r="1174">
          <cell r="A1174" t="str">
            <v>Kirika</v>
          </cell>
          <cell r="B1174" t="str">
            <v>Kibuku</v>
          </cell>
          <cell r="C1174" t="str">
            <v>Kibuku</v>
          </cell>
          <cell r="D1174" t="str">
            <v>Kirika</v>
          </cell>
          <cell r="F1174">
            <v>715</v>
          </cell>
        </row>
        <row r="1175">
          <cell r="A1175" t="str">
            <v>Tirinyi</v>
          </cell>
          <cell r="B1175" t="str">
            <v>Kibuku</v>
          </cell>
          <cell r="C1175" t="str">
            <v>Kibuku</v>
          </cell>
          <cell r="D1175" t="str">
            <v>Tirinyi</v>
          </cell>
          <cell r="F1175">
            <v>716</v>
          </cell>
        </row>
        <row r="1176">
          <cell r="A1176" t="str">
            <v>Buremba</v>
          </cell>
          <cell r="B1176" t="str">
            <v>Kiruhura</v>
          </cell>
          <cell r="C1176" t="str">
            <v>Kazo</v>
          </cell>
          <cell r="D1176" t="str">
            <v>Buremba</v>
          </cell>
          <cell r="F1176">
            <v>717</v>
          </cell>
        </row>
        <row r="1177">
          <cell r="A1177" t="str">
            <v>Burunga</v>
          </cell>
          <cell r="B1177" t="str">
            <v>Kiruhura</v>
          </cell>
          <cell r="C1177" t="str">
            <v>Kazo</v>
          </cell>
          <cell r="D1177" t="str">
            <v>Burunga</v>
          </cell>
          <cell r="F1177">
            <v>718</v>
          </cell>
        </row>
        <row r="1178">
          <cell r="A1178" t="str">
            <v>Engari</v>
          </cell>
          <cell r="B1178" t="str">
            <v>Kiruhura</v>
          </cell>
          <cell r="C1178" t="str">
            <v>Kazo</v>
          </cell>
          <cell r="D1178" t="str">
            <v>Engari</v>
          </cell>
          <cell r="F1178">
            <v>719</v>
          </cell>
        </row>
        <row r="1179">
          <cell r="A1179" t="str">
            <v>Kanoni</v>
          </cell>
          <cell r="B1179" t="str">
            <v>Kiruhura</v>
          </cell>
          <cell r="C1179" t="str">
            <v>Kazo</v>
          </cell>
          <cell r="D1179" t="str">
            <v>Kanoni</v>
          </cell>
          <cell r="F1179">
            <v>720</v>
          </cell>
        </row>
        <row r="1180">
          <cell r="A1180" t="str">
            <v>Kanyaryeru</v>
          </cell>
          <cell r="B1180" t="str">
            <v>Kiruhura</v>
          </cell>
          <cell r="C1180" t="str">
            <v>Nyabushozi</v>
          </cell>
          <cell r="D1180" t="str">
            <v>Kanyaryeru</v>
          </cell>
          <cell r="F1180">
            <v>721</v>
          </cell>
        </row>
        <row r="1181">
          <cell r="A1181" t="str">
            <v>Kashongi</v>
          </cell>
          <cell r="B1181" t="str">
            <v>Kiruhura</v>
          </cell>
          <cell r="C1181" t="str">
            <v>Nyabushozi</v>
          </cell>
          <cell r="D1181" t="str">
            <v>Kashongi</v>
          </cell>
          <cell r="F1181">
            <v>722</v>
          </cell>
        </row>
        <row r="1182">
          <cell r="A1182" t="str">
            <v>Kazo</v>
          </cell>
          <cell r="B1182" t="str">
            <v>Kiruhura</v>
          </cell>
          <cell r="C1182" t="str">
            <v>Kazo</v>
          </cell>
          <cell r="D1182" t="str">
            <v>Kazo</v>
          </cell>
          <cell r="F1182">
            <v>723</v>
          </cell>
        </row>
        <row r="1183">
          <cell r="A1183" t="str">
            <v xml:space="preserve">KAZO </v>
          </cell>
          <cell r="F1183">
            <v>723</v>
          </cell>
        </row>
        <row r="1184">
          <cell r="A1184" t="str">
            <v>KAZOO</v>
          </cell>
          <cell r="F1184">
            <v>723</v>
          </cell>
        </row>
        <row r="1185">
          <cell r="A1185" t="str">
            <v>KAWALA</v>
          </cell>
          <cell r="F1185">
            <v>723</v>
          </cell>
        </row>
        <row r="1186">
          <cell r="A1186" t="str">
            <v>KAWAALA</v>
          </cell>
          <cell r="F1186">
            <v>723</v>
          </cell>
        </row>
        <row r="1187">
          <cell r="A1187" t="str">
            <v>Kazo Town Council</v>
          </cell>
          <cell r="B1187" t="str">
            <v>Kiruhura</v>
          </cell>
          <cell r="C1187" t="str">
            <v>Kazo</v>
          </cell>
          <cell r="D1187" t="str">
            <v>Kazo Town Council</v>
          </cell>
          <cell r="F1187">
            <v>724</v>
          </cell>
        </row>
        <row r="1188">
          <cell r="A1188" t="str">
            <v>Kenshunga</v>
          </cell>
          <cell r="B1188" t="str">
            <v>Kiruhura</v>
          </cell>
          <cell r="C1188" t="str">
            <v>Nyabushozi</v>
          </cell>
          <cell r="D1188" t="str">
            <v>Kenshunga</v>
          </cell>
          <cell r="F1188">
            <v>725</v>
          </cell>
        </row>
        <row r="1189">
          <cell r="A1189" t="str">
            <v>Kikaatsi</v>
          </cell>
          <cell r="B1189" t="str">
            <v>Kiruhura</v>
          </cell>
          <cell r="C1189" t="str">
            <v>Nyabushozi</v>
          </cell>
          <cell r="D1189" t="str">
            <v>Kikaatsi</v>
          </cell>
          <cell r="F1189">
            <v>726</v>
          </cell>
        </row>
        <row r="1190">
          <cell r="A1190" t="str">
            <v>Kinoni-Kiruhura</v>
          </cell>
          <cell r="B1190" t="str">
            <v>Kiruhura</v>
          </cell>
          <cell r="C1190" t="str">
            <v>Nyabushozi</v>
          </cell>
          <cell r="D1190" t="str">
            <v>Kinoni-Kiruhura</v>
          </cell>
          <cell r="F1190">
            <v>727</v>
          </cell>
        </row>
        <row r="1191">
          <cell r="A1191" t="str">
            <v>Kiruhura Town Council</v>
          </cell>
          <cell r="B1191" t="str">
            <v>Kiruhura</v>
          </cell>
          <cell r="C1191" t="str">
            <v>Nyabushozi</v>
          </cell>
          <cell r="D1191" t="str">
            <v>Kiruhura Town Council</v>
          </cell>
          <cell r="F1191">
            <v>728</v>
          </cell>
        </row>
        <row r="1192">
          <cell r="A1192" t="str">
            <v>KIRIHURA</v>
          </cell>
          <cell r="F1192">
            <v>728</v>
          </cell>
        </row>
        <row r="1193">
          <cell r="A1193" t="str">
            <v>KIRUHURA TOWN</v>
          </cell>
          <cell r="F1193">
            <v>728</v>
          </cell>
        </row>
        <row r="1194">
          <cell r="A1194" t="str">
            <v>Kitura</v>
          </cell>
          <cell r="B1194" t="str">
            <v>Kiruhura</v>
          </cell>
          <cell r="C1194" t="str">
            <v>Nyabushozi</v>
          </cell>
          <cell r="D1194" t="str">
            <v>Kitura</v>
          </cell>
          <cell r="F1194">
            <v>729</v>
          </cell>
        </row>
        <row r="1195">
          <cell r="A1195" t="str">
            <v>Nkungu</v>
          </cell>
          <cell r="B1195" t="str">
            <v>Kiruhura</v>
          </cell>
          <cell r="C1195" t="str">
            <v>Kazo</v>
          </cell>
          <cell r="D1195" t="str">
            <v>Nkungu</v>
          </cell>
          <cell r="F1195">
            <v>730</v>
          </cell>
        </row>
        <row r="1196">
          <cell r="A1196" t="str">
            <v>Nyakashashara</v>
          </cell>
          <cell r="B1196" t="str">
            <v>Kiruhura</v>
          </cell>
          <cell r="C1196" t="str">
            <v>Nyabushozi</v>
          </cell>
          <cell r="D1196" t="str">
            <v>Nyakashashara</v>
          </cell>
          <cell r="F1196">
            <v>731</v>
          </cell>
        </row>
        <row r="1197">
          <cell r="A1197" t="str">
            <v>Rwemikoma</v>
          </cell>
          <cell r="B1197" t="str">
            <v>Kiruhura</v>
          </cell>
          <cell r="C1197" t="str">
            <v>Kazo</v>
          </cell>
          <cell r="D1197" t="str">
            <v>Rwemikoma</v>
          </cell>
          <cell r="F1197">
            <v>732</v>
          </cell>
        </row>
        <row r="1198">
          <cell r="A1198" t="str">
            <v>Sanga</v>
          </cell>
          <cell r="B1198" t="str">
            <v>Kiruhura</v>
          </cell>
          <cell r="C1198" t="str">
            <v>Nyabushozi</v>
          </cell>
          <cell r="D1198" t="str">
            <v>Sanga</v>
          </cell>
          <cell r="F1198">
            <v>733</v>
          </cell>
        </row>
        <row r="1199">
          <cell r="A1199" t="str">
            <v>Sanga Town Council</v>
          </cell>
          <cell r="B1199" t="str">
            <v>Kiruhura</v>
          </cell>
          <cell r="C1199" t="str">
            <v>Nyabushozi</v>
          </cell>
          <cell r="D1199" t="str">
            <v>Sanga Town Council</v>
          </cell>
          <cell r="F1199">
            <v>734</v>
          </cell>
        </row>
        <row r="1200">
          <cell r="A1200" t="str">
            <v>Bweyale Town Council</v>
          </cell>
          <cell r="B1200" t="str">
            <v>Kiryandongo</v>
          </cell>
          <cell r="C1200" t="str">
            <v>Kibanda</v>
          </cell>
          <cell r="D1200" t="str">
            <v>Bweyale Town Council</v>
          </cell>
          <cell r="F1200">
            <v>735</v>
          </cell>
        </row>
        <row r="1201">
          <cell r="A1201" t="str">
            <v>Bweyale</v>
          </cell>
          <cell r="F1201">
            <v>735</v>
          </cell>
        </row>
        <row r="1202">
          <cell r="A1202" t="str">
            <v>Kigumba</v>
          </cell>
          <cell r="B1202" t="str">
            <v>Kiryandongo</v>
          </cell>
          <cell r="C1202" t="str">
            <v>Kibanda</v>
          </cell>
          <cell r="D1202" t="str">
            <v>Kigumba</v>
          </cell>
          <cell r="F1202">
            <v>736</v>
          </cell>
        </row>
        <row r="1203">
          <cell r="A1203" t="str">
            <v>Kigumba Town Council</v>
          </cell>
          <cell r="B1203" t="str">
            <v>Kiryandongo</v>
          </cell>
          <cell r="C1203" t="str">
            <v>Kibanda</v>
          </cell>
          <cell r="D1203" t="str">
            <v>Kigumba Town Council</v>
          </cell>
          <cell r="F1203">
            <v>737</v>
          </cell>
        </row>
        <row r="1204">
          <cell r="A1204" t="str">
            <v>Kiryandongo</v>
          </cell>
          <cell r="B1204" t="str">
            <v>Kiryandongo</v>
          </cell>
          <cell r="C1204" t="str">
            <v>Kibanda</v>
          </cell>
          <cell r="D1204" t="str">
            <v>Kiryandongo</v>
          </cell>
          <cell r="F1204">
            <v>738</v>
          </cell>
        </row>
        <row r="1205">
          <cell r="A1205" t="str">
            <v>Karuma</v>
          </cell>
          <cell r="F1205">
            <v>738</v>
          </cell>
        </row>
        <row r="1206">
          <cell r="A1206" t="str">
            <v>KIKUBE TOWN</v>
          </cell>
          <cell r="F1206">
            <v>738</v>
          </cell>
        </row>
        <row r="1207">
          <cell r="A1207" t="str">
            <v>kilyandogo</v>
          </cell>
          <cell r="F1207">
            <v>738</v>
          </cell>
        </row>
        <row r="1208">
          <cell r="A1208" t="str">
            <v>Kiryandongo Refugee Camp</v>
          </cell>
          <cell r="B1208" t="str">
            <v>Kiryandongo</v>
          </cell>
          <cell r="C1208" t="str">
            <v>Kibanda</v>
          </cell>
          <cell r="D1208" t="str">
            <v>Kiryandongo Refugee Camp</v>
          </cell>
          <cell r="F1208">
            <v>739</v>
          </cell>
        </row>
        <row r="1209">
          <cell r="A1209" t="str">
            <v>Kiryandongo Town Council</v>
          </cell>
          <cell r="B1209" t="str">
            <v>Kiryandongo</v>
          </cell>
          <cell r="C1209" t="str">
            <v>Kibanda</v>
          </cell>
          <cell r="D1209" t="str">
            <v>Kiryandongo Town Council</v>
          </cell>
          <cell r="F1209">
            <v>740</v>
          </cell>
        </row>
        <row r="1210">
          <cell r="A1210" t="str">
            <v>KIRYANDO</v>
          </cell>
          <cell r="F1210">
            <v>740</v>
          </cell>
        </row>
        <row r="1211">
          <cell r="A1211" t="str">
            <v>KIRINYABIGO</v>
          </cell>
          <cell r="F1211">
            <v>740</v>
          </cell>
        </row>
        <row r="1212">
          <cell r="A1212" t="str">
            <v>KILYADONGO</v>
          </cell>
          <cell r="F1212">
            <v>740</v>
          </cell>
        </row>
        <row r="1213">
          <cell r="A1213" t="str">
            <v>Masindi Port</v>
          </cell>
          <cell r="B1213" t="str">
            <v>Kiryandongo</v>
          </cell>
          <cell r="C1213" t="str">
            <v>Kibanda</v>
          </cell>
          <cell r="D1213" t="str">
            <v>Masindi Port</v>
          </cell>
          <cell r="F1213">
            <v>741</v>
          </cell>
        </row>
        <row r="1214">
          <cell r="A1214" t="str">
            <v>MASINDI</v>
          </cell>
          <cell r="F1214">
            <v>741</v>
          </cell>
        </row>
        <row r="1215">
          <cell r="A1215" t="str">
            <v>Mutunda</v>
          </cell>
          <cell r="B1215" t="str">
            <v>Kiryandongo</v>
          </cell>
          <cell r="C1215" t="str">
            <v>Kibanda</v>
          </cell>
          <cell r="D1215" t="str">
            <v>Mutunda</v>
          </cell>
          <cell r="F1215">
            <v>742</v>
          </cell>
        </row>
        <row r="1216">
          <cell r="A1216" t="str">
            <v>Bukimbiri</v>
          </cell>
          <cell r="B1216" t="str">
            <v>Kisoro</v>
          </cell>
          <cell r="C1216" t="str">
            <v>Bufumbira</v>
          </cell>
          <cell r="D1216" t="str">
            <v>Bukimbiri</v>
          </cell>
          <cell r="F1216">
            <v>743</v>
          </cell>
        </row>
        <row r="1217">
          <cell r="A1217" t="str">
            <v>Busanza</v>
          </cell>
          <cell r="B1217" t="str">
            <v>Kisoro</v>
          </cell>
          <cell r="C1217" t="str">
            <v>Bufumbira</v>
          </cell>
          <cell r="D1217" t="str">
            <v>Busanza</v>
          </cell>
          <cell r="F1217">
            <v>744</v>
          </cell>
        </row>
        <row r="1218">
          <cell r="A1218" t="str">
            <v>Chahi</v>
          </cell>
          <cell r="B1218" t="str">
            <v>Kisoro</v>
          </cell>
          <cell r="C1218" t="str">
            <v>Bufumbira</v>
          </cell>
          <cell r="D1218" t="str">
            <v>Chahi</v>
          </cell>
          <cell r="F1218">
            <v>745</v>
          </cell>
        </row>
        <row r="1219">
          <cell r="A1219" t="str">
            <v>Kanaba</v>
          </cell>
          <cell r="B1219" t="str">
            <v>Kisoro</v>
          </cell>
          <cell r="C1219" t="str">
            <v>Bufumbira</v>
          </cell>
          <cell r="D1219" t="str">
            <v>Kanaba</v>
          </cell>
          <cell r="F1219">
            <v>746</v>
          </cell>
        </row>
        <row r="1220">
          <cell r="A1220" t="str">
            <v>Kirundo</v>
          </cell>
          <cell r="B1220" t="str">
            <v>Kisoro</v>
          </cell>
          <cell r="C1220" t="str">
            <v>Bufumbira</v>
          </cell>
          <cell r="D1220" t="str">
            <v>Kirundo</v>
          </cell>
          <cell r="F1220">
            <v>747</v>
          </cell>
        </row>
        <row r="1221">
          <cell r="A1221" t="str">
            <v>Kisoro Municipality</v>
          </cell>
          <cell r="B1221" t="str">
            <v>Kisoro</v>
          </cell>
          <cell r="C1221" t="str">
            <v>Kisoro Municipality</v>
          </cell>
          <cell r="D1221" t="str">
            <v>Kisoro Municipality</v>
          </cell>
          <cell r="F1221">
            <v>748</v>
          </cell>
        </row>
        <row r="1222">
          <cell r="A1222" t="str">
            <v>Kisoro</v>
          </cell>
          <cell r="F1222">
            <v>748</v>
          </cell>
        </row>
        <row r="1223">
          <cell r="A1223" t="str">
            <v>mukungu</v>
          </cell>
          <cell r="F1223">
            <v>748</v>
          </cell>
        </row>
        <row r="1224">
          <cell r="A1224" t="str">
            <v>Kisolo</v>
          </cell>
          <cell r="F1224">
            <v>748</v>
          </cell>
        </row>
        <row r="1225">
          <cell r="A1225" t="str">
            <v>Muramba</v>
          </cell>
          <cell r="B1225" t="str">
            <v>Kisoro</v>
          </cell>
          <cell r="C1225" t="str">
            <v>Bufumbira</v>
          </cell>
          <cell r="D1225" t="str">
            <v>Muramba</v>
          </cell>
          <cell r="F1225">
            <v>749</v>
          </cell>
        </row>
        <row r="1226">
          <cell r="A1226" t="str">
            <v>Murora</v>
          </cell>
          <cell r="B1226" t="str">
            <v>Kisoro</v>
          </cell>
          <cell r="C1226" t="str">
            <v>Bufumbira</v>
          </cell>
          <cell r="D1226" t="str">
            <v>Murora</v>
          </cell>
          <cell r="F1226">
            <v>750</v>
          </cell>
        </row>
        <row r="1227">
          <cell r="A1227" t="str">
            <v>Nyabwishenya</v>
          </cell>
          <cell r="B1227" t="str">
            <v>Kisoro</v>
          </cell>
          <cell r="C1227" t="str">
            <v>Bufumbira</v>
          </cell>
          <cell r="D1227" t="str">
            <v>Nyabwishenya</v>
          </cell>
          <cell r="F1227">
            <v>751</v>
          </cell>
        </row>
        <row r="1228">
          <cell r="A1228" t="str">
            <v>Nyakabande</v>
          </cell>
          <cell r="B1228" t="str">
            <v>Kisoro</v>
          </cell>
          <cell r="C1228" t="str">
            <v>Bufumbira</v>
          </cell>
          <cell r="D1228" t="str">
            <v>Nyakabande</v>
          </cell>
          <cell r="F1228">
            <v>752</v>
          </cell>
        </row>
        <row r="1229">
          <cell r="A1229" t="str">
            <v>Nyakinama</v>
          </cell>
          <cell r="B1229" t="str">
            <v>Kisoro</v>
          </cell>
          <cell r="C1229" t="str">
            <v>Bufumbira</v>
          </cell>
          <cell r="D1229" t="str">
            <v>Nyakinama</v>
          </cell>
          <cell r="F1229">
            <v>753</v>
          </cell>
        </row>
        <row r="1230">
          <cell r="A1230" t="str">
            <v>Nyarubuye</v>
          </cell>
          <cell r="B1230" t="str">
            <v>Kisoro</v>
          </cell>
          <cell r="C1230" t="str">
            <v>Bufumbira</v>
          </cell>
          <cell r="D1230" t="str">
            <v>Nyarubuye</v>
          </cell>
          <cell r="F1230">
            <v>754</v>
          </cell>
        </row>
        <row r="1231">
          <cell r="A1231" t="str">
            <v>Nyarusiza</v>
          </cell>
          <cell r="B1231" t="str">
            <v>Kisoro</v>
          </cell>
          <cell r="C1231" t="str">
            <v>Bufumbira</v>
          </cell>
          <cell r="D1231" t="str">
            <v>Nyarusiza</v>
          </cell>
          <cell r="F1231">
            <v>755</v>
          </cell>
        </row>
        <row r="1232">
          <cell r="A1232" t="str">
            <v>Nyundo</v>
          </cell>
          <cell r="B1232" t="str">
            <v>Kisoro</v>
          </cell>
          <cell r="C1232" t="str">
            <v>Bufumbira</v>
          </cell>
          <cell r="D1232" t="str">
            <v>Nyundo</v>
          </cell>
          <cell r="F1232">
            <v>756</v>
          </cell>
        </row>
        <row r="1233">
          <cell r="A1233" t="str">
            <v>Rubuguri Town Council</v>
          </cell>
          <cell r="B1233" t="str">
            <v>Kisoro</v>
          </cell>
          <cell r="C1233" t="str">
            <v>Bufumbira</v>
          </cell>
          <cell r="D1233" t="str">
            <v>Rubuguri Town Council</v>
          </cell>
          <cell r="F1233">
            <v>757</v>
          </cell>
        </row>
        <row r="1234">
          <cell r="A1234" t="str">
            <v>Kitgum Matidi</v>
          </cell>
          <cell r="B1234" t="str">
            <v>Kitgum</v>
          </cell>
          <cell r="C1234" t="str">
            <v>Chua</v>
          </cell>
          <cell r="D1234" t="str">
            <v>Kitgum Matidi</v>
          </cell>
          <cell r="F1234">
            <v>758</v>
          </cell>
        </row>
        <row r="1235">
          <cell r="A1235" t="str">
            <v>Kitgum Municipality</v>
          </cell>
          <cell r="B1235" t="str">
            <v>Kitgum</v>
          </cell>
          <cell r="C1235" t="str">
            <v>Kitgum Municipality</v>
          </cell>
          <cell r="D1235" t="str">
            <v>Kitgum Municipality</v>
          </cell>
          <cell r="F1235">
            <v>759</v>
          </cell>
        </row>
        <row r="1236">
          <cell r="A1236" t="str">
            <v>KITGUM</v>
          </cell>
          <cell r="F1236">
            <v>759</v>
          </cell>
        </row>
        <row r="1237">
          <cell r="A1237" t="str">
            <v>Kitgumu</v>
          </cell>
          <cell r="F1237">
            <v>759</v>
          </cell>
        </row>
        <row r="1238">
          <cell r="A1238" t="str">
            <v>Labongo Akwang</v>
          </cell>
          <cell r="B1238" t="str">
            <v>Kitgum</v>
          </cell>
          <cell r="C1238" t="str">
            <v>Chua</v>
          </cell>
          <cell r="D1238" t="str">
            <v>Labongo Akwang</v>
          </cell>
          <cell r="F1238">
            <v>760</v>
          </cell>
        </row>
        <row r="1239">
          <cell r="A1239" t="str">
            <v>Labongo Amida</v>
          </cell>
          <cell r="B1239" t="str">
            <v>Kitgum</v>
          </cell>
          <cell r="C1239" t="str">
            <v>Chua</v>
          </cell>
          <cell r="D1239" t="str">
            <v>Labongo Amida</v>
          </cell>
          <cell r="F1239">
            <v>761</v>
          </cell>
        </row>
        <row r="1240">
          <cell r="A1240" t="str">
            <v>Labongo Layamo</v>
          </cell>
          <cell r="B1240" t="str">
            <v>Kitgum</v>
          </cell>
          <cell r="C1240" t="str">
            <v>Chua</v>
          </cell>
          <cell r="D1240" t="str">
            <v>Labongo Layamo</v>
          </cell>
          <cell r="F1240">
            <v>762</v>
          </cell>
        </row>
        <row r="1241">
          <cell r="A1241" t="str">
            <v>Lagoro</v>
          </cell>
          <cell r="B1241" t="str">
            <v>Kitgum</v>
          </cell>
          <cell r="C1241" t="str">
            <v>Chua</v>
          </cell>
          <cell r="D1241" t="str">
            <v>Lagoro</v>
          </cell>
          <cell r="F1241">
            <v>763</v>
          </cell>
        </row>
        <row r="1242">
          <cell r="A1242" t="str">
            <v>Mucwini</v>
          </cell>
          <cell r="B1242" t="str">
            <v>Kitgum</v>
          </cell>
          <cell r="C1242" t="str">
            <v>Chua</v>
          </cell>
          <cell r="D1242" t="str">
            <v>Mucwini</v>
          </cell>
          <cell r="F1242">
            <v>764</v>
          </cell>
        </row>
        <row r="1243">
          <cell r="A1243" t="str">
            <v>Namokora</v>
          </cell>
          <cell r="B1243" t="str">
            <v>Kitgum</v>
          </cell>
          <cell r="C1243" t="str">
            <v>Chua</v>
          </cell>
          <cell r="D1243" t="str">
            <v>Namokora</v>
          </cell>
          <cell r="F1243">
            <v>765</v>
          </cell>
        </row>
        <row r="1244">
          <cell r="A1244" t="str">
            <v>Omiya Anyima</v>
          </cell>
          <cell r="B1244" t="str">
            <v>Kitgum</v>
          </cell>
          <cell r="C1244" t="str">
            <v>Chua</v>
          </cell>
          <cell r="D1244" t="str">
            <v>Omiya Anyima</v>
          </cell>
          <cell r="F1244">
            <v>766</v>
          </cell>
        </row>
        <row r="1245">
          <cell r="A1245" t="str">
            <v>Orom</v>
          </cell>
          <cell r="B1245" t="str">
            <v>Kitgum</v>
          </cell>
          <cell r="C1245" t="str">
            <v>Chua</v>
          </cell>
          <cell r="D1245" t="str">
            <v>Orom</v>
          </cell>
          <cell r="F1245">
            <v>767</v>
          </cell>
        </row>
        <row r="1246">
          <cell r="A1246" t="str">
            <v>Abuku</v>
          </cell>
          <cell r="B1246" t="str">
            <v>Koboko</v>
          </cell>
          <cell r="C1246" t="str">
            <v>Koboko</v>
          </cell>
          <cell r="D1246" t="str">
            <v>Abuku</v>
          </cell>
          <cell r="F1246">
            <v>768</v>
          </cell>
        </row>
        <row r="1247">
          <cell r="A1247" t="str">
            <v>Dranya</v>
          </cell>
          <cell r="B1247" t="str">
            <v>Koboko</v>
          </cell>
          <cell r="C1247" t="str">
            <v>Koboko</v>
          </cell>
          <cell r="D1247" t="str">
            <v>Dranya</v>
          </cell>
          <cell r="F1247">
            <v>769</v>
          </cell>
        </row>
        <row r="1248">
          <cell r="A1248" t="str">
            <v>Koboko Municipality</v>
          </cell>
          <cell r="B1248" t="str">
            <v>Koboko</v>
          </cell>
          <cell r="C1248" t="str">
            <v>Koboko Municipality</v>
          </cell>
          <cell r="D1248" t="str">
            <v>Koboko Municipality</v>
          </cell>
          <cell r="F1248">
            <v>770</v>
          </cell>
        </row>
        <row r="1249">
          <cell r="A1249" t="str">
            <v>Kuluba</v>
          </cell>
          <cell r="B1249" t="str">
            <v>Koboko</v>
          </cell>
          <cell r="C1249" t="str">
            <v>Koboko</v>
          </cell>
          <cell r="D1249" t="str">
            <v>Kuluba</v>
          </cell>
          <cell r="F1249">
            <v>771</v>
          </cell>
        </row>
        <row r="1250">
          <cell r="A1250" t="str">
            <v>Lobule</v>
          </cell>
          <cell r="B1250" t="str">
            <v>Koboko</v>
          </cell>
          <cell r="C1250" t="str">
            <v>Koboko</v>
          </cell>
          <cell r="D1250" t="str">
            <v>Lobule</v>
          </cell>
          <cell r="F1250">
            <v>772</v>
          </cell>
        </row>
        <row r="1251">
          <cell r="A1251" t="str">
            <v>Ludara</v>
          </cell>
          <cell r="B1251" t="str">
            <v>Koboko</v>
          </cell>
          <cell r="C1251" t="str">
            <v>Koboko</v>
          </cell>
          <cell r="D1251" t="str">
            <v>Ludara</v>
          </cell>
          <cell r="F1251">
            <v>773</v>
          </cell>
        </row>
        <row r="1252">
          <cell r="A1252" t="str">
            <v>Midia</v>
          </cell>
          <cell r="B1252" t="str">
            <v>Koboko</v>
          </cell>
          <cell r="C1252" t="str">
            <v>Koboko</v>
          </cell>
          <cell r="D1252" t="str">
            <v>Midia</v>
          </cell>
          <cell r="F1252">
            <v>774</v>
          </cell>
        </row>
        <row r="1253">
          <cell r="A1253" t="str">
            <v>Aboke</v>
          </cell>
          <cell r="B1253" t="str">
            <v>Kole</v>
          </cell>
          <cell r="C1253" t="str">
            <v>Kole</v>
          </cell>
          <cell r="D1253" t="str">
            <v>Aboke</v>
          </cell>
          <cell r="F1253">
            <v>775</v>
          </cell>
        </row>
        <row r="1254">
          <cell r="A1254" t="str">
            <v>Akalo</v>
          </cell>
          <cell r="B1254" t="str">
            <v>Kole</v>
          </cell>
          <cell r="C1254" t="str">
            <v>Kole</v>
          </cell>
          <cell r="D1254" t="str">
            <v>Akalo</v>
          </cell>
          <cell r="F1254">
            <v>776</v>
          </cell>
        </row>
        <row r="1255">
          <cell r="A1255" t="str">
            <v>Alito</v>
          </cell>
          <cell r="B1255" t="str">
            <v>Kole</v>
          </cell>
          <cell r="C1255" t="str">
            <v>Kole</v>
          </cell>
          <cell r="D1255" t="str">
            <v>Alito</v>
          </cell>
          <cell r="F1255">
            <v>777</v>
          </cell>
        </row>
        <row r="1256">
          <cell r="A1256" t="str">
            <v>Ayer</v>
          </cell>
          <cell r="B1256" t="str">
            <v>Kole</v>
          </cell>
          <cell r="C1256" t="str">
            <v>Kole</v>
          </cell>
          <cell r="D1256" t="str">
            <v>Ayer</v>
          </cell>
          <cell r="F1256">
            <v>778</v>
          </cell>
        </row>
        <row r="1257">
          <cell r="A1257" t="str">
            <v>Bala</v>
          </cell>
          <cell r="B1257" t="str">
            <v>Kole</v>
          </cell>
          <cell r="C1257" t="str">
            <v>Kole</v>
          </cell>
          <cell r="D1257" t="str">
            <v>Bala</v>
          </cell>
          <cell r="F1257">
            <v>779</v>
          </cell>
        </row>
        <row r="1258">
          <cell r="A1258" t="str">
            <v>Kole Town Council</v>
          </cell>
          <cell r="B1258" t="str">
            <v>Kole</v>
          </cell>
          <cell r="C1258" t="str">
            <v>Kole</v>
          </cell>
          <cell r="D1258" t="str">
            <v>Kole Town Council</v>
          </cell>
          <cell r="F1258">
            <v>780</v>
          </cell>
        </row>
        <row r="1259">
          <cell r="A1259" t="str">
            <v>Okwerodot</v>
          </cell>
          <cell r="B1259" t="str">
            <v>Kole</v>
          </cell>
          <cell r="C1259" t="str">
            <v>Kole</v>
          </cell>
          <cell r="D1259" t="str">
            <v>Okwerodot</v>
          </cell>
          <cell r="F1259">
            <v>781</v>
          </cell>
        </row>
        <row r="1260">
          <cell r="A1260" t="str">
            <v>Kacheri</v>
          </cell>
          <cell r="B1260" t="str">
            <v>Kotido</v>
          </cell>
          <cell r="C1260" t="str">
            <v>Jie</v>
          </cell>
          <cell r="D1260" t="str">
            <v>Kacheri</v>
          </cell>
          <cell r="F1260">
            <v>782</v>
          </cell>
        </row>
        <row r="1261">
          <cell r="A1261" t="str">
            <v>Kotido</v>
          </cell>
          <cell r="B1261" t="str">
            <v>Kotido</v>
          </cell>
          <cell r="C1261" t="str">
            <v>Jie</v>
          </cell>
          <cell r="D1261" t="str">
            <v>Kotido</v>
          </cell>
          <cell r="F1261">
            <v>783</v>
          </cell>
        </row>
        <row r="1262">
          <cell r="A1262" t="str">
            <v>Kotido Municipality</v>
          </cell>
          <cell r="B1262" t="str">
            <v>Kotido</v>
          </cell>
          <cell r="C1262" t="str">
            <v>Kotido Municipality</v>
          </cell>
          <cell r="D1262" t="str">
            <v>Kotido Municipality</v>
          </cell>
          <cell r="F1262">
            <v>784</v>
          </cell>
        </row>
        <row r="1263">
          <cell r="A1263" t="str">
            <v>Nakapelimoru</v>
          </cell>
          <cell r="B1263" t="str">
            <v>Kotido</v>
          </cell>
          <cell r="C1263" t="str">
            <v>Jie</v>
          </cell>
          <cell r="D1263" t="str">
            <v>Nakapelimoru</v>
          </cell>
          <cell r="F1263">
            <v>785</v>
          </cell>
        </row>
        <row r="1264">
          <cell r="A1264" t="str">
            <v>Panyangara</v>
          </cell>
          <cell r="B1264" t="str">
            <v>Kotido</v>
          </cell>
          <cell r="C1264" t="str">
            <v>Jie</v>
          </cell>
          <cell r="D1264" t="str">
            <v>Panyangara</v>
          </cell>
          <cell r="F1264">
            <v>786</v>
          </cell>
        </row>
        <row r="1265">
          <cell r="A1265" t="str">
            <v>Rengen</v>
          </cell>
          <cell r="B1265" t="str">
            <v>Kotido</v>
          </cell>
          <cell r="C1265" t="str">
            <v>Jie</v>
          </cell>
          <cell r="D1265" t="str">
            <v>Rengen</v>
          </cell>
          <cell r="F1265">
            <v>787</v>
          </cell>
        </row>
        <row r="1266">
          <cell r="A1266" t="str">
            <v>Atutur</v>
          </cell>
          <cell r="B1266" t="str">
            <v>Kumi</v>
          </cell>
          <cell r="C1266" t="str">
            <v>Kumi</v>
          </cell>
          <cell r="D1266" t="str">
            <v>Atutur</v>
          </cell>
          <cell r="F1266">
            <v>788</v>
          </cell>
        </row>
        <row r="1267">
          <cell r="A1267" t="str">
            <v>Kanyum</v>
          </cell>
          <cell r="B1267" t="str">
            <v>Kumi</v>
          </cell>
          <cell r="C1267" t="str">
            <v>Kumi</v>
          </cell>
          <cell r="D1267" t="str">
            <v>Kanyum</v>
          </cell>
          <cell r="F1267">
            <v>789</v>
          </cell>
        </row>
        <row r="1268">
          <cell r="A1268" t="str">
            <v>Kumi</v>
          </cell>
          <cell r="B1268" t="str">
            <v>Kumi</v>
          </cell>
          <cell r="C1268" t="str">
            <v>Kumi</v>
          </cell>
          <cell r="D1268" t="str">
            <v>Kumi</v>
          </cell>
          <cell r="F1268">
            <v>790</v>
          </cell>
        </row>
        <row r="1269">
          <cell r="A1269" t="str">
            <v>Kumi Municipality</v>
          </cell>
          <cell r="B1269" t="str">
            <v>Kumi</v>
          </cell>
          <cell r="C1269" t="str">
            <v>Kumi Municipality</v>
          </cell>
          <cell r="D1269" t="str">
            <v>Kumi Municipality</v>
          </cell>
          <cell r="F1269">
            <v>791</v>
          </cell>
        </row>
        <row r="1270">
          <cell r="A1270" t="str">
            <v>Mukongoro</v>
          </cell>
          <cell r="B1270" t="str">
            <v>Kumi</v>
          </cell>
          <cell r="C1270" t="str">
            <v>Kumi</v>
          </cell>
          <cell r="D1270" t="str">
            <v>Mukongoro</v>
          </cell>
          <cell r="F1270">
            <v>792</v>
          </cell>
        </row>
        <row r="1271">
          <cell r="A1271" t="str">
            <v>Nyero</v>
          </cell>
          <cell r="B1271" t="str">
            <v>Kumi</v>
          </cell>
          <cell r="C1271" t="str">
            <v>Kumi</v>
          </cell>
          <cell r="D1271" t="str">
            <v>Nyero</v>
          </cell>
          <cell r="F1271">
            <v>793</v>
          </cell>
        </row>
        <row r="1272">
          <cell r="A1272" t="str">
            <v>Ongino</v>
          </cell>
          <cell r="B1272" t="str">
            <v>Kumi</v>
          </cell>
          <cell r="C1272" t="str">
            <v>Kumi</v>
          </cell>
          <cell r="D1272" t="str">
            <v>Ongino</v>
          </cell>
          <cell r="F1272">
            <v>794</v>
          </cell>
        </row>
        <row r="1273">
          <cell r="A1273" t="str">
            <v>Benet</v>
          </cell>
          <cell r="B1273" t="str">
            <v>Kween</v>
          </cell>
          <cell r="C1273" t="str">
            <v>Kween</v>
          </cell>
          <cell r="D1273" t="str">
            <v>Benet</v>
          </cell>
          <cell r="F1273">
            <v>795</v>
          </cell>
        </row>
        <row r="1274">
          <cell r="A1274" t="str">
            <v>Binyiny</v>
          </cell>
          <cell r="B1274" t="str">
            <v>Kween</v>
          </cell>
          <cell r="C1274" t="str">
            <v>Kween</v>
          </cell>
          <cell r="D1274" t="str">
            <v>Binyiny</v>
          </cell>
          <cell r="F1274">
            <v>796</v>
          </cell>
        </row>
        <row r="1275">
          <cell r="A1275" t="str">
            <v>Binyiny Town Council</v>
          </cell>
          <cell r="B1275" t="str">
            <v>Kween</v>
          </cell>
          <cell r="C1275" t="str">
            <v>Kween</v>
          </cell>
          <cell r="D1275" t="str">
            <v>Binyiny Town Council</v>
          </cell>
          <cell r="F1275">
            <v>797</v>
          </cell>
        </row>
        <row r="1276">
          <cell r="A1276" t="str">
            <v>Kweni</v>
          </cell>
          <cell r="F1276">
            <v>797</v>
          </cell>
        </row>
        <row r="1277">
          <cell r="A1277" t="str">
            <v>Kween</v>
          </cell>
          <cell r="F1277">
            <v>797</v>
          </cell>
        </row>
        <row r="1278">
          <cell r="A1278" t="str">
            <v>Kaproron</v>
          </cell>
          <cell r="B1278" t="str">
            <v>Kween</v>
          </cell>
          <cell r="C1278" t="str">
            <v>Kween</v>
          </cell>
          <cell r="D1278" t="str">
            <v>Kaproron</v>
          </cell>
          <cell r="F1278">
            <v>798</v>
          </cell>
        </row>
        <row r="1279">
          <cell r="A1279" t="str">
            <v>Kaptoyoy</v>
          </cell>
          <cell r="B1279" t="str">
            <v>Kween</v>
          </cell>
          <cell r="C1279" t="str">
            <v>Kween</v>
          </cell>
          <cell r="D1279" t="str">
            <v>Kaptoyoy</v>
          </cell>
          <cell r="F1279">
            <v>799</v>
          </cell>
        </row>
        <row r="1280">
          <cell r="A1280" t="str">
            <v>Kaptum</v>
          </cell>
          <cell r="B1280" t="str">
            <v>Kween</v>
          </cell>
          <cell r="C1280" t="str">
            <v>Kween</v>
          </cell>
          <cell r="D1280" t="str">
            <v>Kaptum</v>
          </cell>
          <cell r="F1280">
            <v>800</v>
          </cell>
        </row>
        <row r="1281">
          <cell r="A1281" t="str">
            <v>Kiriki</v>
          </cell>
          <cell r="B1281" t="str">
            <v>Kween</v>
          </cell>
          <cell r="C1281" t="str">
            <v>Kween</v>
          </cell>
          <cell r="D1281" t="str">
            <v>Kiriki</v>
          </cell>
          <cell r="F1281">
            <v>801</v>
          </cell>
        </row>
        <row r="1282">
          <cell r="A1282" t="str">
            <v>Kitawoi</v>
          </cell>
          <cell r="B1282" t="str">
            <v>Kween</v>
          </cell>
          <cell r="C1282" t="str">
            <v>Kween</v>
          </cell>
          <cell r="D1282" t="str">
            <v>Kitawoi</v>
          </cell>
          <cell r="F1282">
            <v>802</v>
          </cell>
        </row>
        <row r="1283">
          <cell r="A1283" t="str">
            <v>Kwanyiy</v>
          </cell>
          <cell r="B1283" t="str">
            <v>Kween</v>
          </cell>
          <cell r="C1283" t="str">
            <v>Kween</v>
          </cell>
          <cell r="D1283" t="str">
            <v>Kwanyiy</v>
          </cell>
          <cell r="F1283">
            <v>803</v>
          </cell>
        </row>
        <row r="1284">
          <cell r="A1284" t="str">
            <v>Kwosir</v>
          </cell>
          <cell r="B1284" t="str">
            <v>Kween</v>
          </cell>
          <cell r="C1284" t="str">
            <v>Kween</v>
          </cell>
          <cell r="D1284" t="str">
            <v>Kwosir</v>
          </cell>
          <cell r="F1284">
            <v>804</v>
          </cell>
        </row>
        <row r="1285">
          <cell r="A1285" t="str">
            <v>Moyok</v>
          </cell>
          <cell r="B1285" t="str">
            <v>Kween</v>
          </cell>
          <cell r="C1285" t="str">
            <v>Kween</v>
          </cell>
          <cell r="D1285" t="str">
            <v>Moyok</v>
          </cell>
          <cell r="F1285">
            <v>805</v>
          </cell>
        </row>
        <row r="1286">
          <cell r="A1286" t="str">
            <v>Ngenge</v>
          </cell>
          <cell r="B1286" t="str">
            <v>Kween</v>
          </cell>
          <cell r="C1286" t="str">
            <v>Kween</v>
          </cell>
          <cell r="D1286" t="str">
            <v>Ngenge</v>
          </cell>
          <cell r="F1286">
            <v>806</v>
          </cell>
        </row>
        <row r="1287">
          <cell r="A1287" t="str">
            <v>Bananywa</v>
          </cell>
          <cell r="B1287" t="str">
            <v>Kyankwanzi</v>
          </cell>
          <cell r="C1287" t="str">
            <v>Kiboga</v>
          </cell>
          <cell r="D1287" t="str">
            <v>Bananywa</v>
          </cell>
          <cell r="F1287">
            <v>807</v>
          </cell>
        </row>
        <row r="1288">
          <cell r="A1288" t="str">
            <v>Butemba</v>
          </cell>
          <cell r="B1288" t="str">
            <v>Kyankwanzi</v>
          </cell>
          <cell r="C1288" t="str">
            <v>Kiboga</v>
          </cell>
          <cell r="D1288" t="str">
            <v>Butemba</v>
          </cell>
          <cell r="F1288">
            <v>808</v>
          </cell>
        </row>
        <row r="1289">
          <cell r="A1289" t="str">
            <v>Butemba Town Council</v>
          </cell>
          <cell r="B1289" t="str">
            <v>Kyankwanzi</v>
          </cell>
          <cell r="C1289" t="str">
            <v>Kiboga</v>
          </cell>
          <cell r="D1289" t="str">
            <v>Butemba Town Council</v>
          </cell>
          <cell r="F1289">
            <v>809</v>
          </cell>
        </row>
        <row r="1290">
          <cell r="A1290" t="str">
            <v>Byerima</v>
          </cell>
          <cell r="B1290" t="str">
            <v>Kyankwanzi</v>
          </cell>
          <cell r="C1290" t="str">
            <v>Kiboga</v>
          </cell>
          <cell r="D1290" t="str">
            <v>Byerima</v>
          </cell>
          <cell r="F1290">
            <v>810</v>
          </cell>
        </row>
        <row r="1292">
          <cell r="A1292" t="str">
            <v>Kyankwanzi</v>
          </cell>
          <cell r="B1292" t="str">
            <v>Kyankwanzi</v>
          </cell>
          <cell r="C1292" t="str">
            <v>Kiboga</v>
          </cell>
          <cell r="D1292" t="str">
            <v>Kyankwanzi</v>
          </cell>
          <cell r="F1292">
            <v>812</v>
          </cell>
        </row>
        <row r="1293">
          <cell r="A1293" t="str">
            <v>Kyankwanzi Town Council</v>
          </cell>
          <cell r="B1293" t="str">
            <v>Kyankwanzi</v>
          </cell>
          <cell r="C1293" t="str">
            <v>Kiboga</v>
          </cell>
          <cell r="D1293" t="str">
            <v>Kyankwanzi Town Council</v>
          </cell>
          <cell r="F1293">
            <v>813</v>
          </cell>
        </row>
        <row r="1294">
          <cell r="A1294" t="str">
            <v>Mulagi</v>
          </cell>
          <cell r="B1294" t="str">
            <v>Kyankwanzi</v>
          </cell>
          <cell r="C1294" t="str">
            <v>Kiboga</v>
          </cell>
          <cell r="D1294" t="str">
            <v>Mulagi</v>
          </cell>
          <cell r="F1294">
            <v>814</v>
          </cell>
        </row>
        <row r="1295">
          <cell r="A1295" t="str">
            <v>Nkandwa</v>
          </cell>
          <cell r="B1295" t="str">
            <v>Kyankwanzi</v>
          </cell>
          <cell r="C1295" t="str">
            <v>Kiboga</v>
          </cell>
          <cell r="D1295" t="str">
            <v>Nkandwa</v>
          </cell>
          <cell r="F1295">
            <v>815</v>
          </cell>
        </row>
        <row r="1296">
          <cell r="A1296" t="str">
            <v>Nsambya</v>
          </cell>
          <cell r="B1296" t="str">
            <v>Kyankwanzi</v>
          </cell>
          <cell r="C1296" t="str">
            <v>Kiboga</v>
          </cell>
          <cell r="D1296" t="str">
            <v>Nsambya</v>
          </cell>
          <cell r="F1296">
            <v>816</v>
          </cell>
        </row>
        <row r="1297">
          <cell r="A1297" t="str">
            <v>Ntwetwe</v>
          </cell>
          <cell r="B1297" t="str">
            <v>Kyankwanzi</v>
          </cell>
          <cell r="C1297" t="str">
            <v>Kiboga</v>
          </cell>
          <cell r="D1297" t="str">
            <v>Ntwetwe</v>
          </cell>
          <cell r="F1297">
            <v>817</v>
          </cell>
        </row>
        <row r="1298">
          <cell r="A1298" t="str">
            <v>Ntwetwe Town Council</v>
          </cell>
          <cell r="B1298" t="str">
            <v>Kyankwanzi</v>
          </cell>
          <cell r="C1298" t="str">
            <v>Kiboga</v>
          </cell>
          <cell r="D1298" t="str">
            <v>Ntwetwe Town Council</v>
          </cell>
          <cell r="F1298">
            <v>818</v>
          </cell>
        </row>
        <row r="1299">
          <cell r="A1299" t="str">
            <v>Wattuba</v>
          </cell>
          <cell r="B1299" t="str">
            <v>Kyankwanzi</v>
          </cell>
          <cell r="C1299" t="str">
            <v>Kiboga</v>
          </cell>
          <cell r="D1299" t="str">
            <v>Wattuba</v>
          </cell>
          <cell r="F1299">
            <v>819</v>
          </cell>
        </row>
        <row r="1300">
          <cell r="A1300" t="str">
            <v>Hapuuyo</v>
          </cell>
          <cell r="B1300" t="str">
            <v>Kyegegwa</v>
          </cell>
          <cell r="C1300" t="str">
            <v>Kyaka</v>
          </cell>
          <cell r="D1300" t="str">
            <v>Hapuuyo</v>
          </cell>
          <cell r="F1300">
            <v>820</v>
          </cell>
        </row>
        <row r="1301">
          <cell r="A1301" t="str">
            <v>Kabweza Kyegegwa</v>
          </cell>
          <cell r="B1301" t="str">
            <v>Kyegegwa</v>
          </cell>
          <cell r="C1301" t="str">
            <v>Kyaka</v>
          </cell>
          <cell r="D1301" t="str">
            <v>Kabweza Kyegegwa</v>
          </cell>
          <cell r="F1301">
            <v>821</v>
          </cell>
        </row>
        <row r="1302">
          <cell r="A1302" t="str">
            <v>Kakabara</v>
          </cell>
          <cell r="B1302" t="str">
            <v>Kyegegwa</v>
          </cell>
          <cell r="C1302" t="str">
            <v>Kyaka</v>
          </cell>
          <cell r="D1302" t="str">
            <v>Kakabara</v>
          </cell>
          <cell r="F1302">
            <v>822</v>
          </cell>
        </row>
        <row r="1303">
          <cell r="A1303" t="str">
            <v>Kasule</v>
          </cell>
          <cell r="B1303" t="str">
            <v>Kyegegwa</v>
          </cell>
          <cell r="C1303" t="str">
            <v>Kyaka</v>
          </cell>
          <cell r="D1303" t="str">
            <v>Kasule</v>
          </cell>
          <cell r="F1303">
            <v>823</v>
          </cell>
        </row>
        <row r="1304">
          <cell r="A1304" t="str">
            <v>Kyaka Ii Refugee Camp</v>
          </cell>
          <cell r="B1304" t="str">
            <v>Kyegegwa</v>
          </cell>
          <cell r="C1304" t="str">
            <v>Kyaka</v>
          </cell>
          <cell r="D1304" t="str">
            <v>Kyaka Ii Refugee Camp</v>
          </cell>
          <cell r="F1304">
            <v>824</v>
          </cell>
        </row>
        <row r="1305">
          <cell r="A1305" t="str">
            <v>Kyegegwa Town Council</v>
          </cell>
          <cell r="B1305" t="str">
            <v>Kyegegwa</v>
          </cell>
          <cell r="C1305" t="str">
            <v>Kyaka</v>
          </cell>
          <cell r="D1305" t="str">
            <v>Kyegegwa Town Council</v>
          </cell>
          <cell r="F1305">
            <v>825</v>
          </cell>
        </row>
        <row r="1306">
          <cell r="A1306" t="str">
            <v>KYEGEGWA</v>
          </cell>
          <cell r="F1306">
            <v>825</v>
          </cell>
        </row>
        <row r="1307">
          <cell r="A1307" t="str">
            <v>KYEGEGWA TOWN</v>
          </cell>
          <cell r="F1307">
            <v>825</v>
          </cell>
        </row>
        <row r="1308">
          <cell r="A1308" t="str">
            <v>Mpara</v>
          </cell>
          <cell r="B1308" t="str">
            <v>Kyegegwa</v>
          </cell>
          <cell r="C1308" t="str">
            <v>Kyaka</v>
          </cell>
          <cell r="D1308" t="str">
            <v>Mpara</v>
          </cell>
          <cell r="F1308">
            <v>826</v>
          </cell>
        </row>
        <row r="1309">
          <cell r="A1309" t="str">
            <v>Ruyonza</v>
          </cell>
          <cell r="B1309" t="str">
            <v>Kyegegwa</v>
          </cell>
          <cell r="C1309" t="str">
            <v>Kyaka</v>
          </cell>
          <cell r="D1309" t="str">
            <v>Ruyonza</v>
          </cell>
          <cell r="F1309">
            <v>827</v>
          </cell>
        </row>
        <row r="1310">
          <cell r="A1310" t="str">
            <v>Rwentuha</v>
          </cell>
          <cell r="B1310" t="str">
            <v>Kyegegwa</v>
          </cell>
          <cell r="C1310" t="str">
            <v>Kyaka</v>
          </cell>
          <cell r="D1310" t="str">
            <v>Rwentuha</v>
          </cell>
          <cell r="F1310">
            <v>828</v>
          </cell>
        </row>
        <row r="1311">
          <cell r="A1311" t="str">
            <v>Bufunjo</v>
          </cell>
          <cell r="B1311" t="str">
            <v>Kyenjojo</v>
          </cell>
          <cell r="C1311" t="str">
            <v>Mwenge</v>
          </cell>
          <cell r="D1311" t="str">
            <v>Bufunjo</v>
          </cell>
          <cell r="F1311">
            <v>829</v>
          </cell>
        </row>
        <row r="1312">
          <cell r="A1312" t="str">
            <v>Bugaaki</v>
          </cell>
          <cell r="B1312" t="str">
            <v>Kyenjojo</v>
          </cell>
          <cell r="C1312" t="str">
            <v>Mwenge</v>
          </cell>
          <cell r="D1312" t="str">
            <v>Bugaaki</v>
          </cell>
          <cell r="F1312">
            <v>830</v>
          </cell>
        </row>
        <row r="1313">
          <cell r="A1313" t="str">
            <v>Butiiti</v>
          </cell>
          <cell r="B1313" t="str">
            <v>Kyenjojo</v>
          </cell>
          <cell r="C1313" t="str">
            <v>Mwenge</v>
          </cell>
          <cell r="D1313" t="str">
            <v>Butiiti</v>
          </cell>
          <cell r="F1313">
            <v>831</v>
          </cell>
        </row>
        <row r="1314">
          <cell r="A1314" t="str">
            <v>Butunduzi</v>
          </cell>
          <cell r="B1314" t="str">
            <v>Kyenjojo</v>
          </cell>
          <cell r="C1314" t="str">
            <v>Mwenge</v>
          </cell>
          <cell r="D1314" t="str">
            <v>Butunduzi</v>
          </cell>
          <cell r="F1314">
            <v>832</v>
          </cell>
        </row>
        <row r="1315">
          <cell r="A1315" t="str">
            <v>Butunduzi Town Council</v>
          </cell>
          <cell r="B1315" t="str">
            <v>Kyenjojo</v>
          </cell>
          <cell r="C1315" t="str">
            <v>Mwenge</v>
          </cell>
          <cell r="D1315" t="str">
            <v>Butunduzi Town Council</v>
          </cell>
          <cell r="F1315">
            <v>833</v>
          </cell>
        </row>
        <row r="1316">
          <cell r="A1316" t="str">
            <v>Katooke</v>
          </cell>
          <cell r="B1316" t="str">
            <v>Kyenjojo</v>
          </cell>
          <cell r="C1316" t="str">
            <v>Mwenge</v>
          </cell>
          <cell r="D1316" t="str">
            <v>Katooke</v>
          </cell>
          <cell r="F1316">
            <v>834</v>
          </cell>
        </row>
        <row r="1317">
          <cell r="A1317" t="str">
            <v>muhuroro</v>
          </cell>
          <cell r="F1317">
            <v>834</v>
          </cell>
        </row>
        <row r="1318">
          <cell r="A1318" t="str">
            <v>KATOKE</v>
          </cell>
          <cell r="F1318">
            <v>834</v>
          </cell>
        </row>
        <row r="1319">
          <cell r="A1319" t="str">
            <v>Katooke Town Council</v>
          </cell>
          <cell r="B1319" t="str">
            <v>Kyenjojo</v>
          </cell>
          <cell r="C1319" t="str">
            <v>Mwenge</v>
          </cell>
          <cell r="D1319" t="str">
            <v>Katooke Town Council</v>
          </cell>
          <cell r="F1319">
            <v>835</v>
          </cell>
        </row>
        <row r="1320">
          <cell r="A1320" t="str">
            <v>KYENJOJO TOWN</v>
          </cell>
          <cell r="F1320">
            <v>835</v>
          </cell>
        </row>
        <row r="1321">
          <cell r="A1321" t="str">
            <v xml:space="preserve">KYENJOJO </v>
          </cell>
          <cell r="F1321">
            <v>835</v>
          </cell>
        </row>
        <row r="1322">
          <cell r="A1322" t="str">
            <v>Kigaraale</v>
          </cell>
          <cell r="B1322" t="str">
            <v>Kyenjojo</v>
          </cell>
          <cell r="C1322" t="str">
            <v>Mwenge</v>
          </cell>
          <cell r="D1322" t="str">
            <v>Kigaraale</v>
          </cell>
          <cell r="F1322">
            <v>836</v>
          </cell>
        </row>
        <row r="1323">
          <cell r="A1323" t="str">
            <v>Kihuura</v>
          </cell>
          <cell r="B1323" t="str">
            <v>Kyenjojo</v>
          </cell>
          <cell r="C1323" t="str">
            <v>Mwenge</v>
          </cell>
          <cell r="D1323" t="str">
            <v>Kihuura</v>
          </cell>
          <cell r="F1323">
            <v>837</v>
          </cell>
        </row>
        <row r="1324">
          <cell r="A1324" t="str">
            <v>Kisojo</v>
          </cell>
          <cell r="B1324" t="str">
            <v>Kyenjojo</v>
          </cell>
          <cell r="C1324" t="str">
            <v>Mwenge</v>
          </cell>
          <cell r="D1324" t="str">
            <v>Kisojo</v>
          </cell>
          <cell r="F1324">
            <v>838</v>
          </cell>
        </row>
        <row r="1325">
          <cell r="A1325" t="str">
            <v>Kyarusozi</v>
          </cell>
          <cell r="B1325" t="str">
            <v>Kyenjojo</v>
          </cell>
          <cell r="C1325" t="str">
            <v>Mwenge</v>
          </cell>
          <cell r="D1325" t="str">
            <v>Kyarusozi</v>
          </cell>
          <cell r="F1325">
            <v>839</v>
          </cell>
        </row>
        <row r="1326">
          <cell r="A1326" t="str">
            <v>Kyarusozi Town Council</v>
          </cell>
          <cell r="B1326" t="str">
            <v>Kyenjojo</v>
          </cell>
          <cell r="C1326" t="str">
            <v>Mwenge</v>
          </cell>
          <cell r="D1326" t="str">
            <v>Kyarusozi Town Council</v>
          </cell>
          <cell r="F1326">
            <v>840</v>
          </cell>
        </row>
        <row r="1327">
          <cell r="A1327" t="str">
            <v>Kyenjojo Town Council</v>
          </cell>
          <cell r="B1327" t="str">
            <v>Kyenjojo</v>
          </cell>
          <cell r="C1327" t="str">
            <v>Mwenge</v>
          </cell>
          <cell r="D1327" t="str">
            <v>Kyenjojo Town Council</v>
          </cell>
          <cell r="F1327">
            <v>841</v>
          </cell>
        </row>
        <row r="1328">
          <cell r="A1328" t="str">
            <v>KYENJOJO</v>
          </cell>
          <cell r="F1328">
            <v>841</v>
          </cell>
        </row>
        <row r="1329">
          <cell r="A1329" t="str">
            <v>Nyabuharwa</v>
          </cell>
          <cell r="B1329" t="str">
            <v>Kyenjojo</v>
          </cell>
          <cell r="C1329" t="str">
            <v>Mwenge</v>
          </cell>
          <cell r="D1329" t="str">
            <v>Nyabuharwa</v>
          </cell>
          <cell r="F1329">
            <v>842</v>
          </cell>
        </row>
        <row r="1330">
          <cell r="A1330" t="str">
            <v>Nyankwanzi</v>
          </cell>
          <cell r="B1330" t="str">
            <v>Kyenjojo</v>
          </cell>
          <cell r="C1330" t="str">
            <v>Mwenge</v>
          </cell>
          <cell r="D1330" t="str">
            <v>Nyankwanzi</v>
          </cell>
          <cell r="F1330">
            <v>843</v>
          </cell>
        </row>
        <row r="1331">
          <cell r="A1331" t="str">
            <v>Nyantungo</v>
          </cell>
          <cell r="B1331" t="str">
            <v>Kyenjojo</v>
          </cell>
          <cell r="C1331" t="str">
            <v>Mwenge</v>
          </cell>
          <cell r="D1331" t="str">
            <v>Nyantungo</v>
          </cell>
          <cell r="F1331">
            <v>844</v>
          </cell>
        </row>
        <row r="1332">
          <cell r="A1332" t="str">
            <v>Kabira</v>
          </cell>
          <cell r="B1332" t="str">
            <v>Kyotera</v>
          </cell>
          <cell r="C1332" t="str">
            <v>Kyotera</v>
          </cell>
          <cell r="D1332" t="str">
            <v>Kabira</v>
          </cell>
          <cell r="F1332">
            <v>845</v>
          </cell>
        </row>
        <row r="1333">
          <cell r="A1333" t="str">
            <v>Kalisizo</v>
          </cell>
          <cell r="B1333" t="str">
            <v>Kyotera</v>
          </cell>
          <cell r="C1333" t="str">
            <v>Kyotera</v>
          </cell>
          <cell r="D1333" t="str">
            <v>Kalisizo</v>
          </cell>
          <cell r="F1333">
            <v>846</v>
          </cell>
        </row>
        <row r="1334">
          <cell r="A1334" t="str">
            <v>Kalisizo Town Council</v>
          </cell>
          <cell r="B1334" t="str">
            <v>Kyotera</v>
          </cell>
          <cell r="C1334" t="str">
            <v>Kyotera</v>
          </cell>
          <cell r="D1334" t="str">
            <v>Kalisizo Town Council</v>
          </cell>
          <cell r="F1334">
            <v>847</v>
          </cell>
        </row>
        <row r="1335">
          <cell r="A1335" t="str">
            <v>Namagoma</v>
          </cell>
          <cell r="F1335">
            <v>847</v>
          </cell>
        </row>
        <row r="1336">
          <cell r="A1336" t="str">
            <v>Kasasa</v>
          </cell>
          <cell r="B1336" t="str">
            <v>Kyotera</v>
          </cell>
          <cell r="C1336" t="str">
            <v>Kooki</v>
          </cell>
          <cell r="D1336" t="str">
            <v>Kasasa</v>
          </cell>
          <cell r="F1336">
            <v>848</v>
          </cell>
        </row>
        <row r="1337">
          <cell r="A1337" t="str">
            <v>Kibanda</v>
          </cell>
          <cell r="B1337" t="str">
            <v>Kyotera</v>
          </cell>
          <cell r="C1337" t="str">
            <v>Kooki</v>
          </cell>
          <cell r="D1337" t="str">
            <v>Kibanda</v>
          </cell>
          <cell r="F1337">
            <v>849</v>
          </cell>
        </row>
        <row r="1338">
          <cell r="A1338" t="str">
            <v>Kirumba</v>
          </cell>
          <cell r="B1338" t="str">
            <v>Kyotera</v>
          </cell>
          <cell r="C1338" t="str">
            <v>Kyotera</v>
          </cell>
          <cell r="D1338" t="str">
            <v>Kirumba</v>
          </cell>
          <cell r="F1338">
            <v>850</v>
          </cell>
        </row>
        <row r="1339">
          <cell r="A1339" t="str">
            <v>Kyebe</v>
          </cell>
          <cell r="B1339" t="str">
            <v>Kyotera</v>
          </cell>
          <cell r="C1339" t="str">
            <v>Kooki</v>
          </cell>
          <cell r="D1339" t="str">
            <v>Kyebe</v>
          </cell>
          <cell r="F1339">
            <v>851</v>
          </cell>
        </row>
        <row r="1340">
          <cell r="A1340" t="str">
            <v>Kyotera Town Council</v>
          </cell>
          <cell r="B1340" t="str">
            <v>Kyotera</v>
          </cell>
          <cell r="C1340" t="str">
            <v>Kyotera</v>
          </cell>
          <cell r="D1340" t="str">
            <v>Kyotera Town Council</v>
          </cell>
          <cell r="F1340">
            <v>852</v>
          </cell>
        </row>
        <row r="1341">
          <cell r="A1341" t="str">
            <v>KYOTERA</v>
          </cell>
          <cell r="F1341">
            <v>852</v>
          </cell>
        </row>
        <row r="1342">
          <cell r="A1342" t="str">
            <v>Kyotela</v>
          </cell>
          <cell r="F1342">
            <v>852</v>
          </cell>
        </row>
        <row r="1343">
          <cell r="A1343" t="str">
            <v>Kytorea</v>
          </cell>
          <cell r="F1343">
            <v>852</v>
          </cell>
        </row>
        <row r="1344">
          <cell r="A1344" t="str">
            <v>Lutete</v>
          </cell>
          <cell r="F1344">
            <v>852</v>
          </cell>
        </row>
        <row r="1345">
          <cell r="A1345" t="str">
            <v>Luttete</v>
          </cell>
          <cell r="F1345">
            <v>852</v>
          </cell>
        </row>
        <row r="1346">
          <cell r="A1346" t="str">
            <v>Lwankoni</v>
          </cell>
          <cell r="B1346" t="str">
            <v>Kyotera</v>
          </cell>
          <cell r="C1346" t="str">
            <v>Kyotera</v>
          </cell>
          <cell r="D1346" t="str">
            <v>Lwankoni</v>
          </cell>
          <cell r="F1346">
            <v>853</v>
          </cell>
        </row>
        <row r="1347">
          <cell r="A1347" t="str">
            <v>Nabigasa</v>
          </cell>
          <cell r="B1347" t="str">
            <v>Kyotera</v>
          </cell>
          <cell r="C1347" t="str">
            <v>Kyotera</v>
          </cell>
          <cell r="D1347" t="str">
            <v>Nabigasa</v>
          </cell>
          <cell r="F1347">
            <v>854</v>
          </cell>
        </row>
        <row r="1348">
          <cell r="A1348" t="str">
            <v>Agoro</v>
          </cell>
          <cell r="B1348" t="str">
            <v>Lamwo</v>
          </cell>
          <cell r="C1348" t="str">
            <v>Lamwo</v>
          </cell>
          <cell r="D1348" t="str">
            <v>Agoro</v>
          </cell>
          <cell r="F1348">
            <v>855</v>
          </cell>
        </row>
        <row r="1349">
          <cell r="A1349" t="str">
            <v>Lamwo Town Council</v>
          </cell>
          <cell r="B1349" t="str">
            <v>Lamwo</v>
          </cell>
          <cell r="C1349" t="str">
            <v>Lamwo</v>
          </cell>
          <cell r="D1349" t="str">
            <v>Lamwo Town Council</v>
          </cell>
          <cell r="F1349">
            <v>856</v>
          </cell>
        </row>
        <row r="1350">
          <cell r="A1350" t="str">
            <v>Lokung</v>
          </cell>
          <cell r="B1350" t="str">
            <v>Lamwo</v>
          </cell>
          <cell r="C1350" t="str">
            <v>Lamwo</v>
          </cell>
          <cell r="D1350" t="str">
            <v>Lokung</v>
          </cell>
          <cell r="F1350">
            <v>857</v>
          </cell>
        </row>
        <row r="1351">
          <cell r="A1351" t="str">
            <v>Madi Opei</v>
          </cell>
          <cell r="B1351" t="str">
            <v>Lamwo</v>
          </cell>
          <cell r="C1351" t="str">
            <v>Lamwo</v>
          </cell>
          <cell r="D1351" t="str">
            <v>Madi Opei</v>
          </cell>
          <cell r="F1351">
            <v>858</v>
          </cell>
        </row>
        <row r="1352">
          <cell r="A1352" t="str">
            <v>Padibe</v>
          </cell>
          <cell r="B1352" t="str">
            <v>Lamwo</v>
          </cell>
          <cell r="C1352" t="str">
            <v>Lamwo</v>
          </cell>
          <cell r="D1352" t="str">
            <v>Padibe</v>
          </cell>
          <cell r="F1352">
            <v>859</v>
          </cell>
        </row>
        <row r="1353">
          <cell r="A1353" t="str">
            <v>Palabek</v>
          </cell>
          <cell r="B1353" t="str">
            <v>Lamwo</v>
          </cell>
          <cell r="C1353" t="str">
            <v>Lamwo</v>
          </cell>
          <cell r="D1353" t="str">
            <v>Palabek</v>
          </cell>
          <cell r="F1353">
            <v>860</v>
          </cell>
        </row>
        <row r="1354">
          <cell r="A1354" t="str">
            <v>Paloga</v>
          </cell>
          <cell r="B1354" t="str">
            <v>Lamwo</v>
          </cell>
          <cell r="C1354" t="str">
            <v>Lamwo</v>
          </cell>
          <cell r="D1354" t="str">
            <v>Paloga</v>
          </cell>
          <cell r="F1354">
            <v>861</v>
          </cell>
        </row>
        <row r="1355">
          <cell r="A1355" t="str">
            <v>Adekokwok</v>
          </cell>
          <cell r="B1355" t="str">
            <v>Lira</v>
          </cell>
          <cell r="C1355" t="str">
            <v>Erute</v>
          </cell>
          <cell r="D1355" t="str">
            <v>Adekokwok</v>
          </cell>
          <cell r="F1355">
            <v>862</v>
          </cell>
        </row>
        <row r="1356">
          <cell r="A1356" t="str">
            <v>Agali</v>
          </cell>
          <cell r="B1356" t="str">
            <v>Lira</v>
          </cell>
          <cell r="C1356" t="str">
            <v>Erute</v>
          </cell>
          <cell r="D1356" t="str">
            <v>Agali</v>
          </cell>
          <cell r="F1356">
            <v>863</v>
          </cell>
        </row>
        <row r="1357">
          <cell r="A1357" t="str">
            <v>Agweng</v>
          </cell>
          <cell r="B1357" t="str">
            <v>Lira</v>
          </cell>
          <cell r="C1357" t="str">
            <v>Erute</v>
          </cell>
          <cell r="D1357" t="str">
            <v>Agweng</v>
          </cell>
          <cell r="F1357">
            <v>864</v>
          </cell>
        </row>
        <row r="1358">
          <cell r="A1358" t="str">
            <v>Amach</v>
          </cell>
          <cell r="B1358" t="str">
            <v>Lira</v>
          </cell>
          <cell r="C1358" t="str">
            <v>Erute</v>
          </cell>
          <cell r="D1358" t="str">
            <v>Amach</v>
          </cell>
          <cell r="F1358">
            <v>865</v>
          </cell>
        </row>
        <row r="1359">
          <cell r="A1359" t="str">
            <v>Aromo</v>
          </cell>
          <cell r="B1359" t="str">
            <v>Lira</v>
          </cell>
          <cell r="C1359" t="str">
            <v>Erute</v>
          </cell>
          <cell r="D1359" t="str">
            <v>Aromo</v>
          </cell>
          <cell r="F1359">
            <v>866</v>
          </cell>
        </row>
        <row r="1360">
          <cell r="A1360" t="str">
            <v>Barr</v>
          </cell>
          <cell r="B1360" t="str">
            <v>Lira</v>
          </cell>
          <cell r="C1360" t="str">
            <v>Erute</v>
          </cell>
          <cell r="D1360" t="str">
            <v>Barr</v>
          </cell>
          <cell r="F1360">
            <v>867</v>
          </cell>
        </row>
        <row r="1361">
          <cell r="A1361" t="str">
            <v>Lira</v>
          </cell>
          <cell r="B1361" t="str">
            <v>Lira</v>
          </cell>
          <cell r="C1361" t="str">
            <v>Erute</v>
          </cell>
          <cell r="D1361" t="str">
            <v>Lira</v>
          </cell>
          <cell r="F1361">
            <v>868</v>
          </cell>
        </row>
        <row r="1362">
          <cell r="A1362" t="str">
            <v>Lira Municipality</v>
          </cell>
          <cell r="B1362" t="str">
            <v>Lira</v>
          </cell>
          <cell r="C1362" t="str">
            <v>Lira Municipality</v>
          </cell>
          <cell r="D1362" t="str">
            <v>Lira Municipality</v>
          </cell>
          <cell r="F1362">
            <v>869</v>
          </cell>
        </row>
        <row r="1363">
          <cell r="A1363" t="str">
            <v>LIRA TOWN</v>
          </cell>
          <cell r="F1363">
            <v>869</v>
          </cell>
        </row>
        <row r="1364">
          <cell r="A1364" t="str">
            <v>Ngetta</v>
          </cell>
          <cell r="B1364" t="str">
            <v>Lira</v>
          </cell>
          <cell r="C1364" t="str">
            <v>Erute</v>
          </cell>
          <cell r="D1364" t="str">
            <v>Ngetta</v>
          </cell>
          <cell r="F1364">
            <v>870</v>
          </cell>
        </row>
        <row r="1365">
          <cell r="A1365" t="str">
            <v>Ogur</v>
          </cell>
          <cell r="B1365" t="str">
            <v>Lira</v>
          </cell>
          <cell r="C1365" t="str">
            <v>Erute</v>
          </cell>
          <cell r="D1365" t="str">
            <v>Ogur</v>
          </cell>
          <cell r="F1365">
            <v>871</v>
          </cell>
        </row>
        <row r="1366">
          <cell r="A1366" t="str">
            <v>Bukanga</v>
          </cell>
          <cell r="B1366" t="str">
            <v>Luuka</v>
          </cell>
          <cell r="C1366" t="str">
            <v>Luuka</v>
          </cell>
          <cell r="D1366" t="str">
            <v>Bukanga</v>
          </cell>
          <cell r="F1366">
            <v>872</v>
          </cell>
        </row>
        <row r="1367">
          <cell r="A1367" t="str">
            <v>Bukooma</v>
          </cell>
          <cell r="B1367" t="str">
            <v>Luuka</v>
          </cell>
          <cell r="C1367" t="str">
            <v>Luuka</v>
          </cell>
          <cell r="D1367" t="str">
            <v>Bukooma</v>
          </cell>
          <cell r="F1367">
            <v>873</v>
          </cell>
        </row>
        <row r="1368">
          <cell r="A1368" t="str">
            <v>Bulongo</v>
          </cell>
          <cell r="B1368" t="str">
            <v>Luuka</v>
          </cell>
          <cell r="C1368" t="str">
            <v>Luuka</v>
          </cell>
          <cell r="D1368" t="str">
            <v>Bulongo</v>
          </cell>
          <cell r="F1368">
            <v>874</v>
          </cell>
        </row>
        <row r="1369">
          <cell r="A1369" t="str">
            <v>Ikumbya</v>
          </cell>
          <cell r="B1369" t="str">
            <v>Luuka</v>
          </cell>
          <cell r="C1369" t="str">
            <v>Luuka</v>
          </cell>
          <cell r="D1369" t="str">
            <v>Ikumbya</v>
          </cell>
          <cell r="F1369">
            <v>875</v>
          </cell>
        </row>
        <row r="1370">
          <cell r="A1370" t="str">
            <v>Irongo</v>
          </cell>
          <cell r="B1370" t="str">
            <v>Luuka</v>
          </cell>
          <cell r="C1370" t="str">
            <v>Luuka</v>
          </cell>
          <cell r="D1370" t="str">
            <v>Irongo</v>
          </cell>
          <cell r="F1370">
            <v>876</v>
          </cell>
        </row>
        <row r="1371">
          <cell r="A1371" t="str">
            <v>Luuka Town Council</v>
          </cell>
          <cell r="B1371" t="str">
            <v>Luuka</v>
          </cell>
          <cell r="C1371" t="str">
            <v>Luuka</v>
          </cell>
          <cell r="D1371" t="str">
            <v>Luuka Town Council</v>
          </cell>
          <cell r="F1371">
            <v>877</v>
          </cell>
        </row>
        <row r="1372">
          <cell r="A1372" t="str">
            <v>Nawampiti</v>
          </cell>
          <cell r="B1372" t="str">
            <v>Luuka</v>
          </cell>
          <cell r="C1372" t="str">
            <v>Luuka</v>
          </cell>
          <cell r="D1372" t="str">
            <v>Nawampiti</v>
          </cell>
          <cell r="F1372">
            <v>878</v>
          </cell>
        </row>
        <row r="1373">
          <cell r="A1373" t="str">
            <v>Waibuga</v>
          </cell>
          <cell r="B1373" t="str">
            <v>Luuka</v>
          </cell>
          <cell r="C1373" t="str">
            <v>Luuka</v>
          </cell>
          <cell r="D1373" t="str">
            <v>Waibuga</v>
          </cell>
          <cell r="F1373">
            <v>879</v>
          </cell>
        </row>
        <row r="1374">
          <cell r="A1374" t="str">
            <v>Bamunanika</v>
          </cell>
          <cell r="B1374" t="str">
            <v>Luwero</v>
          </cell>
          <cell r="C1374" t="str">
            <v>Bamunanika</v>
          </cell>
          <cell r="D1374" t="str">
            <v>Bamunanika</v>
          </cell>
          <cell r="F1374">
            <v>880</v>
          </cell>
        </row>
        <row r="1375">
          <cell r="A1375" t="str">
            <v>Bombo Town Council</v>
          </cell>
          <cell r="B1375" t="str">
            <v>Luwero</v>
          </cell>
          <cell r="C1375" t="str">
            <v>Katikamu</v>
          </cell>
          <cell r="D1375" t="str">
            <v>Bombo Town Council</v>
          </cell>
          <cell r="F1375">
            <v>881</v>
          </cell>
        </row>
        <row r="1376">
          <cell r="A1376" t="str">
            <v>BOMBO</v>
          </cell>
          <cell r="F1376">
            <v>881</v>
          </cell>
        </row>
        <row r="1377">
          <cell r="A1377" t="str">
            <v>BOMBO R.D</v>
          </cell>
          <cell r="F1377">
            <v>881</v>
          </cell>
        </row>
        <row r="1378">
          <cell r="A1378" t="str">
            <v>BOMBO POLICE</v>
          </cell>
          <cell r="F1378">
            <v>881</v>
          </cell>
        </row>
        <row r="1379">
          <cell r="A1379" t="str">
            <v>KETI FALAWO</v>
          </cell>
          <cell r="F1379">
            <v>881</v>
          </cell>
        </row>
        <row r="1380">
          <cell r="A1380" t="str">
            <v>BOMBO BARRACKS</v>
          </cell>
          <cell r="F1380">
            <v>881</v>
          </cell>
        </row>
        <row r="1381">
          <cell r="A1381" t="str">
            <v>BUWAMBO</v>
          </cell>
          <cell r="F1381">
            <v>881</v>
          </cell>
        </row>
        <row r="1382">
          <cell r="A1382" t="str">
            <v>Butuntumula</v>
          </cell>
          <cell r="B1382" t="str">
            <v>Luwero</v>
          </cell>
          <cell r="C1382" t="str">
            <v>Katikamu</v>
          </cell>
          <cell r="D1382" t="str">
            <v>Butuntumula</v>
          </cell>
          <cell r="F1382">
            <v>882</v>
          </cell>
        </row>
        <row r="1383">
          <cell r="A1383" t="str">
            <v>Kalagala</v>
          </cell>
          <cell r="B1383" t="str">
            <v>Luwero</v>
          </cell>
          <cell r="C1383" t="str">
            <v>Bamunanika</v>
          </cell>
          <cell r="D1383" t="str">
            <v>Kalagala</v>
          </cell>
          <cell r="F1383">
            <v>883</v>
          </cell>
        </row>
        <row r="1384">
          <cell r="A1384" t="str">
            <v>Kamira</v>
          </cell>
          <cell r="B1384" t="str">
            <v>Luwero</v>
          </cell>
          <cell r="C1384" t="str">
            <v>Bamunanika</v>
          </cell>
          <cell r="D1384" t="str">
            <v>Kamira</v>
          </cell>
          <cell r="F1384">
            <v>884</v>
          </cell>
        </row>
        <row r="1385">
          <cell r="A1385" t="str">
            <v>Katikamu</v>
          </cell>
          <cell r="B1385" t="str">
            <v>Luwero</v>
          </cell>
          <cell r="C1385" t="str">
            <v>Katikamu</v>
          </cell>
          <cell r="D1385" t="str">
            <v>Katikamu</v>
          </cell>
          <cell r="F1385">
            <v>885</v>
          </cell>
        </row>
        <row r="1386">
          <cell r="A1386" t="str">
            <v>NKONGE</v>
          </cell>
          <cell r="F1386">
            <v>885</v>
          </cell>
        </row>
        <row r="1387">
          <cell r="A1387" t="str">
            <v>Kikyusa</v>
          </cell>
          <cell r="B1387" t="str">
            <v>Luwero</v>
          </cell>
          <cell r="C1387" t="str">
            <v>Bamunanika</v>
          </cell>
          <cell r="D1387" t="str">
            <v>Kikyusa</v>
          </cell>
          <cell r="F1387">
            <v>886</v>
          </cell>
        </row>
        <row r="1388">
          <cell r="A1388" t="str">
            <v>Luwero</v>
          </cell>
          <cell r="B1388" t="str">
            <v>Luwero</v>
          </cell>
          <cell r="C1388" t="str">
            <v>Katikamu</v>
          </cell>
          <cell r="D1388" t="str">
            <v>Luwero</v>
          </cell>
          <cell r="F1388">
            <v>887</v>
          </cell>
        </row>
        <row r="1389">
          <cell r="A1389" t="str">
            <v>LUWEER0</v>
          </cell>
          <cell r="F1389">
            <v>887</v>
          </cell>
        </row>
        <row r="1390">
          <cell r="A1390" t="str">
            <v>Luwero Town Council</v>
          </cell>
          <cell r="B1390" t="str">
            <v>Luwero</v>
          </cell>
          <cell r="C1390" t="str">
            <v>Katikamu</v>
          </cell>
          <cell r="D1390" t="str">
            <v>Luwero Town Council</v>
          </cell>
          <cell r="F1390">
            <v>888</v>
          </cell>
        </row>
        <row r="1391">
          <cell r="A1391" t="str">
            <v>LUWERO TOWN</v>
          </cell>
          <cell r="F1391">
            <v>888</v>
          </cell>
        </row>
        <row r="1392">
          <cell r="A1392" t="str">
            <v>Luweero</v>
          </cell>
          <cell r="F1392">
            <v>888</v>
          </cell>
        </row>
        <row r="1393">
          <cell r="A1393" t="str">
            <v>LUKOMERA</v>
          </cell>
          <cell r="F1393">
            <v>888</v>
          </cell>
        </row>
        <row r="1394">
          <cell r="A1394" t="str">
            <v>Makulubita</v>
          </cell>
          <cell r="B1394" t="str">
            <v>Luwero</v>
          </cell>
          <cell r="C1394" t="str">
            <v>Katikamu</v>
          </cell>
          <cell r="D1394" t="str">
            <v>Makulubita</v>
          </cell>
          <cell r="F1394">
            <v>889</v>
          </cell>
        </row>
        <row r="1395">
          <cell r="A1395" t="str">
            <v>Nyimbwa</v>
          </cell>
          <cell r="B1395" t="str">
            <v>Luwero</v>
          </cell>
          <cell r="C1395" t="str">
            <v>Katikamu</v>
          </cell>
          <cell r="D1395" t="str">
            <v>Nyimbwa</v>
          </cell>
          <cell r="F1395">
            <v>890</v>
          </cell>
        </row>
        <row r="1396">
          <cell r="A1396" t="str">
            <v>Wobulenzi Town Council</v>
          </cell>
          <cell r="B1396" t="str">
            <v>Luwero</v>
          </cell>
          <cell r="C1396" t="str">
            <v>Katikamu</v>
          </cell>
          <cell r="D1396" t="str">
            <v>Wobulenzi Town Council</v>
          </cell>
          <cell r="F1396">
            <v>891</v>
          </cell>
        </row>
        <row r="1397">
          <cell r="A1397" t="str">
            <v>WOBULEZI</v>
          </cell>
          <cell r="F1397">
            <v>891</v>
          </cell>
        </row>
        <row r="1398">
          <cell r="A1398" t="str">
            <v>WOBULENZI</v>
          </cell>
          <cell r="F1398">
            <v>891</v>
          </cell>
        </row>
        <row r="1399">
          <cell r="A1399" t="str">
            <v>WOBULENZO</v>
          </cell>
          <cell r="F1399">
            <v>891</v>
          </cell>
        </row>
        <row r="1400">
          <cell r="A1400" t="str">
            <v>Zirobwe</v>
          </cell>
          <cell r="B1400" t="str">
            <v>Luwero</v>
          </cell>
          <cell r="C1400" t="str">
            <v>Bamunanika</v>
          </cell>
          <cell r="D1400" t="str">
            <v>Zirobwe</v>
          </cell>
          <cell r="F1400">
            <v>892</v>
          </cell>
        </row>
        <row r="1401">
          <cell r="A1401" t="str">
            <v>ZILOBWE</v>
          </cell>
          <cell r="F1401">
            <v>892</v>
          </cell>
        </row>
        <row r="1402">
          <cell r="A1402" t="str">
            <v>Kisekka</v>
          </cell>
          <cell r="B1402" t="str">
            <v>Lwengo</v>
          </cell>
          <cell r="C1402" t="str">
            <v>Bukoto</v>
          </cell>
          <cell r="D1402" t="str">
            <v>Kisekka</v>
          </cell>
          <cell r="F1402">
            <v>893</v>
          </cell>
        </row>
        <row r="1403">
          <cell r="A1403" t="str">
            <v>Lubanda</v>
          </cell>
          <cell r="F1403">
            <v>893</v>
          </cell>
        </row>
        <row r="1404">
          <cell r="A1404" t="str">
            <v>Kkingo</v>
          </cell>
          <cell r="B1404" t="str">
            <v>Lwengo</v>
          </cell>
          <cell r="C1404" t="str">
            <v>Bukoto</v>
          </cell>
          <cell r="D1404" t="str">
            <v>Kkingo</v>
          </cell>
          <cell r="F1404">
            <v>894</v>
          </cell>
        </row>
        <row r="1405">
          <cell r="A1405" t="str">
            <v>Kyazanga</v>
          </cell>
          <cell r="B1405" t="str">
            <v>Lwengo</v>
          </cell>
          <cell r="C1405" t="str">
            <v>Bukoto</v>
          </cell>
          <cell r="D1405" t="str">
            <v>Kyazanga</v>
          </cell>
          <cell r="F1405">
            <v>895</v>
          </cell>
        </row>
        <row r="1406">
          <cell r="A1406" t="str">
            <v>Kyazanga Town Council</v>
          </cell>
          <cell r="B1406" t="str">
            <v>Lwengo</v>
          </cell>
          <cell r="C1406" t="str">
            <v>Bukoto</v>
          </cell>
          <cell r="D1406" t="str">
            <v>Kyazanga Town Council</v>
          </cell>
          <cell r="F1406">
            <v>896</v>
          </cell>
        </row>
        <row r="1407">
          <cell r="A1407" t="str">
            <v>Lwengo</v>
          </cell>
          <cell r="B1407" t="str">
            <v>Lwengo</v>
          </cell>
          <cell r="C1407" t="str">
            <v>Bukoto</v>
          </cell>
          <cell r="D1407" t="str">
            <v>Lwengo</v>
          </cell>
          <cell r="F1407">
            <v>897</v>
          </cell>
        </row>
        <row r="1408">
          <cell r="A1408" t="str">
            <v>Lwengo Town Council</v>
          </cell>
          <cell r="B1408" t="str">
            <v>Lwengo</v>
          </cell>
          <cell r="C1408" t="str">
            <v>Bukoto</v>
          </cell>
          <cell r="D1408" t="str">
            <v>Lwengo Town Council</v>
          </cell>
          <cell r="F1408">
            <v>898</v>
          </cell>
        </row>
        <row r="1409">
          <cell r="A1409" t="str">
            <v>Malongo-Lwengo</v>
          </cell>
          <cell r="B1409" t="str">
            <v>Lwengo</v>
          </cell>
          <cell r="C1409" t="str">
            <v>Bukoto</v>
          </cell>
          <cell r="D1409" t="str">
            <v>Malongo-Lwengo</v>
          </cell>
          <cell r="F1409">
            <v>899</v>
          </cell>
        </row>
        <row r="1410">
          <cell r="A1410" t="str">
            <v>Ndagwe</v>
          </cell>
          <cell r="B1410" t="str">
            <v>Lwengo</v>
          </cell>
          <cell r="C1410" t="str">
            <v>Bukoto</v>
          </cell>
          <cell r="D1410" t="str">
            <v>Ndagwe</v>
          </cell>
          <cell r="F1410">
            <v>900</v>
          </cell>
        </row>
        <row r="1411">
          <cell r="A1411" t="str">
            <v>Kaliiro</v>
          </cell>
          <cell r="B1411" t="str">
            <v>Lyantonde</v>
          </cell>
          <cell r="C1411" t="str">
            <v>Kabula</v>
          </cell>
          <cell r="D1411" t="str">
            <v>Kaliiro</v>
          </cell>
          <cell r="F1411">
            <v>901</v>
          </cell>
        </row>
        <row r="1412">
          <cell r="A1412" t="str">
            <v>Kasagama</v>
          </cell>
          <cell r="B1412" t="str">
            <v>Lyantonde</v>
          </cell>
          <cell r="C1412" t="str">
            <v>Kabula</v>
          </cell>
          <cell r="D1412" t="str">
            <v>Kasagama</v>
          </cell>
          <cell r="F1412">
            <v>902</v>
          </cell>
        </row>
        <row r="1413">
          <cell r="A1413" t="str">
            <v>Kinuuka</v>
          </cell>
          <cell r="B1413" t="str">
            <v>Lyantonde</v>
          </cell>
          <cell r="C1413" t="str">
            <v>Kabula</v>
          </cell>
          <cell r="D1413" t="str">
            <v>Kinuuka</v>
          </cell>
          <cell r="F1413">
            <v>903</v>
          </cell>
        </row>
        <row r="1414">
          <cell r="A1414" t="str">
            <v>Lyantonde</v>
          </cell>
          <cell r="B1414" t="str">
            <v>Lyantonde</v>
          </cell>
          <cell r="C1414" t="str">
            <v>Kabula</v>
          </cell>
          <cell r="D1414" t="str">
            <v>Lyantonde</v>
          </cell>
          <cell r="F1414">
            <v>904</v>
          </cell>
        </row>
        <row r="1415">
          <cell r="A1415" t="str">
            <v>Lyantonde Town Council</v>
          </cell>
          <cell r="B1415" t="str">
            <v>Lyantonde</v>
          </cell>
          <cell r="C1415" t="str">
            <v>Kabula</v>
          </cell>
          <cell r="D1415" t="str">
            <v>Lyantonde Town Council</v>
          </cell>
          <cell r="F1415">
            <v>905</v>
          </cell>
        </row>
        <row r="1416">
          <cell r="A1416" t="str">
            <v>LAKE MBURO</v>
          </cell>
          <cell r="F1416">
            <v>905</v>
          </cell>
        </row>
        <row r="1417">
          <cell r="A1417" t="str">
            <v>Mpumudde-Lyantonde</v>
          </cell>
          <cell r="B1417" t="str">
            <v>Lyantonde</v>
          </cell>
          <cell r="C1417" t="str">
            <v>Kabula</v>
          </cell>
          <cell r="D1417" t="str">
            <v>Mpumudde-Lyantonde</v>
          </cell>
          <cell r="F1417">
            <v>906</v>
          </cell>
        </row>
        <row r="1418">
          <cell r="A1418" t="str">
            <v>Bugobero</v>
          </cell>
          <cell r="B1418" t="str">
            <v>Manafwa</v>
          </cell>
          <cell r="C1418" t="str">
            <v>Bubulo</v>
          </cell>
          <cell r="D1418" t="str">
            <v>Bugobero</v>
          </cell>
          <cell r="F1418">
            <v>907</v>
          </cell>
        </row>
        <row r="1419">
          <cell r="A1419" t="str">
            <v>Bukhofu</v>
          </cell>
          <cell r="B1419" t="str">
            <v>Manafwa</v>
          </cell>
          <cell r="C1419" t="str">
            <v>Bubulo</v>
          </cell>
          <cell r="D1419" t="str">
            <v>Bukhofu</v>
          </cell>
          <cell r="F1419">
            <v>908</v>
          </cell>
        </row>
        <row r="1420">
          <cell r="A1420" t="str">
            <v>Bukusu</v>
          </cell>
          <cell r="B1420" t="str">
            <v>Manafwa</v>
          </cell>
          <cell r="C1420" t="str">
            <v>Bubulo</v>
          </cell>
          <cell r="D1420" t="str">
            <v>Bukusu</v>
          </cell>
          <cell r="F1420">
            <v>909</v>
          </cell>
        </row>
        <row r="1421">
          <cell r="A1421" t="str">
            <v>Bunabwana</v>
          </cell>
          <cell r="B1421" t="str">
            <v>Manafwa</v>
          </cell>
          <cell r="C1421" t="str">
            <v>Bubulo</v>
          </cell>
          <cell r="D1421" t="str">
            <v>Bunabwana</v>
          </cell>
          <cell r="F1421">
            <v>910</v>
          </cell>
        </row>
        <row r="1422">
          <cell r="A1422" t="str">
            <v>Bunyinza Town Council</v>
          </cell>
          <cell r="B1422" t="str">
            <v>Manafwa</v>
          </cell>
          <cell r="C1422" t="str">
            <v>Bubulo</v>
          </cell>
          <cell r="D1422" t="str">
            <v>Bunyinza Town Council</v>
          </cell>
          <cell r="F1422">
            <v>911</v>
          </cell>
        </row>
        <row r="1423">
          <cell r="A1423" t="str">
            <v>Busukuya</v>
          </cell>
          <cell r="B1423" t="str">
            <v>Manafwa</v>
          </cell>
          <cell r="C1423" t="str">
            <v>Bubulo</v>
          </cell>
          <cell r="D1423" t="str">
            <v>Busukuya</v>
          </cell>
          <cell r="F1423">
            <v>912</v>
          </cell>
        </row>
        <row r="1424">
          <cell r="A1424" t="str">
            <v>Bugobelo</v>
          </cell>
          <cell r="F1424">
            <v>912</v>
          </cell>
        </row>
        <row r="1425">
          <cell r="A1425" t="str">
            <v>Bubulo</v>
          </cell>
          <cell r="F1425">
            <v>912</v>
          </cell>
        </row>
        <row r="1426">
          <cell r="A1426" t="str">
            <v>Butiru</v>
          </cell>
          <cell r="B1426" t="str">
            <v>Manafwa</v>
          </cell>
          <cell r="C1426" t="str">
            <v>Bubulo</v>
          </cell>
          <cell r="D1426" t="str">
            <v>Butiru</v>
          </cell>
          <cell r="F1426">
            <v>913</v>
          </cell>
        </row>
        <row r="1427">
          <cell r="A1427" t="str">
            <v>Butiri</v>
          </cell>
          <cell r="F1427">
            <v>913</v>
          </cell>
        </row>
        <row r="1428">
          <cell r="A1428" t="str">
            <v>Butta</v>
          </cell>
          <cell r="B1428" t="str">
            <v>Manafwa</v>
          </cell>
          <cell r="C1428" t="str">
            <v>Bubulo</v>
          </cell>
          <cell r="D1428" t="str">
            <v>Butta</v>
          </cell>
          <cell r="F1428">
            <v>914</v>
          </cell>
        </row>
        <row r="1429">
          <cell r="A1429" t="str">
            <v>Buwagogo</v>
          </cell>
          <cell r="B1429" t="str">
            <v>Manafwa</v>
          </cell>
          <cell r="C1429" t="str">
            <v>Bubulo</v>
          </cell>
          <cell r="D1429" t="str">
            <v>Buwagogo</v>
          </cell>
          <cell r="F1429">
            <v>915</v>
          </cell>
        </row>
        <row r="1430">
          <cell r="A1430" t="str">
            <v>Buwangani Town Council</v>
          </cell>
          <cell r="B1430" t="str">
            <v>Manafwa</v>
          </cell>
          <cell r="C1430" t="str">
            <v>Bubulo</v>
          </cell>
          <cell r="D1430" t="str">
            <v>Buwangani Town Council</v>
          </cell>
          <cell r="F1430">
            <v>916</v>
          </cell>
        </row>
        <row r="1431">
          <cell r="A1431" t="str">
            <v>Kaato</v>
          </cell>
          <cell r="B1431" t="str">
            <v>Manafwa</v>
          </cell>
          <cell r="C1431" t="str">
            <v>Bubulo</v>
          </cell>
          <cell r="D1431" t="str">
            <v>Kaato</v>
          </cell>
          <cell r="F1431">
            <v>917</v>
          </cell>
        </row>
        <row r="1432">
          <cell r="A1432" t="str">
            <v>Khabutoola</v>
          </cell>
          <cell r="B1432" t="str">
            <v>Manafwa</v>
          </cell>
          <cell r="C1432" t="str">
            <v>Bubulo</v>
          </cell>
          <cell r="D1432" t="str">
            <v>Khabutoola</v>
          </cell>
          <cell r="F1432">
            <v>918</v>
          </cell>
        </row>
        <row r="1433">
          <cell r="A1433" t="str">
            <v>Manafwa Town Council</v>
          </cell>
          <cell r="B1433" t="str">
            <v>Manafwa</v>
          </cell>
          <cell r="C1433" t="str">
            <v>Bubulo</v>
          </cell>
          <cell r="D1433" t="str">
            <v>Manafwa Town Council</v>
          </cell>
          <cell r="F1433">
            <v>919</v>
          </cell>
        </row>
        <row r="1434">
          <cell r="A1434" t="str">
            <v>Manafwa</v>
          </cell>
          <cell r="F1434">
            <v>919</v>
          </cell>
        </row>
        <row r="1435">
          <cell r="A1435" t="str">
            <v>Nalondo</v>
          </cell>
          <cell r="B1435" t="str">
            <v>Manafwa</v>
          </cell>
          <cell r="C1435" t="str">
            <v>Bubulo</v>
          </cell>
          <cell r="D1435" t="str">
            <v>Nalondo</v>
          </cell>
          <cell r="F1435">
            <v>920</v>
          </cell>
        </row>
        <row r="1436">
          <cell r="A1436" t="str">
            <v>Sibanga</v>
          </cell>
          <cell r="B1436" t="str">
            <v>Manafwa</v>
          </cell>
          <cell r="C1436" t="str">
            <v>Bubulo</v>
          </cell>
          <cell r="D1436" t="str">
            <v>Sibanga</v>
          </cell>
          <cell r="F1436">
            <v>921</v>
          </cell>
        </row>
        <row r="1437">
          <cell r="A1437" t="str">
            <v>Sisuni</v>
          </cell>
          <cell r="B1437" t="str">
            <v>Manafwa</v>
          </cell>
          <cell r="C1437" t="str">
            <v>Bubulo</v>
          </cell>
          <cell r="D1437" t="str">
            <v>Sisuni</v>
          </cell>
          <cell r="F1437">
            <v>922</v>
          </cell>
        </row>
        <row r="1438">
          <cell r="A1438" t="str">
            <v>Weswa</v>
          </cell>
          <cell r="B1438" t="str">
            <v>Manafwa</v>
          </cell>
          <cell r="C1438" t="str">
            <v>Bubulo</v>
          </cell>
          <cell r="D1438" t="str">
            <v>Weswa</v>
          </cell>
          <cell r="F1438">
            <v>923</v>
          </cell>
        </row>
        <row r="1439">
          <cell r="A1439" t="str">
            <v>Kijomoro</v>
          </cell>
          <cell r="B1439" t="str">
            <v>Maracha</v>
          </cell>
          <cell r="C1439" t="str">
            <v>Maracha</v>
          </cell>
          <cell r="D1439" t="str">
            <v>Kijomoro</v>
          </cell>
          <cell r="F1439">
            <v>924</v>
          </cell>
        </row>
        <row r="1440">
          <cell r="A1440" t="str">
            <v>Maracha Town Council</v>
          </cell>
          <cell r="B1440" t="str">
            <v>Maracha</v>
          </cell>
          <cell r="C1440" t="str">
            <v>Maracha</v>
          </cell>
          <cell r="D1440" t="str">
            <v>Maracha Town Council</v>
          </cell>
          <cell r="F1440">
            <v>925</v>
          </cell>
        </row>
        <row r="1441">
          <cell r="A1441" t="str">
            <v>Maracha</v>
          </cell>
          <cell r="F1441">
            <v>925</v>
          </cell>
        </row>
        <row r="1442">
          <cell r="A1442" t="str">
            <v>Nyadri</v>
          </cell>
          <cell r="B1442" t="str">
            <v>Maracha</v>
          </cell>
          <cell r="C1442" t="str">
            <v>Maracha</v>
          </cell>
          <cell r="D1442" t="str">
            <v>Nyadri</v>
          </cell>
          <cell r="F1442">
            <v>926</v>
          </cell>
        </row>
        <row r="1443">
          <cell r="A1443" t="str">
            <v>Oleba</v>
          </cell>
          <cell r="B1443" t="str">
            <v>Maracha</v>
          </cell>
          <cell r="C1443" t="str">
            <v>Maracha</v>
          </cell>
          <cell r="D1443" t="str">
            <v>Oleba</v>
          </cell>
          <cell r="F1443">
            <v>927</v>
          </cell>
        </row>
        <row r="1444">
          <cell r="A1444" t="str">
            <v>Oluffe</v>
          </cell>
          <cell r="B1444" t="str">
            <v>Maracha</v>
          </cell>
          <cell r="C1444" t="str">
            <v>Maracha</v>
          </cell>
          <cell r="D1444" t="str">
            <v>Oluffe</v>
          </cell>
          <cell r="F1444">
            <v>928</v>
          </cell>
        </row>
        <row r="1445">
          <cell r="A1445" t="str">
            <v>Oluvu</v>
          </cell>
          <cell r="B1445" t="str">
            <v>Maracha</v>
          </cell>
          <cell r="C1445" t="str">
            <v>Maracha</v>
          </cell>
          <cell r="D1445" t="str">
            <v>Oluvu</v>
          </cell>
          <cell r="F1445">
            <v>929</v>
          </cell>
        </row>
        <row r="1446">
          <cell r="A1446" t="str">
            <v>Tara</v>
          </cell>
          <cell r="B1446" t="str">
            <v>Maracha</v>
          </cell>
          <cell r="C1446" t="str">
            <v>Maracha</v>
          </cell>
          <cell r="D1446" t="str">
            <v>Tara</v>
          </cell>
          <cell r="F1446">
            <v>930</v>
          </cell>
        </row>
        <row r="1447">
          <cell r="A1447" t="str">
            <v>Yivu</v>
          </cell>
          <cell r="B1447" t="str">
            <v>Maracha</v>
          </cell>
          <cell r="C1447" t="str">
            <v>Maracha</v>
          </cell>
          <cell r="D1447" t="str">
            <v>Yivu</v>
          </cell>
          <cell r="F1447">
            <v>931</v>
          </cell>
        </row>
        <row r="1448">
          <cell r="A1448" t="str">
            <v>Bukakata</v>
          </cell>
          <cell r="B1448" t="str">
            <v>Masaka</v>
          </cell>
          <cell r="C1448" t="str">
            <v>Bukoto</v>
          </cell>
          <cell r="D1448" t="str">
            <v>Bukakata</v>
          </cell>
          <cell r="F1448">
            <v>932</v>
          </cell>
        </row>
        <row r="1449">
          <cell r="A1449" t="str">
            <v>NABUGABO</v>
          </cell>
          <cell r="F1449">
            <v>932</v>
          </cell>
        </row>
        <row r="1450">
          <cell r="A1450" t="str">
            <v>Buwunga-Masaka</v>
          </cell>
          <cell r="B1450" t="str">
            <v>Masaka</v>
          </cell>
          <cell r="C1450" t="str">
            <v>Bukoto</v>
          </cell>
          <cell r="D1450" t="str">
            <v>Buwunga-Masaka</v>
          </cell>
          <cell r="F1450">
            <v>933</v>
          </cell>
        </row>
        <row r="1451">
          <cell r="A1451" t="str">
            <v>Kabonera</v>
          </cell>
          <cell r="B1451" t="str">
            <v>Masaka</v>
          </cell>
          <cell r="C1451" t="str">
            <v>Bukoto</v>
          </cell>
          <cell r="D1451" t="str">
            <v>Kabonera</v>
          </cell>
          <cell r="F1451">
            <v>934</v>
          </cell>
        </row>
        <row r="1452">
          <cell r="A1452" t="str">
            <v>Kyanamukaaka</v>
          </cell>
          <cell r="B1452" t="str">
            <v>Masaka</v>
          </cell>
          <cell r="C1452" t="str">
            <v>Bukoto</v>
          </cell>
          <cell r="D1452" t="str">
            <v>Kyanamukaaka</v>
          </cell>
          <cell r="F1452">
            <v>935</v>
          </cell>
        </row>
        <row r="1453">
          <cell r="A1453" t="str">
            <v>BUDDU</v>
          </cell>
          <cell r="F1453">
            <v>935</v>
          </cell>
        </row>
        <row r="1454">
          <cell r="A1454" t="str">
            <v>Kyesiiga</v>
          </cell>
          <cell r="B1454" t="str">
            <v>Masaka</v>
          </cell>
          <cell r="C1454" t="str">
            <v>Bukoto</v>
          </cell>
          <cell r="D1454" t="str">
            <v>Kyesiiga</v>
          </cell>
          <cell r="F1454">
            <v>936</v>
          </cell>
        </row>
        <row r="1455">
          <cell r="A1455" t="str">
            <v>Bukoko</v>
          </cell>
          <cell r="F1455">
            <v>936</v>
          </cell>
        </row>
        <row r="1456">
          <cell r="A1456" t="str">
            <v>Masaka Municipality</v>
          </cell>
          <cell r="B1456" t="str">
            <v>Masaka</v>
          </cell>
          <cell r="C1456" t="str">
            <v>Masaka Municipality</v>
          </cell>
          <cell r="D1456" t="str">
            <v>Masaka Municipality</v>
          </cell>
          <cell r="F1456">
            <v>937</v>
          </cell>
        </row>
        <row r="1457">
          <cell r="A1457" t="str">
            <v>Masaka</v>
          </cell>
          <cell r="F1457">
            <v>937</v>
          </cell>
        </row>
        <row r="1458">
          <cell r="A1458" t="str">
            <v>MASAKA TOWN</v>
          </cell>
          <cell r="F1458">
            <v>937</v>
          </cell>
        </row>
        <row r="1459">
          <cell r="A1459" t="str">
            <v>Villa maria</v>
          </cell>
          <cell r="F1459">
            <v>937</v>
          </cell>
        </row>
        <row r="1460">
          <cell r="A1460" t="str">
            <v>Masaka Road</v>
          </cell>
          <cell r="F1460">
            <v>937</v>
          </cell>
        </row>
        <row r="1461">
          <cell r="A1461" t="str">
            <v>NYENDO</v>
          </cell>
          <cell r="F1461">
            <v>937</v>
          </cell>
        </row>
        <row r="1462">
          <cell r="A1462" t="str">
            <v>NYENDDO</v>
          </cell>
          <cell r="F1462">
            <v>937</v>
          </cell>
        </row>
        <row r="1463">
          <cell r="A1463" t="str">
            <v>MBIRIZI</v>
          </cell>
          <cell r="F1463">
            <v>937</v>
          </cell>
        </row>
        <row r="1464">
          <cell r="A1464" t="str">
            <v>RWERA</v>
          </cell>
          <cell r="F1464">
            <v>937</v>
          </cell>
        </row>
        <row r="1465">
          <cell r="A1465" t="str">
            <v>MULUKU</v>
          </cell>
          <cell r="F1465">
            <v>937</v>
          </cell>
        </row>
        <row r="1466">
          <cell r="A1466" t="str">
            <v>LWERA</v>
          </cell>
          <cell r="F1466">
            <v>937</v>
          </cell>
        </row>
        <row r="1467">
          <cell r="A1467" t="str">
            <v>Luwera</v>
          </cell>
          <cell r="F1467">
            <v>937</v>
          </cell>
        </row>
        <row r="1468">
          <cell r="A1468" t="str">
            <v>Mukungwe</v>
          </cell>
          <cell r="B1468" t="str">
            <v>Masaka</v>
          </cell>
          <cell r="C1468" t="str">
            <v>Bukoto</v>
          </cell>
          <cell r="D1468" t="str">
            <v>Mukungwe</v>
          </cell>
          <cell r="F1468">
            <v>938</v>
          </cell>
        </row>
        <row r="1469">
          <cell r="A1469" t="str">
            <v>Budongo</v>
          </cell>
          <cell r="B1469" t="str">
            <v>Masindi</v>
          </cell>
          <cell r="C1469" t="str">
            <v>Bujenje</v>
          </cell>
          <cell r="D1469" t="str">
            <v>Budongo</v>
          </cell>
          <cell r="F1469">
            <v>939</v>
          </cell>
        </row>
        <row r="1470">
          <cell r="A1470" t="str">
            <v>Bwijanga</v>
          </cell>
          <cell r="B1470" t="str">
            <v>Masindi</v>
          </cell>
          <cell r="C1470" t="str">
            <v>Bujenje</v>
          </cell>
          <cell r="D1470" t="str">
            <v>Bwijanga</v>
          </cell>
          <cell r="F1470">
            <v>940</v>
          </cell>
        </row>
        <row r="1471">
          <cell r="A1471" t="str">
            <v>Bulima</v>
          </cell>
          <cell r="F1471">
            <v>940</v>
          </cell>
        </row>
        <row r="1472">
          <cell r="A1472" t="str">
            <v>KINYARA</v>
          </cell>
          <cell r="F1472">
            <v>940</v>
          </cell>
        </row>
        <row r="1473">
          <cell r="A1473" t="str">
            <v>Kimengo</v>
          </cell>
          <cell r="B1473" t="str">
            <v>Masindi</v>
          </cell>
          <cell r="C1473" t="str">
            <v>Buruli</v>
          </cell>
          <cell r="D1473" t="str">
            <v>Kimengo</v>
          </cell>
          <cell r="F1473">
            <v>941</v>
          </cell>
        </row>
        <row r="1474">
          <cell r="A1474" t="str">
            <v>Masindi Municipality</v>
          </cell>
          <cell r="B1474" t="str">
            <v>Masindi</v>
          </cell>
          <cell r="C1474" t="str">
            <v>Masindi Municipality</v>
          </cell>
          <cell r="D1474" t="str">
            <v>Masindi Municipality</v>
          </cell>
          <cell r="F1474">
            <v>942</v>
          </cell>
        </row>
        <row r="1475">
          <cell r="A1475" t="str">
            <v>MASINDI TOWN</v>
          </cell>
          <cell r="F1475">
            <v>942</v>
          </cell>
        </row>
        <row r="1476">
          <cell r="A1476" t="str">
            <v>Miirya</v>
          </cell>
          <cell r="B1476" t="str">
            <v>Masindi</v>
          </cell>
          <cell r="C1476" t="str">
            <v>Buruli</v>
          </cell>
          <cell r="D1476" t="str">
            <v>Miirya</v>
          </cell>
          <cell r="F1476">
            <v>943</v>
          </cell>
        </row>
        <row r="1477">
          <cell r="A1477" t="str">
            <v>Pakanyi</v>
          </cell>
          <cell r="B1477" t="str">
            <v>Masindi</v>
          </cell>
          <cell r="C1477" t="str">
            <v>Buruli</v>
          </cell>
          <cell r="D1477" t="str">
            <v>Pakanyi</v>
          </cell>
          <cell r="F1477">
            <v>944</v>
          </cell>
        </row>
        <row r="1478">
          <cell r="A1478" t="str">
            <v>Baitambogwe</v>
          </cell>
          <cell r="B1478" t="str">
            <v>Mayuge</v>
          </cell>
          <cell r="C1478" t="str">
            <v>Bunya</v>
          </cell>
          <cell r="D1478" t="str">
            <v>Baitambogwe</v>
          </cell>
          <cell r="F1478">
            <v>945</v>
          </cell>
        </row>
        <row r="1479">
          <cell r="A1479" t="str">
            <v>Bukabooli</v>
          </cell>
          <cell r="B1479" t="str">
            <v>Mayuge</v>
          </cell>
          <cell r="C1479" t="str">
            <v>Bunya</v>
          </cell>
          <cell r="D1479" t="str">
            <v>Bukabooli</v>
          </cell>
          <cell r="F1479">
            <v>946</v>
          </cell>
        </row>
        <row r="1480">
          <cell r="A1480" t="str">
            <v>Bukatube</v>
          </cell>
          <cell r="B1480" t="str">
            <v>Mayuge</v>
          </cell>
          <cell r="C1480" t="str">
            <v>Bunya</v>
          </cell>
          <cell r="D1480" t="str">
            <v>Bukatube</v>
          </cell>
          <cell r="F1480">
            <v>947</v>
          </cell>
        </row>
        <row r="1481">
          <cell r="A1481" t="str">
            <v>Busakira</v>
          </cell>
          <cell r="B1481" t="str">
            <v>Mayuge</v>
          </cell>
          <cell r="C1481" t="str">
            <v>Bunya</v>
          </cell>
          <cell r="D1481" t="str">
            <v>Busakira</v>
          </cell>
          <cell r="F1481">
            <v>948</v>
          </cell>
        </row>
        <row r="1482">
          <cell r="A1482" t="str">
            <v>Buwaaya</v>
          </cell>
          <cell r="B1482" t="str">
            <v>Mayuge</v>
          </cell>
          <cell r="C1482" t="str">
            <v>Bunya</v>
          </cell>
          <cell r="D1482" t="str">
            <v>Buwaaya</v>
          </cell>
          <cell r="F1482">
            <v>949</v>
          </cell>
        </row>
        <row r="1483">
          <cell r="A1483" t="str">
            <v>Imanyiro</v>
          </cell>
          <cell r="B1483" t="str">
            <v>Mayuge</v>
          </cell>
          <cell r="C1483" t="str">
            <v>Bunya</v>
          </cell>
          <cell r="D1483" t="str">
            <v>Imanyiro</v>
          </cell>
          <cell r="F1483">
            <v>950</v>
          </cell>
        </row>
        <row r="1484">
          <cell r="A1484" t="str">
            <v>Jaguzi</v>
          </cell>
          <cell r="B1484" t="str">
            <v>Mayuge</v>
          </cell>
          <cell r="C1484" t="str">
            <v>Bunya</v>
          </cell>
          <cell r="D1484" t="str">
            <v>Jaguzi</v>
          </cell>
          <cell r="F1484">
            <v>951</v>
          </cell>
        </row>
        <row r="1485">
          <cell r="A1485" t="str">
            <v>Kigandalo</v>
          </cell>
          <cell r="B1485" t="str">
            <v>Mayuge</v>
          </cell>
          <cell r="C1485" t="str">
            <v>Bunya</v>
          </cell>
          <cell r="D1485" t="str">
            <v>Kigandalo</v>
          </cell>
          <cell r="F1485">
            <v>952</v>
          </cell>
        </row>
        <row r="1486">
          <cell r="A1486" t="str">
            <v>Kityerera</v>
          </cell>
          <cell r="B1486" t="str">
            <v>Mayuge</v>
          </cell>
          <cell r="C1486" t="str">
            <v>Bunya</v>
          </cell>
          <cell r="D1486" t="str">
            <v>Kityerera</v>
          </cell>
          <cell r="F1486">
            <v>953</v>
          </cell>
        </row>
        <row r="1487">
          <cell r="A1487" t="str">
            <v>Magamaga Town Council</v>
          </cell>
          <cell r="B1487" t="str">
            <v>Mayuge</v>
          </cell>
          <cell r="C1487" t="str">
            <v>Bunya</v>
          </cell>
          <cell r="D1487" t="str">
            <v>Magamaga Town Council</v>
          </cell>
          <cell r="F1487">
            <v>954</v>
          </cell>
        </row>
        <row r="1488">
          <cell r="A1488" t="str">
            <v>Malongo-Mayuge</v>
          </cell>
          <cell r="B1488" t="str">
            <v>Mayuge</v>
          </cell>
          <cell r="C1488" t="str">
            <v>Bunya</v>
          </cell>
          <cell r="D1488" t="str">
            <v>Malongo-Mayuge</v>
          </cell>
          <cell r="F1488">
            <v>955</v>
          </cell>
        </row>
        <row r="1489">
          <cell r="A1489" t="str">
            <v>Mayuge Town Council</v>
          </cell>
          <cell r="B1489" t="str">
            <v>Mayuge</v>
          </cell>
          <cell r="C1489" t="str">
            <v>Bunya</v>
          </cell>
          <cell r="D1489" t="str">
            <v>Mayuge Town Council</v>
          </cell>
          <cell r="F1489">
            <v>956</v>
          </cell>
        </row>
        <row r="1490">
          <cell r="A1490" t="str">
            <v>Mayuge</v>
          </cell>
          <cell r="F1490">
            <v>956</v>
          </cell>
        </row>
        <row r="1491">
          <cell r="A1491" t="str">
            <v>Mpungwe</v>
          </cell>
          <cell r="B1491" t="str">
            <v>Mayuge</v>
          </cell>
          <cell r="C1491" t="str">
            <v>Bunya</v>
          </cell>
          <cell r="D1491" t="str">
            <v>Mpungwe</v>
          </cell>
          <cell r="F1491">
            <v>957</v>
          </cell>
        </row>
        <row r="1492">
          <cell r="A1492" t="str">
            <v>Wairasa</v>
          </cell>
          <cell r="B1492" t="str">
            <v>Mayuge</v>
          </cell>
          <cell r="C1492" t="str">
            <v>Bunya</v>
          </cell>
          <cell r="D1492" t="str">
            <v>Wairasa</v>
          </cell>
          <cell r="F1492">
            <v>958</v>
          </cell>
        </row>
        <row r="1493">
          <cell r="A1493" t="str">
            <v>Bubyangu</v>
          </cell>
          <cell r="B1493" t="str">
            <v>Mbale</v>
          </cell>
          <cell r="C1493" t="str">
            <v>Bungokho</v>
          </cell>
          <cell r="D1493" t="str">
            <v>Bubyangu</v>
          </cell>
          <cell r="F1493">
            <v>959</v>
          </cell>
        </row>
        <row r="1494">
          <cell r="A1494" t="str">
            <v>Budwale</v>
          </cell>
          <cell r="B1494" t="str">
            <v>Mbale</v>
          </cell>
          <cell r="C1494" t="str">
            <v>Bungokho</v>
          </cell>
          <cell r="D1494" t="str">
            <v>Budwale</v>
          </cell>
          <cell r="F1494">
            <v>960</v>
          </cell>
        </row>
        <row r="1495">
          <cell r="A1495" t="str">
            <v>Bufumbo</v>
          </cell>
          <cell r="B1495" t="str">
            <v>Mbale</v>
          </cell>
          <cell r="C1495" t="str">
            <v>Bungokho</v>
          </cell>
          <cell r="D1495" t="str">
            <v>Bufumbo</v>
          </cell>
          <cell r="F1495">
            <v>961</v>
          </cell>
        </row>
        <row r="1496">
          <cell r="A1496" t="str">
            <v>Bukasakya</v>
          </cell>
          <cell r="B1496" t="str">
            <v>Mbale</v>
          </cell>
          <cell r="C1496" t="str">
            <v>Bungokho</v>
          </cell>
          <cell r="D1496" t="str">
            <v>Bukasakya</v>
          </cell>
          <cell r="F1496">
            <v>962</v>
          </cell>
        </row>
        <row r="1497">
          <cell r="A1497" t="str">
            <v>Bukiende</v>
          </cell>
          <cell r="B1497" t="str">
            <v>Mbale</v>
          </cell>
          <cell r="C1497" t="str">
            <v>Bungokho</v>
          </cell>
          <cell r="D1497" t="str">
            <v>Bukiende</v>
          </cell>
          <cell r="F1497">
            <v>963</v>
          </cell>
        </row>
        <row r="1498">
          <cell r="A1498" t="str">
            <v>Bukonde</v>
          </cell>
          <cell r="B1498" t="str">
            <v>Mbale</v>
          </cell>
          <cell r="C1498" t="str">
            <v>Bungokho</v>
          </cell>
          <cell r="D1498" t="str">
            <v>Bukonde</v>
          </cell>
          <cell r="F1498">
            <v>964</v>
          </cell>
        </row>
        <row r="1499">
          <cell r="A1499" t="str">
            <v>Bumasikye</v>
          </cell>
          <cell r="B1499" t="str">
            <v>Mbale</v>
          </cell>
          <cell r="C1499" t="str">
            <v>Bungokho</v>
          </cell>
          <cell r="D1499" t="str">
            <v>Bumasikye</v>
          </cell>
          <cell r="F1499">
            <v>965</v>
          </cell>
        </row>
        <row r="1500">
          <cell r="A1500" t="str">
            <v>Bumbobi</v>
          </cell>
          <cell r="B1500" t="str">
            <v>Mbale</v>
          </cell>
          <cell r="C1500" t="str">
            <v>Bungokho</v>
          </cell>
          <cell r="D1500" t="str">
            <v>Bumbobi</v>
          </cell>
          <cell r="F1500">
            <v>966</v>
          </cell>
        </row>
        <row r="1501">
          <cell r="A1501" t="str">
            <v>Bubo</v>
          </cell>
          <cell r="F1501">
            <v>966</v>
          </cell>
        </row>
        <row r="1502">
          <cell r="A1502" t="str">
            <v>Bumbo/Mbale</v>
          </cell>
          <cell r="F1502">
            <v>966</v>
          </cell>
        </row>
        <row r="1503">
          <cell r="A1503" t="str">
            <v>Bungokho</v>
          </cell>
          <cell r="B1503" t="str">
            <v>Mbale</v>
          </cell>
          <cell r="C1503" t="str">
            <v>Bungokho</v>
          </cell>
          <cell r="D1503" t="str">
            <v>Bungokho</v>
          </cell>
          <cell r="F1503">
            <v>967</v>
          </cell>
        </row>
        <row r="1504">
          <cell r="A1504" t="str">
            <v>BUGEMA</v>
          </cell>
          <cell r="F1504">
            <v>967</v>
          </cell>
        </row>
        <row r="1505">
          <cell r="A1505" t="str">
            <v>Bungokho Mutoto</v>
          </cell>
          <cell r="B1505" t="str">
            <v>Mbale</v>
          </cell>
          <cell r="C1505" t="str">
            <v>Bungokho</v>
          </cell>
          <cell r="D1505" t="str">
            <v>Bungokho Mutoto</v>
          </cell>
          <cell r="F1505">
            <v>968</v>
          </cell>
        </row>
        <row r="1506">
          <cell r="A1506" t="str">
            <v>NAMAGUMBA</v>
          </cell>
          <cell r="F1506">
            <v>968</v>
          </cell>
        </row>
        <row r="1507">
          <cell r="A1507" t="str">
            <v>NAMUUSI</v>
          </cell>
          <cell r="F1507">
            <v>968</v>
          </cell>
        </row>
        <row r="1508">
          <cell r="A1508" t="str">
            <v>Busano</v>
          </cell>
          <cell r="B1508" t="str">
            <v>Mbale</v>
          </cell>
          <cell r="C1508" t="str">
            <v>Bungokho</v>
          </cell>
          <cell r="D1508" t="str">
            <v>Busano</v>
          </cell>
          <cell r="F1508">
            <v>969</v>
          </cell>
        </row>
        <row r="1509">
          <cell r="A1509" t="str">
            <v>Busiu</v>
          </cell>
          <cell r="B1509" t="str">
            <v>Mbale</v>
          </cell>
          <cell r="C1509" t="str">
            <v>Bungokho</v>
          </cell>
          <cell r="D1509" t="str">
            <v>Busiu</v>
          </cell>
          <cell r="F1509">
            <v>970</v>
          </cell>
        </row>
        <row r="1510">
          <cell r="A1510" t="str">
            <v>Busiu Town Council</v>
          </cell>
          <cell r="B1510" t="str">
            <v>Mbale</v>
          </cell>
          <cell r="C1510" t="str">
            <v>Bungokho</v>
          </cell>
          <cell r="D1510" t="str">
            <v>Busiu Town Council</v>
          </cell>
          <cell r="F1510">
            <v>971</v>
          </cell>
        </row>
        <row r="1511">
          <cell r="A1511" t="str">
            <v>Lwaboba</v>
          </cell>
          <cell r="F1511">
            <v>971</v>
          </cell>
        </row>
        <row r="1512">
          <cell r="A1512" t="str">
            <v>Busoba</v>
          </cell>
          <cell r="B1512" t="str">
            <v>Mbale</v>
          </cell>
          <cell r="C1512" t="str">
            <v>Bungokho</v>
          </cell>
          <cell r="D1512" t="str">
            <v>Busoba</v>
          </cell>
          <cell r="F1512">
            <v>972</v>
          </cell>
        </row>
        <row r="1513">
          <cell r="A1513" t="str">
            <v>BUSAMBAGA</v>
          </cell>
          <cell r="F1513">
            <v>972</v>
          </cell>
        </row>
        <row r="1514">
          <cell r="A1514" t="str">
            <v>Busoba/Mbale</v>
          </cell>
          <cell r="F1514">
            <v>972</v>
          </cell>
        </row>
        <row r="1515">
          <cell r="A1515" t="str">
            <v>Lukhonge</v>
          </cell>
          <cell r="B1515" t="str">
            <v>Mbale</v>
          </cell>
          <cell r="C1515" t="str">
            <v>Bungokho</v>
          </cell>
          <cell r="D1515" t="str">
            <v>Lukhonge</v>
          </cell>
          <cell r="F1515">
            <v>973</v>
          </cell>
        </row>
        <row r="1516">
          <cell r="A1516" t="str">
            <v>Lwasso</v>
          </cell>
          <cell r="B1516" t="str">
            <v>Mbale</v>
          </cell>
          <cell r="C1516" t="str">
            <v>Bungokho</v>
          </cell>
          <cell r="D1516" t="str">
            <v>Lwasso</v>
          </cell>
          <cell r="F1516">
            <v>974</v>
          </cell>
        </row>
        <row r="1517">
          <cell r="A1517" t="str">
            <v>Mbale Municipality</v>
          </cell>
          <cell r="B1517" t="str">
            <v>Mbale</v>
          </cell>
          <cell r="C1517" t="str">
            <v>Mbale Municipality</v>
          </cell>
          <cell r="D1517" t="str">
            <v>Mbale Municipality</v>
          </cell>
          <cell r="F1517">
            <v>975</v>
          </cell>
        </row>
        <row r="1518">
          <cell r="A1518" t="str">
            <v>Namakwekwe</v>
          </cell>
          <cell r="F1518">
            <v>975</v>
          </cell>
        </row>
        <row r="1519">
          <cell r="A1519" t="str">
            <v>MBALE TOWN</v>
          </cell>
          <cell r="F1519">
            <v>975</v>
          </cell>
        </row>
        <row r="1520">
          <cell r="A1520" t="str">
            <v>MALABA TC</v>
          </cell>
          <cell r="F1520">
            <v>975</v>
          </cell>
        </row>
        <row r="1521">
          <cell r="A1521" t="str">
            <v>Katundu</v>
          </cell>
          <cell r="F1521">
            <v>975</v>
          </cell>
        </row>
        <row r="1522">
          <cell r="A1522" t="str">
            <v>MBALE</v>
          </cell>
          <cell r="F1522">
            <v>975</v>
          </cell>
        </row>
        <row r="1523">
          <cell r="A1523" t="str">
            <v>Mable</v>
          </cell>
          <cell r="F1523">
            <v>975</v>
          </cell>
        </row>
        <row r="1524">
          <cell r="A1524" t="str">
            <v>Nabumali Town Council</v>
          </cell>
          <cell r="B1524" t="str">
            <v>Mbale</v>
          </cell>
          <cell r="C1524" t="str">
            <v>Bungokho</v>
          </cell>
          <cell r="D1524" t="str">
            <v>Nabumali Town Council</v>
          </cell>
          <cell r="F1524">
            <v>976</v>
          </cell>
        </row>
        <row r="1525">
          <cell r="A1525" t="str">
            <v xml:space="preserve">Nabumali  </v>
          </cell>
          <cell r="F1525">
            <v>976</v>
          </cell>
        </row>
        <row r="1526">
          <cell r="A1526" t="str">
            <v>Nabumali/Mbale</v>
          </cell>
        </row>
        <row r="1527">
          <cell r="A1527" t="str">
            <v>Nabumali</v>
          </cell>
          <cell r="F1527">
            <v>976</v>
          </cell>
        </row>
        <row r="1528">
          <cell r="A1528" t="str">
            <v>Nakaloke</v>
          </cell>
          <cell r="B1528" t="str">
            <v>Mbale</v>
          </cell>
          <cell r="C1528" t="str">
            <v>Bungokho</v>
          </cell>
          <cell r="D1528" t="str">
            <v>Nakaloke</v>
          </cell>
          <cell r="F1528">
            <v>977</v>
          </cell>
        </row>
        <row r="1529">
          <cell r="A1529" t="str">
            <v>Nakaloke Town Council</v>
          </cell>
          <cell r="B1529" t="str">
            <v>Mbale</v>
          </cell>
          <cell r="C1529" t="str">
            <v>Bungokho</v>
          </cell>
          <cell r="D1529" t="str">
            <v>Nakaloke Town Council</v>
          </cell>
          <cell r="F1529">
            <v>978</v>
          </cell>
        </row>
        <row r="1530">
          <cell r="A1530" t="str">
            <v>Nakaroke</v>
          </cell>
          <cell r="F1530">
            <v>978</v>
          </cell>
        </row>
        <row r="1531">
          <cell r="A1531" t="str">
            <v>Nakaloke/Mbale</v>
          </cell>
          <cell r="F1531">
            <v>978</v>
          </cell>
        </row>
        <row r="1532">
          <cell r="A1532" t="str">
            <v>Namanyonyi</v>
          </cell>
          <cell r="B1532" t="str">
            <v>Mbale</v>
          </cell>
          <cell r="C1532" t="str">
            <v>Bungokho</v>
          </cell>
          <cell r="D1532" t="str">
            <v>Namanyonyi</v>
          </cell>
          <cell r="F1532">
            <v>979</v>
          </cell>
        </row>
        <row r="1533">
          <cell r="A1533" t="str">
            <v>Bungoho</v>
          </cell>
          <cell r="F1533">
            <v>979</v>
          </cell>
        </row>
        <row r="1534">
          <cell r="A1534" t="str">
            <v>Nyondo</v>
          </cell>
          <cell r="B1534" t="str">
            <v>Mbale</v>
          </cell>
          <cell r="C1534" t="str">
            <v>Bungokho</v>
          </cell>
          <cell r="D1534" t="str">
            <v>Nyondo</v>
          </cell>
          <cell r="F1534">
            <v>980</v>
          </cell>
        </row>
        <row r="1535">
          <cell r="A1535" t="str">
            <v>Wanale</v>
          </cell>
          <cell r="B1535" t="str">
            <v>Mbale</v>
          </cell>
          <cell r="C1535" t="str">
            <v>Bungokho</v>
          </cell>
          <cell r="D1535" t="str">
            <v>Wanale</v>
          </cell>
          <cell r="F1535">
            <v>981</v>
          </cell>
        </row>
        <row r="1536">
          <cell r="A1536" t="str">
            <v>Bubaare-Mbarara</v>
          </cell>
          <cell r="B1536" t="str">
            <v>Mbarara</v>
          </cell>
          <cell r="C1536" t="str">
            <v>Kashari</v>
          </cell>
          <cell r="D1536" t="str">
            <v>Bubaare-Mbarara</v>
          </cell>
          <cell r="F1536">
            <v>982</v>
          </cell>
        </row>
        <row r="1537">
          <cell r="A1537" t="str">
            <v>Bugamba</v>
          </cell>
          <cell r="B1537" t="str">
            <v>Mbarara</v>
          </cell>
          <cell r="C1537" t="str">
            <v>Rwampara</v>
          </cell>
          <cell r="D1537" t="str">
            <v>Bugamba</v>
          </cell>
          <cell r="F1537">
            <v>983</v>
          </cell>
        </row>
        <row r="1538">
          <cell r="A1538" t="str">
            <v>Bukiro</v>
          </cell>
          <cell r="B1538" t="str">
            <v>Mbarara</v>
          </cell>
          <cell r="C1538" t="str">
            <v>Kashari</v>
          </cell>
          <cell r="D1538" t="str">
            <v>Bukiro</v>
          </cell>
          <cell r="F1538">
            <v>984</v>
          </cell>
        </row>
        <row r="1539">
          <cell r="A1539" t="str">
            <v>Kagongi</v>
          </cell>
          <cell r="B1539" t="str">
            <v>Mbarara</v>
          </cell>
          <cell r="C1539" t="str">
            <v>Kashari</v>
          </cell>
          <cell r="D1539" t="str">
            <v>Kagongi</v>
          </cell>
          <cell r="F1539">
            <v>985</v>
          </cell>
        </row>
        <row r="1540">
          <cell r="A1540" t="str">
            <v>Kashare</v>
          </cell>
          <cell r="B1540" t="str">
            <v>Mbarara</v>
          </cell>
          <cell r="C1540" t="str">
            <v>Kashari</v>
          </cell>
          <cell r="D1540" t="str">
            <v>Kashare</v>
          </cell>
          <cell r="F1540">
            <v>986</v>
          </cell>
        </row>
        <row r="1541">
          <cell r="A1541" t="str">
            <v>Mbarara Municipality</v>
          </cell>
          <cell r="B1541" t="str">
            <v>Mbarara</v>
          </cell>
          <cell r="C1541" t="str">
            <v>Mbarara Municipality</v>
          </cell>
          <cell r="D1541" t="str">
            <v>Mbarara Municipality</v>
          </cell>
          <cell r="F1541">
            <v>987</v>
          </cell>
        </row>
        <row r="1542">
          <cell r="A1542" t="str">
            <v>MABARARA</v>
          </cell>
          <cell r="F1542">
            <v>987</v>
          </cell>
        </row>
        <row r="1543">
          <cell r="A1543" t="str">
            <v xml:space="preserve">Mbarara   </v>
          </cell>
          <cell r="F1543">
            <v>987</v>
          </cell>
        </row>
        <row r="1544">
          <cell r="A1544" t="str">
            <v>MBARARA</v>
          </cell>
          <cell r="F1544">
            <v>987</v>
          </cell>
        </row>
        <row r="1545">
          <cell r="A1545" t="str">
            <v>MBARARA TOWN</v>
          </cell>
          <cell r="F1545">
            <v>987</v>
          </cell>
        </row>
        <row r="1546">
          <cell r="A1546" t="str">
            <v>kaguta road</v>
          </cell>
          <cell r="F1546">
            <v>987</v>
          </cell>
        </row>
        <row r="1547">
          <cell r="A1547" t="str">
            <v>Mwizi</v>
          </cell>
          <cell r="B1547" t="str">
            <v>Mbarara</v>
          </cell>
          <cell r="C1547" t="str">
            <v>Rwampara</v>
          </cell>
          <cell r="D1547" t="str">
            <v>Mwizi</v>
          </cell>
          <cell r="F1547">
            <v>988</v>
          </cell>
        </row>
        <row r="1548">
          <cell r="A1548" t="str">
            <v>RWAMPALA</v>
          </cell>
          <cell r="F1548">
            <v>988</v>
          </cell>
        </row>
        <row r="1549">
          <cell r="A1549" t="str">
            <v>Ndeija</v>
          </cell>
          <cell r="B1549" t="str">
            <v>Mbarara</v>
          </cell>
          <cell r="C1549" t="str">
            <v>Rwampara</v>
          </cell>
          <cell r="D1549" t="str">
            <v>Ndeija</v>
          </cell>
          <cell r="F1549">
            <v>989</v>
          </cell>
        </row>
        <row r="1550">
          <cell r="A1550" t="str">
            <v>Rubaya-Mbarara</v>
          </cell>
          <cell r="B1550" t="str">
            <v>Mbarara</v>
          </cell>
          <cell r="C1550" t="str">
            <v>Kashari</v>
          </cell>
          <cell r="D1550" t="str">
            <v>Rubaya-Mbarara</v>
          </cell>
          <cell r="F1550">
            <v>990</v>
          </cell>
        </row>
        <row r="1551">
          <cell r="A1551" t="str">
            <v>Rubindi</v>
          </cell>
          <cell r="B1551" t="str">
            <v>Mbarara</v>
          </cell>
          <cell r="C1551" t="str">
            <v>Kashari</v>
          </cell>
          <cell r="D1551" t="str">
            <v>Rubindi</v>
          </cell>
          <cell r="F1551">
            <v>991</v>
          </cell>
        </row>
        <row r="1552">
          <cell r="A1552" t="str">
            <v>Rugando</v>
          </cell>
          <cell r="B1552" t="str">
            <v>Mbarara</v>
          </cell>
          <cell r="C1552" t="str">
            <v>Rwampara</v>
          </cell>
          <cell r="D1552" t="str">
            <v>Rugando</v>
          </cell>
          <cell r="F1552">
            <v>992</v>
          </cell>
        </row>
        <row r="1553">
          <cell r="A1553" t="str">
            <v>Rwanyamahembe</v>
          </cell>
          <cell r="B1553" t="str">
            <v>Mbarara</v>
          </cell>
          <cell r="C1553" t="str">
            <v>Kashari</v>
          </cell>
          <cell r="D1553" t="str">
            <v>Rwanyamahembe</v>
          </cell>
          <cell r="F1553">
            <v>993</v>
          </cell>
        </row>
        <row r="1554">
          <cell r="A1554" t="str">
            <v>Bitereko</v>
          </cell>
          <cell r="B1554" t="str">
            <v>Mitooma</v>
          </cell>
          <cell r="C1554" t="str">
            <v>Ruhinda</v>
          </cell>
          <cell r="D1554" t="str">
            <v>Bitereko</v>
          </cell>
          <cell r="F1554">
            <v>994</v>
          </cell>
        </row>
        <row r="1555">
          <cell r="A1555" t="str">
            <v>Kabira</v>
          </cell>
          <cell r="B1555" t="str">
            <v>Mitooma</v>
          </cell>
          <cell r="C1555" t="str">
            <v>Ruhinda</v>
          </cell>
          <cell r="D1555" t="str">
            <v>Kabira</v>
          </cell>
          <cell r="F1555">
            <v>995</v>
          </cell>
        </row>
        <row r="1556">
          <cell r="A1556" t="str">
            <v>Kanyabwanga</v>
          </cell>
          <cell r="B1556" t="str">
            <v>Mitooma</v>
          </cell>
          <cell r="C1556" t="str">
            <v>Ruhinda</v>
          </cell>
          <cell r="D1556" t="str">
            <v>Kanyabwanga</v>
          </cell>
          <cell r="F1556">
            <v>996</v>
          </cell>
        </row>
        <row r="1557">
          <cell r="A1557" t="str">
            <v>Kashenshero</v>
          </cell>
          <cell r="B1557" t="str">
            <v>Mitooma</v>
          </cell>
          <cell r="C1557" t="str">
            <v>Ruhinda</v>
          </cell>
          <cell r="D1557" t="str">
            <v>Kashenshero</v>
          </cell>
          <cell r="F1557">
            <v>997</v>
          </cell>
        </row>
        <row r="1558">
          <cell r="A1558" t="str">
            <v>Kashenshero Town Council</v>
          </cell>
          <cell r="B1558" t="str">
            <v>Mitooma</v>
          </cell>
          <cell r="C1558" t="str">
            <v>Ruhinda</v>
          </cell>
          <cell r="D1558" t="str">
            <v>Kashenshero Town Council</v>
          </cell>
          <cell r="F1558">
            <v>998</v>
          </cell>
        </row>
        <row r="1559">
          <cell r="A1559" t="str">
            <v>Katenga</v>
          </cell>
          <cell r="B1559" t="str">
            <v>Mitooma</v>
          </cell>
          <cell r="C1559" t="str">
            <v>Ruhinda</v>
          </cell>
          <cell r="D1559" t="str">
            <v>Katenga</v>
          </cell>
          <cell r="F1559">
            <v>999</v>
          </cell>
        </row>
        <row r="1560">
          <cell r="A1560" t="str">
            <v>Kiyanga</v>
          </cell>
          <cell r="B1560" t="str">
            <v>Mitooma</v>
          </cell>
          <cell r="C1560" t="str">
            <v>Ruhinda</v>
          </cell>
          <cell r="D1560" t="str">
            <v>Kiyanga</v>
          </cell>
          <cell r="F1560">
            <v>1000</v>
          </cell>
        </row>
        <row r="1561">
          <cell r="A1561" t="str">
            <v>Mayanga</v>
          </cell>
          <cell r="B1561" t="str">
            <v>Mitooma</v>
          </cell>
          <cell r="C1561" t="str">
            <v>Ruhinda</v>
          </cell>
          <cell r="D1561" t="str">
            <v>Mayanga</v>
          </cell>
          <cell r="F1561">
            <v>1001</v>
          </cell>
        </row>
        <row r="1562">
          <cell r="A1562" t="str">
            <v>Mitooma</v>
          </cell>
          <cell r="B1562" t="str">
            <v>Mitooma</v>
          </cell>
          <cell r="C1562" t="str">
            <v>Ruhinda</v>
          </cell>
          <cell r="D1562" t="str">
            <v>Mitooma</v>
          </cell>
          <cell r="F1562">
            <v>1002</v>
          </cell>
        </row>
        <row r="1563">
          <cell r="A1563" t="str">
            <v>Mitooma Town Council</v>
          </cell>
          <cell r="B1563" t="str">
            <v>Mitooma</v>
          </cell>
          <cell r="C1563" t="str">
            <v>Ruhinda</v>
          </cell>
          <cell r="D1563" t="str">
            <v>Mitooma Town Council</v>
          </cell>
          <cell r="F1563">
            <v>1003</v>
          </cell>
        </row>
        <row r="1564">
          <cell r="A1564" t="str">
            <v>Mutara</v>
          </cell>
          <cell r="B1564" t="str">
            <v>Mitooma</v>
          </cell>
          <cell r="C1564" t="str">
            <v>Ruhinda</v>
          </cell>
          <cell r="D1564" t="str">
            <v>Mutara</v>
          </cell>
          <cell r="F1564">
            <v>1004</v>
          </cell>
        </row>
        <row r="1565">
          <cell r="A1565" t="str">
            <v>Rurehe</v>
          </cell>
          <cell r="B1565" t="str">
            <v>Mitooma</v>
          </cell>
          <cell r="C1565" t="str">
            <v>Ruhinda</v>
          </cell>
          <cell r="D1565" t="str">
            <v>Rurehe</v>
          </cell>
          <cell r="F1565">
            <v>1005</v>
          </cell>
        </row>
        <row r="1566">
          <cell r="A1566" t="str">
            <v>Bbanda</v>
          </cell>
          <cell r="B1566" t="str">
            <v>Mityana</v>
          </cell>
          <cell r="C1566" t="str">
            <v>Busujju</v>
          </cell>
          <cell r="D1566" t="str">
            <v>Bbanda</v>
          </cell>
          <cell r="F1566">
            <v>1006</v>
          </cell>
        </row>
        <row r="1567">
          <cell r="A1567" t="str">
            <v>Bulera</v>
          </cell>
          <cell r="B1567" t="str">
            <v>Mityana</v>
          </cell>
          <cell r="C1567" t="str">
            <v>Mityana</v>
          </cell>
          <cell r="D1567" t="str">
            <v>Bulera</v>
          </cell>
          <cell r="F1567">
            <v>1007</v>
          </cell>
        </row>
        <row r="1568">
          <cell r="A1568" t="str">
            <v>Busimbi Division</v>
          </cell>
          <cell r="B1568" t="str">
            <v>Mityana</v>
          </cell>
          <cell r="C1568" t="str">
            <v>Mityana Municipality</v>
          </cell>
          <cell r="D1568" t="str">
            <v>Busimbi Division</v>
          </cell>
          <cell r="F1568">
            <v>1008</v>
          </cell>
        </row>
        <row r="1569">
          <cell r="A1569" t="str">
            <v>TANDA</v>
          </cell>
          <cell r="F1569">
            <v>1008</v>
          </cell>
        </row>
        <row r="1570">
          <cell r="A1570" t="str">
            <v>Busunju Town Council</v>
          </cell>
          <cell r="B1570" t="str">
            <v>Mityana</v>
          </cell>
          <cell r="C1570" t="str">
            <v>Mityana</v>
          </cell>
          <cell r="D1570" t="str">
            <v>Busunju Town Council</v>
          </cell>
          <cell r="F1570">
            <v>1009</v>
          </cell>
        </row>
        <row r="1571">
          <cell r="A1571" t="str">
            <v>RAMATA</v>
          </cell>
          <cell r="F1571">
            <v>1009</v>
          </cell>
        </row>
        <row r="1572">
          <cell r="A1572" t="str">
            <v>BUSUNJU</v>
          </cell>
          <cell r="F1572">
            <v>1009</v>
          </cell>
        </row>
        <row r="1573">
          <cell r="A1573" t="str">
            <v>BUSUJJU</v>
          </cell>
          <cell r="F1573">
            <v>1009</v>
          </cell>
        </row>
        <row r="1574">
          <cell r="A1574" t="str">
            <v>BUSUNJJU</v>
          </cell>
          <cell r="F1574">
            <v>1009</v>
          </cell>
        </row>
        <row r="1575">
          <cell r="A1575" t="str">
            <v>Butayunja</v>
          </cell>
          <cell r="B1575" t="str">
            <v>Mityana</v>
          </cell>
          <cell r="C1575" t="str">
            <v>Busujju</v>
          </cell>
          <cell r="D1575" t="str">
            <v>Butayunja</v>
          </cell>
          <cell r="F1575">
            <v>1010</v>
          </cell>
        </row>
        <row r="1576">
          <cell r="A1576" t="str">
            <v>Kakindu</v>
          </cell>
          <cell r="B1576" t="str">
            <v>Mityana</v>
          </cell>
          <cell r="C1576" t="str">
            <v>Busujju</v>
          </cell>
          <cell r="D1576" t="str">
            <v>Kakindu</v>
          </cell>
          <cell r="F1576">
            <v>1011</v>
          </cell>
        </row>
        <row r="1577">
          <cell r="A1577" t="str">
            <v>Kalangaalo</v>
          </cell>
          <cell r="B1577" t="str">
            <v>Mityana</v>
          </cell>
          <cell r="C1577" t="str">
            <v>Mityana</v>
          </cell>
          <cell r="D1577" t="str">
            <v>Kalangaalo</v>
          </cell>
          <cell r="F1577">
            <v>1012</v>
          </cell>
        </row>
        <row r="1578">
          <cell r="A1578" t="str">
            <v>Kikandwa</v>
          </cell>
          <cell r="B1578" t="str">
            <v>Mityana</v>
          </cell>
          <cell r="C1578" t="str">
            <v>Mityana</v>
          </cell>
          <cell r="D1578" t="str">
            <v>Kikandwa</v>
          </cell>
          <cell r="F1578">
            <v>1013</v>
          </cell>
        </row>
        <row r="1579">
          <cell r="A1579" t="str">
            <v>NAKWAYA</v>
          </cell>
          <cell r="F1579">
            <v>1013</v>
          </cell>
        </row>
        <row r="1580">
          <cell r="A1580" t="str">
            <v>Maanyi</v>
          </cell>
          <cell r="B1580" t="str">
            <v>Mityana</v>
          </cell>
          <cell r="C1580" t="str">
            <v>Busujju</v>
          </cell>
          <cell r="D1580" t="str">
            <v>Maanyi</v>
          </cell>
          <cell r="F1580">
            <v>1014</v>
          </cell>
        </row>
        <row r="1581">
          <cell r="A1581" t="str">
            <v>Malangala</v>
          </cell>
          <cell r="B1581" t="str">
            <v>Mityana</v>
          </cell>
          <cell r="C1581" t="str">
            <v>Busujju</v>
          </cell>
          <cell r="D1581" t="str">
            <v>Malangala</v>
          </cell>
          <cell r="F1581">
            <v>1015</v>
          </cell>
        </row>
        <row r="1582">
          <cell r="A1582" t="str">
            <v>KIWAWU</v>
          </cell>
          <cell r="F1582">
            <v>1015</v>
          </cell>
        </row>
        <row r="1583">
          <cell r="A1583" t="str">
            <v>Mityana Municipality</v>
          </cell>
          <cell r="B1583" t="str">
            <v>Mityana</v>
          </cell>
          <cell r="C1583" t="str">
            <v>Mityana Municipality</v>
          </cell>
          <cell r="D1583" t="str">
            <v>Mityana Municipality</v>
          </cell>
          <cell r="F1583">
            <v>1016</v>
          </cell>
        </row>
        <row r="1584">
          <cell r="A1584" t="str">
            <v>MIITYANA TOWN</v>
          </cell>
          <cell r="F1584">
            <v>1016</v>
          </cell>
        </row>
        <row r="1585">
          <cell r="A1585" t="str">
            <v>NAAMA</v>
          </cell>
          <cell r="F1585">
            <v>1016</v>
          </cell>
        </row>
        <row r="1586">
          <cell r="A1586" t="str">
            <v>MITYANA TOWN</v>
          </cell>
          <cell r="F1586">
            <v>1016</v>
          </cell>
        </row>
        <row r="1587">
          <cell r="A1587" t="str">
            <v>MITYANA</v>
          </cell>
          <cell r="F1587">
            <v>1016</v>
          </cell>
        </row>
        <row r="1588">
          <cell r="A1588" t="str">
            <v xml:space="preserve">Mityana  </v>
          </cell>
          <cell r="F1588">
            <v>1016</v>
          </cell>
        </row>
        <row r="1589">
          <cell r="A1589" t="str">
            <v>BUWALULA</v>
          </cell>
          <cell r="F1589">
            <v>1016</v>
          </cell>
        </row>
        <row r="1590">
          <cell r="A1590" t="str">
            <v>BUWALURA</v>
          </cell>
          <cell r="F1590">
            <v>1016</v>
          </cell>
        </row>
        <row r="1591">
          <cell r="A1591" t="str">
            <v>MALUBE</v>
          </cell>
          <cell r="F1591">
            <v>1016</v>
          </cell>
        </row>
        <row r="1592">
          <cell r="A1592" t="str">
            <v>Namungo</v>
          </cell>
          <cell r="B1592" t="str">
            <v>Mityana</v>
          </cell>
          <cell r="C1592" t="str">
            <v>Mityana</v>
          </cell>
          <cell r="D1592" t="str">
            <v>Namungo</v>
          </cell>
          <cell r="F1592">
            <v>1017</v>
          </cell>
        </row>
        <row r="1593">
          <cell r="A1593" t="str">
            <v>Ssekanyonyi</v>
          </cell>
          <cell r="B1593" t="str">
            <v>Mityana</v>
          </cell>
          <cell r="C1593" t="str">
            <v>Mityana</v>
          </cell>
          <cell r="D1593" t="str">
            <v>Ssekanyonyi</v>
          </cell>
          <cell r="F1593">
            <v>1018</v>
          </cell>
        </row>
        <row r="1594">
          <cell r="A1594" t="str">
            <v>ZIGOTI</v>
          </cell>
          <cell r="F1594">
            <v>1018</v>
          </cell>
        </row>
        <row r="1595">
          <cell r="A1595" t="str">
            <v xml:space="preserve">Kibwa   </v>
          </cell>
          <cell r="F1595">
            <v>1018</v>
          </cell>
        </row>
        <row r="1596">
          <cell r="A1596" t="str">
            <v>JEZA</v>
          </cell>
          <cell r="F1596">
            <v>1018</v>
          </cell>
        </row>
        <row r="1597">
          <cell r="A1597" t="str">
            <v>Katikekile</v>
          </cell>
          <cell r="B1597" t="str">
            <v>Moroto</v>
          </cell>
          <cell r="C1597" t="str">
            <v>Matheniko</v>
          </cell>
          <cell r="D1597" t="str">
            <v>Katikekile</v>
          </cell>
          <cell r="F1597">
            <v>1019</v>
          </cell>
        </row>
        <row r="1598">
          <cell r="A1598" t="str">
            <v>Moroto Municipality</v>
          </cell>
          <cell r="B1598" t="str">
            <v>Moroto</v>
          </cell>
          <cell r="C1598" t="str">
            <v>Moroto Municipality</v>
          </cell>
          <cell r="D1598" t="str">
            <v>Moroto Municipality</v>
          </cell>
          <cell r="F1598">
            <v>1020</v>
          </cell>
        </row>
        <row r="1599">
          <cell r="A1599" t="str">
            <v>MOROTO</v>
          </cell>
          <cell r="F1599">
            <v>1020</v>
          </cell>
        </row>
        <row r="1600">
          <cell r="A1600" t="str">
            <v>Nadunget</v>
          </cell>
          <cell r="B1600" t="str">
            <v>Moroto</v>
          </cell>
          <cell r="C1600" t="str">
            <v>Matheniko</v>
          </cell>
          <cell r="D1600" t="str">
            <v>Nadunget</v>
          </cell>
          <cell r="F1600">
            <v>1021</v>
          </cell>
        </row>
        <row r="1601">
          <cell r="A1601" t="str">
            <v>Rupa</v>
          </cell>
          <cell r="B1601" t="str">
            <v>Moroto</v>
          </cell>
          <cell r="C1601" t="str">
            <v>Matheniko</v>
          </cell>
          <cell r="D1601" t="str">
            <v>Rupa</v>
          </cell>
          <cell r="F1601">
            <v>1022</v>
          </cell>
        </row>
        <row r="1602">
          <cell r="A1602" t="str">
            <v>Karamoja</v>
          </cell>
          <cell r="F1602">
            <v>1022</v>
          </cell>
        </row>
        <row r="1603">
          <cell r="A1603" t="str">
            <v>Tapac</v>
          </cell>
          <cell r="B1603" t="str">
            <v>Moroto</v>
          </cell>
          <cell r="C1603" t="str">
            <v>Matheniko</v>
          </cell>
          <cell r="D1603" t="str">
            <v>Tapac</v>
          </cell>
          <cell r="F1603">
            <v>1023</v>
          </cell>
        </row>
        <row r="1604">
          <cell r="A1604" t="str">
            <v>Aliba</v>
          </cell>
          <cell r="B1604" t="str">
            <v>Moyo</v>
          </cell>
          <cell r="C1604" t="str">
            <v>Obongi</v>
          </cell>
          <cell r="D1604" t="str">
            <v>Aliba</v>
          </cell>
          <cell r="F1604">
            <v>1024</v>
          </cell>
        </row>
        <row r="1605">
          <cell r="A1605" t="str">
            <v>Difule</v>
          </cell>
          <cell r="B1605" t="str">
            <v>Moyo</v>
          </cell>
          <cell r="C1605" t="str">
            <v>West Moyo</v>
          </cell>
          <cell r="D1605" t="str">
            <v>Difule</v>
          </cell>
          <cell r="F1605">
            <v>1025</v>
          </cell>
        </row>
        <row r="1606">
          <cell r="A1606" t="str">
            <v>Gimara</v>
          </cell>
          <cell r="B1606" t="str">
            <v>Moyo</v>
          </cell>
          <cell r="C1606" t="str">
            <v>Obongi</v>
          </cell>
          <cell r="D1606" t="str">
            <v>Gimara</v>
          </cell>
          <cell r="F1606">
            <v>1026</v>
          </cell>
        </row>
        <row r="1607">
          <cell r="A1607" t="str">
            <v>Itula</v>
          </cell>
          <cell r="B1607" t="str">
            <v>Moyo</v>
          </cell>
          <cell r="C1607" t="str">
            <v>Obongi</v>
          </cell>
          <cell r="D1607" t="str">
            <v>Itula</v>
          </cell>
          <cell r="F1607">
            <v>1027</v>
          </cell>
        </row>
        <row r="1608">
          <cell r="A1608" t="str">
            <v>Laropi</v>
          </cell>
          <cell r="B1608" t="str">
            <v>Moyo</v>
          </cell>
          <cell r="C1608" t="str">
            <v>West Moyo</v>
          </cell>
          <cell r="D1608" t="str">
            <v>Laropi</v>
          </cell>
          <cell r="F1608">
            <v>1028</v>
          </cell>
        </row>
        <row r="1609">
          <cell r="A1609" t="str">
            <v>Lefori</v>
          </cell>
          <cell r="B1609" t="str">
            <v>Moyo</v>
          </cell>
          <cell r="C1609" t="str">
            <v>West Moyo</v>
          </cell>
          <cell r="D1609" t="str">
            <v>Lefori</v>
          </cell>
          <cell r="F1609">
            <v>1029</v>
          </cell>
        </row>
        <row r="1610">
          <cell r="A1610" t="str">
            <v>Metu</v>
          </cell>
          <cell r="B1610" t="str">
            <v>Moyo</v>
          </cell>
          <cell r="C1610" t="str">
            <v>West Moyo</v>
          </cell>
          <cell r="D1610" t="str">
            <v>Metu</v>
          </cell>
          <cell r="F1610">
            <v>1030</v>
          </cell>
        </row>
        <row r="1611">
          <cell r="A1611" t="str">
            <v>Moyo</v>
          </cell>
          <cell r="B1611" t="str">
            <v>Moyo</v>
          </cell>
          <cell r="C1611" t="str">
            <v>West Moyo</v>
          </cell>
          <cell r="D1611" t="str">
            <v>Moyo</v>
          </cell>
          <cell r="F1611">
            <v>1031</v>
          </cell>
        </row>
        <row r="1612">
          <cell r="A1612" t="str">
            <v>Moyo Town Council</v>
          </cell>
          <cell r="B1612" t="str">
            <v>Moyo</v>
          </cell>
          <cell r="C1612" t="str">
            <v>West Moyo</v>
          </cell>
          <cell r="D1612" t="str">
            <v>Moyo Town Council</v>
          </cell>
          <cell r="F1612">
            <v>1032</v>
          </cell>
        </row>
        <row r="1613">
          <cell r="A1613" t="str">
            <v>Buwama</v>
          </cell>
          <cell r="B1613" t="str">
            <v>Mpigi</v>
          </cell>
          <cell r="C1613" t="str">
            <v>Mawokota</v>
          </cell>
          <cell r="D1613" t="str">
            <v>Buwama</v>
          </cell>
          <cell r="F1613">
            <v>1033</v>
          </cell>
        </row>
        <row r="1614">
          <cell r="A1614" t="str">
            <v>MITALA-MARIA</v>
          </cell>
          <cell r="F1614">
            <v>1033</v>
          </cell>
        </row>
        <row r="1615">
          <cell r="A1615" t="str">
            <v>Kammengo</v>
          </cell>
          <cell r="B1615" t="str">
            <v>Mpigi</v>
          </cell>
          <cell r="C1615" t="str">
            <v>Mawokota</v>
          </cell>
          <cell r="D1615" t="str">
            <v>Kammengo</v>
          </cell>
          <cell r="F1615">
            <v>1034</v>
          </cell>
        </row>
        <row r="1616">
          <cell r="A1616" t="str">
            <v>KAMENGO</v>
          </cell>
          <cell r="F1616">
            <v>1034</v>
          </cell>
        </row>
        <row r="1617">
          <cell r="A1617" t="str">
            <v>MAWOKOTA</v>
          </cell>
          <cell r="F1617">
            <v>1034</v>
          </cell>
        </row>
        <row r="1618">
          <cell r="A1618" t="str">
            <v>KATABA</v>
          </cell>
          <cell r="F1618">
            <v>1034</v>
          </cell>
        </row>
        <row r="1619">
          <cell r="A1619" t="str">
            <v>KABUYE</v>
          </cell>
          <cell r="F1619">
            <v>1034</v>
          </cell>
        </row>
        <row r="1620">
          <cell r="A1620" t="str">
            <v>KABASANDA</v>
          </cell>
          <cell r="F1620">
            <v>1034</v>
          </cell>
        </row>
        <row r="1621">
          <cell r="A1621" t="str">
            <v>Mbampela</v>
          </cell>
          <cell r="F1621">
            <v>1034</v>
          </cell>
        </row>
        <row r="1622">
          <cell r="A1622" t="str">
            <v>Mpambile</v>
          </cell>
          <cell r="F1622">
            <v>1034</v>
          </cell>
        </row>
        <row r="1623">
          <cell r="A1623" t="str">
            <v>Buwama</v>
          </cell>
          <cell r="F1623">
            <v>1034</v>
          </cell>
        </row>
        <row r="1624">
          <cell r="A1624" t="str">
            <v>Mitala</v>
          </cell>
          <cell r="F1624">
            <v>1034</v>
          </cell>
        </row>
        <row r="1625">
          <cell r="A1625" t="str">
            <v>BUWANA</v>
          </cell>
          <cell r="F1625">
            <v>1034</v>
          </cell>
        </row>
        <row r="1626">
          <cell r="A1626" t="str">
            <v>Kiringente</v>
          </cell>
          <cell r="B1626" t="str">
            <v>Mpigi</v>
          </cell>
          <cell r="C1626" t="str">
            <v>Mawokota</v>
          </cell>
          <cell r="D1626" t="str">
            <v>Kiringente</v>
          </cell>
          <cell r="F1626">
            <v>1035</v>
          </cell>
        </row>
        <row r="1627">
          <cell r="A1627" t="str">
            <v>Nakilebe</v>
          </cell>
          <cell r="F1627">
            <v>1035</v>
          </cell>
        </row>
        <row r="1628">
          <cell r="A1628" t="str">
            <v>KAGGABA</v>
          </cell>
          <cell r="F1628">
            <v>1035</v>
          </cell>
        </row>
        <row r="1629">
          <cell r="A1629" t="str">
            <v>Mabanga</v>
          </cell>
          <cell r="F1629">
            <v>1035</v>
          </cell>
        </row>
        <row r="1630">
          <cell r="A1630" t="str">
            <v>NAKIREBE</v>
          </cell>
          <cell r="F1630">
            <v>1035</v>
          </cell>
        </row>
        <row r="1631">
          <cell r="A1631" t="str">
            <v>Kituntu</v>
          </cell>
          <cell r="B1631" t="str">
            <v>Mpigi</v>
          </cell>
          <cell r="C1631" t="str">
            <v>Mawokota</v>
          </cell>
          <cell r="D1631" t="str">
            <v>Kituntu</v>
          </cell>
          <cell r="F1631">
            <v>1036</v>
          </cell>
        </row>
        <row r="1632">
          <cell r="A1632" t="str">
            <v>Mpigi Town Council</v>
          </cell>
          <cell r="B1632" t="str">
            <v>Mpigi</v>
          </cell>
          <cell r="C1632" t="str">
            <v>Mawokota</v>
          </cell>
          <cell r="D1632" t="str">
            <v>Mpigi Town Council</v>
          </cell>
          <cell r="F1632">
            <v>1037</v>
          </cell>
        </row>
        <row r="1633">
          <cell r="A1633" t="str">
            <v>Lungala</v>
          </cell>
          <cell r="F1633">
            <v>1037</v>
          </cell>
        </row>
        <row r="1634">
          <cell r="A1634" t="str">
            <v>Mpigi park</v>
          </cell>
          <cell r="F1634">
            <v>1037</v>
          </cell>
        </row>
        <row r="1635">
          <cell r="A1635" t="str">
            <v>Mpigi taxi park</v>
          </cell>
          <cell r="F1635">
            <v>1037</v>
          </cell>
        </row>
        <row r="1636">
          <cell r="A1636" t="str">
            <v>NANONO</v>
          </cell>
          <cell r="F1636">
            <v>1037</v>
          </cell>
        </row>
        <row r="1637">
          <cell r="A1637" t="str">
            <v>KWATA</v>
          </cell>
          <cell r="F1637">
            <v>1037</v>
          </cell>
        </row>
        <row r="1638">
          <cell r="A1638" t="str">
            <v>GORI</v>
          </cell>
          <cell r="F1638">
            <v>1037</v>
          </cell>
        </row>
        <row r="1639">
          <cell r="A1639" t="str">
            <v>MPIGI TOWN</v>
          </cell>
          <cell r="F1639">
            <v>1037</v>
          </cell>
        </row>
        <row r="1640">
          <cell r="A1640" t="str">
            <v>MPIGI</v>
          </cell>
          <cell r="F1640">
            <v>1037</v>
          </cell>
        </row>
        <row r="1641">
          <cell r="A1641" t="str">
            <v>KAYABWE</v>
          </cell>
          <cell r="F1641">
            <v>1037</v>
          </cell>
        </row>
        <row r="1642">
          <cell r="A1642" t="str">
            <v>Kayambwe</v>
          </cell>
          <cell r="F1642">
            <v>1037</v>
          </cell>
        </row>
        <row r="1643">
          <cell r="A1643" t="str">
            <v>NABUSANKE</v>
          </cell>
          <cell r="F1643">
            <v>1037</v>
          </cell>
        </row>
        <row r="1644">
          <cell r="A1644" t="str">
            <v>Muduuma</v>
          </cell>
          <cell r="B1644" t="str">
            <v>Mpigi</v>
          </cell>
          <cell r="C1644" t="str">
            <v>Mawokota</v>
          </cell>
          <cell r="D1644" t="str">
            <v>Muduuma</v>
          </cell>
          <cell r="F1644">
            <v>1038</v>
          </cell>
        </row>
        <row r="1645">
          <cell r="A1645" t="str">
            <v>NAKUWANDDE</v>
          </cell>
          <cell r="F1645">
            <v>1038</v>
          </cell>
        </row>
        <row r="1646">
          <cell r="A1646" t="str">
            <v>MUDDUMA</v>
          </cell>
          <cell r="F1646">
            <v>1038</v>
          </cell>
        </row>
        <row r="1647">
          <cell r="A1647" t="str">
            <v>Nkozi</v>
          </cell>
          <cell r="B1647" t="str">
            <v>Mpigi</v>
          </cell>
          <cell r="C1647" t="str">
            <v>Mawokota</v>
          </cell>
          <cell r="D1647" t="str">
            <v>Nkozi</v>
          </cell>
          <cell r="F1647">
            <v>1039</v>
          </cell>
        </row>
        <row r="1648">
          <cell r="A1648" t="str">
            <v>Bagezza</v>
          </cell>
          <cell r="B1648" t="str">
            <v>Mubende</v>
          </cell>
          <cell r="C1648" t="str">
            <v>Kasambya</v>
          </cell>
          <cell r="D1648" t="str">
            <v>Bagezza</v>
          </cell>
          <cell r="F1648">
            <v>1040</v>
          </cell>
        </row>
        <row r="1649">
          <cell r="A1649" t="str">
            <v>Bukuya</v>
          </cell>
          <cell r="B1649" t="str">
            <v>Mubende</v>
          </cell>
          <cell r="C1649" t="str">
            <v>Kassanda</v>
          </cell>
          <cell r="D1649" t="str">
            <v>Bukuya</v>
          </cell>
          <cell r="F1649">
            <v>1041</v>
          </cell>
        </row>
        <row r="1650">
          <cell r="A1650" t="str">
            <v>Butoloogo</v>
          </cell>
          <cell r="B1650" t="str">
            <v>Mubende</v>
          </cell>
          <cell r="C1650" t="str">
            <v>Buwekula</v>
          </cell>
          <cell r="D1650" t="str">
            <v>Butoloogo</v>
          </cell>
          <cell r="F1650">
            <v>1042</v>
          </cell>
        </row>
        <row r="1651">
          <cell r="A1651" t="str">
            <v>Bwekula</v>
          </cell>
          <cell r="F1651">
            <v>1042</v>
          </cell>
        </row>
        <row r="1652">
          <cell r="A1652" t="str">
            <v>Kalwana</v>
          </cell>
          <cell r="B1652" t="str">
            <v>Mubende</v>
          </cell>
          <cell r="C1652" t="str">
            <v>Kassanda</v>
          </cell>
          <cell r="D1652" t="str">
            <v>Kalwana</v>
          </cell>
          <cell r="F1652">
            <v>1043</v>
          </cell>
        </row>
        <row r="1653">
          <cell r="A1653" t="str">
            <v>Kasambya-Mubende</v>
          </cell>
          <cell r="B1653" t="str">
            <v>Mubende</v>
          </cell>
          <cell r="C1653" t="str">
            <v>Kasambya</v>
          </cell>
          <cell r="D1653" t="str">
            <v>Kasambya-Mubende</v>
          </cell>
          <cell r="F1653">
            <v>1044</v>
          </cell>
        </row>
        <row r="1654">
          <cell r="A1654" t="str">
            <v>Kassanda</v>
          </cell>
          <cell r="B1654" t="str">
            <v>Mubende</v>
          </cell>
          <cell r="C1654" t="str">
            <v>Kassanda</v>
          </cell>
          <cell r="D1654" t="str">
            <v>Kassanda</v>
          </cell>
          <cell r="F1654">
            <v>1045</v>
          </cell>
        </row>
        <row r="1655">
          <cell r="A1655" t="str">
            <v>Kibalinga</v>
          </cell>
          <cell r="B1655" t="str">
            <v>Mubende</v>
          </cell>
          <cell r="C1655" t="str">
            <v>Kasambya</v>
          </cell>
          <cell r="D1655" t="str">
            <v>Kibalinga</v>
          </cell>
          <cell r="F1655">
            <v>1046</v>
          </cell>
        </row>
        <row r="1656">
          <cell r="A1656" t="str">
            <v>Kiganda</v>
          </cell>
          <cell r="B1656" t="str">
            <v>Mubende</v>
          </cell>
          <cell r="C1656" t="str">
            <v>Kassanda</v>
          </cell>
          <cell r="D1656" t="str">
            <v>Kiganda</v>
          </cell>
          <cell r="F1656">
            <v>1047</v>
          </cell>
        </row>
        <row r="1657">
          <cell r="A1657" t="str">
            <v>Kigando</v>
          </cell>
          <cell r="B1657" t="str">
            <v>Mubende</v>
          </cell>
          <cell r="C1657" t="str">
            <v>Kasambya</v>
          </cell>
          <cell r="D1657" t="str">
            <v>Kigando</v>
          </cell>
          <cell r="F1657">
            <v>1048</v>
          </cell>
        </row>
        <row r="1658">
          <cell r="A1658" t="str">
            <v>Kitenga</v>
          </cell>
          <cell r="B1658" t="str">
            <v>Mubende</v>
          </cell>
          <cell r="C1658" t="str">
            <v>Buwekula</v>
          </cell>
          <cell r="D1658" t="str">
            <v>Kitenga</v>
          </cell>
          <cell r="F1658">
            <v>1049</v>
          </cell>
        </row>
        <row r="1659">
          <cell r="A1659" t="str">
            <v>KIWUMULO</v>
          </cell>
          <cell r="F1659">
            <v>1049</v>
          </cell>
        </row>
        <row r="1660">
          <cell r="A1660" t="str">
            <v>Kasanda</v>
          </cell>
          <cell r="F1660">
            <v>1049</v>
          </cell>
        </row>
        <row r="1661">
          <cell r="A1661" t="str">
            <v>KASANDA TOWN</v>
          </cell>
          <cell r="F1661">
            <v>1049</v>
          </cell>
        </row>
        <row r="1662">
          <cell r="A1662" t="str">
            <v>Kitumbi</v>
          </cell>
          <cell r="B1662" t="str">
            <v>Mubende</v>
          </cell>
          <cell r="C1662" t="str">
            <v>Kassanda</v>
          </cell>
          <cell r="D1662" t="str">
            <v>Kitumbi</v>
          </cell>
          <cell r="F1662">
            <v>1050</v>
          </cell>
        </row>
        <row r="1663">
          <cell r="A1663" t="str">
            <v>Kiyuni</v>
          </cell>
          <cell r="B1663" t="str">
            <v>Mubende</v>
          </cell>
          <cell r="C1663" t="str">
            <v>Buwekula</v>
          </cell>
          <cell r="D1663" t="str">
            <v>Kiyuni</v>
          </cell>
          <cell r="F1663">
            <v>1051</v>
          </cell>
        </row>
        <row r="1664">
          <cell r="A1664" t="str">
            <v>Madudu</v>
          </cell>
          <cell r="B1664" t="str">
            <v>Mubende</v>
          </cell>
          <cell r="C1664" t="str">
            <v>Buwekula</v>
          </cell>
          <cell r="D1664" t="str">
            <v>Madudu</v>
          </cell>
          <cell r="F1664">
            <v>1052</v>
          </cell>
        </row>
        <row r="1665">
          <cell r="A1665" t="str">
            <v>Makokoto</v>
          </cell>
          <cell r="B1665" t="str">
            <v>Mubende</v>
          </cell>
          <cell r="C1665" t="str">
            <v>Kassanda</v>
          </cell>
          <cell r="D1665" t="str">
            <v>Makokoto</v>
          </cell>
          <cell r="F1665">
            <v>1053</v>
          </cell>
        </row>
        <row r="1666">
          <cell r="A1666" t="str">
            <v>Manyogaseka</v>
          </cell>
          <cell r="B1666" t="str">
            <v>Mubende</v>
          </cell>
          <cell r="C1666" t="str">
            <v>Kassanda</v>
          </cell>
          <cell r="D1666" t="str">
            <v>Manyogaseka</v>
          </cell>
          <cell r="F1666">
            <v>1054</v>
          </cell>
        </row>
        <row r="1667">
          <cell r="A1667" t="str">
            <v>Mubende Municipality</v>
          </cell>
          <cell r="B1667" t="str">
            <v>Mubende</v>
          </cell>
          <cell r="C1667" t="str">
            <v>Mubende Municipality</v>
          </cell>
          <cell r="D1667" t="str">
            <v>Mubende Municipality</v>
          </cell>
          <cell r="F1667">
            <v>1055</v>
          </cell>
        </row>
        <row r="1668">
          <cell r="A1668" t="str">
            <v xml:space="preserve">Mubende  </v>
          </cell>
          <cell r="F1668">
            <v>1055</v>
          </cell>
        </row>
        <row r="1669">
          <cell r="A1669" t="str">
            <v>MUBENDE</v>
          </cell>
          <cell r="F1669">
            <v>1055</v>
          </cell>
        </row>
        <row r="1670">
          <cell r="A1670" t="str">
            <v>KALANGALO</v>
          </cell>
          <cell r="F1670">
            <v>1055</v>
          </cell>
        </row>
        <row r="1671">
          <cell r="A1671" t="str">
            <v>MUBENDE TOWN</v>
          </cell>
          <cell r="F1671">
            <v>1055</v>
          </cell>
        </row>
        <row r="1672">
          <cell r="A1672" t="str">
            <v>Myanzi</v>
          </cell>
          <cell r="B1672" t="str">
            <v>Mubende</v>
          </cell>
          <cell r="C1672" t="str">
            <v>Kassanda</v>
          </cell>
          <cell r="D1672" t="str">
            <v>Myanzi</v>
          </cell>
          <cell r="F1672">
            <v>1056</v>
          </cell>
        </row>
        <row r="1673">
          <cell r="A1673" t="str">
            <v>Nabingoola</v>
          </cell>
          <cell r="B1673" t="str">
            <v>Mubende</v>
          </cell>
          <cell r="C1673" t="str">
            <v>Kasambya</v>
          </cell>
          <cell r="D1673" t="str">
            <v>Nabingoola</v>
          </cell>
          <cell r="F1673">
            <v>1057</v>
          </cell>
        </row>
        <row r="1674">
          <cell r="A1674" t="str">
            <v>KABIMBIRI</v>
          </cell>
          <cell r="F1674">
            <v>1057</v>
          </cell>
        </row>
        <row r="1675">
          <cell r="A1675" t="str">
            <v>Kasawo</v>
          </cell>
          <cell r="B1675" t="str">
            <v>Mukono</v>
          </cell>
          <cell r="C1675" t="str">
            <v>Nakifuma</v>
          </cell>
          <cell r="D1675" t="str">
            <v>Kasawo</v>
          </cell>
          <cell r="F1675">
            <v>1058</v>
          </cell>
        </row>
        <row r="1676">
          <cell r="A1676" t="str">
            <v>Nakifuma</v>
          </cell>
          <cell r="F1676">
            <v>1058</v>
          </cell>
        </row>
        <row r="1677">
          <cell r="A1677" t="str">
            <v>Kimenyedde</v>
          </cell>
          <cell r="B1677" t="str">
            <v>Mukono</v>
          </cell>
          <cell r="C1677" t="str">
            <v>Nakifuma</v>
          </cell>
          <cell r="D1677" t="str">
            <v>Kimenyedde</v>
          </cell>
          <cell r="F1677">
            <v>1059</v>
          </cell>
        </row>
        <row r="1678">
          <cell r="A1678" t="str">
            <v>Koome Island</v>
          </cell>
          <cell r="B1678" t="str">
            <v>Mukono</v>
          </cell>
          <cell r="C1678" t="str">
            <v>Mukono</v>
          </cell>
          <cell r="D1678" t="str">
            <v>Koome Island</v>
          </cell>
          <cell r="F1678">
            <v>1060</v>
          </cell>
        </row>
        <row r="1679">
          <cell r="A1679" t="str">
            <v>Kyampisi</v>
          </cell>
          <cell r="B1679" t="str">
            <v>Mukono</v>
          </cell>
          <cell r="C1679" t="str">
            <v>Mukono</v>
          </cell>
          <cell r="D1679" t="str">
            <v>Kyampisi</v>
          </cell>
          <cell r="F1679">
            <v>1061</v>
          </cell>
        </row>
        <row r="1680">
          <cell r="A1680" t="str">
            <v>Mpatta</v>
          </cell>
          <cell r="B1680" t="str">
            <v>Mukono</v>
          </cell>
          <cell r="C1680" t="str">
            <v>Mukono</v>
          </cell>
          <cell r="D1680" t="str">
            <v>Mpatta</v>
          </cell>
          <cell r="F1680">
            <v>1062</v>
          </cell>
        </row>
        <row r="1681">
          <cell r="A1681" t="str">
            <v>Mpunge</v>
          </cell>
          <cell r="B1681" t="str">
            <v>Mukono</v>
          </cell>
          <cell r="C1681" t="str">
            <v>Mukono</v>
          </cell>
          <cell r="D1681" t="str">
            <v>Mpunge</v>
          </cell>
          <cell r="F1681">
            <v>1063</v>
          </cell>
        </row>
        <row r="1682">
          <cell r="A1682" t="str">
            <v>Mukono Municipality</v>
          </cell>
          <cell r="B1682" t="str">
            <v>Mukono</v>
          </cell>
          <cell r="C1682" t="str">
            <v>Mukono Municipality</v>
          </cell>
          <cell r="D1682" t="str">
            <v>Mukono Municipality</v>
          </cell>
          <cell r="F1682">
            <v>1064</v>
          </cell>
        </row>
        <row r="1683">
          <cell r="A1683" t="str">
            <v>MUKONO</v>
          </cell>
          <cell r="F1683">
            <v>1064</v>
          </cell>
        </row>
        <row r="1684">
          <cell r="A1684" t="str">
            <v>MUKONO TOWN</v>
          </cell>
          <cell r="F1684">
            <v>1064</v>
          </cell>
        </row>
        <row r="1685">
          <cell r="A1685" t="str">
            <v>MUKONO KALAJI</v>
          </cell>
          <cell r="F1685">
            <v>1064</v>
          </cell>
        </row>
        <row r="1686">
          <cell r="A1686" t="str">
            <v>MUKONO UCU</v>
          </cell>
          <cell r="F1686">
            <v>1064</v>
          </cell>
        </row>
        <row r="1687">
          <cell r="A1687" t="str">
            <v>MPOMA</v>
          </cell>
          <cell r="F1687">
            <v>1064</v>
          </cell>
        </row>
        <row r="1688">
          <cell r="A1688" t="str">
            <v>BUKERERE</v>
          </cell>
          <cell r="F1688">
            <v>1064</v>
          </cell>
        </row>
        <row r="1689">
          <cell r="A1689" t="str">
            <v>NAGALAMA</v>
          </cell>
          <cell r="F1689">
            <v>1064</v>
          </cell>
        </row>
        <row r="1690">
          <cell r="A1690" t="str">
            <v>BIYINZIKA FACTORY</v>
          </cell>
          <cell r="F1690">
            <v>1064</v>
          </cell>
        </row>
        <row r="1691">
          <cell r="A1691" t="str">
            <v>Namilyango</v>
          </cell>
          <cell r="F1691">
            <v>1064</v>
          </cell>
        </row>
        <row r="1692">
          <cell r="A1692" t="str">
            <v>NAMAGUNGA</v>
          </cell>
          <cell r="F1692">
            <v>1064</v>
          </cell>
        </row>
        <row r="1693">
          <cell r="A1693" t="str">
            <v>NAMANVE</v>
          </cell>
          <cell r="F1693">
            <v>1064</v>
          </cell>
        </row>
        <row r="1694">
          <cell r="A1694" t="str">
            <v>NAMAMVE</v>
          </cell>
          <cell r="F1694">
            <v>1064</v>
          </cell>
        </row>
        <row r="1695">
          <cell r="A1695" t="str">
            <v xml:space="preserve">NAMANVE </v>
          </cell>
          <cell r="F1695">
            <v>1064</v>
          </cell>
        </row>
        <row r="1696">
          <cell r="A1696" t="str">
            <v>AZAM NAMANVE</v>
          </cell>
          <cell r="F1696">
            <v>1064</v>
          </cell>
        </row>
        <row r="1697">
          <cell r="A1697" t="str">
            <v>INDUSTRIAL AREA NAMANVE</v>
          </cell>
          <cell r="F1697">
            <v>1064</v>
          </cell>
        </row>
        <row r="1698">
          <cell r="A1698" t="str">
            <v>NAMATABA</v>
          </cell>
          <cell r="F1698">
            <v>1064</v>
          </cell>
        </row>
        <row r="1699">
          <cell r="A1699" t="str">
            <v>MBALALA</v>
          </cell>
          <cell r="F1699">
            <v>1064</v>
          </cell>
        </row>
        <row r="1700">
          <cell r="A1700" t="str">
            <v>Namawojoro</v>
          </cell>
          <cell r="F1700">
            <v>1064</v>
          </cell>
        </row>
        <row r="1701">
          <cell r="A1701" t="str">
            <v>Nabbaale</v>
          </cell>
          <cell r="B1701" t="str">
            <v>Mukono</v>
          </cell>
          <cell r="C1701" t="str">
            <v>Nakifuma</v>
          </cell>
          <cell r="D1701" t="str">
            <v>Nabbaale</v>
          </cell>
          <cell r="F1701">
            <v>1065</v>
          </cell>
        </row>
        <row r="1702">
          <cell r="A1702" t="str">
            <v>Nagojje</v>
          </cell>
          <cell r="B1702" t="str">
            <v>Mukono</v>
          </cell>
          <cell r="C1702" t="str">
            <v>Nakifuma</v>
          </cell>
          <cell r="D1702" t="str">
            <v>Nagojje</v>
          </cell>
          <cell r="F1702">
            <v>1066</v>
          </cell>
        </row>
        <row r="1703">
          <cell r="A1703" t="str">
            <v>Nakisunga</v>
          </cell>
          <cell r="B1703" t="str">
            <v>Mukono</v>
          </cell>
          <cell r="C1703" t="str">
            <v>Mukono</v>
          </cell>
          <cell r="D1703" t="str">
            <v>Nakisunga</v>
          </cell>
          <cell r="F1703">
            <v>1067</v>
          </cell>
        </row>
        <row r="1704">
          <cell r="A1704" t="str">
            <v>Nama</v>
          </cell>
          <cell r="B1704" t="str">
            <v>Mukono</v>
          </cell>
          <cell r="C1704" t="str">
            <v>Mukono</v>
          </cell>
          <cell r="D1704" t="str">
            <v>Nama</v>
          </cell>
          <cell r="F1704">
            <v>1068</v>
          </cell>
        </row>
        <row r="1705">
          <cell r="A1705" t="str">
            <v>Ntenjeru</v>
          </cell>
          <cell r="B1705" t="str">
            <v>Mukono</v>
          </cell>
          <cell r="C1705" t="str">
            <v>Mukono</v>
          </cell>
          <cell r="D1705" t="str">
            <v>Ntenjeru</v>
          </cell>
          <cell r="F1705">
            <v>1069</v>
          </cell>
        </row>
        <row r="1706">
          <cell r="A1706" t="str">
            <v>KATOSI</v>
          </cell>
          <cell r="F1706">
            <v>1069</v>
          </cell>
        </row>
        <row r="1707">
          <cell r="A1707" t="str">
            <v>Ntunda</v>
          </cell>
          <cell r="B1707" t="str">
            <v>Mukono</v>
          </cell>
          <cell r="C1707" t="str">
            <v>Nakifuma</v>
          </cell>
          <cell r="D1707" t="str">
            <v>Ntunda</v>
          </cell>
          <cell r="F1707">
            <v>1070</v>
          </cell>
        </row>
        <row r="1708">
          <cell r="A1708" t="str">
            <v>Seeta Namuganga</v>
          </cell>
          <cell r="B1708" t="str">
            <v>Mukono</v>
          </cell>
          <cell r="C1708" t="str">
            <v>Nakifuma</v>
          </cell>
          <cell r="D1708" t="str">
            <v>Seeta Namuganga</v>
          </cell>
          <cell r="F1708">
            <v>1071</v>
          </cell>
        </row>
        <row r="1709">
          <cell r="A1709" t="str">
            <v>SEETA</v>
          </cell>
          <cell r="F1709">
            <v>1071</v>
          </cell>
        </row>
        <row r="1710">
          <cell r="A1710" t="str">
            <v>Kakomongole</v>
          </cell>
          <cell r="B1710" t="str">
            <v>Nakapiripirit</v>
          </cell>
          <cell r="C1710" t="str">
            <v>Chekwii</v>
          </cell>
          <cell r="D1710" t="str">
            <v>Kakomongole</v>
          </cell>
          <cell r="F1710">
            <v>1072</v>
          </cell>
        </row>
        <row r="1711">
          <cell r="A1711" t="str">
            <v>Lolachat</v>
          </cell>
          <cell r="B1711" t="str">
            <v>Nakapiripirit</v>
          </cell>
          <cell r="C1711" t="str">
            <v>Pian</v>
          </cell>
          <cell r="D1711" t="str">
            <v>Lolachat</v>
          </cell>
          <cell r="F1711">
            <v>1073</v>
          </cell>
        </row>
        <row r="1712">
          <cell r="A1712" t="str">
            <v>Loregae</v>
          </cell>
          <cell r="B1712" t="str">
            <v>Nakapiripirit</v>
          </cell>
          <cell r="C1712" t="str">
            <v>Chekwii</v>
          </cell>
          <cell r="D1712" t="str">
            <v>Loregae</v>
          </cell>
          <cell r="F1712">
            <v>1074</v>
          </cell>
        </row>
        <row r="1713">
          <cell r="A1713" t="str">
            <v>Lorengedwat</v>
          </cell>
          <cell r="B1713" t="str">
            <v>Nakapiripirit</v>
          </cell>
          <cell r="C1713" t="str">
            <v>Pian</v>
          </cell>
          <cell r="D1713" t="str">
            <v>Lorengedwat</v>
          </cell>
          <cell r="F1713">
            <v>1075</v>
          </cell>
        </row>
        <row r="1714">
          <cell r="A1714" t="str">
            <v>Moruita</v>
          </cell>
          <cell r="B1714" t="str">
            <v>Nakapiripirit</v>
          </cell>
          <cell r="C1714" t="str">
            <v>Chekwii</v>
          </cell>
          <cell r="D1714" t="str">
            <v>Moruita</v>
          </cell>
          <cell r="F1714">
            <v>1076</v>
          </cell>
        </row>
        <row r="1715">
          <cell r="A1715" t="str">
            <v>Nabilatuk</v>
          </cell>
          <cell r="B1715" t="str">
            <v>Nakapiripirit</v>
          </cell>
          <cell r="C1715" t="str">
            <v>Pian</v>
          </cell>
          <cell r="D1715" t="str">
            <v>Nabilatuk</v>
          </cell>
          <cell r="F1715">
            <v>1077</v>
          </cell>
        </row>
        <row r="1716">
          <cell r="A1716" t="str">
            <v>Nakapiripirit Town Council</v>
          </cell>
          <cell r="B1716" t="str">
            <v>Nakapiripirit</v>
          </cell>
          <cell r="C1716" t="str">
            <v>Chekwii</v>
          </cell>
          <cell r="D1716" t="str">
            <v>Nakapiripirit Town Council</v>
          </cell>
          <cell r="F1716">
            <v>1078</v>
          </cell>
        </row>
        <row r="1717">
          <cell r="A1717" t="str">
            <v>Namalu</v>
          </cell>
          <cell r="B1717" t="str">
            <v>Nakapiripirit</v>
          </cell>
          <cell r="C1717" t="str">
            <v>Chekwii</v>
          </cell>
          <cell r="D1717" t="str">
            <v>Namalu</v>
          </cell>
          <cell r="F1717">
            <v>1079</v>
          </cell>
        </row>
        <row r="1718">
          <cell r="A1718" t="str">
            <v>Butalangu Town Council</v>
          </cell>
          <cell r="B1718" t="str">
            <v>Nakaseke</v>
          </cell>
          <cell r="C1718" t="str">
            <v>Nakaseke</v>
          </cell>
          <cell r="D1718" t="str">
            <v>Butalangu Town Council</v>
          </cell>
          <cell r="F1718">
            <v>1080</v>
          </cell>
        </row>
        <row r="1719">
          <cell r="A1719" t="str">
            <v>Kapeeka</v>
          </cell>
          <cell r="B1719" t="str">
            <v>Nakaseke</v>
          </cell>
          <cell r="C1719" t="str">
            <v>Nakaseke</v>
          </cell>
          <cell r="D1719" t="str">
            <v>Kapeeka</v>
          </cell>
          <cell r="F1719">
            <v>1081</v>
          </cell>
        </row>
        <row r="1720">
          <cell r="A1720" t="str">
            <v>Kasangombe</v>
          </cell>
          <cell r="B1720" t="str">
            <v>Nakaseke</v>
          </cell>
          <cell r="C1720" t="str">
            <v>Nakaseke</v>
          </cell>
          <cell r="D1720" t="str">
            <v>Kasangombe</v>
          </cell>
          <cell r="F1720">
            <v>1082</v>
          </cell>
        </row>
        <row r="1721">
          <cell r="A1721" t="str">
            <v>Kikamulo</v>
          </cell>
          <cell r="B1721" t="str">
            <v>Nakaseke</v>
          </cell>
          <cell r="C1721" t="str">
            <v>Nakaseke</v>
          </cell>
          <cell r="D1721" t="str">
            <v>Kikamulo</v>
          </cell>
          <cell r="F1721">
            <v>1083</v>
          </cell>
        </row>
        <row r="1722">
          <cell r="A1722" t="str">
            <v>Kinoni-Nakaseke</v>
          </cell>
          <cell r="B1722" t="str">
            <v>Nakaseke</v>
          </cell>
          <cell r="C1722" t="str">
            <v>Nakaseke</v>
          </cell>
          <cell r="D1722" t="str">
            <v>Kinoni-Nakaseke</v>
          </cell>
          <cell r="F1722">
            <v>1084</v>
          </cell>
        </row>
        <row r="1723">
          <cell r="A1723" t="str">
            <v>Kinyogoga</v>
          </cell>
          <cell r="B1723" t="str">
            <v>Nakaseke</v>
          </cell>
          <cell r="C1723" t="str">
            <v>Nakaseke</v>
          </cell>
          <cell r="D1723" t="str">
            <v>Kinyogoga</v>
          </cell>
          <cell r="F1723">
            <v>1085</v>
          </cell>
        </row>
        <row r="1724">
          <cell r="A1724" t="str">
            <v>Kito</v>
          </cell>
          <cell r="B1724" t="str">
            <v>Nakaseke</v>
          </cell>
          <cell r="C1724" t="str">
            <v>Nakaseke</v>
          </cell>
          <cell r="D1724" t="str">
            <v>Kito</v>
          </cell>
          <cell r="F1724">
            <v>1086</v>
          </cell>
        </row>
        <row r="1725">
          <cell r="A1725" t="str">
            <v>Kiwoko Town Council</v>
          </cell>
          <cell r="B1725" t="str">
            <v>Nakaseke</v>
          </cell>
          <cell r="C1725" t="str">
            <v>Nakaseke</v>
          </cell>
          <cell r="D1725" t="str">
            <v>Kiwoko Town Council</v>
          </cell>
          <cell r="F1725">
            <v>1087</v>
          </cell>
        </row>
        <row r="1726">
          <cell r="A1726" t="str">
            <v>Nakaseke</v>
          </cell>
          <cell r="B1726" t="str">
            <v>Nakaseke</v>
          </cell>
          <cell r="C1726" t="str">
            <v>Nakaseke</v>
          </cell>
          <cell r="D1726" t="str">
            <v>Nakaseke</v>
          </cell>
          <cell r="F1726">
            <v>1088</v>
          </cell>
        </row>
        <row r="1727">
          <cell r="A1727" t="str">
            <v>Nakaseke Town Council</v>
          </cell>
          <cell r="B1727" t="str">
            <v>Nakaseke</v>
          </cell>
          <cell r="C1727" t="str">
            <v>Nakaseke</v>
          </cell>
          <cell r="D1727" t="str">
            <v>Nakaseke Town Council</v>
          </cell>
          <cell r="F1727">
            <v>1089</v>
          </cell>
        </row>
        <row r="1728">
          <cell r="A1728" t="str">
            <v>NAKASEKE TOWN</v>
          </cell>
          <cell r="F1728">
            <v>1089</v>
          </cell>
        </row>
        <row r="1729">
          <cell r="A1729" t="str">
            <v>Ngoma Town Council</v>
          </cell>
          <cell r="B1729" t="str">
            <v>Nakaseke</v>
          </cell>
          <cell r="C1729" t="str">
            <v>Nakaseke</v>
          </cell>
          <cell r="D1729" t="str">
            <v>Ngoma Town Council</v>
          </cell>
          <cell r="F1729">
            <v>1090</v>
          </cell>
        </row>
        <row r="1730">
          <cell r="A1730" t="str">
            <v>kisalizi</v>
          </cell>
          <cell r="F1730">
            <v>1090</v>
          </cell>
        </row>
        <row r="1731">
          <cell r="A1731" t="str">
            <v>NGOMA</v>
          </cell>
          <cell r="F1731">
            <v>1090</v>
          </cell>
        </row>
        <row r="1732">
          <cell r="A1732" t="str">
            <v xml:space="preserve">NGOMA </v>
          </cell>
          <cell r="F1732">
            <v>1090</v>
          </cell>
        </row>
        <row r="1733">
          <cell r="A1733" t="str">
            <v>Ngoma-Nakaseke</v>
          </cell>
          <cell r="B1733" t="str">
            <v>Nakaseke</v>
          </cell>
          <cell r="C1733" t="str">
            <v>Nakaseke</v>
          </cell>
          <cell r="D1733" t="str">
            <v>Ngoma-Nakaseke</v>
          </cell>
          <cell r="F1733">
            <v>1091</v>
          </cell>
        </row>
        <row r="1734">
          <cell r="A1734" t="str">
            <v>KAPEKA</v>
          </cell>
          <cell r="F1734">
            <v>1091</v>
          </cell>
        </row>
        <row r="1735">
          <cell r="A1735" t="str">
            <v>SEMUTO KAPEKA</v>
          </cell>
          <cell r="F1735">
            <v>1091</v>
          </cell>
        </row>
        <row r="1736">
          <cell r="A1736" t="str">
            <v>Semuto</v>
          </cell>
          <cell r="B1736" t="str">
            <v>Nakaseke</v>
          </cell>
          <cell r="C1736" t="str">
            <v>Nakaseke</v>
          </cell>
          <cell r="D1736" t="str">
            <v>Semuto</v>
          </cell>
          <cell r="F1736">
            <v>1092</v>
          </cell>
        </row>
        <row r="1737">
          <cell r="A1737" t="str">
            <v>Ssemuto</v>
          </cell>
          <cell r="F1737">
            <v>1092</v>
          </cell>
        </row>
        <row r="1738">
          <cell r="A1738" t="str">
            <v>SEMUTO TOWN</v>
          </cell>
          <cell r="F1738">
            <v>1092</v>
          </cell>
        </row>
        <row r="1739">
          <cell r="A1739" t="str">
            <v>Semuto Town Council</v>
          </cell>
          <cell r="B1739" t="str">
            <v>Nakaseke</v>
          </cell>
          <cell r="C1739" t="str">
            <v>Nakaseke</v>
          </cell>
          <cell r="D1739" t="str">
            <v>Semuto Town Council</v>
          </cell>
          <cell r="F1739">
            <v>1093</v>
          </cell>
        </row>
        <row r="1740">
          <cell r="A1740" t="str">
            <v>GOBELO</v>
          </cell>
          <cell r="F1740">
            <v>1093</v>
          </cell>
        </row>
        <row r="1741">
          <cell r="A1741" t="str">
            <v>Wakyato</v>
          </cell>
          <cell r="B1741" t="str">
            <v>Nakaseke</v>
          </cell>
          <cell r="C1741" t="str">
            <v>Nakaseke</v>
          </cell>
          <cell r="D1741" t="str">
            <v>Wakyato</v>
          </cell>
          <cell r="F1741">
            <v>1094</v>
          </cell>
        </row>
        <row r="1742">
          <cell r="A1742" t="str">
            <v>Kakooge</v>
          </cell>
          <cell r="B1742" t="str">
            <v>Nakasongola</v>
          </cell>
          <cell r="C1742" t="str">
            <v>Buruli</v>
          </cell>
          <cell r="D1742" t="str">
            <v>Kakooge</v>
          </cell>
          <cell r="F1742">
            <v>1095</v>
          </cell>
        </row>
        <row r="1743">
          <cell r="A1743" t="str">
            <v>Kakooge Town Council</v>
          </cell>
          <cell r="B1743" t="str">
            <v>Nakasongola</v>
          </cell>
          <cell r="C1743" t="str">
            <v>Buruli</v>
          </cell>
          <cell r="D1743" t="str">
            <v>Kakooge Town Council</v>
          </cell>
          <cell r="F1743">
            <v>1096</v>
          </cell>
        </row>
        <row r="1744">
          <cell r="A1744" t="str">
            <v>NAKASONGOLA</v>
          </cell>
          <cell r="F1744">
            <v>1096</v>
          </cell>
        </row>
        <row r="1745">
          <cell r="A1745" t="str">
            <v>NAKASONGOLA TOWN</v>
          </cell>
          <cell r="F1745">
            <v>1096</v>
          </cell>
        </row>
        <row r="1746">
          <cell r="A1746" t="str">
            <v>Kalongo</v>
          </cell>
          <cell r="B1746" t="str">
            <v>Nakasongola</v>
          </cell>
          <cell r="C1746" t="str">
            <v>Buruli</v>
          </cell>
          <cell r="D1746" t="str">
            <v>Kalongo</v>
          </cell>
          <cell r="F1746">
            <v>1097</v>
          </cell>
        </row>
        <row r="1747">
          <cell r="A1747" t="str">
            <v>Kalungi</v>
          </cell>
          <cell r="B1747" t="str">
            <v>Nakasongola</v>
          </cell>
          <cell r="C1747" t="str">
            <v>Buruli</v>
          </cell>
          <cell r="D1747" t="str">
            <v>Kalungi</v>
          </cell>
          <cell r="F1747">
            <v>1098</v>
          </cell>
        </row>
        <row r="1748">
          <cell r="A1748" t="str">
            <v>Lwabiyata</v>
          </cell>
          <cell r="B1748" t="str">
            <v>Nakasongola</v>
          </cell>
          <cell r="C1748" t="str">
            <v>Buruli</v>
          </cell>
          <cell r="D1748" t="str">
            <v>Lwabiyata</v>
          </cell>
          <cell r="F1748">
            <v>1099</v>
          </cell>
        </row>
        <row r="1749">
          <cell r="A1749" t="str">
            <v>Lwampanga</v>
          </cell>
          <cell r="B1749" t="str">
            <v>Nakasongola</v>
          </cell>
          <cell r="C1749" t="str">
            <v>Buruli</v>
          </cell>
          <cell r="D1749" t="str">
            <v>Lwampanga</v>
          </cell>
          <cell r="F1749">
            <v>1100</v>
          </cell>
        </row>
        <row r="1750">
          <cell r="A1750" t="str">
            <v>LWAMPAMGA</v>
          </cell>
          <cell r="F1750">
            <v>1100</v>
          </cell>
        </row>
        <row r="1751">
          <cell r="A1751" t="str">
            <v>Migeera Town Council</v>
          </cell>
          <cell r="B1751" t="str">
            <v>Nakasongola</v>
          </cell>
          <cell r="C1751" t="str">
            <v>Buruli</v>
          </cell>
          <cell r="D1751" t="str">
            <v>Migeera Town Council</v>
          </cell>
          <cell r="F1751">
            <v>1101</v>
          </cell>
        </row>
        <row r="1752">
          <cell r="A1752" t="str">
            <v>MIGERA</v>
          </cell>
          <cell r="F1752">
            <v>1101</v>
          </cell>
        </row>
        <row r="1753">
          <cell r="A1753" t="str">
            <v>Nabisweera</v>
          </cell>
          <cell r="B1753" t="str">
            <v>Nakasongola</v>
          </cell>
          <cell r="C1753" t="str">
            <v>Buruli</v>
          </cell>
          <cell r="D1753" t="str">
            <v>Nabisweera</v>
          </cell>
          <cell r="F1753">
            <v>1102</v>
          </cell>
        </row>
        <row r="1754">
          <cell r="A1754" t="str">
            <v>Nakasongola Town Council</v>
          </cell>
          <cell r="B1754" t="str">
            <v>Nakasongola</v>
          </cell>
          <cell r="C1754" t="str">
            <v>Buruli</v>
          </cell>
          <cell r="D1754" t="str">
            <v>Nakasongola Town Council</v>
          </cell>
          <cell r="F1754">
            <v>1103</v>
          </cell>
        </row>
        <row r="1755">
          <cell r="A1755" t="str">
            <v>Nakitoma</v>
          </cell>
          <cell r="B1755" t="str">
            <v>Nakasongola</v>
          </cell>
          <cell r="C1755" t="str">
            <v>Buruli</v>
          </cell>
          <cell r="D1755" t="str">
            <v>Nakitoma</v>
          </cell>
          <cell r="F1755">
            <v>1104</v>
          </cell>
        </row>
        <row r="1756">
          <cell r="A1756" t="str">
            <v>Wabinyonyi</v>
          </cell>
          <cell r="B1756" t="str">
            <v>Nakasongola</v>
          </cell>
          <cell r="C1756" t="str">
            <v>Buruli</v>
          </cell>
          <cell r="D1756" t="str">
            <v>Wabinyonyi</v>
          </cell>
          <cell r="F1756">
            <v>1105</v>
          </cell>
        </row>
        <row r="1757">
          <cell r="A1757" t="str">
            <v>Banda</v>
          </cell>
          <cell r="B1757" t="str">
            <v>Namayingo</v>
          </cell>
          <cell r="C1757" t="str">
            <v>Bukooli</v>
          </cell>
          <cell r="D1757" t="str">
            <v>Banda</v>
          </cell>
          <cell r="F1757">
            <v>1106</v>
          </cell>
        </row>
        <row r="1758">
          <cell r="A1758" t="str">
            <v>Buhemba</v>
          </cell>
          <cell r="B1758" t="str">
            <v>Namayingo</v>
          </cell>
          <cell r="C1758" t="str">
            <v>Bukooli</v>
          </cell>
          <cell r="D1758" t="str">
            <v>Buhemba</v>
          </cell>
          <cell r="F1758">
            <v>1107</v>
          </cell>
        </row>
        <row r="1759">
          <cell r="A1759" t="str">
            <v>Bukana</v>
          </cell>
          <cell r="B1759" t="str">
            <v>Namayingo</v>
          </cell>
          <cell r="C1759" t="str">
            <v>Bukooli</v>
          </cell>
          <cell r="D1759" t="str">
            <v>Bukana</v>
          </cell>
          <cell r="F1759">
            <v>1108</v>
          </cell>
        </row>
        <row r="1760">
          <cell r="A1760" t="str">
            <v>Buswale</v>
          </cell>
          <cell r="B1760" t="str">
            <v>Namayingo</v>
          </cell>
          <cell r="C1760" t="str">
            <v>Bukooli</v>
          </cell>
          <cell r="D1760" t="str">
            <v>Buswale</v>
          </cell>
          <cell r="F1760">
            <v>1109</v>
          </cell>
        </row>
        <row r="1761">
          <cell r="A1761" t="str">
            <v>Buyinja</v>
          </cell>
          <cell r="B1761" t="str">
            <v>Namayingo</v>
          </cell>
          <cell r="C1761" t="str">
            <v>Bukooli</v>
          </cell>
          <cell r="D1761" t="str">
            <v>Buyinja</v>
          </cell>
          <cell r="F1761">
            <v>1110</v>
          </cell>
        </row>
        <row r="1762">
          <cell r="A1762" t="str">
            <v>Lolwe</v>
          </cell>
          <cell r="B1762" t="str">
            <v>Namayingo</v>
          </cell>
          <cell r="C1762" t="str">
            <v>Bukooli</v>
          </cell>
          <cell r="D1762" t="str">
            <v>Lolwe</v>
          </cell>
          <cell r="F1762">
            <v>1111</v>
          </cell>
        </row>
        <row r="1763">
          <cell r="A1763" t="str">
            <v>Mutumba</v>
          </cell>
          <cell r="B1763" t="str">
            <v>Namayingo</v>
          </cell>
          <cell r="C1763" t="str">
            <v>Bukooli</v>
          </cell>
          <cell r="D1763" t="str">
            <v>Mutumba</v>
          </cell>
          <cell r="F1763">
            <v>1112</v>
          </cell>
        </row>
        <row r="1764">
          <cell r="A1764" t="str">
            <v>Namayingo Town Council</v>
          </cell>
          <cell r="B1764" t="str">
            <v>Namayingo</v>
          </cell>
          <cell r="C1764" t="str">
            <v>Bukooli</v>
          </cell>
          <cell r="D1764" t="str">
            <v>Namayingo Town Council</v>
          </cell>
          <cell r="F1764">
            <v>1113</v>
          </cell>
        </row>
        <row r="1765">
          <cell r="A1765" t="str">
            <v>Namayigo</v>
          </cell>
          <cell r="F1765">
            <v>1113</v>
          </cell>
        </row>
        <row r="1766">
          <cell r="A1766" t="str">
            <v>Namayingo</v>
          </cell>
          <cell r="F1766">
            <v>1113</v>
          </cell>
        </row>
        <row r="1767">
          <cell r="A1767" t="str">
            <v>Sigulu Island</v>
          </cell>
          <cell r="B1767" t="str">
            <v>Namayingo</v>
          </cell>
          <cell r="C1767" t="str">
            <v>Bukooli</v>
          </cell>
          <cell r="D1767" t="str">
            <v>Sigulu Island</v>
          </cell>
          <cell r="F1767">
            <v>1114</v>
          </cell>
        </row>
        <row r="1768">
          <cell r="A1768" t="str">
            <v>Bubutu</v>
          </cell>
          <cell r="B1768" t="str">
            <v>Namisindwa</v>
          </cell>
          <cell r="C1768" t="str">
            <v>Namisindwa</v>
          </cell>
          <cell r="D1768" t="str">
            <v>Bubutu</v>
          </cell>
          <cell r="F1768">
            <v>1115</v>
          </cell>
        </row>
        <row r="1769">
          <cell r="A1769" t="str">
            <v>Bukhabusi</v>
          </cell>
          <cell r="B1769" t="str">
            <v>Namisindwa</v>
          </cell>
          <cell r="C1769" t="str">
            <v>Namisindwa</v>
          </cell>
          <cell r="D1769" t="str">
            <v>Bukhabusi</v>
          </cell>
          <cell r="F1769">
            <v>1116</v>
          </cell>
        </row>
        <row r="1770">
          <cell r="A1770" t="str">
            <v>Bukhaweka</v>
          </cell>
          <cell r="B1770" t="str">
            <v>Namisindwa</v>
          </cell>
          <cell r="C1770" t="str">
            <v>Namisindwa</v>
          </cell>
          <cell r="D1770" t="str">
            <v>Bukhaweka</v>
          </cell>
          <cell r="F1770">
            <v>1117</v>
          </cell>
        </row>
        <row r="1771">
          <cell r="A1771" t="str">
            <v>Buduli/Namisindwa</v>
          </cell>
          <cell r="F1771">
            <v>1117</v>
          </cell>
        </row>
        <row r="1772">
          <cell r="A1772" t="str">
            <v>Bukiabi</v>
          </cell>
          <cell r="B1772" t="str">
            <v>Namisindwa</v>
          </cell>
          <cell r="C1772" t="str">
            <v>Namisindwa</v>
          </cell>
          <cell r="D1772" t="str">
            <v>Bukiabi</v>
          </cell>
          <cell r="F1772">
            <v>1118</v>
          </cell>
        </row>
        <row r="1773">
          <cell r="A1773" t="str">
            <v>Bukokho</v>
          </cell>
          <cell r="B1773" t="str">
            <v>Namisindwa</v>
          </cell>
          <cell r="C1773" t="str">
            <v>Namisindwa</v>
          </cell>
          <cell r="D1773" t="str">
            <v>Bukokho</v>
          </cell>
          <cell r="F1773">
            <v>1119</v>
          </cell>
        </row>
        <row r="1774">
          <cell r="A1774" t="str">
            <v>Bumbo</v>
          </cell>
          <cell r="B1774" t="str">
            <v>Namisindwa</v>
          </cell>
          <cell r="C1774" t="str">
            <v>Namisindwa</v>
          </cell>
          <cell r="D1774" t="str">
            <v>Bumbo</v>
          </cell>
          <cell r="F1774">
            <v>1120</v>
          </cell>
        </row>
        <row r="1775">
          <cell r="A1775" t="str">
            <v>Bumwoni</v>
          </cell>
          <cell r="B1775" t="str">
            <v>Namisindwa</v>
          </cell>
          <cell r="C1775" t="str">
            <v>Namisindwa</v>
          </cell>
          <cell r="D1775" t="str">
            <v>Bumwoni</v>
          </cell>
          <cell r="F1775">
            <v>1121</v>
          </cell>
        </row>
        <row r="1776">
          <cell r="A1776" t="str">
            <v>Bupoto</v>
          </cell>
          <cell r="B1776" t="str">
            <v>Namisindwa</v>
          </cell>
          <cell r="C1776" t="str">
            <v>Namisindwa</v>
          </cell>
          <cell r="D1776" t="str">
            <v>Bupoto</v>
          </cell>
          <cell r="F1776">
            <v>1122</v>
          </cell>
        </row>
        <row r="1777">
          <cell r="A1777" t="str">
            <v>Buwabwala</v>
          </cell>
          <cell r="B1777" t="str">
            <v>Namisindwa</v>
          </cell>
          <cell r="C1777" t="str">
            <v>Namisindwa</v>
          </cell>
          <cell r="D1777" t="str">
            <v>Buwabwala</v>
          </cell>
          <cell r="F1777">
            <v>1123</v>
          </cell>
        </row>
        <row r="1778">
          <cell r="A1778" t="str">
            <v>Lwakhakha Town Council</v>
          </cell>
          <cell r="B1778" t="str">
            <v>Namisindwa</v>
          </cell>
          <cell r="C1778" t="str">
            <v>Namisindwa</v>
          </cell>
          <cell r="D1778" t="str">
            <v>Lwakhakha Town Council</v>
          </cell>
          <cell r="F1778">
            <v>1124</v>
          </cell>
        </row>
        <row r="1779">
          <cell r="A1779" t="str">
            <v>Rwakaka</v>
          </cell>
          <cell r="F1779">
            <v>1124</v>
          </cell>
        </row>
        <row r="1780">
          <cell r="A1780" t="str">
            <v>Lwakaka</v>
          </cell>
          <cell r="F1780">
            <v>1124</v>
          </cell>
        </row>
        <row r="1781">
          <cell r="A1781" t="str">
            <v>Rwakaba</v>
          </cell>
          <cell r="F1781">
            <v>1124</v>
          </cell>
        </row>
        <row r="1782">
          <cell r="A1782" t="str">
            <v>wakaka</v>
          </cell>
          <cell r="F1782">
            <v>1124</v>
          </cell>
        </row>
        <row r="1783">
          <cell r="A1783" t="str">
            <v>Magale</v>
          </cell>
          <cell r="B1783" t="str">
            <v>Namisindwa</v>
          </cell>
          <cell r="C1783" t="str">
            <v>Namisindwa</v>
          </cell>
          <cell r="D1783" t="str">
            <v>Magale</v>
          </cell>
          <cell r="F1783">
            <v>1125</v>
          </cell>
        </row>
        <row r="1784">
          <cell r="A1784" t="str">
            <v>Magale Town Council</v>
          </cell>
          <cell r="B1784" t="str">
            <v>Namisindwa</v>
          </cell>
          <cell r="C1784" t="str">
            <v>Namisindwa</v>
          </cell>
          <cell r="D1784" t="str">
            <v>Magale Town Council</v>
          </cell>
          <cell r="F1784">
            <v>1126</v>
          </cell>
        </row>
        <row r="1785">
          <cell r="A1785" t="str">
            <v>Mukoto</v>
          </cell>
          <cell r="B1785" t="str">
            <v>Namisindwa</v>
          </cell>
          <cell r="C1785" t="str">
            <v>Namisindwa</v>
          </cell>
          <cell r="D1785" t="str">
            <v>Mukoto</v>
          </cell>
          <cell r="F1785">
            <v>1127</v>
          </cell>
        </row>
        <row r="1786">
          <cell r="A1786" t="str">
            <v>Namabya</v>
          </cell>
          <cell r="B1786" t="str">
            <v>Namisindwa</v>
          </cell>
          <cell r="C1786" t="str">
            <v>Namisindwa</v>
          </cell>
          <cell r="D1786" t="str">
            <v>Namabya</v>
          </cell>
          <cell r="F1786">
            <v>1128</v>
          </cell>
        </row>
        <row r="1787">
          <cell r="A1787" t="str">
            <v>Namboko</v>
          </cell>
          <cell r="B1787" t="str">
            <v>Namisindwa</v>
          </cell>
          <cell r="C1787" t="str">
            <v>Namisindwa</v>
          </cell>
          <cell r="D1787" t="str">
            <v>Namboko</v>
          </cell>
          <cell r="F1787">
            <v>1129</v>
          </cell>
        </row>
        <row r="1788">
          <cell r="A1788" t="str">
            <v>Namisindwa Town Council</v>
          </cell>
          <cell r="B1788" t="str">
            <v>Namisindwa</v>
          </cell>
          <cell r="C1788" t="str">
            <v>Namisindwa</v>
          </cell>
          <cell r="D1788" t="str">
            <v>Namisindwa Town Council</v>
          </cell>
          <cell r="F1788">
            <v>1130</v>
          </cell>
        </row>
        <row r="1789">
          <cell r="A1789" t="str">
            <v>Namusindwa</v>
          </cell>
          <cell r="F1789">
            <v>1130</v>
          </cell>
        </row>
        <row r="1790">
          <cell r="A1790" t="str">
            <v>Namisindwa</v>
          </cell>
          <cell r="F1790">
            <v>1130</v>
          </cell>
        </row>
        <row r="1791">
          <cell r="A1791" t="str">
            <v>Rwahaha/Namisindwa</v>
          </cell>
          <cell r="F1791">
            <v>1130</v>
          </cell>
        </row>
        <row r="1792">
          <cell r="A1792" t="str">
            <v>Rwahaha</v>
          </cell>
          <cell r="F1792">
            <v>1130</v>
          </cell>
        </row>
        <row r="1793">
          <cell r="A1793" t="str">
            <v>Lwalala</v>
          </cell>
          <cell r="F1793">
            <v>1130</v>
          </cell>
        </row>
        <row r="1794">
          <cell r="A1794" t="str">
            <v>Tsekululu</v>
          </cell>
          <cell r="B1794" t="str">
            <v>Namisindwa</v>
          </cell>
          <cell r="C1794" t="str">
            <v>Namisindwa</v>
          </cell>
          <cell r="D1794" t="str">
            <v>Tsekululu</v>
          </cell>
          <cell r="F1794">
            <v>1131</v>
          </cell>
        </row>
        <row r="1795">
          <cell r="A1795" t="str">
            <v>Bulange</v>
          </cell>
          <cell r="B1795" t="str">
            <v>Namutumba</v>
          </cell>
          <cell r="C1795" t="str">
            <v>Busiki</v>
          </cell>
          <cell r="D1795" t="str">
            <v>Bulange</v>
          </cell>
          <cell r="F1795">
            <v>1132</v>
          </cell>
        </row>
        <row r="1796">
          <cell r="A1796" t="str">
            <v>Ivukula</v>
          </cell>
          <cell r="B1796" t="str">
            <v>Namutumba</v>
          </cell>
          <cell r="C1796" t="str">
            <v>Busiki</v>
          </cell>
          <cell r="D1796" t="str">
            <v>Ivukula</v>
          </cell>
          <cell r="F1796">
            <v>1133</v>
          </cell>
        </row>
        <row r="1797">
          <cell r="A1797" t="str">
            <v>Kibaale</v>
          </cell>
          <cell r="B1797" t="str">
            <v>Namutumba</v>
          </cell>
          <cell r="C1797" t="str">
            <v>Busiki</v>
          </cell>
          <cell r="D1797" t="str">
            <v>Kibaale</v>
          </cell>
          <cell r="F1797">
            <v>1134</v>
          </cell>
        </row>
        <row r="1798">
          <cell r="A1798" t="str">
            <v>Magada</v>
          </cell>
          <cell r="B1798" t="str">
            <v>Namutumba</v>
          </cell>
          <cell r="C1798" t="str">
            <v>Busiki</v>
          </cell>
          <cell r="D1798" t="str">
            <v>Magada</v>
          </cell>
          <cell r="F1798">
            <v>1135</v>
          </cell>
        </row>
        <row r="1799">
          <cell r="A1799" t="str">
            <v>Nabweyo</v>
          </cell>
          <cell r="B1799" t="str">
            <v>Namutumba</v>
          </cell>
          <cell r="C1799" t="str">
            <v>Busiki</v>
          </cell>
          <cell r="D1799" t="str">
            <v>Nabweyo</v>
          </cell>
          <cell r="F1799">
            <v>1136</v>
          </cell>
        </row>
        <row r="1800">
          <cell r="A1800" t="str">
            <v>Namutumba</v>
          </cell>
          <cell r="B1800" t="str">
            <v>Namutumba</v>
          </cell>
          <cell r="C1800" t="str">
            <v>Busiki</v>
          </cell>
          <cell r="D1800" t="str">
            <v>Namutumba</v>
          </cell>
          <cell r="F1800">
            <v>1137</v>
          </cell>
        </row>
        <row r="1801">
          <cell r="A1801" t="str">
            <v>Namutumba Town Council</v>
          </cell>
          <cell r="B1801" t="str">
            <v>Namutumba</v>
          </cell>
          <cell r="C1801" t="str">
            <v>Busiki</v>
          </cell>
          <cell r="D1801" t="str">
            <v>Namutumba Town Council</v>
          </cell>
          <cell r="F1801">
            <v>1138</v>
          </cell>
        </row>
        <row r="1802">
          <cell r="A1802" t="str">
            <v>KIZOOBA</v>
          </cell>
          <cell r="F1802">
            <v>1138</v>
          </cell>
        </row>
        <row r="1803">
          <cell r="A1803" t="str">
            <v>Nangonde</v>
          </cell>
          <cell r="B1803" t="str">
            <v>Namutumba</v>
          </cell>
          <cell r="C1803" t="str">
            <v>Busiki</v>
          </cell>
          <cell r="D1803" t="str">
            <v>Nangonde</v>
          </cell>
          <cell r="F1803">
            <v>1139</v>
          </cell>
        </row>
        <row r="1804">
          <cell r="A1804" t="str">
            <v>Nsinze</v>
          </cell>
          <cell r="B1804" t="str">
            <v>Namutumba</v>
          </cell>
          <cell r="C1804" t="str">
            <v>Busiki</v>
          </cell>
          <cell r="D1804" t="str">
            <v>Nsinze</v>
          </cell>
          <cell r="F1804">
            <v>1140</v>
          </cell>
        </row>
        <row r="1805">
          <cell r="A1805" t="str">
            <v>Iriiri</v>
          </cell>
          <cell r="B1805" t="str">
            <v>Napak</v>
          </cell>
          <cell r="C1805" t="str">
            <v>Bokora</v>
          </cell>
          <cell r="D1805" t="str">
            <v>Iriiri</v>
          </cell>
          <cell r="F1805">
            <v>1141</v>
          </cell>
        </row>
        <row r="1806">
          <cell r="A1806" t="str">
            <v>Lokopo</v>
          </cell>
          <cell r="B1806" t="str">
            <v>Napak</v>
          </cell>
          <cell r="C1806" t="str">
            <v>Bokora</v>
          </cell>
          <cell r="D1806" t="str">
            <v>Lokopo</v>
          </cell>
          <cell r="F1806">
            <v>1142</v>
          </cell>
        </row>
        <row r="1807">
          <cell r="A1807" t="str">
            <v>Lopeei</v>
          </cell>
          <cell r="B1807" t="str">
            <v>Napak</v>
          </cell>
          <cell r="C1807" t="str">
            <v>Bokora</v>
          </cell>
          <cell r="D1807" t="str">
            <v>Lopeei</v>
          </cell>
          <cell r="F1807">
            <v>1143</v>
          </cell>
        </row>
        <row r="1808">
          <cell r="A1808" t="str">
            <v>Lorengecora</v>
          </cell>
          <cell r="B1808" t="str">
            <v>Napak</v>
          </cell>
          <cell r="C1808" t="str">
            <v>Bokora</v>
          </cell>
          <cell r="D1808" t="str">
            <v>Lorengecora</v>
          </cell>
          <cell r="F1808">
            <v>1144</v>
          </cell>
        </row>
        <row r="1809">
          <cell r="A1809" t="str">
            <v>Lotome</v>
          </cell>
          <cell r="B1809" t="str">
            <v>Napak</v>
          </cell>
          <cell r="C1809" t="str">
            <v>Bokora</v>
          </cell>
          <cell r="D1809" t="str">
            <v>Lotome</v>
          </cell>
          <cell r="F1809">
            <v>1145</v>
          </cell>
        </row>
        <row r="1810">
          <cell r="A1810" t="str">
            <v>Matany</v>
          </cell>
          <cell r="B1810" t="str">
            <v>Napak</v>
          </cell>
          <cell r="C1810" t="str">
            <v>Bokora</v>
          </cell>
          <cell r="D1810" t="str">
            <v>Matany</v>
          </cell>
          <cell r="F1810">
            <v>1146</v>
          </cell>
        </row>
        <row r="1811">
          <cell r="A1811" t="str">
            <v>Napak Town Council</v>
          </cell>
          <cell r="B1811" t="str">
            <v>Napak</v>
          </cell>
          <cell r="C1811" t="str">
            <v>Bokora</v>
          </cell>
          <cell r="D1811" t="str">
            <v>Napak Town Council</v>
          </cell>
          <cell r="F1811">
            <v>1147</v>
          </cell>
        </row>
        <row r="1812">
          <cell r="A1812" t="str">
            <v>Ngoleriet</v>
          </cell>
          <cell r="B1812" t="str">
            <v>Napak</v>
          </cell>
          <cell r="C1812" t="str">
            <v>Bokora</v>
          </cell>
          <cell r="D1812" t="str">
            <v>Ngoleriet</v>
          </cell>
          <cell r="F1812">
            <v>1148</v>
          </cell>
        </row>
        <row r="1813">
          <cell r="A1813" t="str">
            <v>Akworo</v>
          </cell>
          <cell r="B1813" t="str">
            <v>Nebbi</v>
          </cell>
          <cell r="C1813" t="str">
            <v>Padyere</v>
          </cell>
          <cell r="D1813" t="str">
            <v>Akworo</v>
          </cell>
          <cell r="F1813">
            <v>1149</v>
          </cell>
        </row>
        <row r="1814">
          <cell r="A1814" t="str">
            <v>KASATU</v>
          </cell>
          <cell r="F1814">
            <v>1149</v>
          </cell>
        </row>
        <row r="1815">
          <cell r="A1815" t="str">
            <v>Atego</v>
          </cell>
          <cell r="B1815" t="str">
            <v>Nebbi</v>
          </cell>
          <cell r="C1815" t="str">
            <v>Padyere</v>
          </cell>
          <cell r="D1815" t="str">
            <v>Atego</v>
          </cell>
          <cell r="F1815">
            <v>1150</v>
          </cell>
        </row>
        <row r="1816">
          <cell r="A1816" t="str">
            <v>Erussi</v>
          </cell>
          <cell r="B1816" t="str">
            <v>Nebbi</v>
          </cell>
          <cell r="C1816" t="str">
            <v>Padyere</v>
          </cell>
          <cell r="D1816" t="str">
            <v>Erussi</v>
          </cell>
          <cell r="F1816">
            <v>1151</v>
          </cell>
        </row>
        <row r="1817">
          <cell r="A1817" t="str">
            <v>Kucwiny</v>
          </cell>
          <cell r="B1817" t="str">
            <v>Nebbi</v>
          </cell>
          <cell r="C1817" t="str">
            <v>Padyere</v>
          </cell>
          <cell r="D1817" t="str">
            <v>Kucwiny</v>
          </cell>
          <cell r="F1817">
            <v>1152</v>
          </cell>
        </row>
        <row r="1818">
          <cell r="A1818" t="str">
            <v>Ndhew</v>
          </cell>
          <cell r="B1818" t="str">
            <v>Nebbi</v>
          </cell>
          <cell r="C1818" t="str">
            <v>Padyere</v>
          </cell>
          <cell r="D1818" t="str">
            <v>Ndhew</v>
          </cell>
          <cell r="F1818">
            <v>1153</v>
          </cell>
        </row>
        <row r="1819">
          <cell r="A1819" t="str">
            <v>Nebbi</v>
          </cell>
          <cell r="B1819" t="str">
            <v>Nebbi</v>
          </cell>
          <cell r="C1819" t="str">
            <v>Padyere</v>
          </cell>
          <cell r="D1819" t="str">
            <v>Nebbi</v>
          </cell>
          <cell r="F1819">
            <v>1154</v>
          </cell>
        </row>
        <row r="1820">
          <cell r="A1820" t="str">
            <v>NEBBI TOWN</v>
          </cell>
          <cell r="F1820">
            <v>1155</v>
          </cell>
        </row>
        <row r="1821">
          <cell r="A1821" t="str">
            <v>Nebbi Municipality</v>
          </cell>
          <cell r="B1821" t="str">
            <v>Nebbi</v>
          </cell>
          <cell r="C1821" t="str">
            <v>Nebbi Municipality</v>
          </cell>
          <cell r="D1821" t="str">
            <v>Nebbi Municipality</v>
          </cell>
          <cell r="F1821">
            <v>1155</v>
          </cell>
        </row>
        <row r="1822">
          <cell r="A1822" t="str">
            <v>Nyaravur</v>
          </cell>
          <cell r="B1822" t="str">
            <v>Nebbi</v>
          </cell>
          <cell r="C1822" t="str">
            <v>Padyere</v>
          </cell>
          <cell r="D1822" t="str">
            <v>Nyaravur</v>
          </cell>
          <cell r="F1822">
            <v>1156</v>
          </cell>
        </row>
        <row r="1823">
          <cell r="A1823" t="str">
            <v>Parombo</v>
          </cell>
          <cell r="B1823" t="str">
            <v>Nebbi</v>
          </cell>
          <cell r="C1823" t="str">
            <v>Padyere</v>
          </cell>
          <cell r="D1823" t="str">
            <v>Parombo</v>
          </cell>
          <cell r="F1823">
            <v>1157</v>
          </cell>
        </row>
        <row r="1824">
          <cell r="A1824" t="str">
            <v>Kapir</v>
          </cell>
          <cell r="B1824" t="str">
            <v>Ngora</v>
          </cell>
          <cell r="C1824" t="str">
            <v>Ngora</v>
          </cell>
          <cell r="D1824" t="str">
            <v>Kapir</v>
          </cell>
          <cell r="F1824">
            <v>1158</v>
          </cell>
        </row>
        <row r="1825">
          <cell r="A1825" t="str">
            <v>Kobwin</v>
          </cell>
          <cell r="B1825" t="str">
            <v>Ngora</v>
          </cell>
          <cell r="C1825" t="str">
            <v>Ngora</v>
          </cell>
          <cell r="D1825" t="str">
            <v>Kobwin</v>
          </cell>
          <cell r="F1825">
            <v>1159</v>
          </cell>
        </row>
        <row r="1826">
          <cell r="A1826" t="str">
            <v>Mukura</v>
          </cell>
          <cell r="B1826" t="str">
            <v>Ngora</v>
          </cell>
          <cell r="C1826" t="str">
            <v>Ngora</v>
          </cell>
          <cell r="D1826" t="str">
            <v>Mukura</v>
          </cell>
          <cell r="F1826">
            <v>1160</v>
          </cell>
        </row>
        <row r="1827">
          <cell r="A1827" t="str">
            <v>Ngora</v>
          </cell>
          <cell r="B1827" t="str">
            <v>Ngora</v>
          </cell>
          <cell r="C1827" t="str">
            <v>Ngora</v>
          </cell>
          <cell r="D1827" t="str">
            <v>Ngora</v>
          </cell>
          <cell r="F1827">
            <v>1161</v>
          </cell>
        </row>
        <row r="1828">
          <cell r="A1828" t="str">
            <v>Ngora Town Council</v>
          </cell>
          <cell r="B1828" t="str">
            <v>Ngora</v>
          </cell>
          <cell r="C1828" t="str">
            <v>Ngora</v>
          </cell>
          <cell r="D1828" t="str">
            <v>Ngora Town Council</v>
          </cell>
          <cell r="F1828">
            <v>1162</v>
          </cell>
        </row>
        <row r="1829">
          <cell r="A1829" t="str">
            <v>Butungama</v>
          </cell>
          <cell r="B1829" t="str">
            <v>Ntoroko</v>
          </cell>
          <cell r="C1829" t="str">
            <v>Ntoroko</v>
          </cell>
          <cell r="D1829" t="str">
            <v>Butungama</v>
          </cell>
          <cell r="F1829">
            <v>1163</v>
          </cell>
        </row>
        <row r="1830">
          <cell r="A1830" t="str">
            <v>Bweramule</v>
          </cell>
          <cell r="B1830" t="str">
            <v>Ntoroko</v>
          </cell>
          <cell r="C1830" t="str">
            <v>Ntoroko</v>
          </cell>
          <cell r="D1830" t="str">
            <v>Bweramule</v>
          </cell>
          <cell r="F1830">
            <v>1164</v>
          </cell>
        </row>
        <row r="1831">
          <cell r="A1831" t="str">
            <v>Kanara Town Council</v>
          </cell>
          <cell r="B1831" t="str">
            <v>Ntoroko</v>
          </cell>
          <cell r="C1831" t="str">
            <v>Ntoroko</v>
          </cell>
          <cell r="D1831" t="str">
            <v>Kanara Town Council</v>
          </cell>
          <cell r="F1831">
            <v>1165</v>
          </cell>
        </row>
        <row r="1832">
          <cell r="A1832" t="str">
            <v>Kanara-Ntoroko</v>
          </cell>
          <cell r="B1832" t="str">
            <v>Ntoroko</v>
          </cell>
          <cell r="C1832" t="str">
            <v>Ntoroko</v>
          </cell>
          <cell r="D1832" t="str">
            <v>Kanara-Ntoroko</v>
          </cell>
          <cell r="F1832">
            <v>1166</v>
          </cell>
        </row>
        <row r="1833">
          <cell r="A1833" t="str">
            <v>NTOROKO</v>
          </cell>
          <cell r="F1833">
            <v>1166</v>
          </cell>
        </row>
        <row r="1834">
          <cell r="A1834" t="str">
            <v>Karugutu</v>
          </cell>
          <cell r="B1834" t="str">
            <v>Ntoroko</v>
          </cell>
          <cell r="C1834" t="str">
            <v>Ntoroko</v>
          </cell>
          <cell r="D1834" t="str">
            <v>Karugutu</v>
          </cell>
          <cell r="F1834">
            <v>1167</v>
          </cell>
        </row>
        <row r="1835">
          <cell r="A1835" t="str">
            <v>Karugutu Town Council</v>
          </cell>
          <cell r="B1835" t="str">
            <v>Ntoroko</v>
          </cell>
          <cell r="C1835" t="str">
            <v>Ntoroko</v>
          </cell>
          <cell r="D1835" t="str">
            <v>Karugutu Town Council</v>
          </cell>
          <cell r="F1835">
            <v>1168</v>
          </cell>
        </row>
        <row r="1836">
          <cell r="A1836" t="str">
            <v>Kibuuku Town Council</v>
          </cell>
          <cell r="B1836" t="str">
            <v>Ntoroko</v>
          </cell>
          <cell r="C1836" t="str">
            <v>Ntoroko</v>
          </cell>
          <cell r="D1836" t="str">
            <v>Kibuuku Town Council</v>
          </cell>
          <cell r="F1836">
            <v>1169</v>
          </cell>
        </row>
        <row r="1837">
          <cell r="A1837" t="str">
            <v>Nombe</v>
          </cell>
          <cell r="B1837" t="str">
            <v>Ntoroko</v>
          </cell>
          <cell r="C1837" t="str">
            <v>Ntoroko</v>
          </cell>
          <cell r="D1837" t="str">
            <v>Nombe</v>
          </cell>
          <cell r="F1837">
            <v>1170</v>
          </cell>
        </row>
        <row r="1838">
          <cell r="A1838" t="str">
            <v>Rwebisengo</v>
          </cell>
          <cell r="B1838" t="str">
            <v>Ntoroko</v>
          </cell>
          <cell r="C1838" t="str">
            <v>Ntoroko</v>
          </cell>
          <cell r="D1838" t="str">
            <v>Rwebisengo</v>
          </cell>
          <cell r="F1838">
            <v>1171</v>
          </cell>
        </row>
        <row r="1839">
          <cell r="A1839" t="str">
            <v>Rwebisengo Town Council</v>
          </cell>
          <cell r="B1839" t="str">
            <v>Ntoroko</v>
          </cell>
          <cell r="C1839" t="str">
            <v>Ntoroko</v>
          </cell>
          <cell r="D1839" t="str">
            <v>Rwebisengo Town Council</v>
          </cell>
          <cell r="F1839">
            <v>1172</v>
          </cell>
        </row>
        <row r="1840">
          <cell r="A1840" t="str">
            <v>Bwongyera</v>
          </cell>
          <cell r="B1840" t="str">
            <v>Ntungamo</v>
          </cell>
          <cell r="C1840" t="str">
            <v>Kajara</v>
          </cell>
          <cell r="D1840" t="str">
            <v>Bwongyera</v>
          </cell>
          <cell r="F1840">
            <v>1173</v>
          </cell>
        </row>
        <row r="1841">
          <cell r="A1841" t="str">
            <v>Ihunga</v>
          </cell>
          <cell r="B1841" t="str">
            <v>Ntungamo</v>
          </cell>
          <cell r="C1841" t="str">
            <v>Kajara</v>
          </cell>
          <cell r="D1841" t="str">
            <v>Ihunga</v>
          </cell>
          <cell r="F1841">
            <v>1174</v>
          </cell>
        </row>
        <row r="1842">
          <cell r="A1842" t="str">
            <v>Itojo</v>
          </cell>
          <cell r="B1842" t="str">
            <v>Ntungamo</v>
          </cell>
          <cell r="C1842" t="str">
            <v>Ruhaama</v>
          </cell>
          <cell r="D1842" t="str">
            <v>Itojo</v>
          </cell>
          <cell r="F1842">
            <v>1175</v>
          </cell>
        </row>
        <row r="1843">
          <cell r="A1843" t="str">
            <v>Kagarama Town Council</v>
          </cell>
          <cell r="B1843" t="str">
            <v>Ntungamo</v>
          </cell>
          <cell r="C1843" t="str">
            <v>Kajara</v>
          </cell>
          <cell r="D1843" t="str">
            <v>Kagarama Town Council</v>
          </cell>
          <cell r="F1843">
            <v>1176</v>
          </cell>
        </row>
        <row r="1844">
          <cell r="A1844" t="str">
            <v>Kayonza-Ntungamo</v>
          </cell>
          <cell r="B1844" t="str">
            <v>Ntungamo</v>
          </cell>
          <cell r="C1844" t="str">
            <v>Rushenyi</v>
          </cell>
          <cell r="D1844" t="str">
            <v>Kayonza-Ntungamo</v>
          </cell>
          <cell r="F1844">
            <v>1177</v>
          </cell>
        </row>
        <row r="1845">
          <cell r="A1845" t="str">
            <v>Kibatsi</v>
          </cell>
          <cell r="B1845" t="str">
            <v>Ntungamo</v>
          </cell>
          <cell r="C1845" t="str">
            <v>Kajara</v>
          </cell>
          <cell r="D1845" t="str">
            <v>Kibatsi</v>
          </cell>
          <cell r="F1845">
            <v>1178</v>
          </cell>
        </row>
        <row r="1846">
          <cell r="A1846" t="str">
            <v>Kitwe Town Council</v>
          </cell>
          <cell r="B1846" t="str">
            <v>Ntungamo</v>
          </cell>
          <cell r="C1846" t="str">
            <v>Ruhaama</v>
          </cell>
          <cell r="D1846" t="str">
            <v>Kitwe Town Council</v>
          </cell>
          <cell r="F1846">
            <v>1179</v>
          </cell>
        </row>
        <row r="1847">
          <cell r="A1847" t="str">
            <v>Ngoma-Ntungamo</v>
          </cell>
          <cell r="B1847" t="str">
            <v>Ntungamo</v>
          </cell>
          <cell r="C1847" t="str">
            <v>Rushenyi</v>
          </cell>
          <cell r="D1847" t="str">
            <v>Ngoma-Ntungamo</v>
          </cell>
          <cell r="F1847">
            <v>1180</v>
          </cell>
        </row>
        <row r="1848">
          <cell r="A1848" t="str">
            <v>Ntungamo</v>
          </cell>
          <cell r="B1848" t="str">
            <v>Ntungamo</v>
          </cell>
          <cell r="C1848" t="str">
            <v>Ruhaama</v>
          </cell>
          <cell r="D1848" t="str">
            <v>Ntungamo</v>
          </cell>
          <cell r="F1848">
            <v>1181</v>
          </cell>
        </row>
        <row r="1849">
          <cell r="A1849" t="str">
            <v>Ntungamo Municipality</v>
          </cell>
          <cell r="B1849" t="str">
            <v>Ntungamo</v>
          </cell>
          <cell r="C1849" t="str">
            <v>Ntungamo Municipality</v>
          </cell>
          <cell r="D1849" t="str">
            <v>Ntungamo Municipality</v>
          </cell>
          <cell r="F1849">
            <v>1182</v>
          </cell>
        </row>
        <row r="1850">
          <cell r="A1850" t="str">
            <v>NTUGAMO</v>
          </cell>
          <cell r="F1850">
            <v>1182</v>
          </cell>
        </row>
        <row r="1851">
          <cell r="A1851" t="str">
            <v>Nyabihoko</v>
          </cell>
          <cell r="B1851" t="str">
            <v>Ntungamo</v>
          </cell>
          <cell r="C1851" t="str">
            <v>Kajara</v>
          </cell>
          <cell r="D1851" t="str">
            <v>Nyabihoko</v>
          </cell>
          <cell r="F1851">
            <v>1183</v>
          </cell>
        </row>
        <row r="1852">
          <cell r="A1852" t="str">
            <v>Nyakyera</v>
          </cell>
          <cell r="B1852" t="str">
            <v>Ntungamo</v>
          </cell>
          <cell r="C1852" t="str">
            <v>Ruhaama</v>
          </cell>
          <cell r="D1852" t="str">
            <v>Nyakyera</v>
          </cell>
          <cell r="F1852">
            <v>1184</v>
          </cell>
        </row>
        <row r="1853">
          <cell r="A1853" t="str">
            <v>Rubaare</v>
          </cell>
          <cell r="B1853" t="str">
            <v>Ntungamo</v>
          </cell>
          <cell r="C1853" t="str">
            <v>Rushenyi</v>
          </cell>
          <cell r="D1853" t="str">
            <v>Rubaare</v>
          </cell>
          <cell r="F1853">
            <v>1185</v>
          </cell>
        </row>
        <row r="1854">
          <cell r="A1854" t="str">
            <v>Rubaare Town Council</v>
          </cell>
          <cell r="B1854" t="str">
            <v>Ntungamo</v>
          </cell>
          <cell r="C1854" t="str">
            <v>Rushenyi</v>
          </cell>
          <cell r="D1854" t="str">
            <v>Rubaare Town Council</v>
          </cell>
          <cell r="F1854">
            <v>1186</v>
          </cell>
        </row>
        <row r="1855">
          <cell r="A1855" t="str">
            <v>Rugarama-Ntungamo</v>
          </cell>
          <cell r="B1855" t="str">
            <v>Ntungamo</v>
          </cell>
          <cell r="C1855" t="str">
            <v>Rushenyi</v>
          </cell>
          <cell r="D1855" t="str">
            <v>Rugarama-Ntungamo</v>
          </cell>
          <cell r="F1855">
            <v>1187</v>
          </cell>
        </row>
        <row r="1856">
          <cell r="A1856" t="str">
            <v>Ruhaama</v>
          </cell>
          <cell r="B1856" t="str">
            <v>Ntungamo</v>
          </cell>
          <cell r="C1856" t="str">
            <v>Ruhaama</v>
          </cell>
          <cell r="D1856" t="str">
            <v>Ruhaama</v>
          </cell>
          <cell r="F1856">
            <v>1188</v>
          </cell>
        </row>
        <row r="1857">
          <cell r="A1857" t="str">
            <v>Rukoni East</v>
          </cell>
          <cell r="B1857" t="str">
            <v>Ntungamo</v>
          </cell>
          <cell r="C1857" t="str">
            <v>Ruhaama</v>
          </cell>
          <cell r="D1857" t="str">
            <v>Rukoni East</v>
          </cell>
          <cell r="F1857">
            <v>1189</v>
          </cell>
        </row>
        <row r="1858">
          <cell r="A1858" t="str">
            <v>Rukoni West</v>
          </cell>
          <cell r="B1858" t="str">
            <v>Ntungamo</v>
          </cell>
          <cell r="C1858" t="str">
            <v>Ruhaama</v>
          </cell>
          <cell r="D1858" t="str">
            <v>Rukoni West</v>
          </cell>
          <cell r="F1858">
            <v>1190</v>
          </cell>
        </row>
        <row r="1859">
          <cell r="A1859" t="str">
            <v>Rwashamaire Town Council</v>
          </cell>
          <cell r="B1859" t="str">
            <v>Ntungamo</v>
          </cell>
          <cell r="C1859" t="str">
            <v>Kajara</v>
          </cell>
          <cell r="D1859" t="str">
            <v>Rwashamaire Town Council</v>
          </cell>
          <cell r="F1859">
            <v>1191</v>
          </cell>
        </row>
        <row r="1860">
          <cell r="A1860" t="str">
            <v>Rweikiniro</v>
          </cell>
          <cell r="B1860" t="str">
            <v>Ntungamo</v>
          </cell>
          <cell r="C1860" t="str">
            <v>Ruhaama</v>
          </cell>
          <cell r="D1860" t="str">
            <v>Rweikiniro</v>
          </cell>
          <cell r="F1860">
            <v>1192</v>
          </cell>
        </row>
        <row r="1861">
          <cell r="A1861" t="str">
            <v>Alero</v>
          </cell>
          <cell r="B1861" t="str">
            <v>Nwoya</v>
          </cell>
          <cell r="C1861" t="str">
            <v>Nwoya</v>
          </cell>
          <cell r="D1861" t="str">
            <v>Alero</v>
          </cell>
          <cell r="F1861">
            <v>1193</v>
          </cell>
        </row>
        <row r="1862">
          <cell r="A1862" t="str">
            <v>Anaka Payira</v>
          </cell>
          <cell r="B1862" t="str">
            <v>Nwoya</v>
          </cell>
          <cell r="C1862" t="str">
            <v>Nwoya</v>
          </cell>
          <cell r="D1862" t="str">
            <v>Anaka Payira</v>
          </cell>
          <cell r="F1862">
            <v>1194</v>
          </cell>
        </row>
        <row r="1863">
          <cell r="A1863" t="str">
            <v>Anaka Town Council</v>
          </cell>
          <cell r="B1863" t="str">
            <v>Nwoya</v>
          </cell>
          <cell r="C1863" t="str">
            <v>Nwoya</v>
          </cell>
          <cell r="D1863" t="str">
            <v>Anaka Town Council</v>
          </cell>
          <cell r="F1863">
            <v>1195</v>
          </cell>
        </row>
        <row r="1864">
          <cell r="A1864" t="str">
            <v>Koch-Goma</v>
          </cell>
          <cell r="B1864" t="str">
            <v>Nwoya</v>
          </cell>
          <cell r="C1864" t="str">
            <v>Nwoya</v>
          </cell>
          <cell r="D1864" t="str">
            <v>Koch-Goma</v>
          </cell>
          <cell r="F1864">
            <v>1196</v>
          </cell>
        </row>
        <row r="1865">
          <cell r="A1865" t="str">
            <v>Purongo</v>
          </cell>
          <cell r="B1865" t="str">
            <v>Nwoya</v>
          </cell>
          <cell r="C1865" t="str">
            <v>Nwoya</v>
          </cell>
          <cell r="D1865" t="str">
            <v>Purongo</v>
          </cell>
          <cell r="F1865">
            <v>1197</v>
          </cell>
        </row>
        <row r="1866">
          <cell r="A1866" t="str">
            <v>Bobi</v>
          </cell>
          <cell r="B1866" t="str">
            <v>Omoro</v>
          </cell>
          <cell r="C1866" t="str">
            <v>Omoro</v>
          </cell>
          <cell r="D1866" t="str">
            <v>Bobi</v>
          </cell>
          <cell r="F1866">
            <v>1198</v>
          </cell>
        </row>
        <row r="1867">
          <cell r="A1867" t="str">
            <v>Koro</v>
          </cell>
          <cell r="B1867" t="str">
            <v>Omoro</v>
          </cell>
          <cell r="C1867" t="str">
            <v>Omoro</v>
          </cell>
          <cell r="D1867" t="str">
            <v>Koro</v>
          </cell>
          <cell r="F1867">
            <v>1199</v>
          </cell>
        </row>
        <row r="1868">
          <cell r="A1868" t="str">
            <v>Lakwana</v>
          </cell>
          <cell r="B1868" t="str">
            <v>Omoro</v>
          </cell>
          <cell r="C1868" t="str">
            <v>Omoro</v>
          </cell>
          <cell r="D1868" t="str">
            <v>Lakwana</v>
          </cell>
          <cell r="F1868">
            <v>1200</v>
          </cell>
        </row>
        <row r="1869">
          <cell r="A1869" t="str">
            <v>Lalogi</v>
          </cell>
          <cell r="B1869" t="str">
            <v>Omoro</v>
          </cell>
          <cell r="C1869" t="str">
            <v>Omoro</v>
          </cell>
          <cell r="D1869" t="str">
            <v>Lalogi</v>
          </cell>
          <cell r="F1869">
            <v>1201</v>
          </cell>
        </row>
        <row r="1870">
          <cell r="A1870" t="str">
            <v>Odek</v>
          </cell>
          <cell r="B1870" t="str">
            <v>Omoro</v>
          </cell>
          <cell r="C1870" t="str">
            <v>Omoro</v>
          </cell>
          <cell r="D1870" t="str">
            <v>Odek</v>
          </cell>
          <cell r="F1870">
            <v>1202</v>
          </cell>
        </row>
        <row r="1871">
          <cell r="A1871" t="str">
            <v>Omoro Town Council</v>
          </cell>
          <cell r="B1871" t="str">
            <v>Omoro</v>
          </cell>
          <cell r="C1871" t="str">
            <v>Omoro</v>
          </cell>
          <cell r="D1871" t="str">
            <v>Omoro Town Council</v>
          </cell>
          <cell r="F1871">
            <v>1203</v>
          </cell>
        </row>
        <row r="1872">
          <cell r="A1872" t="str">
            <v>Ongako</v>
          </cell>
          <cell r="B1872" t="str">
            <v>Omoro</v>
          </cell>
          <cell r="C1872" t="str">
            <v>Omoro</v>
          </cell>
          <cell r="D1872" t="str">
            <v>Ongako</v>
          </cell>
          <cell r="F1872">
            <v>1204</v>
          </cell>
        </row>
        <row r="1873">
          <cell r="A1873" t="str">
            <v>Adwari</v>
          </cell>
          <cell r="B1873" t="str">
            <v>Otuke</v>
          </cell>
          <cell r="C1873" t="str">
            <v>Otuke</v>
          </cell>
          <cell r="D1873" t="str">
            <v>Adwari</v>
          </cell>
          <cell r="F1873">
            <v>1205</v>
          </cell>
        </row>
        <row r="1874">
          <cell r="A1874" t="str">
            <v>Alango</v>
          </cell>
          <cell r="B1874" t="str">
            <v>Otuke</v>
          </cell>
          <cell r="C1874" t="str">
            <v>Otuke</v>
          </cell>
          <cell r="D1874" t="str">
            <v>Alango</v>
          </cell>
          <cell r="F1874">
            <v>1206</v>
          </cell>
        </row>
        <row r="1875">
          <cell r="A1875" t="str">
            <v>Ogor</v>
          </cell>
          <cell r="B1875" t="str">
            <v>Otuke</v>
          </cell>
          <cell r="C1875" t="str">
            <v>Otuke</v>
          </cell>
          <cell r="D1875" t="str">
            <v>Ogor</v>
          </cell>
          <cell r="F1875">
            <v>1207</v>
          </cell>
        </row>
        <row r="1876">
          <cell r="A1876" t="str">
            <v>Ogwette</v>
          </cell>
          <cell r="B1876" t="str">
            <v>Otuke</v>
          </cell>
          <cell r="C1876" t="str">
            <v>Otuke</v>
          </cell>
          <cell r="D1876" t="str">
            <v>Ogwette</v>
          </cell>
          <cell r="F1876">
            <v>1208</v>
          </cell>
        </row>
        <row r="1877">
          <cell r="A1877" t="str">
            <v>Okwang</v>
          </cell>
          <cell r="B1877" t="str">
            <v>Otuke</v>
          </cell>
          <cell r="C1877" t="str">
            <v>Otuke</v>
          </cell>
          <cell r="D1877" t="str">
            <v>Okwang</v>
          </cell>
          <cell r="F1877">
            <v>1209</v>
          </cell>
        </row>
        <row r="1878">
          <cell r="A1878" t="str">
            <v>Olilim</v>
          </cell>
          <cell r="B1878" t="str">
            <v>Otuke</v>
          </cell>
          <cell r="C1878" t="str">
            <v>Otuke</v>
          </cell>
          <cell r="D1878" t="str">
            <v>Olilim</v>
          </cell>
          <cell r="F1878">
            <v>1210</v>
          </cell>
        </row>
        <row r="1879">
          <cell r="A1879" t="str">
            <v>Orum</v>
          </cell>
          <cell r="B1879" t="str">
            <v>Otuke</v>
          </cell>
          <cell r="C1879" t="str">
            <v>Otuke</v>
          </cell>
          <cell r="D1879" t="str">
            <v>Orum</v>
          </cell>
          <cell r="F1879">
            <v>1211</v>
          </cell>
        </row>
        <row r="1880">
          <cell r="A1880" t="str">
            <v>Otuke Town Council</v>
          </cell>
          <cell r="B1880" t="str">
            <v>Otuke</v>
          </cell>
          <cell r="C1880" t="str">
            <v>Otuke</v>
          </cell>
          <cell r="D1880" t="str">
            <v>Otuke Town Council</v>
          </cell>
          <cell r="F1880">
            <v>1212</v>
          </cell>
        </row>
        <row r="1881">
          <cell r="A1881" t="str">
            <v>Aber</v>
          </cell>
          <cell r="B1881" t="str">
            <v>Oyam</v>
          </cell>
          <cell r="C1881" t="str">
            <v>Oyam</v>
          </cell>
          <cell r="D1881" t="str">
            <v>Aber</v>
          </cell>
          <cell r="F1881">
            <v>1213</v>
          </cell>
        </row>
        <row r="1882">
          <cell r="A1882" t="str">
            <v>Abok</v>
          </cell>
          <cell r="B1882" t="str">
            <v>Oyam</v>
          </cell>
          <cell r="C1882" t="str">
            <v>Oyam</v>
          </cell>
          <cell r="D1882" t="str">
            <v>Abok</v>
          </cell>
          <cell r="F1882">
            <v>1214</v>
          </cell>
        </row>
        <row r="1883">
          <cell r="A1883" t="str">
            <v>Acaba</v>
          </cell>
          <cell r="B1883" t="str">
            <v>Oyam</v>
          </cell>
          <cell r="C1883" t="str">
            <v>Oyam</v>
          </cell>
          <cell r="D1883" t="str">
            <v>Acaba</v>
          </cell>
          <cell r="F1883">
            <v>1215</v>
          </cell>
        </row>
        <row r="1884">
          <cell r="A1884" t="str">
            <v>Aleka</v>
          </cell>
          <cell r="B1884" t="str">
            <v>Oyam</v>
          </cell>
          <cell r="C1884" t="str">
            <v>Oyam</v>
          </cell>
          <cell r="D1884" t="str">
            <v>Aleka</v>
          </cell>
          <cell r="F1884">
            <v>1216</v>
          </cell>
        </row>
        <row r="1885">
          <cell r="A1885" t="str">
            <v>Iceme</v>
          </cell>
          <cell r="B1885" t="str">
            <v>Oyam</v>
          </cell>
          <cell r="C1885" t="str">
            <v>Oyam</v>
          </cell>
          <cell r="D1885" t="str">
            <v>Iceme</v>
          </cell>
          <cell r="F1885">
            <v>1217</v>
          </cell>
        </row>
        <row r="1886">
          <cell r="A1886" t="str">
            <v>Kamdini</v>
          </cell>
          <cell r="B1886" t="str">
            <v>Oyam</v>
          </cell>
          <cell r="C1886" t="str">
            <v>Oyam</v>
          </cell>
          <cell r="D1886" t="str">
            <v>Kamdini</v>
          </cell>
          <cell r="F1886">
            <v>1218</v>
          </cell>
        </row>
        <row r="1887">
          <cell r="A1887" t="str">
            <v>Loro</v>
          </cell>
          <cell r="B1887" t="str">
            <v>Oyam</v>
          </cell>
          <cell r="C1887" t="str">
            <v>Oyam</v>
          </cell>
          <cell r="D1887" t="str">
            <v>Loro</v>
          </cell>
          <cell r="F1887">
            <v>1219</v>
          </cell>
        </row>
        <row r="1888">
          <cell r="A1888" t="str">
            <v>Minakulu</v>
          </cell>
          <cell r="B1888" t="str">
            <v>Oyam</v>
          </cell>
          <cell r="C1888" t="str">
            <v>Oyam</v>
          </cell>
          <cell r="D1888" t="str">
            <v>Minakulu</v>
          </cell>
          <cell r="F1888">
            <v>1220</v>
          </cell>
        </row>
        <row r="1889">
          <cell r="A1889" t="str">
            <v>Myene</v>
          </cell>
          <cell r="B1889" t="str">
            <v>Oyam</v>
          </cell>
          <cell r="C1889" t="str">
            <v>Oyam</v>
          </cell>
          <cell r="D1889" t="str">
            <v>Myene</v>
          </cell>
          <cell r="F1889">
            <v>1221</v>
          </cell>
        </row>
        <row r="1890">
          <cell r="A1890" t="str">
            <v>Ngai</v>
          </cell>
          <cell r="B1890" t="str">
            <v>Oyam</v>
          </cell>
          <cell r="C1890" t="str">
            <v>Oyam</v>
          </cell>
          <cell r="D1890" t="str">
            <v>Ngai</v>
          </cell>
          <cell r="F1890">
            <v>1222</v>
          </cell>
        </row>
        <row r="1891">
          <cell r="A1891" t="str">
            <v>Otwal</v>
          </cell>
          <cell r="B1891" t="str">
            <v>Oyam</v>
          </cell>
          <cell r="C1891" t="str">
            <v>Oyam</v>
          </cell>
          <cell r="D1891" t="str">
            <v>Otwal</v>
          </cell>
          <cell r="F1891">
            <v>1223</v>
          </cell>
        </row>
        <row r="1892">
          <cell r="A1892" t="str">
            <v>Oyam Town Council</v>
          </cell>
          <cell r="B1892" t="str">
            <v>Oyam</v>
          </cell>
          <cell r="C1892" t="str">
            <v>Oyam</v>
          </cell>
          <cell r="D1892" t="str">
            <v>Oyam Town Council</v>
          </cell>
          <cell r="F1892">
            <v>1224</v>
          </cell>
        </row>
        <row r="1893">
          <cell r="A1893" t="str">
            <v>Acholibur</v>
          </cell>
          <cell r="B1893" t="str">
            <v>Pader</v>
          </cell>
          <cell r="C1893" t="str">
            <v>Aruu</v>
          </cell>
          <cell r="D1893" t="str">
            <v>Acholibur</v>
          </cell>
          <cell r="F1893">
            <v>1225</v>
          </cell>
        </row>
        <row r="1894">
          <cell r="A1894" t="str">
            <v>Angagura</v>
          </cell>
          <cell r="B1894" t="str">
            <v>Pader</v>
          </cell>
          <cell r="C1894" t="str">
            <v>Aruu</v>
          </cell>
          <cell r="D1894" t="str">
            <v>Angagura</v>
          </cell>
          <cell r="F1894">
            <v>1226</v>
          </cell>
        </row>
        <row r="1895">
          <cell r="A1895" t="str">
            <v>Atanga</v>
          </cell>
          <cell r="B1895" t="str">
            <v>Pader</v>
          </cell>
          <cell r="C1895" t="str">
            <v>Aruu</v>
          </cell>
          <cell r="D1895" t="str">
            <v>Atanga</v>
          </cell>
          <cell r="F1895">
            <v>1227</v>
          </cell>
        </row>
        <row r="1896">
          <cell r="A1896" t="str">
            <v>Awere</v>
          </cell>
          <cell r="B1896" t="str">
            <v>Pader</v>
          </cell>
          <cell r="C1896" t="str">
            <v>Aruu</v>
          </cell>
          <cell r="D1896" t="str">
            <v>Awere</v>
          </cell>
          <cell r="F1896">
            <v>1228</v>
          </cell>
        </row>
        <row r="1897">
          <cell r="A1897" t="str">
            <v>Laguti</v>
          </cell>
          <cell r="B1897" t="str">
            <v>Pader</v>
          </cell>
          <cell r="C1897" t="str">
            <v>Aruu</v>
          </cell>
          <cell r="D1897" t="str">
            <v>Laguti</v>
          </cell>
          <cell r="F1897">
            <v>1229</v>
          </cell>
        </row>
        <row r="1898">
          <cell r="A1898" t="str">
            <v>Lapul</v>
          </cell>
          <cell r="B1898" t="str">
            <v>Pader</v>
          </cell>
          <cell r="C1898" t="str">
            <v>Aruu</v>
          </cell>
          <cell r="D1898" t="str">
            <v>Lapul</v>
          </cell>
          <cell r="F1898">
            <v>1230</v>
          </cell>
        </row>
        <row r="1899">
          <cell r="A1899" t="str">
            <v>Latanya</v>
          </cell>
          <cell r="B1899" t="str">
            <v>Pader</v>
          </cell>
          <cell r="C1899" t="str">
            <v>Aruu</v>
          </cell>
          <cell r="D1899" t="str">
            <v>Latanya</v>
          </cell>
          <cell r="F1899">
            <v>1231</v>
          </cell>
        </row>
        <row r="1900">
          <cell r="A1900" t="str">
            <v>Ogom</v>
          </cell>
          <cell r="B1900" t="str">
            <v>Pader</v>
          </cell>
          <cell r="C1900" t="str">
            <v>Aruu</v>
          </cell>
          <cell r="D1900" t="str">
            <v>Ogom</v>
          </cell>
          <cell r="F1900">
            <v>1232</v>
          </cell>
        </row>
        <row r="1901">
          <cell r="A1901" t="str">
            <v>Pader</v>
          </cell>
          <cell r="B1901" t="str">
            <v>Pader</v>
          </cell>
          <cell r="C1901" t="str">
            <v>Aruu</v>
          </cell>
          <cell r="D1901" t="str">
            <v>Pader</v>
          </cell>
          <cell r="F1901">
            <v>1233</v>
          </cell>
        </row>
        <row r="1902">
          <cell r="A1902" t="str">
            <v>Pader Town Council</v>
          </cell>
          <cell r="B1902" t="str">
            <v>Pader</v>
          </cell>
          <cell r="C1902" t="str">
            <v>Aruu</v>
          </cell>
          <cell r="D1902" t="str">
            <v>Pader Town Council</v>
          </cell>
          <cell r="F1902">
            <v>1234</v>
          </cell>
        </row>
        <row r="1903">
          <cell r="A1903" t="str">
            <v>Padde</v>
          </cell>
          <cell r="F1903">
            <v>1234</v>
          </cell>
        </row>
        <row r="1904">
          <cell r="A1904" t="str">
            <v>Pajule</v>
          </cell>
          <cell r="B1904" t="str">
            <v>Pader</v>
          </cell>
          <cell r="C1904" t="str">
            <v>Aruu</v>
          </cell>
          <cell r="D1904" t="str">
            <v>Pajule</v>
          </cell>
          <cell r="F1904">
            <v>1235</v>
          </cell>
        </row>
        <row r="1905">
          <cell r="A1905" t="str">
            <v>Puranga</v>
          </cell>
          <cell r="B1905" t="str">
            <v>Pader</v>
          </cell>
          <cell r="C1905" t="str">
            <v>Aruu</v>
          </cell>
          <cell r="D1905" t="str">
            <v>Puranga</v>
          </cell>
          <cell r="F1905">
            <v>1236</v>
          </cell>
        </row>
        <row r="1906">
          <cell r="A1906" t="str">
            <v>Alwi</v>
          </cell>
          <cell r="B1906" t="str">
            <v>Pakwach</v>
          </cell>
          <cell r="C1906" t="str">
            <v>Jonam</v>
          </cell>
          <cell r="D1906" t="str">
            <v>Alwi</v>
          </cell>
          <cell r="F1906">
            <v>1237</v>
          </cell>
        </row>
        <row r="1907">
          <cell r="A1907" t="str">
            <v>Pakwach</v>
          </cell>
          <cell r="B1907" t="str">
            <v>Pakwach</v>
          </cell>
          <cell r="C1907" t="str">
            <v>Jonam</v>
          </cell>
          <cell r="D1907" t="str">
            <v>Pakwach</v>
          </cell>
          <cell r="F1907">
            <v>1238</v>
          </cell>
        </row>
        <row r="1908">
          <cell r="A1908" t="str">
            <v>Pakwach Town Council</v>
          </cell>
          <cell r="B1908" t="str">
            <v>Pakwach</v>
          </cell>
          <cell r="C1908" t="str">
            <v>Jonam</v>
          </cell>
          <cell r="D1908" t="str">
            <v>Pakwach Town Council</v>
          </cell>
          <cell r="F1908">
            <v>1239</v>
          </cell>
        </row>
        <row r="1909">
          <cell r="A1909" t="str">
            <v>PAKWACH TOWN</v>
          </cell>
          <cell r="F1909">
            <v>1239</v>
          </cell>
        </row>
        <row r="1910">
          <cell r="A1910" t="str">
            <v>Panyango</v>
          </cell>
          <cell r="B1910" t="str">
            <v>Pakwach</v>
          </cell>
          <cell r="C1910" t="str">
            <v>Jonam</v>
          </cell>
          <cell r="D1910" t="str">
            <v>Panyango</v>
          </cell>
          <cell r="F1910">
            <v>1240</v>
          </cell>
        </row>
        <row r="1911">
          <cell r="A1911" t="str">
            <v>Panyimur</v>
          </cell>
          <cell r="B1911" t="str">
            <v>Pakwach</v>
          </cell>
          <cell r="C1911" t="str">
            <v>Jonam</v>
          </cell>
          <cell r="D1911" t="str">
            <v>Panyimur</v>
          </cell>
          <cell r="F1911">
            <v>1241</v>
          </cell>
        </row>
        <row r="1912">
          <cell r="A1912" t="str">
            <v>PONYAMURU</v>
          </cell>
          <cell r="F1912">
            <v>1241</v>
          </cell>
        </row>
        <row r="1913">
          <cell r="A1913" t="str">
            <v>ALBERT LINE</v>
          </cell>
          <cell r="F1913">
            <v>1241</v>
          </cell>
        </row>
        <row r="1914">
          <cell r="A1914" t="str">
            <v>Wadelai</v>
          </cell>
          <cell r="B1914" t="str">
            <v>Pakwach</v>
          </cell>
          <cell r="C1914" t="str">
            <v>Jonam</v>
          </cell>
          <cell r="D1914" t="str">
            <v>Wadelai</v>
          </cell>
          <cell r="F1914">
            <v>1242</v>
          </cell>
        </row>
        <row r="1915">
          <cell r="A1915" t="str">
            <v>Agule</v>
          </cell>
          <cell r="B1915" t="str">
            <v>Pallisa</v>
          </cell>
          <cell r="C1915" t="str">
            <v>Agule</v>
          </cell>
          <cell r="D1915" t="str">
            <v>Agule</v>
          </cell>
          <cell r="F1915">
            <v>1243</v>
          </cell>
        </row>
        <row r="1916">
          <cell r="A1916" t="str">
            <v>Akisim</v>
          </cell>
          <cell r="B1916" t="str">
            <v>Pallisa</v>
          </cell>
          <cell r="C1916" t="str">
            <v>Agule</v>
          </cell>
          <cell r="D1916" t="str">
            <v>Akisim</v>
          </cell>
          <cell r="F1916">
            <v>1244</v>
          </cell>
        </row>
        <row r="1917">
          <cell r="A1917" t="str">
            <v>Apopong</v>
          </cell>
          <cell r="B1917" t="str">
            <v>Pallisa</v>
          </cell>
          <cell r="C1917" t="str">
            <v>Agule</v>
          </cell>
          <cell r="D1917" t="str">
            <v>Apopong</v>
          </cell>
          <cell r="F1917">
            <v>1245</v>
          </cell>
        </row>
        <row r="1918">
          <cell r="A1918" t="str">
            <v>Chelekura</v>
          </cell>
          <cell r="B1918" t="str">
            <v>Pallisa</v>
          </cell>
          <cell r="C1918" t="str">
            <v>Agule</v>
          </cell>
          <cell r="D1918" t="str">
            <v>Chelekura</v>
          </cell>
          <cell r="F1918">
            <v>1246</v>
          </cell>
        </row>
        <row r="1919">
          <cell r="A1919" t="str">
            <v>Gogonyo</v>
          </cell>
          <cell r="B1919" t="str">
            <v>Pallisa</v>
          </cell>
          <cell r="C1919" t="str">
            <v>Agule</v>
          </cell>
          <cell r="D1919" t="str">
            <v>Gogonyo</v>
          </cell>
          <cell r="F1919">
            <v>1247</v>
          </cell>
        </row>
        <row r="1920">
          <cell r="A1920" t="str">
            <v>Kameke</v>
          </cell>
          <cell r="B1920" t="str">
            <v>Pallisa</v>
          </cell>
          <cell r="C1920" t="str">
            <v>Agule</v>
          </cell>
          <cell r="D1920" t="str">
            <v>Kameke</v>
          </cell>
          <cell r="F1920">
            <v>1248</v>
          </cell>
        </row>
        <row r="1921">
          <cell r="A1921" t="str">
            <v>Kamuge</v>
          </cell>
          <cell r="B1921" t="str">
            <v>Pallisa</v>
          </cell>
          <cell r="C1921" t="str">
            <v>Pallisa</v>
          </cell>
          <cell r="D1921" t="str">
            <v>Kamuge</v>
          </cell>
          <cell r="F1921">
            <v>1249</v>
          </cell>
        </row>
        <row r="1922">
          <cell r="A1922" t="str">
            <v>Kasodo</v>
          </cell>
          <cell r="B1922" t="str">
            <v>Pallisa</v>
          </cell>
          <cell r="C1922" t="str">
            <v>Pallisa</v>
          </cell>
          <cell r="D1922" t="str">
            <v>Kasodo</v>
          </cell>
          <cell r="F1922">
            <v>1250</v>
          </cell>
        </row>
        <row r="1923">
          <cell r="A1923" t="str">
            <v>Kasore</v>
          </cell>
          <cell r="F1923">
            <v>1250</v>
          </cell>
        </row>
        <row r="1924">
          <cell r="A1924" t="str">
            <v>Olok</v>
          </cell>
          <cell r="B1924" t="str">
            <v>Pallisa</v>
          </cell>
          <cell r="C1924" t="str">
            <v>Pallisa</v>
          </cell>
          <cell r="D1924" t="str">
            <v>Olok</v>
          </cell>
          <cell r="F1924">
            <v>1251</v>
          </cell>
        </row>
        <row r="1925">
          <cell r="A1925" t="str">
            <v>Pallisa</v>
          </cell>
          <cell r="B1925" t="str">
            <v>Pallisa</v>
          </cell>
          <cell r="C1925" t="str">
            <v>Pallisa</v>
          </cell>
          <cell r="D1925" t="str">
            <v>Pallisa</v>
          </cell>
          <cell r="F1925">
            <v>1252</v>
          </cell>
        </row>
        <row r="1926">
          <cell r="A1926" t="str">
            <v>Pallisa Town Council</v>
          </cell>
          <cell r="B1926" t="str">
            <v>Pallisa</v>
          </cell>
          <cell r="C1926" t="str">
            <v>Pallisa</v>
          </cell>
          <cell r="D1926" t="str">
            <v>Pallisa Town Council</v>
          </cell>
          <cell r="F1926">
            <v>1253</v>
          </cell>
        </row>
        <row r="1927">
          <cell r="A1927" t="str">
            <v>Paliisa</v>
          </cell>
          <cell r="F1927">
            <v>1253</v>
          </cell>
        </row>
        <row r="1928">
          <cell r="A1928" t="str">
            <v>Palisa</v>
          </cell>
          <cell r="F1928">
            <v>1253</v>
          </cell>
        </row>
        <row r="1929">
          <cell r="A1929" t="str">
            <v>Puti-Puti</v>
          </cell>
          <cell r="B1929" t="str">
            <v>Pallisa</v>
          </cell>
          <cell r="C1929" t="str">
            <v>Pallisa</v>
          </cell>
          <cell r="D1929" t="str">
            <v>Puti-Puti</v>
          </cell>
          <cell r="F1929">
            <v>1254</v>
          </cell>
        </row>
        <row r="1930">
          <cell r="A1930" t="str">
            <v>Byakabanda</v>
          </cell>
          <cell r="B1930" t="str">
            <v>Rakai</v>
          </cell>
          <cell r="C1930" t="str">
            <v>Kooki</v>
          </cell>
          <cell r="D1930" t="str">
            <v>Byakabanda</v>
          </cell>
          <cell r="F1930">
            <v>1255</v>
          </cell>
        </row>
        <row r="1931">
          <cell r="A1931" t="str">
            <v>Ddwaniro-Rakai</v>
          </cell>
          <cell r="B1931" t="str">
            <v>Rakai</v>
          </cell>
          <cell r="C1931" t="str">
            <v>Kooki</v>
          </cell>
          <cell r="D1931" t="str">
            <v>Ddwaniro-Rakai</v>
          </cell>
          <cell r="F1931">
            <v>1256</v>
          </cell>
        </row>
        <row r="1932">
          <cell r="A1932" t="str">
            <v>Lwamagwa</v>
          </cell>
          <cell r="F1932">
            <v>1256</v>
          </cell>
        </row>
        <row r="1933">
          <cell r="A1933" t="str">
            <v>KYANZANGA</v>
          </cell>
          <cell r="F1933">
            <v>1256</v>
          </cell>
        </row>
        <row r="1934">
          <cell r="A1934" t="str">
            <v>Kacheera</v>
          </cell>
          <cell r="B1934" t="str">
            <v>Rakai</v>
          </cell>
          <cell r="C1934" t="str">
            <v>Kooki</v>
          </cell>
          <cell r="D1934" t="str">
            <v>Kacheera</v>
          </cell>
          <cell r="F1934">
            <v>1257</v>
          </cell>
        </row>
        <row r="1935">
          <cell r="A1935" t="str">
            <v>Kooki</v>
          </cell>
          <cell r="F1935">
            <v>1257</v>
          </cell>
        </row>
        <row r="1936">
          <cell r="A1936" t="str">
            <v>Kagamba</v>
          </cell>
          <cell r="B1936" t="str">
            <v>Rakai</v>
          </cell>
          <cell r="C1936" t="str">
            <v>Kooki</v>
          </cell>
          <cell r="D1936" t="str">
            <v>Kagamba</v>
          </cell>
          <cell r="F1936">
            <v>1258</v>
          </cell>
        </row>
        <row r="1937">
          <cell r="A1937" t="str">
            <v>Kakuuto</v>
          </cell>
          <cell r="B1937" t="str">
            <v>Rakai</v>
          </cell>
          <cell r="C1937" t="str">
            <v>Kakuuto</v>
          </cell>
          <cell r="D1937" t="str">
            <v>Kakuuto</v>
          </cell>
          <cell r="F1937">
            <v>1259</v>
          </cell>
        </row>
        <row r="1938">
          <cell r="A1938" t="str">
            <v>Kifamba</v>
          </cell>
          <cell r="B1938" t="str">
            <v>Rakai</v>
          </cell>
          <cell r="C1938" t="str">
            <v>Kakuuto</v>
          </cell>
          <cell r="D1938" t="str">
            <v>Kifamba</v>
          </cell>
          <cell r="F1938">
            <v>1260</v>
          </cell>
        </row>
        <row r="1939">
          <cell r="A1939" t="str">
            <v>Kiziba</v>
          </cell>
          <cell r="B1939" t="str">
            <v>Rakai</v>
          </cell>
          <cell r="C1939" t="str">
            <v>Kooki</v>
          </cell>
          <cell r="D1939" t="str">
            <v>Kiziba</v>
          </cell>
          <cell r="F1939">
            <v>1261</v>
          </cell>
        </row>
        <row r="1940">
          <cell r="A1940" t="str">
            <v>MIZINDA</v>
          </cell>
          <cell r="F1940">
            <v>1261</v>
          </cell>
        </row>
        <row r="1941">
          <cell r="A1941" t="str">
            <v>KIKONGE</v>
          </cell>
          <cell r="F1941">
            <v>1261</v>
          </cell>
        </row>
        <row r="1942">
          <cell r="A1942" t="str">
            <v>GOBERO</v>
          </cell>
          <cell r="F1942">
            <v>1261</v>
          </cell>
        </row>
        <row r="1943">
          <cell r="A1943" t="str">
            <v>Kyalulangira</v>
          </cell>
          <cell r="B1943" t="str">
            <v>Rakai</v>
          </cell>
          <cell r="C1943" t="str">
            <v>Kooki</v>
          </cell>
          <cell r="D1943" t="str">
            <v>Kyalulangira</v>
          </cell>
          <cell r="F1943">
            <v>1262</v>
          </cell>
        </row>
        <row r="1944">
          <cell r="A1944" t="str">
            <v>Lwamaggwa</v>
          </cell>
          <cell r="B1944" t="str">
            <v>Rakai</v>
          </cell>
          <cell r="C1944" t="str">
            <v>Kooki</v>
          </cell>
          <cell r="D1944" t="str">
            <v>Lwamaggwa</v>
          </cell>
          <cell r="F1944">
            <v>1263</v>
          </cell>
        </row>
        <row r="1945">
          <cell r="A1945" t="str">
            <v>Lwanda</v>
          </cell>
          <cell r="B1945" t="str">
            <v>Rakai</v>
          </cell>
          <cell r="C1945" t="str">
            <v>Kooki</v>
          </cell>
          <cell r="D1945" t="str">
            <v>Lwanda</v>
          </cell>
          <cell r="F1945">
            <v>1264</v>
          </cell>
        </row>
        <row r="1946">
          <cell r="A1946" t="str">
            <v>KASENSERO</v>
          </cell>
          <cell r="F1946">
            <v>1264</v>
          </cell>
        </row>
        <row r="1947">
          <cell r="A1947" t="str">
            <v>Rakai Town Council</v>
          </cell>
          <cell r="B1947" t="str">
            <v>Rakai</v>
          </cell>
          <cell r="C1947" t="str">
            <v>Kooki</v>
          </cell>
          <cell r="D1947" t="str">
            <v>Rakai Town Council</v>
          </cell>
          <cell r="F1947">
            <v>1265</v>
          </cell>
        </row>
        <row r="1948">
          <cell r="A1948" t="str">
            <v>RAKAI</v>
          </cell>
          <cell r="F1948">
            <v>1265</v>
          </cell>
        </row>
        <row r="1949">
          <cell r="A1949" t="str">
            <v>Lukia</v>
          </cell>
          <cell r="F1949">
            <v>1265</v>
          </cell>
        </row>
        <row r="1950">
          <cell r="A1950" t="str">
            <v>Bubaare-Rubanda</v>
          </cell>
          <cell r="B1950" t="str">
            <v>Rubanda</v>
          </cell>
          <cell r="C1950" t="str">
            <v>Rubanda</v>
          </cell>
          <cell r="D1950" t="str">
            <v>Bubaare-Rubanda</v>
          </cell>
          <cell r="F1950">
            <v>1266</v>
          </cell>
        </row>
        <row r="1951">
          <cell r="A1951" t="str">
            <v>Bufundi</v>
          </cell>
          <cell r="B1951" t="str">
            <v>Rubanda</v>
          </cell>
          <cell r="C1951" t="str">
            <v>Rubanda</v>
          </cell>
          <cell r="D1951" t="str">
            <v>Bufundi</v>
          </cell>
          <cell r="F1951">
            <v>1267</v>
          </cell>
        </row>
        <row r="1952">
          <cell r="A1952" t="str">
            <v>Hamurwa</v>
          </cell>
          <cell r="B1952" t="str">
            <v>Rubanda</v>
          </cell>
          <cell r="C1952" t="str">
            <v>Rubanda</v>
          </cell>
          <cell r="D1952" t="str">
            <v>Hamurwa</v>
          </cell>
          <cell r="F1952">
            <v>1268</v>
          </cell>
        </row>
        <row r="1953">
          <cell r="A1953" t="str">
            <v>Hamurwa Town Council</v>
          </cell>
          <cell r="B1953" t="str">
            <v>Rubanda</v>
          </cell>
          <cell r="C1953" t="str">
            <v>Rubanda</v>
          </cell>
          <cell r="D1953" t="str">
            <v>Hamurwa Town Council</v>
          </cell>
          <cell r="F1953">
            <v>1269</v>
          </cell>
        </row>
        <row r="1954">
          <cell r="A1954" t="str">
            <v>Ikumba</v>
          </cell>
          <cell r="B1954" t="str">
            <v>Rubanda</v>
          </cell>
          <cell r="C1954" t="str">
            <v>Rubanda</v>
          </cell>
          <cell r="D1954" t="str">
            <v>Ikumba</v>
          </cell>
          <cell r="F1954">
            <v>1270</v>
          </cell>
        </row>
        <row r="1955">
          <cell r="A1955" t="str">
            <v>Muko</v>
          </cell>
          <cell r="B1955" t="str">
            <v>Rubanda</v>
          </cell>
          <cell r="C1955" t="str">
            <v>Rubanda</v>
          </cell>
          <cell r="D1955" t="str">
            <v>Muko</v>
          </cell>
          <cell r="F1955">
            <v>1271</v>
          </cell>
        </row>
        <row r="1956">
          <cell r="A1956" t="str">
            <v>Nyamweru</v>
          </cell>
          <cell r="B1956" t="str">
            <v>Rubanda</v>
          </cell>
          <cell r="C1956" t="str">
            <v>Rubanda</v>
          </cell>
          <cell r="D1956" t="str">
            <v>Nyamweru</v>
          </cell>
          <cell r="F1956">
            <v>1272</v>
          </cell>
        </row>
        <row r="1957">
          <cell r="A1957" t="str">
            <v>Rubanda Town Council</v>
          </cell>
          <cell r="B1957" t="str">
            <v>Rubanda</v>
          </cell>
          <cell r="C1957" t="str">
            <v>Rubanda</v>
          </cell>
          <cell r="D1957" t="str">
            <v>Rubanda Town Council</v>
          </cell>
          <cell r="F1957">
            <v>1273</v>
          </cell>
        </row>
        <row r="1958">
          <cell r="A1958" t="str">
            <v>Ruhija</v>
          </cell>
          <cell r="B1958" t="str">
            <v>Rubanda</v>
          </cell>
          <cell r="C1958" t="str">
            <v>Rubanda</v>
          </cell>
          <cell r="D1958" t="str">
            <v>Ruhija</v>
          </cell>
          <cell r="F1958">
            <v>1274</v>
          </cell>
        </row>
        <row r="1959">
          <cell r="A1959" t="str">
            <v>Katanda</v>
          </cell>
          <cell r="B1959" t="str">
            <v>Rubirizi</v>
          </cell>
          <cell r="C1959" t="str">
            <v>Katerera</v>
          </cell>
          <cell r="D1959" t="str">
            <v>Katanda</v>
          </cell>
          <cell r="F1959">
            <v>1275</v>
          </cell>
        </row>
        <row r="1960">
          <cell r="A1960" t="str">
            <v>Katerera</v>
          </cell>
          <cell r="B1960" t="str">
            <v>Rubirizi</v>
          </cell>
          <cell r="C1960" t="str">
            <v>Katerera</v>
          </cell>
          <cell r="D1960" t="str">
            <v>Katerera</v>
          </cell>
          <cell r="F1960">
            <v>1276</v>
          </cell>
        </row>
        <row r="1961">
          <cell r="A1961" t="str">
            <v>Katerera Town Council</v>
          </cell>
          <cell r="B1961" t="str">
            <v>Rubirizi</v>
          </cell>
          <cell r="C1961" t="str">
            <v>Katerera</v>
          </cell>
          <cell r="D1961" t="str">
            <v>Katerera Town Council</v>
          </cell>
          <cell r="F1961">
            <v>1277</v>
          </cell>
        </row>
        <row r="1962">
          <cell r="A1962" t="str">
            <v>Katunguru</v>
          </cell>
          <cell r="B1962" t="str">
            <v>Rubirizi</v>
          </cell>
          <cell r="C1962" t="str">
            <v>Bunyaruguru</v>
          </cell>
          <cell r="D1962" t="str">
            <v>Katunguru</v>
          </cell>
          <cell r="F1962">
            <v>1278</v>
          </cell>
        </row>
        <row r="1963">
          <cell r="A1963" t="str">
            <v>Kichwamba</v>
          </cell>
          <cell r="B1963" t="str">
            <v>Rubirizi</v>
          </cell>
          <cell r="C1963" t="str">
            <v>Bunyaruguru</v>
          </cell>
          <cell r="D1963" t="str">
            <v>Kichwamba</v>
          </cell>
          <cell r="F1963">
            <v>1279</v>
          </cell>
        </row>
        <row r="1964">
          <cell r="A1964" t="str">
            <v>Kirugu</v>
          </cell>
          <cell r="B1964" t="str">
            <v>Rubirizi</v>
          </cell>
          <cell r="C1964" t="str">
            <v>Katerera</v>
          </cell>
          <cell r="D1964" t="str">
            <v>Kirugu</v>
          </cell>
          <cell r="F1964">
            <v>1280</v>
          </cell>
        </row>
        <row r="1965">
          <cell r="A1965" t="str">
            <v>Kyabakara</v>
          </cell>
          <cell r="B1965" t="str">
            <v>Rubirizi</v>
          </cell>
          <cell r="C1965" t="str">
            <v>Katerera</v>
          </cell>
          <cell r="D1965" t="str">
            <v>Kyabakara</v>
          </cell>
          <cell r="F1965">
            <v>1281</v>
          </cell>
        </row>
        <row r="1966">
          <cell r="A1966" t="str">
            <v>Magambo</v>
          </cell>
          <cell r="B1966" t="str">
            <v>Rubirizi</v>
          </cell>
          <cell r="C1966" t="str">
            <v>Bunyaruguru</v>
          </cell>
          <cell r="D1966" t="str">
            <v>Magambo</v>
          </cell>
          <cell r="F1966">
            <v>1282</v>
          </cell>
        </row>
        <row r="1967">
          <cell r="A1967" t="str">
            <v>Rubiriziri Town Council</v>
          </cell>
          <cell r="B1967" t="str">
            <v>Rubirizi</v>
          </cell>
          <cell r="C1967" t="str">
            <v>Bunyaruguru</v>
          </cell>
          <cell r="D1967" t="str">
            <v>Rubiriziri Town Council</v>
          </cell>
          <cell r="F1967">
            <v>1283</v>
          </cell>
        </row>
        <row r="1968">
          <cell r="A1968" t="str">
            <v>Rubirizi</v>
          </cell>
          <cell r="B1968" t="str">
            <v>Rubirizi</v>
          </cell>
          <cell r="C1968" t="str">
            <v>Bunyaruguru</v>
          </cell>
          <cell r="D1968" t="str">
            <v>Rubirizi</v>
          </cell>
          <cell r="F1968">
            <v>1283</v>
          </cell>
        </row>
        <row r="1969">
          <cell r="A1969" t="str">
            <v>Rutoto</v>
          </cell>
          <cell r="B1969" t="str">
            <v>Rubirizi</v>
          </cell>
          <cell r="C1969" t="str">
            <v>Bunyaruguru</v>
          </cell>
          <cell r="D1969" t="str">
            <v>Rutoto</v>
          </cell>
          <cell r="F1969">
            <v>1284</v>
          </cell>
        </row>
        <row r="1970">
          <cell r="A1970" t="str">
            <v>Ryeru</v>
          </cell>
          <cell r="B1970" t="str">
            <v>Rubirizi</v>
          </cell>
          <cell r="C1970" t="str">
            <v>Bunyaruguru</v>
          </cell>
          <cell r="D1970" t="str">
            <v>Ryeru</v>
          </cell>
          <cell r="F1970">
            <v>1285</v>
          </cell>
        </row>
        <row r="1971">
          <cell r="A1971" t="str">
            <v>Bukinda</v>
          </cell>
          <cell r="B1971" t="str">
            <v>Rukiga</v>
          </cell>
          <cell r="C1971" t="str">
            <v>Rukiga</v>
          </cell>
          <cell r="D1971" t="str">
            <v>Bukinda</v>
          </cell>
          <cell r="F1971">
            <v>1286</v>
          </cell>
        </row>
        <row r="1972">
          <cell r="A1972" t="str">
            <v>Kamwezi</v>
          </cell>
          <cell r="B1972" t="str">
            <v>Rukiga</v>
          </cell>
          <cell r="C1972" t="str">
            <v>Rukiga</v>
          </cell>
          <cell r="D1972" t="str">
            <v>Kamwezi</v>
          </cell>
          <cell r="F1972">
            <v>1287</v>
          </cell>
        </row>
        <row r="1973">
          <cell r="A1973" t="str">
            <v>Kashambya</v>
          </cell>
          <cell r="B1973" t="str">
            <v>Rukiga</v>
          </cell>
          <cell r="C1973" t="str">
            <v>Rukiga</v>
          </cell>
          <cell r="D1973" t="str">
            <v>Kashambya</v>
          </cell>
          <cell r="F1973">
            <v>1288</v>
          </cell>
        </row>
        <row r="1974">
          <cell r="A1974" t="str">
            <v>Mparo Town Council</v>
          </cell>
          <cell r="B1974" t="str">
            <v>Rukiga</v>
          </cell>
          <cell r="C1974" t="str">
            <v>Rukiga</v>
          </cell>
          <cell r="D1974" t="str">
            <v>Mparo Town Council</v>
          </cell>
          <cell r="F1974">
            <v>1289</v>
          </cell>
        </row>
        <row r="1975">
          <cell r="A1975" t="str">
            <v>Muhanga Town Council</v>
          </cell>
          <cell r="B1975" t="str">
            <v>Rukiga</v>
          </cell>
          <cell r="C1975" t="str">
            <v>Rukiga</v>
          </cell>
          <cell r="D1975" t="str">
            <v>Muhanga Town Council</v>
          </cell>
          <cell r="F1975">
            <v>1290</v>
          </cell>
        </row>
        <row r="1976">
          <cell r="A1976" t="str">
            <v>Rwamucucu</v>
          </cell>
          <cell r="B1976" t="str">
            <v>Rukiga</v>
          </cell>
          <cell r="C1976" t="str">
            <v>Rukiga</v>
          </cell>
          <cell r="D1976" t="str">
            <v>Rwamucucu</v>
          </cell>
          <cell r="F1976">
            <v>1291</v>
          </cell>
        </row>
        <row r="1977">
          <cell r="A1977" t="str">
            <v>Bugangari</v>
          </cell>
          <cell r="B1977" t="str">
            <v>Rukungiri</v>
          </cell>
          <cell r="C1977" t="str">
            <v>Rujumbura</v>
          </cell>
          <cell r="D1977" t="str">
            <v>Bugangari</v>
          </cell>
          <cell r="F1977">
            <v>1292</v>
          </cell>
        </row>
        <row r="1978">
          <cell r="A1978" t="str">
            <v>Buhunga</v>
          </cell>
          <cell r="B1978" t="str">
            <v>Rukungiri</v>
          </cell>
          <cell r="C1978" t="str">
            <v>Rujumbura</v>
          </cell>
          <cell r="D1978" t="str">
            <v>Buhunga</v>
          </cell>
          <cell r="F1978">
            <v>1293</v>
          </cell>
        </row>
        <row r="1979">
          <cell r="A1979" t="str">
            <v>Bwanda</v>
          </cell>
          <cell r="F1979">
            <v>1293</v>
          </cell>
        </row>
        <row r="1980">
          <cell r="A1980" t="str">
            <v>Buyanja</v>
          </cell>
          <cell r="B1980" t="str">
            <v>Rukungiri</v>
          </cell>
          <cell r="C1980" t="str">
            <v>Rubabo</v>
          </cell>
          <cell r="D1980" t="str">
            <v>Buyanja</v>
          </cell>
          <cell r="F1980">
            <v>1294</v>
          </cell>
        </row>
        <row r="1981">
          <cell r="A1981" t="str">
            <v>Buyanja Town Council</v>
          </cell>
          <cell r="B1981" t="str">
            <v>Rukungiri</v>
          </cell>
          <cell r="C1981" t="str">
            <v>Rubabo</v>
          </cell>
          <cell r="D1981" t="str">
            <v>Buyanja Town Council</v>
          </cell>
          <cell r="F1981">
            <v>1295</v>
          </cell>
        </row>
        <row r="1982">
          <cell r="A1982" t="str">
            <v>Bwambara</v>
          </cell>
          <cell r="B1982" t="str">
            <v>Rukungiri</v>
          </cell>
          <cell r="C1982" t="str">
            <v>Rujumbura</v>
          </cell>
          <cell r="D1982" t="str">
            <v>Bwambara</v>
          </cell>
          <cell r="F1982">
            <v>1296</v>
          </cell>
        </row>
        <row r="1983">
          <cell r="A1983" t="str">
            <v>Kebisoni</v>
          </cell>
          <cell r="B1983" t="str">
            <v>Rukungiri</v>
          </cell>
          <cell r="C1983" t="str">
            <v>Rubabo</v>
          </cell>
          <cell r="D1983" t="str">
            <v>Kebisoni</v>
          </cell>
          <cell r="F1983">
            <v>1297</v>
          </cell>
        </row>
        <row r="1984">
          <cell r="A1984" t="str">
            <v>Kebisoni Town Council</v>
          </cell>
          <cell r="B1984" t="str">
            <v>Rukungiri</v>
          </cell>
          <cell r="C1984" t="str">
            <v>Rubabo</v>
          </cell>
          <cell r="D1984" t="str">
            <v>Kebisoni Town Council</v>
          </cell>
          <cell r="F1984">
            <v>1298</v>
          </cell>
        </row>
        <row r="1985">
          <cell r="A1985" t="str">
            <v>Nyakagyeme</v>
          </cell>
          <cell r="B1985" t="str">
            <v>Rukungiri</v>
          </cell>
          <cell r="C1985" t="str">
            <v>Rujumbura</v>
          </cell>
          <cell r="D1985" t="str">
            <v>Nyakagyeme</v>
          </cell>
          <cell r="F1985">
            <v>1299</v>
          </cell>
        </row>
        <row r="1986">
          <cell r="A1986" t="str">
            <v>Nyakishenyi</v>
          </cell>
          <cell r="B1986" t="str">
            <v>Rukungiri</v>
          </cell>
          <cell r="C1986" t="str">
            <v>Rubabo</v>
          </cell>
          <cell r="D1986" t="str">
            <v>Nyakishenyi</v>
          </cell>
          <cell r="F1986">
            <v>1300</v>
          </cell>
        </row>
        <row r="1987">
          <cell r="A1987" t="str">
            <v>Nyarushanje</v>
          </cell>
          <cell r="B1987" t="str">
            <v>Rukungiri</v>
          </cell>
          <cell r="C1987" t="str">
            <v>Rubabo</v>
          </cell>
          <cell r="D1987" t="str">
            <v>Nyarushanje</v>
          </cell>
          <cell r="F1987">
            <v>1301</v>
          </cell>
        </row>
        <row r="1988">
          <cell r="A1988" t="str">
            <v>Ruhinda</v>
          </cell>
          <cell r="B1988" t="str">
            <v>Rukungiri</v>
          </cell>
          <cell r="C1988" t="str">
            <v>Rujumbura</v>
          </cell>
          <cell r="D1988" t="str">
            <v>Ruhinda</v>
          </cell>
          <cell r="F1988">
            <v>1302</v>
          </cell>
        </row>
        <row r="1989">
          <cell r="A1989" t="str">
            <v>Rukungiri Municipality</v>
          </cell>
          <cell r="B1989" t="str">
            <v>Rukungiri</v>
          </cell>
          <cell r="C1989" t="str">
            <v>Rukungiri Municipality</v>
          </cell>
          <cell r="D1989" t="str">
            <v>Rukungiri Municipality</v>
          </cell>
          <cell r="F1989">
            <v>1303</v>
          </cell>
        </row>
        <row r="1990">
          <cell r="A1990" t="str">
            <v>RUKUNGIRI TOWN</v>
          </cell>
          <cell r="F1990">
            <v>1303</v>
          </cell>
        </row>
        <row r="1991">
          <cell r="A1991" t="str">
            <v xml:space="preserve">Rukungiri </v>
          </cell>
          <cell r="F1991">
            <v>1303</v>
          </cell>
        </row>
        <row r="1992">
          <cell r="A1992" t="str">
            <v>Lukwingiri</v>
          </cell>
          <cell r="F1992">
            <v>1303</v>
          </cell>
        </row>
        <row r="1993">
          <cell r="A1993" t="str">
            <v>RUKUNGRI</v>
          </cell>
          <cell r="F1993">
            <v>1303</v>
          </cell>
        </row>
        <row r="1994">
          <cell r="A1994" t="str">
            <v>RUKUNGIRI</v>
          </cell>
          <cell r="F1994">
            <v>1303</v>
          </cell>
        </row>
        <row r="1995">
          <cell r="A1995" t="str">
            <v>Atiira</v>
          </cell>
          <cell r="B1995" t="str">
            <v>Serere</v>
          </cell>
          <cell r="C1995" t="str">
            <v>Serere</v>
          </cell>
          <cell r="D1995" t="str">
            <v>Atiira</v>
          </cell>
          <cell r="F1995">
            <v>1304</v>
          </cell>
        </row>
        <row r="1996">
          <cell r="A1996" t="str">
            <v>Bugondo</v>
          </cell>
          <cell r="B1996" t="str">
            <v>Serere</v>
          </cell>
          <cell r="C1996" t="str">
            <v>Kasilo</v>
          </cell>
          <cell r="D1996" t="str">
            <v>Bugondo</v>
          </cell>
          <cell r="F1996">
            <v>1305</v>
          </cell>
        </row>
        <row r="1997">
          <cell r="A1997" t="str">
            <v>Kadungulu</v>
          </cell>
          <cell r="B1997" t="str">
            <v>Serere</v>
          </cell>
          <cell r="C1997" t="str">
            <v>Kasilo</v>
          </cell>
          <cell r="D1997" t="str">
            <v>Kadungulu</v>
          </cell>
          <cell r="F1997">
            <v>1306</v>
          </cell>
        </row>
        <row r="1998">
          <cell r="A1998" t="str">
            <v>Kasilo Town Council</v>
          </cell>
          <cell r="B1998" t="str">
            <v>Serere</v>
          </cell>
          <cell r="C1998" t="str">
            <v>Kasilo</v>
          </cell>
          <cell r="D1998" t="str">
            <v>Kasilo Town Council</v>
          </cell>
          <cell r="F1998">
            <v>1307</v>
          </cell>
        </row>
        <row r="1999">
          <cell r="A1999" t="str">
            <v>Kateta</v>
          </cell>
          <cell r="B1999" t="str">
            <v>Serere</v>
          </cell>
          <cell r="C1999" t="str">
            <v>Serere</v>
          </cell>
          <cell r="D1999" t="str">
            <v>Kateta</v>
          </cell>
          <cell r="F1999">
            <v>1308</v>
          </cell>
        </row>
        <row r="2000">
          <cell r="A2000" t="str">
            <v>Kyere</v>
          </cell>
          <cell r="B2000" t="str">
            <v>Serere</v>
          </cell>
          <cell r="C2000" t="str">
            <v>Serere</v>
          </cell>
          <cell r="D2000" t="str">
            <v>Kyere</v>
          </cell>
          <cell r="F2000">
            <v>1309</v>
          </cell>
        </row>
        <row r="2001">
          <cell r="A2001" t="str">
            <v>Labori</v>
          </cell>
          <cell r="B2001" t="str">
            <v>Serere</v>
          </cell>
          <cell r="C2001" t="str">
            <v>Kasilo</v>
          </cell>
          <cell r="D2001" t="str">
            <v>Labori</v>
          </cell>
          <cell r="F2001">
            <v>1310</v>
          </cell>
        </row>
        <row r="2002">
          <cell r="A2002" t="str">
            <v>Olio</v>
          </cell>
          <cell r="B2002" t="str">
            <v>Serere</v>
          </cell>
          <cell r="C2002" t="str">
            <v>Serere</v>
          </cell>
          <cell r="D2002" t="str">
            <v>Olio</v>
          </cell>
          <cell r="F2002">
            <v>1311</v>
          </cell>
        </row>
        <row r="2003">
          <cell r="A2003" t="str">
            <v>Pingire</v>
          </cell>
          <cell r="B2003" t="str">
            <v>Serere</v>
          </cell>
          <cell r="C2003" t="str">
            <v>Kasilo</v>
          </cell>
          <cell r="D2003" t="str">
            <v>Pingire</v>
          </cell>
          <cell r="F2003">
            <v>1312</v>
          </cell>
        </row>
        <row r="2004">
          <cell r="A2004" t="str">
            <v>Serere Town Council</v>
          </cell>
          <cell r="B2004" t="str">
            <v>Serere</v>
          </cell>
          <cell r="C2004" t="str">
            <v>Serere</v>
          </cell>
          <cell r="D2004" t="str">
            <v>Serere Town Council</v>
          </cell>
          <cell r="F2004">
            <v>1313</v>
          </cell>
        </row>
        <row r="2005">
          <cell r="A2005" t="str">
            <v>SERERE</v>
          </cell>
          <cell r="F2005">
            <v>1313</v>
          </cell>
        </row>
        <row r="2006">
          <cell r="A2006" t="str">
            <v>Bugongi Town Council</v>
          </cell>
          <cell r="B2006" t="str">
            <v>Sheema</v>
          </cell>
          <cell r="C2006" t="str">
            <v>Sheema</v>
          </cell>
          <cell r="D2006" t="str">
            <v>Bugongi Town Council</v>
          </cell>
          <cell r="F2006">
            <v>1314</v>
          </cell>
        </row>
        <row r="2007">
          <cell r="A2007" t="str">
            <v>Kagango Division-Sheema</v>
          </cell>
          <cell r="B2007" t="str">
            <v>Sheema</v>
          </cell>
          <cell r="C2007" t="str">
            <v>Sheema Municipality</v>
          </cell>
          <cell r="D2007" t="str">
            <v>Kagango Division-Sheema</v>
          </cell>
          <cell r="F2007">
            <v>1315</v>
          </cell>
        </row>
        <row r="2008">
          <cell r="A2008" t="str">
            <v>Kakindo Town Council</v>
          </cell>
          <cell r="B2008" t="str">
            <v>Sheema</v>
          </cell>
          <cell r="C2008" t="str">
            <v>Sheema</v>
          </cell>
          <cell r="D2008" t="str">
            <v>Kakindo Town Council</v>
          </cell>
          <cell r="F2008">
            <v>1316</v>
          </cell>
        </row>
        <row r="2009">
          <cell r="A2009" t="str">
            <v>Kasaana</v>
          </cell>
          <cell r="B2009" t="str">
            <v>Sheema</v>
          </cell>
          <cell r="C2009" t="str">
            <v>Sheema</v>
          </cell>
          <cell r="D2009" t="str">
            <v>Kasaana</v>
          </cell>
          <cell r="F2009">
            <v>1317</v>
          </cell>
        </row>
        <row r="2010">
          <cell r="A2010" t="str">
            <v>KASANA</v>
          </cell>
          <cell r="F2010">
            <v>1317</v>
          </cell>
        </row>
        <row r="2011">
          <cell r="A2011" t="str">
            <v>Kigarama</v>
          </cell>
          <cell r="B2011" t="str">
            <v>Sheema</v>
          </cell>
          <cell r="C2011" t="str">
            <v>Sheema</v>
          </cell>
          <cell r="D2011" t="str">
            <v>Kigarama</v>
          </cell>
          <cell r="F2011">
            <v>1318</v>
          </cell>
        </row>
        <row r="2012">
          <cell r="A2012" t="str">
            <v>Kitagata</v>
          </cell>
          <cell r="B2012" t="str">
            <v>Sheema</v>
          </cell>
          <cell r="C2012" t="str">
            <v>Sheema</v>
          </cell>
          <cell r="D2012" t="str">
            <v>Kitagata</v>
          </cell>
          <cell r="F2012">
            <v>1319</v>
          </cell>
        </row>
        <row r="2013">
          <cell r="A2013" t="str">
            <v>Kyangyenyi</v>
          </cell>
          <cell r="B2013" t="str">
            <v>Sheema</v>
          </cell>
          <cell r="C2013" t="str">
            <v>Sheema</v>
          </cell>
          <cell r="D2013" t="str">
            <v>Kyangyenyi</v>
          </cell>
          <cell r="F2013">
            <v>1320</v>
          </cell>
        </row>
        <row r="2014">
          <cell r="A2014" t="str">
            <v>Masheruka</v>
          </cell>
          <cell r="B2014" t="str">
            <v>Sheema</v>
          </cell>
          <cell r="C2014" t="str">
            <v>Sheema</v>
          </cell>
          <cell r="D2014" t="str">
            <v>Masheruka</v>
          </cell>
          <cell r="F2014">
            <v>1321</v>
          </cell>
        </row>
        <row r="2015">
          <cell r="A2015" t="str">
            <v>Rugarama-Sheema</v>
          </cell>
          <cell r="B2015" t="str">
            <v>Sheema</v>
          </cell>
          <cell r="C2015" t="str">
            <v>Sheema</v>
          </cell>
          <cell r="D2015" t="str">
            <v>Rugarama-Sheema</v>
          </cell>
          <cell r="F2015">
            <v>1322</v>
          </cell>
        </row>
        <row r="2016">
          <cell r="A2016" t="str">
            <v>Sheema Municipality</v>
          </cell>
          <cell r="B2016" t="str">
            <v>Sheema</v>
          </cell>
          <cell r="C2016" t="str">
            <v>Sheema Municipality</v>
          </cell>
          <cell r="D2016" t="str">
            <v>Sheema Municipality</v>
          </cell>
          <cell r="F2016">
            <v>1323</v>
          </cell>
        </row>
        <row r="2017">
          <cell r="A2017" t="str">
            <v>KABWOHE</v>
          </cell>
          <cell r="F2017">
            <v>1323</v>
          </cell>
        </row>
        <row r="2018">
          <cell r="A2018" t="str">
            <v>Shuuku</v>
          </cell>
          <cell r="B2018" t="str">
            <v>Sheema</v>
          </cell>
          <cell r="C2018" t="str">
            <v>Sheema</v>
          </cell>
          <cell r="D2018" t="str">
            <v>Shuuku</v>
          </cell>
          <cell r="F2018">
            <v>1324</v>
          </cell>
        </row>
        <row r="2019">
          <cell r="A2019" t="str">
            <v>Shuuku Town Council</v>
          </cell>
          <cell r="B2019" t="str">
            <v>Sheema</v>
          </cell>
          <cell r="C2019" t="str">
            <v>Sheema</v>
          </cell>
          <cell r="D2019" t="str">
            <v>Shuuku Town Council</v>
          </cell>
          <cell r="F2019">
            <v>1325</v>
          </cell>
        </row>
        <row r="2020">
          <cell r="A2020" t="str">
            <v>Budadiri Town Council</v>
          </cell>
          <cell r="B2020" t="str">
            <v>Sironko</v>
          </cell>
          <cell r="C2020" t="str">
            <v>Budadiri</v>
          </cell>
          <cell r="D2020" t="str">
            <v>Budadiri Town Council</v>
          </cell>
          <cell r="F2020">
            <v>1326</v>
          </cell>
        </row>
        <row r="2021">
          <cell r="A2021" t="str">
            <v>Bugitimwa</v>
          </cell>
          <cell r="B2021" t="str">
            <v>Sironko</v>
          </cell>
          <cell r="C2021" t="str">
            <v>Budadiri</v>
          </cell>
          <cell r="D2021" t="str">
            <v>Bugitimwa</v>
          </cell>
          <cell r="F2021">
            <v>1327</v>
          </cell>
        </row>
        <row r="2022">
          <cell r="A2022" t="str">
            <v>Buhugu</v>
          </cell>
          <cell r="B2022" t="str">
            <v>Sironko</v>
          </cell>
          <cell r="C2022" t="str">
            <v>Budadiri</v>
          </cell>
          <cell r="D2022" t="str">
            <v>Buhugu</v>
          </cell>
          <cell r="F2022">
            <v>1328</v>
          </cell>
        </row>
        <row r="2023">
          <cell r="A2023" t="str">
            <v>Malukuu</v>
          </cell>
          <cell r="F2023">
            <v>1328</v>
          </cell>
        </row>
        <row r="2024">
          <cell r="A2024" t="str">
            <v>Bukhulo</v>
          </cell>
          <cell r="B2024" t="str">
            <v>Sironko</v>
          </cell>
          <cell r="C2024" t="str">
            <v>Budadiri</v>
          </cell>
          <cell r="D2024" t="str">
            <v>Bukhulo</v>
          </cell>
          <cell r="F2024">
            <v>1329</v>
          </cell>
        </row>
        <row r="2025">
          <cell r="A2025" t="str">
            <v>Bukiise</v>
          </cell>
          <cell r="B2025" t="str">
            <v>Sironko</v>
          </cell>
          <cell r="C2025" t="str">
            <v>Budadiri</v>
          </cell>
          <cell r="D2025" t="str">
            <v>Bukiise</v>
          </cell>
          <cell r="F2025">
            <v>1330</v>
          </cell>
        </row>
        <row r="2026">
          <cell r="A2026" t="str">
            <v>Bukiyi</v>
          </cell>
          <cell r="B2026" t="str">
            <v>Sironko</v>
          </cell>
          <cell r="C2026" t="str">
            <v>Budadiri</v>
          </cell>
          <cell r="D2026" t="str">
            <v>Bukiyi</v>
          </cell>
          <cell r="F2026">
            <v>1331</v>
          </cell>
        </row>
        <row r="2027">
          <cell r="A2027" t="str">
            <v>Bukyabo</v>
          </cell>
          <cell r="B2027" t="str">
            <v>Sironko</v>
          </cell>
          <cell r="C2027" t="str">
            <v>Budadiri</v>
          </cell>
          <cell r="D2027" t="str">
            <v>Bukyabo</v>
          </cell>
          <cell r="F2027">
            <v>1332</v>
          </cell>
        </row>
        <row r="2028">
          <cell r="A2028" t="str">
            <v>Bukyambi</v>
          </cell>
          <cell r="B2028" t="str">
            <v>Sironko</v>
          </cell>
          <cell r="C2028" t="str">
            <v>Budadiri</v>
          </cell>
          <cell r="D2028" t="str">
            <v>Bukyambi</v>
          </cell>
          <cell r="F2028">
            <v>1333</v>
          </cell>
        </row>
        <row r="2029">
          <cell r="A2029" t="str">
            <v>Bumalimba</v>
          </cell>
          <cell r="B2029" t="str">
            <v>Sironko</v>
          </cell>
          <cell r="C2029" t="str">
            <v>Budadiri</v>
          </cell>
          <cell r="D2029" t="str">
            <v>Bumalimba</v>
          </cell>
          <cell r="F2029">
            <v>1334</v>
          </cell>
        </row>
        <row r="2030">
          <cell r="A2030" t="str">
            <v>Bumasifwa</v>
          </cell>
          <cell r="B2030" t="str">
            <v>Sironko</v>
          </cell>
          <cell r="C2030" t="str">
            <v>Budadiri</v>
          </cell>
          <cell r="D2030" t="str">
            <v>Bumasifwa</v>
          </cell>
          <cell r="F2030">
            <v>1335</v>
          </cell>
        </row>
        <row r="2031">
          <cell r="A2031" t="str">
            <v>Bunyafa</v>
          </cell>
          <cell r="B2031" t="str">
            <v>Sironko</v>
          </cell>
          <cell r="C2031" t="str">
            <v>Budadiri</v>
          </cell>
          <cell r="D2031" t="str">
            <v>Bunyafa</v>
          </cell>
          <cell r="F2031">
            <v>1336</v>
          </cell>
        </row>
        <row r="2032">
          <cell r="A2032" t="str">
            <v>Busulani</v>
          </cell>
          <cell r="B2032" t="str">
            <v>Sironko</v>
          </cell>
          <cell r="C2032" t="str">
            <v>Budadiri</v>
          </cell>
          <cell r="D2032" t="str">
            <v>Busulani</v>
          </cell>
          <cell r="F2032">
            <v>1337</v>
          </cell>
        </row>
        <row r="2033">
          <cell r="A2033" t="str">
            <v>Butandiga</v>
          </cell>
          <cell r="B2033" t="str">
            <v>Sironko</v>
          </cell>
          <cell r="C2033" t="str">
            <v>Budadiri</v>
          </cell>
          <cell r="D2033" t="str">
            <v>Butandiga</v>
          </cell>
          <cell r="F2033">
            <v>1338</v>
          </cell>
        </row>
        <row r="2034">
          <cell r="A2034" t="str">
            <v>Buteza</v>
          </cell>
          <cell r="B2034" t="str">
            <v>Sironko</v>
          </cell>
          <cell r="C2034" t="str">
            <v>Budadiri</v>
          </cell>
          <cell r="D2034" t="str">
            <v>Buteza</v>
          </cell>
          <cell r="F2034">
            <v>1339</v>
          </cell>
        </row>
        <row r="2035">
          <cell r="A2035" t="str">
            <v>Buwalasi</v>
          </cell>
          <cell r="B2035" t="str">
            <v>Sironko</v>
          </cell>
          <cell r="C2035" t="str">
            <v>Budadiri</v>
          </cell>
          <cell r="D2035" t="str">
            <v>Buwalasi</v>
          </cell>
          <cell r="F2035">
            <v>1340</v>
          </cell>
        </row>
        <row r="2036">
          <cell r="A2036" t="str">
            <v>Buwasa</v>
          </cell>
          <cell r="B2036" t="str">
            <v>Sironko</v>
          </cell>
          <cell r="C2036" t="str">
            <v>Budadiri</v>
          </cell>
          <cell r="D2036" t="str">
            <v>Buwasa</v>
          </cell>
          <cell r="F2036">
            <v>1341</v>
          </cell>
        </row>
        <row r="2037">
          <cell r="A2037" t="str">
            <v>Buyobo</v>
          </cell>
          <cell r="B2037" t="str">
            <v>Sironko</v>
          </cell>
          <cell r="C2037" t="str">
            <v>Budadiri</v>
          </cell>
          <cell r="D2037" t="str">
            <v>Buyobo</v>
          </cell>
          <cell r="F2037">
            <v>1342</v>
          </cell>
        </row>
        <row r="2038">
          <cell r="A2038" t="str">
            <v>Masaba-Sironko</v>
          </cell>
          <cell r="B2038" t="str">
            <v>Sironko</v>
          </cell>
          <cell r="C2038" t="str">
            <v>Budadiri</v>
          </cell>
          <cell r="D2038" t="str">
            <v>Masaba-Sironko</v>
          </cell>
          <cell r="F2038">
            <v>1343</v>
          </cell>
        </row>
        <row r="2039">
          <cell r="A2039" t="str">
            <v>Nalusala</v>
          </cell>
          <cell r="B2039" t="str">
            <v>Sironko</v>
          </cell>
          <cell r="C2039" t="str">
            <v>Budadiri</v>
          </cell>
          <cell r="D2039" t="str">
            <v>Nalusala</v>
          </cell>
          <cell r="F2039">
            <v>1344</v>
          </cell>
        </row>
        <row r="2040">
          <cell r="A2040" t="str">
            <v>Sironko Town Council</v>
          </cell>
          <cell r="B2040" t="str">
            <v>Sironko</v>
          </cell>
          <cell r="C2040" t="str">
            <v>Budadiri</v>
          </cell>
          <cell r="D2040" t="str">
            <v>Sironko Town Council</v>
          </cell>
          <cell r="F2040">
            <v>1345</v>
          </cell>
        </row>
        <row r="2041">
          <cell r="A2041" t="str">
            <v>Sironko</v>
          </cell>
          <cell r="F2041">
            <v>1345</v>
          </cell>
        </row>
        <row r="2042">
          <cell r="A2042" t="str">
            <v>Zesui</v>
          </cell>
          <cell r="B2042" t="str">
            <v>Sironko</v>
          </cell>
          <cell r="C2042" t="str">
            <v>Budadiri</v>
          </cell>
          <cell r="D2042" t="str">
            <v>Zesui</v>
          </cell>
          <cell r="F2042">
            <v>1346</v>
          </cell>
        </row>
        <row r="2043">
          <cell r="A2043" t="str">
            <v>Arapai</v>
          </cell>
          <cell r="B2043" t="str">
            <v>Soroti</v>
          </cell>
          <cell r="C2043" t="str">
            <v>Soroti</v>
          </cell>
          <cell r="D2043" t="str">
            <v>Arapai</v>
          </cell>
          <cell r="F2043">
            <v>1347</v>
          </cell>
        </row>
        <row r="2044">
          <cell r="A2044" t="str">
            <v>Arapayi</v>
          </cell>
          <cell r="F2044">
            <v>1347</v>
          </cell>
        </row>
        <row r="2045">
          <cell r="A2045" t="str">
            <v>Asuret</v>
          </cell>
          <cell r="B2045" t="str">
            <v>Soroti</v>
          </cell>
          <cell r="C2045" t="str">
            <v>Soroti</v>
          </cell>
          <cell r="D2045" t="str">
            <v>Asuret</v>
          </cell>
          <cell r="F2045">
            <v>1348</v>
          </cell>
        </row>
        <row r="2046">
          <cell r="A2046" t="str">
            <v>Gweri</v>
          </cell>
          <cell r="B2046" t="str">
            <v>Soroti</v>
          </cell>
          <cell r="C2046" t="str">
            <v>Soroti</v>
          </cell>
          <cell r="D2046" t="str">
            <v>Gweri</v>
          </cell>
          <cell r="F2046">
            <v>1349</v>
          </cell>
        </row>
        <row r="2047">
          <cell r="A2047" t="str">
            <v>Kamuda</v>
          </cell>
          <cell r="B2047" t="str">
            <v>Soroti</v>
          </cell>
          <cell r="C2047" t="str">
            <v>Soroti</v>
          </cell>
          <cell r="D2047" t="str">
            <v>Kamuda</v>
          </cell>
          <cell r="F2047">
            <v>1350</v>
          </cell>
        </row>
        <row r="2048">
          <cell r="A2048" t="str">
            <v>Katine</v>
          </cell>
          <cell r="B2048" t="str">
            <v>Soroti</v>
          </cell>
          <cell r="C2048" t="str">
            <v>Soroti</v>
          </cell>
          <cell r="D2048" t="str">
            <v>Katine</v>
          </cell>
          <cell r="F2048">
            <v>1351</v>
          </cell>
        </row>
        <row r="2049">
          <cell r="A2049" t="str">
            <v>Soroti</v>
          </cell>
          <cell r="B2049" t="str">
            <v>Soroti</v>
          </cell>
          <cell r="C2049" t="str">
            <v>Soroti</v>
          </cell>
          <cell r="D2049" t="str">
            <v>Soroti</v>
          </cell>
          <cell r="F2049">
            <v>1352</v>
          </cell>
        </row>
        <row r="2050">
          <cell r="A2050" t="str">
            <v>NAKIKWA</v>
          </cell>
          <cell r="F2050">
            <v>1352</v>
          </cell>
        </row>
        <row r="2051">
          <cell r="A2051" t="str">
            <v>SOROTI TOWN</v>
          </cell>
          <cell r="F2051">
            <v>1352</v>
          </cell>
        </row>
        <row r="2052">
          <cell r="A2052" t="str">
            <v>Soroti Municipality</v>
          </cell>
          <cell r="B2052" t="str">
            <v>Soroti</v>
          </cell>
          <cell r="C2052" t="str">
            <v>Soroti Municipality</v>
          </cell>
          <cell r="D2052" t="str">
            <v>Soroti Municipality</v>
          </cell>
          <cell r="F2052">
            <v>1353</v>
          </cell>
        </row>
        <row r="2053">
          <cell r="A2053" t="str">
            <v>SOROTI TC</v>
          </cell>
          <cell r="F2053">
            <v>1353</v>
          </cell>
        </row>
        <row r="2054">
          <cell r="A2054" t="str">
            <v>Tubur</v>
          </cell>
          <cell r="B2054" t="str">
            <v>Soroti</v>
          </cell>
          <cell r="C2054" t="str">
            <v>Soroti</v>
          </cell>
          <cell r="D2054" t="str">
            <v>Tubur</v>
          </cell>
          <cell r="F2054">
            <v>1354</v>
          </cell>
        </row>
        <row r="2055">
          <cell r="A2055" t="str">
            <v>Lugusulu</v>
          </cell>
          <cell r="B2055" t="str">
            <v>Ssembabule</v>
          </cell>
          <cell r="C2055" t="str">
            <v>Mawogola</v>
          </cell>
          <cell r="D2055" t="str">
            <v>Lugusulu</v>
          </cell>
          <cell r="F2055">
            <v>1355</v>
          </cell>
        </row>
        <row r="2056">
          <cell r="A2056" t="str">
            <v>Lwebitakuli</v>
          </cell>
          <cell r="B2056" t="str">
            <v>Ssembabule</v>
          </cell>
          <cell r="C2056" t="str">
            <v>Mawogola</v>
          </cell>
          <cell r="D2056" t="str">
            <v>Lwebitakuli</v>
          </cell>
          <cell r="F2056">
            <v>1356</v>
          </cell>
        </row>
        <row r="2057">
          <cell r="A2057" t="str">
            <v>Lwemiyaga</v>
          </cell>
          <cell r="B2057" t="str">
            <v>Ssembabule</v>
          </cell>
          <cell r="C2057" t="str">
            <v>Lwemiyaga</v>
          </cell>
          <cell r="D2057" t="str">
            <v>Lwemiyaga</v>
          </cell>
          <cell r="F2057">
            <v>1357</v>
          </cell>
        </row>
        <row r="2058">
          <cell r="A2058" t="str">
            <v>Mateete</v>
          </cell>
          <cell r="B2058" t="str">
            <v>Ssembabule</v>
          </cell>
          <cell r="C2058" t="str">
            <v>Mawogola</v>
          </cell>
          <cell r="D2058" t="str">
            <v>Mateete</v>
          </cell>
          <cell r="F2058">
            <v>1358</v>
          </cell>
        </row>
        <row r="2059">
          <cell r="A2059" t="str">
            <v>Mateete Town Council</v>
          </cell>
          <cell r="B2059" t="str">
            <v>Ssembabule</v>
          </cell>
          <cell r="C2059" t="str">
            <v>Mawogola</v>
          </cell>
          <cell r="D2059" t="str">
            <v>Mateete Town Council</v>
          </cell>
          <cell r="F2059">
            <v>1359</v>
          </cell>
        </row>
        <row r="2060">
          <cell r="A2060" t="str">
            <v>Mijwala</v>
          </cell>
          <cell r="B2060" t="str">
            <v>Ssembabule</v>
          </cell>
          <cell r="C2060" t="str">
            <v>Mawogola</v>
          </cell>
          <cell r="D2060" t="str">
            <v>Mijwala</v>
          </cell>
          <cell r="F2060">
            <v>1360</v>
          </cell>
        </row>
        <row r="2061">
          <cell r="A2061" t="str">
            <v>Ntuusi</v>
          </cell>
          <cell r="B2061" t="str">
            <v>Ssembabule</v>
          </cell>
          <cell r="C2061" t="str">
            <v>Lwemiyaga</v>
          </cell>
          <cell r="D2061" t="str">
            <v>Ntuusi</v>
          </cell>
          <cell r="F2061">
            <v>1361</v>
          </cell>
        </row>
        <row r="2062">
          <cell r="A2062" t="str">
            <v>Sembabule Town Council</v>
          </cell>
          <cell r="B2062" t="str">
            <v>Ssembabule</v>
          </cell>
          <cell r="C2062" t="str">
            <v>Mawogola</v>
          </cell>
          <cell r="D2062" t="str">
            <v>Sembabule Town Council</v>
          </cell>
          <cell r="F2062">
            <v>1362</v>
          </cell>
        </row>
        <row r="2063">
          <cell r="A2063" t="str">
            <v>SEMBABULE</v>
          </cell>
          <cell r="F2063">
            <v>1362</v>
          </cell>
        </row>
        <row r="2064">
          <cell r="A2064" t="str">
            <v>Sembabula</v>
          </cell>
          <cell r="F2064">
            <v>1362</v>
          </cell>
        </row>
        <row r="2065">
          <cell r="A2065" t="str">
            <v>Iyolwa</v>
          </cell>
          <cell r="B2065" t="str">
            <v>Tororo</v>
          </cell>
          <cell r="C2065" t="str">
            <v>West Budama</v>
          </cell>
          <cell r="D2065" t="str">
            <v>Iyolwa</v>
          </cell>
          <cell r="F2065">
            <v>1363</v>
          </cell>
        </row>
        <row r="2066">
          <cell r="A2066" t="str">
            <v>Kirewa</v>
          </cell>
          <cell r="B2066" t="str">
            <v>Tororo</v>
          </cell>
          <cell r="C2066" t="str">
            <v>West Budama</v>
          </cell>
          <cell r="D2066" t="str">
            <v>Kirewa</v>
          </cell>
          <cell r="F2066">
            <v>1364</v>
          </cell>
        </row>
        <row r="2067">
          <cell r="A2067" t="str">
            <v>Kisoko</v>
          </cell>
          <cell r="B2067" t="str">
            <v>Tororo</v>
          </cell>
          <cell r="C2067" t="str">
            <v>West Budama</v>
          </cell>
          <cell r="D2067" t="str">
            <v>Kisoko</v>
          </cell>
          <cell r="F2067">
            <v>1365</v>
          </cell>
        </row>
        <row r="2068">
          <cell r="A2068" t="str">
            <v>Kwapa</v>
          </cell>
          <cell r="B2068" t="str">
            <v>Tororo</v>
          </cell>
          <cell r="C2068" t="str">
            <v>Tororo</v>
          </cell>
          <cell r="D2068" t="str">
            <v>Kwapa</v>
          </cell>
          <cell r="F2068">
            <v>1366</v>
          </cell>
        </row>
        <row r="2069">
          <cell r="A2069" t="str">
            <v>Magola</v>
          </cell>
          <cell r="B2069" t="str">
            <v>Tororo</v>
          </cell>
          <cell r="C2069" t="str">
            <v>West Budama</v>
          </cell>
          <cell r="D2069" t="str">
            <v>Magola</v>
          </cell>
          <cell r="F2069">
            <v>1367</v>
          </cell>
        </row>
        <row r="2070">
          <cell r="A2070" t="str">
            <v>MORIKATIPE</v>
          </cell>
          <cell r="F2070">
            <v>1367</v>
          </cell>
        </row>
        <row r="2071">
          <cell r="A2071" t="str">
            <v>Malaba Town Council</v>
          </cell>
          <cell r="B2071" t="str">
            <v>Tororo</v>
          </cell>
          <cell r="C2071" t="str">
            <v>Tororo</v>
          </cell>
          <cell r="D2071" t="str">
            <v>Malaba Town Council</v>
          </cell>
          <cell r="F2071">
            <v>1368</v>
          </cell>
        </row>
        <row r="2072">
          <cell r="A2072" t="str">
            <v>Lubowa</v>
          </cell>
          <cell r="F2072">
            <v>1368</v>
          </cell>
        </row>
        <row r="2073">
          <cell r="A2073" t="str">
            <v>LUGOBA</v>
          </cell>
          <cell r="F2073">
            <v>1368</v>
          </cell>
        </row>
        <row r="2074">
          <cell r="A2074" t="str">
            <v>LUBOGA</v>
          </cell>
          <cell r="F2074">
            <v>1368</v>
          </cell>
        </row>
        <row r="2075">
          <cell r="A2075" t="str">
            <v>Bunamwaya</v>
          </cell>
          <cell r="F2075">
            <v>1368</v>
          </cell>
        </row>
        <row r="2076">
          <cell r="A2076" t="str">
            <v>Mella</v>
          </cell>
          <cell r="B2076" t="str">
            <v>Tororo</v>
          </cell>
          <cell r="C2076" t="str">
            <v>Tororo</v>
          </cell>
          <cell r="D2076" t="str">
            <v>Mella</v>
          </cell>
          <cell r="F2076">
            <v>1369</v>
          </cell>
        </row>
        <row r="2077">
          <cell r="A2077" t="str">
            <v>OMAGORO</v>
          </cell>
          <cell r="F2077">
            <v>1369</v>
          </cell>
        </row>
        <row r="2078">
          <cell r="A2078" t="str">
            <v>Merikit</v>
          </cell>
          <cell r="B2078" t="str">
            <v>Tororo</v>
          </cell>
          <cell r="C2078" t="str">
            <v>Tororo</v>
          </cell>
          <cell r="D2078" t="str">
            <v>Merikit</v>
          </cell>
          <cell r="F2078">
            <v>1370</v>
          </cell>
        </row>
        <row r="2079">
          <cell r="A2079" t="str">
            <v>Molo</v>
          </cell>
          <cell r="B2079" t="str">
            <v>Tororo</v>
          </cell>
          <cell r="C2079" t="str">
            <v>Tororo</v>
          </cell>
          <cell r="D2079" t="str">
            <v>Molo</v>
          </cell>
          <cell r="F2079">
            <v>1371</v>
          </cell>
        </row>
        <row r="2080">
          <cell r="A2080" t="str">
            <v>MERCINE TRADING</v>
          </cell>
          <cell r="F2080">
            <v>1371</v>
          </cell>
        </row>
        <row r="2081">
          <cell r="A2081" t="str">
            <v>Mukuju</v>
          </cell>
          <cell r="B2081" t="str">
            <v>Tororo</v>
          </cell>
          <cell r="C2081" t="str">
            <v>Tororo</v>
          </cell>
          <cell r="D2081" t="str">
            <v>Mukuju</v>
          </cell>
          <cell r="F2081">
            <v>1372</v>
          </cell>
        </row>
        <row r="2082">
          <cell r="A2082" t="str">
            <v>Mulanda</v>
          </cell>
          <cell r="B2082" t="str">
            <v>Tororo</v>
          </cell>
          <cell r="C2082" t="str">
            <v>West Budama</v>
          </cell>
          <cell r="D2082" t="str">
            <v>Mulanda</v>
          </cell>
          <cell r="F2082">
            <v>1373</v>
          </cell>
        </row>
        <row r="2083">
          <cell r="A2083" t="str">
            <v>Nabuyoga</v>
          </cell>
          <cell r="B2083" t="str">
            <v>Tororo</v>
          </cell>
          <cell r="C2083" t="str">
            <v>West Budama</v>
          </cell>
          <cell r="D2083" t="str">
            <v>Nabuyoga</v>
          </cell>
          <cell r="F2083">
            <v>1374</v>
          </cell>
        </row>
        <row r="2084">
          <cell r="A2084" t="str">
            <v>Nagongera</v>
          </cell>
          <cell r="B2084" t="str">
            <v>Tororo</v>
          </cell>
          <cell r="C2084" t="str">
            <v>West Budama</v>
          </cell>
          <cell r="D2084" t="str">
            <v>Nagongera</v>
          </cell>
          <cell r="F2084">
            <v>1375</v>
          </cell>
        </row>
        <row r="2085">
          <cell r="A2085" t="str">
            <v>Nagongera Town Council</v>
          </cell>
          <cell r="B2085" t="str">
            <v>Tororo</v>
          </cell>
          <cell r="C2085" t="str">
            <v>West Budama</v>
          </cell>
          <cell r="D2085" t="str">
            <v>Nagongera Town Council</v>
          </cell>
          <cell r="F2085">
            <v>1376</v>
          </cell>
        </row>
        <row r="2086">
          <cell r="A2086" t="str">
            <v>Osukuru</v>
          </cell>
          <cell r="B2086" t="str">
            <v>Tororo</v>
          </cell>
          <cell r="C2086" t="str">
            <v>Tororo</v>
          </cell>
          <cell r="D2086" t="str">
            <v>Osukuru</v>
          </cell>
          <cell r="F2086">
            <v>1377</v>
          </cell>
        </row>
        <row r="2087">
          <cell r="A2087" t="str">
            <v>HIMA</v>
          </cell>
          <cell r="F2087">
            <v>1377</v>
          </cell>
        </row>
        <row r="2088">
          <cell r="A2088" t="str">
            <v>ORIOYI</v>
          </cell>
          <cell r="F2088">
            <v>1377</v>
          </cell>
        </row>
        <row r="2089">
          <cell r="A2089" t="str">
            <v>ANSIGE B</v>
          </cell>
          <cell r="F2089">
            <v>1377</v>
          </cell>
        </row>
        <row r="2090">
          <cell r="A2090" t="str">
            <v>QUARRY</v>
          </cell>
          <cell r="F2090">
            <v>1377</v>
          </cell>
        </row>
        <row r="2091">
          <cell r="A2091" t="str">
            <v>SIMBA</v>
          </cell>
          <cell r="F2091">
            <v>1377</v>
          </cell>
        </row>
        <row r="2092">
          <cell r="A2092" t="str">
            <v>AMAGORO</v>
          </cell>
          <cell r="F2092">
            <v>1377</v>
          </cell>
        </row>
        <row r="2093">
          <cell r="A2093" t="str">
            <v xml:space="preserve">MAGURIA </v>
          </cell>
          <cell r="F2093">
            <v>1377</v>
          </cell>
        </row>
        <row r="2094">
          <cell r="A2094" t="str">
            <v>NARU</v>
          </cell>
          <cell r="F2094">
            <v>1377</v>
          </cell>
        </row>
        <row r="2095">
          <cell r="A2095" t="str">
            <v>KONA UCI</v>
          </cell>
          <cell r="F2095">
            <v>1377</v>
          </cell>
        </row>
        <row r="2096">
          <cell r="A2096" t="str">
            <v>KONA</v>
          </cell>
          <cell r="F2096">
            <v>1377</v>
          </cell>
        </row>
        <row r="2097">
          <cell r="A2097" t="str">
            <v>TORORO CORNER</v>
          </cell>
          <cell r="F2097">
            <v>1377</v>
          </cell>
        </row>
        <row r="2098">
          <cell r="A2098" t="str">
            <v>MILE 1</v>
          </cell>
          <cell r="F2098">
            <v>1377</v>
          </cell>
        </row>
        <row r="2099">
          <cell r="A2099" t="str">
            <v>SIMBA CEMENT</v>
          </cell>
          <cell r="F2099">
            <v>1377</v>
          </cell>
        </row>
        <row r="2100">
          <cell r="A2100" t="str">
            <v>Paya</v>
          </cell>
          <cell r="B2100" t="str">
            <v>Tororo</v>
          </cell>
          <cell r="C2100" t="str">
            <v>West Budama</v>
          </cell>
          <cell r="D2100" t="str">
            <v>Paya</v>
          </cell>
          <cell r="F2100">
            <v>1378</v>
          </cell>
        </row>
        <row r="2101">
          <cell r="A2101" t="str">
            <v>Petta</v>
          </cell>
          <cell r="B2101" t="str">
            <v>Tororo</v>
          </cell>
          <cell r="C2101" t="str">
            <v>West Budama</v>
          </cell>
          <cell r="D2101" t="str">
            <v>Petta</v>
          </cell>
          <cell r="F2101">
            <v>1379</v>
          </cell>
        </row>
        <row r="2102">
          <cell r="A2102" t="str">
            <v>PETA</v>
          </cell>
          <cell r="F2102">
            <v>1379</v>
          </cell>
        </row>
        <row r="2103">
          <cell r="A2103" t="str">
            <v>Magodesi</v>
          </cell>
          <cell r="F2103">
            <v>1379</v>
          </cell>
        </row>
        <row r="2104">
          <cell r="A2104" t="str">
            <v>ASINGE</v>
          </cell>
          <cell r="F2104">
            <v>1379</v>
          </cell>
        </row>
        <row r="2105">
          <cell r="A2105" t="str">
            <v>Rubongi</v>
          </cell>
          <cell r="B2105" t="str">
            <v>Tororo</v>
          </cell>
          <cell r="C2105" t="str">
            <v>West Budama</v>
          </cell>
          <cell r="D2105" t="str">
            <v>Rubongi</v>
          </cell>
          <cell r="F2105">
            <v>1380</v>
          </cell>
        </row>
        <row r="2106">
          <cell r="A2106" t="str">
            <v>OFINYA</v>
          </cell>
          <cell r="F2106">
            <v>1380</v>
          </cell>
        </row>
        <row r="2107">
          <cell r="A2107" t="str">
            <v>POLICE BARRACKS</v>
          </cell>
          <cell r="F2107">
            <v>1380</v>
          </cell>
        </row>
        <row r="2108">
          <cell r="A2108" t="str">
            <v xml:space="preserve">ANSIGE </v>
          </cell>
          <cell r="F2108">
            <v>1380</v>
          </cell>
        </row>
        <row r="2109">
          <cell r="A2109" t="str">
            <v>RUBONGO ZONE</v>
          </cell>
          <cell r="F2109">
            <v>1380</v>
          </cell>
        </row>
        <row r="2110">
          <cell r="A2110" t="str">
            <v>Sop-Sop</v>
          </cell>
          <cell r="B2110" t="str">
            <v>Tororo</v>
          </cell>
          <cell r="C2110" t="str">
            <v>West Budama</v>
          </cell>
          <cell r="D2110" t="str">
            <v>Sop-Sop</v>
          </cell>
          <cell r="F2110">
            <v>1381</v>
          </cell>
        </row>
        <row r="2111">
          <cell r="A2111" t="str">
            <v>Tororo Municipality</v>
          </cell>
          <cell r="B2111" t="str">
            <v>Tororo</v>
          </cell>
          <cell r="C2111" t="str">
            <v>Tororo Municipality</v>
          </cell>
          <cell r="D2111" t="str">
            <v>Tororo Municipality</v>
          </cell>
          <cell r="F2111">
            <v>1382</v>
          </cell>
        </row>
        <row r="2112">
          <cell r="A2112" t="str">
            <v>AGURARU</v>
          </cell>
          <cell r="F2112">
            <v>1382</v>
          </cell>
        </row>
        <row r="2113">
          <cell r="A2113" t="str">
            <v>KOLPING</v>
          </cell>
          <cell r="F2113">
            <v>1382</v>
          </cell>
        </row>
        <row r="2114">
          <cell r="A2114" t="str">
            <v>AGURURU</v>
          </cell>
          <cell r="F2114">
            <v>1382</v>
          </cell>
        </row>
        <row r="2115">
          <cell r="A2115" t="str">
            <v>NYANGOLE</v>
          </cell>
          <cell r="F2115">
            <v>1382</v>
          </cell>
        </row>
        <row r="2116">
          <cell r="A2116" t="str">
            <v>OBAMA STAGE</v>
          </cell>
          <cell r="F2116">
            <v>1382</v>
          </cell>
        </row>
        <row r="2117">
          <cell r="A2117" t="str">
            <v>HOSPITAL LANE</v>
          </cell>
          <cell r="F2117">
            <v>1382</v>
          </cell>
        </row>
        <row r="2118">
          <cell r="A2118" t="str">
            <v>EASTERN DIVISION</v>
          </cell>
          <cell r="F2118">
            <v>1382</v>
          </cell>
        </row>
        <row r="2119">
          <cell r="A2119" t="str">
            <v>OKRODONG CENTER</v>
          </cell>
          <cell r="F2119">
            <v>1382</v>
          </cell>
        </row>
        <row r="2120">
          <cell r="A2120" t="str">
            <v>UCI</v>
          </cell>
          <cell r="F2120">
            <v>1382</v>
          </cell>
        </row>
        <row r="2121">
          <cell r="A2121" t="str">
            <v>SENIOR QUARTERS</v>
          </cell>
          <cell r="F2121">
            <v>1382</v>
          </cell>
        </row>
        <row r="2122">
          <cell r="A2122" t="str">
            <v>MANJASI</v>
          </cell>
          <cell r="F2122">
            <v>1382</v>
          </cell>
        </row>
        <row r="2123">
          <cell r="A2123" t="str">
            <v>MANJANSI</v>
          </cell>
          <cell r="F2123">
            <v>1382</v>
          </cell>
        </row>
        <row r="2124">
          <cell r="A2124" t="str">
            <v>TORORO</v>
          </cell>
          <cell r="F2124">
            <v>1382</v>
          </cell>
        </row>
        <row r="2125">
          <cell r="A2125" t="str">
            <v>TORORO TC</v>
          </cell>
          <cell r="F2125">
            <v>1382</v>
          </cell>
        </row>
        <row r="2126">
          <cell r="A2126" t="str">
            <v>Tororo /Hiima</v>
          </cell>
          <cell r="F2126">
            <v>1382</v>
          </cell>
        </row>
        <row r="2127">
          <cell r="A2127" t="str">
            <v>Tororo cement</v>
          </cell>
          <cell r="F2127">
            <v>1382</v>
          </cell>
        </row>
        <row r="2128">
          <cell r="A2128" t="str">
            <v>Bunamwaya</v>
          </cell>
          <cell r="B2128" t="str">
            <v>Wakiso</v>
          </cell>
          <cell r="C2128" t="str">
            <v>Makindye Ssabagabo Municipality</v>
          </cell>
          <cell r="D2128" t="str">
            <v>Bunamwaya</v>
          </cell>
          <cell r="F2128">
            <v>1383</v>
          </cell>
        </row>
        <row r="2129">
          <cell r="A2129" t="str">
            <v>Namasuba</v>
          </cell>
          <cell r="F2129">
            <v>1383</v>
          </cell>
        </row>
        <row r="2130">
          <cell r="A2130" t="str">
            <v>LIGHT ACADEMY</v>
          </cell>
          <cell r="F2130">
            <v>1383</v>
          </cell>
        </row>
        <row r="2131">
          <cell r="A2131" t="str">
            <v>Bussi</v>
          </cell>
          <cell r="B2131" t="str">
            <v>Wakiso</v>
          </cell>
          <cell r="C2131" t="str">
            <v>Busiro</v>
          </cell>
          <cell r="D2131" t="str">
            <v>Bussi</v>
          </cell>
          <cell r="F2131">
            <v>1384</v>
          </cell>
        </row>
        <row r="2132">
          <cell r="A2132" t="str">
            <v>Busukuma</v>
          </cell>
          <cell r="B2132" t="str">
            <v>Wakiso</v>
          </cell>
          <cell r="C2132" t="str">
            <v>Nansana Municipality</v>
          </cell>
          <cell r="D2132" t="str">
            <v>Busukuma</v>
          </cell>
          <cell r="F2132">
            <v>1385</v>
          </cell>
        </row>
        <row r="2133">
          <cell r="A2133" t="str">
            <v>Ganda</v>
          </cell>
          <cell r="F2133">
            <v>1385</v>
          </cell>
        </row>
        <row r="2134">
          <cell r="A2134" t="str">
            <v>Bweyogerere</v>
          </cell>
          <cell r="B2134" t="str">
            <v>Wakiso</v>
          </cell>
          <cell r="C2134" t="str">
            <v>Kira Municipality</v>
          </cell>
          <cell r="D2134" t="str">
            <v>Bweyogerere</v>
          </cell>
          <cell r="F2134">
            <v>1386</v>
          </cell>
        </row>
        <row r="2135">
          <cell r="A2135" t="str">
            <v>BWEYOGERE</v>
          </cell>
          <cell r="F2135">
            <v>1386</v>
          </cell>
        </row>
        <row r="2136">
          <cell r="A2136" t="str">
            <v>Namboole</v>
          </cell>
          <cell r="F2136">
            <v>1386</v>
          </cell>
        </row>
        <row r="2137">
          <cell r="A2137" t="str">
            <v>NAMAMBOLE STAGE</v>
          </cell>
          <cell r="F2137">
            <v>1386</v>
          </cell>
        </row>
        <row r="2138">
          <cell r="A2138" t="str">
            <v>Butto</v>
          </cell>
          <cell r="F2138">
            <v>1386</v>
          </cell>
        </row>
        <row r="2139">
          <cell r="A2139" t="str">
            <v>KAZINGA</v>
          </cell>
          <cell r="F2139">
            <v>1386</v>
          </cell>
        </row>
        <row r="2140">
          <cell r="A2140" t="str">
            <v>KIWANGA</v>
          </cell>
          <cell r="F2140">
            <v>1386</v>
          </cell>
        </row>
        <row r="2141">
          <cell r="A2141" t="str">
            <v>KIRINYA</v>
          </cell>
          <cell r="F2141">
            <v>1386</v>
          </cell>
        </row>
        <row r="2142">
          <cell r="A2142" t="str">
            <v>Entebbe Airport</v>
          </cell>
          <cell r="B2142" t="str">
            <v>Wakiso</v>
          </cell>
          <cell r="C2142" t="str">
            <v>Entebbe Municipality</v>
          </cell>
          <cell r="D2142" t="str">
            <v>Entebbe Airport</v>
          </cell>
          <cell r="F2142">
            <v>1387</v>
          </cell>
        </row>
        <row r="2143">
          <cell r="A2143" t="str">
            <v>Entebbe Municipality</v>
          </cell>
          <cell r="B2143" t="str">
            <v>Wakiso</v>
          </cell>
          <cell r="C2143" t="str">
            <v>Entebbe Municipality</v>
          </cell>
          <cell r="D2143" t="str">
            <v>Entebbe Municipality</v>
          </cell>
          <cell r="F2143">
            <v>1388</v>
          </cell>
        </row>
        <row r="2144">
          <cell r="A2144" t="str">
            <v>Entebbe</v>
          </cell>
          <cell r="F2144">
            <v>1388</v>
          </cell>
        </row>
        <row r="2145">
          <cell r="A2145" t="str">
            <v>Kasangye</v>
          </cell>
          <cell r="F2145">
            <v>1388</v>
          </cell>
        </row>
        <row r="2146">
          <cell r="A2146" t="str">
            <v>KATABI</v>
          </cell>
          <cell r="F2146">
            <v>1388</v>
          </cell>
        </row>
        <row r="2147">
          <cell r="A2147" t="str">
            <v>BAYITA</v>
          </cell>
          <cell r="F2147">
            <v>1388</v>
          </cell>
        </row>
        <row r="2148">
          <cell r="A2148" t="str">
            <v>BWEYA</v>
          </cell>
          <cell r="F2148">
            <v>1388</v>
          </cell>
        </row>
        <row r="2149">
          <cell r="A2149" t="str">
            <v>KASENYI</v>
          </cell>
          <cell r="F2149">
            <v>1388</v>
          </cell>
        </row>
        <row r="2150">
          <cell r="A2150" t="str">
            <v>GARUGA</v>
          </cell>
          <cell r="F2150">
            <v>1388</v>
          </cell>
        </row>
        <row r="2151">
          <cell r="A2151" t="str">
            <v>LUTEMBE</v>
          </cell>
          <cell r="F2151">
            <v>1388</v>
          </cell>
        </row>
        <row r="2152">
          <cell r="A2152" t="str">
            <v>KISUBI</v>
          </cell>
          <cell r="F2152">
            <v>1388</v>
          </cell>
        </row>
        <row r="2153">
          <cell r="A2153" t="str">
            <v>MPALA</v>
          </cell>
          <cell r="F2153">
            <v>1388</v>
          </cell>
        </row>
        <row r="2154">
          <cell r="A2154" t="str">
            <v>KASENGE</v>
          </cell>
          <cell r="F2154">
            <v>1388</v>
          </cell>
        </row>
        <row r="2155">
          <cell r="A2155" t="str">
            <v>KAWUKU</v>
          </cell>
          <cell r="F2155">
            <v>1388</v>
          </cell>
        </row>
        <row r="2156">
          <cell r="A2156" t="str">
            <v>NAKAWUKA</v>
          </cell>
          <cell r="F2156">
            <v>1388</v>
          </cell>
        </row>
        <row r="2157">
          <cell r="A2157" t="str">
            <v>KITORO</v>
          </cell>
          <cell r="F2157">
            <v>1388</v>
          </cell>
        </row>
        <row r="2158">
          <cell r="A2158" t="str">
            <v>NAMULANDA</v>
          </cell>
          <cell r="F2158">
            <v>1388</v>
          </cell>
        </row>
        <row r="2159">
          <cell r="A2159" t="str">
            <v>KITALYA</v>
          </cell>
          <cell r="F2159">
            <v>1388</v>
          </cell>
        </row>
        <row r="2160">
          <cell r="A2160" t="str">
            <v>BWEBAJA</v>
          </cell>
          <cell r="F2160">
            <v>1388</v>
          </cell>
        </row>
        <row r="2161">
          <cell r="A2161" t="str">
            <v>Gombe</v>
          </cell>
          <cell r="B2161" t="str">
            <v>Wakiso</v>
          </cell>
          <cell r="C2161" t="str">
            <v>Nansana Municipality</v>
          </cell>
          <cell r="D2161" t="str">
            <v>Gombe</v>
          </cell>
          <cell r="F2161">
            <v>1389</v>
          </cell>
        </row>
        <row r="2162">
          <cell r="A2162" t="str">
            <v>Buwambu</v>
          </cell>
          <cell r="F2162">
            <v>1389</v>
          </cell>
        </row>
        <row r="2163">
          <cell r="A2163" t="str">
            <v>MATUGA</v>
          </cell>
          <cell r="F2163">
            <v>1389</v>
          </cell>
        </row>
        <row r="2164">
          <cell r="A2164" t="str">
            <v>MATTUGA</v>
          </cell>
          <cell r="F2164">
            <v>1389</v>
          </cell>
        </row>
        <row r="2165">
          <cell r="A2165" t="str">
            <v>MATUGGA</v>
          </cell>
          <cell r="F2165">
            <v>1389</v>
          </cell>
        </row>
        <row r="2166">
          <cell r="A2166" t="str">
            <v>Katende</v>
          </cell>
          <cell r="F2166">
            <v>1389</v>
          </cell>
        </row>
        <row r="2167">
          <cell r="A2167" t="str">
            <v>Kajjansi Town Council</v>
          </cell>
          <cell r="B2167" t="str">
            <v>Wakiso</v>
          </cell>
          <cell r="C2167" t="str">
            <v>Busiro</v>
          </cell>
          <cell r="D2167" t="str">
            <v>Kajjansi Town Council</v>
          </cell>
          <cell r="F2167">
            <v>1390</v>
          </cell>
        </row>
        <row r="2168">
          <cell r="A2168" t="str">
            <v>Kajjansi</v>
          </cell>
          <cell r="F2168">
            <v>1390</v>
          </cell>
        </row>
        <row r="2169">
          <cell r="A2169" t="str">
            <v>KAJANSI</v>
          </cell>
          <cell r="F2169">
            <v>1390</v>
          </cell>
        </row>
        <row r="2170">
          <cell r="A2170" t="str">
            <v>Seguku</v>
          </cell>
          <cell r="F2170">
            <v>1390</v>
          </cell>
        </row>
        <row r="2171">
          <cell r="A2171" t="str">
            <v>SEGGUKU</v>
          </cell>
          <cell r="F2171">
            <v>1390</v>
          </cell>
        </row>
        <row r="2172">
          <cell r="A2172" t="str">
            <v>Lweza</v>
          </cell>
          <cell r="F2172">
            <v>1390</v>
          </cell>
        </row>
        <row r="2173">
          <cell r="A2173" t="str">
            <v>KIGO</v>
          </cell>
          <cell r="F2173">
            <v>1390</v>
          </cell>
        </row>
        <row r="2174">
          <cell r="A2174" t="str">
            <v>MIREMBE VILLAS</v>
          </cell>
          <cell r="F2174">
            <v>1390</v>
          </cell>
        </row>
        <row r="2175">
          <cell r="A2175" t="str">
            <v>Kitende</v>
          </cell>
          <cell r="F2175">
            <v>1390</v>
          </cell>
        </row>
        <row r="2176">
          <cell r="A2176" t="str">
            <v>Katale</v>
          </cell>
          <cell r="F2176">
            <v>1390</v>
          </cell>
        </row>
        <row r="2177">
          <cell r="A2177" t="str">
            <v>Kitala</v>
          </cell>
          <cell r="F2177">
            <v>1390</v>
          </cell>
        </row>
        <row r="2178">
          <cell r="A2178" t="str">
            <v>BUYALA</v>
          </cell>
          <cell r="F2178">
            <v>1390</v>
          </cell>
        </row>
        <row r="2179">
          <cell r="A2179" t="str">
            <v>BWEBAJJA</v>
          </cell>
          <cell r="F2179">
            <v>1390</v>
          </cell>
        </row>
        <row r="2180">
          <cell r="A2180" t="str">
            <v>TAIBA</v>
          </cell>
          <cell r="F2180">
            <v>1390</v>
          </cell>
        </row>
        <row r="2181">
          <cell r="A2181" t="str">
            <v>Kakiri</v>
          </cell>
          <cell r="B2181" t="str">
            <v>Wakiso</v>
          </cell>
          <cell r="C2181" t="str">
            <v>Busiro</v>
          </cell>
          <cell r="D2181" t="str">
            <v>Kakiri</v>
          </cell>
          <cell r="F2181">
            <v>1391</v>
          </cell>
        </row>
        <row r="2182">
          <cell r="A2182" t="str">
            <v>Kakiri Town Council</v>
          </cell>
          <cell r="B2182" t="str">
            <v>Wakiso</v>
          </cell>
          <cell r="C2182" t="str">
            <v>Busiro</v>
          </cell>
          <cell r="D2182" t="str">
            <v>Kakiri Town Council</v>
          </cell>
          <cell r="F2182">
            <v>1392</v>
          </cell>
        </row>
        <row r="2183">
          <cell r="A2183" t="str">
            <v>KAKIRA</v>
          </cell>
          <cell r="F2183">
            <v>1392</v>
          </cell>
        </row>
        <row r="2184">
          <cell r="A2184" t="str">
            <v>Kasangati Town Council</v>
          </cell>
          <cell r="B2184" t="str">
            <v>Wakiso</v>
          </cell>
          <cell r="C2184" t="str">
            <v>Kyadondo</v>
          </cell>
          <cell r="D2184" t="str">
            <v>Kasangati Town Council</v>
          </cell>
          <cell r="F2184">
            <v>1393</v>
          </cell>
        </row>
        <row r="2185">
          <cell r="A2185" t="str">
            <v>NANGABO</v>
          </cell>
          <cell r="F2185">
            <v>1393</v>
          </cell>
        </row>
        <row r="2186">
          <cell r="A2186" t="str">
            <v xml:space="preserve">KYAKIMA </v>
          </cell>
          <cell r="F2186">
            <v>1393</v>
          </cell>
        </row>
        <row r="2187">
          <cell r="A2187" t="str">
            <v>WATUBBA</v>
          </cell>
          <cell r="F2187">
            <v>1393</v>
          </cell>
        </row>
        <row r="2188">
          <cell r="A2188" t="str">
            <v>BULAMU</v>
          </cell>
          <cell r="F2188">
            <v>1393</v>
          </cell>
        </row>
        <row r="2189">
          <cell r="A2189" t="str">
            <v>Kyadondo</v>
          </cell>
          <cell r="F2189">
            <v>1393</v>
          </cell>
        </row>
        <row r="2190">
          <cell r="A2190" t="str">
            <v>Gayaza</v>
          </cell>
          <cell r="B2190" t="str">
            <v xml:space="preserve"> </v>
          </cell>
          <cell r="C2190" t="str">
            <v xml:space="preserve"> </v>
          </cell>
          <cell r="D2190" t="str">
            <v>Gayaza</v>
          </cell>
          <cell r="F2190">
            <v>1393</v>
          </cell>
        </row>
        <row r="2191">
          <cell r="A2191" t="str">
            <v>KUMBUZI</v>
          </cell>
          <cell r="F2191">
            <v>1393</v>
          </cell>
        </row>
        <row r="2192">
          <cell r="A2192" t="str">
            <v>TEMANGALO</v>
          </cell>
          <cell r="F2192">
            <v>1393</v>
          </cell>
        </row>
        <row r="2193">
          <cell r="A2193" t="str">
            <v>Kobil Gayaza Road</v>
          </cell>
          <cell r="F2193">
            <v>1393</v>
          </cell>
        </row>
        <row r="2194">
          <cell r="A2194" t="str">
            <v>MUKITI GAYAZA ROAD</v>
          </cell>
          <cell r="F2194">
            <v>1393</v>
          </cell>
        </row>
        <row r="2195">
          <cell r="A2195" t="str">
            <v>Manyangwa</v>
          </cell>
          <cell r="F2195">
            <v>1393</v>
          </cell>
        </row>
        <row r="2196">
          <cell r="A2196" t="str">
            <v>MAYANGWA</v>
          </cell>
          <cell r="F2196">
            <v>1393</v>
          </cell>
        </row>
        <row r="2197">
          <cell r="A2197" t="str">
            <v>MANYANGWA GAYAZA</v>
          </cell>
          <cell r="F2197">
            <v>1393</v>
          </cell>
        </row>
        <row r="2198">
          <cell r="A2198" t="str">
            <v>Busika</v>
          </cell>
          <cell r="F2198">
            <v>1393</v>
          </cell>
        </row>
        <row r="2199">
          <cell r="A2199" t="str">
            <v>Busiika</v>
          </cell>
          <cell r="F2199">
            <v>1393</v>
          </cell>
        </row>
        <row r="2200">
          <cell r="A2200" t="str">
            <v>Lusanja</v>
          </cell>
          <cell r="F2200">
            <v>1393</v>
          </cell>
        </row>
        <row r="2201">
          <cell r="A2201" t="str">
            <v>LUSAJA</v>
          </cell>
          <cell r="F2201">
            <v>1393</v>
          </cell>
        </row>
        <row r="2202">
          <cell r="A2202" t="str">
            <v>Lusanje</v>
          </cell>
          <cell r="F2202">
            <v>1393</v>
          </cell>
        </row>
        <row r="2203">
          <cell r="A2203" t="str">
            <v>MAGERE</v>
          </cell>
          <cell r="F2203">
            <v>1393</v>
          </cell>
        </row>
        <row r="2204">
          <cell r="A2204" t="str">
            <v>KIWENDA</v>
          </cell>
          <cell r="F2204">
            <v>1393</v>
          </cell>
        </row>
        <row r="2205">
          <cell r="A2205" t="str">
            <v>MAGEJE GAYAZA</v>
          </cell>
          <cell r="F2205">
            <v>1393</v>
          </cell>
        </row>
        <row r="2206">
          <cell r="A2206" t="str">
            <v>Kitezi</v>
          </cell>
          <cell r="F2206">
            <v>1393</v>
          </cell>
        </row>
        <row r="2207">
          <cell r="A2207" t="str">
            <v>Kiteezi</v>
          </cell>
          <cell r="F2207">
            <v>1393</v>
          </cell>
        </row>
        <row r="2208">
          <cell r="A2208" t="str">
            <v xml:space="preserve">MATUGA </v>
          </cell>
          <cell r="F2208">
            <v>1393</v>
          </cell>
        </row>
        <row r="2209">
          <cell r="A2209" t="str">
            <v>Kasangati</v>
          </cell>
          <cell r="F2209">
            <v>1393</v>
          </cell>
        </row>
        <row r="2210">
          <cell r="A2210" t="str">
            <v>KAWANDA</v>
          </cell>
          <cell r="F2210">
            <v>1393</v>
          </cell>
        </row>
        <row r="2211">
          <cell r="A2211" t="str">
            <v>KILINYABINGO</v>
          </cell>
          <cell r="F2211">
            <v>1393</v>
          </cell>
        </row>
        <row r="2212">
          <cell r="A2212" t="str">
            <v>KAGOMA</v>
          </cell>
          <cell r="F2212">
            <v>1393</v>
          </cell>
        </row>
        <row r="2213">
          <cell r="A2213" t="str">
            <v>Kasanje</v>
          </cell>
          <cell r="B2213" t="str">
            <v>Wakiso</v>
          </cell>
          <cell r="C2213" t="str">
            <v>Busiro</v>
          </cell>
          <cell r="D2213" t="str">
            <v>Kasanje</v>
          </cell>
          <cell r="F2213">
            <v>1394</v>
          </cell>
        </row>
        <row r="2214">
          <cell r="A2214" t="str">
            <v>Katabi Town Council</v>
          </cell>
          <cell r="B2214" t="str">
            <v>Wakiso</v>
          </cell>
          <cell r="C2214" t="str">
            <v>Busiro</v>
          </cell>
          <cell r="D2214" t="str">
            <v>Katabi Town Council</v>
          </cell>
          <cell r="F2214">
            <v>1395</v>
          </cell>
        </row>
        <row r="2215">
          <cell r="A2215" t="str">
            <v>Kira</v>
          </cell>
          <cell r="B2215" t="str">
            <v>Wakiso</v>
          </cell>
          <cell r="C2215" t="str">
            <v>Kira Municipality</v>
          </cell>
          <cell r="D2215" t="str">
            <v>Kira</v>
          </cell>
          <cell r="F2215">
            <v>1396</v>
          </cell>
        </row>
        <row r="2216">
          <cell r="A2216" t="str">
            <v>KIIRA</v>
          </cell>
          <cell r="F2216">
            <v>1396</v>
          </cell>
        </row>
        <row r="2217">
          <cell r="A2217" t="str">
            <v>Bulindo</v>
          </cell>
          <cell r="F2217">
            <v>1396</v>
          </cell>
        </row>
        <row r="2218">
          <cell r="A2218" t="str">
            <v xml:space="preserve">BUWATE </v>
          </cell>
          <cell r="F2218">
            <v>1396</v>
          </cell>
        </row>
        <row r="2219">
          <cell r="A2219" t="str">
            <v>KYALIWAJALA</v>
          </cell>
          <cell r="F2219">
            <v>1396</v>
          </cell>
        </row>
        <row r="2220">
          <cell r="A2220" t="str">
            <v>Kyaliwajjala</v>
          </cell>
          <cell r="F2220">
            <v>1396</v>
          </cell>
        </row>
        <row r="2221">
          <cell r="A2221" t="str">
            <v>MBALWA</v>
          </cell>
          <cell r="F2221">
            <v>1396</v>
          </cell>
        </row>
        <row r="2222">
          <cell r="A2222" t="str">
            <v>NAJERA</v>
          </cell>
          <cell r="F2222">
            <v>1396</v>
          </cell>
        </row>
        <row r="2223">
          <cell r="A2223" t="str">
            <v>NAJJERA</v>
          </cell>
          <cell r="F2223">
            <v>1396</v>
          </cell>
        </row>
        <row r="2224">
          <cell r="A2224" t="str">
            <v>Najela</v>
          </cell>
          <cell r="F2224">
            <v>1396</v>
          </cell>
        </row>
        <row r="2225">
          <cell r="A2225" t="str">
            <v>WAMALA</v>
          </cell>
          <cell r="F2225">
            <v>1396</v>
          </cell>
        </row>
        <row r="2226">
          <cell r="A2226" t="str">
            <v>WAMAALA</v>
          </cell>
          <cell r="F2226">
            <v>1396</v>
          </cell>
        </row>
        <row r="2227">
          <cell r="A2227" t="str">
            <v>Kireka</v>
          </cell>
          <cell r="F2227">
            <v>1396</v>
          </cell>
        </row>
        <row r="2228">
          <cell r="A2228" t="str">
            <v>KAMULI ROAD</v>
          </cell>
          <cell r="F2228">
            <v>1396</v>
          </cell>
        </row>
        <row r="2229">
          <cell r="A2229" t="str">
            <v>Kyengera Town Council</v>
          </cell>
          <cell r="B2229" t="str">
            <v>Wakiso</v>
          </cell>
          <cell r="C2229" t="str">
            <v>Busiro</v>
          </cell>
          <cell r="D2229" t="str">
            <v>Kyengera Town Council</v>
          </cell>
          <cell r="F2229">
            <v>1397</v>
          </cell>
        </row>
        <row r="2230">
          <cell r="A2230" t="str">
            <v xml:space="preserve">Kyengera   </v>
          </cell>
          <cell r="D2230" t="str">
            <v xml:space="preserve">Kyengera   </v>
          </cell>
          <cell r="F2230">
            <v>1397</v>
          </cell>
        </row>
        <row r="2231">
          <cell r="A2231" t="str">
            <v>KYENGERA</v>
          </cell>
          <cell r="F2231">
            <v>1397</v>
          </cell>
        </row>
        <row r="2232">
          <cell r="A2232" t="str">
            <v>KYENGERA</v>
          </cell>
          <cell r="F2232">
            <v>1397</v>
          </cell>
        </row>
        <row r="2233">
          <cell r="A2233" t="str">
            <v xml:space="preserve">KINGS COLLEGE BUDDO </v>
          </cell>
          <cell r="F2233">
            <v>1397</v>
          </cell>
        </row>
        <row r="2234">
          <cell r="A2234" t="str">
            <v>BUDDO</v>
          </cell>
          <cell r="F2234">
            <v>1397</v>
          </cell>
        </row>
        <row r="2235">
          <cell r="A2235" t="str">
            <v>BUDO</v>
          </cell>
          <cell r="F2235">
            <v>1397</v>
          </cell>
        </row>
        <row r="2236">
          <cell r="A2236" t="str">
            <v>NSANGI</v>
          </cell>
          <cell r="F2236">
            <v>1397</v>
          </cell>
        </row>
        <row r="2237">
          <cell r="A2237" t="str">
            <v>NANZIGA</v>
          </cell>
          <cell r="F2237">
            <v>1397</v>
          </cell>
        </row>
        <row r="2238">
          <cell r="A2238" t="str">
            <v>Nsagi</v>
          </cell>
          <cell r="F2238">
            <v>1397</v>
          </cell>
        </row>
        <row r="2239">
          <cell r="A2239" t="str">
            <v>Kitemu</v>
          </cell>
          <cell r="F2239">
            <v>1397</v>
          </cell>
        </row>
        <row r="2240">
          <cell r="A2240" t="str">
            <v>Kabojja</v>
          </cell>
          <cell r="F2240">
            <v>1397</v>
          </cell>
        </row>
        <row r="2241">
          <cell r="A2241" t="str">
            <v>Nabbingo</v>
          </cell>
          <cell r="F2241">
            <v>1397</v>
          </cell>
        </row>
        <row r="2242">
          <cell r="A2242" t="str">
            <v>Namagooma</v>
          </cell>
          <cell r="F2242">
            <v>1397</v>
          </cell>
        </row>
        <row r="2243">
          <cell r="A2243" t="str">
            <v>MAYA</v>
          </cell>
          <cell r="F2243">
            <v>1397</v>
          </cell>
        </row>
        <row r="2244">
          <cell r="A2244" t="str">
            <v>Katenda</v>
          </cell>
          <cell r="F2244">
            <v>1397</v>
          </cell>
        </row>
        <row r="2245">
          <cell r="A2245" t="str">
            <v>Masajja</v>
          </cell>
          <cell r="B2245" t="str">
            <v>Wakiso</v>
          </cell>
          <cell r="C2245" t="str">
            <v>Makindye Ssabagabo Municipality</v>
          </cell>
          <cell r="D2245" t="str">
            <v>Masajja</v>
          </cell>
          <cell r="F2245">
            <v>1398</v>
          </cell>
        </row>
        <row r="2246">
          <cell r="A2246" t="str">
            <v>Masuliita</v>
          </cell>
          <cell r="B2246" t="str">
            <v>Wakiso</v>
          </cell>
          <cell r="C2246" t="str">
            <v>Busiro</v>
          </cell>
          <cell r="D2246" t="str">
            <v>Masuliita</v>
          </cell>
          <cell r="F2246">
            <v>1399</v>
          </cell>
        </row>
        <row r="2247">
          <cell r="A2247" t="str">
            <v>Masulita Town Council</v>
          </cell>
          <cell r="B2247" t="str">
            <v>Wakiso</v>
          </cell>
          <cell r="C2247" t="str">
            <v>Busiro</v>
          </cell>
          <cell r="D2247" t="str">
            <v>Masulita Town Council</v>
          </cell>
          <cell r="F2247">
            <v>1400</v>
          </cell>
        </row>
        <row r="2248">
          <cell r="A2248" t="str">
            <v>MASULITA</v>
          </cell>
          <cell r="F2248">
            <v>1400</v>
          </cell>
        </row>
        <row r="2249">
          <cell r="A2249" t="str">
            <v>MASULEETA</v>
          </cell>
          <cell r="F2249">
            <v>1400</v>
          </cell>
        </row>
        <row r="2250">
          <cell r="A2250" t="str">
            <v>Mende</v>
          </cell>
          <cell r="B2250" t="str">
            <v>Wakiso</v>
          </cell>
          <cell r="C2250" t="str">
            <v>Busiro</v>
          </cell>
          <cell r="D2250" t="str">
            <v>Mende</v>
          </cell>
          <cell r="F2250">
            <v>1401</v>
          </cell>
        </row>
        <row r="2251">
          <cell r="A2251" t="str">
            <v>BUKALANGO</v>
          </cell>
          <cell r="F2251">
            <v>1401</v>
          </cell>
        </row>
        <row r="2252">
          <cell r="A2252" t="str">
            <v>Nabweru</v>
          </cell>
          <cell r="B2252" t="str">
            <v>Wakiso</v>
          </cell>
          <cell r="C2252" t="str">
            <v>Nansana Municipality</v>
          </cell>
          <cell r="D2252" t="str">
            <v>Nabweru</v>
          </cell>
          <cell r="F2252">
            <v>1402</v>
          </cell>
        </row>
        <row r="2253">
          <cell r="A2253" t="str">
            <v>MABWERA</v>
          </cell>
          <cell r="F2253">
            <v>1402</v>
          </cell>
        </row>
        <row r="2254">
          <cell r="A2254" t="str">
            <v>NABWERU</v>
          </cell>
          <cell r="F2254">
            <v>1402</v>
          </cell>
        </row>
        <row r="2255">
          <cell r="A2255" t="str">
            <v>MAGAJJO</v>
          </cell>
          <cell r="F2255">
            <v>1402</v>
          </cell>
        </row>
        <row r="2256">
          <cell r="A2256" t="str">
            <v>LUBIJI</v>
          </cell>
          <cell r="F2256">
            <v>1402</v>
          </cell>
        </row>
        <row r="2257">
          <cell r="A2257" t="str">
            <v>KALAMBI</v>
          </cell>
          <cell r="F2257">
            <v>1402</v>
          </cell>
        </row>
        <row r="2258">
          <cell r="A2258" t="str">
            <v>LUBIGI</v>
          </cell>
          <cell r="F2258">
            <v>1402</v>
          </cell>
        </row>
        <row r="2259">
          <cell r="A2259" t="str">
            <v>Namayumba</v>
          </cell>
          <cell r="B2259" t="str">
            <v>Wakiso</v>
          </cell>
          <cell r="C2259" t="str">
            <v>Busiro</v>
          </cell>
          <cell r="D2259" t="str">
            <v>Namayumba</v>
          </cell>
          <cell r="F2259">
            <v>1403</v>
          </cell>
        </row>
        <row r="2260">
          <cell r="A2260" t="str">
            <v>Namayumba Town Council</v>
          </cell>
          <cell r="B2260" t="str">
            <v>Wakiso</v>
          </cell>
          <cell r="C2260" t="str">
            <v>Busiro</v>
          </cell>
          <cell r="D2260" t="str">
            <v>Namayumba Town Council</v>
          </cell>
          <cell r="F2260">
            <v>1404</v>
          </cell>
        </row>
        <row r="2261">
          <cell r="A2261" t="str">
            <v>Namugongo</v>
          </cell>
          <cell r="B2261" t="str">
            <v>Wakiso</v>
          </cell>
          <cell r="C2261" t="str">
            <v>Kira Municipality</v>
          </cell>
          <cell r="D2261" t="str">
            <v>Namugongo</v>
          </cell>
          <cell r="F2261">
            <v>1405</v>
          </cell>
        </row>
        <row r="2262">
          <cell r="A2262" t="str">
            <v>Ssonde</v>
          </cell>
          <cell r="F2262">
            <v>1405</v>
          </cell>
        </row>
        <row r="2263">
          <cell r="A2263" t="str">
            <v>Nansana</v>
          </cell>
          <cell r="B2263" t="str">
            <v>Wakiso</v>
          </cell>
          <cell r="C2263" t="str">
            <v>Nansana Municipality</v>
          </cell>
          <cell r="D2263" t="str">
            <v>Nansana</v>
          </cell>
          <cell r="F2263">
            <v>1406</v>
          </cell>
        </row>
        <row r="2264">
          <cell r="A2264" t="str">
            <v>NANSANSA</v>
          </cell>
          <cell r="F2264">
            <v>1406</v>
          </cell>
        </row>
        <row r="2265">
          <cell r="A2265" t="str">
            <v>NANSANA</v>
          </cell>
          <cell r="F2265">
            <v>1406</v>
          </cell>
        </row>
        <row r="2266">
          <cell r="A2266" t="str">
            <v>YESU AMALA NANSANA</v>
          </cell>
          <cell r="F2266">
            <v>1406</v>
          </cell>
        </row>
        <row r="2267">
          <cell r="A2267" t="str">
            <v>NALUVULE</v>
          </cell>
          <cell r="F2267">
            <v>1406</v>
          </cell>
        </row>
        <row r="2268">
          <cell r="A2268" t="str">
            <v>Ndejje</v>
          </cell>
          <cell r="B2268" t="str">
            <v>Wakiso</v>
          </cell>
          <cell r="C2268" t="str">
            <v>Makindye Ssabagabo Municipality</v>
          </cell>
          <cell r="D2268" t="str">
            <v>Ndejje</v>
          </cell>
          <cell r="F2268">
            <v>1407</v>
          </cell>
        </row>
        <row r="2269">
          <cell r="A2269" t="str">
            <v>Ndejja</v>
          </cell>
          <cell r="F2269">
            <v>1407</v>
          </cell>
        </row>
        <row r="2270">
          <cell r="A2270" t="str">
            <v>NDEJJE ENTEBBE ROAD</v>
          </cell>
          <cell r="F2270">
            <v>1407</v>
          </cell>
        </row>
        <row r="2271">
          <cell r="A2271" t="str">
            <v>LUBUGUMU</v>
          </cell>
          <cell r="F2271">
            <v>1407</v>
          </cell>
        </row>
        <row r="2272">
          <cell r="A2272" t="str">
            <v>KANAABA</v>
          </cell>
          <cell r="F2272">
            <v>1407</v>
          </cell>
        </row>
        <row r="2273">
          <cell r="A2273" t="str">
            <v>Wakiso</v>
          </cell>
          <cell r="B2273" t="str">
            <v>Wakiso</v>
          </cell>
          <cell r="C2273" t="str">
            <v>Busiro</v>
          </cell>
          <cell r="D2273" t="str">
            <v>Wakiso</v>
          </cell>
          <cell r="F2273">
            <v>1408</v>
          </cell>
        </row>
        <row r="2274">
          <cell r="A2274" t="str">
            <v>WAKISO TOWN</v>
          </cell>
          <cell r="F2274">
            <v>1408</v>
          </cell>
        </row>
        <row r="2275">
          <cell r="A2275" t="str">
            <v>waakiso</v>
          </cell>
          <cell r="D2275" t="str">
            <v>Waakiso</v>
          </cell>
          <cell r="F2275">
            <v>1408</v>
          </cell>
        </row>
        <row r="2276">
          <cell r="A2276" t="str">
            <v>NKOOWE</v>
          </cell>
          <cell r="F2276">
            <v>1408</v>
          </cell>
        </row>
        <row r="2277">
          <cell r="A2277" t="str">
            <v>NAMUSERA WAKISO</v>
          </cell>
          <cell r="F2277">
            <v>1408</v>
          </cell>
        </row>
        <row r="2278">
          <cell r="A2278" t="str">
            <v>NAMUSERA</v>
          </cell>
          <cell r="F2278">
            <v>1408</v>
          </cell>
        </row>
        <row r="2279">
          <cell r="A2279" t="str">
            <v>Bulenga</v>
          </cell>
          <cell r="B2279" t="str">
            <v>Wakiso</v>
          </cell>
          <cell r="C2279" t="str">
            <v>Busiro</v>
          </cell>
          <cell r="D2279" t="str">
            <v>Bulenga</v>
          </cell>
          <cell r="F2279">
            <v>1408</v>
          </cell>
        </row>
        <row r="2280">
          <cell r="A2280" t="str">
            <v>BULEGA</v>
          </cell>
          <cell r="F2280">
            <v>1408</v>
          </cell>
        </row>
        <row r="2281">
          <cell r="A2281" t="str">
            <v>BULENGE</v>
          </cell>
          <cell r="F2281">
            <v>1408</v>
          </cell>
        </row>
        <row r="2282">
          <cell r="A2282" t="str">
            <v>NAKABUGU</v>
          </cell>
          <cell r="F2282">
            <v>1408</v>
          </cell>
        </row>
        <row r="2283">
          <cell r="A2283" t="str">
            <v>KAKOOLA</v>
          </cell>
          <cell r="F2283">
            <v>1408</v>
          </cell>
        </row>
        <row r="2284">
          <cell r="A2284" t="str">
            <v>Buloba</v>
          </cell>
          <cell r="B2284" t="str">
            <v>Wakiso</v>
          </cell>
          <cell r="C2284" t="str">
            <v>Busiro</v>
          </cell>
          <cell r="D2284" t="str">
            <v>Buloba</v>
          </cell>
          <cell r="F2284">
            <v>1408</v>
          </cell>
        </row>
        <row r="2285">
          <cell r="A2285" t="str">
            <v>KALAMBI</v>
          </cell>
          <cell r="F2285">
            <v>1408</v>
          </cell>
        </row>
        <row r="2286">
          <cell r="A2286" t="str">
            <v>KIWEESI</v>
          </cell>
          <cell r="F2286">
            <v>1408</v>
          </cell>
        </row>
        <row r="2287">
          <cell r="A2287" t="str">
            <v>KIWESA</v>
          </cell>
          <cell r="F2287">
            <v>1408</v>
          </cell>
        </row>
        <row r="2288">
          <cell r="A2288" t="str">
            <v>MINISTR HOME</v>
          </cell>
          <cell r="F2288">
            <v>1408</v>
          </cell>
        </row>
        <row r="2289">
          <cell r="A2289" t="str">
            <v>KIWEESA</v>
          </cell>
          <cell r="F2289">
            <v>1408</v>
          </cell>
        </row>
        <row r="2290">
          <cell r="A2290" t="str">
            <v>Sentema</v>
          </cell>
          <cell r="F2290">
            <v>1408</v>
          </cell>
        </row>
        <row r="2291">
          <cell r="A2291" t="str">
            <v>SSENTEMA</v>
          </cell>
          <cell r="F2291">
            <v>1408</v>
          </cell>
        </row>
        <row r="2292">
          <cell r="A2292" t="str">
            <v>St.Jude.S.S</v>
          </cell>
          <cell r="F2292">
            <v>1408</v>
          </cell>
        </row>
        <row r="2293">
          <cell r="A2293" t="str">
            <v>NAKUWADDE</v>
          </cell>
          <cell r="F2293">
            <v>1408</v>
          </cell>
        </row>
        <row r="2294">
          <cell r="A2294" t="str">
            <v>BUJUKO</v>
          </cell>
          <cell r="F2294">
            <v>1408</v>
          </cell>
        </row>
        <row r="2295">
          <cell r="A2295" t="str">
            <v>KIGOMA</v>
          </cell>
          <cell r="F2295">
            <v>1408</v>
          </cell>
        </row>
        <row r="2296">
          <cell r="A2296" t="str">
            <v>SWANJER</v>
          </cell>
          <cell r="F2296">
            <v>1408</v>
          </cell>
        </row>
        <row r="2297">
          <cell r="A2297" t="str">
            <v>BUYERA</v>
          </cell>
          <cell r="F2297">
            <v>1408</v>
          </cell>
        </row>
        <row r="2298">
          <cell r="A2298" t="str">
            <v>BUJJUKO</v>
          </cell>
          <cell r="F2298">
            <v>1408</v>
          </cell>
        </row>
        <row r="2299">
          <cell r="A2299" t="str">
            <v>KISAMULA</v>
          </cell>
          <cell r="F2299">
            <v>1408</v>
          </cell>
        </row>
        <row r="2300">
          <cell r="A2300" t="str">
            <v>SUUBWE</v>
          </cell>
          <cell r="F2300">
            <v>1408</v>
          </cell>
        </row>
        <row r="2301">
          <cell r="A2301" t="str">
            <v>NSUBWE</v>
          </cell>
          <cell r="F2301">
            <v>1408</v>
          </cell>
        </row>
        <row r="2302">
          <cell r="A2302" t="str">
            <v>NSUMBE</v>
          </cell>
          <cell r="F2302">
            <v>1408</v>
          </cell>
        </row>
        <row r="2303">
          <cell r="A2303" t="str">
            <v>KISUMBYE</v>
          </cell>
          <cell r="F2303">
            <v>1408</v>
          </cell>
        </row>
        <row r="2304">
          <cell r="A2304" t="str">
            <v>Wakiso Town Council</v>
          </cell>
          <cell r="B2304" t="str">
            <v>Wakiso</v>
          </cell>
          <cell r="C2304" t="str">
            <v>Busiro</v>
          </cell>
          <cell r="D2304" t="str">
            <v>Wakiso Town Council</v>
          </cell>
          <cell r="F2304">
            <v>1409</v>
          </cell>
        </row>
        <row r="2305">
          <cell r="A2305" t="str">
            <v>NAKABUGO</v>
          </cell>
          <cell r="F2305">
            <v>1409</v>
          </cell>
        </row>
        <row r="2306">
          <cell r="A2306" t="str">
            <v>HEAD QUOTAR</v>
          </cell>
          <cell r="F2306">
            <v>1409</v>
          </cell>
        </row>
        <row r="2307">
          <cell r="A2307" t="str">
            <v>BUDUUMA</v>
          </cell>
          <cell r="F2307">
            <v>1409</v>
          </cell>
        </row>
        <row r="2308">
          <cell r="A2308" t="str">
            <v>KAVUMBA</v>
          </cell>
          <cell r="F2308">
            <v>1409</v>
          </cell>
        </row>
        <row r="2309">
          <cell r="A2309" t="str">
            <v>NAKASOZI</v>
          </cell>
          <cell r="F2309">
            <v>1409</v>
          </cell>
        </row>
        <row r="2310">
          <cell r="A2310" t="str">
            <v>NAKABUBO</v>
          </cell>
          <cell r="F2310">
            <v>1409</v>
          </cell>
        </row>
        <row r="2311">
          <cell r="A2311" t="str">
            <v>LUKWANGA</v>
          </cell>
          <cell r="F2311">
            <v>1409</v>
          </cell>
        </row>
        <row r="2312">
          <cell r="A2312" t="str">
            <v>BULAGA</v>
          </cell>
          <cell r="F2312">
            <v>1409</v>
          </cell>
        </row>
        <row r="2313">
          <cell r="A2313" t="str">
            <v>Apo</v>
          </cell>
          <cell r="B2313" t="str">
            <v>Yumbe</v>
          </cell>
          <cell r="C2313" t="str">
            <v>Aringa</v>
          </cell>
          <cell r="D2313" t="str">
            <v>Apo</v>
          </cell>
          <cell r="F2313">
            <v>1410</v>
          </cell>
        </row>
        <row r="2314">
          <cell r="A2314" t="str">
            <v>Ariwa</v>
          </cell>
          <cell r="B2314" t="str">
            <v>Yumbe</v>
          </cell>
          <cell r="C2314" t="str">
            <v>Aringa</v>
          </cell>
          <cell r="D2314" t="str">
            <v>Ariwa</v>
          </cell>
          <cell r="F2314">
            <v>1411</v>
          </cell>
        </row>
        <row r="2315">
          <cell r="A2315" t="str">
            <v>Drajini</v>
          </cell>
          <cell r="B2315" t="str">
            <v>Yumbe</v>
          </cell>
          <cell r="C2315" t="str">
            <v>Aringa</v>
          </cell>
          <cell r="D2315" t="str">
            <v>Drajini</v>
          </cell>
          <cell r="F2315">
            <v>1412</v>
          </cell>
        </row>
        <row r="2316">
          <cell r="A2316" t="str">
            <v>Kei</v>
          </cell>
          <cell r="B2316" t="str">
            <v>Yumbe</v>
          </cell>
          <cell r="C2316" t="str">
            <v>Aringa</v>
          </cell>
          <cell r="D2316" t="str">
            <v>Kei</v>
          </cell>
          <cell r="F2316">
            <v>1413</v>
          </cell>
        </row>
        <row r="2317">
          <cell r="A2317" t="str">
            <v>Kerwa</v>
          </cell>
          <cell r="B2317" t="str">
            <v>Yumbe</v>
          </cell>
          <cell r="C2317" t="str">
            <v>Aringa</v>
          </cell>
          <cell r="D2317" t="str">
            <v>Kerwa</v>
          </cell>
          <cell r="F2317">
            <v>1414</v>
          </cell>
        </row>
        <row r="2318">
          <cell r="A2318" t="str">
            <v>Kochi</v>
          </cell>
          <cell r="B2318" t="str">
            <v>Yumbe</v>
          </cell>
          <cell r="C2318" t="str">
            <v>Aringa</v>
          </cell>
          <cell r="D2318" t="str">
            <v>Kochi</v>
          </cell>
          <cell r="F2318">
            <v>1415</v>
          </cell>
        </row>
        <row r="2319">
          <cell r="A2319" t="str">
            <v>Kululu</v>
          </cell>
          <cell r="B2319" t="str">
            <v>Yumbe</v>
          </cell>
          <cell r="C2319" t="str">
            <v>Aringa</v>
          </cell>
          <cell r="D2319" t="str">
            <v>Kululu</v>
          </cell>
          <cell r="F2319">
            <v>1416</v>
          </cell>
        </row>
        <row r="2320">
          <cell r="A2320" t="str">
            <v>Kuru</v>
          </cell>
          <cell r="B2320" t="str">
            <v>Yumbe</v>
          </cell>
          <cell r="C2320" t="str">
            <v>Aringa</v>
          </cell>
          <cell r="D2320" t="str">
            <v>Kuru</v>
          </cell>
          <cell r="F2320">
            <v>1417</v>
          </cell>
        </row>
        <row r="2321">
          <cell r="A2321" t="str">
            <v>Lodonga</v>
          </cell>
          <cell r="B2321" t="str">
            <v>Yumbe</v>
          </cell>
          <cell r="C2321" t="str">
            <v>Aringa</v>
          </cell>
          <cell r="D2321" t="str">
            <v>Lodonga</v>
          </cell>
          <cell r="F2321">
            <v>1418</v>
          </cell>
        </row>
        <row r="2322">
          <cell r="A2322" t="str">
            <v>Midigo</v>
          </cell>
          <cell r="B2322" t="str">
            <v>Yumbe</v>
          </cell>
          <cell r="C2322" t="str">
            <v>Aringa</v>
          </cell>
          <cell r="D2322" t="str">
            <v>Midigo</v>
          </cell>
          <cell r="F2322">
            <v>1419</v>
          </cell>
        </row>
        <row r="2323">
          <cell r="A2323" t="str">
            <v>Odravu</v>
          </cell>
          <cell r="B2323" t="str">
            <v>Yumbe</v>
          </cell>
          <cell r="C2323" t="str">
            <v>Aringa</v>
          </cell>
          <cell r="D2323" t="str">
            <v>Odravu</v>
          </cell>
          <cell r="F2323">
            <v>1420</v>
          </cell>
        </row>
        <row r="2324">
          <cell r="A2324" t="str">
            <v>Romogi</v>
          </cell>
          <cell r="B2324" t="str">
            <v>Yumbe</v>
          </cell>
          <cell r="C2324" t="str">
            <v>Aringa</v>
          </cell>
          <cell r="D2324" t="str">
            <v>Romogi</v>
          </cell>
          <cell r="F2324">
            <v>1421</v>
          </cell>
        </row>
        <row r="2325">
          <cell r="A2325" t="str">
            <v>Yumbe Town Council</v>
          </cell>
          <cell r="B2325" t="str">
            <v>Yumbe</v>
          </cell>
          <cell r="C2325" t="str">
            <v>Aringa</v>
          </cell>
          <cell r="D2325" t="str">
            <v>Yumbe Town Council</v>
          </cell>
          <cell r="F2325">
            <v>1422</v>
          </cell>
        </row>
        <row r="2326">
          <cell r="A2326" t="str">
            <v>YUMBE</v>
          </cell>
          <cell r="F2326">
            <v>1422</v>
          </cell>
        </row>
        <row r="2327">
          <cell r="A2327" t="str">
            <v>Abanga</v>
          </cell>
          <cell r="B2327" t="str">
            <v>Zombo</v>
          </cell>
          <cell r="C2327" t="str">
            <v>Okoro</v>
          </cell>
          <cell r="D2327" t="str">
            <v>Abanga</v>
          </cell>
          <cell r="F2327">
            <v>1423</v>
          </cell>
        </row>
        <row r="2328">
          <cell r="A2328" t="str">
            <v>Atyak</v>
          </cell>
          <cell r="B2328" t="str">
            <v>Zombo</v>
          </cell>
          <cell r="C2328" t="str">
            <v>Okoro</v>
          </cell>
          <cell r="D2328" t="str">
            <v>Atyak</v>
          </cell>
          <cell r="F2328">
            <v>1424</v>
          </cell>
        </row>
        <row r="2329">
          <cell r="A2329" t="str">
            <v>Jangokoro</v>
          </cell>
          <cell r="B2329" t="str">
            <v>Zombo</v>
          </cell>
          <cell r="C2329" t="str">
            <v>Okoro</v>
          </cell>
          <cell r="D2329" t="str">
            <v>Jangokoro</v>
          </cell>
          <cell r="F2329">
            <v>1425</v>
          </cell>
        </row>
        <row r="2330">
          <cell r="A2330" t="str">
            <v>Kango</v>
          </cell>
          <cell r="B2330" t="str">
            <v>Zombo</v>
          </cell>
          <cell r="C2330" t="str">
            <v>Okoro</v>
          </cell>
          <cell r="D2330" t="str">
            <v>Kango</v>
          </cell>
          <cell r="F2330">
            <v>1426</v>
          </cell>
        </row>
        <row r="2331">
          <cell r="A2331" t="str">
            <v>Nyapea</v>
          </cell>
          <cell r="B2331" t="str">
            <v>Zombo</v>
          </cell>
          <cell r="C2331" t="str">
            <v>Okoro</v>
          </cell>
          <cell r="D2331" t="str">
            <v>Nyapea</v>
          </cell>
          <cell r="F2331">
            <v>1427</v>
          </cell>
        </row>
        <row r="2332">
          <cell r="A2332" t="str">
            <v>NYAPEEYA</v>
          </cell>
          <cell r="F2332">
            <v>1427</v>
          </cell>
        </row>
        <row r="2333">
          <cell r="A2333" t="str">
            <v>Padeya</v>
          </cell>
          <cell r="F2333">
            <v>1427</v>
          </cell>
        </row>
        <row r="2334">
          <cell r="A2334" t="str">
            <v>Paidha</v>
          </cell>
          <cell r="B2334" t="str">
            <v>Zombo</v>
          </cell>
          <cell r="C2334" t="str">
            <v>Okoro</v>
          </cell>
          <cell r="D2334" t="str">
            <v>Paidha</v>
          </cell>
          <cell r="F2334">
            <v>1428</v>
          </cell>
        </row>
        <row r="2335">
          <cell r="A2335" t="str">
            <v>PANDHA</v>
          </cell>
          <cell r="F2335">
            <v>1428</v>
          </cell>
        </row>
        <row r="2336">
          <cell r="A2336" t="str">
            <v>Paidha Town Council</v>
          </cell>
          <cell r="B2336" t="str">
            <v>Zombo</v>
          </cell>
          <cell r="C2336" t="str">
            <v>Okoro</v>
          </cell>
          <cell r="D2336" t="str">
            <v>Paidha Town Council</v>
          </cell>
          <cell r="F2336">
            <v>1429</v>
          </cell>
        </row>
        <row r="2337">
          <cell r="A2337" t="str">
            <v>Warr</v>
          </cell>
          <cell r="B2337" t="str">
            <v>Zombo</v>
          </cell>
          <cell r="C2337" t="str">
            <v>Okoro</v>
          </cell>
          <cell r="D2337" t="str">
            <v>Warr</v>
          </cell>
          <cell r="F2337">
            <v>1430</v>
          </cell>
        </row>
        <row r="2338">
          <cell r="A2338" t="str">
            <v>Zeu</v>
          </cell>
          <cell r="B2338" t="str">
            <v>Zombo</v>
          </cell>
          <cell r="C2338" t="str">
            <v>Okoro</v>
          </cell>
          <cell r="D2338" t="str">
            <v>Zeu</v>
          </cell>
          <cell r="F2338">
            <v>1431</v>
          </cell>
        </row>
        <row r="2339">
          <cell r="A2339" t="str">
            <v>ZEWU TOWN</v>
          </cell>
          <cell r="F2339">
            <v>1431</v>
          </cell>
        </row>
        <row r="2340">
          <cell r="A2340" t="str">
            <v>Zombo Town Council</v>
          </cell>
          <cell r="B2340" t="str">
            <v>Zombo</v>
          </cell>
          <cell r="C2340" t="str">
            <v>Okoro</v>
          </cell>
          <cell r="D2340" t="str">
            <v>Zombo Town Council</v>
          </cell>
          <cell r="F2340">
            <v>1432</v>
          </cell>
        </row>
        <row r="2341">
          <cell r="A2341" t="str">
            <v>BORDER POSTS</v>
          </cell>
        </row>
        <row r="2342">
          <cell r="A2342" t="str">
            <v xml:space="preserve">Malaba </v>
          </cell>
          <cell r="B2342" t="str">
            <v>Tororo</v>
          </cell>
          <cell r="C2342" t="str">
            <v>Kenya</v>
          </cell>
          <cell r="D2342" t="str">
            <v xml:space="preserve">Tororo  </v>
          </cell>
          <cell r="F2342">
            <v>1433</v>
          </cell>
        </row>
        <row r="2343">
          <cell r="A2343" t="str">
            <v>Maraba</v>
          </cell>
          <cell r="F2343">
            <v>1433</v>
          </cell>
        </row>
        <row r="2344">
          <cell r="A2344" t="str">
            <v>Kisumu</v>
          </cell>
          <cell r="F2344">
            <v>1433</v>
          </cell>
        </row>
        <row r="2345">
          <cell r="A2345" t="str">
            <v>Malaba</v>
          </cell>
          <cell r="F2345">
            <v>1433</v>
          </cell>
        </row>
        <row r="2346">
          <cell r="A2346" t="str">
            <v>Busia</v>
          </cell>
          <cell r="B2346" t="str">
            <v>Busia</v>
          </cell>
          <cell r="C2346" t="str">
            <v>Kenya</v>
          </cell>
          <cell r="D2346" t="str">
            <v>Busia</v>
          </cell>
          <cell r="F2346">
            <v>1434</v>
          </cell>
        </row>
        <row r="2347">
          <cell r="A2347" t="str">
            <v>EREGU</v>
          </cell>
          <cell r="F2347">
            <v>1434</v>
          </cell>
        </row>
        <row r="2348">
          <cell r="A2348" t="str">
            <v>Kakamega</v>
          </cell>
          <cell r="F2348">
            <v>1434</v>
          </cell>
        </row>
        <row r="2349">
          <cell r="A2349" t="str">
            <v>NAIROBI</v>
          </cell>
          <cell r="F2349">
            <v>1434</v>
          </cell>
        </row>
        <row r="2350">
          <cell r="A2350" t="str">
            <v>NTIKA</v>
          </cell>
          <cell r="F2350">
            <v>1434</v>
          </cell>
        </row>
        <row r="2353">
          <cell r="A2353" t="str">
            <v>NANDI</v>
          </cell>
          <cell r="F2353">
            <v>1434</v>
          </cell>
        </row>
        <row r="2354">
          <cell r="A2354" t="str">
            <v>KAKAMENGA</v>
          </cell>
          <cell r="F2354">
            <v>1434</v>
          </cell>
        </row>
        <row r="2355">
          <cell r="A2355" t="str">
            <v>KARISA</v>
          </cell>
          <cell r="F2355">
            <v>1434</v>
          </cell>
        </row>
        <row r="2356">
          <cell r="A2356" t="str">
            <v>ORIYOI</v>
          </cell>
          <cell r="F2356">
            <v>1434</v>
          </cell>
        </row>
        <row r="2357">
          <cell r="A2357" t="str">
            <v>ALPMS</v>
          </cell>
          <cell r="F2357">
            <v>1434</v>
          </cell>
        </row>
        <row r="2358">
          <cell r="A2358" t="str">
            <v>WEBUYE</v>
          </cell>
          <cell r="F2358">
            <v>1434</v>
          </cell>
        </row>
        <row r="2359">
          <cell r="A2359" t="str">
            <v>EARTH RIVER</v>
          </cell>
          <cell r="F2359">
            <v>1434</v>
          </cell>
        </row>
        <row r="2360">
          <cell r="A2360" t="str">
            <v>ROAD BLOCK</v>
          </cell>
          <cell r="F2360">
            <v>1434</v>
          </cell>
        </row>
        <row r="2361">
          <cell r="A2361" t="str">
            <v>WASINGISHU COUNTY</v>
          </cell>
          <cell r="F2361">
            <v>1434</v>
          </cell>
        </row>
        <row r="2362">
          <cell r="A2362" t="str">
            <v>BOMBOLULU</v>
          </cell>
          <cell r="F2362">
            <v>1434</v>
          </cell>
        </row>
        <row r="2363">
          <cell r="A2363" t="str">
            <v>MACHAKOSI</v>
          </cell>
          <cell r="F2363">
            <v>1434</v>
          </cell>
        </row>
        <row r="2364">
          <cell r="A2364" t="str">
            <v>KIBALANI</v>
          </cell>
          <cell r="F2364">
            <v>1434</v>
          </cell>
        </row>
        <row r="2365">
          <cell r="A2365" t="str">
            <v>MBIRUGINI</v>
          </cell>
          <cell r="F2365">
            <v>1434</v>
          </cell>
        </row>
        <row r="2366">
          <cell r="A2366" t="str">
            <v>MARIAKANI</v>
          </cell>
          <cell r="F2366">
            <v>1434</v>
          </cell>
        </row>
        <row r="2367">
          <cell r="A2367" t="str">
            <v>MARINDI</v>
          </cell>
          <cell r="F2367">
            <v>1434</v>
          </cell>
        </row>
        <row r="2368">
          <cell r="A2368" t="str">
            <v>CHANGAMWE</v>
          </cell>
          <cell r="F2368">
            <v>1434</v>
          </cell>
        </row>
        <row r="2369">
          <cell r="A2369" t="str">
            <v>GARISA</v>
          </cell>
          <cell r="F2369">
            <v>1434</v>
          </cell>
        </row>
        <row r="2370">
          <cell r="A2370" t="str">
            <v>Kitale</v>
          </cell>
          <cell r="F2370">
            <v>1434</v>
          </cell>
        </row>
        <row r="2371">
          <cell r="A2371" t="str">
            <v>Bungoma</v>
          </cell>
          <cell r="F2371">
            <v>1434</v>
          </cell>
        </row>
        <row r="2372">
          <cell r="A2372" t="str">
            <v>Malindi</v>
          </cell>
          <cell r="F2372">
            <v>1434</v>
          </cell>
        </row>
        <row r="2373">
          <cell r="A2373" t="str">
            <v>JOMVU</v>
          </cell>
          <cell r="F2373">
            <v>1434</v>
          </cell>
        </row>
        <row r="2374">
          <cell r="A2374" t="str">
            <v>Boarder Kenya</v>
          </cell>
          <cell r="F2374">
            <v>1434</v>
          </cell>
        </row>
        <row r="2375">
          <cell r="A2375" t="str">
            <v>Eldoret Kenya</v>
          </cell>
          <cell r="F2375">
            <v>1434</v>
          </cell>
        </row>
        <row r="2376">
          <cell r="A2376" t="str">
            <v>GOMA</v>
          </cell>
          <cell r="F2376">
            <v>1434</v>
          </cell>
        </row>
        <row r="2377">
          <cell r="A2377" t="str">
            <v>KERICHO</v>
          </cell>
          <cell r="F2377">
            <v>1434</v>
          </cell>
        </row>
        <row r="2378">
          <cell r="A2378" t="str">
            <v>KITERA</v>
          </cell>
          <cell r="F2378">
            <v>1434</v>
          </cell>
        </row>
        <row r="2379">
          <cell r="A2379" t="str">
            <v>CHAMBU</v>
          </cell>
          <cell r="F2379">
            <v>1434</v>
          </cell>
        </row>
        <row r="2380">
          <cell r="A2380" t="str">
            <v>ELDORET</v>
          </cell>
          <cell r="F2380">
            <v>1434</v>
          </cell>
        </row>
        <row r="2381">
          <cell r="A2381" t="str">
            <v>ELDORATE</v>
          </cell>
          <cell r="F2381">
            <v>1434</v>
          </cell>
        </row>
        <row r="2382">
          <cell r="A2382" t="str">
            <v>Eldoret /Kenya</v>
          </cell>
          <cell r="F2382">
            <v>1434</v>
          </cell>
        </row>
        <row r="2383">
          <cell r="A2383" t="str">
            <v>NAIROBI CENTER</v>
          </cell>
          <cell r="F2383">
            <v>1434</v>
          </cell>
        </row>
        <row r="2384">
          <cell r="A2384" t="str">
            <v>KEBU</v>
          </cell>
          <cell r="F2384">
            <v>1434</v>
          </cell>
        </row>
        <row r="2385">
          <cell r="A2385" t="str">
            <v>KITARE</v>
          </cell>
          <cell r="F2385">
            <v>1434</v>
          </cell>
        </row>
        <row r="2386">
          <cell r="A2386" t="str">
            <v>NAKULU</v>
          </cell>
          <cell r="F2386">
            <v>1434</v>
          </cell>
        </row>
        <row r="2387">
          <cell r="A2387" t="str">
            <v>BUGOMA</v>
          </cell>
          <cell r="F2387">
            <v>1434</v>
          </cell>
        </row>
        <row r="2388">
          <cell r="A2388" t="str">
            <v>Nakuru</v>
          </cell>
          <cell r="F2388">
            <v>1434</v>
          </cell>
        </row>
        <row r="2389">
          <cell r="A2389" t="str">
            <v>Kenya</v>
          </cell>
          <cell r="F2389">
            <v>1434</v>
          </cell>
        </row>
        <row r="2390">
          <cell r="A2390" t="str">
            <v>Mombasa</v>
          </cell>
          <cell r="F2390">
            <v>1434</v>
          </cell>
        </row>
        <row r="2391">
          <cell r="A2391" t="str">
            <v>Mutukula</v>
          </cell>
          <cell r="B2391" t="str">
            <v>Kyotera</v>
          </cell>
          <cell r="C2391" t="str">
            <v>Tanzania</v>
          </cell>
          <cell r="D2391" t="str">
            <v>Kyotera</v>
          </cell>
          <cell r="F2391">
            <v>1435</v>
          </cell>
        </row>
        <row r="2392">
          <cell r="A2392" t="str">
            <v>KALAGWE</v>
          </cell>
          <cell r="F2392">
            <v>1435</v>
          </cell>
        </row>
        <row r="2393">
          <cell r="A2393" t="str">
            <v>ARUSHA</v>
          </cell>
          <cell r="F2393">
            <v>1435</v>
          </cell>
        </row>
        <row r="2394">
          <cell r="A2394" t="str">
            <v>Dares'salam</v>
          </cell>
          <cell r="F2394">
            <v>1435</v>
          </cell>
        </row>
        <row r="2395">
          <cell r="A2395" t="str">
            <v>TANZANIA</v>
          </cell>
          <cell r="F2395">
            <v>1435</v>
          </cell>
        </row>
        <row r="2396">
          <cell r="A2396" t="str">
            <v>Dar-es-Salaam</v>
          </cell>
          <cell r="F2396">
            <v>1435</v>
          </cell>
        </row>
        <row r="2397">
          <cell r="A2397" t="str">
            <v>Katuna</v>
          </cell>
          <cell r="B2397" t="str">
            <v>Kabale</v>
          </cell>
          <cell r="C2397" t="str">
            <v>Rwanda</v>
          </cell>
          <cell r="D2397" t="str">
            <v>Kabale</v>
          </cell>
          <cell r="F2397">
            <v>1436</v>
          </cell>
        </row>
        <row r="2398">
          <cell r="A2398" t="str">
            <v>RWANDA</v>
          </cell>
          <cell r="F2398">
            <v>1436</v>
          </cell>
        </row>
        <row r="2399">
          <cell r="A2399" t="str">
            <v>KIGALI</v>
          </cell>
          <cell r="F2399">
            <v>1436</v>
          </cell>
        </row>
        <row r="2400">
          <cell r="A2400" t="str">
            <v>BURUNDI</v>
          </cell>
          <cell r="F2400">
            <v>1436</v>
          </cell>
        </row>
        <row r="2401">
          <cell r="A2401" t="str">
            <v>KIGARI</v>
          </cell>
          <cell r="F2401">
            <v>1436</v>
          </cell>
        </row>
        <row r="2402">
          <cell r="A2402" t="str">
            <v>Cyanika</v>
          </cell>
          <cell r="B2402" t="str">
            <v>Kisoro</v>
          </cell>
          <cell r="C2402" t="str">
            <v>Rwanda</v>
          </cell>
          <cell r="D2402" t="str">
            <v>Kisoro</v>
          </cell>
          <cell r="F2402">
            <v>1437</v>
          </cell>
        </row>
        <row r="2403">
          <cell r="A2403" t="str">
            <v>KYANIKA</v>
          </cell>
          <cell r="F2403">
            <v>1437</v>
          </cell>
        </row>
        <row r="2404">
          <cell r="A2404" t="str">
            <v>Kiyumba</v>
          </cell>
          <cell r="F2404">
            <v>1437</v>
          </cell>
        </row>
        <row r="2405">
          <cell r="A2405" t="str">
            <v>Bunagana</v>
          </cell>
          <cell r="B2405" t="str">
            <v>Kisoro</v>
          </cell>
          <cell r="C2405" t="str">
            <v>DRC</v>
          </cell>
          <cell r="D2405" t="str">
            <v>Kisoro</v>
          </cell>
          <cell r="F2405">
            <v>1438</v>
          </cell>
        </row>
        <row r="2406">
          <cell r="A2406" t="str">
            <v>CONGO</v>
          </cell>
          <cell r="F2406">
            <v>1438</v>
          </cell>
        </row>
        <row r="2407">
          <cell r="A2407" t="str">
            <v>Ishasha</v>
          </cell>
          <cell r="B2407" t="str">
            <v>Kanungu</v>
          </cell>
          <cell r="C2407" t="str">
            <v>DRC</v>
          </cell>
          <cell r="D2407" t="str">
            <v>Kanungu</v>
          </cell>
          <cell r="F2407">
            <v>1439</v>
          </cell>
        </row>
        <row r="2408">
          <cell r="A2408" t="str">
            <v>Mpondwe</v>
          </cell>
          <cell r="B2408" t="str">
            <v>Kasese</v>
          </cell>
          <cell r="C2408" t="str">
            <v>DRC</v>
          </cell>
          <cell r="D2408" t="str">
            <v>Kasese</v>
          </cell>
          <cell r="F2408">
            <v>1440</v>
          </cell>
        </row>
        <row r="2409">
          <cell r="A2409" t="str">
            <v>PONDWE</v>
          </cell>
          <cell r="F2409">
            <v>1440</v>
          </cell>
        </row>
        <row r="2410">
          <cell r="A2410" t="str">
            <v>ARIWARA</v>
          </cell>
          <cell r="F2410">
            <v>1440</v>
          </cell>
        </row>
        <row r="2411">
          <cell r="A2411" t="str">
            <v>KIBALI</v>
          </cell>
          <cell r="F2411">
            <v>1440</v>
          </cell>
        </row>
        <row r="2412">
          <cell r="A2412" t="str">
            <v>Goli</v>
          </cell>
          <cell r="B2412" t="str">
            <v>Nebbi</v>
          </cell>
          <cell r="C2412" t="str">
            <v>DRC</v>
          </cell>
          <cell r="D2412" t="str">
            <v xml:space="preserve">Nebbi  </v>
          </cell>
          <cell r="F2412">
            <v>1441</v>
          </cell>
        </row>
        <row r="2413">
          <cell r="A2413" t="str">
            <v>Suam</v>
          </cell>
          <cell r="B2413" t="str">
            <v>Bukwo</v>
          </cell>
          <cell r="C2413" t="str">
            <v>Kenya</v>
          </cell>
          <cell r="D2413" t="str">
            <v>Bukwo</v>
          </cell>
          <cell r="F2413">
            <v>1442</v>
          </cell>
        </row>
        <row r="2414">
          <cell r="A2414" t="str">
            <v>KISANGANI</v>
          </cell>
          <cell r="F2414">
            <v>1442</v>
          </cell>
        </row>
        <row r="2415">
          <cell r="A2415" t="str">
            <v>Sauli Mwoyo</v>
          </cell>
          <cell r="F2415">
            <v>1442</v>
          </cell>
        </row>
        <row r="2416">
          <cell r="A2416" t="str">
            <v>Elegu</v>
          </cell>
          <cell r="B2416" t="str">
            <v>Amuru</v>
          </cell>
          <cell r="C2416" t="str">
            <v xml:space="preserve">South Sudan </v>
          </cell>
          <cell r="D2416" t="str">
            <v>Amuru</v>
          </cell>
          <cell r="F2416">
            <v>1443</v>
          </cell>
        </row>
        <row r="2417">
          <cell r="A2417" t="str">
            <v>Nimule</v>
          </cell>
          <cell r="B2417" t="str">
            <v>Amuru</v>
          </cell>
          <cell r="C2417" t="str">
            <v xml:space="preserve">South Sudan </v>
          </cell>
          <cell r="D2417" t="str">
            <v>Amuru</v>
          </cell>
          <cell r="F2417">
            <v>1443</v>
          </cell>
        </row>
        <row r="2418">
          <cell r="A2418" t="str">
            <v>Gumbo</v>
          </cell>
          <cell r="F2418">
            <v>1443</v>
          </cell>
        </row>
        <row r="2419">
          <cell r="A2419" t="str">
            <v>Nemule</v>
          </cell>
          <cell r="F2419">
            <v>1443</v>
          </cell>
        </row>
        <row r="2420">
          <cell r="A2420" t="str">
            <v>SUDAN</v>
          </cell>
          <cell r="F2420">
            <v>1443</v>
          </cell>
        </row>
        <row r="2421">
          <cell r="A2421" t="str">
            <v>JUBA</v>
          </cell>
          <cell r="F2421">
            <v>1443</v>
          </cell>
        </row>
        <row r="2422">
          <cell r="A2422" t="str">
            <v>KONYOKONYO</v>
          </cell>
          <cell r="F2422">
            <v>1443</v>
          </cell>
        </row>
        <row r="2423">
          <cell r="A2423" t="str">
            <v>Mirama Hills</v>
          </cell>
          <cell r="B2423" t="str">
            <v>Ntungamo</v>
          </cell>
          <cell r="C2423" t="str">
            <v>Rwanda</v>
          </cell>
          <cell r="D2423" t="str">
            <v xml:space="preserve">Ntungamo  </v>
          </cell>
          <cell r="F2423">
            <v>1444</v>
          </cell>
        </row>
        <row r="2424">
          <cell r="A2424" t="str">
            <v>Oraba</v>
          </cell>
          <cell r="B2424" t="str">
            <v>Koboko</v>
          </cell>
          <cell r="C2424" t="str">
            <v xml:space="preserve">South Sudan </v>
          </cell>
          <cell r="D2424" t="str">
            <v>Koboko</v>
          </cell>
          <cell r="F2424">
            <v>1445</v>
          </cell>
        </row>
        <row r="2425">
          <cell r="A2425" t="str">
            <v>Padea</v>
          </cell>
          <cell r="B2425" t="str">
            <v>Zombo</v>
          </cell>
          <cell r="C2425" t="str">
            <v>DRC</v>
          </cell>
          <cell r="D2425" t="str">
            <v>Zombo</v>
          </cell>
          <cell r="F2425">
            <v>1446</v>
          </cell>
        </row>
        <row r="2426">
          <cell r="A2426" t="str">
            <v>Vurra</v>
          </cell>
          <cell r="B2426" t="str">
            <v>Arua</v>
          </cell>
          <cell r="C2426" t="str">
            <v>DRC</v>
          </cell>
          <cell r="D2426" t="str">
            <v>Arua</v>
          </cell>
          <cell r="F2426">
            <v>1447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.8 Direction 1"/>
      <sheetName val="RSI FORM"/>
      <sheetName val="10.8 Direction 2"/>
      <sheetName val="02.08 Kireka-Namugongo"/>
      <sheetName val="2.08 Namugongo-Kirek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37" zoomScale="65" zoomScaleNormal="65" workbookViewId="0">
      <selection activeCell="O52" sqref="O52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85" t="s">
        <v>577</v>
      </c>
      <c r="N3" s="1" t="s">
        <v>578</v>
      </c>
    </row>
    <row r="4" spans="1:17" ht="38.25">
      <c r="B4" s="86" t="s">
        <v>225</v>
      </c>
      <c r="C4" s="86" t="s">
        <v>579</v>
      </c>
      <c r="D4" s="86" t="s">
        <v>580</v>
      </c>
      <c r="N4" s="87" t="s">
        <v>581</v>
      </c>
      <c r="O4" s="87" t="s">
        <v>582</v>
      </c>
      <c r="P4" s="87" t="s">
        <v>583</v>
      </c>
      <c r="Q4" s="88" t="s">
        <v>584</v>
      </c>
    </row>
    <row r="5" spans="1:17" ht="15" customHeight="1">
      <c r="B5" s="89" t="s">
        <v>159</v>
      </c>
      <c r="C5" s="90">
        <f>COUNTIF('ALL DATA'!$D$9:$D$5000,"1")</f>
        <v>81</v>
      </c>
      <c r="D5" s="91">
        <f t="shared" ref="D5:D16" si="0">C5/$C$17</f>
        <v>0.20199501246882792</v>
      </c>
      <c r="N5" s="92" t="s">
        <v>585</v>
      </c>
      <c r="O5" s="93">
        <f>COUNTIF(Jtime,"&lt;=0.25")</f>
        <v>159</v>
      </c>
      <c r="P5" s="94">
        <f>O5</f>
        <v>159</v>
      </c>
      <c r="Q5" s="95">
        <f>P5/$O$15</f>
        <v>0.39949748743718594</v>
      </c>
    </row>
    <row r="6" spans="1:17" ht="15" customHeight="1">
      <c r="B6" s="89" t="s">
        <v>160</v>
      </c>
      <c r="C6" s="90">
        <f>COUNTIF('ALL DATA'!$D$9:$D$5000,"2")</f>
        <v>77</v>
      </c>
      <c r="D6" s="91">
        <f t="shared" si="0"/>
        <v>0.19201995012468828</v>
      </c>
      <c r="N6" s="92" t="s">
        <v>586</v>
      </c>
      <c r="O6" s="93">
        <f>COUNTIF(Jtime,"&lt;=0.5")</f>
        <v>163</v>
      </c>
      <c r="P6" s="94">
        <f>O6-O5</f>
        <v>4</v>
      </c>
      <c r="Q6" s="95">
        <f t="shared" ref="Q6:Q15" si="1">P6/$O$15</f>
        <v>1.0050251256281407E-2</v>
      </c>
    </row>
    <row r="7" spans="1:17" ht="15" customHeight="1">
      <c r="B7" s="89" t="s">
        <v>161</v>
      </c>
      <c r="C7" s="90">
        <f>COUNTIF('ALL DATA'!$D$9:$D$5000,"3")</f>
        <v>122</v>
      </c>
      <c r="D7" s="91">
        <f t="shared" si="0"/>
        <v>0.30423940149625933</v>
      </c>
      <c r="N7" s="92" t="s">
        <v>587</v>
      </c>
      <c r="O7" s="93">
        <f>COUNTIF(Jtime,"&lt;=0.75")</f>
        <v>167</v>
      </c>
      <c r="P7" s="94">
        <f t="shared" ref="P7:P15" si="2">O7-O6</f>
        <v>4</v>
      </c>
      <c r="Q7" s="95">
        <f t="shared" si="1"/>
        <v>1.0050251256281407E-2</v>
      </c>
    </row>
    <row r="8" spans="1:17" ht="15" customHeight="1">
      <c r="B8" s="89" t="s">
        <v>162</v>
      </c>
      <c r="C8" s="90">
        <f>COUNTIF('ALL DATA'!$D$9:$D$5000,"4")</f>
        <v>16</v>
      </c>
      <c r="D8" s="91">
        <f t="shared" si="0"/>
        <v>3.9900249376558602E-2</v>
      </c>
      <c r="N8" s="92" t="s">
        <v>588</v>
      </c>
      <c r="O8" s="93">
        <f>COUNTIF(Jtime,"&lt;=1.0")</f>
        <v>247</v>
      </c>
      <c r="P8" s="94">
        <f t="shared" si="2"/>
        <v>80</v>
      </c>
      <c r="Q8" s="95">
        <f t="shared" si="1"/>
        <v>0.20100502512562815</v>
      </c>
    </row>
    <row r="9" spans="1:17" ht="15" customHeight="1">
      <c r="B9" s="89" t="s">
        <v>163</v>
      </c>
      <c r="C9" s="90">
        <f>COUNTIF('ALL DATA'!$D$9:$D$5000,"5")</f>
        <v>15</v>
      </c>
      <c r="D9" s="91">
        <f t="shared" si="0"/>
        <v>3.7406483790523692E-2</v>
      </c>
      <c r="N9" s="92" t="s">
        <v>589</v>
      </c>
      <c r="O9" s="93">
        <f>COUNTIF(Jtime,"&lt;=1.5")</f>
        <v>250</v>
      </c>
      <c r="P9" s="94">
        <f t="shared" si="2"/>
        <v>3</v>
      </c>
      <c r="Q9" s="95">
        <f t="shared" si="1"/>
        <v>7.537688442211055E-3</v>
      </c>
    </row>
    <row r="10" spans="1:17" ht="15" customHeight="1">
      <c r="B10" s="89" t="s">
        <v>164</v>
      </c>
      <c r="C10" s="90">
        <f>COUNTIF('ALL DATA'!$D$9:$D$5000,"6")</f>
        <v>1</v>
      </c>
      <c r="D10" s="91">
        <f t="shared" si="0"/>
        <v>2.4937655860349127E-3</v>
      </c>
      <c r="N10" s="92" t="s">
        <v>590</v>
      </c>
      <c r="O10" s="93">
        <f>COUNTIF(Jtime,"&lt;=2")</f>
        <v>291</v>
      </c>
      <c r="P10" s="94">
        <f t="shared" si="2"/>
        <v>41</v>
      </c>
      <c r="Q10" s="95">
        <f t="shared" si="1"/>
        <v>0.10301507537688442</v>
      </c>
    </row>
    <row r="11" spans="1:17" ht="15" customHeight="1">
      <c r="B11" s="89" t="s">
        <v>165</v>
      </c>
      <c r="C11" s="90">
        <f>COUNTIF('ALL DATA'!$D$9:$D$5000,"7")</f>
        <v>0</v>
      </c>
      <c r="D11" s="91">
        <f t="shared" si="0"/>
        <v>0</v>
      </c>
      <c r="N11" s="92" t="s">
        <v>591</v>
      </c>
      <c r="O11" s="93">
        <f>COUNTIF(Jtime,"&lt;=3")</f>
        <v>356</v>
      </c>
      <c r="P11" s="94">
        <f t="shared" si="2"/>
        <v>65</v>
      </c>
      <c r="Q11" s="95">
        <f t="shared" si="1"/>
        <v>0.16331658291457288</v>
      </c>
    </row>
    <row r="12" spans="1:17" ht="15" customHeight="1">
      <c r="B12" s="89" t="s">
        <v>166</v>
      </c>
      <c r="C12" s="90">
        <f>COUNTIF('ALL DATA'!$D$9:$D$5000,"8")</f>
        <v>38</v>
      </c>
      <c r="D12" s="91">
        <f t="shared" si="0"/>
        <v>9.4763092269326679E-2</v>
      </c>
      <c r="N12" s="92" t="s">
        <v>592</v>
      </c>
      <c r="O12" s="93">
        <f>COUNTIF(Jtime,"&lt;=5")</f>
        <v>386</v>
      </c>
      <c r="P12" s="94">
        <f t="shared" si="2"/>
        <v>30</v>
      </c>
      <c r="Q12" s="95">
        <f t="shared" si="1"/>
        <v>7.5376884422110546E-2</v>
      </c>
    </row>
    <row r="13" spans="1:17" ht="15" customHeight="1">
      <c r="B13" s="89" t="s">
        <v>167</v>
      </c>
      <c r="C13" s="90">
        <f>COUNTIF('ALL DATA'!$D$9:$D$5000,"9")</f>
        <v>6</v>
      </c>
      <c r="D13" s="91">
        <f t="shared" si="0"/>
        <v>1.4962593516209476E-2</v>
      </c>
      <c r="N13" s="92" t="s">
        <v>593</v>
      </c>
      <c r="O13" s="93">
        <f>COUNTIF(Jtime,"&lt;=7.5")</f>
        <v>393</v>
      </c>
      <c r="P13" s="94">
        <f t="shared" si="2"/>
        <v>7</v>
      </c>
      <c r="Q13" s="95">
        <f t="shared" si="1"/>
        <v>1.7587939698492462E-2</v>
      </c>
    </row>
    <row r="14" spans="1:17" ht="15" customHeight="1">
      <c r="B14" s="89" t="s">
        <v>168</v>
      </c>
      <c r="C14" s="90">
        <f>COUNTIF('ALL DATA'!$D$9:$D$5000,"10")</f>
        <v>0</v>
      </c>
      <c r="D14" s="91">
        <f t="shared" si="0"/>
        <v>0</v>
      </c>
      <c r="N14" s="92" t="s">
        <v>594</v>
      </c>
      <c r="O14" s="93">
        <f>COUNTIF(Jtime,"&lt;=10")</f>
        <v>398</v>
      </c>
      <c r="P14" s="94">
        <f t="shared" si="2"/>
        <v>5</v>
      </c>
      <c r="Q14" s="95">
        <f t="shared" si="1"/>
        <v>1.2562814070351759E-2</v>
      </c>
    </row>
    <row r="15" spans="1:17" ht="15" customHeight="1">
      <c r="B15" s="89" t="s">
        <v>170</v>
      </c>
      <c r="C15" s="90">
        <f>COUNTIF('ALL DATA'!$D$9:$D$5000,"11")</f>
        <v>0</v>
      </c>
      <c r="D15" s="91">
        <f t="shared" si="0"/>
        <v>0</v>
      </c>
      <c r="N15" s="92" t="s">
        <v>595</v>
      </c>
      <c r="O15" s="93">
        <f>COUNTIF(Jtime,"&lt;=15")</f>
        <v>398</v>
      </c>
      <c r="P15" s="94">
        <f t="shared" si="2"/>
        <v>0</v>
      </c>
      <c r="Q15" s="95">
        <f t="shared" si="1"/>
        <v>0</v>
      </c>
    </row>
    <row r="16" spans="1:17">
      <c r="B16" s="89" t="s">
        <v>169</v>
      </c>
      <c r="C16" s="90">
        <f>COUNTIF('ALL DATA'!$D$9:$D$5000,"12")</f>
        <v>45</v>
      </c>
      <c r="D16" s="91">
        <f t="shared" si="0"/>
        <v>0.11221945137157108</v>
      </c>
    </row>
    <row r="17" spans="2:16">
      <c r="B17" s="90"/>
      <c r="C17" s="96">
        <f>SUM(C5:C16)</f>
        <v>401</v>
      </c>
      <c r="D17" s="90"/>
    </row>
    <row r="21" spans="2:16">
      <c r="N21" s="1" t="s">
        <v>196</v>
      </c>
    </row>
    <row r="22" spans="2:16" ht="39">
      <c r="B22" s="85" t="s">
        <v>226</v>
      </c>
      <c r="N22" s="97" t="s">
        <v>196</v>
      </c>
      <c r="O22" s="97" t="s">
        <v>583</v>
      </c>
      <c r="P22" s="98" t="s">
        <v>584</v>
      </c>
    </row>
    <row r="23" spans="2:16" ht="15" customHeight="1">
      <c r="B23" s="99" t="s">
        <v>596</v>
      </c>
      <c r="C23" s="99" t="s">
        <v>597</v>
      </c>
      <c r="D23" s="99" t="s">
        <v>598</v>
      </c>
      <c r="N23" s="100" t="s">
        <v>599</v>
      </c>
      <c r="O23" s="101">
        <f>COUNTIF(Tripfreq,"=1")</f>
        <v>46</v>
      </c>
      <c r="P23" s="91">
        <f>O23/$O$29</f>
        <v>0.10823529411764705</v>
      </c>
    </row>
    <row r="24" spans="2:16" ht="15" customHeight="1">
      <c r="B24" s="102" t="s">
        <v>227</v>
      </c>
      <c r="C24" s="103">
        <f>COUNTIF('ALL DATA'!$R$9:$R$5000,"Home-Work")</f>
        <v>48</v>
      </c>
      <c r="D24" s="104">
        <f>C24/$C$29</f>
        <v>0.11970074812967581</v>
      </c>
      <c r="N24" s="100" t="s">
        <v>198</v>
      </c>
      <c r="O24" s="101">
        <f>COUNTIF(Tripfreq,"=2")</f>
        <v>137</v>
      </c>
      <c r="P24" s="91">
        <f t="shared" ref="P24:P28" si="3">O24/$O$29</f>
        <v>0.32235294117647056</v>
      </c>
    </row>
    <row r="25" spans="2:16" ht="15" customHeight="1">
      <c r="B25" s="102" t="s">
        <v>228</v>
      </c>
      <c r="C25" s="103">
        <f>COUNTIF('ALL DATA'!$R$9:$R$369,"Home-Study")</f>
        <v>22</v>
      </c>
      <c r="D25" s="104">
        <f>C25/$C$29</f>
        <v>5.4862842892768077E-2</v>
      </c>
      <c r="N25" s="100" t="s">
        <v>199</v>
      </c>
      <c r="O25" s="101">
        <f>COUNTIF(Tripfreq,"=3")</f>
        <v>138</v>
      </c>
      <c r="P25" s="91">
        <f t="shared" si="3"/>
        <v>0.32470588235294118</v>
      </c>
    </row>
    <row r="26" spans="2:16" ht="15" customHeight="1">
      <c r="B26" s="102" t="s">
        <v>229</v>
      </c>
      <c r="C26" s="103">
        <f>COUNTIF('ALL DATA'!$R$9:$R$369,"Work-Home")</f>
        <v>47</v>
      </c>
      <c r="D26" s="104">
        <f>C26/$C$29</f>
        <v>0.1172069825436409</v>
      </c>
      <c r="N26" s="100" t="s">
        <v>200</v>
      </c>
      <c r="O26" s="101">
        <f>COUNTIF(Tripfreq,"=4")</f>
        <v>83</v>
      </c>
      <c r="P26" s="91">
        <f t="shared" si="3"/>
        <v>0.19529411764705881</v>
      </c>
    </row>
    <row r="27" spans="2:16" ht="15" customHeight="1">
      <c r="B27" s="102" t="s">
        <v>230</v>
      </c>
      <c r="C27" s="103">
        <f>COUNTIF('ALL DATA'!$R$9:$R$369,"Work-Work")</f>
        <v>28</v>
      </c>
      <c r="D27" s="104">
        <f>C27/$C$29</f>
        <v>6.9825436408977551E-2</v>
      </c>
      <c r="N27" s="100" t="s">
        <v>201</v>
      </c>
      <c r="O27" s="101">
        <f>COUNTIF(Tripfreq,"=5")</f>
        <v>14</v>
      </c>
      <c r="P27" s="91">
        <f t="shared" si="3"/>
        <v>3.2941176470588238E-2</v>
      </c>
    </row>
    <row r="28" spans="2:16" ht="15" customHeight="1">
      <c r="B28" s="102" t="s">
        <v>195</v>
      </c>
      <c r="C28" s="103">
        <f>C29-SUM(C24:C27)</f>
        <v>256</v>
      </c>
      <c r="D28" s="104">
        <f>C28/$C$29</f>
        <v>0.63840399002493764</v>
      </c>
      <c r="N28" s="100" t="s">
        <v>202</v>
      </c>
      <c r="O28" s="101">
        <f>COUNTIF(Tripfreq,"=6")</f>
        <v>7</v>
      </c>
      <c r="P28" s="91">
        <f t="shared" si="3"/>
        <v>1.6470588235294119E-2</v>
      </c>
    </row>
    <row r="29" spans="2:16" ht="15" customHeight="1">
      <c r="B29" s="105" t="s">
        <v>231</v>
      </c>
      <c r="C29" s="105">
        <f>C17</f>
        <v>401</v>
      </c>
      <c r="D29" s="103"/>
      <c r="N29" s="89"/>
      <c r="O29" s="106">
        <f>SUM(O23:O28)</f>
        <v>425</v>
      </c>
      <c r="P29" s="91"/>
    </row>
    <row r="40" spans="2:25">
      <c r="B40" s="1" t="s">
        <v>232</v>
      </c>
    </row>
    <row r="41" spans="2:25">
      <c r="B41" s="107" t="s">
        <v>600</v>
      </c>
      <c r="C41" s="107" t="s">
        <v>601</v>
      </c>
      <c r="D41" s="107" t="s">
        <v>598</v>
      </c>
    </row>
    <row r="42" spans="2:25">
      <c r="B42" s="108" t="s">
        <v>32</v>
      </c>
      <c r="C42" s="109">
        <f>COUNTIF('ALL DATA'!$Y$9:$Y$5000,"Y")</f>
        <v>0</v>
      </c>
      <c r="D42" s="95">
        <f>C42/$C$44</f>
        <v>0</v>
      </c>
    </row>
    <row r="43" spans="2:25">
      <c r="B43" s="108" t="s">
        <v>233</v>
      </c>
      <c r="C43" s="109">
        <f>C44-C42</f>
        <v>401</v>
      </c>
      <c r="D43" s="95">
        <f>C43/$C$44</f>
        <v>1</v>
      </c>
    </row>
    <row r="44" spans="2:25">
      <c r="B44" s="110" t="s">
        <v>231</v>
      </c>
      <c r="C44" s="110">
        <f>C29</f>
        <v>401</v>
      </c>
      <c r="D44" s="109"/>
    </row>
    <row r="47" spans="2:25">
      <c r="R47" s="150" t="s">
        <v>189</v>
      </c>
      <c r="S47" s="150" t="s">
        <v>190</v>
      </c>
      <c r="T47" s="150" t="s">
        <v>191</v>
      </c>
      <c r="U47" s="150" t="s">
        <v>192</v>
      </c>
      <c r="V47" s="150" t="s">
        <v>193</v>
      </c>
      <c r="W47" s="150" t="s">
        <v>194</v>
      </c>
      <c r="X47" s="150" t="s">
        <v>176</v>
      </c>
      <c r="Y47" s="150" t="s">
        <v>195</v>
      </c>
    </row>
    <row r="48" spans="2:25">
      <c r="P48">
        <v>1</v>
      </c>
      <c r="Q48" s="151" t="s">
        <v>189</v>
      </c>
      <c r="R48" s="152">
        <f t="shared" ref="R48:Y55" si="4">R59/SUM($R$59:$Y$66)</f>
        <v>0.08</v>
      </c>
      <c r="S48" s="152">
        <f t="shared" si="4"/>
        <v>0.11294117647058824</v>
      </c>
      <c r="T48" s="152">
        <f t="shared" si="4"/>
        <v>5.1764705882352942E-2</v>
      </c>
      <c r="U48" s="152">
        <f t="shared" si="4"/>
        <v>3.7647058823529408E-2</v>
      </c>
      <c r="V48" s="152">
        <f t="shared" si="4"/>
        <v>1.411764705882353E-2</v>
      </c>
      <c r="W48" s="152">
        <f t="shared" si="4"/>
        <v>1.1764705882352941E-2</v>
      </c>
      <c r="X48" s="152">
        <f t="shared" si="4"/>
        <v>9.4117647058823521E-3</v>
      </c>
      <c r="Y48" s="152">
        <f t="shared" si="4"/>
        <v>0</v>
      </c>
    </row>
    <row r="49" spans="2:25">
      <c r="P49">
        <v>2</v>
      </c>
      <c r="Q49" s="151" t="s">
        <v>190</v>
      </c>
      <c r="R49" s="152">
        <f t="shared" si="4"/>
        <v>0.12705882352941175</v>
      </c>
      <c r="S49" s="152">
        <f t="shared" si="4"/>
        <v>8.7058823529411758E-2</v>
      </c>
      <c r="T49" s="152">
        <f t="shared" si="4"/>
        <v>4.9411764705882349E-2</v>
      </c>
      <c r="U49" s="152">
        <f t="shared" si="4"/>
        <v>4.4705882352941179E-2</v>
      </c>
      <c r="V49" s="152">
        <f t="shared" si="4"/>
        <v>7.058823529411765E-3</v>
      </c>
      <c r="W49" s="152">
        <f t="shared" si="4"/>
        <v>0</v>
      </c>
      <c r="X49" s="152">
        <f t="shared" si="4"/>
        <v>4.7058823529411761E-3</v>
      </c>
      <c r="Y49" s="152">
        <f t="shared" si="4"/>
        <v>0</v>
      </c>
    </row>
    <row r="50" spans="2:25">
      <c r="P50">
        <v>3</v>
      </c>
      <c r="Q50" s="151" t="s">
        <v>191</v>
      </c>
      <c r="R50" s="152">
        <f t="shared" si="4"/>
        <v>6.1176470588235297E-2</v>
      </c>
      <c r="S50" s="152">
        <f t="shared" si="4"/>
        <v>2.3529411764705882E-2</v>
      </c>
      <c r="T50" s="152">
        <f t="shared" si="4"/>
        <v>5.647058823529412E-2</v>
      </c>
      <c r="U50" s="152">
        <f t="shared" si="4"/>
        <v>9.4117647058823521E-3</v>
      </c>
      <c r="V50" s="152">
        <f t="shared" si="4"/>
        <v>2.352941176470588E-3</v>
      </c>
      <c r="W50" s="152">
        <f t="shared" si="4"/>
        <v>2.352941176470588E-3</v>
      </c>
      <c r="X50" s="152">
        <f t="shared" si="4"/>
        <v>2.352941176470588E-3</v>
      </c>
      <c r="Y50" s="152">
        <f t="shared" si="4"/>
        <v>0</v>
      </c>
    </row>
    <row r="51" spans="2:25">
      <c r="P51">
        <v>4</v>
      </c>
      <c r="Q51" s="151" t="s">
        <v>192</v>
      </c>
      <c r="R51" s="152">
        <f t="shared" si="4"/>
        <v>5.647058823529412E-2</v>
      </c>
      <c r="S51" s="152">
        <f t="shared" si="4"/>
        <v>0</v>
      </c>
      <c r="T51" s="152">
        <f t="shared" si="4"/>
        <v>1.1764705882352941E-2</v>
      </c>
      <c r="U51" s="152">
        <f t="shared" si="4"/>
        <v>1.411764705882353E-2</v>
      </c>
      <c r="V51" s="152">
        <f t="shared" si="4"/>
        <v>2.352941176470588E-3</v>
      </c>
      <c r="W51" s="152">
        <f t="shared" si="4"/>
        <v>2.352941176470588E-3</v>
      </c>
      <c r="X51" s="152">
        <f t="shared" si="4"/>
        <v>4.7058823529411761E-3</v>
      </c>
      <c r="Y51" s="152">
        <f t="shared" si="4"/>
        <v>0</v>
      </c>
    </row>
    <row r="52" spans="2:25">
      <c r="P52">
        <v>5</v>
      </c>
      <c r="Q52" s="151" t="s">
        <v>193</v>
      </c>
      <c r="R52" s="152">
        <f t="shared" si="4"/>
        <v>2.3529411764705882E-2</v>
      </c>
      <c r="S52" s="152">
        <f t="shared" si="4"/>
        <v>7.058823529411765E-3</v>
      </c>
      <c r="T52" s="152">
        <f t="shared" si="4"/>
        <v>2.352941176470588E-3</v>
      </c>
      <c r="U52" s="152">
        <f t="shared" si="4"/>
        <v>2.352941176470588E-3</v>
      </c>
      <c r="V52" s="152">
        <f t="shared" si="4"/>
        <v>4.7058823529411761E-3</v>
      </c>
      <c r="W52" s="152">
        <f t="shared" si="4"/>
        <v>0</v>
      </c>
      <c r="X52" s="152">
        <f t="shared" si="4"/>
        <v>0</v>
      </c>
      <c r="Y52" s="152">
        <f t="shared" si="4"/>
        <v>0</v>
      </c>
    </row>
    <row r="53" spans="2:25">
      <c r="P53">
        <v>6</v>
      </c>
      <c r="Q53" s="151" t="s">
        <v>194</v>
      </c>
      <c r="R53" s="152">
        <f t="shared" si="4"/>
        <v>3.0588235294117649E-2</v>
      </c>
      <c r="S53" s="152">
        <f t="shared" si="4"/>
        <v>4.7058823529411761E-3</v>
      </c>
      <c r="T53" s="152">
        <f t="shared" si="4"/>
        <v>4.7058823529411761E-3</v>
      </c>
      <c r="U53" s="152">
        <f t="shared" si="4"/>
        <v>4.7058823529411761E-3</v>
      </c>
      <c r="V53" s="152">
        <f t="shared" si="4"/>
        <v>2.352941176470588E-3</v>
      </c>
      <c r="W53" s="152">
        <f t="shared" si="4"/>
        <v>0</v>
      </c>
      <c r="X53" s="152">
        <f t="shared" si="4"/>
        <v>0</v>
      </c>
      <c r="Y53" s="152">
        <f t="shared" si="4"/>
        <v>0</v>
      </c>
    </row>
    <row r="54" spans="2:25">
      <c r="P54">
        <v>7</v>
      </c>
      <c r="Q54" s="151" t="s">
        <v>176</v>
      </c>
      <c r="R54" s="152">
        <f t="shared" si="4"/>
        <v>1.411764705882353E-2</v>
      </c>
      <c r="S54" s="152">
        <f t="shared" si="4"/>
        <v>2.352941176470588E-3</v>
      </c>
      <c r="T54" s="152">
        <f t="shared" si="4"/>
        <v>4.7058823529411761E-3</v>
      </c>
      <c r="U54" s="152">
        <f t="shared" si="4"/>
        <v>2.352941176470588E-3</v>
      </c>
      <c r="V54" s="152">
        <f t="shared" si="4"/>
        <v>2.352941176470588E-3</v>
      </c>
      <c r="W54" s="152">
        <f t="shared" si="4"/>
        <v>0</v>
      </c>
      <c r="X54" s="152">
        <f t="shared" si="4"/>
        <v>0</v>
      </c>
      <c r="Y54" s="152">
        <f t="shared" si="4"/>
        <v>0</v>
      </c>
    </row>
    <row r="55" spans="2:25">
      <c r="P55">
        <v>8</v>
      </c>
      <c r="Q55" s="151" t="s">
        <v>195</v>
      </c>
      <c r="R55" s="152">
        <f t="shared" si="4"/>
        <v>0</v>
      </c>
      <c r="S55" s="152">
        <f t="shared" si="4"/>
        <v>0</v>
      </c>
      <c r="T55" s="152">
        <f t="shared" si="4"/>
        <v>0</v>
      </c>
      <c r="U55" s="152">
        <f t="shared" si="4"/>
        <v>0</v>
      </c>
      <c r="V55" s="152">
        <f t="shared" si="4"/>
        <v>0</v>
      </c>
      <c r="W55" s="152">
        <f t="shared" si="4"/>
        <v>0</v>
      </c>
      <c r="X55" s="152">
        <f t="shared" si="4"/>
        <v>0</v>
      </c>
      <c r="Y55" s="152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602</v>
      </c>
      <c r="R58" t="s">
        <v>189</v>
      </c>
      <c r="S58" t="s">
        <v>190</v>
      </c>
      <c r="T58" t="s">
        <v>191</v>
      </c>
      <c r="U58" t="s">
        <v>192</v>
      </c>
      <c r="V58" t="s">
        <v>193</v>
      </c>
      <c r="W58" t="s">
        <v>194</v>
      </c>
      <c r="X58" t="s">
        <v>176</v>
      </c>
      <c r="Y58" t="s">
        <v>195</v>
      </c>
    </row>
    <row r="59" spans="2:25">
      <c r="B59" s="111" t="s">
        <v>225</v>
      </c>
      <c r="C59" s="112" t="s">
        <v>603</v>
      </c>
      <c r="P59">
        <v>1</v>
      </c>
      <c r="Q59" t="s">
        <v>189</v>
      </c>
      <c r="R59">
        <f>COUNTIF('ALL DATA'!$R$9:$R$5000,R69)</f>
        <v>34</v>
      </c>
      <c r="S59">
        <f>COUNTIF('ALL DATA'!$R$9:$R$5000,S69)</f>
        <v>48</v>
      </c>
      <c r="T59">
        <f>COUNTIF('ALL DATA'!$R$9:$R$5000,T69)</f>
        <v>22</v>
      </c>
      <c r="U59">
        <f>COUNTIF('ALL DATA'!$R$9:$R$5000,U69)</f>
        <v>16</v>
      </c>
      <c r="V59">
        <f>COUNTIF('ALL DATA'!$R$9:$R$5000,V69)</f>
        <v>6</v>
      </c>
      <c r="W59">
        <f>COUNTIF('ALL DATA'!$R$9:$R$5000,W69)</f>
        <v>5</v>
      </c>
      <c r="X59">
        <f>COUNTIF('ALL DATA'!$R$9:$R$5000,X69)</f>
        <v>4</v>
      </c>
      <c r="Y59">
        <f>COUNTIF('ALL DATA'!$R$9:$R$5000,Y69)</f>
        <v>0</v>
      </c>
    </row>
    <row r="60" spans="2:25" ht="15" customHeight="1">
      <c r="B60" s="92" t="s">
        <v>159</v>
      </c>
      <c r="C60" s="93">
        <v>0</v>
      </c>
      <c r="P60">
        <v>2</v>
      </c>
      <c r="Q60" t="s">
        <v>190</v>
      </c>
      <c r="R60">
        <f>COUNTIF('ALL DATA'!$R$9:$R$5000,R70)</f>
        <v>54</v>
      </c>
      <c r="S60">
        <f>COUNTIF('ALL DATA'!$R$9:$R$5000,S70)</f>
        <v>37</v>
      </c>
      <c r="T60">
        <f>COUNTIF('ALL DATA'!$R$9:$R$5000,T70)</f>
        <v>21</v>
      </c>
      <c r="U60">
        <f>COUNTIF('ALL DATA'!$R$9:$R$5000,U70)</f>
        <v>19</v>
      </c>
      <c r="V60">
        <f>COUNTIF('ALL DATA'!$R$9:$R$5000,V70)</f>
        <v>3</v>
      </c>
      <c r="W60">
        <f>COUNTIF('ALL DATA'!$R$9:$R$5000,W70)</f>
        <v>0</v>
      </c>
      <c r="X60">
        <f>COUNTIF('ALL DATA'!$R$9:$R$5000,X70)</f>
        <v>2</v>
      </c>
      <c r="Y60">
        <f>COUNTIF('ALL DATA'!$R$9:$R$5000,Y70)</f>
        <v>0</v>
      </c>
    </row>
    <row r="61" spans="2:25" ht="15" customHeight="1">
      <c r="B61" s="92" t="s">
        <v>160</v>
      </c>
      <c r="C61" s="93">
        <v>0</v>
      </c>
      <c r="P61">
        <v>3</v>
      </c>
      <c r="Q61" t="s">
        <v>191</v>
      </c>
      <c r="R61">
        <f>COUNTIF('ALL DATA'!$R$9:$R$5000,R71)</f>
        <v>26</v>
      </c>
      <c r="S61">
        <f>COUNTIF('ALL DATA'!$R$9:$R$5000,S71)</f>
        <v>10</v>
      </c>
      <c r="T61">
        <f>COUNTIF('ALL DATA'!$R$9:$R$5000,T71)</f>
        <v>24</v>
      </c>
      <c r="U61">
        <f>COUNTIF('ALL DATA'!$R$9:$R$5000,U71)</f>
        <v>4</v>
      </c>
      <c r="V61">
        <f>COUNTIF('ALL DATA'!$R$9:$R$5000,V71)</f>
        <v>1</v>
      </c>
      <c r="W61">
        <f>COUNTIF('ALL DATA'!$R$9:$R$5000,W71)</f>
        <v>1</v>
      </c>
      <c r="X61">
        <f>COUNTIF('ALL DATA'!$R$9:$R$5000,X71)</f>
        <v>1</v>
      </c>
      <c r="Y61">
        <f>COUNTIF('ALL DATA'!$R$9:$R$5000,Y71)</f>
        <v>0</v>
      </c>
    </row>
    <row r="62" spans="2:25" ht="15" customHeight="1">
      <c r="B62" s="92" t="s">
        <v>161</v>
      </c>
      <c r="C62" s="93">
        <v>0</v>
      </c>
      <c r="P62">
        <v>4</v>
      </c>
      <c r="Q62" t="s">
        <v>192</v>
      </c>
      <c r="R62">
        <f>COUNTIF('ALL DATA'!$R$9:$R$5000,R72)</f>
        <v>24</v>
      </c>
      <c r="S62">
        <f>COUNTIF('ALL DATA'!$R$9:$R$5000,S72)</f>
        <v>0</v>
      </c>
      <c r="T62">
        <f>COUNTIF('ALL DATA'!$R$9:$R$5000,T72)</f>
        <v>5</v>
      </c>
      <c r="U62">
        <f>COUNTIF('ALL DATA'!$R$9:$R$5000,U72)</f>
        <v>6</v>
      </c>
      <c r="V62">
        <f>COUNTIF('ALL DATA'!$R$9:$R$5000,V72)</f>
        <v>1</v>
      </c>
      <c r="W62">
        <f>COUNTIF('ALL DATA'!$R$9:$R$5000,W72)</f>
        <v>1</v>
      </c>
      <c r="X62">
        <f>COUNTIF('ALL DATA'!$R$9:$R$5000,X72)</f>
        <v>2</v>
      </c>
      <c r="Y62">
        <f>COUNTIF('ALL DATA'!$R$9:$R$5000,Y72)</f>
        <v>0</v>
      </c>
    </row>
    <row r="63" spans="2:25" ht="15" customHeight="1">
      <c r="B63" s="92" t="s">
        <v>162</v>
      </c>
      <c r="C63" s="93">
        <v>0</v>
      </c>
      <c r="P63">
        <v>5</v>
      </c>
      <c r="Q63" t="s">
        <v>193</v>
      </c>
      <c r="R63">
        <f>COUNTIF('ALL DATA'!$R$9:$R$5000,R73)</f>
        <v>10</v>
      </c>
      <c r="S63">
        <f>COUNTIF('ALL DATA'!$R$9:$R$5000,S73)</f>
        <v>3</v>
      </c>
      <c r="T63">
        <f>COUNTIF('ALL DATA'!$R$9:$R$5000,T73)</f>
        <v>1</v>
      </c>
      <c r="U63">
        <f>COUNTIF('ALL DATA'!$R$9:$R$5000,U73)</f>
        <v>1</v>
      </c>
      <c r="V63">
        <f>COUNTIF('ALL DATA'!$R$9:$R$5000,V73)</f>
        <v>2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2" t="s">
        <v>163</v>
      </c>
      <c r="C64" s="93">
        <v>0</v>
      </c>
      <c r="P64">
        <v>6</v>
      </c>
      <c r="Q64" t="s">
        <v>194</v>
      </c>
      <c r="R64">
        <f>COUNTIF('ALL DATA'!$R$9:$R$5000,R74)</f>
        <v>13</v>
      </c>
      <c r="S64">
        <f>COUNTIF('ALL DATA'!$R$9:$R$5000,S74)</f>
        <v>2</v>
      </c>
      <c r="T64">
        <f>COUNTIF('ALL DATA'!$R$9:$R$5000,T74)</f>
        <v>2</v>
      </c>
      <c r="U64">
        <f>COUNTIF('ALL DATA'!$R$9:$R$5000,U74)</f>
        <v>2</v>
      </c>
      <c r="V64">
        <f>COUNTIF('ALL DATA'!$R$9:$R$5000,V74)</f>
        <v>1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2" t="s">
        <v>164</v>
      </c>
      <c r="C65" s="93">
        <v>0</v>
      </c>
      <c r="P65">
        <v>7</v>
      </c>
      <c r="Q65" t="s">
        <v>176</v>
      </c>
      <c r="R65">
        <f>COUNTIF('ALL DATA'!$R$9:$R$5000,R75)</f>
        <v>6</v>
      </c>
      <c r="S65">
        <f>COUNTIF('ALL DATA'!$R$9:$R$5000,S75)</f>
        <v>1</v>
      </c>
      <c r="T65">
        <f>COUNTIF('ALL DATA'!$R$9:$R$5000,T75)</f>
        <v>2</v>
      </c>
      <c r="U65">
        <f>COUNTIF('ALL DATA'!$R$9:$R$5000,U75)</f>
        <v>1</v>
      </c>
      <c r="V65">
        <f>COUNTIF('ALL DATA'!$R$9:$R$5000,V75)</f>
        <v>1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92" t="s">
        <v>165</v>
      </c>
      <c r="C66" s="93">
        <v>0</v>
      </c>
      <c r="P66">
        <v>8</v>
      </c>
      <c r="Q66" t="s">
        <v>195</v>
      </c>
      <c r="R66">
        <f>COUNTIF('ALL DATA'!$R$9:$R$5000,R76)</f>
        <v>0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92" t="s">
        <v>166</v>
      </c>
      <c r="C67" s="93">
        <v>0</v>
      </c>
    </row>
    <row r="68" spans="2:25" ht="15" customHeight="1">
      <c r="B68" s="92" t="s">
        <v>167</v>
      </c>
      <c r="C68" s="93">
        <v>0</v>
      </c>
      <c r="R68" t="s">
        <v>189</v>
      </c>
      <c r="S68" t="s">
        <v>190</v>
      </c>
      <c r="T68" t="s">
        <v>191</v>
      </c>
      <c r="U68" t="s">
        <v>192</v>
      </c>
      <c r="V68" t="s">
        <v>193</v>
      </c>
      <c r="W68" t="s">
        <v>194</v>
      </c>
      <c r="X68" t="s">
        <v>176</v>
      </c>
      <c r="Y68" t="s">
        <v>195</v>
      </c>
    </row>
    <row r="69" spans="2:25" ht="15" customHeight="1">
      <c r="B69" s="92" t="s">
        <v>168</v>
      </c>
      <c r="C69" s="93">
        <v>0</v>
      </c>
      <c r="P69">
        <v>1</v>
      </c>
      <c r="Q69" t="s">
        <v>189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2" t="s">
        <v>170</v>
      </c>
      <c r="C70" s="93">
        <v>0</v>
      </c>
      <c r="P70">
        <v>2</v>
      </c>
      <c r="Q70" t="s">
        <v>190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2" t="s">
        <v>169</v>
      </c>
      <c r="C71" s="93">
        <v>0</v>
      </c>
      <c r="P71">
        <v>3</v>
      </c>
      <c r="Q71" t="s">
        <v>191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176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604</v>
      </c>
    </row>
    <row r="79" spans="2:25" ht="25.5">
      <c r="B79" s="113" t="s">
        <v>605</v>
      </c>
      <c r="C79" s="114" t="s">
        <v>606</v>
      </c>
      <c r="D79" s="115" t="s">
        <v>583</v>
      </c>
      <c r="E79" s="116" t="s">
        <v>607</v>
      </c>
    </row>
    <row r="80" spans="2:25" ht="15" customHeight="1">
      <c r="B80" s="117" t="s">
        <v>608</v>
      </c>
      <c r="C80" s="118">
        <f>COUNTIF(Dist,"&lt;=1")</f>
        <v>0</v>
      </c>
      <c r="D80" s="119">
        <f>C80</f>
        <v>0</v>
      </c>
      <c r="E80" s="120">
        <v>0</v>
      </c>
    </row>
    <row r="81" spans="2:5" ht="15" customHeight="1">
      <c r="B81" s="117" t="s">
        <v>609</v>
      </c>
      <c r="C81" s="118">
        <f>COUNTIF(Dist,"&lt;=2.5")</f>
        <v>0</v>
      </c>
      <c r="D81" s="119">
        <f>C81-C80</f>
        <v>0</v>
      </c>
      <c r="E81" s="120">
        <v>0</v>
      </c>
    </row>
    <row r="82" spans="2:5" ht="15" customHeight="1">
      <c r="B82" s="117" t="s">
        <v>610</v>
      </c>
      <c r="C82" s="118">
        <f>COUNTIF(Dist,"&lt;=5")</f>
        <v>0</v>
      </c>
      <c r="D82" s="119">
        <f t="shared" ref="D82:D88" si="6">C82-C81</f>
        <v>0</v>
      </c>
      <c r="E82" s="120">
        <v>0</v>
      </c>
    </row>
    <row r="83" spans="2:5" ht="15" customHeight="1">
      <c r="B83" s="117" t="s">
        <v>611</v>
      </c>
      <c r="C83" s="118">
        <f>COUNTIF(Dist,"&lt;=10")</f>
        <v>0</v>
      </c>
      <c r="D83" s="119">
        <f t="shared" si="6"/>
        <v>0</v>
      </c>
      <c r="E83" s="120">
        <v>0</v>
      </c>
    </row>
    <row r="84" spans="2:5" ht="15" customHeight="1">
      <c r="B84" s="117" t="s">
        <v>612</v>
      </c>
      <c r="C84" s="118">
        <f>COUNTIF(Dist,"&lt;=20")</f>
        <v>0</v>
      </c>
      <c r="D84" s="119">
        <f t="shared" si="6"/>
        <v>0</v>
      </c>
      <c r="E84" s="120">
        <v>0</v>
      </c>
    </row>
    <row r="85" spans="2:5" ht="15" customHeight="1">
      <c r="B85" s="117" t="s">
        <v>613</v>
      </c>
      <c r="C85" s="118">
        <f>COUNTIF(Dist,"&lt;=50")</f>
        <v>0</v>
      </c>
      <c r="D85" s="119">
        <f t="shared" si="6"/>
        <v>0</v>
      </c>
      <c r="E85" s="120">
        <v>0</v>
      </c>
    </row>
    <row r="86" spans="2:5" ht="15" customHeight="1">
      <c r="B86" s="117" t="s">
        <v>614</v>
      </c>
      <c r="C86" s="118">
        <f>COUNTIF(Dist,"&lt;=100")</f>
        <v>0</v>
      </c>
      <c r="D86" s="119">
        <f t="shared" si="6"/>
        <v>0</v>
      </c>
      <c r="E86" s="120">
        <v>0</v>
      </c>
    </row>
    <row r="87" spans="2:5" ht="15" customHeight="1">
      <c r="B87" s="117" t="s">
        <v>615</v>
      </c>
      <c r="C87" s="118">
        <f>COUNTIF(Dist,"&lt;=250")</f>
        <v>0</v>
      </c>
      <c r="D87" s="119">
        <f t="shared" si="6"/>
        <v>0</v>
      </c>
      <c r="E87" s="120">
        <v>0</v>
      </c>
    </row>
    <row r="88" spans="2:5" ht="15" customHeight="1">
      <c r="B88" s="117" t="s">
        <v>616</v>
      </c>
      <c r="C88" s="118">
        <f>COUNTIF(Dist,"&lt;=700")</f>
        <v>0</v>
      </c>
      <c r="D88" s="119">
        <f t="shared" si="6"/>
        <v>0</v>
      </c>
      <c r="E88" s="120">
        <v>0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433"/>
  <sheetViews>
    <sheetView zoomScale="90" zoomScaleNormal="90" zoomScaleSheetLayoutView="80" workbookViewId="0">
      <selection activeCell="I10" sqref="I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</row>
    <row r="4" spans="2:35" ht="15" customHeight="1">
      <c r="B4" s="26" t="s">
        <v>2</v>
      </c>
      <c r="C4" s="38" t="s">
        <v>570</v>
      </c>
      <c r="E4" s="1" t="s">
        <v>153</v>
      </c>
      <c r="F4" s="124" t="s">
        <v>567</v>
      </c>
      <c r="G4" s="125"/>
      <c r="I4" s="27" t="s">
        <v>154</v>
      </c>
      <c r="J4" s="5"/>
      <c r="K4" s="5"/>
      <c r="L4" s="66" t="s">
        <v>568</v>
      </c>
      <c r="M4" s="83"/>
      <c r="N4" s="1" t="s">
        <v>156</v>
      </c>
      <c r="O4" s="126" t="s">
        <v>237</v>
      </c>
      <c r="P4" s="127"/>
      <c r="Q4" s="127"/>
      <c r="R4" s="127"/>
      <c r="S4" s="127"/>
      <c r="T4" s="127"/>
      <c r="V4" s="1" t="s">
        <v>157</v>
      </c>
      <c r="W4" s="69" t="str">
        <f>'8.8 BWERA-KIKORONGO'!W4</f>
        <v>Isaac</v>
      </c>
      <c r="Y4" s="27" t="s">
        <v>6</v>
      </c>
      <c r="Z4" s="39" t="str">
        <f>'8.8 BWERA-KIKORONGO'!Z4</f>
        <v>Sheba N</v>
      </c>
      <c r="AA4" s="32" t="s">
        <v>7</v>
      </c>
      <c r="AB4" s="39" t="str">
        <f>'8.8 BWERA-KIKORONGO'!AB4</f>
        <v>Bakole</v>
      </c>
      <c r="AE4" s="10"/>
      <c r="AF4" s="5"/>
    </row>
    <row r="5" spans="2:35" ht="15" customHeight="1">
      <c r="B5" s="83"/>
      <c r="C5" s="83"/>
      <c r="D5" s="83"/>
      <c r="E5" s="22"/>
      <c r="F5" s="83"/>
      <c r="G5" s="83"/>
      <c r="I5" s="28" t="s">
        <v>155</v>
      </c>
      <c r="J5" s="83"/>
      <c r="K5" s="83"/>
      <c r="L5" s="67" t="s">
        <v>569</v>
      </c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82" t="s">
        <v>158</v>
      </c>
      <c r="G8" s="82" t="s">
        <v>145</v>
      </c>
      <c r="H8" s="24" t="s">
        <v>146</v>
      </c>
      <c r="I8" s="131"/>
      <c r="J8" s="122"/>
      <c r="K8" s="122"/>
      <c r="L8" s="82" t="s">
        <v>158</v>
      </c>
      <c r="M8" s="82" t="s">
        <v>145</v>
      </c>
      <c r="N8" s="82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40" t="s">
        <v>262</v>
      </c>
      <c r="C9" s="40"/>
      <c r="D9" s="41">
        <v>8</v>
      </c>
      <c r="E9" s="41">
        <v>1</v>
      </c>
      <c r="F9" s="40" t="s">
        <v>38</v>
      </c>
      <c r="G9" s="40" t="s">
        <v>37</v>
      </c>
      <c r="H9" s="42" t="s">
        <v>254</v>
      </c>
      <c r="I9" s="43"/>
      <c r="J9" s="43">
        <v>2</v>
      </c>
      <c r="K9" s="25" t="str">
        <f>VLOOKUP(J9,Key!$E$2:$F$9,2,FALSE)</f>
        <v>Work</v>
      </c>
      <c r="L9" s="42" t="s">
        <v>37</v>
      </c>
      <c r="M9" s="43" t="s">
        <v>37</v>
      </c>
      <c r="N9" s="42" t="s">
        <v>254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Work-Commercial</v>
      </c>
      <c r="S9" s="62"/>
      <c r="T9" s="62">
        <v>0</v>
      </c>
      <c r="U9" s="43">
        <v>3</v>
      </c>
      <c r="V9" s="43"/>
      <c r="W9" s="62"/>
      <c r="X9" s="62"/>
      <c r="Y9" s="63"/>
      <c r="Z9" s="76"/>
      <c r="AA9" s="25">
        <f>VLOOKUP(F9,'[1]Zones 1'!$A$2:$F$25426,6,FALSE)</f>
        <v>644</v>
      </c>
      <c r="AB9" s="25">
        <f>VLOOKUP(L9,'[1]Zones 1'!$A$2:$F$25426,6,FALSE)</f>
        <v>651</v>
      </c>
    </row>
    <row r="10" spans="2:35" s="19" customFormat="1">
      <c r="B10" s="40" t="s">
        <v>263</v>
      </c>
      <c r="C10" s="40"/>
      <c r="D10" s="41">
        <v>2</v>
      </c>
      <c r="E10" s="41">
        <v>2</v>
      </c>
      <c r="F10" s="40" t="s">
        <v>38</v>
      </c>
      <c r="G10" s="40" t="s">
        <v>37</v>
      </c>
      <c r="H10" s="42" t="s">
        <v>254</v>
      </c>
      <c r="I10" s="43"/>
      <c r="J10" s="43">
        <v>2</v>
      </c>
      <c r="K10" s="25" t="str">
        <f>VLOOKUP(J10,Key!$E$2:$F$9,2,FALSE)</f>
        <v>Work</v>
      </c>
      <c r="L10" s="42" t="s">
        <v>37</v>
      </c>
      <c r="M10" s="43" t="s">
        <v>37</v>
      </c>
      <c r="N10" s="42" t="s">
        <v>254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73" si="0">K10&amp;"-"&amp;Q10</f>
        <v>Work-Commercial</v>
      </c>
      <c r="S10" s="62"/>
      <c r="T10" s="62">
        <v>0</v>
      </c>
      <c r="U10" s="43">
        <v>5</v>
      </c>
      <c r="V10" s="43"/>
      <c r="W10" s="62"/>
      <c r="X10" s="62"/>
      <c r="Y10" s="63"/>
      <c r="Z10" s="76"/>
      <c r="AA10" s="25">
        <f>VLOOKUP(F10,'[1]Zones 1'!$A$2:$F$25426,6,FALSE)</f>
        <v>644</v>
      </c>
      <c r="AB10" s="25">
        <f>VLOOKUP(L10,'[1]Zones 1'!$A$2:$F$25426,6,FALSE)</f>
        <v>651</v>
      </c>
    </row>
    <row r="11" spans="2:35" s="19" customFormat="1">
      <c r="B11" s="40" t="s">
        <v>264</v>
      </c>
      <c r="C11" s="40"/>
      <c r="D11" s="41">
        <v>2</v>
      </c>
      <c r="E11" s="41">
        <v>3</v>
      </c>
      <c r="F11" s="40" t="s">
        <v>38</v>
      </c>
      <c r="G11" s="40" t="s">
        <v>37</v>
      </c>
      <c r="H11" s="42" t="s">
        <v>254</v>
      </c>
      <c r="I11" s="43"/>
      <c r="J11" s="43">
        <v>2</v>
      </c>
      <c r="K11" s="25" t="str">
        <f>VLOOKUP(J11,Key!$E$2:$F$9,2,FALSE)</f>
        <v>Work</v>
      </c>
      <c r="L11" s="42" t="s">
        <v>37</v>
      </c>
      <c r="M11" s="43" t="s">
        <v>37</v>
      </c>
      <c r="N11" s="42" t="s">
        <v>254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3</v>
      </c>
      <c r="U11" s="43">
        <v>4</v>
      </c>
      <c r="V11" s="43"/>
      <c r="W11" s="62"/>
      <c r="X11" s="62"/>
      <c r="Y11" s="63"/>
      <c r="Z11" s="76"/>
      <c r="AA11" s="25">
        <f>VLOOKUP(F11,'[1]Zones 1'!$A$2:$F$25426,6,FALSE)</f>
        <v>644</v>
      </c>
      <c r="AB11" s="25">
        <f>VLOOKUP(L11,'[1]Zones 1'!$A$2:$F$25426,6,FALSE)</f>
        <v>651</v>
      </c>
    </row>
    <row r="12" spans="2:35" s="19" customFormat="1">
      <c r="B12" s="40" t="s">
        <v>265</v>
      </c>
      <c r="C12" s="40"/>
      <c r="D12" s="41">
        <v>3</v>
      </c>
      <c r="E12" s="41">
        <v>2</v>
      </c>
      <c r="F12" s="40" t="s">
        <v>38</v>
      </c>
      <c r="G12" s="40" t="s">
        <v>37</v>
      </c>
      <c r="H12" s="42" t="s">
        <v>254</v>
      </c>
      <c r="I12" s="43"/>
      <c r="J12" s="43">
        <v>2</v>
      </c>
      <c r="K12" s="25" t="str">
        <f>VLOOKUP(J12,Key!$E$2:$F$9,2,FALSE)</f>
        <v>Work</v>
      </c>
      <c r="L12" s="42" t="s">
        <v>37</v>
      </c>
      <c r="M12" s="43" t="s">
        <v>37</v>
      </c>
      <c r="N12" s="42" t="s">
        <v>254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62"/>
      <c r="T12" s="62">
        <v>2</v>
      </c>
      <c r="U12" s="43">
        <v>3</v>
      </c>
      <c r="V12" s="43"/>
      <c r="W12" s="62"/>
      <c r="X12" s="62"/>
      <c r="Y12" s="63"/>
      <c r="Z12" s="76"/>
      <c r="AA12" s="25">
        <f>VLOOKUP(F12,'[1]Zones 1'!$A$2:$F$25426,6,FALSE)</f>
        <v>644</v>
      </c>
      <c r="AB12" s="25">
        <f>VLOOKUP(L12,'[1]Zones 1'!$A$2:$F$25426,6,FALSE)</f>
        <v>651</v>
      </c>
    </row>
    <row r="13" spans="2:35" s="19" customFormat="1">
      <c r="B13" s="40">
        <v>0.41944444444444445</v>
      </c>
      <c r="C13" s="40"/>
      <c r="D13" s="41">
        <v>3</v>
      </c>
      <c r="E13" s="41">
        <v>3</v>
      </c>
      <c r="F13" s="40" t="s">
        <v>38</v>
      </c>
      <c r="G13" s="40" t="s">
        <v>37</v>
      </c>
      <c r="H13" s="42" t="s">
        <v>254</v>
      </c>
      <c r="I13" s="43"/>
      <c r="J13" s="43">
        <v>2</v>
      </c>
      <c r="K13" s="25" t="str">
        <f>VLOOKUP(J13,Key!$E$2:$F$9,2,FALSE)</f>
        <v>Work</v>
      </c>
      <c r="L13" s="42" t="s">
        <v>37</v>
      </c>
      <c r="M13" s="43" t="s">
        <v>37</v>
      </c>
      <c r="N13" s="42" t="s">
        <v>254</v>
      </c>
      <c r="O13" s="43"/>
      <c r="P13" s="43">
        <v>7</v>
      </c>
      <c r="Q13" s="25" t="str">
        <f>VLOOKUP(P13,Key!$E$2:$F$9,2,FALSE)</f>
        <v>Hospital</v>
      </c>
      <c r="R13" s="25" t="str">
        <f t="shared" si="0"/>
        <v>Work-Hospital</v>
      </c>
      <c r="S13" s="62"/>
      <c r="T13" s="62">
        <v>1</v>
      </c>
      <c r="U13" s="43">
        <v>2</v>
      </c>
      <c r="V13" s="43"/>
      <c r="W13" s="62"/>
      <c r="X13" s="62"/>
      <c r="Y13" s="63"/>
      <c r="Z13" s="76"/>
      <c r="AA13" s="25">
        <f>VLOOKUP(F13,'[1]Zones 1'!$A$2:$F$25426,6,FALSE)</f>
        <v>644</v>
      </c>
      <c r="AB13" s="25">
        <f>VLOOKUP(L13,'[1]Zones 1'!$A$2:$F$25426,6,FALSE)</f>
        <v>651</v>
      </c>
    </row>
    <row r="14" spans="2:35" s="19" customFormat="1">
      <c r="B14" s="40" t="s">
        <v>266</v>
      </c>
      <c r="C14" s="40"/>
      <c r="D14" s="41">
        <v>3</v>
      </c>
      <c r="E14" s="41">
        <v>4</v>
      </c>
      <c r="F14" s="40" t="s">
        <v>259</v>
      </c>
      <c r="G14" s="40" t="s">
        <v>37</v>
      </c>
      <c r="H14" s="42" t="s">
        <v>254</v>
      </c>
      <c r="I14" s="43"/>
      <c r="J14" s="43">
        <v>1</v>
      </c>
      <c r="K14" s="25" t="str">
        <f>VLOOKUP(J14,Key!$E$2:$F$9,2,FALSE)</f>
        <v>Home</v>
      </c>
      <c r="L14" s="42" t="s">
        <v>37</v>
      </c>
      <c r="M14" s="43" t="s">
        <v>37</v>
      </c>
      <c r="N14" s="42" t="s">
        <v>254</v>
      </c>
      <c r="O14" s="43"/>
      <c r="P14" s="43">
        <v>5</v>
      </c>
      <c r="Q14" s="25" t="str">
        <f>VLOOKUP(P14,Key!$E$2:$F$9,2,FALSE)</f>
        <v>Tourism</v>
      </c>
      <c r="R14" s="25" t="str">
        <f t="shared" si="0"/>
        <v>Home-Tourism</v>
      </c>
      <c r="S14" s="62"/>
      <c r="T14" s="62">
        <v>1</v>
      </c>
      <c r="U14" s="43">
        <v>4</v>
      </c>
      <c r="V14" s="43"/>
      <c r="W14" s="62"/>
      <c r="X14" s="62"/>
      <c r="Y14" s="63"/>
      <c r="Z14" s="76"/>
      <c r="AA14" s="25">
        <f>VLOOKUP(F14,'[1]Zones 1'!$A$2:$F$25426,6,FALSE)</f>
        <v>666</v>
      </c>
      <c r="AB14" s="25">
        <f>VLOOKUP(L14,'[1]Zones 1'!$A$2:$F$25426,6,FALSE)</f>
        <v>651</v>
      </c>
    </row>
    <row r="15" spans="2:35" s="19" customFormat="1">
      <c r="B15" s="40" t="s">
        <v>267</v>
      </c>
      <c r="C15" s="40"/>
      <c r="D15" s="41">
        <v>3</v>
      </c>
      <c r="E15" s="41">
        <v>3</v>
      </c>
      <c r="F15" s="40" t="s">
        <v>37</v>
      </c>
      <c r="G15" s="40" t="s">
        <v>37</v>
      </c>
      <c r="H15" s="42" t="s">
        <v>254</v>
      </c>
      <c r="I15" s="43"/>
      <c r="J15" s="43">
        <v>1</v>
      </c>
      <c r="K15" s="25" t="str">
        <f>VLOOKUP(J15,Key!$E$2:$F$9,2,FALSE)</f>
        <v>Home</v>
      </c>
      <c r="L15" s="42" t="s">
        <v>37</v>
      </c>
      <c r="M15" s="43" t="s">
        <v>37</v>
      </c>
      <c r="N15" s="42" t="s">
        <v>254</v>
      </c>
      <c r="O15" s="43"/>
      <c r="P15" s="43">
        <v>5</v>
      </c>
      <c r="Q15" s="25" t="str">
        <f>VLOOKUP(P15,Key!$E$2:$F$9,2,FALSE)</f>
        <v>Tourism</v>
      </c>
      <c r="R15" s="25" t="str">
        <f t="shared" si="0"/>
        <v>Home-Tourism</v>
      </c>
      <c r="S15" s="62"/>
      <c r="T15" s="62">
        <v>3</v>
      </c>
      <c r="U15" s="43">
        <v>6</v>
      </c>
      <c r="V15" s="43"/>
      <c r="W15" s="62"/>
      <c r="X15" s="62"/>
      <c r="Y15" s="63"/>
      <c r="Z15" s="76"/>
      <c r="AA15" s="25">
        <f>VLOOKUP(F15,'[1]Zones 1'!$A$2:$F$25426,6,FALSE)</f>
        <v>651</v>
      </c>
      <c r="AB15" s="25">
        <f>VLOOKUP(L15,'[1]Zones 1'!$A$2:$F$25426,6,FALSE)</f>
        <v>651</v>
      </c>
    </row>
    <row r="16" spans="2:35" s="19" customFormat="1">
      <c r="B16" s="40" t="s">
        <v>268</v>
      </c>
      <c r="C16" s="40"/>
      <c r="D16" s="41">
        <v>12</v>
      </c>
      <c r="E16" s="41">
        <v>3</v>
      </c>
      <c r="F16" s="40" t="s">
        <v>50</v>
      </c>
      <c r="G16" s="40" t="s">
        <v>255</v>
      </c>
      <c r="H16" s="42" t="s">
        <v>254</v>
      </c>
      <c r="I16" s="43"/>
      <c r="J16" s="43">
        <v>1</v>
      </c>
      <c r="K16" s="25" t="str">
        <f>VLOOKUP(J16,Key!$E$2:$F$9,2,FALSE)</f>
        <v>Home</v>
      </c>
      <c r="L16" s="42" t="s">
        <v>60</v>
      </c>
      <c r="M16" s="43" t="s">
        <v>240</v>
      </c>
      <c r="N16" s="42" t="s">
        <v>254</v>
      </c>
      <c r="O16" s="43"/>
      <c r="P16" s="43">
        <v>7</v>
      </c>
      <c r="Q16" s="25" t="str">
        <f>VLOOKUP(P16,Key!$E$2:$F$9,2,FALSE)</f>
        <v>Hospital</v>
      </c>
      <c r="R16" s="25" t="str">
        <f t="shared" si="0"/>
        <v>Home-Hospital</v>
      </c>
      <c r="S16" s="62"/>
      <c r="T16" s="62">
        <v>1</v>
      </c>
      <c r="U16" s="43">
        <v>3</v>
      </c>
      <c r="V16" s="43"/>
      <c r="W16" s="62"/>
      <c r="X16" s="62"/>
      <c r="Y16" s="63"/>
      <c r="Z16" s="76"/>
      <c r="AA16" s="25">
        <f>VLOOKUP(F16,'[1]Zones 1'!$A$2:$F$25426,6,FALSE)</f>
        <v>1438</v>
      </c>
      <c r="AB16" s="25">
        <f>VLOOKUP(L16,'[1]Zones 1'!$A$2:$F$25426,6,FALSE)</f>
        <v>1434</v>
      </c>
    </row>
    <row r="17" spans="2:28" s="19" customFormat="1">
      <c r="B17" s="40" t="s">
        <v>269</v>
      </c>
      <c r="C17" s="40"/>
      <c r="D17" s="41">
        <v>3</v>
      </c>
      <c r="E17" s="41">
        <v>1</v>
      </c>
      <c r="F17" s="40" t="s">
        <v>38</v>
      </c>
      <c r="G17" s="40" t="s">
        <v>37</v>
      </c>
      <c r="H17" s="42" t="s">
        <v>254</v>
      </c>
      <c r="I17" s="43"/>
      <c r="J17" s="43">
        <v>1</v>
      </c>
      <c r="K17" s="25" t="str">
        <f>VLOOKUP(J17,Key!$E$2:$F$9,2,FALSE)</f>
        <v>Home</v>
      </c>
      <c r="L17" s="42" t="s">
        <v>37</v>
      </c>
      <c r="M17" s="43" t="s">
        <v>37</v>
      </c>
      <c r="N17" s="42" t="s">
        <v>254</v>
      </c>
      <c r="O17" s="43"/>
      <c r="P17" s="43">
        <v>5</v>
      </c>
      <c r="Q17" s="25" t="str">
        <f>VLOOKUP(P17,Key!$E$2:$F$9,2,FALSE)</f>
        <v>Tourism</v>
      </c>
      <c r="R17" s="25" t="str">
        <f t="shared" si="0"/>
        <v>Home-Tourism</v>
      </c>
      <c r="S17" s="62"/>
      <c r="T17" s="62">
        <v>4</v>
      </c>
      <c r="U17" s="43">
        <v>2</v>
      </c>
      <c r="V17" s="43">
        <v>7</v>
      </c>
      <c r="W17" s="62"/>
      <c r="X17" s="62"/>
      <c r="Y17" s="63"/>
      <c r="Z17" s="76"/>
      <c r="AA17" s="25">
        <f>VLOOKUP(F17,'[1]Zones 1'!$A$2:$F$25426,6,FALSE)</f>
        <v>644</v>
      </c>
      <c r="AB17" s="25">
        <f>VLOOKUP(L17,'[1]Zones 1'!$A$2:$F$25426,6,FALSE)</f>
        <v>651</v>
      </c>
    </row>
    <row r="18" spans="2:28" s="19" customFormat="1">
      <c r="B18" s="40" t="s">
        <v>270</v>
      </c>
      <c r="C18" s="40"/>
      <c r="D18" s="41">
        <v>2</v>
      </c>
      <c r="E18" s="41">
        <v>1</v>
      </c>
      <c r="F18" s="40" t="s">
        <v>38</v>
      </c>
      <c r="G18" s="40" t="s">
        <v>37</v>
      </c>
      <c r="H18" s="42" t="s">
        <v>254</v>
      </c>
      <c r="I18" s="43"/>
      <c r="J18" s="43">
        <v>1</v>
      </c>
      <c r="K18" s="25" t="str">
        <f>VLOOKUP(J18,Key!$E$2:$F$9,2,FALSE)</f>
        <v>Home</v>
      </c>
      <c r="L18" s="42" t="s">
        <v>37</v>
      </c>
      <c r="M18" s="43" t="s">
        <v>37</v>
      </c>
      <c r="N18" s="42" t="s">
        <v>254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Home-Commercial</v>
      </c>
      <c r="S18" s="62"/>
      <c r="T18" s="62">
        <v>48</v>
      </c>
      <c r="U18" s="43">
        <v>1</v>
      </c>
      <c r="V18" s="43"/>
      <c r="W18" s="62"/>
      <c r="X18" s="62"/>
      <c r="Y18" s="63"/>
      <c r="Z18" s="76"/>
      <c r="AA18" s="25">
        <f>VLOOKUP(F18,'[1]Zones 1'!$A$2:$F$25426,6,FALSE)</f>
        <v>644</v>
      </c>
      <c r="AB18" s="25">
        <f>VLOOKUP(L18,'[1]Zones 1'!$A$2:$F$25426,6,FALSE)</f>
        <v>651</v>
      </c>
    </row>
    <row r="19" spans="2:28" s="19" customFormat="1">
      <c r="B19" s="40" t="s">
        <v>271</v>
      </c>
      <c r="C19" s="40"/>
      <c r="D19" s="41">
        <v>3</v>
      </c>
      <c r="E19" s="41">
        <v>1</v>
      </c>
      <c r="F19" s="40" t="s">
        <v>576</v>
      </c>
      <c r="G19" s="40" t="s">
        <v>37</v>
      </c>
      <c r="H19" s="42" t="s">
        <v>254</v>
      </c>
      <c r="I19" s="43"/>
      <c r="J19" s="43">
        <v>2</v>
      </c>
      <c r="K19" s="25" t="str">
        <f>VLOOKUP(J19,Key!$E$2:$F$9,2,FALSE)</f>
        <v>Work</v>
      </c>
      <c r="L19" s="42" t="s">
        <v>37</v>
      </c>
      <c r="M19" s="43" t="s">
        <v>37</v>
      </c>
      <c r="N19" s="42" t="s">
        <v>254</v>
      </c>
      <c r="O19" s="43"/>
      <c r="P19" s="43">
        <v>3</v>
      </c>
      <c r="Q19" s="25" t="str">
        <f>VLOOKUP(P19,Key!$E$2:$F$9,2,FALSE)</f>
        <v>Study</v>
      </c>
      <c r="R19" s="25" t="str">
        <f t="shared" si="0"/>
        <v>Work-Study</v>
      </c>
      <c r="S19" s="62"/>
      <c r="T19" s="62">
        <v>3</v>
      </c>
      <c r="U19" s="43">
        <v>3</v>
      </c>
      <c r="V19" s="43"/>
      <c r="W19" s="62"/>
      <c r="X19" s="62"/>
      <c r="Y19" s="63"/>
      <c r="Z19" s="76"/>
      <c r="AA19" s="25">
        <f>VLOOKUP(F19,'[1]Zones 1'!$A$2:$F$25426,6,FALSE)</f>
        <v>655</v>
      </c>
      <c r="AB19" s="25">
        <f>VLOOKUP(L19,'[1]Zones 1'!$A$2:$F$25426,6,FALSE)</f>
        <v>651</v>
      </c>
    </row>
    <row r="20" spans="2:28" s="19" customFormat="1">
      <c r="B20" s="40" t="s">
        <v>272</v>
      </c>
      <c r="C20" s="40"/>
      <c r="D20" s="41">
        <v>1</v>
      </c>
      <c r="E20" s="41">
        <v>1</v>
      </c>
      <c r="F20" s="40" t="s">
        <v>38</v>
      </c>
      <c r="G20" s="40" t="s">
        <v>37</v>
      </c>
      <c r="H20" s="42" t="s">
        <v>254</v>
      </c>
      <c r="I20" s="43"/>
      <c r="J20" s="43">
        <v>2</v>
      </c>
      <c r="K20" s="25" t="str">
        <f>VLOOKUP(J20,Key!$E$2:$F$9,2,FALSE)</f>
        <v>Work</v>
      </c>
      <c r="L20" s="42" t="s">
        <v>37</v>
      </c>
      <c r="M20" s="43" t="s">
        <v>37</v>
      </c>
      <c r="N20" s="42" t="s">
        <v>254</v>
      </c>
      <c r="O20" s="43"/>
      <c r="P20" s="43">
        <v>3</v>
      </c>
      <c r="Q20" s="25" t="str">
        <f>VLOOKUP(P20,Key!$E$2:$F$9,2,FALSE)</f>
        <v>Study</v>
      </c>
      <c r="R20" s="25" t="str">
        <f t="shared" si="0"/>
        <v>Work-Study</v>
      </c>
      <c r="S20" s="62"/>
      <c r="T20" s="62">
        <v>1</v>
      </c>
      <c r="U20" s="43">
        <v>2</v>
      </c>
      <c r="V20" s="43"/>
      <c r="W20" s="62"/>
      <c r="X20" s="62"/>
      <c r="Y20" s="63"/>
      <c r="Z20" s="76"/>
      <c r="AA20" s="25">
        <f>VLOOKUP(F20,'[1]Zones 1'!$A$2:$F$25426,6,FALSE)</f>
        <v>644</v>
      </c>
      <c r="AB20" s="25">
        <f>VLOOKUP(L20,'[1]Zones 1'!$A$2:$F$25426,6,FALSE)</f>
        <v>651</v>
      </c>
    </row>
    <row r="21" spans="2:28" s="19" customFormat="1">
      <c r="B21" s="40" t="s">
        <v>273</v>
      </c>
      <c r="C21" s="40"/>
      <c r="D21" s="41">
        <v>3</v>
      </c>
      <c r="E21" s="41">
        <v>1</v>
      </c>
      <c r="F21" s="40" t="s">
        <v>259</v>
      </c>
      <c r="G21" s="40" t="s">
        <v>37</v>
      </c>
      <c r="H21" s="42" t="s">
        <v>254</v>
      </c>
      <c r="I21" s="43"/>
      <c r="J21" s="43">
        <v>1</v>
      </c>
      <c r="K21" s="25" t="str">
        <f>VLOOKUP(J21,Key!$E$2:$F$9,2,FALSE)</f>
        <v>Home</v>
      </c>
      <c r="L21" s="42" t="s">
        <v>37</v>
      </c>
      <c r="M21" s="43" t="s">
        <v>37</v>
      </c>
      <c r="N21" s="42" t="s">
        <v>254</v>
      </c>
      <c r="O21" s="43"/>
      <c r="P21" s="43">
        <v>5</v>
      </c>
      <c r="Q21" s="25" t="str">
        <f>VLOOKUP(P21,Key!$E$2:$F$9,2,FALSE)</f>
        <v>Tourism</v>
      </c>
      <c r="R21" s="25" t="str">
        <f t="shared" si="0"/>
        <v>Home-Tourism</v>
      </c>
      <c r="S21" s="62"/>
      <c r="T21" s="62">
        <v>1</v>
      </c>
      <c r="U21" s="43">
        <v>2</v>
      </c>
      <c r="V21" s="43"/>
      <c r="W21" s="62"/>
      <c r="X21" s="62"/>
      <c r="Y21" s="63"/>
      <c r="Z21" s="76"/>
      <c r="AA21" s="25">
        <f>VLOOKUP(F21,'[1]Zones 1'!$A$2:$F$25426,6,FALSE)</f>
        <v>666</v>
      </c>
      <c r="AB21" s="25">
        <f>VLOOKUP(L21,'[1]Zones 1'!$A$2:$F$25426,6,FALSE)</f>
        <v>651</v>
      </c>
    </row>
    <row r="22" spans="2:28" s="19" customFormat="1">
      <c r="B22" s="40" t="s">
        <v>274</v>
      </c>
      <c r="C22" s="40"/>
      <c r="D22" s="41">
        <v>12</v>
      </c>
      <c r="E22" s="41">
        <v>1</v>
      </c>
      <c r="F22" s="40" t="s">
        <v>256</v>
      </c>
      <c r="G22" s="40" t="s">
        <v>37</v>
      </c>
      <c r="H22" s="42" t="s">
        <v>254</v>
      </c>
      <c r="I22" s="43"/>
      <c r="J22" s="43">
        <v>2</v>
      </c>
      <c r="K22" s="25" t="str">
        <f>VLOOKUP(J22,Key!$E$2:$F$9,2,FALSE)</f>
        <v>Work</v>
      </c>
      <c r="L22" s="42" t="s">
        <v>79</v>
      </c>
      <c r="M22" s="43" t="s">
        <v>240</v>
      </c>
      <c r="N22" s="42" t="s">
        <v>254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0</v>
      </c>
      <c r="U22" s="43">
        <v>3</v>
      </c>
      <c r="V22" s="43"/>
      <c r="W22" s="62"/>
      <c r="X22" s="62"/>
      <c r="Y22" s="63"/>
      <c r="Z22" s="76"/>
      <c r="AA22" s="25">
        <f>VLOOKUP(F22,'[1]Zones 1'!$A$2:$F$25426,6,FALSE)</f>
        <v>1440</v>
      </c>
      <c r="AB22" s="25">
        <f>VLOOKUP(L22,'[1]Zones 1'!$A$2:$F$25426,6,FALSE)</f>
        <v>1434</v>
      </c>
    </row>
    <row r="23" spans="2:28" s="19" customFormat="1">
      <c r="B23" s="40" t="s">
        <v>275</v>
      </c>
      <c r="C23" s="40"/>
      <c r="D23" s="41">
        <v>2</v>
      </c>
      <c r="E23" s="41">
        <v>1</v>
      </c>
      <c r="F23" s="40" t="s">
        <v>256</v>
      </c>
      <c r="G23" s="40" t="s">
        <v>37</v>
      </c>
      <c r="H23" s="42" t="s">
        <v>254</v>
      </c>
      <c r="I23" s="43"/>
      <c r="J23" s="43">
        <v>1</v>
      </c>
      <c r="K23" s="25" t="str">
        <f>VLOOKUP(J23,Key!$E$2:$F$9,2,FALSE)</f>
        <v>Home</v>
      </c>
      <c r="L23" s="42" t="s">
        <v>365</v>
      </c>
      <c r="M23" s="43" t="s">
        <v>365</v>
      </c>
      <c r="N23" s="42" t="s">
        <v>254</v>
      </c>
      <c r="O23" s="43"/>
      <c r="P23" s="43">
        <v>6</v>
      </c>
      <c r="Q23" s="25" t="str">
        <f>VLOOKUP(P23,Key!$E$2:$F$9,2,FALSE)</f>
        <v>Leisure/Social</v>
      </c>
      <c r="R23" s="25" t="str">
        <f t="shared" si="0"/>
        <v>Home-Leisure/Social</v>
      </c>
      <c r="S23" s="62"/>
      <c r="T23" s="62">
        <v>3</v>
      </c>
      <c r="U23" s="43">
        <v>4</v>
      </c>
      <c r="V23" s="43"/>
      <c r="W23" s="62"/>
      <c r="X23" s="62"/>
      <c r="Y23" s="63"/>
      <c r="Z23" s="76"/>
      <c r="AA23" s="25">
        <f>VLOOKUP(F23,'[1]Zones 1'!$A$2:$F$25426,6,FALSE)</f>
        <v>1440</v>
      </c>
      <c r="AB23" s="25">
        <f>VLOOKUP(L23,'[1]Zones 1'!$A$2:$F$25426,6,FALSE)</f>
        <v>436</v>
      </c>
    </row>
    <row r="24" spans="2:28" s="19" customFormat="1">
      <c r="B24" s="40" t="s">
        <v>276</v>
      </c>
      <c r="C24" s="40"/>
      <c r="D24" s="41">
        <v>12</v>
      </c>
      <c r="E24" s="41">
        <v>1</v>
      </c>
      <c r="F24" s="40" t="s">
        <v>50</v>
      </c>
      <c r="G24" s="40" t="s">
        <v>255</v>
      </c>
      <c r="H24" s="42" t="s">
        <v>254</v>
      </c>
      <c r="I24" s="43"/>
      <c r="J24" s="43">
        <v>1</v>
      </c>
      <c r="K24" s="25" t="str">
        <f>VLOOKUP(J24,Key!$E$2:$F$9,2,FALSE)</f>
        <v>Home</v>
      </c>
      <c r="L24" s="42" t="s">
        <v>60</v>
      </c>
      <c r="M24" s="43" t="s">
        <v>240</v>
      </c>
      <c r="N24" s="42" t="s">
        <v>254</v>
      </c>
      <c r="O24" s="43"/>
      <c r="P24" s="43">
        <v>6</v>
      </c>
      <c r="Q24" s="25" t="str">
        <f>VLOOKUP(P24,Key!$E$2:$F$9,2,FALSE)</f>
        <v>Leisure/Social</v>
      </c>
      <c r="R24" s="25" t="str">
        <f t="shared" si="0"/>
        <v>Home-Leisure/Social</v>
      </c>
      <c r="S24" s="62"/>
      <c r="T24" s="62">
        <v>0</v>
      </c>
      <c r="U24" s="43">
        <v>2</v>
      </c>
      <c r="V24" s="43"/>
      <c r="W24" s="62"/>
      <c r="X24" s="62"/>
      <c r="Y24" s="63"/>
      <c r="Z24" s="76"/>
      <c r="AA24" s="25">
        <f>VLOOKUP(F24,'[1]Zones 1'!$A$2:$F$25426,6,FALSE)</f>
        <v>1438</v>
      </c>
      <c r="AB24" s="25">
        <f>VLOOKUP(L24,'[1]Zones 1'!$A$2:$F$25426,6,FALSE)</f>
        <v>1434</v>
      </c>
    </row>
    <row r="25" spans="2:28" s="19" customFormat="1">
      <c r="B25" s="40" t="s">
        <v>277</v>
      </c>
      <c r="C25" s="40"/>
      <c r="D25" s="41">
        <v>2</v>
      </c>
      <c r="E25" s="41">
        <v>1</v>
      </c>
      <c r="F25" s="40" t="s">
        <v>38</v>
      </c>
      <c r="G25" s="40" t="s">
        <v>37</v>
      </c>
      <c r="H25" s="42" t="s">
        <v>254</v>
      </c>
      <c r="I25" s="43"/>
      <c r="J25" s="43">
        <v>1</v>
      </c>
      <c r="K25" s="25" t="str">
        <f>VLOOKUP(J25,Key!$E$2:$F$9,2,FALSE)</f>
        <v>Home</v>
      </c>
      <c r="L25" s="42" t="s">
        <v>138</v>
      </c>
      <c r="M25" s="43" t="s">
        <v>366</v>
      </c>
      <c r="N25" s="42" t="s">
        <v>254</v>
      </c>
      <c r="O25" s="43"/>
      <c r="P25" s="43">
        <v>3</v>
      </c>
      <c r="Q25" s="25" t="str">
        <f>VLOOKUP(P25,Key!$E$2:$F$9,2,FALSE)</f>
        <v>Study</v>
      </c>
      <c r="R25" s="25" t="str">
        <f t="shared" si="0"/>
        <v>Home-Study</v>
      </c>
      <c r="S25" s="62"/>
      <c r="T25" s="62">
        <v>2</v>
      </c>
      <c r="U25" s="43">
        <v>4</v>
      </c>
      <c r="V25" s="43"/>
      <c r="W25" s="62"/>
      <c r="X25" s="62"/>
      <c r="Y25" s="63"/>
      <c r="Z25" s="76"/>
      <c r="AA25" s="25">
        <f>VLOOKUP(F25,'[1]Zones 1'!$A$2:$F$25426,6,FALSE)</f>
        <v>644</v>
      </c>
      <c r="AB25" s="25">
        <f>VLOOKUP(L25,'[1]Zones 1'!$A$2:$F$25426,6,FALSE)</f>
        <v>748</v>
      </c>
    </row>
    <row r="26" spans="2:28" s="19" customFormat="1">
      <c r="B26" s="40" t="s">
        <v>278</v>
      </c>
      <c r="C26" s="40"/>
      <c r="D26" s="41">
        <v>3</v>
      </c>
      <c r="E26" s="41">
        <v>1</v>
      </c>
      <c r="F26" s="40" t="s">
        <v>38</v>
      </c>
      <c r="G26" s="40" t="s">
        <v>37</v>
      </c>
      <c r="H26" s="42" t="s">
        <v>254</v>
      </c>
      <c r="I26" s="43"/>
      <c r="J26" s="43">
        <v>1</v>
      </c>
      <c r="K26" s="25" t="str">
        <f>VLOOKUP(J26,Key!$E$2:$F$9,2,FALSE)</f>
        <v>Home</v>
      </c>
      <c r="L26" s="42" t="s">
        <v>37</v>
      </c>
      <c r="M26" s="43" t="s">
        <v>37</v>
      </c>
      <c r="N26" s="42" t="s">
        <v>254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62"/>
      <c r="T26" s="62">
        <v>0</v>
      </c>
      <c r="U26" s="43">
        <v>3</v>
      </c>
      <c r="V26" s="43"/>
      <c r="W26" s="62"/>
      <c r="X26" s="62"/>
      <c r="Y26" s="63"/>
      <c r="Z26" s="76"/>
      <c r="AA26" s="25">
        <f>VLOOKUP(F26,'[1]Zones 1'!$A$2:$F$25426,6,FALSE)</f>
        <v>644</v>
      </c>
      <c r="AB26" s="25">
        <f>VLOOKUP(L26,'[1]Zones 1'!$A$2:$F$25426,6,FALSE)</f>
        <v>651</v>
      </c>
    </row>
    <row r="27" spans="2:28" s="19" customFormat="1">
      <c r="B27" s="40" t="s">
        <v>279</v>
      </c>
      <c r="C27" s="40"/>
      <c r="D27" s="41">
        <v>2</v>
      </c>
      <c r="E27" s="41">
        <v>1</v>
      </c>
      <c r="F27" s="40" t="s">
        <v>38</v>
      </c>
      <c r="G27" s="40" t="s">
        <v>37</v>
      </c>
      <c r="H27" s="42" t="s">
        <v>254</v>
      </c>
      <c r="I27" s="43"/>
      <c r="J27" s="43">
        <v>1</v>
      </c>
      <c r="K27" s="25" t="str">
        <f>VLOOKUP(J27,Key!$E$2:$F$9,2,FALSE)</f>
        <v>Home</v>
      </c>
      <c r="L27" s="42" t="s">
        <v>37</v>
      </c>
      <c r="M27" s="43" t="s">
        <v>37</v>
      </c>
      <c r="N27" s="42" t="s">
        <v>254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2"/>
      <c r="T27" s="62">
        <v>3</v>
      </c>
      <c r="U27" s="43">
        <v>2</v>
      </c>
      <c r="V27" s="43"/>
      <c r="W27" s="62"/>
      <c r="X27" s="62"/>
      <c r="Y27" s="63"/>
      <c r="Z27" s="76"/>
      <c r="AA27" s="25">
        <f>VLOOKUP(F27,'[1]Zones 1'!$A$2:$F$25426,6,FALSE)</f>
        <v>644</v>
      </c>
      <c r="AB27" s="25">
        <f>VLOOKUP(L27,'[1]Zones 1'!$A$2:$F$25426,6,FALSE)</f>
        <v>651</v>
      </c>
    </row>
    <row r="28" spans="2:28" s="19" customFormat="1">
      <c r="B28" s="40" t="s">
        <v>280</v>
      </c>
      <c r="C28" s="40"/>
      <c r="D28" s="41">
        <v>8</v>
      </c>
      <c r="E28" s="41">
        <v>1</v>
      </c>
      <c r="F28" s="40" t="s">
        <v>38</v>
      </c>
      <c r="G28" s="40" t="s">
        <v>37</v>
      </c>
      <c r="H28" s="42" t="s">
        <v>254</v>
      </c>
      <c r="I28" s="43"/>
      <c r="J28" s="43">
        <v>1</v>
      </c>
      <c r="K28" s="25" t="str">
        <f>VLOOKUP(J28,Key!$E$2:$F$9,2,FALSE)</f>
        <v>Home</v>
      </c>
      <c r="L28" s="42" t="s">
        <v>365</v>
      </c>
      <c r="M28" s="43" t="s">
        <v>365</v>
      </c>
      <c r="N28" s="42" t="s">
        <v>254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62"/>
      <c r="T28" s="62">
        <v>3</v>
      </c>
      <c r="U28" s="43">
        <v>4</v>
      </c>
      <c r="V28" s="43"/>
      <c r="W28" s="62"/>
      <c r="X28" s="62"/>
      <c r="Y28" s="63"/>
      <c r="Z28" s="76"/>
      <c r="AA28" s="25">
        <f>VLOOKUP(F28,'[1]Zones 1'!$A$2:$F$25426,6,FALSE)</f>
        <v>644</v>
      </c>
      <c r="AB28" s="25">
        <f>VLOOKUP(L28,'[1]Zones 1'!$A$2:$F$25426,6,FALSE)</f>
        <v>436</v>
      </c>
    </row>
    <row r="29" spans="2:28" s="19" customFormat="1">
      <c r="B29" s="40" t="s">
        <v>281</v>
      </c>
      <c r="C29" s="40"/>
      <c r="D29" s="41">
        <v>2</v>
      </c>
      <c r="E29" s="41">
        <v>2</v>
      </c>
      <c r="F29" s="40" t="s">
        <v>364</v>
      </c>
      <c r="G29" s="40" t="s">
        <v>37</v>
      </c>
      <c r="H29" s="42" t="s">
        <v>254</v>
      </c>
      <c r="I29" s="43"/>
      <c r="J29" s="43">
        <v>1</v>
      </c>
      <c r="K29" s="25" t="str">
        <f>VLOOKUP(J29,Key!$E$2:$F$9,2,FALSE)</f>
        <v>Home</v>
      </c>
      <c r="L29" s="42" t="s">
        <v>37</v>
      </c>
      <c r="M29" s="43" t="s">
        <v>37</v>
      </c>
      <c r="N29" s="42" t="s">
        <v>254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4</v>
      </c>
      <c r="U29" s="43">
        <v>1</v>
      </c>
      <c r="V29" s="43"/>
      <c r="W29" s="62"/>
      <c r="X29" s="62"/>
      <c r="Y29" s="63"/>
      <c r="Z29" s="76"/>
      <c r="AA29" s="25">
        <f>VLOOKUP(F29,'[1]Zones 1'!$A$2:$F$25426,6,FALSE)</f>
        <v>659</v>
      </c>
      <c r="AB29" s="25">
        <f>VLOOKUP(L29,'[1]Zones 1'!$A$2:$F$25426,6,FALSE)</f>
        <v>651</v>
      </c>
    </row>
    <row r="30" spans="2:28" s="19" customFormat="1">
      <c r="B30" s="40" t="s">
        <v>282</v>
      </c>
      <c r="C30" s="40"/>
      <c r="D30" s="41">
        <v>12</v>
      </c>
      <c r="E30" s="41">
        <v>2</v>
      </c>
      <c r="F30" s="40" t="s">
        <v>38</v>
      </c>
      <c r="G30" s="40" t="s">
        <v>37</v>
      </c>
      <c r="H30" s="42" t="s">
        <v>254</v>
      </c>
      <c r="I30" s="43"/>
      <c r="J30" s="43">
        <v>1</v>
      </c>
      <c r="K30" s="25" t="str">
        <f>VLOOKUP(J30,Key!$E$2:$F$9,2,FALSE)</f>
        <v>Home</v>
      </c>
      <c r="L30" s="42" t="s">
        <v>37</v>
      </c>
      <c r="M30" s="43" t="s">
        <v>37</v>
      </c>
      <c r="N30" s="42" t="s">
        <v>254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1</v>
      </c>
      <c r="U30" s="43">
        <v>2</v>
      </c>
      <c r="V30" s="43"/>
      <c r="W30" s="62"/>
      <c r="X30" s="62"/>
      <c r="Y30" s="63"/>
      <c r="Z30" s="76"/>
      <c r="AA30" s="25">
        <f>VLOOKUP(F30,'[1]Zones 1'!$A$2:$F$25426,6,FALSE)</f>
        <v>644</v>
      </c>
      <c r="AB30" s="25">
        <f>VLOOKUP(L30,'[1]Zones 1'!$A$2:$F$25426,6,FALSE)</f>
        <v>651</v>
      </c>
    </row>
    <row r="31" spans="2:28" s="19" customFormat="1">
      <c r="B31" s="40" t="s">
        <v>283</v>
      </c>
      <c r="C31" s="40"/>
      <c r="D31" s="41">
        <v>3</v>
      </c>
      <c r="E31" s="41">
        <v>1</v>
      </c>
      <c r="F31" s="40" t="s">
        <v>256</v>
      </c>
      <c r="G31" s="40" t="s">
        <v>37</v>
      </c>
      <c r="H31" s="42" t="s">
        <v>254</v>
      </c>
      <c r="I31" s="43"/>
      <c r="J31" s="43">
        <v>2</v>
      </c>
      <c r="K31" s="25" t="str">
        <f>VLOOKUP(J31,Key!$E$2:$F$9,2,FALSE)</f>
        <v>Work</v>
      </c>
      <c r="L31" s="42" t="s">
        <v>37</v>
      </c>
      <c r="M31" s="43" t="s">
        <v>37</v>
      </c>
      <c r="N31" s="42" t="s">
        <v>254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3</v>
      </c>
      <c r="U31" s="43">
        <v>2</v>
      </c>
      <c r="V31" s="43"/>
      <c r="W31" s="62"/>
      <c r="X31" s="62"/>
      <c r="Y31" s="63"/>
      <c r="Z31" s="76"/>
      <c r="AA31" s="25">
        <f>VLOOKUP(F31,'[1]Zones 1'!$A$2:$F$25426,6,FALSE)</f>
        <v>1440</v>
      </c>
      <c r="AB31" s="25">
        <f>VLOOKUP(L31,'[1]Zones 1'!$A$2:$F$25426,6,FALSE)</f>
        <v>651</v>
      </c>
    </row>
    <row r="32" spans="2:28" s="19" customFormat="1">
      <c r="B32" s="40" t="s">
        <v>284</v>
      </c>
      <c r="C32" s="40"/>
      <c r="D32" s="41">
        <v>12</v>
      </c>
      <c r="E32" s="41">
        <v>1</v>
      </c>
      <c r="F32" s="40" t="s">
        <v>256</v>
      </c>
      <c r="G32" s="40" t="s">
        <v>37</v>
      </c>
      <c r="H32" s="42" t="s">
        <v>254</v>
      </c>
      <c r="I32" s="43"/>
      <c r="J32" s="43">
        <v>1</v>
      </c>
      <c r="K32" s="25" t="str">
        <f>VLOOKUP(J32,Key!$E$2:$F$9,2,FALSE)</f>
        <v>Home</v>
      </c>
      <c r="L32" s="42" t="s">
        <v>37</v>
      </c>
      <c r="M32" s="43" t="s">
        <v>37</v>
      </c>
      <c r="N32" s="42" t="s">
        <v>254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0</v>
      </c>
      <c r="U32" s="43">
        <v>3</v>
      </c>
      <c r="V32" s="43"/>
      <c r="W32" s="62"/>
      <c r="X32" s="62"/>
      <c r="Y32" s="63"/>
      <c r="Z32" s="76"/>
      <c r="AA32" s="25">
        <f>VLOOKUP(F32,'[1]Zones 1'!$A$2:$F$25426,6,FALSE)</f>
        <v>1440</v>
      </c>
      <c r="AB32" s="25">
        <f>VLOOKUP(L32,'[1]Zones 1'!$A$2:$F$25426,6,FALSE)</f>
        <v>651</v>
      </c>
    </row>
    <row r="33" spans="2:28" s="19" customFormat="1">
      <c r="B33" s="40" t="s">
        <v>285</v>
      </c>
      <c r="C33" s="40"/>
      <c r="D33" s="41">
        <v>8</v>
      </c>
      <c r="E33" s="41">
        <v>4</v>
      </c>
      <c r="F33" s="40" t="s">
        <v>37</v>
      </c>
      <c r="G33" s="40" t="s">
        <v>37</v>
      </c>
      <c r="H33" s="42" t="s">
        <v>254</v>
      </c>
      <c r="I33" s="43"/>
      <c r="J33" s="43">
        <v>1</v>
      </c>
      <c r="K33" s="25" t="str">
        <f>VLOOKUP(J33,Key!$E$2:$F$9,2,FALSE)</f>
        <v>Home</v>
      </c>
      <c r="L33" s="42" t="s">
        <v>69</v>
      </c>
      <c r="M33" s="43" t="s">
        <v>69</v>
      </c>
      <c r="N33" s="42" t="s">
        <v>254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0</v>
      </c>
      <c r="U33" s="43">
        <v>3</v>
      </c>
      <c r="V33" s="43"/>
      <c r="W33" s="62"/>
      <c r="X33" s="62"/>
      <c r="Y33" s="63"/>
      <c r="Z33" s="76"/>
      <c r="AA33" s="25">
        <f>VLOOKUP(F33,'[1]Zones 1'!$A$2:$F$25426,6,FALSE)</f>
        <v>651</v>
      </c>
      <c r="AB33" s="25">
        <f>VLOOKUP(L33,'[1]Zones 1'!$A$2:$F$25426,6,FALSE)</f>
        <v>987</v>
      </c>
    </row>
    <row r="34" spans="2:28" s="19" customFormat="1">
      <c r="B34" s="40" t="s">
        <v>286</v>
      </c>
      <c r="C34" s="40"/>
      <c r="D34" s="41">
        <v>2</v>
      </c>
      <c r="E34" s="41">
        <v>2</v>
      </c>
      <c r="F34" s="40" t="s">
        <v>37</v>
      </c>
      <c r="G34" s="40" t="s">
        <v>37</v>
      </c>
      <c r="H34" s="42" t="s">
        <v>254</v>
      </c>
      <c r="I34" s="43"/>
      <c r="J34" s="43">
        <v>1</v>
      </c>
      <c r="K34" s="25" t="str">
        <f>VLOOKUP(J34,Key!$E$2:$F$9,2,FALSE)</f>
        <v>Home</v>
      </c>
      <c r="L34" s="42" t="s">
        <v>37</v>
      </c>
      <c r="M34" s="43" t="s">
        <v>37</v>
      </c>
      <c r="N34" s="42" t="s">
        <v>254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Home-Commercial</v>
      </c>
      <c r="S34" s="62"/>
      <c r="T34" s="62">
        <v>0.83333333333333337</v>
      </c>
      <c r="U34" s="43">
        <v>3</v>
      </c>
      <c r="V34" s="43"/>
      <c r="W34" s="62"/>
      <c r="X34" s="62"/>
      <c r="Y34" s="63"/>
      <c r="Z34" s="76"/>
      <c r="AA34" s="25">
        <f>VLOOKUP(F34,'[1]Zones 1'!$A$2:$F$25426,6,FALSE)</f>
        <v>651</v>
      </c>
      <c r="AB34" s="25">
        <f>VLOOKUP(L34,'[1]Zones 1'!$A$2:$F$25426,6,FALSE)</f>
        <v>651</v>
      </c>
    </row>
    <row r="35" spans="2:28" s="19" customFormat="1">
      <c r="B35" s="40" t="s">
        <v>287</v>
      </c>
      <c r="C35" s="40"/>
      <c r="D35" s="41">
        <v>2</v>
      </c>
      <c r="E35" s="41">
        <v>1</v>
      </c>
      <c r="F35" s="40" t="s">
        <v>256</v>
      </c>
      <c r="G35" s="40" t="s">
        <v>37</v>
      </c>
      <c r="H35" s="42" t="s">
        <v>254</v>
      </c>
      <c r="I35" s="43"/>
      <c r="J35" s="43">
        <v>1</v>
      </c>
      <c r="K35" s="25" t="str">
        <f>VLOOKUP(J35,Key!$E$2:$F$9,2,FALSE)</f>
        <v>Home</v>
      </c>
      <c r="L35" s="42" t="s">
        <v>60</v>
      </c>
      <c r="M35" s="43" t="s">
        <v>240</v>
      </c>
      <c r="N35" s="42" t="s">
        <v>254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3</v>
      </c>
      <c r="U35" s="43">
        <v>3</v>
      </c>
      <c r="V35" s="43"/>
      <c r="W35" s="62"/>
      <c r="X35" s="62"/>
      <c r="Y35" s="63"/>
      <c r="Z35" s="76"/>
      <c r="AA35" s="25">
        <f>VLOOKUP(F35,'[1]Zones 1'!$A$2:$F$25426,6,FALSE)</f>
        <v>1440</v>
      </c>
      <c r="AB35" s="25">
        <f>VLOOKUP(L35,'[1]Zones 1'!$A$2:$F$25426,6,FALSE)</f>
        <v>1434</v>
      </c>
    </row>
    <row r="36" spans="2:28" s="19" customFormat="1">
      <c r="B36" s="40" t="s">
        <v>288</v>
      </c>
      <c r="C36" s="40"/>
      <c r="D36" s="41">
        <v>12</v>
      </c>
      <c r="E36" s="41">
        <v>2</v>
      </c>
      <c r="F36" s="40" t="s">
        <v>37</v>
      </c>
      <c r="G36" s="40" t="s">
        <v>37</v>
      </c>
      <c r="H36" s="42" t="s">
        <v>254</v>
      </c>
      <c r="I36" s="43"/>
      <c r="J36" s="43">
        <v>2</v>
      </c>
      <c r="K36" s="25" t="str">
        <f>VLOOKUP(J36,Key!$E$2:$F$9,2,FALSE)</f>
        <v>Work</v>
      </c>
      <c r="L36" s="42" t="s">
        <v>37</v>
      </c>
      <c r="M36" s="43" t="s">
        <v>37</v>
      </c>
      <c r="N36" s="42" t="s">
        <v>254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3</v>
      </c>
      <c r="U36" s="43">
        <v>3</v>
      </c>
      <c r="V36" s="43"/>
      <c r="W36" s="62"/>
      <c r="X36" s="62"/>
      <c r="Y36" s="63"/>
      <c r="Z36" s="76"/>
      <c r="AA36" s="25">
        <f>VLOOKUP(F36,'[1]Zones 1'!$A$2:$F$25426,6,FALSE)</f>
        <v>651</v>
      </c>
      <c r="AB36" s="25">
        <f>VLOOKUP(L36,'[1]Zones 1'!$A$2:$F$25426,6,FALSE)</f>
        <v>651</v>
      </c>
    </row>
    <row r="37" spans="2:28" s="19" customFormat="1">
      <c r="B37" s="40" t="s">
        <v>289</v>
      </c>
      <c r="C37" s="40"/>
      <c r="D37" s="41">
        <v>3</v>
      </c>
      <c r="E37" s="41">
        <v>2</v>
      </c>
      <c r="F37" s="40" t="s">
        <v>576</v>
      </c>
      <c r="G37" s="40" t="s">
        <v>37</v>
      </c>
      <c r="H37" s="42" t="s">
        <v>254</v>
      </c>
      <c r="I37" s="43"/>
      <c r="J37" s="43">
        <v>4</v>
      </c>
      <c r="K37" s="25" t="str">
        <f>VLOOKUP(J37,Key!$E$2:$F$9,2,FALSE)</f>
        <v>Commercial</v>
      </c>
      <c r="L37" s="42" t="s">
        <v>37</v>
      </c>
      <c r="M37" s="43" t="s">
        <v>37</v>
      </c>
      <c r="N37" s="42" t="s">
        <v>254</v>
      </c>
      <c r="O37" s="43"/>
      <c r="P37" s="43">
        <v>3</v>
      </c>
      <c r="Q37" s="25" t="str">
        <f>VLOOKUP(P37,Key!$E$2:$F$9,2,FALSE)</f>
        <v>Study</v>
      </c>
      <c r="R37" s="25" t="str">
        <f t="shared" si="0"/>
        <v>Commercial-Study</v>
      </c>
      <c r="S37" s="62"/>
      <c r="T37" s="62">
        <v>3</v>
      </c>
      <c r="U37" s="43">
        <v>2</v>
      </c>
      <c r="V37" s="43"/>
      <c r="W37" s="62"/>
      <c r="X37" s="62"/>
      <c r="Y37" s="63"/>
      <c r="Z37" s="76"/>
      <c r="AA37" s="25">
        <f>VLOOKUP(F37,'[1]Zones 1'!$A$2:$F$25426,6,FALSE)</f>
        <v>655</v>
      </c>
      <c r="AB37" s="25">
        <f>VLOOKUP(L37,'[1]Zones 1'!$A$2:$F$25426,6,FALSE)</f>
        <v>651</v>
      </c>
    </row>
    <row r="38" spans="2:28" s="19" customFormat="1">
      <c r="B38" s="40" t="s">
        <v>290</v>
      </c>
      <c r="C38" s="40"/>
      <c r="D38" s="41">
        <v>2</v>
      </c>
      <c r="E38" s="41">
        <v>3</v>
      </c>
      <c r="F38" s="40" t="s">
        <v>38</v>
      </c>
      <c r="G38" s="40" t="s">
        <v>37</v>
      </c>
      <c r="H38" s="42" t="s">
        <v>254</v>
      </c>
      <c r="I38" s="43"/>
      <c r="J38" s="43">
        <v>1</v>
      </c>
      <c r="K38" s="25" t="str">
        <f>VLOOKUP(J38,Key!$E$2:$F$9,2,FALSE)</f>
        <v>Home</v>
      </c>
      <c r="L38" s="42" t="s">
        <v>67</v>
      </c>
      <c r="M38" s="43" t="s">
        <v>67</v>
      </c>
      <c r="N38" s="42" t="s">
        <v>254</v>
      </c>
      <c r="O38" s="43"/>
      <c r="P38" s="43">
        <v>5</v>
      </c>
      <c r="Q38" s="25" t="str">
        <f>VLOOKUP(P38,Key!$E$2:$F$9,2,FALSE)</f>
        <v>Tourism</v>
      </c>
      <c r="R38" s="25" t="str">
        <f t="shared" si="0"/>
        <v>Home-Tourism</v>
      </c>
      <c r="S38" s="62"/>
      <c r="T38" s="62">
        <v>0</v>
      </c>
      <c r="U38" s="43">
        <v>3</v>
      </c>
      <c r="V38" s="43"/>
      <c r="W38" s="62"/>
      <c r="X38" s="62"/>
      <c r="Y38" s="63"/>
      <c r="Z38" s="76"/>
      <c r="AA38" s="25">
        <f>VLOOKUP(F38,'[1]Zones 1'!$A$2:$F$25426,6,FALSE)</f>
        <v>644</v>
      </c>
      <c r="AB38" s="25">
        <f>VLOOKUP(L38,'[1]Zones 1'!$A$2:$F$25426,6,FALSE)</f>
        <v>521</v>
      </c>
    </row>
    <row r="39" spans="2:28" s="19" customFormat="1">
      <c r="B39" s="40" t="s">
        <v>291</v>
      </c>
      <c r="C39" s="40"/>
      <c r="D39" s="41">
        <v>8</v>
      </c>
      <c r="E39" s="41">
        <v>3</v>
      </c>
      <c r="F39" s="40" t="s">
        <v>50</v>
      </c>
      <c r="G39" s="40" t="s">
        <v>255</v>
      </c>
      <c r="H39" s="42" t="s">
        <v>254</v>
      </c>
      <c r="I39" s="43"/>
      <c r="J39" s="43">
        <v>4</v>
      </c>
      <c r="K39" s="25" t="str">
        <f>VLOOKUP(J39,Key!$E$2:$F$9,2,FALSE)</f>
        <v>Commercial</v>
      </c>
      <c r="L39" s="42" t="s">
        <v>60</v>
      </c>
      <c r="M39" s="43" t="s">
        <v>240</v>
      </c>
      <c r="N39" s="42" t="s">
        <v>254</v>
      </c>
      <c r="O39" s="43"/>
      <c r="P39" s="43">
        <v>7</v>
      </c>
      <c r="Q39" s="25" t="str">
        <f>VLOOKUP(P39,Key!$E$2:$F$9,2,FALSE)</f>
        <v>Hospital</v>
      </c>
      <c r="R39" s="25" t="str">
        <f t="shared" si="0"/>
        <v>Commercial-Hospital</v>
      </c>
      <c r="S39" s="62"/>
      <c r="T39" s="62">
        <v>1</v>
      </c>
      <c r="U39" s="43">
        <v>3</v>
      </c>
      <c r="V39" s="43"/>
      <c r="W39" s="62"/>
      <c r="X39" s="62"/>
      <c r="Y39" s="63"/>
      <c r="Z39" s="76"/>
      <c r="AA39" s="25">
        <f>VLOOKUP(F39,'[1]Zones 1'!$A$2:$F$25426,6,FALSE)</f>
        <v>1438</v>
      </c>
      <c r="AB39" s="25">
        <f>VLOOKUP(L39,'[1]Zones 1'!$A$2:$F$25426,6,FALSE)</f>
        <v>1434</v>
      </c>
    </row>
    <row r="40" spans="2:28" s="19" customFormat="1">
      <c r="B40" s="40" t="s">
        <v>292</v>
      </c>
      <c r="C40" s="40"/>
      <c r="D40" s="41">
        <v>12</v>
      </c>
      <c r="E40" s="41">
        <v>3</v>
      </c>
      <c r="F40" s="40" t="s">
        <v>38</v>
      </c>
      <c r="G40" s="40" t="s">
        <v>37</v>
      </c>
      <c r="H40" s="42" t="s">
        <v>254</v>
      </c>
      <c r="I40" s="43"/>
      <c r="J40" s="43">
        <v>2</v>
      </c>
      <c r="K40" s="25" t="str">
        <f>VLOOKUP(J40,Key!$E$2:$F$9,2,FALSE)</f>
        <v>Work</v>
      </c>
      <c r="L40" s="42" t="s">
        <v>37</v>
      </c>
      <c r="M40" s="43" t="s">
        <v>37</v>
      </c>
      <c r="N40" s="42" t="s">
        <v>254</v>
      </c>
      <c r="O40" s="43"/>
      <c r="P40" s="43">
        <v>5</v>
      </c>
      <c r="Q40" s="25" t="str">
        <f>VLOOKUP(P40,Key!$E$2:$F$9,2,FALSE)</f>
        <v>Tourism</v>
      </c>
      <c r="R40" s="25" t="str">
        <f t="shared" si="0"/>
        <v>Work-Tourism</v>
      </c>
      <c r="S40" s="62"/>
      <c r="T40" s="62">
        <v>4</v>
      </c>
      <c r="U40" s="43">
        <v>6</v>
      </c>
      <c r="V40" s="43"/>
      <c r="W40" s="62"/>
      <c r="X40" s="62"/>
      <c r="Y40" s="63"/>
      <c r="Z40" s="76"/>
      <c r="AA40" s="25">
        <f>VLOOKUP(F40,'[1]Zones 1'!$A$2:$F$25426,6,FALSE)</f>
        <v>644</v>
      </c>
      <c r="AB40" s="25">
        <f>VLOOKUP(L40,'[1]Zones 1'!$A$2:$F$25426,6,FALSE)</f>
        <v>651</v>
      </c>
    </row>
    <row r="41" spans="2:28" s="19" customFormat="1">
      <c r="B41" s="40" t="s">
        <v>293</v>
      </c>
      <c r="C41" s="40"/>
      <c r="D41" s="41">
        <v>8</v>
      </c>
      <c r="E41" s="41">
        <v>2</v>
      </c>
      <c r="F41" s="40" t="s">
        <v>50</v>
      </c>
      <c r="G41" s="40" t="s">
        <v>255</v>
      </c>
      <c r="H41" s="42" t="s">
        <v>254</v>
      </c>
      <c r="I41" s="43"/>
      <c r="J41" s="43">
        <v>6</v>
      </c>
      <c r="K41" s="25" t="str">
        <f>VLOOKUP(J41,Key!$E$2:$F$9,2,FALSE)</f>
        <v>Leisure/Social</v>
      </c>
      <c r="L41" s="42" t="s">
        <v>37</v>
      </c>
      <c r="M41" s="43" t="s">
        <v>37</v>
      </c>
      <c r="N41" s="42" t="s">
        <v>254</v>
      </c>
      <c r="O41" s="43"/>
      <c r="P41" s="43">
        <v>3</v>
      </c>
      <c r="Q41" s="25" t="str">
        <f>VLOOKUP(P41,Key!$E$2:$F$9,2,FALSE)</f>
        <v>Study</v>
      </c>
      <c r="R41" s="25" t="str">
        <f t="shared" si="0"/>
        <v>Leisure/Social-Study</v>
      </c>
      <c r="S41" s="62"/>
      <c r="T41" s="62">
        <v>4</v>
      </c>
      <c r="U41" s="43">
        <v>5</v>
      </c>
      <c r="V41" s="43"/>
      <c r="W41" s="62"/>
      <c r="X41" s="62"/>
      <c r="Y41" s="63"/>
      <c r="Z41" s="76"/>
      <c r="AA41" s="25">
        <f>VLOOKUP(F41,'[1]Zones 1'!$A$2:$F$25426,6,FALSE)</f>
        <v>1438</v>
      </c>
      <c r="AB41" s="25">
        <f>VLOOKUP(L41,'[1]Zones 1'!$A$2:$F$25426,6,FALSE)</f>
        <v>651</v>
      </c>
    </row>
    <row r="42" spans="2:28" s="19" customFormat="1">
      <c r="B42" s="40" t="s">
        <v>294</v>
      </c>
      <c r="C42" s="40"/>
      <c r="D42" s="41">
        <v>12</v>
      </c>
      <c r="E42" s="41">
        <v>3</v>
      </c>
      <c r="F42" s="40" t="s">
        <v>576</v>
      </c>
      <c r="G42" s="40" t="s">
        <v>37</v>
      </c>
      <c r="H42" s="42" t="s">
        <v>254</v>
      </c>
      <c r="I42" s="43"/>
      <c r="J42" s="43">
        <v>7</v>
      </c>
      <c r="K42" s="25" t="str">
        <f>VLOOKUP(J42,Key!$E$2:$F$9,2,FALSE)</f>
        <v>Hospital</v>
      </c>
      <c r="L42" s="42" t="s">
        <v>37</v>
      </c>
      <c r="M42" s="43" t="s">
        <v>37</v>
      </c>
      <c r="N42" s="42" t="s">
        <v>254</v>
      </c>
      <c r="O42" s="43"/>
      <c r="P42" s="43">
        <v>4</v>
      </c>
      <c r="Q42" s="25" t="str">
        <f>VLOOKUP(P42,Key!$E$2:$F$9,2,FALSE)</f>
        <v>Commercial</v>
      </c>
      <c r="R42" s="25" t="str">
        <f t="shared" si="0"/>
        <v>Hospital-Commercial</v>
      </c>
      <c r="S42" s="62"/>
      <c r="T42" s="62">
        <v>4</v>
      </c>
      <c r="U42" s="43">
        <v>3</v>
      </c>
      <c r="V42" s="43"/>
      <c r="W42" s="62"/>
      <c r="X42" s="62"/>
      <c r="Y42" s="63"/>
      <c r="Z42" s="76"/>
      <c r="AA42" s="25">
        <f>VLOOKUP(F42,'[1]Zones 1'!$A$2:$F$25426,6,FALSE)</f>
        <v>655</v>
      </c>
      <c r="AB42" s="25">
        <f>VLOOKUP(L42,'[1]Zones 1'!$A$2:$F$25426,6,FALSE)</f>
        <v>651</v>
      </c>
    </row>
    <row r="43" spans="2:28" s="19" customFormat="1">
      <c r="B43" s="40" t="s">
        <v>295</v>
      </c>
      <c r="C43" s="40"/>
      <c r="D43" s="41">
        <v>3</v>
      </c>
      <c r="E43" s="41">
        <v>3</v>
      </c>
      <c r="F43" s="40" t="s">
        <v>364</v>
      </c>
      <c r="G43" s="40" t="s">
        <v>37</v>
      </c>
      <c r="H43" s="42" t="s">
        <v>254</v>
      </c>
      <c r="I43" s="43"/>
      <c r="J43" s="43">
        <v>2</v>
      </c>
      <c r="K43" s="25" t="str">
        <f>VLOOKUP(J43,Key!$E$2:$F$9,2,FALSE)</f>
        <v>Work</v>
      </c>
      <c r="L43" s="42" t="s">
        <v>37</v>
      </c>
      <c r="M43" s="43" t="s">
        <v>37</v>
      </c>
      <c r="N43" s="42" t="s">
        <v>254</v>
      </c>
      <c r="O43" s="43"/>
      <c r="P43" s="43">
        <v>3</v>
      </c>
      <c r="Q43" s="25" t="str">
        <f>VLOOKUP(P43,Key!$E$2:$F$9,2,FALSE)</f>
        <v>Study</v>
      </c>
      <c r="R43" s="25" t="str">
        <f t="shared" si="0"/>
        <v>Work-Study</v>
      </c>
      <c r="S43" s="62"/>
      <c r="T43" s="62">
        <v>3</v>
      </c>
      <c r="U43" s="43">
        <v>2</v>
      </c>
      <c r="V43" s="43"/>
      <c r="W43" s="62"/>
      <c r="X43" s="62"/>
      <c r="Y43" s="63"/>
      <c r="Z43" s="76"/>
      <c r="AA43" s="25">
        <f>VLOOKUP(F43,'[1]Zones 1'!$A$2:$F$25426,6,FALSE)</f>
        <v>659</v>
      </c>
      <c r="AB43" s="25">
        <f>VLOOKUP(L43,'[1]Zones 1'!$A$2:$F$25426,6,FALSE)</f>
        <v>651</v>
      </c>
    </row>
    <row r="44" spans="2:28" s="19" customFormat="1">
      <c r="B44" s="40" t="s">
        <v>296</v>
      </c>
      <c r="C44" s="40"/>
      <c r="D44" s="41">
        <v>2</v>
      </c>
      <c r="E44" s="41">
        <v>3</v>
      </c>
      <c r="F44" s="40" t="s">
        <v>256</v>
      </c>
      <c r="G44" s="40" t="s">
        <v>37</v>
      </c>
      <c r="H44" s="42" t="s">
        <v>254</v>
      </c>
      <c r="I44" s="43"/>
      <c r="J44" s="43">
        <v>6</v>
      </c>
      <c r="K44" s="25" t="str">
        <f>VLOOKUP(J44,Key!$E$2:$F$9,2,FALSE)</f>
        <v>Leisure/Social</v>
      </c>
      <c r="L44" s="42" t="s">
        <v>67</v>
      </c>
      <c r="M44" s="43" t="s">
        <v>241</v>
      </c>
      <c r="N44" s="42" t="s">
        <v>254</v>
      </c>
      <c r="O44" s="43"/>
      <c r="P44" s="43">
        <v>4</v>
      </c>
      <c r="Q44" s="25" t="str">
        <f>VLOOKUP(P44,Key!$E$2:$F$9,2,FALSE)</f>
        <v>Commercial</v>
      </c>
      <c r="R44" s="25" t="str">
        <f t="shared" si="0"/>
        <v>Leisure/Social-Commercial</v>
      </c>
      <c r="S44" s="62"/>
      <c r="T44" s="62">
        <v>3</v>
      </c>
      <c r="U44" s="43">
        <v>1</v>
      </c>
      <c r="V44" s="43"/>
      <c r="W44" s="62"/>
      <c r="X44" s="62"/>
      <c r="Y44" s="63"/>
      <c r="Z44" s="76"/>
      <c r="AA44" s="25">
        <f>VLOOKUP(F44,'[1]Zones 1'!$A$2:$F$25426,6,FALSE)</f>
        <v>1440</v>
      </c>
      <c r="AB44" s="25">
        <f>VLOOKUP(L44,'[1]Zones 1'!$A$2:$F$25426,6,FALSE)</f>
        <v>521</v>
      </c>
    </row>
    <row r="45" spans="2:28" s="19" customFormat="1">
      <c r="B45" s="40" t="s">
        <v>297</v>
      </c>
      <c r="C45" s="40"/>
      <c r="D45" s="41">
        <v>2</v>
      </c>
      <c r="E45" s="41">
        <v>1</v>
      </c>
      <c r="F45" s="40" t="s">
        <v>38</v>
      </c>
      <c r="G45" s="40" t="s">
        <v>37</v>
      </c>
      <c r="H45" s="42" t="s">
        <v>254</v>
      </c>
      <c r="I45" s="43"/>
      <c r="J45" s="43">
        <v>7</v>
      </c>
      <c r="K45" s="25" t="str">
        <f>VLOOKUP(J45,Key!$E$2:$F$9,2,FALSE)</f>
        <v>Hospital</v>
      </c>
      <c r="L45" s="42" t="s">
        <v>37</v>
      </c>
      <c r="M45" s="43" t="s">
        <v>37</v>
      </c>
      <c r="N45" s="42" t="s">
        <v>254</v>
      </c>
      <c r="O45" s="43"/>
      <c r="P45" s="43">
        <v>5</v>
      </c>
      <c r="Q45" s="25" t="str">
        <f>VLOOKUP(P45,Key!$E$2:$F$9,2,FALSE)</f>
        <v>Tourism</v>
      </c>
      <c r="R45" s="25" t="str">
        <f t="shared" si="0"/>
        <v>Hospital-Tourism</v>
      </c>
      <c r="S45" s="62"/>
      <c r="T45" s="62">
        <v>3</v>
      </c>
      <c r="U45" s="43">
        <v>1</v>
      </c>
      <c r="V45" s="43"/>
      <c r="W45" s="62"/>
      <c r="X45" s="62"/>
      <c r="Y45" s="63"/>
      <c r="Z45" s="76"/>
      <c r="AA45" s="25">
        <f>VLOOKUP(F45,'[1]Zones 1'!$A$2:$F$25426,6,FALSE)</f>
        <v>644</v>
      </c>
      <c r="AB45" s="25">
        <f>VLOOKUP(L45,'[1]Zones 1'!$A$2:$F$25426,6,FALSE)</f>
        <v>651</v>
      </c>
    </row>
    <row r="46" spans="2:28" s="19" customFormat="1">
      <c r="B46" s="40" t="s">
        <v>298</v>
      </c>
      <c r="C46" s="40"/>
      <c r="D46" s="41">
        <v>5</v>
      </c>
      <c r="E46" s="41">
        <v>3</v>
      </c>
      <c r="F46" s="40" t="s">
        <v>50</v>
      </c>
      <c r="G46" s="40" t="s">
        <v>255</v>
      </c>
      <c r="H46" s="42" t="s">
        <v>254</v>
      </c>
      <c r="I46" s="43"/>
      <c r="J46" s="43">
        <v>1</v>
      </c>
      <c r="K46" s="25" t="str">
        <f>VLOOKUP(J46,Key!$E$2:$F$9,2,FALSE)</f>
        <v>Home</v>
      </c>
      <c r="L46" s="42" t="s">
        <v>60</v>
      </c>
      <c r="M46" s="43" t="s">
        <v>240</v>
      </c>
      <c r="N46" s="42" t="s">
        <v>254</v>
      </c>
      <c r="O46" s="43"/>
      <c r="P46" s="43">
        <v>4</v>
      </c>
      <c r="Q46" s="25" t="str">
        <f>VLOOKUP(P46,Key!$E$2:$F$9,2,FALSE)</f>
        <v>Commercial</v>
      </c>
      <c r="R46" s="25" t="str">
        <f t="shared" si="0"/>
        <v>Home-Commercial</v>
      </c>
      <c r="S46" s="62"/>
      <c r="T46" s="62">
        <v>2</v>
      </c>
      <c r="U46" s="43">
        <v>1</v>
      </c>
      <c r="V46" s="43"/>
      <c r="W46" s="62"/>
      <c r="X46" s="62"/>
      <c r="Y46" s="63"/>
      <c r="Z46" s="76"/>
      <c r="AA46" s="25">
        <f>VLOOKUP(F46,'[1]Zones 1'!$A$2:$F$25426,6,FALSE)</f>
        <v>1438</v>
      </c>
      <c r="AB46" s="25">
        <f>VLOOKUP(L46,'[1]Zones 1'!$A$2:$F$25426,6,FALSE)</f>
        <v>1434</v>
      </c>
    </row>
    <row r="47" spans="2:28" s="19" customFormat="1">
      <c r="B47" s="40" t="s">
        <v>299</v>
      </c>
      <c r="C47" s="40"/>
      <c r="D47" s="41">
        <v>12</v>
      </c>
      <c r="E47" s="41">
        <v>4</v>
      </c>
      <c r="F47" s="40" t="s">
        <v>38</v>
      </c>
      <c r="G47" s="40" t="s">
        <v>37</v>
      </c>
      <c r="H47" s="42" t="s">
        <v>254</v>
      </c>
      <c r="I47" s="43"/>
      <c r="J47" s="43">
        <v>2</v>
      </c>
      <c r="K47" s="25" t="str">
        <f>VLOOKUP(J47,Key!$E$2:$F$9,2,FALSE)</f>
        <v>Work</v>
      </c>
      <c r="L47" s="42" t="s">
        <v>37</v>
      </c>
      <c r="M47" s="43" t="s">
        <v>37</v>
      </c>
      <c r="N47" s="42" t="s">
        <v>254</v>
      </c>
      <c r="O47" s="43"/>
      <c r="P47" s="43">
        <v>5</v>
      </c>
      <c r="Q47" s="25" t="str">
        <f>VLOOKUP(P47,Key!$E$2:$F$9,2,FALSE)</f>
        <v>Tourism</v>
      </c>
      <c r="R47" s="25" t="str">
        <f t="shared" si="0"/>
        <v>Work-Tourism</v>
      </c>
      <c r="S47" s="62"/>
      <c r="T47" s="62">
        <v>0</v>
      </c>
      <c r="U47" s="43">
        <v>1</v>
      </c>
      <c r="V47" s="43"/>
      <c r="W47" s="62"/>
      <c r="X47" s="62"/>
      <c r="Y47" s="63"/>
      <c r="Z47" s="76"/>
      <c r="AA47" s="25">
        <f>VLOOKUP(F47,'[1]Zones 1'!$A$2:$F$25426,6,FALSE)</f>
        <v>644</v>
      </c>
      <c r="AB47" s="25">
        <f>VLOOKUP(L47,'[1]Zones 1'!$A$2:$F$25426,6,FALSE)</f>
        <v>651</v>
      </c>
    </row>
    <row r="48" spans="2:28" s="19" customFormat="1">
      <c r="B48" s="40" t="s">
        <v>300</v>
      </c>
      <c r="C48" s="40"/>
      <c r="D48" s="41">
        <v>8</v>
      </c>
      <c r="E48" s="41">
        <v>1</v>
      </c>
      <c r="F48" s="40" t="s">
        <v>50</v>
      </c>
      <c r="G48" s="40" t="s">
        <v>255</v>
      </c>
      <c r="H48" s="42" t="s">
        <v>254</v>
      </c>
      <c r="I48" s="43"/>
      <c r="J48" s="43">
        <v>3</v>
      </c>
      <c r="K48" s="25" t="str">
        <f>VLOOKUP(J48,Key!$E$2:$F$9,2,FALSE)</f>
        <v>Study</v>
      </c>
      <c r="L48" s="42" t="s">
        <v>37</v>
      </c>
      <c r="M48" s="43" t="s">
        <v>37</v>
      </c>
      <c r="N48" s="42" t="s">
        <v>254</v>
      </c>
      <c r="O48" s="43"/>
      <c r="P48" s="43">
        <v>6</v>
      </c>
      <c r="Q48" s="25" t="str">
        <f>VLOOKUP(P48,Key!$E$2:$F$9,2,FALSE)</f>
        <v>Leisure/Social</v>
      </c>
      <c r="R48" s="25" t="str">
        <f t="shared" si="0"/>
        <v>Study-Leisure/Social</v>
      </c>
      <c r="S48" s="62"/>
      <c r="T48" s="62">
        <v>3</v>
      </c>
      <c r="U48" s="43">
        <v>1</v>
      </c>
      <c r="V48" s="43"/>
      <c r="W48" s="62"/>
      <c r="X48" s="62"/>
      <c r="Y48" s="63"/>
      <c r="Z48" s="76"/>
      <c r="AA48" s="25">
        <f>VLOOKUP(F48,'[1]Zones 1'!$A$2:$F$25426,6,FALSE)</f>
        <v>1438</v>
      </c>
      <c r="AB48" s="25">
        <f>VLOOKUP(L48,'[1]Zones 1'!$A$2:$F$25426,6,FALSE)</f>
        <v>651</v>
      </c>
    </row>
    <row r="49" spans="2:28" s="19" customFormat="1">
      <c r="B49" s="40" t="s">
        <v>301</v>
      </c>
      <c r="C49" s="40"/>
      <c r="D49" s="41">
        <v>12</v>
      </c>
      <c r="E49" s="41">
        <v>1</v>
      </c>
      <c r="F49" s="40" t="s">
        <v>50</v>
      </c>
      <c r="G49" s="40" t="s">
        <v>255</v>
      </c>
      <c r="H49" s="42" t="s">
        <v>254</v>
      </c>
      <c r="I49" s="43"/>
      <c r="J49" s="43">
        <v>3</v>
      </c>
      <c r="K49" s="25" t="str">
        <f>VLOOKUP(J49,Key!$E$2:$F$9,2,FALSE)</f>
        <v>Study</v>
      </c>
      <c r="L49" s="42" t="s">
        <v>37</v>
      </c>
      <c r="M49" s="43" t="s">
        <v>37</v>
      </c>
      <c r="N49" s="42" t="s">
        <v>254</v>
      </c>
      <c r="O49" s="43"/>
      <c r="P49" s="43">
        <v>7</v>
      </c>
      <c r="Q49" s="25" t="str">
        <f>VLOOKUP(P49,Key!$E$2:$F$9,2,FALSE)</f>
        <v>Hospital</v>
      </c>
      <c r="R49" s="25" t="str">
        <f t="shared" si="0"/>
        <v>Study-Hospital</v>
      </c>
      <c r="S49" s="62"/>
      <c r="T49" s="62">
        <v>0.2</v>
      </c>
      <c r="U49" s="43">
        <v>2</v>
      </c>
      <c r="V49" s="43"/>
      <c r="W49" s="62"/>
      <c r="X49" s="62"/>
      <c r="Y49" s="63"/>
      <c r="Z49" s="76"/>
      <c r="AA49" s="25">
        <f>VLOOKUP(F49,'[1]Zones 1'!$A$2:$F$25426,6,FALSE)</f>
        <v>1438</v>
      </c>
      <c r="AB49" s="25">
        <f>VLOOKUP(L49,'[1]Zones 1'!$A$2:$F$25426,6,FALSE)</f>
        <v>651</v>
      </c>
    </row>
    <row r="50" spans="2:28" s="19" customFormat="1">
      <c r="B50" s="40" t="s">
        <v>302</v>
      </c>
      <c r="C50" s="40"/>
      <c r="D50" s="41">
        <v>12</v>
      </c>
      <c r="E50" s="41">
        <v>1</v>
      </c>
      <c r="F50" s="40" t="s">
        <v>38</v>
      </c>
      <c r="G50" s="40" t="s">
        <v>37</v>
      </c>
      <c r="H50" s="42" t="s">
        <v>254</v>
      </c>
      <c r="I50" s="43"/>
      <c r="J50" s="43">
        <v>6</v>
      </c>
      <c r="K50" s="25" t="str">
        <f>VLOOKUP(J50,Key!$E$2:$F$9,2,FALSE)</f>
        <v>Leisure/Social</v>
      </c>
      <c r="L50" s="42" t="s">
        <v>37</v>
      </c>
      <c r="M50" s="43" t="s">
        <v>37</v>
      </c>
      <c r="N50" s="42" t="s">
        <v>254</v>
      </c>
      <c r="O50" s="43"/>
      <c r="P50" s="43">
        <v>3</v>
      </c>
      <c r="Q50" s="25" t="str">
        <f>VLOOKUP(P50,Key!$E$2:$F$9,2,FALSE)</f>
        <v>Study</v>
      </c>
      <c r="R50" s="25" t="str">
        <f t="shared" si="0"/>
        <v>Leisure/Social-Study</v>
      </c>
      <c r="S50" s="62"/>
      <c r="T50" s="62">
        <v>2</v>
      </c>
      <c r="U50" s="43">
        <v>2</v>
      </c>
      <c r="V50" s="43"/>
      <c r="W50" s="62"/>
      <c r="X50" s="62"/>
      <c r="Y50" s="63"/>
      <c r="Z50" s="76"/>
      <c r="AA50" s="25">
        <f>VLOOKUP(F50,'[1]Zones 1'!$A$2:$F$25426,6,FALSE)</f>
        <v>644</v>
      </c>
      <c r="AB50" s="25">
        <f>VLOOKUP(L50,'[1]Zones 1'!$A$2:$F$25426,6,FALSE)</f>
        <v>651</v>
      </c>
    </row>
    <row r="51" spans="2:28" s="19" customFormat="1">
      <c r="B51" s="40" t="s">
        <v>303</v>
      </c>
      <c r="C51" s="40"/>
      <c r="D51" s="41">
        <v>3</v>
      </c>
      <c r="E51" s="41">
        <v>1</v>
      </c>
      <c r="F51" s="40" t="s">
        <v>50</v>
      </c>
      <c r="G51" s="40" t="s">
        <v>255</v>
      </c>
      <c r="H51" s="42" t="s">
        <v>254</v>
      </c>
      <c r="I51" s="43"/>
      <c r="J51" s="43">
        <v>7</v>
      </c>
      <c r="K51" s="25" t="str">
        <f>VLOOKUP(J51,Key!$E$2:$F$9,2,FALSE)</f>
        <v>Hospital</v>
      </c>
      <c r="L51" s="42" t="s">
        <v>37</v>
      </c>
      <c r="M51" s="43" t="s">
        <v>37</v>
      </c>
      <c r="N51" s="42" t="s">
        <v>254</v>
      </c>
      <c r="O51" s="43"/>
      <c r="P51" s="43">
        <v>3</v>
      </c>
      <c r="Q51" s="25" t="str">
        <f>VLOOKUP(P51,Key!$E$2:$F$9,2,FALSE)</f>
        <v>Study</v>
      </c>
      <c r="R51" s="25" t="str">
        <f t="shared" si="0"/>
        <v>Hospital-Study</v>
      </c>
      <c r="S51" s="62"/>
      <c r="T51" s="62">
        <v>0</v>
      </c>
      <c r="U51" s="43">
        <v>3</v>
      </c>
      <c r="V51" s="43"/>
      <c r="W51" s="62"/>
      <c r="X51" s="62"/>
      <c r="Y51" s="63"/>
      <c r="Z51" s="76"/>
      <c r="AA51" s="25">
        <f>VLOOKUP(F51,'[1]Zones 1'!$A$2:$F$25426,6,FALSE)</f>
        <v>1438</v>
      </c>
      <c r="AB51" s="25">
        <f>VLOOKUP(L51,'[1]Zones 1'!$A$2:$F$25426,6,FALSE)</f>
        <v>651</v>
      </c>
    </row>
    <row r="52" spans="2:28" s="19" customFormat="1">
      <c r="B52" s="40" t="s">
        <v>304</v>
      </c>
      <c r="C52" s="40"/>
      <c r="D52" s="41">
        <v>12</v>
      </c>
      <c r="E52" s="41">
        <v>1</v>
      </c>
      <c r="F52" s="40" t="s">
        <v>38</v>
      </c>
      <c r="G52" s="40" t="s">
        <v>37</v>
      </c>
      <c r="H52" s="42" t="s">
        <v>254</v>
      </c>
      <c r="I52" s="43"/>
      <c r="J52" s="43">
        <v>3</v>
      </c>
      <c r="K52" s="25" t="str">
        <f>VLOOKUP(J52,Key!$E$2:$F$9,2,FALSE)</f>
        <v>Study</v>
      </c>
      <c r="L52" s="42" t="s">
        <v>37</v>
      </c>
      <c r="M52" s="43" t="s">
        <v>37</v>
      </c>
      <c r="N52" s="42" t="s">
        <v>254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Study-Work</v>
      </c>
      <c r="S52" s="62"/>
      <c r="T52" s="62">
        <v>0.1</v>
      </c>
      <c r="U52" s="43">
        <v>1</v>
      </c>
      <c r="V52" s="43"/>
      <c r="W52" s="62"/>
      <c r="X52" s="62"/>
      <c r="Y52" s="63"/>
      <c r="Z52" s="76"/>
      <c r="AA52" s="25">
        <f>VLOOKUP(F52,'[1]Zones 1'!$A$2:$F$25426,6,FALSE)</f>
        <v>644</v>
      </c>
      <c r="AB52" s="25">
        <f>VLOOKUP(L52,'[1]Zones 1'!$A$2:$F$25426,6,FALSE)</f>
        <v>651</v>
      </c>
    </row>
    <row r="53" spans="2:28" s="19" customFormat="1">
      <c r="B53" s="40" t="s">
        <v>305</v>
      </c>
      <c r="C53" s="40"/>
      <c r="D53" s="41">
        <v>5</v>
      </c>
      <c r="E53" s="41">
        <v>1</v>
      </c>
      <c r="F53" s="40" t="s">
        <v>38</v>
      </c>
      <c r="G53" s="40" t="s">
        <v>37</v>
      </c>
      <c r="H53" s="42" t="s">
        <v>254</v>
      </c>
      <c r="I53" s="43"/>
      <c r="J53" s="43">
        <v>3</v>
      </c>
      <c r="K53" s="25" t="str">
        <f>VLOOKUP(J53,Key!$E$2:$F$9,2,FALSE)</f>
        <v>Study</v>
      </c>
      <c r="L53" s="42" t="s">
        <v>37</v>
      </c>
      <c r="M53" s="43" t="s">
        <v>37</v>
      </c>
      <c r="N53" s="42" t="s">
        <v>254</v>
      </c>
      <c r="O53" s="43"/>
      <c r="P53" s="43">
        <v>5</v>
      </c>
      <c r="Q53" s="25" t="str">
        <f>VLOOKUP(P53,Key!$E$2:$F$9,2,FALSE)</f>
        <v>Tourism</v>
      </c>
      <c r="R53" s="25" t="str">
        <f t="shared" si="0"/>
        <v>Study-Tourism</v>
      </c>
      <c r="S53" s="62"/>
      <c r="T53" s="62">
        <v>3</v>
      </c>
      <c r="U53" s="43">
        <v>2</v>
      </c>
      <c r="V53" s="43">
        <v>6</v>
      </c>
      <c r="W53" s="62"/>
      <c r="X53" s="62"/>
      <c r="Y53" s="63"/>
      <c r="Z53" s="76"/>
      <c r="AA53" s="25">
        <f>VLOOKUP(F53,'[1]Zones 1'!$A$2:$F$25426,6,FALSE)</f>
        <v>644</v>
      </c>
      <c r="AB53" s="25">
        <f>VLOOKUP(L53,'[1]Zones 1'!$A$2:$F$25426,6,FALSE)</f>
        <v>651</v>
      </c>
    </row>
    <row r="54" spans="2:28" s="19" customFormat="1">
      <c r="B54" s="40" t="s">
        <v>306</v>
      </c>
      <c r="C54" s="40"/>
      <c r="D54" s="41">
        <v>3</v>
      </c>
      <c r="E54" s="41">
        <v>1</v>
      </c>
      <c r="F54" s="40" t="s">
        <v>38</v>
      </c>
      <c r="G54" s="40" t="s">
        <v>37</v>
      </c>
      <c r="H54" s="42" t="s">
        <v>254</v>
      </c>
      <c r="I54" s="43"/>
      <c r="J54" s="43">
        <v>1</v>
      </c>
      <c r="K54" s="25" t="str">
        <f>VLOOKUP(J54,Key!$E$2:$F$9,2,FALSE)</f>
        <v>Home</v>
      </c>
      <c r="L54" s="42" t="s">
        <v>37</v>
      </c>
      <c r="M54" s="43" t="s">
        <v>37</v>
      </c>
      <c r="N54" s="42" t="s">
        <v>254</v>
      </c>
      <c r="O54" s="43"/>
      <c r="P54" s="43">
        <v>4</v>
      </c>
      <c r="Q54" s="25" t="str">
        <f>VLOOKUP(P54,Key!$E$2:$F$9,2,FALSE)</f>
        <v>Commercial</v>
      </c>
      <c r="R54" s="25" t="str">
        <f t="shared" si="0"/>
        <v>Home-Commercial</v>
      </c>
      <c r="S54" s="62"/>
      <c r="T54" s="62">
        <v>3</v>
      </c>
      <c r="U54" s="43">
        <v>2</v>
      </c>
      <c r="V54" s="43"/>
      <c r="W54" s="62"/>
      <c r="X54" s="62"/>
      <c r="Y54" s="63"/>
      <c r="Z54" s="76"/>
      <c r="AA54" s="25">
        <f>VLOOKUP(F54,'[1]Zones 1'!$A$2:$F$25426,6,FALSE)</f>
        <v>644</v>
      </c>
      <c r="AB54" s="25">
        <f>VLOOKUP(L54,'[1]Zones 1'!$A$2:$F$25426,6,FALSE)</f>
        <v>651</v>
      </c>
    </row>
    <row r="55" spans="2:28" s="19" customFormat="1">
      <c r="B55" s="40" t="s">
        <v>307</v>
      </c>
      <c r="C55" s="40"/>
      <c r="D55" s="41">
        <v>3</v>
      </c>
      <c r="E55" s="41">
        <v>6</v>
      </c>
      <c r="F55" s="40" t="s">
        <v>38</v>
      </c>
      <c r="G55" s="40" t="s">
        <v>37</v>
      </c>
      <c r="H55" s="42" t="s">
        <v>254</v>
      </c>
      <c r="I55" s="43"/>
      <c r="J55" s="43">
        <v>2</v>
      </c>
      <c r="K55" s="25" t="str">
        <f>VLOOKUP(J55,Key!$E$2:$F$9,2,FALSE)</f>
        <v>Work</v>
      </c>
      <c r="L55" s="42" t="s">
        <v>37</v>
      </c>
      <c r="M55" s="43" t="s">
        <v>37</v>
      </c>
      <c r="N55" s="42" t="s">
        <v>254</v>
      </c>
      <c r="O55" s="43"/>
      <c r="P55" s="43">
        <v>1</v>
      </c>
      <c r="Q55" s="25" t="str">
        <f>VLOOKUP(P55,Key!$E$2:$F$9,2,FALSE)</f>
        <v>Home</v>
      </c>
      <c r="R55" s="25" t="str">
        <f t="shared" si="0"/>
        <v>Work-Home</v>
      </c>
      <c r="S55" s="62"/>
      <c r="T55" s="62">
        <v>3</v>
      </c>
      <c r="U55" s="43">
        <v>2</v>
      </c>
      <c r="V55" s="43">
        <v>6</v>
      </c>
      <c r="W55" s="62"/>
      <c r="X55" s="62"/>
      <c r="Y55" s="63"/>
      <c r="Z55" s="76"/>
      <c r="AA55" s="25">
        <f>VLOOKUP(F55,'[1]Zones 1'!$A$2:$F$25426,6,FALSE)</f>
        <v>644</v>
      </c>
      <c r="AB55" s="25">
        <f>VLOOKUP(L55,'[1]Zones 1'!$A$2:$F$25426,6,FALSE)</f>
        <v>651</v>
      </c>
    </row>
    <row r="56" spans="2:28" s="19" customFormat="1">
      <c r="B56" s="40" t="s">
        <v>308</v>
      </c>
      <c r="C56" s="40"/>
      <c r="D56" s="41">
        <v>3</v>
      </c>
      <c r="E56" s="41">
        <v>1</v>
      </c>
      <c r="F56" s="40" t="s">
        <v>38</v>
      </c>
      <c r="G56" s="40" t="s">
        <v>37</v>
      </c>
      <c r="H56" s="42" t="s">
        <v>254</v>
      </c>
      <c r="I56" s="43"/>
      <c r="J56" s="43">
        <v>1</v>
      </c>
      <c r="K56" s="25" t="str">
        <f>VLOOKUP(J56,Key!$E$2:$F$9,2,FALSE)</f>
        <v>Home</v>
      </c>
      <c r="L56" s="42" t="s">
        <v>37</v>
      </c>
      <c r="M56" s="43" t="s">
        <v>37</v>
      </c>
      <c r="N56" s="42" t="s">
        <v>254</v>
      </c>
      <c r="O56" s="43"/>
      <c r="P56" s="43">
        <v>1</v>
      </c>
      <c r="Q56" s="25" t="str">
        <f>VLOOKUP(P56,Key!$E$2:$F$9,2,FALSE)</f>
        <v>Home</v>
      </c>
      <c r="R56" s="25" t="str">
        <f t="shared" si="0"/>
        <v>Home-Home</v>
      </c>
      <c r="S56" s="62"/>
      <c r="T56" s="62">
        <v>0</v>
      </c>
      <c r="U56" s="43">
        <v>2</v>
      </c>
      <c r="V56" s="43"/>
      <c r="W56" s="62"/>
      <c r="X56" s="62"/>
      <c r="Y56" s="63"/>
      <c r="Z56" s="76"/>
      <c r="AA56" s="25">
        <f>VLOOKUP(F56,'[1]Zones 1'!$A$2:$F$25426,6,FALSE)</f>
        <v>644</v>
      </c>
      <c r="AB56" s="25">
        <f>VLOOKUP(L56,'[1]Zones 1'!$A$2:$F$25426,6,FALSE)</f>
        <v>651</v>
      </c>
    </row>
    <row r="57" spans="2:28" s="19" customFormat="1">
      <c r="B57" s="40" t="s">
        <v>309</v>
      </c>
      <c r="C57" s="40"/>
      <c r="D57" s="41">
        <v>8</v>
      </c>
      <c r="E57" s="41">
        <v>1</v>
      </c>
      <c r="F57" s="40" t="s">
        <v>38</v>
      </c>
      <c r="G57" s="40" t="s">
        <v>37</v>
      </c>
      <c r="H57" s="42" t="s">
        <v>254</v>
      </c>
      <c r="I57" s="43"/>
      <c r="J57" s="43">
        <v>5</v>
      </c>
      <c r="K57" s="25" t="str">
        <f>VLOOKUP(J57,Key!$E$2:$F$9,2,FALSE)</f>
        <v>Tourism</v>
      </c>
      <c r="L57" s="42" t="s">
        <v>69</v>
      </c>
      <c r="M57" s="43" t="s">
        <v>69</v>
      </c>
      <c r="N57" s="42" t="s">
        <v>254</v>
      </c>
      <c r="O57" s="43"/>
      <c r="P57" s="43">
        <v>1</v>
      </c>
      <c r="Q57" s="25" t="str">
        <f>VLOOKUP(P57,Key!$E$2:$F$9,2,FALSE)</f>
        <v>Home</v>
      </c>
      <c r="R57" s="25" t="str">
        <f t="shared" si="0"/>
        <v>Tourism-Home</v>
      </c>
      <c r="S57" s="62"/>
      <c r="T57" s="62">
        <v>3</v>
      </c>
      <c r="U57" s="43">
        <v>2</v>
      </c>
      <c r="V57" s="43"/>
      <c r="W57" s="62"/>
      <c r="X57" s="62"/>
      <c r="Y57" s="63"/>
      <c r="Z57" s="76"/>
      <c r="AA57" s="25">
        <f>VLOOKUP(F57,'[1]Zones 1'!$A$2:$F$25426,6,FALSE)</f>
        <v>644</v>
      </c>
      <c r="AB57" s="25">
        <f>VLOOKUP(L57,'[1]Zones 1'!$A$2:$F$25426,6,FALSE)</f>
        <v>987</v>
      </c>
    </row>
    <row r="58" spans="2:28" s="19" customFormat="1">
      <c r="B58" s="40" t="s">
        <v>310</v>
      </c>
      <c r="C58" s="40"/>
      <c r="D58" s="41">
        <v>8</v>
      </c>
      <c r="E58" s="41">
        <v>1</v>
      </c>
      <c r="F58" s="40" t="s">
        <v>50</v>
      </c>
      <c r="G58" s="40" t="s">
        <v>255</v>
      </c>
      <c r="H58" s="42" t="s">
        <v>254</v>
      </c>
      <c r="I58" s="43"/>
      <c r="J58" s="43">
        <v>6</v>
      </c>
      <c r="K58" s="25" t="str">
        <f>VLOOKUP(J58,Key!$E$2:$F$9,2,FALSE)</f>
        <v>Leisure/Social</v>
      </c>
      <c r="L58" s="42" t="s">
        <v>365</v>
      </c>
      <c r="M58" s="43" t="s">
        <v>365</v>
      </c>
      <c r="N58" s="42" t="s">
        <v>254</v>
      </c>
      <c r="O58" s="43"/>
      <c r="P58" s="43">
        <v>1</v>
      </c>
      <c r="Q58" s="25" t="str">
        <f>VLOOKUP(P58,Key!$E$2:$F$9,2,FALSE)</f>
        <v>Home</v>
      </c>
      <c r="R58" s="25" t="str">
        <f t="shared" si="0"/>
        <v>Leisure/Social-Home</v>
      </c>
      <c r="S58" s="62"/>
      <c r="T58" s="62">
        <v>0.3</v>
      </c>
      <c r="U58" s="43">
        <v>2</v>
      </c>
      <c r="V58" s="43"/>
      <c r="W58" s="62"/>
      <c r="X58" s="62"/>
      <c r="Y58" s="63"/>
      <c r="Z58" s="76"/>
      <c r="AA58" s="25">
        <f>VLOOKUP(F58,'[1]Zones 1'!$A$2:$F$25426,6,FALSE)</f>
        <v>1438</v>
      </c>
      <c r="AB58" s="25">
        <f>VLOOKUP(L58,'[1]Zones 1'!$A$2:$F$25426,6,FALSE)</f>
        <v>436</v>
      </c>
    </row>
    <row r="59" spans="2:28" s="19" customFormat="1">
      <c r="B59" s="40" t="s">
        <v>311</v>
      </c>
      <c r="C59" s="40"/>
      <c r="D59" s="41">
        <v>12</v>
      </c>
      <c r="E59" s="41">
        <v>1</v>
      </c>
      <c r="F59" s="40" t="s">
        <v>364</v>
      </c>
      <c r="G59" s="40" t="s">
        <v>37</v>
      </c>
      <c r="H59" s="42" t="s">
        <v>254</v>
      </c>
      <c r="I59" s="43"/>
      <c r="J59" s="43">
        <v>2</v>
      </c>
      <c r="K59" s="25" t="str">
        <f>VLOOKUP(J59,Key!$E$2:$F$9,2,FALSE)</f>
        <v>Work</v>
      </c>
      <c r="L59" s="42" t="s">
        <v>37</v>
      </c>
      <c r="M59" s="43" t="s">
        <v>37</v>
      </c>
      <c r="N59" s="42" t="s">
        <v>254</v>
      </c>
      <c r="O59" s="43"/>
      <c r="P59" s="43">
        <v>1</v>
      </c>
      <c r="Q59" s="25" t="str">
        <f>VLOOKUP(P59,Key!$E$2:$F$9,2,FALSE)</f>
        <v>Home</v>
      </c>
      <c r="R59" s="25" t="str">
        <f t="shared" si="0"/>
        <v>Work-Home</v>
      </c>
      <c r="S59" s="62"/>
      <c r="T59" s="62">
        <v>0</v>
      </c>
      <c r="U59" s="43">
        <v>2</v>
      </c>
      <c r="V59" s="43"/>
      <c r="W59" s="62"/>
      <c r="X59" s="62"/>
      <c r="Y59" s="63"/>
      <c r="Z59" s="76"/>
      <c r="AA59" s="25">
        <f>VLOOKUP(F59,'[1]Zones 1'!$A$2:$F$25426,6,FALSE)</f>
        <v>659</v>
      </c>
      <c r="AB59" s="25">
        <f>VLOOKUP(L59,'[1]Zones 1'!$A$2:$F$25426,6,FALSE)</f>
        <v>651</v>
      </c>
    </row>
    <row r="60" spans="2:28" s="19" customFormat="1">
      <c r="B60" s="40" t="s">
        <v>312</v>
      </c>
      <c r="C60" s="40"/>
      <c r="D60" s="41">
        <v>3</v>
      </c>
      <c r="E60" s="41">
        <v>1</v>
      </c>
      <c r="F60" s="40" t="s">
        <v>50</v>
      </c>
      <c r="G60" s="40" t="s">
        <v>255</v>
      </c>
      <c r="H60" s="42" t="s">
        <v>254</v>
      </c>
      <c r="I60" s="43"/>
      <c r="J60" s="43">
        <v>4</v>
      </c>
      <c r="K60" s="25" t="str">
        <f>VLOOKUP(J60,Key!$E$2:$F$9,2,FALSE)</f>
        <v>Commercial</v>
      </c>
      <c r="L60" s="42" t="s">
        <v>37</v>
      </c>
      <c r="M60" s="43" t="s">
        <v>37</v>
      </c>
      <c r="N60" s="42" t="s">
        <v>254</v>
      </c>
      <c r="O60" s="43"/>
      <c r="P60" s="43">
        <v>1</v>
      </c>
      <c r="Q60" s="25" t="str">
        <f>VLOOKUP(P60,Key!$E$2:$F$9,2,FALSE)</f>
        <v>Home</v>
      </c>
      <c r="R60" s="25" t="str">
        <f t="shared" si="0"/>
        <v>Commercial-Home</v>
      </c>
      <c r="S60" s="62"/>
      <c r="T60" s="62">
        <v>1</v>
      </c>
      <c r="U60" s="43">
        <v>2</v>
      </c>
      <c r="V60" s="43"/>
      <c r="W60" s="62"/>
      <c r="X60" s="62"/>
      <c r="Y60" s="63"/>
      <c r="Z60" s="76"/>
      <c r="AA60" s="25">
        <f>VLOOKUP(F60,'[1]Zones 1'!$A$2:$F$25426,6,FALSE)</f>
        <v>1438</v>
      </c>
      <c r="AB60" s="25">
        <f>VLOOKUP(L60,'[1]Zones 1'!$A$2:$F$25426,6,FALSE)</f>
        <v>651</v>
      </c>
    </row>
    <row r="61" spans="2:28" s="19" customFormat="1">
      <c r="B61" s="40" t="s">
        <v>313</v>
      </c>
      <c r="C61" s="40"/>
      <c r="D61" s="41">
        <v>12</v>
      </c>
      <c r="E61" s="41">
        <v>1</v>
      </c>
      <c r="F61" s="40" t="s">
        <v>38</v>
      </c>
      <c r="G61" s="40" t="s">
        <v>37</v>
      </c>
      <c r="H61" s="42" t="s">
        <v>254</v>
      </c>
      <c r="I61" s="43"/>
      <c r="J61" s="43">
        <v>4</v>
      </c>
      <c r="K61" s="25" t="str">
        <f>VLOOKUP(J61,Key!$E$2:$F$9,2,FALSE)</f>
        <v>Commercial</v>
      </c>
      <c r="L61" s="42" t="s">
        <v>37</v>
      </c>
      <c r="M61" s="43" t="s">
        <v>37</v>
      </c>
      <c r="N61" s="42" t="s">
        <v>254</v>
      </c>
      <c r="O61" s="43"/>
      <c r="P61" s="43">
        <v>1</v>
      </c>
      <c r="Q61" s="25" t="str">
        <f>VLOOKUP(P61,Key!$E$2:$F$9,2,FALSE)</f>
        <v>Home</v>
      </c>
      <c r="R61" s="25" t="str">
        <f t="shared" si="0"/>
        <v>Commercial-Home</v>
      </c>
      <c r="S61" s="62"/>
      <c r="T61" s="62">
        <v>3</v>
      </c>
      <c r="U61" s="43">
        <v>2</v>
      </c>
      <c r="V61" s="43"/>
      <c r="W61" s="62"/>
      <c r="X61" s="62"/>
      <c r="Y61" s="63"/>
      <c r="Z61" s="76"/>
      <c r="AA61" s="25">
        <f>VLOOKUP(F61,'[1]Zones 1'!$A$2:$F$25426,6,FALSE)</f>
        <v>644</v>
      </c>
      <c r="AB61" s="25">
        <f>VLOOKUP(L61,'[1]Zones 1'!$A$2:$F$25426,6,FALSE)</f>
        <v>651</v>
      </c>
    </row>
    <row r="62" spans="2:28" s="19" customFormat="1">
      <c r="B62" s="40" t="s">
        <v>314</v>
      </c>
      <c r="C62" s="40"/>
      <c r="D62" s="41">
        <v>3</v>
      </c>
      <c r="E62" s="41">
        <v>2</v>
      </c>
      <c r="F62" s="40" t="s">
        <v>38</v>
      </c>
      <c r="G62" s="40" t="s">
        <v>37</v>
      </c>
      <c r="H62" s="42" t="s">
        <v>254</v>
      </c>
      <c r="I62" s="43"/>
      <c r="J62" s="43">
        <v>4</v>
      </c>
      <c r="K62" s="25" t="str">
        <f>VLOOKUP(J62,Key!$E$2:$F$9,2,FALSE)</f>
        <v>Commercial</v>
      </c>
      <c r="L62" s="42" t="s">
        <v>67</v>
      </c>
      <c r="M62" s="43" t="s">
        <v>37</v>
      </c>
      <c r="N62" s="42" t="s">
        <v>254</v>
      </c>
      <c r="O62" s="43"/>
      <c r="P62" s="43">
        <v>1</v>
      </c>
      <c r="Q62" s="25" t="str">
        <f>VLOOKUP(P62,Key!$E$2:$F$9,2,FALSE)</f>
        <v>Home</v>
      </c>
      <c r="R62" s="25" t="str">
        <f t="shared" si="0"/>
        <v>Commercial-Home</v>
      </c>
      <c r="S62" s="62"/>
      <c r="T62" s="62">
        <v>0</v>
      </c>
      <c r="U62" s="43">
        <v>4</v>
      </c>
      <c r="V62" s="43"/>
      <c r="W62" s="62"/>
      <c r="X62" s="62"/>
      <c r="Y62" s="63"/>
      <c r="Z62" s="76"/>
      <c r="AA62" s="25">
        <f>VLOOKUP(F62,'[1]Zones 1'!$A$2:$F$25426,6,FALSE)</f>
        <v>644</v>
      </c>
      <c r="AB62" s="25">
        <f>VLOOKUP(L62,'[1]Zones 1'!$A$2:$F$25426,6,FALSE)</f>
        <v>521</v>
      </c>
    </row>
    <row r="63" spans="2:28" s="19" customFormat="1">
      <c r="B63" s="40" t="s">
        <v>315</v>
      </c>
      <c r="C63" s="40"/>
      <c r="D63" s="41">
        <v>2</v>
      </c>
      <c r="E63" s="41">
        <v>2</v>
      </c>
      <c r="F63" s="40" t="s">
        <v>38</v>
      </c>
      <c r="G63" s="40" t="s">
        <v>37</v>
      </c>
      <c r="H63" s="42" t="s">
        <v>254</v>
      </c>
      <c r="I63" s="43"/>
      <c r="J63" s="43">
        <v>4</v>
      </c>
      <c r="K63" s="25" t="str">
        <f>VLOOKUP(J63,Key!$E$2:$F$9,2,FALSE)</f>
        <v>Commercial</v>
      </c>
      <c r="L63" s="42" t="s">
        <v>37</v>
      </c>
      <c r="M63" s="43" t="s">
        <v>241</v>
      </c>
      <c r="N63" s="42" t="s">
        <v>254</v>
      </c>
      <c r="O63" s="43"/>
      <c r="P63" s="43">
        <v>1</v>
      </c>
      <c r="Q63" s="25" t="str">
        <f>VLOOKUP(P63,Key!$E$2:$F$9,2,FALSE)</f>
        <v>Home</v>
      </c>
      <c r="R63" s="25" t="str">
        <f t="shared" si="0"/>
        <v>Commercial-Home</v>
      </c>
      <c r="S63" s="62"/>
      <c r="T63" s="62">
        <v>0</v>
      </c>
      <c r="U63" s="43">
        <v>4</v>
      </c>
      <c r="V63" s="43"/>
      <c r="W63" s="62"/>
      <c r="X63" s="62"/>
      <c r="Y63" s="63"/>
      <c r="Z63" s="76"/>
      <c r="AA63" s="25">
        <f>VLOOKUP(F63,'[1]Zones 1'!$A$2:$F$25426,6,FALSE)</f>
        <v>644</v>
      </c>
      <c r="AB63" s="25">
        <f>VLOOKUP(L63,'[1]Zones 1'!$A$2:$F$25426,6,FALSE)</f>
        <v>651</v>
      </c>
    </row>
    <row r="64" spans="2:28" s="19" customFormat="1">
      <c r="B64" s="40" t="s">
        <v>316</v>
      </c>
      <c r="C64" s="40"/>
      <c r="D64" s="41">
        <v>2</v>
      </c>
      <c r="E64" s="41">
        <v>2</v>
      </c>
      <c r="F64" s="40" t="s">
        <v>50</v>
      </c>
      <c r="G64" s="40" t="s">
        <v>255</v>
      </c>
      <c r="H64" s="42" t="s">
        <v>254</v>
      </c>
      <c r="I64" s="43"/>
      <c r="J64" s="43">
        <v>4</v>
      </c>
      <c r="K64" s="25" t="str">
        <f>VLOOKUP(J64,Key!$E$2:$F$9,2,FALSE)</f>
        <v>Commercial</v>
      </c>
      <c r="L64" s="42" t="s">
        <v>37</v>
      </c>
      <c r="M64" s="43" t="s">
        <v>37</v>
      </c>
      <c r="N64" s="42" t="s">
        <v>254</v>
      </c>
      <c r="O64" s="43"/>
      <c r="P64" s="43">
        <v>1</v>
      </c>
      <c r="Q64" s="25" t="str">
        <f>VLOOKUP(P64,Key!$E$2:$F$9,2,FALSE)</f>
        <v>Home</v>
      </c>
      <c r="R64" s="25" t="str">
        <f t="shared" si="0"/>
        <v>Commercial-Home</v>
      </c>
      <c r="S64" s="62"/>
      <c r="T64" s="62">
        <v>1</v>
      </c>
      <c r="U64" s="43">
        <v>3</v>
      </c>
      <c r="V64" s="43"/>
      <c r="W64" s="62"/>
      <c r="X64" s="62"/>
      <c r="Y64" s="63"/>
      <c r="Z64" s="76"/>
      <c r="AA64" s="25">
        <f>VLOOKUP(F64,'[1]Zones 1'!$A$2:$F$25426,6,FALSE)</f>
        <v>1438</v>
      </c>
      <c r="AB64" s="25">
        <f>VLOOKUP(L64,'[1]Zones 1'!$A$2:$F$25426,6,FALSE)</f>
        <v>651</v>
      </c>
    </row>
    <row r="65" spans="2:28" s="19" customFormat="1">
      <c r="B65" s="40" t="s">
        <v>317</v>
      </c>
      <c r="C65" s="40"/>
      <c r="D65" s="41">
        <v>12</v>
      </c>
      <c r="E65" s="41">
        <v>2</v>
      </c>
      <c r="F65" s="40" t="s">
        <v>38</v>
      </c>
      <c r="G65" s="40" t="s">
        <v>37</v>
      </c>
      <c r="H65" s="42" t="s">
        <v>254</v>
      </c>
      <c r="I65" s="43"/>
      <c r="J65" s="43">
        <v>6</v>
      </c>
      <c r="K65" s="25" t="str">
        <f>VLOOKUP(J65,Key!$E$2:$F$9,2,FALSE)</f>
        <v>Leisure/Social</v>
      </c>
      <c r="L65" s="42" t="s">
        <v>37</v>
      </c>
      <c r="M65" s="43" t="s">
        <v>37</v>
      </c>
      <c r="N65" s="42" t="s">
        <v>254</v>
      </c>
      <c r="O65" s="43"/>
      <c r="P65" s="43">
        <v>1</v>
      </c>
      <c r="Q65" s="25" t="str">
        <f>VLOOKUP(P65,Key!$E$2:$F$9,2,FALSE)</f>
        <v>Home</v>
      </c>
      <c r="R65" s="25" t="str">
        <f t="shared" si="0"/>
        <v>Leisure/Social-Home</v>
      </c>
      <c r="S65" s="62"/>
      <c r="T65" s="62">
        <v>1</v>
      </c>
      <c r="U65" s="43">
        <v>3</v>
      </c>
      <c r="V65" s="43">
        <v>9</v>
      </c>
      <c r="W65" s="62"/>
      <c r="X65" s="62"/>
      <c r="Y65" s="63"/>
      <c r="Z65" s="76"/>
      <c r="AA65" s="25">
        <f>VLOOKUP(F65,'[1]Zones 1'!$A$2:$F$25426,6,FALSE)</f>
        <v>644</v>
      </c>
      <c r="AB65" s="25">
        <f>VLOOKUP(L65,'[1]Zones 1'!$A$2:$F$25426,6,FALSE)</f>
        <v>651</v>
      </c>
    </row>
    <row r="66" spans="2:28" s="19" customFormat="1">
      <c r="B66" s="40" t="s">
        <v>318</v>
      </c>
      <c r="C66" s="40"/>
      <c r="D66" s="41">
        <v>5</v>
      </c>
      <c r="E66" s="41">
        <v>2</v>
      </c>
      <c r="F66" s="40" t="s">
        <v>38</v>
      </c>
      <c r="G66" s="40" t="s">
        <v>37</v>
      </c>
      <c r="H66" s="42" t="s">
        <v>254</v>
      </c>
      <c r="I66" s="43"/>
      <c r="J66" s="43">
        <v>4</v>
      </c>
      <c r="K66" s="25" t="str">
        <f>VLOOKUP(J66,Key!$E$2:$F$9,2,FALSE)</f>
        <v>Commercial</v>
      </c>
      <c r="L66" s="42" t="s">
        <v>37</v>
      </c>
      <c r="M66" s="43" t="s">
        <v>37</v>
      </c>
      <c r="N66" s="42" t="s">
        <v>254</v>
      </c>
      <c r="O66" s="43"/>
      <c r="P66" s="43">
        <v>1</v>
      </c>
      <c r="Q66" s="25" t="str">
        <f>VLOOKUP(P66,Key!$E$2:$F$9,2,FALSE)</f>
        <v>Home</v>
      </c>
      <c r="R66" s="25" t="str">
        <f t="shared" si="0"/>
        <v>Commercial-Home</v>
      </c>
      <c r="S66" s="62"/>
      <c r="T66" s="62">
        <v>5</v>
      </c>
      <c r="U66" s="43">
        <v>3</v>
      </c>
      <c r="V66" s="43"/>
      <c r="W66" s="62"/>
      <c r="X66" s="62"/>
      <c r="Y66" s="63"/>
      <c r="Z66" s="76"/>
      <c r="AA66" s="25">
        <f>VLOOKUP(F66,'[1]Zones 1'!$A$2:$F$25426,6,FALSE)</f>
        <v>644</v>
      </c>
      <c r="AB66" s="25">
        <f>VLOOKUP(L66,'[1]Zones 1'!$A$2:$F$25426,6,FALSE)</f>
        <v>651</v>
      </c>
    </row>
    <row r="67" spans="2:28" s="19" customFormat="1">
      <c r="B67" s="40" t="s">
        <v>319</v>
      </c>
      <c r="C67" s="40"/>
      <c r="D67" s="41">
        <v>2</v>
      </c>
      <c r="E67" s="41">
        <v>2</v>
      </c>
      <c r="F67" s="40" t="s">
        <v>38</v>
      </c>
      <c r="G67" s="40" t="s">
        <v>37</v>
      </c>
      <c r="H67" s="42" t="s">
        <v>254</v>
      </c>
      <c r="I67" s="43"/>
      <c r="J67" s="43">
        <v>3</v>
      </c>
      <c r="K67" s="25" t="str">
        <f>VLOOKUP(J67,Key!$E$2:$F$9,2,FALSE)</f>
        <v>Study</v>
      </c>
      <c r="L67" s="42" t="s">
        <v>37</v>
      </c>
      <c r="M67" s="43" t="s">
        <v>37</v>
      </c>
      <c r="N67" s="42" t="s">
        <v>254</v>
      </c>
      <c r="O67" s="43"/>
      <c r="P67" s="43">
        <v>1</v>
      </c>
      <c r="Q67" s="25" t="str">
        <f>VLOOKUP(P67,Key!$E$2:$F$9,2,FALSE)</f>
        <v>Home</v>
      </c>
      <c r="R67" s="25" t="str">
        <f t="shared" si="0"/>
        <v>Study-Home</v>
      </c>
      <c r="S67" s="62"/>
      <c r="T67" s="62">
        <v>3</v>
      </c>
      <c r="U67" s="43">
        <v>1</v>
      </c>
      <c r="V67" s="43">
        <v>10</v>
      </c>
      <c r="W67" s="62"/>
      <c r="X67" s="62"/>
      <c r="Y67" s="63"/>
      <c r="Z67" s="76"/>
      <c r="AA67" s="25">
        <f>VLOOKUP(F67,'[1]Zones 1'!$A$2:$F$25426,6,FALSE)</f>
        <v>644</v>
      </c>
      <c r="AB67" s="25">
        <f>VLOOKUP(L67,'[1]Zones 1'!$A$2:$F$25426,6,FALSE)</f>
        <v>651</v>
      </c>
    </row>
    <row r="68" spans="2:28" s="19" customFormat="1">
      <c r="B68" s="40" t="s">
        <v>320</v>
      </c>
      <c r="C68" s="40"/>
      <c r="D68" s="41">
        <v>3</v>
      </c>
      <c r="E68" s="41">
        <v>2</v>
      </c>
      <c r="F68" s="40" t="s">
        <v>38</v>
      </c>
      <c r="G68" s="40" t="s">
        <v>37</v>
      </c>
      <c r="H68" s="42" t="s">
        <v>254</v>
      </c>
      <c r="I68" s="43"/>
      <c r="J68" s="43">
        <v>3</v>
      </c>
      <c r="K68" s="25" t="str">
        <f>VLOOKUP(J68,Key!$E$2:$F$9,2,FALSE)</f>
        <v>Study</v>
      </c>
      <c r="L68" s="42" t="s">
        <v>69</v>
      </c>
      <c r="M68" s="43" t="s">
        <v>69</v>
      </c>
      <c r="N68" s="42" t="s">
        <v>254</v>
      </c>
      <c r="O68" s="43"/>
      <c r="P68" s="43">
        <v>1</v>
      </c>
      <c r="Q68" s="25" t="str">
        <f>VLOOKUP(P68,Key!$E$2:$F$9,2,FALSE)</f>
        <v>Home</v>
      </c>
      <c r="R68" s="25" t="str">
        <f t="shared" si="0"/>
        <v>Study-Home</v>
      </c>
      <c r="S68" s="62"/>
      <c r="T68" s="62">
        <v>2</v>
      </c>
      <c r="U68" s="43">
        <v>6</v>
      </c>
      <c r="V68" s="43"/>
      <c r="W68" s="62"/>
      <c r="X68" s="62"/>
      <c r="Y68" s="63"/>
      <c r="Z68" s="76"/>
      <c r="AA68" s="25">
        <f>VLOOKUP(F68,'[1]Zones 1'!$A$2:$F$25426,6,FALSE)</f>
        <v>644</v>
      </c>
      <c r="AB68" s="25">
        <f>VLOOKUP(L68,'[1]Zones 1'!$A$2:$F$25426,6,FALSE)</f>
        <v>987</v>
      </c>
    </row>
    <row r="69" spans="2:28" s="19" customFormat="1">
      <c r="B69" s="40" t="s">
        <v>321</v>
      </c>
      <c r="C69" s="40"/>
      <c r="D69" s="41">
        <v>3</v>
      </c>
      <c r="E69" s="41">
        <v>1</v>
      </c>
      <c r="F69" s="40" t="s">
        <v>38</v>
      </c>
      <c r="G69" s="40" t="s">
        <v>37</v>
      </c>
      <c r="H69" s="42" t="s">
        <v>254</v>
      </c>
      <c r="I69" s="43"/>
      <c r="J69" s="43">
        <v>2</v>
      </c>
      <c r="K69" s="25" t="str">
        <f>VLOOKUP(J69,Key!$E$2:$F$9,2,FALSE)</f>
        <v>Work</v>
      </c>
      <c r="L69" s="42" t="s">
        <v>37</v>
      </c>
      <c r="M69" s="43" t="s">
        <v>37</v>
      </c>
      <c r="N69" s="42" t="s">
        <v>254</v>
      </c>
      <c r="O69" s="43"/>
      <c r="P69" s="43">
        <v>1</v>
      </c>
      <c r="Q69" s="25" t="str">
        <f>VLOOKUP(P69,Key!$E$2:$F$9,2,FALSE)</f>
        <v>Home</v>
      </c>
      <c r="R69" s="25" t="str">
        <f t="shared" si="0"/>
        <v>Work-Home</v>
      </c>
      <c r="S69" s="62"/>
      <c r="T69" s="62">
        <v>0</v>
      </c>
      <c r="U69" s="43">
        <v>2</v>
      </c>
      <c r="V69" s="43">
        <v>3</v>
      </c>
      <c r="W69" s="62"/>
      <c r="X69" s="62"/>
      <c r="Y69" s="63"/>
      <c r="Z69" s="76"/>
      <c r="AA69" s="25">
        <f>VLOOKUP(F69,'[1]Zones 1'!$A$2:$F$25426,6,FALSE)</f>
        <v>644</v>
      </c>
      <c r="AB69" s="25">
        <f>VLOOKUP(L69,'[1]Zones 1'!$A$2:$F$25426,6,FALSE)</f>
        <v>651</v>
      </c>
    </row>
    <row r="70" spans="2:28" s="19" customFormat="1">
      <c r="B70" s="40" t="s">
        <v>322</v>
      </c>
      <c r="C70" s="40"/>
      <c r="D70" s="41">
        <v>5</v>
      </c>
      <c r="E70" s="41">
        <v>3</v>
      </c>
      <c r="F70" s="40" t="s">
        <v>50</v>
      </c>
      <c r="G70" s="40" t="s">
        <v>255</v>
      </c>
      <c r="H70" s="42" t="s">
        <v>254</v>
      </c>
      <c r="I70" s="43"/>
      <c r="J70" s="43">
        <v>2</v>
      </c>
      <c r="K70" s="25" t="str">
        <f>VLOOKUP(J70,Key!$E$2:$F$9,2,FALSE)</f>
        <v>Work</v>
      </c>
      <c r="L70" s="42" t="s">
        <v>37</v>
      </c>
      <c r="M70" s="43" t="s">
        <v>37</v>
      </c>
      <c r="N70" s="42" t="s">
        <v>254</v>
      </c>
      <c r="O70" s="43"/>
      <c r="P70" s="43">
        <v>1</v>
      </c>
      <c r="Q70" s="25" t="str">
        <f>VLOOKUP(P70,Key!$E$2:$F$9,2,FALSE)</f>
        <v>Home</v>
      </c>
      <c r="R70" s="25" t="str">
        <f t="shared" si="0"/>
        <v>Work-Home</v>
      </c>
      <c r="S70" s="62"/>
      <c r="T70" s="62">
        <v>4</v>
      </c>
      <c r="U70" s="43">
        <v>2</v>
      </c>
      <c r="V70" s="43"/>
      <c r="W70" s="62"/>
      <c r="X70" s="62"/>
      <c r="Y70" s="63"/>
      <c r="Z70" s="76"/>
      <c r="AA70" s="25">
        <f>VLOOKUP(F70,'[1]Zones 1'!$A$2:$F$25426,6,FALSE)</f>
        <v>1438</v>
      </c>
      <c r="AB70" s="25">
        <f>VLOOKUP(L70,'[1]Zones 1'!$A$2:$F$25426,6,FALSE)</f>
        <v>651</v>
      </c>
    </row>
    <row r="71" spans="2:28" s="19" customFormat="1">
      <c r="B71" s="40" t="s">
        <v>323</v>
      </c>
      <c r="C71" s="40"/>
      <c r="D71" s="41">
        <v>12</v>
      </c>
      <c r="E71" s="41">
        <v>2</v>
      </c>
      <c r="F71" s="40" t="s">
        <v>38</v>
      </c>
      <c r="G71" s="40" t="s">
        <v>37</v>
      </c>
      <c r="H71" s="42" t="s">
        <v>254</v>
      </c>
      <c r="I71" s="43"/>
      <c r="J71" s="43">
        <v>2</v>
      </c>
      <c r="K71" s="25" t="str">
        <f>VLOOKUP(J71,Key!$E$2:$F$9,2,FALSE)</f>
        <v>Work</v>
      </c>
      <c r="L71" s="42" t="s">
        <v>37</v>
      </c>
      <c r="M71" s="43" t="s">
        <v>37</v>
      </c>
      <c r="N71" s="42" t="s">
        <v>254</v>
      </c>
      <c r="O71" s="43"/>
      <c r="P71" s="43">
        <v>1</v>
      </c>
      <c r="Q71" s="25" t="str">
        <f>VLOOKUP(P71,Key!$E$2:$F$9,2,FALSE)</f>
        <v>Home</v>
      </c>
      <c r="R71" s="25" t="str">
        <f t="shared" si="0"/>
        <v>Work-Home</v>
      </c>
      <c r="S71" s="62"/>
      <c r="T71" s="62">
        <v>3</v>
      </c>
      <c r="U71" s="43">
        <v>3</v>
      </c>
      <c r="V71" s="43"/>
      <c r="W71" s="62"/>
      <c r="X71" s="62"/>
      <c r="Y71" s="63"/>
      <c r="Z71" s="76"/>
      <c r="AA71" s="25">
        <f>VLOOKUP(F71,'[1]Zones 1'!$A$2:$F$25426,6,FALSE)</f>
        <v>644</v>
      </c>
      <c r="AB71" s="25">
        <f>VLOOKUP(L71,'[1]Zones 1'!$A$2:$F$25426,6,FALSE)</f>
        <v>651</v>
      </c>
    </row>
    <row r="72" spans="2:28" s="19" customFormat="1">
      <c r="B72" s="40" t="s">
        <v>324</v>
      </c>
      <c r="C72" s="40"/>
      <c r="D72" s="41">
        <v>8</v>
      </c>
      <c r="E72" s="41">
        <v>2</v>
      </c>
      <c r="F72" s="40" t="s">
        <v>38</v>
      </c>
      <c r="G72" s="40" t="s">
        <v>37</v>
      </c>
      <c r="H72" s="42" t="s">
        <v>254</v>
      </c>
      <c r="I72" s="43"/>
      <c r="J72" s="43">
        <v>2</v>
      </c>
      <c r="K72" s="25" t="str">
        <f>VLOOKUP(J72,Key!$E$2:$F$9,2,FALSE)</f>
        <v>Work</v>
      </c>
      <c r="L72" s="42" t="s">
        <v>37</v>
      </c>
      <c r="M72" s="43" t="s">
        <v>37</v>
      </c>
      <c r="N72" s="42" t="s">
        <v>254</v>
      </c>
      <c r="O72" s="43"/>
      <c r="P72" s="43">
        <v>3</v>
      </c>
      <c r="Q72" s="25" t="str">
        <f>VLOOKUP(P72,Key!$E$2:$F$9,2,FALSE)</f>
        <v>Study</v>
      </c>
      <c r="R72" s="25" t="str">
        <f t="shared" si="0"/>
        <v>Work-Study</v>
      </c>
      <c r="S72" s="62"/>
      <c r="T72" s="62">
        <v>0</v>
      </c>
      <c r="U72" s="43">
        <v>3</v>
      </c>
      <c r="V72" s="43"/>
      <c r="W72" s="62"/>
      <c r="X72" s="62"/>
      <c r="Y72" s="63"/>
      <c r="Z72" s="76"/>
      <c r="AA72" s="25">
        <f>VLOOKUP(F72,'[1]Zones 1'!$A$2:$F$25426,6,FALSE)</f>
        <v>644</v>
      </c>
      <c r="AB72" s="25">
        <f>VLOOKUP(L72,'[1]Zones 1'!$A$2:$F$25426,6,FALSE)</f>
        <v>651</v>
      </c>
    </row>
    <row r="73" spans="2:28" s="19" customFormat="1">
      <c r="B73" s="40" t="s">
        <v>325</v>
      </c>
      <c r="C73" s="40"/>
      <c r="D73" s="41">
        <v>2</v>
      </c>
      <c r="E73" s="41">
        <v>2</v>
      </c>
      <c r="F73" s="40" t="s">
        <v>38</v>
      </c>
      <c r="G73" s="40" t="s">
        <v>37</v>
      </c>
      <c r="H73" s="42" t="s">
        <v>254</v>
      </c>
      <c r="I73" s="43"/>
      <c r="J73" s="43">
        <v>2</v>
      </c>
      <c r="K73" s="25" t="str">
        <f>VLOOKUP(J73,Key!$E$2:$F$9,2,FALSE)</f>
        <v>Work</v>
      </c>
      <c r="L73" s="42" t="s">
        <v>69</v>
      </c>
      <c r="M73" s="43" t="s">
        <v>69</v>
      </c>
      <c r="N73" s="42" t="s">
        <v>254</v>
      </c>
      <c r="O73" s="43"/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62"/>
      <c r="T73" s="62">
        <v>1</v>
      </c>
      <c r="U73" s="43">
        <v>4</v>
      </c>
      <c r="V73" s="43"/>
      <c r="W73" s="62"/>
      <c r="X73" s="62"/>
      <c r="Y73" s="63"/>
      <c r="Z73" s="76"/>
      <c r="AA73" s="25">
        <f>VLOOKUP(F73,'[1]Zones 1'!$A$2:$F$25426,6,FALSE)</f>
        <v>644</v>
      </c>
      <c r="AB73" s="25">
        <f>VLOOKUP(L73,'[1]Zones 1'!$A$2:$F$25426,6,FALSE)</f>
        <v>987</v>
      </c>
    </row>
    <row r="74" spans="2:28" s="19" customFormat="1">
      <c r="B74" s="40" t="s">
        <v>326</v>
      </c>
      <c r="C74" s="40"/>
      <c r="D74" s="41">
        <v>8</v>
      </c>
      <c r="E74" s="41">
        <v>1</v>
      </c>
      <c r="F74" s="40" t="s">
        <v>38</v>
      </c>
      <c r="G74" s="40" t="s">
        <v>37</v>
      </c>
      <c r="H74" s="42" t="s">
        <v>254</v>
      </c>
      <c r="I74" s="43"/>
      <c r="J74" s="43">
        <v>1</v>
      </c>
      <c r="K74" s="25" t="str">
        <f>VLOOKUP(J74,Key!$E$2:$F$9,2,FALSE)</f>
        <v>Home</v>
      </c>
      <c r="L74" s="42" t="s">
        <v>37</v>
      </c>
      <c r="M74" s="43" t="s">
        <v>37</v>
      </c>
      <c r="N74" s="42" t="s">
        <v>254</v>
      </c>
      <c r="O74" s="43"/>
      <c r="P74" s="43">
        <v>3</v>
      </c>
      <c r="Q74" s="25" t="str">
        <f>VLOOKUP(P74,Key!$E$2:$F$9,2,FALSE)</f>
        <v>Study</v>
      </c>
      <c r="R74" s="25" t="str">
        <f t="shared" ref="R74:R108" si="1">K74&amp;"-"&amp;Q74</f>
        <v>Home-Study</v>
      </c>
      <c r="S74" s="62"/>
      <c r="T74" s="62">
        <v>0</v>
      </c>
      <c r="U74" s="43">
        <v>1</v>
      </c>
      <c r="V74" s="43"/>
      <c r="W74" s="62"/>
      <c r="X74" s="62"/>
      <c r="Y74" s="63"/>
      <c r="Z74" s="76"/>
      <c r="AA74" s="25">
        <f>VLOOKUP(F74,'[1]Zones 1'!$A$2:$F$25426,6,FALSE)</f>
        <v>644</v>
      </c>
      <c r="AB74" s="25">
        <f>VLOOKUP(L74,'[1]Zones 1'!$A$2:$F$25426,6,FALSE)</f>
        <v>651</v>
      </c>
    </row>
    <row r="75" spans="2:28" s="19" customFormat="1">
      <c r="B75" s="40" t="s">
        <v>327</v>
      </c>
      <c r="C75" s="40"/>
      <c r="D75" s="41">
        <v>8</v>
      </c>
      <c r="E75" s="41">
        <v>1</v>
      </c>
      <c r="F75" s="40" t="s">
        <v>38</v>
      </c>
      <c r="G75" s="40" t="s">
        <v>37</v>
      </c>
      <c r="H75" s="42" t="s">
        <v>254</v>
      </c>
      <c r="I75" s="43"/>
      <c r="J75" s="43">
        <v>1</v>
      </c>
      <c r="K75" s="25" t="str">
        <f>VLOOKUP(J75,Key!$E$2:$F$9,2,FALSE)</f>
        <v>Home</v>
      </c>
      <c r="L75" s="42" t="s">
        <v>69</v>
      </c>
      <c r="M75" s="43" t="s">
        <v>69</v>
      </c>
      <c r="N75" s="42" t="s">
        <v>254</v>
      </c>
      <c r="O75" s="43"/>
      <c r="P75" s="43">
        <v>4</v>
      </c>
      <c r="Q75" s="25" t="str">
        <f>VLOOKUP(P75,Key!$E$2:$F$9,2,FALSE)</f>
        <v>Commercial</v>
      </c>
      <c r="R75" s="25" t="str">
        <f t="shared" si="1"/>
        <v>Home-Commercial</v>
      </c>
      <c r="S75" s="62"/>
      <c r="T75" s="62">
        <v>3</v>
      </c>
      <c r="U75" s="43">
        <v>2</v>
      </c>
      <c r="V75" s="43"/>
      <c r="W75" s="62"/>
      <c r="X75" s="62"/>
      <c r="Y75" s="63"/>
      <c r="Z75" s="76"/>
      <c r="AA75" s="25">
        <f>VLOOKUP(F75,'[1]Zones 1'!$A$2:$F$25426,6,FALSE)</f>
        <v>644</v>
      </c>
      <c r="AB75" s="25">
        <f>VLOOKUP(L75,'[1]Zones 1'!$A$2:$F$25426,6,FALSE)</f>
        <v>987</v>
      </c>
    </row>
    <row r="76" spans="2:28" s="19" customFormat="1">
      <c r="B76" s="40" t="s">
        <v>328</v>
      </c>
      <c r="C76" s="40"/>
      <c r="D76" s="41">
        <v>3</v>
      </c>
      <c r="E76" s="41">
        <v>1</v>
      </c>
      <c r="F76" s="40" t="s">
        <v>50</v>
      </c>
      <c r="G76" s="40" t="s">
        <v>255</v>
      </c>
      <c r="H76" s="42" t="s">
        <v>254</v>
      </c>
      <c r="I76" s="43"/>
      <c r="J76" s="43">
        <v>1</v>
      </c>
      <c r="K76" s="25" t="str">
        <f>VLOOKUP(J76,Key!$E$2:$F$9,2,FALSE)</f>
        <v>Home</v>
      </c>
      <c r="L76" s="42" t="s">
        <v>69</v>
      </c>
      <c r="M76" s="43" t="s">
        <v>69</v>
      </c>
      <c r="N76" s="42" t="s">
        <v>254</v>
      </c>
      <c r="O76" s="43"/>
      <c r="P76" s="43">
        <v>3</v>
      </c>
      <c r="Q76" s="25" t="str">
        <f>VLOOKUP(P76,Key!$E$2:$F$9,2,FALSE)</f>
        <v>Study</v>
      </c>
      <c r="R76" s="25" t="str">
        <f t="shared" si="1"/>
        <v>Home-Study</v>
      </c>
      <c r="S76" s="62"/>
      <c r="T76" s="62">
        <v>3</v>
      </c>
      <c r="U76" s="43">
        <v>2</v>
      </c>
      <c r="V76" s="43"/>
      <c r="W76" s="62"/>
      <c r="X76" s="62"/>
      <c r="Y76" s="63"/>
      <c r="Z76" s="76"/>
      <c r="AA76" s="25">
        <f>VLOOKUP(F76,'[1]Zones 1'!$A$2:$F$25426,6,FALSE)</f>
        <v>1438</v>
      </c>
      <c r="AB76" s="25">
        <f>VLOOKUP(L76,'[1]Zones 1'!$A$2:$F$25426,6,FALSE)</f>
        <v>987</v>
      </c>
    </row>
    <row r="77" spans="2:28" s="19" customFormat="1">
      <c r="B77" s="40" t="s">
        <v>329</v>
      </c>
      <c r="C77" s="40"/>
      <c r="D77" s="41">
        <v>12</v>
      </c>
      <c r="E77" s="41">
        <v>1</v>
      </c>
      <c r="F77" s="40" t="s">
        <v>38</v>
      </c>
      <c r="G77" s="40" t="s">
        <v>37</v>
      </c>
      <c r="H77" s="42" t="s">
        <v>254</v>
      </c>
      <c r="I77" s="43"/>
      <c r="J77" s="43">
        <v>1</v>
      </c>
      <c r="K77" s="25" t="str">
        <f>VLOOKUP(J77,Key!$E$2:$F$9,2,FALSE)</f>
        <v>Home</v>
      </c>
      <c r="L77" s="42" t="s">
        <v>67</v>
      </c>
      <c r="M77" s="43" t="s">
        <v>241</v>
      </c>
      <c r="N77" s="42" t="s">
        <v>254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2"/>
      <c r="T77" s="62">
        <v>10</v>
      </c>
      <c r="U77" s="43">
        <v>2</v>
      </c>
      <c r="V77" s="43"/>
      <c r="W77" s="62"/>
      <c r="X77" s="62"/>
      <c r="Y77" s="63"/>
      <c r="Z77" s="76"/>
      <c r="AA77" s="25">
        <f>VLOOKUP(F77,'[1]Zones 1'!$A$2:$F$25426,6,FALSE)</f>
        <v>644</v>
      </c>
      <c r="AB77" s="25">
        <f>VLOOKUP(L77,'[1]Zones 1'!$A$2:$F$25426,6,FALSE)</f>
        <v>521</v>
      </c>
    </row>
    <row r="78" spans="2:28" s="19" customFormat="1">
      <c r="B78" s="40" t="s">
        <v>330</v>
      </c>
      <c r="C78" s="40"/>
      <c r="D78" s="41">
        <v>3</v>
      </c>
      <c r="E78" s="41">
        <v>1</v>
      </c>
      <c r="F78" s="40" t="s">
        <v>50</v>
      </c>
      <c r="G78" s="40" t="s">
        <v>255</v>
      </c>
      <c r="H78" s="42" t="s">
        <v>254</v>
      </c>
      <c r="I78" s="43"/>
      <c r="J78" s="43">
        <v>1</v>
      </c>
      <c r="K78" s="25" t="str">
        <f>VLOOKUP(J78,Key!$E$2:$F$9,2,FALSE)</f>
        <v>Home</v>
      </c>
      <c r="L78" s="42" t="s">
        <v>37</v>
      </c>
      <c r="M78" s="43" t="s">
        <v>37</v>
      </c>
      <c r="N78" s="42" t="s">
        <v>254</v>
      </c>
      <c r="O78" s="43"/>
      <c r="P78" s="43">
        <v>1</v>
      </c>
      <c r="Q78" s="25" t="str">
        <f>VLOOKUP(P78,Key!$E$2:$F$9,2,FALSE)</f>
        <v>Home</v>
      </c>
      <c r="R78" s="25" t="str">
        <f t="shared" si="1"/>
        <v>Home-Home</v>
      </c>
      <c r="S78" s="62"/>
      <c r="T78" s="62">
        <v>4</v>
      </c>
      <c r="U78" s="43">
        <v>2</v>
      </c>
      <c r="V78" s="43"/>
      <c r="W78" s="62"/>
      <c r="X78" s="62"/>
      <c r="Y78" s="63"/>
      <c r="Z78" s="76"/>
      <c r="AA78" s="25">
        <f>VLOOKUP(F78,'[1]Zones 1'!$A$2:$F$25426,6,FALSE)</f>
        <v>1438</v>
      </c>
      <c r="AB78" s="25">
        <f>VLOOKUP(L78,'[1]Zones 1'!$A$2:$F$25426,6,FALSE)</f>
        <v>651</v>
      </c>
    </row>
    <row r="79" spans="2:28" s="19" customFormat="1">
      <c r="B79" s="40" t="s">
        <v>331</v>
      </c>
      <c r="C79" s="40"/>
      <c r="D79" s="41">
        <v>12</v>
      </c>
      <c r="E79" s="41">
        <v>2</v>
      </c>
      <c r="F79" s="40" t="s">
        <v>38</v>
      </c>
      <c r="G79" s="40" t="s">
        <v>37</v>
      </c>
      <c r="H79" s="42" t="s">
        <v>254</v>
      </c>
      <c r="I79" s="43"/>
      <c r="J79" s="43">
        <v>1</v>
      </c>
      <c r="K79" s="25" t="str">
        <f>VLOOKUP(J79,Key!$E$2:$F$9,2,FALSE)</f>
        <v>Home</v>
      </c>
      <c r="L79" s="42" t="s">
        <v>67</v>
      </c>
      <c r="M79" s="43" t="s">
        <v>241</v>
      </c>
      <c r="N79" s="42" t="s">
        <v>254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Home-Commercial</v>
      </c>
      <c r="S79" s="62"/>
      <c r="T79" s="62">
        <v>2</v>
      </c>
      <c r="U79" s="43">
        <v>2</v>
      </c>
      <c r="V79" s="43">
        <v>3</v>
      </c>
      <c r="W79" s="62"/>
      <c r="X79" s="62"/>
      <c r="Y79" s="63"/>
      <c r="Z79" s="76"/>
      <c r="AA79" s="25">
        <f>VLOOKUP(F79,'[1]Zones 1'!$A$2:$F$25426,6,FALSE)</f>
        <v>644</v>
      </c>
      <c r="AB79" s="25">
        <f>VLOOKUP(L79,'[1]Zones 1'!$A$2:$F$25426,6,FALSE)</f>
        <v>521</v>
      </c>
    </row>
    <row r="80" spans="2:28" s="19" customFormat="1">
      <c r="B80" s="40" t="s">
        <v>332</v>
      </c>
      <c r="C80" s="40"/>
      <c r="D80" s="41">
        <v>3</v>
      </c>
      <c r="E80" s="41">
        <v>3</v>
      </c>
      <c r="F80" s="40" t="s">
        <v>50</v>
      </c>
      <c r="G80" s="40" t="s">
        <v>255</v>
      </c>
      <c r="H80" s="42" t="s">
        <v>254</v>
      </c>
      <c r="I80" s="43"/>
      <c r="J80" s="43">
        <v>1</v>
      </c>
      <c r="K80" s="25" t="str">
        <f>VLOOKUP(J80,Key!$E$2:$F$9,2,FALSE)</f>
        <v>Home</v>
      </c>
      <c r="L80" s="42" t="s">
        <v>37</v>
      </c>
      <c r="M80" s="43" t="s">
        <v>37</v>
      </c>
      <c r="N80" s="42" t="s">
        <v>254</v>
      </c>
      <c r="O80" s="43"/>
      <c r="P80" s="43">
        <v>4</v>
      </c>
      <c r="Q80" s="25" t="str">
        <f>VLOOKUP(P80,Key!$E$2:$F$9,2,FALSE)</f>
        <v>Commercial</v>
      </c>
      <c r="R80" s="25" t="str">
        <f t="shared" si="1"/>
        <v>Home-Commercial</v>
      </c>
      <c r="S80" s="62"/>
      <c r="T80" s="62">
        <v>1</v>
      </c>
      <c r="U80" s="43">
        <v>3</v>
      </c>
      <c r="V80" s="43"/>
      <c r="W80" s="62"/>
      <c r="X80" s="62"/>
      <c r="Y80" s="63"/>
      <c r="Z80" s="76"/>
      <c r="AA80" s="25">
        <f>VLOOKUP(F80,'[1]Zones 1'!$A$2:$F$25426,6,FALSE)</f>
        <v>1438</v>
      </c>
      <c r="AB80" s="25">
        <f>VLOOKUP(L80,'[1]Zones 1'!$A$2:$F$25426,6,FALSE)</f>
        <v>651</v>
      </c>
    </row>
    <row r="81" spans="2:28" s="19" customFormat="1">
      <c r="B81" s="40" t="s">
        <v>333</v>
      </c>
      <c r="C81" s="40"/>
      <c r="D81" s="41">
        <v>13</v>
      </c>
      <c r="E81" s="41">
        <v>1</v>
      </c>
      <c r="F81" s="40" t="s">
        <v>50</v>
      </c>
      <c r="G81" s="40" t="s">
        <v>255</v>
      </c>
      <c r="H81" s="42" t="s">
        <v>254</v>
      </c>
      <c r="I81" s="43"/>
      <c r="J81" s="43">
        <v>2</v>
      </c>
      <c r="K81" s="25" t="str">
        <f>VLOOKUP(J81,Key!$E$2:$F$9,2,FALSE)</f>
        <v>Work</v>
      </c>
      <c r="L81" s="42" t="s">
        <v>65</v>
      </c>
      <c r="M81" s="43" t="s">
        <v>37</v>
      </c>
      <c r="N81" s="42" t="s">
        <v>254</v>
      </c>
      <c r="O81" s="43"/>
      <c r="P81" s="43">
        <v>3</v>
      </c>
      <c r="Q81" s="25" t="str">
        <f>VLOOKUP(P81,Key!$E$2:$F$9,2,FALSE)</f>
        <v>Study</v>
      </c>
      <c r="R81" s="25" t="str">
        <f t="shared" si="1"/>
        <v>Work-Study</v>
      </c>
      <c r="S81" s="62"/>
      <c r="T81" s="62">
        <v>0</v>
      </c>
      <c r="U81" s="43">
        <v>3</v>
      </c>
      <c r="V81" s="43"/>
      <c r="W81" s="62"/>
      <c r="X81" s="62"/>
      <c r="Y81" s="63"/>
      <c r="Z81" s="76"/>
      <c r="AA81" s="25">
        <f>VLOOKUP(F81,'[1]Zones 1'!$A$2:$F$25426,6,FALSE)</f>
        <v>1438</v>
      </c>
      <c r="AB81" s="25">
        <f>VLOOKUP(L81,'[1]Zones 1'!$A$2:$F$25426,6,FALSE)</f>
        <v>651</v>
      </c>
    </row>
    <row r="82" spans="2:28" s="19" customFormat="1">
      <c r="B82" s="40" t="s">
        <v>334</v>
      </c>
      <c r="C82" s="40"/>
      <c r="D82" s="41">
        <v>13</v>
      </c>
      <c r="E82" s="41">
        <v>1</v>
      </c>
      <c r="F82" s="40" t="s">
        <v>38</v>
      </c>
      <c r="G82" s="40" t="s">
        <v>37</v>
      </c>
      <c r="H82" s="42" t="s">
        <v>254</v>
      </c>
      <c r="I82" s="43"/>
      <c r="J82" s="43">
        <v>3</v>
      </c>
      <c r="K82" s="25" t="str">
        <f>VLOOKUP(J82,Key!$E$2:$F$9,2,FALSE)</f>
        <v>Study</v>
      </c>
      <c r="L82" s="42" t="s">
        <v>37</v>
      </c>
      <c r="M82" s="43" t="s">
        <v>37</v>
      </c>
      <c r="N82" s="42" t="s">
        <v>254</v>
      </c>
      <c r="O82" s="43"/>
      <c r="P82" s="43">
        <v>3</v>
      </c>
      <c r="Q82" s="25" t="str">
        <f>VLOOKUP(P82,Key!$E$2:$F$9,2,FALSE)</f>
        <v>Study</v>
      </c>
      <c r="R82" s="25" t="str">
        <f t="shared" si="1"/>
        <v>Study-Study</v>
      </c>
      <c r="S82" s="62"/>
      <c r="T82" s="62">
        <v>0.83333333333333337</v>
      </c>
      <c r="U82" s="43">
        <v>1</v>
      </c>
      <c r="V82" s="43"/>
      <c r="W82" s="62"/>
      <c r="X82" s="62"/>
      <c r="Y82" s="63"/>
      <c r="Z82" s="76"/>
      <c r="AA82" s="25">
        <f>VLOOKUP(F82,'[1]Zones 1'!$A$2:$F$25426,6,FALSE)</f>
        <v>644</v>
      </c>
      <c r="AB82" s="25">
        <f>VLOOKUP(L82,'[1]Zones 1'!$A$2:$F$25426,6,FALSE)</f>
        <v>651</v>
      </c>
    </row>
    <row r="83" spans="2:28" s="19" customFormat="1">
      <c r="B83" s="40" t="s">
        <v>335</v>
      </c>
      <c r="C83" s="40"/>
      <c r="D83" s="41">
        <v>2</v>
      </c>
      <c r="E83" s="41">
        <v>1</v>
      </c>
      <c r="F83" s="40" t="s">
        <v>38</v>
      </c>
      <c r="G83" s="40" t="s">
        <v>37</v>
      </c>
      <c r="H83" s="42" t="s">
        <v>254</v>
      </c>
      <c r="I83" s="43"/>
      <c r="J83" s="43">
        <v>7</v>
      </c>
      <c r="K83" s="25" t="str">
        <f>VLOOKUP(J83,Key!$E$2:$F$9,2,FALSE)</f>
        <v>Hospital</v>
      </c>
      <c r="L83" s="42" t="s">
        <v>37</v>
      </c>
      <c r="M83" s="43" t="s">
        <v>37</v>
      </c>
      <c r="N83" s="42" t="s">
        <v>254</v>
      </c>
      <c r="O83" s="43"/>
      <c r="P83" s="43">
        <v>3</v>
      </c>
      <c r="Q83" s="25" t="str">
        <f>VLOOKUP(P83,Key!$E$2:$F$9,2,FALSE)</f>
        <v>Study</v>
      </c>
      <c r="R83" s="25" t="str">
        <f t="shared" si="1"/>
        <v>Hospital-Study</v>
      </c>
      <c r="S83" s="62"/>
      <c r="T83" s="62">
        <v>0.83333333333333337</v>
      </c>
      <c r="U83" s="43">
        <v>1</v>
      </c>
      <c r="V83" s="43"/>
      <c r="W83" s="62"/>
      <c r="X83" s="62"/>
      <c r="Y83" s="63"/>
      <c r="Z83" s="76"/>
      <c r="AA83" s="25">
        <f>VLOOKUP(F83,'[1]Zones 1'!$A$2:$F$25426,6,FALSE)</f>
        <v>644</v>
      </c>
      <c r="AB83" s="25">
        <f>VLOOKUP(L83,'[1]Zones 1'!$A$2:$F$25426,6,FALSE)</f>
        <v>651</v>
      </c>
    </row>
    <row r="84" spans="2:28" s="19" customFormat="1">
      <c r="B84" s="40" t="s">
        <v>336</v>
      </c>
      <c r="C84" s="40"/>
      <c r="D84" s="41">
        <v>2</v>
      </c>
      <c r="E84" s="41">
        <v>1</v>
      </c>
      <c r="F84" s="40" t="s">
        <v>576</v>
      </c>
      <c r="G84" s="40" t="s">
        <v>37</v>
      </c>
      <c r="H84" s="42" t="s">
        <v>254</v>
      </c>
      <c r="I84" s="43"/>
      <c r="J84" s="43">
        <v>6</v>
      </c>
      <c r="K84" s="25" t="str">
        <f>VLOOKUP(J84,Key!$E$2:$F$9,2,FALSE)</f>
        <v>Leisure/Social</v>
      </c>
      <c r="L84" s="42" t="s">
        <v>37</v>
      </c>
      <c r="M84" s="43" t="s">
        <v>37</v>
      </c>
      <c r="N84" s="42" t="s">
        <v>254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Leisure/Social-Home</v>
      </c>
      <c r="S84" s="62"/>
      <c r="T84" s="62">
        <v>0</v>
      </c>
      <c r="U84" s="43">
        <v>1</v>
      </c>
      <c r="V84" s="43"/>
      <c r="W84" s="62"/>
      <c r="X84" s="62"/>
      <c r="Y84" s="63"/>
      <c r="Z84" s="76"/>
      <c r="AA84" s="25">
        <f>VLOOKUP(F84,'[1]Zones 1'!$A$2:$F$25426,6,FALSE)</f>
        <v>655</v>
      </c>
      <c r="AB84" s="25">
        <f>VLOOKUP(L84,'[1]Zones 1'!$A$2:$F$25426,6,FALSE)</f>
        <v>651</v>
      </c>
    </row>
    <row r="85" spans="2:28" s="19" customFormat="1">
      <c r="B85" s="40" t="s">
        <v>337</v>
      </c>
      <c r="C85" s="40"/>
      <c r="D85" s="41">
        <v>12</v>
      </c>
      <c r="E85" s="41">
        <v>1</v>
      </c>
      <c r="F85" s="40" t="s">
        <v>256</v>
      </c>
      <c r="G85" s="40" t="s">
        <v>37</v>
      </c>
      <c r="H85" s="42" t="s">
        <v>254</v>
      </c>
      <c r="I85" s="43"/>
      <c r="J85" s="43">
        <v>5</v>
      </c>
      <c r="K85" s="25" t="str">
        <f>VLOOKUP(J85,Key!$E$2:$F$9,2,FALSE)</f>
        <v>Tourism</v>
      </c>
      <c r="L85" s="42" t="s">
        <v>65</v>
      </c>
      <c r="M85" s="43" t="s">
        <v>37</v>
      </c>
      <c r="N85" s="42" t="s">
        <v>254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Tourism-Work</v>
      </c>
      <c r="S85" s="62"/>
      <c r="T85" s="62">
        <v>3</v>
      </c>
      <c r="U85" s="43">
        <v>1</v>
      </c>
      <c r="V85" s="43"/>
      <c r="W85" s="62"/>
      <c r="X85" s="62"/>
      <c r="Y85" s="63"/>
      <c r="Z85" s="76"/>
      <c r="AA85" s="25">
        <f>VLOOKUP(F85,'[1]Zones 1'!$A$2:$F$25426,6,FALSE)</f>
        <v>1440</v>
      </c>
      <c r="AB85" s="25">
        <f>VLOOKUP(L85,'[1]Zones 1'!$A$2:$F$25426,6,FALSE)</f>
        <v>651</v>
      </c>
    </row>
    <row r="86" spans="2:28" s="19" customFormat="1">
      <c r="B86" s="40" t="s">
        <v>338</v>
      </c>
      <c r="C86" s="40"/>
      <c r="D86" s="41">
        <v>2</v>
      </c>
      <c r="E86" s="41">
        <v>1</v>
      </c>
      <c r="F86" s="40" t="s">
        <v>364</v>
      </c>
      <c r="G86" s="40" t="s">
        <v>37</v>
      </c>
      <c r="H86" s="42" t="s">
        <v>254</v>
      </c>
      <c r="I86" s="43"/>
      <c r="J86" s="43">
        <v>5</v>
      </c>
      <c r="K86" s="25" t="str">
        <f>VLOOKUP(J86,Key!$E$2:$F$9,2,FALSE)</f>
        <v>Tourism</v>
      </c>
      <c r="L86" s="42" t="s">
        <v>37</v>
      </c>
      <c r="M86" s="43" t="s">
        <v>37</v>
      </c>
      <c r="N86" s="42" t="s">
        <v>254</v>
      </c>
      <c r="O86" s="43"/>
      <c r="P86" s="43">
        <v>3</v>
      </c>
      <c r="Q86" s="25" t="str">
        <f>VLOOKUP(P86,Key!$E$2:$F$9,2,FALSE)</f>
        <v>Study</v>
      </c>
      <c r="R86" s="25" t="str">
        <f t="shared" si="1"/>
        <v>Tourism-Study</v>
      </c>
      <c r="S86" s="62"/>
      <c r="T86" s="62">
        <v>0</v>
      </c>
      <c r="U86" s="43">
        <v>2</v>
      </c>
      <c r="V86" s="43"/>
      <c r="W86" s="62"/>
      <c r="X86" s="62"/>
      <c r="Y86" s="63"/>
      <c r="Z86" s="76"/>
      <c r="AA86" s="25">
        <f>VLOOKUP(F86,'[1]Zones 1'!$A$2:$F$25426,6,FALSE)</f>
        <v>659</v>
      </c>
      <c r="AB86" s="25">
        <f>VLOOKUP(L86,'[1]Zones 1'!$A$2:$F$25426,6,FALSE)</f>
        <v>651</v>
      </c>
    </row>
    <row r="87" spans="2:28" s="19" customFormat="1">
      <c r="B87" s="40" t="s">
        <v>339</v>
      </c>
      <c r="C87" s="40"/>
      <c r="D87" s="41">
        <v>3</v>
      </c>
      <c r="E87" s="41">
        <v>1</v>
      </c>
      <c r="F87" s="40" t="s">
        <v>364</v>
      </c>
      <c r="G87" s="40" t="s">
        <v>37</v>
      </c>
      <c r="H87" s="42" t="s">
        <v>254</v>
      </c>
      <c r="I87" s="43"/>
      <c r="J87" s="43">
        <v>4</v>
      </c>
      <c r="K87" s="25" t="str">
        <f>VLOOKUP(J87,Key!$E$2:$F$9,2,FALSE)</f>
        <v>Commercial</v>
      </c>
      <c r="L87" s="42" t="s">
        <v>37</v>
      </c>
      <c r="M87" s="43" t="s">
        <v>37</v>
      </c>
      <c r="N87" s="42" t="s">
        <v>254</v>
      </c>
      <c r="O87" s="43"/>
      <c r="P87" s="43">
        <v>5</v>
      </c>
      <c r="Q87" s="25" t="str">
        <f>VLOOKUP(P87,Key!$E$2:$F$9,2,FALSE)</f>
        <v>Tourism</v>
      </c>
      <c r="R87" s="25" t="str">
        <f t="shared" si="1"/>
        <v>Commercial-Tourism</v>
      </c>
      <c r="S87" s="62"/>
      <c r="T87" s="62">
        <v>1</v>
      </c>
      <c r="U87" s="43">
        <v>2</v>
      </c>
      <c r="V87" s="43"/>
      <c r="W87" s="62"/>
      <c r="X87" s="62"/>
      <c r="Y87" s="63"/>
      <c r="Z87" s="76"/>
      <c r="AA87" s="25">
        <f>VLOOKUP(F87,'[1]Zones 1'!$A$2:$F$25426,6,FALSE)</f>
        <v>659</v>
      </c>
      <c r="AB87" s="25">
        <f>VLOOKUP(L87,'[1]Zones 1'!$A$2:$F$25426,6,FALSE)</f>
        <v>651</v>
      </c>
    </row>
    <row r="88" spans="2:28" s="19" customFormat="1">
      <c r="B88" s="40" t="s">
        <v>340</v>
      </c>
      <c r="C88" s="40"/>
      <c r="D88" s="41">
        <v>12</v>
      </c>
      <c r="E88" s="41">
        <v>1</v>
      </c>
      <c r="F88" s="40" t="s">
        <v>38</v>
      </c>
      <c r="G88" s="40" t="s">
        <v>37</v>
      </c>
      <c r="H88" s="42" t="s">
        <v>254</v>
      </c>
      <c r="I88" s="43"/>
      <c r="J88" s="43">
        <v>3</v>
      </c>
      <c r="K88" s="25" t="str">
        <f>VLOOKUP(J88,Key!$E$2:$F$9,2,FALSE)</f>
        <v>Study</v>
      </c>
      <c r="L88" s="42" t="s">
        <v>37</v>
      </c>
      <c r="M88" s="43" t="s">
        <v>37</v>
      </c>
      <c r="N88" s="42" t="s">
        <v>254</v>
      </c>
      <c r="O88" s="43"/>
      <c r="P88" s="43">
        <v>4</v>
      </c>
      <c r="Q88" s="25" t="str">
        <f>VLOOKUP(P88,Key!$E$2:$F$9,2,FALSE)</f>
        <v>Commercial</v>
      </c>
      <c r="R88" s="25" t="str">
        <f t="shared" si="1"/>
        <v>Study-Commercial</v>
      </c>
      <c r="S88" s="62"/>
      <c r="T88" s="62">
        <v>1</v>
      </c>
      <c r="U88" s="43">
        <v>2</v>
      </c>
      <c r="V88" s="43"/>
      <c r="W88" s="62"/>
      <c r="X88" s="62"/>
      <c r="Y88" s="63"/>
      <c r="Z88" s="76"/>
      <c r="AA88" s="25">
        <f>VLOOKUP(F88,'[1]Zones 1'!$A$2:$F$25426,6,FALSE)</f>
        <v>644</v>
      </c>
      <c r="AB88" s="25">
        <f>VLOOKUP(L88,'[1]Zones 1'!$A$2:$F$25426,6,FALSE)</f>
        <v>651</v>
      </c>
    </row>
    <row r="89" spans="2:28" s="19" customFormat="1">
      <c r="B89" s="40" t="s">
        <v>341</v>
      </c>
      <c r="C89" s="40"/>
      <c r="D89" s="41">
        <v>3</v>
      </c>
      <c r="E89" s="41">
        <v>1</v>
      </c>
      <c r="F89" s="40" t="s">
        <v>50</v>
      </c>
      <c r="G89" s="40" t="s">
        <v>255</v>
      </c>
      <c r="H89" s="42" t="s">
        <v>254</v>
      </c>
      <c r="I89" s="43"/>
      <c r="J89" s="43">
        <v>3</v>
      </c>
      <c r="K89" s="25" t="str">
        <f>VLOOKUP(J89,Key!$E$2:$F$9,2,FALSE)</f>
        <v>Study</v>
      </c>
      <c r="L89" s="42" t="s">
        <v>37</v>
      </c>
      <c r="M89" s="43" t="s">
        <v>37</v>
      </c>
      <c r="N89" s="42" t="s">
        <v>254</v>
      </c>
      <c r="O89" s="43"/>
      <c r="P89" s="43">
        <v>3</v>
      </c>
      <c r="Q89" s="25" t="str">
        <f>VLOOKUP(P89,Key!$E$2:$F$9,2,FALSE)</f>
        <v>Study</v>
      </c>
      <c r="R89" s="25" t="str">
        <f t="shared" si="1"/>
        <v>Study-Study</v>
      </c>
      <c r="S89" s="62"/>
      <c r="T89" s="62">
        <v>4</v>
      </c>
      <c r="U89" s="43">
        <v>3</v>
      </c>
      <c r="V89" s="43">
        <v>4</v>
      </c>
      <c r="W89" s="62"/>
      <c r="X89" s="62"/>
      <c r="Y89" s="63"/>
      <c r="Z89" s="76"/>
      <c r="AA89" s="25">
        <f>VLOOKUP(F89,'[1]Zones 1'!$A$2:$F$25426,6,FALSE)</f>
        <v>1438</v>
      </c>
      <c r="AB89" s="25">
        <f>VLOOKUP(L89,'[1]Zones 1'!$A$2:$F$25426,6,FALSE)</f>
        <v>651</v>
      </c>
    </row>
    <row r="90" spans="2:28" s="19" customFormat="1">
      <c r="B90" s="40" t="s">
        <v>342</v>
      </c>
      <c r="C90" s="40"/>
      <c r="D90" s="41">
        <v>2</v>
      </c>
      <c r="E90" s="41">
        <v>2</v>
      </c>
      <c r="F90" s="40" t="s">
        <v>50</v>
      </c>
      <c r="G90" s="40" t="s">
        <v>255</v>
      </c>
      <c r="H90" s="42" t="s">
        <v>254</v>
      </c>
      <c r="I90" s="43"/>
      <c r="J90" s="43">
        <v>1</v>
      </c>
      <c r="K90" s="25" t="str">
        <f>VLOOKUP(J90,Key!$E$2:$F$9,2,FALSE)</f>
        <v>Home</v>
      </c>
      <c r="L90" s="42" t="s">
        <v>67</v>
      </c>
      <c r="M90" s="43" t="s">
        <v>241</v>
      </c>
      <c r="N90" s="42" t="s">
        <v>254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</v>
      </c>
      <c r="U90" s="43">
        <v>2</v>
      </c>
      <c r="V90" s="43"/>
      <c r="W90" s="62"/>
      <c r="X90" s="62"/>
      <c r="Y90" s="63"/>
      <c r="Z90" s="76"/>
      <c r="AA90" s="25">
        <f>VLOOKUP(F90,'[1]Zones 1'!$A$2:$F$25426,6,FALSE)</f>
        <v>1438</v>
      </c>
      <c r="AB90" s="25">
        <f>VLOOKUP(L90,'[1]Zones 1'!$A$2:$F$25426,6,FALSE)</f>
        <v>521</v>
      </c>
    </row>
    <row r="91" spans="2:28" s="19" customFormat="1">
      <c r="B91" s="40" t="s">
        <v>343</v>
      </c>
      <c r="C91" s="40"/>
      <c r="D91" s="41">
        <v>12</v>
      </c>
      <c r="E91" s="41">
        <v>2</v>
      </c>
      <c r="F91" s="40" t="s">
        <v>38</v>
      </c>
      <c r="G91" s="40" t="s">
        <v>37</v>
      </c>
      <c r="H91" s="42" t="s">
        <v>254</v>
      </c>
      <c r="I91" s="43"/>
      <c r="J91" s="43">
        <v>1</v>
      </c>
      <c r="K91" s="25" t="str">
        <f>VLOOKUP(J91,Key!$E$2:$F$9,2,FALSE)</f>
        <v>Home</v>
      </c>
      <c r="L91" s="42" t="s">
        <v>69</v>
      </c>
      <c r="M91" s="43" t="s">
        <v>69</v>
      </c>
      <c r="N91" s="42" t="s">
        <v>254</v>
      </c>
      <c r="O91" s="43"/>
      <c r="P91" s="43">
        <v>3</v>
      </c>
      <c r="Q91" s="25" t="str">
        <f>VLOOKUP(P91,Key!$E$2:$F$9,2,FALSE)</f>
        <v>Study</v>
      </c>
      <c r="R91" s="25" t="str">
        <f t="shared" si="1"/>
        <v>Home-Study</v>
      </c>
      <c r="S91" s="62"/>
      <c r="T91" s="62">
        <v>1.5</v>
      </c>
      <c r="U91" s="43">
        <v>2</v>
      </c>
      <c r="V91" s="43"/>
      <c r="W91" s="62"/>
      <c r="X91" s="62"/>
      <c r="Y91" s="63"/>
      <c r="Z91" s="76"/>
      <c r="AA91" s="25">
        <f>VLOOKUP(F91,'[1]Zones 1'!$A$2:$F$25426,6,FALSE)</f>
        <v>644</v>
      </c>
      <c r="AB91" s="25">
        <f>VLOOKUP(L91,'[1]Zones 1'!$A$2:$F$25426,6,FALSE)</f>
        <v>987</v>
      </c>
    </row>
    <row r="92" spans="2:28" s="19" customFormat="1">
      <c r="B92" s="40" t="s">
        <v>344</v>
      </c>
      <c r="C92" s="40"/>
      <c r="D92" s="41">
        <v>12</v>
      </c>
      <c r="E92" s="41">
        <v>3</v>
      </c>
      <c r="F92" s="40" t="s">
        <v>576</v>
      </c>
      <c r="G92" s="40" t="s">
        <v>37</v>
      </c>
      <c r="H92" s="42" t="s">
        <v>254</v>
      </c>
      <c r="I92" s="43"/>
      <c r="J92" s="43">
        <v>1</v>
      </c>
      <c r="K92" s="25" t="str">
        <f>VLOOKUP(J92,Key!$E$2:$F$9,2,FALSE)</f>
        <v>Home</v>
      </c>
      <c r="L92" s="42" t="s">
        <v>67</v>
      </c>
      <c r="M92" s="43" t="s">
        <v>241</v>
      </c>
      <c r="N92" s="42" t="s">
        <v>254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3</v>
      </c>
      <c r="U92" s="43">
        <v>3</v>
      </c>
      <c r="V92" s="43"/>
      <c r="W92" s="62"/>
      <c r="X92" s="62"/>
      <c r="Y92" s="63"/>
      <c r="Z92" s="76"/>
      <c r="AA92" s="25">
        <f>VLOOKUP(F92,'[1]Zones 1'!$A$2:$F$25426,6,FALSE)</f>
        <v>655</v>
      </c>
      <c r="AB92" s="25">
        <f>VLOOKUP(L92,'[1]Zones 1'!$A$2:$F$25426,6,FALSE)</f>
        <v>521</v>
      </c>
    </row>
    <row r="93" spans="2:28" s="19" customFormat="1">
      <c r="B93" s="40" t="s">
        <v>345</v>
      </c>
      <c r="C93" s="40"/>
      <c r="D93" s="41">
        <v>3</v>
      </c>
      <c r="E93" s="41">
        <v>3</v>
      </c>
      <c r="F93" s="40" t="s">
        <v>50</v>
      </c>
      <c r="G93" s="40" t="s">
        <v>255</v>
      </c>
      <c r="H93" s="42" t="s">
        <v>254</v>
      </c>
      <c r="I93" s="43"/>
      <c r="J93" s="43">
        <v>1</v>
      </c>
      <c r="K93" s="25" t="str">
        <f>VLOOKUP(J93,Key!$E$2:$F$9,2,FALSE)</f>
        <v>Home</v>
      </c>
      <c r="L93" s="42" t="s">
        <v>37</v>
      </c>
      <c r="M93" s="43" t="s">
        <v>37</v>
      </c>
      <c r="N93" s="42" t="s">
        <v>254</v>
      </c>
      <c r="O93" s="43"/>
      <c r="P93" s="43">
        <v>3</v>
      </c>
      <c r="Q93" s="25" t="str">
        <f>VLOOKUP(P93,Key!$E$2:$F$9,2,FALSE)</f>
        <v>Study</v>
      </c>
      <c r="R93" s="25" t="str">
        <f t="shared" si="1"/>
        <v>Home-Study</v>
      </c>
      <c r="S93" s="62"/>
      <c r="T93" s="62">
        <v>3</v>
      </c>
      <c r="U93" s="43">
        <v>3</v>
      </c>
      <c r="V93" s="43">
        <v>4</v>
      </c>
      <c r="W93" s="62"/>
      <c r="X93" s="62"/>
      <c r="Y93" s="63"/>
      <c r="Z93" s="76"/>
      <c r="AA93" s="25">
        <f>VLOOKUP(F93,'[1]Zones 1'!$A$2:$F$25426,6,FALSE)</f>
        <v>1438</v>
      </c>
      <c r="AB93" s="25">
        <f>VLOOKUP(L93,'[1]Zones 1'!$A$2:$F$25426,6,FALSE)</f>
        <v>651</v>
      </c>
    </row>
    <row r="94" spans="2:28" s="19" customFormat="1">
      <c r="B94" s="40" t="s">
        <v>346</v>
      </c>
      <c r="C94" s="40"/>
      <c r="D94" s="41">
        <v>8</v>
      </c>
      <c r="E94" s="41">
        <v>3</v>
      </c>
      <c r="F94" s="40" t="s">
        <v>50</v>
      </c>
      <c r="G94" s="40" t="s">
        <v>255</v>
      </c>
      <c r="H94" s="42" t="s">
        <v>254</v>
      </c>
      <c r="I94" s="43"/>
      <c r="J94" s="43">
        <v>3</v>
      </c>
      <c r="K94" s="25" t="str">
        <f>VLOOKUP(J94,Key!$E$2:$F$9,2,FALSE)</f>
        <v>Study</v>
      </c>
      <c r="L94" s="42" t="s">
        <v>258</v>
      </c>
      <c r="M94" s="43" t="s">
        <v>37</v>
      </c>
      <c r="N94" s="42" t="s">
        <v>254</v>
      </c>
      <c r="O94" s="43"/>
      <c r="P94" s="43">
        <v>3</v>
      </c>
      <c r="Q94" s="25" t="str">
        <f>VLOOKUP(P94,Key!$E$2:$F$9,2,FALSE)</f>
        <v>Study</v>
      </c>
      <c r="R94" s="25" t="str">
        <f t="shared" si="1"/>
        <v>Study-Study</v>
      </c>
      <c r="S94" s="62"/>
      <c r="T94" s="62">
        <v>4</v>
      </c>
      <c r="U94" s="43">
        <v>3</v>
      </c>
      <c r="V94" s="43"/>
      <c r="W94" s="62"/>
      <c r="X94" s="62"/>
      <c r="Y94" s="63"/>
      <c r="Z94" s="76"/>
      <c r="AA94" s="25">
        <f>VLOOKUP(F94,'[1]Zones 1'!$A$2:$F$25426,6,FALSE)</f>
        <v>1438</v>
      </c>
      <c r="AB94" s="25">
        <f>VLOOKUP(L94,'[1]Zones 1'!$A$2:$F$25426,6,FALSE)</f>
        <v>655</v>
      </c>
    </row>
    <row r="95" spans="2:28" s="19" customFormat="1">
      <c r="B95" s="40" t="s">
        <v>347</v>
      </c>
      <c r="C95" s="40"/>
      <c r="D95" s="41">
        <v>8</v>
      </c>
      <c r="E95" s="41">
        <v>3</v>
      </c>
      <c r="F95" s="40" t="s">
        <v>256</v>
      </c>
      <c r="G95" s="40" t="s">
        <v>37</v>
      </c>
      <c r="H95" s="42" t="s">
        <v>254</v>
      </c>
      <c r="I95" s="43"/>
      <c r="J95" s="43">
        <v>3</v>
      </c>
      <c r="K95" s="25" t="str">
        <f>VLOOKUP(J95,Key!$E$2:$F$9,2,FALSE)</f>
        <v>Study</v>
      </c>
      <c r="L95" s="42" t="s">
        <v>37</v>
      </c>
      <c r="M95" s="43" t="s">
        <v>37</v>
      </c>
      <c r="N95" s="42" t="s">
        <v>254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Study-Work</v>
      </c>
      <c r="S95" s="62"/>
      <c r="T95" s="62">
        <v>5</v>
      </c>
      <c r="U95" s="43">
        <v>3</v>
      </c>
      <c r="V95" s="43"/>
      <c r="W95" s="62"/>
      <c r="X95" s="62"/>
      <c r="Y95" s="63"/>
      <c r="Z95" s="76"/>
      <c r="AA95" s="25">
        <f>VLOOKUP(F95,'[1]Zones 1'!$A$2:$F$25426,6,FALSE)</f>
        <v>1440</v>
      </c>
      <c r="AB95" s="25">
        <f>VLOOKUP(L95,'[1]Zones 1'!$A$2:$F$25426,6,FALSE)</f>
        <v>651</v>
      </c>
    </row>
    <row r="96" spans="2:28" s="19" customFormat="1">
      <c r="B96" s="40" t="s">
        <v>348</v>
      </c>
      <c r="C96" s="40"/>
      <c r="D96" s="41">
        <v>5</v>
      </c>
      <c r="E96" s="41">
        <v>1</v>
      </c>
      <c r="F96" s="40" t="s">
        <v>38</v>
      </c>
      <c r="G96" s="40" t="s">
        <v>37</v>
      </c>
      <c r="H96" s="42" t="s">
        <v>254</v>
      </c>
      <c r="I96" s="43"/>
      <c r="J96" s="43">
        <v>3</v>
      </c>
      <c r="K96" s="25" t="str">
        <f>VLOOKUP(J96,Key!$E$2:$F$9,2,FALSE)</f>
        <v>Study</v>
      </c>
      <c r="L96" s="42" t="s">
        <v>37</v>
      </c>
      <c r="M96" s="43" t="s">
        <v>37</v>
      </c>
      <c r="N96" s="42" t="s">
        <v>254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Study-Home</v>
      </c>
      <c r="S96" s="62"/>
      <c r="T96" s="62">
        <v>4</v>
      </c>
      <c r="U96" s="43">
        <v>3</v>
      </c>
      <c r="V96" s="43"/>
      <c r="W96" s="62"/>
      <c r="X96" s="62"/>
      <c r="Y96" s="63"/>
      <c r="Z96" s="76"/>
      <c r="AA96" s="25">
        <f>VLOOKUP(F96,'[1]Zones 1'!$A$2:$F$25426,6,FALSE)</f>
        <v>644</v>
      </c>
      <c r="AB96" s="25">
        <f>VLOOKUP(L96,'[1]Zones 1'!$A$2:$F$25426,6,FALSE)</f>
        <v>651</v>
      </c>
    </row>
    <row r="97" spans="2:28" s="19" customFormat="1">
      <c r="B97" s="40" t="s">
        <v>349</v>
      </c>
      <c r="C97" s="40"/>
      <c r="D97" s="41">
        <v>5</v>
      </c>
      <c r="E97" s="41">
        <v>1</v>
      </c>
      <c r="F97" s="40" t="s">
        <v>38</v>
      </c>
      <c r="G97" s="40" t="s">
        <v>37</v>
      </c>
      <c r="H97" s="42" t="s">
        <v>254</v>
      </c>
      <c r="I97" s="43"/>
      <c r="J97" s="43">
        <v>1</v>
      </c>
      <c r="K97" s="25" t="str">
        <f>VLOOKUP(J97,Key!$E$2:$F$9,2,FALSE)</f>
        <v>Home</v>
      </c>
      <c r="L97" s="42" t="s">
        <v>37</v>
      </c>
      <c r="M97" s="43" t="s">
        <v>37</v>
      </c>
      <c r="N97" s="42" t="s">
        <v>254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0</v>
      </c>
      <c r="U97" s="43">
        <v>2</v>
      </c>
      <c r="V97" s="43"/>
      <c r="W97" s="62"/>
      <c r="X97" s="62"/>
      <c r="Y97" s="63"/>
      <c r="Z97" s="76"/>
      <c r="AA97" s="25">
        <f>VLOOKUP(F97,'[1]Zones 1'!$A$2:$F$25426,6,FALSE)</f>
        <v>644</v>
      </c>
      <c r="AB97" s="25">
        <f>VLOOKUP(L97,'[1]Zones 1'!$A$2:$F$25426,6,FALSE)</f>
        <v>651</v>
      </c>
    </row>
    <row r="98" spans="2:28" s="19" customFormat="1">
      <c r="B98" s="40" t="s">
        <v>350</v>
      </c>
      <c r="C98" s="40"/>
      <c r="D98" s="41">
        <v>8</v>
      </c>
      <c r="E98" s="41">
        <v>1</v>
      </c>
      <c r="F98" s="40" t="s">
        <v>38</v>
      </c>
      <c r="G98" s="40" t="s">
        <v>37</v>
      </c>
      <c r="H98" s="42" t="s">
        <v>254</v>
      </c>
      <c r="I98" s="43"/>
      <c r="J98" s="43">
        <v>2</v>
      </c>
      <c r="K98" s="25" t="str">
        <f>VLOOKUP(J98,Key!$E$2:$F$9,2,FALSE)</f>
        <v>Work</v>
      </c>
      <c r="L98" s="42" t="s">
        <v>37</v>
      </c>
      <c r="M98" s="43" t="s">
        <v>37</v>
      </c>
      <c r="N98" s="42" t="s">
        <v>254</v>
      </c>
      <c r="O98" s="43"/>
      <c r="P98" s="43">
        <v>3</v>
      </c>
      <c r="Q98" s="25" t="str">
        <f>VLOOKUP(P98,Key!$E$2:$F$9,2,FALSE)</f>
        <v>Study</v>
      </c>
      <c r="R98" s="25" t="str">
        <f t="shared" si="1"/>
        <v>Work-Study</v>
      </c>
      <c r="S98" s="62"/>
      <c r="T98" s="62">
        <v>4</v>
      </c>
      <c r="U98" s="43">
        <v>2</v>
      </c>
      <c r="V98" s="43"/>
      <c r="W98" s="62"/>
      <c r="X98" s="62"/>
      <c r="Y98" s="63"/>
      <c r="Z98" s="76"/>
      <c r="AA98" s="25">
        <f>VLOOKUP(F98,'[1]Zones 1'!$A$2:$F$25426,6,FALSE)</f>
        <v>644</v>
      </c>
      <c r="AB98" s="25">
        <f>VLOOKUP(L98,'[1]Zones 1'!$A$2:$F$25426,6,FALSE)</f>
        <v>651</v>
      </c>
    </row>
    <row r="99" spans="2:28" s="19" customFormat="1">
      <c r="B99" s="40" t="s">
        <v>351</v>
      </c>
      <c r="C99" s="40"/>
      <c r="D99" s="41">
        <v>2</v>
      </c>
      <c r="E99" s="41">
        <v>1</v>
      </c>
      <c r="F99" s="40" t="s">
        <v>256</v>
      </c>
      <c r="G99" s="40" t="s">
        <v>37</v>
      </c>
      <c r="H99" s="42" t="s">
        <v>254</v>
      </c>
      <c r="I99" s="43"/>
      <c r="J99" s="43">
        <v>2</v>
      </c>
      <c r="K99" s="25" t="str">
        <f>VLOOKUP(J99,Key!$E$2:$F$9,2,FALSE)</f>
        <v>Work</v>
      </c>
      <c r="L99" s="42" t="s">
        <v>37</v>
      </c>
      <c r="M99" s="43" t="s">
        <v>37</v>
      </c>
      <c r="N99" s="42" t="s">
        <v>254</v>
      </c>
      <c r="O99" s="43"/>
      <c r="P99" s="43">
        <v>3</v>
      </c>
      <c r="Q99" s="25" t="str">
        <f>VLOOKUP(P99,Key!$E$2:$F$9,2,FALSE)</f>
        <v>Study</v>
      </c>
      <c r="R99" s="25" t="str">
        <f t="shared" si="1"/>
        <v>Work-Study</v>
      </c>
      <c r="S99" s="62"/>
      <c r="T99" s="62">
        <v>3</v>
      </c>
      <c r="U99" s="43">
        <v>3</v>
      </c>
      <c r="V99" s="43"/>
      <c r="W99" s="62"/>
      <c r="X99" s="62"/>
      <c r="Y99" s="63"/>
      <c r="Z99" s="76"/>
      <c r="AA99" s="25">
        <f>VLOOKUP(F99,'[1]Zones 1'!$A$2:$F$25426,6,FALSE)</f>
        <v>1440</v>
      </c>
      <c r="AB99" s="25">
        <f>VLOOKUP(L99,'[1]Zones 1'!$A$2:$F$25426,6,FALSE)</f>
        <v>651</v>
      </c>
    </row>
    <row r="100" spans="2:28" s="19" customFormat="1">
      <c r="B100" s="40" t="s">
        <v>352</v>
      </c>
      <c r="C100" s="40"/>
      <c r="D100" s="41">
        <v>8</v>
      </c>
      <c r="E100" s="41">
        <v>1</v>
      </c>
      <c r="F100" s="40" t="s">
        <v>38</v>
      </c>
      <c r="G100" s="40" t="s">
        <v>37</v>
      </c>
      <c r="H100" s="42" t="s">
        <v>254</v>
      </c>
      <c r="I100" s="43"/>
      <c r="J100" s="43">
        <v>2</v>
      </c>
      <c r="K100" s="25" t="str">
        <f>VLOOKUP(J100,Key!$E$2:$F$9,2,FALSE)</f>
        <v>Work</v>
      </c>
      <c r="L100" s="42" t="s">
        <v>258</v>
      </c>
      <c r="M100" s="43" t="s">
        <v>37</v>
      </c>
      <c r="N100" s="42" t="s">
        <v>254</v>
      </c>
      <c r="O100" s="43"/>
      <c r="P100" s="43">
        <v>3</v>
      </c>
      <c r="Q100" s="25" t="str">
        <f>VLOOKUP(P100,Key!$E$2:$F$9,2,FALSE)</f>
        <v>Study</v>
      </c>
      <c r="R100" s="25" t="str">
        <f t="shared" si="1"/>
        <v>Work-Study</v>
      </c>
      <c r="S100" s="62"/>
      <c r="T100" s="62">
        <v>4</v>
      </c>
      <c r="U100" s="43">
        <v>4</v>
      </c>
      <c r="V100" s="43"/>
      <c r="W100" s="62"/>
      <c r="X100" s="62"/>
      <c r="Y100" s="63"/>
      <c r="Z100" s="76"/>
      <c r="AA100" s="25">
        <f>VLOOKUP(F100,'[1]Zones 1'!$A$2:$F$25426,6,FALSE)</f>
        <v>644</v>
      </c>
      <c r="AB100" s="25">
        <f>VLOOKUP(L100,'[1]Zones 1'!$A$2:$F$25426,6,FALSE)</f>
        <v>655</v>
      </c>
    </row>
    <row r="101" spans="2:28" s="19" customFormat="1">
      <c r="B101" s="40" t="s">
        <v>353</v>
      </c>
      <c r="C101" s="40"/>
      <c r="D101" s="41">
        <v>8</v>
      </c>
      <c r="E101" s="41">
        <v>1</v>
      </c>
      <c r="F101" s="40" t="s">
        <v>256</v>
      </c>
      <c r="G101" s="40" t="s">
        <v>37</v>
      </c>
      <c r="H101" s="42" t="s">
        <v>254</v>
      </c>
      <c r="I101" s="43"/>
      <c r="J101" s="43">
        <v>2</v>
      </c>
      <c r="K101" s="25" t="str">
        <f>VLOOKUP(J101,Key!$E$2:$F$9,2,FALSE)</f>
        <v>Work</v>
      </c>
      <c r="L101" s="42" t="s">
        <v>37</v>
      </c>
      <c r="M101" s="43" t="s">
        <v>37</v>
      </c>
      <c r="N101" s="42" t="s">
        <v>254</v>
      </c>
      <c r="O101" s="43"/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62"/>
      <c r="T101" s="62">
        <v>2</v>
      </c>
      <c r="U101" s="43">
        <v>6</v>
      </c>
      <c r="V101" s="43"/>
      <c r="W101" s="62"/>
      <c r="X101" s="62"/>
      <c r="Y101" s="63"/>
      <c r="Z101" s="76"/>
      <c r="AA101" s="25">
        <f>VLOOKUP(F101,'[1]Zones 1'!$A$2:$F$25426,6,FALSE)</f>
        <v>1440</v>
      </c>
      <c r="AB101" s="25">
        <f>VLOOKUP(L101,'[1]Zones 1'!$A$2:$F$25426,6,FALSE)</f>
        <v>651</v>
      </c>
    </row>
    <row r="102" spans="2:28" s="19" customFormat="1">
      <c r="B102" s="40" t="s">
        <v>354</v>
      </c>
      <c r="C102" s="40"/>
      <c r="D102" s="41">
        <v>8</v>
      </c>
      <c r="E102" s="41">
        <v>1</v>
      </c>
      <c r="F102" s="40" t="s">
        <v>38</v>
      </c>
      <c r="G102" s="40" t="s">
        <v>37</v>
      </c>
      <c r="H102" s="42" t="s">
        <v>254</v>
      </c>
      <c r="I102" s="43"/>
      <c r="J102" s="43">
        <v>7</v>
      </c>
      <c r="K102" s="25" t="str">
        <f>VLOOKUP(J102,Key!$E$2:$F$9,2,FALSE)</f>
        <v>Hospital</v>
      </c>
      <c r="L102" s="42" t="s">
        <v>37</v>
      </c>
      <c r="M102" s="43" t="s">
        <v>37</v>
      </c>
      <c r="N102" s="42" t="s">
        <v>254</v>
      </c>
      <c r="O102" s="43"/>
      <c r="P102" s="43">
        <v>1</v>
      </c>
      <c r="Q102" s="25" t="str">
        <f>VLOOKUP(P102,Key!$E$2:$F$9,2,FALSE)</f>
        <v>Home</v>
      </c>
      <c r="R102" s="25" t="str">
        <f t="shared" si="1"/>
        <v>Hospital-Home</v>
      </c>
      <c r="S102" s="62"/>
      <c r="T102" s="62">
        <v>3</v>
      </c>
      <c r="U102" s="43">
        <v>4</v>
      </c>
      <c r="V102" s="43">
        <v>3</v>
      </c>
      <c r="W102" s="62"/>
      <c r="X102" s="62"/>
      <c r="Y102" s="63"/>
      <c r="Z102" s="76"/>
      <c r="AA102" s="25">
        <f>VLOOKUP(F102,'[1]Zones 1'!$A$2:$F$25426,6,FALSE)</f>
        <v>644</v>
      </c>
      <c r="AB102" s="25">
        <f>VLOOKUP(L102,'[1]Zones 1'!$A$2:$F$25426,6,FALSE)</f>
        <v>651</v>
      </c>
    </row>
    <row r="103" spans="2:28" s="19" customFormat="1">
      <c r="B103" s="40" t="s">
        <v>355</v>
      </c>
      <c r="C103" s="40"/>
      <c r="D103" s="41">
        <v>12</v>
      </c>
      <c r="E103" s="41">
        <v>1</v>
      </c>
      <c r="F103" s="40" t="s">
        <v>38</v>
      </c>
      <c r="G103" s="40" t="s">
        <v>37</v>
      </c>
      <c r="H103" s="42" t="s">
        <v>254</v>
      </c>
      <c r="I103" s="43"/>
      <c r="J103" s="43">
        <v>5</v>
      </c>
      <c r="K103" s="25" t="str">
        <f>VLOOKUP(J103,Key!$E$2:$F$9,2,FALSE)</f>
        <v>Tourism</v>
      </c>
      <c r="L103" s="42" t="s">
        <v>37</v>
      </c>
      <c r="M103" s="43" t="s">
        <v>37</v>
      </c>
      <c r="N103" s="42" t="s">
        <v>254</v>
      </c>
      <c r="O103" s="43"/>
      <c r="P103" s="43">
        <v>1</v>
      </c>
      <c r="Q103" s="25" t="str">
        <f>VLOOKUP(P103,Key!$E$2:$F$9,2,FALSE)</f>
        <v>Home</v>
      </c>
      <c r="R103" s="25" t="str">
        <f t="shared" si="1"/>
        <v>Tourism-Home</v>
      </c>
      <c r="S103" s="62"/>
      <c r="T103" s="62">
        <v>5</v>
      </c>
      <c r="U103" s="43">
        <v>3</v>
      </c>
      <c r="V103" s="43"/>
      <c r="W103" s="62"/>
      <c r="X103" s="62"/>
      <c r="Y103" s="63"/>
      <c r="Z103" s="76"/>
      <c r="AA103" s="25">
        <f>VLOOKUP(F103,'[1]Zones 1'!$A$2:$F$25426,6,FALSE)</f>
        <v>644</v>
      </c>
      <c r="AB103" s="25">
        <f>VLOOKUP(L103,'[1]Zones 1'!$A$2:$F$25426,6,FALSE)</f>
        <v>651</v>
      </c>
    </row>
    <row r="104" spans="2:28" s="19" customFormat="1">
      <c r="B104" s="40" t="s">
        <v>356</v>
      </c>
      <c r="C104" s="40"/>
      <c r="D104" s="41">
        <v>2</v>
      </c>
      <c r="E104" s="41">
        <v>1</v>
      </c>
      <c r="F104" s="40" t="s">
        <v>38</v>
      </c>
      <c r="G104" s="40" t="s">
        <v>37</v>
      </c>
      <c r="H104" s="42" t="s">
        <v>254</v>
      </c>
      <c r="I104" s="43"/>
      <c r="J104" s="43">
        <v>2</v>
      </c>
      <c r="K104" s="25" t="str">
        <f>VLOOKUP(J104,Key!$E$2:$F$9,2,FALSE)</f>
        <v>Work</v>
      </c>
      <c r="L104" s="42" t="s">
        <v>37</v>
      </c>
      <c r="M104" s="43" t="s">
        <v>37</v>
      </c>
      <c r="N104" s="42" t="s">
        <v>254</v>
      </c>
      <c r="O104" s="43"/>
      <c r="P104" s="43">
        <v>1</v>
      </c>
      <c r="Q104" s="25" t="str">
        <f>VLOOKUP(P104,Key!$E$2:$F$9,2,FALSE)</f>
        <v>Home</v>
      </c>
      <c r="R104" s="25" t="str">
        <f t="shared" si="1"/>
        <v>Work-Home</v>
      </c>
      <c r="S104" s="62"/>
      <c r="T104" s="62">
        <v>5</v>
      </c>
      <c r="U104" s="43">
        <v>3</v>
      </c>
      <c r="V104" s="43"/>
      <c r="W104" s="62"/>
      <c r="X104" s="62"/>
      <c r="Y104" s="63"/>
      <c r="Z104" s="76"/>
      <c r="AA104" s="25">
        <f>VLOOKUP(F104,'[1]Zones 1'!$A$2:$F$25426,6,FALSE)</f>
        <v>644</v>
      </c>
      <c r="AB104" s="25">
        <f>VLOOKUP(L104,'[1]Zones 1'!$A$2:$F$25426,6,FALSE)</f>
        <v>651</v>
      </c>
    </row>
    <row r="105" spans="2:28" s="19" customFormat="1">
      <c r="B105" s="40" t="s">
        <v>357</v>
      </c>
      <c r="C105" s="40"/>
      <c r="D105" s="41">
        <v>8</v>
      </c>
      <c r="E105" s="41">
        <v>1</v>
      </c>
      <c r="F105" s="40" t="s">
        <v>256</v>
      </c>
      <c r="G105" s="40" t="s">
        <v>37</v>
      </c>
      <c r="H105" s="42" t="s">
        <v>254</v>
      </c>
      <c r="I105" s="43"/>
      <c r="J105" s="43">
        <v>3</v>
      </c>
      <c r="K105" s="25" t="str">
        <f>VLOOKUP(J105,Key!$E$2:$F$9,2,FALSE)</f>
        <v>Study</v>
      </c>
      <c r="L105" s="42" t="s">
        <v>37</v>
      </c>
      <c r="M105" s="43" t="s">
        <v>37</v>
      </c>
      <c r="N105" s="42" t="s">
        <v>254</v>
      </c>
      <c r="O105" s="43"/>
      <c r="P105" s="43">
        <v>1</v>
      </c>
      <c r="Q105" s="25" t="str">
        <f>VLOOKUP(P105,Key!$E$2:$F$9,2,FALSE)</f>
        <v>Home</v>
      </c>
      <c r="R105" s="25" t="str">
        <f t="shared" si="1"/>
        <v>Study-Home</v>
      </c>
      <c r="S105" s="62"/>
      <c r="T105" s="62">
        <v>0.3</v>
      </c>
      <c r="U105" s="43">
        <v>3</v>
      </c>
      <c r="V105" s="43"/>
      <c r="W105" s="62"/>
      <c r="X105" s="62"/>
      <c r="Y105" s="63"/>
      <c r="Z105" s="76"/>
      <c r="AA105" s="25">
        <f>VLOOKUP(F105,'[1]Zones 1'!$A$2:$F$25426,6,FALSE)</f>
        <v>1440</v>
      </c>
      <c r="AB105" s="25">
        <f>VLOOKUP(L105,'[1]Zones 1'!$A$2:$F$25426,6,FALSE)</f>
        <v>651</v>
      </c>
    </row>
    <row r="106" spans="2:28" s="19" customFormat="1">
      <c r="B106" s="40" t="s">
        <v>358</v>
      </c>
      <c r="C106" s="40"/>
      <c r="D106" s="41">
        <v>8</v>
      </c>
      <c r="E106" s="41">
        <v>1</v>
      </c>
      <c r="F106" s="40" t="s">
        <v>256</v>
      </c>
      <c r="G106" s="40" t="s">
        <v>37</v>
      </c>
      <c r="H106" s="42" t="s">
        <v>254</v>
      </c>
      <c r="I106" s="43"/>
      <c r="J106" s="43">
        <v>3</v>
      </c>
      <c r="K106" s="25" t="str">
        <f>VLOOKUP(J106,Key!$E$2:$F$9,2,FALSE)</f>
        <v>Study</v>
      </c>
      <c r="L106" s="42" t="s">
        <v>60</v>
      </c>
      <c r="M106" s="43" t="s">
        <v>240</v>
      </c>
      <c r="N106" s="42" t="s">
        <v>254</v>
      </c>
      <c r="O106" s="43"/>
      <c r="P106" s="43">
        <v>1</v>
      </c>
      <c r="Q106" s="25" t="str">
        <f>VLOOKUP(P106,Key!$E$2:$F$9,2,FALSE)</f>
        <v>Home</v>
      </c>
      <c r="R106" s="25" t="str">
        <f t="shared" si="1"/>
        <v>Study-Home</v>
      </c>
      <c r="S106" s="62"/>
      <c r="T106" s="62">
        <v>0</v>
      </c>
      <c r="U106" s="43">
        <v>5</v>
      </c>
      <c r="V106" s="43"/>
      <c r="W106" s="62"/>
      <c r="X106" s="62"/>
      <c r="Y106" s="63"/>
      <c r="Z106" s="76"/>
      <c r="AA106" s="25">
        <f>VLOOKUP(F106,'[1]Zones 1'!$A$2:$F$25426,6,FALSE)</f>
        <v>1440</v>
      </c>
      <c r="AB106" s="25">
        <f>VLOOKUP(L106,'[1]Zones 1'!$A$2:$F$25426,6,FALSE)</f>
        <v>1434</v>
      </c>
    </row>
    <row r="107" spans="2:28" s="19" customFormat="1">
      <c r="B107" s="40" t="s">
        <v>359</v>
      </c>
      <c r="C107" s="40"/>
      <c r="D107" s="41">
        <v>0</v>
      </c>
      <c r="E107" s="41">
        <v>1</v>
      </c>
      <c r="F107" s="40" t="s">
        <v>38</v>
      </c>
      <c r="G107" s="40" t="s">
        <v>37</v>
      </c>
      <c r="H107" s="42" t="s">
        <v>254</v>
      </c>
      <c r="I107" s="43"/>
      <c r="J107" s="43">
        <v>5</v>
      </c>
      <c r="K107" s="25" t="str">
        <f>VLOOKUP(J107,Key!$E$2:$F$9,2,FALSE)</f>
        <v>Tourism</v>
      </c>
      <c r="L107" s="42" t="s">
        <v>37</v>
      </c>
      <c r="M107" s="43" t="s">
        <v>37</v>
      </c>
      <c r="N107" s="42" t="s">
        <v>254</v>
      </c>
      <c r="O107" s="43"/>
      <c r="P107" s="43">
        <v>2</v>
      </c>
      <c r="Q107" s="25" t="str">
        <f>VLOOKUP(P107,Key!$E$2:$F$9,2,FALSE)</f>
        <v>Work</v>
      </c>
      <c r="R107" s="25" t="str">
        <f t="shared" si="1"/>
        <v>Tourism-Work</v>
      </c>
      <c r="S107" s="62"/>
      <c r="T107" s="62">
        <v>0</v>
      </c>
      <c r="U107" s="43">
        <v>2</v>
      </c>
      <c r="V107" s="43"/>
      <c r="W107" s="62"/>
      <c r="X107" s="62"/>
      <c r="Y107" s="63"/>
      <c r="Z107" s="76"/>
      <c r="AA107" s="25">
        <f>VLOOKUP(F107,'[1]Zones 1'!$A$2:$F$25426,6,FALSE)</f>
        <v>644</v>
      </c>
      <c r="AB107" s="25">
        <f>VLOOKUP(L107,'[1]Zones 1'!$A$2:$F$25426,6,FALSE)</f>
        <v>651</v>
      </c>
    </row>
    <row r="108" spans="2:28" s="19" customFormat="1">
      <c r="B108" s="40" t="s">
        <v>360</v>
      </c>
      <c r="C108" s="40"/>
      <c r="D108" s="41">
        <v>0</v>
      </c>
      <c r="E108" s="41">
        <v>1</v>
      </c>
      <c r="F108" s="40" t="s">
        <v>38</v>
      </c>
      <c r="G108" s="40" t="s">
        <v>37</v>
      </c>
      <c r="H108" s="42" t="s">
        <v>254</v>
      </c>
      <c r="I108" s="43"/>
      <c r="J108" s="43">
        <v>2</v>
      </c>
      <c r="K108" s="25" t="str">
        <f>VLOOKUP(J108,Key!$E$2:$F$9,2,FALSE)</f>
        <v>Work</v>
      </c>
      <c r="L108" s="42" t="s">
        <v>365</v>
      </c>
      <c r="M108" s="43" t="s">
        <v>365</v>
      </c>
      <c r="N108" s="42" t="s">
        <v>254</v>
      </c>
      <c r="O108" s="43"/>
      <c r="P108" s="43">
        <v>3</v>
      </c>
      <c r="Q108" s="25" t="str">
        <f>VLOOKUP(P108,Key!$E$2:$F$9,2,FALSE)</f>
        <v>Study</v>
      </c>
      <c r="R108" s="25" t="str">
        <f t="shared" si="1"/>
        <v>Work-Study</v>
      </c>
      <c r="S108" s="62"/>
      <c r="T108" s="62"/>
      <c r="U108" s="43">
        <v>1</v>
      </c>
      <c r="V108" s="43"/>
      <c r="W108" s="62"/>
      <c r="X108" s="62"/>
      <c r="Y108" s="63"/>
      <c r="Z108" s="76"/>
      <c r="AA108" s="25">
        <f>VLOOKUP(F108,'[1]Zones 1'!$A$2:$F$25426,6,FALSE)</f>
        <v>644</v>
      </c>
      <c r="AB108" s="25">
        <f>VLOOKUP(L108,'[1]Zones 1'!$A$2:$F$25426,6,FALSE)</f>
        <v>436</v>
      </c>
    </row>
    <row r="109" spans="2:28">
      <c r="B109" s="78">
        <v>0.40625</v>
      </c>
      <c r="C109" s="41"/>
      <c r="D109" s="41">
        <v>2</v>
      </c>
      <c r="E109" s="41">
        <v>1</v>
      </c>
      <c r="F109" s="42" t="s">
        <v>37</v>
      </c>
      <c r="G109" s="42" t="s">
        <v>37</v>
      </c>
      <c r="H109" s="42" t="s">
        <v>254</v>
      </c>
      <c r="I109" s="42"/>
      <c r="J109" s="42">
        <v>1</v>
      </c>
      <c r="K109" s="25" t="str">
        <f>VLOOKUP(J109,Key!$E$2:$F$9,2,FALSE)</f>
        <v>Home</v>
      </c>
      <c r="L109" s="42" t="s">
        <v>38</v>
      </c>
      <c r="M109" s="43" t="s">
        <v>37</v>
      </c>
      <c r="N109" s="43" t="s">
        <v>254</v>
      </c>
      <c r="O109" s="43"/>
      <c r="P109" s="43">
        <v>2</v>
      </c>
      <c r="Q109" s="25" t="str">
        <f>VLOOKUP(P109,Key!$E$2:$F$9,2,FALSE)</f>
        <v>Work</v>
      </c>
      <c r="R109" s="25" t="str">
        <f>K109&amp;"-"&amp;Q109</f>
        <v>Home-Work</v>
      </c>
      <c r="S109" s="62"/>
      <c r="T109" s="62">
        <v>0</v>
      </c>
      <c r="U109" s="72">
        <v>2</v>
      </c>
      <c r="V109" s="72"/>
      <c r="W109" s="62"/>
      <c r="X109" s="62"/>
      <c r="Y109" s="63"/>
      <c r="Z109" s="73"/>
      <c r="AA109" s="25">
        <f>VLOOKUP(F109,'[1]Zones 1'!$A$2:$F$25426,6,FALSE)</f>
        <v>651</v>
      </c>
      <c r="AB109" s="25">
        <f>VLOOKUP(L109,'[1]Zones 1'!$A$2:$F$25426,6,FALSE)</f>
        <v>644</v>
      </c>
    </row>
    <row r="110" spans="2:28">
      <c r="B110" s="78">
        <v>0.40902777777777777</v>
      </c>
      <c r="C110" s="41"/>
      <c r="D110" s="41">
        <v>3</v>
      </c>
      <c r="E110" s="41">
        <v>2</v>
      </c>
      <c r="F110" s="42" t="s">
        <v>37</v>
      </c>
      <c r="G110" s="42" t="s">
        <v>37</v>
      </c>
      <c r="H110" s="42" t="s">
        <v>254</v>
      </c>
      <c r="I110" s="42"/>
      <c r="J110" s="42">
        <v>4</v>
      </c>
      <c r="K110" s="25" t="str">
        <f>VLOOKUP(J110,Key!$E$2:$F$9,2,FALSE)</f>
        <v>Commercial</v>
      </c>
      <c r="L110" s="42" t="s">
        <v>37</v>
      </c>
      <c r="M110" s="43" t="s">
        <v>37</v>
      </c>
      <c r="N110" s="43" t="s">
        <v>254</v>
      </c>
      <c r="O110" s="43"/>
      <c r="P110" s="43">
        <v>1</v>
      </c>
      <c r="Q110" s="25" t="str">
        <f>VLOOKUP(P110,Key!$E$2:$F$9,2,FALSE)</f>
        <v>Home</v>
      </c>
      <c r="R110" s="25" t="str">
        <f t="shared" ref="R110:R173" si="2">K110&amp;"-"&amp;Q110</f>
        <v>Commercial-Home</v>
      </c>
      <c r="S110" s="62"/>
      <c r="T110" s="62">
        <v>0</v>
      </c>
      <c r="U110" s="72">
        <v>3</v>
      </c>
      <c r="V110" s="72">
        <v>6</v>
      </c>
      <c r="W110" s="62"/>
      <c r="X110" s="62"/>
      <c r="Y110" s="63"/>
      <c r="Z110" s="73"/>
      <c r="AA110" s="25">
        <f>VLOOKUP(F110,'[1]Zones 1'!$A$2:$F$25426,6,FALSE)</f>
        <v>651</v>
      </c>
      <c r="AB110" s="25">
        <f>VLOOKUP(L110,'[1]Zones 1'!$A$2:$F$25426,6,FALSE)</f>
        <v>651</v>
      </c>
    </row>
    <row r="111" spans="2:28">
      <c r="B111" s="78">
        <v>0.41111111111111115</v>
      </c>
      <c r="C111" s="41"/>
      <c r="D111" s="41">
        <v>12</v>
      </c>
      <c r="E111" s="41">
        <v>1</v>
      </c>
      <c r="F111" s="42" t="s">
        <v>60</v>
      </c>
      <c r="G111" s="42" t="s">
        <v>240</v>
      </c>
      <c r="H111" s="42" t="s">
        <v>254</v>
      </c>
      <c r="I111" s="42"/>
      <c r="J111" s="42">
        <v>1</v>
      </c>
      <c r="K111" s="25" t="str">
        <f>VLOOKUP(J111,Key!$E$2:$F$9,2,FALSE)</f>
        <v>Home</v>
      </c>
      <c r="L111" s="42" t="s">
        <v>50</v>
      </c>
      <c r="M111" s="43" t="s">
        <v>255</v>
      </c>
      <c r="N111" s="43" t="s">
        <v>254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62"/>
      <c r="T111" s="62">
        <v>3</v>
      </c>
      <c r="U111" s="72">
        <v>4</v>
      </c>
      <c r="V111" s="72">
        <v>5</v>
      </c>
      <c r="W111" s="62"/>
      <c r="X111" s="62"/>
      <c r="Y111" s="63"/>
      <c r="Z111" s="73"/>
      <c r="AA111" s="25">
        <f>VLOOKUP(F111,'[1]Zones 1'!$A$2:$F$25426,6,FALSE)</f>
        <v>1434</v>
      </c>
      <c r="AB111" s="25">
        <f>VLOOKUP(L111,'[1]Zones 1'!$A$2:$F$25426,6,FALSE)</f>
        <v>1438</v>
      </c>
    </row>
    <row r="112" spans="2:28">
      <c r="B112" s="78">
        <v>0.41250000000000003</v>
      </c>
      <c r="C112" s="41"/>
      <c r="D112" s="41">
        <v>8</v>
      </c>
      <c r="E112" s="41">
        <v>2</v>
      </c>
      <c r="F112" s="42" t="s">
        <v>241</v>
      </c>
      <c r="G112" s="42" t="s">
        <v>241</v>
      </c>
      <c r="H112" s="42" t="s">
        <v>254</v>
      </c>
      <c r="I112" s="42"/>
      <c r="J112" s="42">
        <v>1</v>
      </c>
      <c r="K112" s="25" t="str">
        <f>VLOOKUP(J112,Key!$E$2:$F$9,2,FALSE)</f>
        <v>Home</v>
      </c>
      <c r="L112" s="42" t="s">
        <v>37</v>
      </c>
      <c r="M112" s="43" t="s">
        <v>37</v>
      </c>
      <c r="N112" s="43" t="s">
        <v>254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2"/>
      <c r="T112" s="62">
        <v>8.5</v>
      </c>
      <c r="U112" s="72">
        <v>3</v>
      </c>
      <c r="V112" s="72">
        <v>10</v>
      </c>
      <c r="W112" s="62"/>
      <c r="X112" s="62"/>
      <c r="Y112" s="63"/>
      <c r="Z112" s="73"/>
      <c r="AA112" s="25">
        <f>VLOOKUP(F112,'[1]Zones 1'!$A$2:$F$25426,6,FALSE)</f>
        <v>521</v>
      </c>
      <c r="AB112" s="25">
        <f>VLOOKUP(L112,'[1]Zones 1'!$A$2:$F$25426,6,FALSE)</f>
        <v>651</v>
      </c>
    </row>
    <row r="113" spans="2:28">
      <c r="B113" s="78">
        <v>0.41597222222222219</v>
      </c>
      <c r="C113" s="41"/>
      <c r="D113" s="41">
        <v>3</v>
      </c>
      <c r="E113" s="41">
        <v>2</v>
      </c>
      <c r="F113" s="42" t="s">
        <v>37</v>
      </c>
      <c r="G113" s="42" t="s">
        <v>37</v>
      </c>
      <c r="H113" s="42" t="s">
        <v>254</v>
      </c>
      <c r="I113" s="42"/>
      <c r="J113" s="42">
        <v>7</v>
      </c>
      <c r="K113" s="25" t="str">
        <f>VLOOKUP(J113,Key!$E$2:$F$9,2,FALSE)</f>
        <v>Hospital</v>
      </c>
      <c r="L113" s="42" t="s">
        <v>37</v>
      </c>
      <c r="M113" s="43" t="s">
        <v>37</v>
      </c>
      <c r="N113" s="43" t="s">
        <v>254</v>
      </c>
      <c r="O113" s="43"/>
      <c r="P113" s="43">
        <v>1</v>
      </c>
      <c r="Q113" s="25" t="str">
        <f>VLOOKUP(P113,Key!$E$2:$F$9,2,FALSE)</f>
        <v>Home</v>
      </c>
      <c r="R113" s="25" t="str">
        <f t="shared" si="2"/>
        <v>Hospital-Home</v>
      </c>
      <c r="S113" s="62"/>
      <c r="T113" s="62">
        <v>0</v>
      </c>
      <c r="U113" s="72">
        <v>4</v>
      </c>
      <c r="V113" s="72">
        <v>10</v>
      </c>
      <c r="W113" s="62"/>
      <c r="X113" s="62"/>
      <c r="Y113" s="63"/>
      <c r="Z113" s="73"/>
      <c r="AA113" s="25">
        <f>VLOOKUP(F113,'[1]Zones 1'!$A$2:$F$25426,6,FALSE)</f>
        <v>651</v>
      </c>
      <c r="AB113" s="25">
        <f>VLOOKUP(L113,'[1]Zones 1'!$A$2:$F$25426,6,FALSE)</f>
        <v>651</v>
      </c>
    </row>
    <row r="114" spans="2:28">
      <c r="B114" s="78">
        <v>0.42152777777777778</v>
      </c>
      <c r="C114" s="41"/>
      <c r="D114" s="41">
        <v>5</v>
      </c>
      <c r="E114" s="41">
        <v>2</v>
      </c>
      <c r="F114" s="42" t="s">
        <v>241</v>
      </c>
      <c r="G114" s="42" t="s">
        <v>241</v>
      </c>
      <c r="H114" s="42" t="s">
        <v>254</v>
      </c>
      <c r="I114" s="42"/>
      <c r="J114" s="42">
        <v>3</v>
      </c>
      <c r="K114" s="25" t="str">
        <f>VLOOKUP(J114,Key!$E$2:$F$9,2,FALSE)</f>
        <v>Study</v>
      </c>
      <c r="L114" s="42" t="s">
        <v>38</v>
      </c>
      <c r="M114" s="43" t="s">
        <v>37</v>
      </c>
      <c r="N114" s="43" t="s">
        <v>254</v>
      </c>
      <c r="O114" s="43"/>
      <c r="P114" s="43">
        <v>1</v>
      </c>
      <c r="Q114" s="25" t="str">
        <f>VLOOKUP(P114,Key!$E$2:$F$9,2,FALSE)</f>
        <v>Home</v>
      </c>
      <c r="R114" s="25" t="str">
        <f t="shared" si="2"/>
        <v>Study-Home</v>
      </c>
      <c r="S114" s="62"/>
      <c r="T114" s="62">
        <v>7</v>
      </c>
      <c r="U114" s="72">
        <v>4</v>
      </c>
      <c r="V114" s="72">
        <v>10</v>
      </c>
      <c r="W114" s="62"/>
      <c r="X114" s="62"/>
      <c r="Y114" s="63"/>
      <c r="Z114" s="73"/>
      <c r="AA114" s="25">
        <f>VLOOKUP(F114,'[1]Zones 1'!$A$2:$F$25426,6,FALSE)</f>
        <v>521</v>
      </c>
      <c r="AB114" s="25">
        <f>VLOOKUP(L114,'[1]Zones 1'!$A$2:$F$25426,6,FALSE)</f>
        <v>644</v>
      </c>
    </row>
    <row r="115" spans="2:28">
      <c r="B115" s="78">
        <v>0.42638888888888887</v>
      </c>
      <c r="C115" s="41"/>
      <c r="D115" s="41">
        <v>1</v>
      </c>
      <c r="E115" s="41">
        <v>1</v>
      </c>
      <c r="F115" s="42" t="s">
        <v>37</v>
      </c>
      <c r="G115" s="42" t="s">
        <v>37</v>
      </c>
      <c r="H115" s="42" t="s">
        <v>254</v>
      </c>
      <c r="I115" s="42"/>
      <c r="J115" s="42">
        <v>2</v>
      </c>
      <c r="K115" s="25" t="str">
        <f>VLOOKUP(J115,Key!$E$2:$F$9,2,FALSE)</f>
        <v>Work</v>
      </c>
      <c r="L115" s="42" t="s">
        <v>38</v>
      </c>
      <c r="M115" s="43" t="s">
        <v>37</v>
      </c>
      <c r="N115" s="43" t="s">
        <v>254</v>
      </c>
      <c r="O115" s="43"/>
      <c r="P115" s="43">
        <v>4</v>
      </c>
      <c r="Q115" s="25" t="str">
        <f>VLOOKUP(P115,Key!$E$2:$F$9,2,FALSE)</f>
        <v>Commercial</v>
      </c>
      <c r="R115" s="25" t="str">
        <f t="shared" si="2"/>
        <v>Work-Commercial</v>
      </c>
      <c r="S115" s="62"/>
      <c r="T115" s="62">
        <v>0</v>
      </c>
      <c r="U115" s="72">
        <v>3</v>
      </c>
      <c r="V115" s="72"/>
      <c r="W115" s="62"/>
      <c r="X115" s="62"/>
      <c r="Y115" s="63"/>
      <c r="Z115" s="73"/>
      <c r="AA115" s="25">
        <f>VLOOKUP(F115,'[1]Zones 1'!$A$2:$F$25426,6,FALSE)</f>
        <v>651</v>
      </c>
      <c r="AB115" s="25">
        <f>VLOOKUP(L115,'[1]Zones 1'!$A$2:$F$25426,6,FALSE)</f>
        <v>644</v>
      </c>
    </row>
    <row r="116" spans="2:28">
      <c r="B116" s="78">
        <v>0.44375000000000003</v>
      </c>
      <c r="C116" s="41"/>
      <c r="D116" s="41">
        <v>1</v>
      </c>
      <c r="E116" s="41">
        <v>1</v>
      </c>
      <c r="F116" s="42" t="s">
        <v>37</v>
      </c>
      <c r="G116" s="42" t="s">
        <v>37</v>
      </c>
      <c r="H116" s="42" t="s">
        <v>254</v>
      </c>
      <c r="I116" s="42"/>
      <c r="J116" s="42">
        <v>1</v>
      </c>
      <c r="K116" s="25" t="str">
        <f>VLOOKUP(J116,Key!$E$2:$F$9,2,FALSE)</f>
        <v>Home</v>
      </c>
      <c r="L116" s="42" t="s">
        <v>38</v>
      </c>
      <c r="M116" s="43" t="s">
        <v>37</v>
      </c>
      <c r="N116" s="43" t="s">
        <v>254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62"/>
      <c r="T116" s="62">
        <v>1</v>
      </c>
      <c r="U116" s="72">
        <v>2</v>
      </c>
      <c r="V116" s="72">
        <v>3</v>
      </c>
      <c r="W116" s="62"/>
      <c r="X116" s="62"/>
      <c r="Y116" s="63"/>
      <c r="Z116" s="73"/>
      <c r="AA116" s="25">
        <f>VLOOKUP(F116,'[1]Zones 1'!$A$2:$F$25426,6,FALSE)</f>
        <v>651</v>
      </c>
      <c r="AB116" s="25">
        <f>VLOOKUP(L116,'[1]Zones 1'!$A$2:$F$25426,6,FALSE)</f>
        <v>644</v>
      </c>
    </row>
    <row r="117" spans="2:28">
      <c r="B117" s="78">
        <v>0.44722222222222219</v>
      </c>
      <c r="C117" s="41"/>
      <c r="D117" s="41">
        <v>3</v>
      </c>
      <c r="E117" s="41">
        <v>2</v>
      </c>
      <c r="F117" s="42" t="s">
        <v>37</v>
      </c>
      <c r="G117" s="42" t="s">
        <v>37</v>
      </c>
      <c r="H117" s="42" t="s">
        <v>254</v>
      </c>
      <c r="I117" s="42"/>
      <c r="J117" s="42">
        <v>4</v>
      </c>
      <c r="K117" s="25" t="str">
        <f>VLOOKUP(J117,Key!$E$2:$F$9,2,FALSE)</f>
        <v>Commercial</v>
      </c>
      <c r="L117" s="42" t="s">
        <v>256</v>
      </c>
      <c r="M117" s="43" t="s">
        <v>37</v>
      </c>
      <c r="N117" s="43" t="s">
        <v>254</v>
      </c>
      <c r="O117" s="43"/>
      <c r="P117" s="43">
        <v>1</v>
      </c>
      <c r="Q117" s="25" t="str">
        <f>VLOOKUP(P117,Key!$E$2:$F$9,2,FALSE)</f>
        <v>Home</v>
      </c>
      <c r="R117" s="25" t="str">
        <f t="shared" si="2"/>
        <v>Commercial-Home</v>
      </c>
      <c r="S117" s="62"/>
      <c r="T117" s="62">
        <v>0</v>
      </c>
      <c r="U117" s="72">
        <v>3</v>
      </c>
      <c r="V117" s="72">
        <v>10</v>
      </c>
      <c r="W117" s="62"/>
      <c r="X117" s="62"/>
      <c r="Y117" s="63"/>
      <c r="Z117" s="73"/>
      <c r="AA117" s="25">
        <f>VLOOKUP(F117,'[1]Zones 1'!$A$2:$F$25426,6,FALSE)</f>
        <v>651</v>
      </c>
      <c r="AB117" s="25">
        <f>VLOOKUP(L117,'[1]Zones 1'!$A$2:$F$25426,6,FALSE)</f>
        <v>1440</v>
      </c>
    </row>
    <row r="118" spans="2:28">
      <c r="B118" s="78">
        <v>0.4513888888888889</v>
      </c>
      <c r="C118" s="41"/>
      <c r="D118" s="41">
        <v>8</v>
      </c>
      <c r="E118" s="41">
        <v>3</v>
      </c>
      <c r="F118" s="42" t="s">
        <v>37</v>
      </c>
      <c r="G118" s="42" t="s">
        <v>37</v>
      </c>
      <c r="H118" s="42" t="s">
        <v>254</v>
      </c>
      <c r="I118" s="42"/>
      <c r="J118" s="42">
        <v>1</v>
      </c>
      <c r="K118" s="25" t="str">
        <f>VLOOKUP(J118,Key!$E$2:$F$9,2,FALSE)</f>
        <v>Home</v>
      </c>
      <c r="L118" s="42" t="s">
        <v>258</v>
      </c>
      <c r="M118" s="43" t="s">
        <v>37</v>
      </c>
      <c r="N118" s="43" t="s">
        <v>254</v>
      </c>
      <c r="O118" s="43"/>
      <c r="P118" s="43">
        <v>6</v>
      </c>
      <c r="Q118" s="25" t="str">
        <f>VLOOKUP(P118,Key!$E$2:$F$9,2,FALSE)</f>
        <v>Leisure/Social</v>
      </c>
      <c r="R118" s="25" t="str">
        <f t="shared" si="2"/>
        <v>Home-Leisure/Social</v>
      </c>
      <c r="S118" s="62"/>
      <c r="T118" s="62">
        <v>0</v>
      </c>
      <c r="U118" s="72">
        <v>4</v>
      </c>
      <c r="V118" s="72"/>
      <c r="W118" s="62"/>
      <c r="X118" s="62"/>
      <c r="Y118" s="63"/>
      <c r="Z118" s="73"/>
      <c r="AA118" s="25">
        <f>VLOOKUP(F118,'[1]Zones 1'!$A$2:$F$25426,6,FALSE)</f>
        <v>651</v>
      </c>
      <c r="AB118" s="25">
        <f>VLOOKUP(L118,'[1]Zones 1'!$A$2:$F$25426,6,FALSE)</f>
        <v>655</v>
      </c>
    </row>
    <row r="119" spans="2:28">
      <c r="B119" s="78">
        <v>0.46458333333333335</v>
      </c>
      <c r="C119" s="41"/>
      <c r="D119" s="41">
        <v>3</v>
      </c>
      <c r="E119" s="41">
        <v>1</v>
      </c>
      <c r="F119" s="42" t="s">
        <v>242</v>
      </c>
      <c r="G119" s="42" t="s">
        <v>242</v>
      </c>
      <c r="H119" s="42" t="s">
        <v>254</v>
      </c>
      <c r="I119" s="42"/>
      <c r="J119" s="42">
        <v>2</v>
      </c>
      <c r="K119" s="25" t="str">
        <f>VLOOKUP(J119,Key!$E$2:$F$9,2,FALSE)</f>
        <v>Work</v>
      </c>
      <c r="L119" s="42" t="s">
        <v>38</v>
      </c>
      <c r="M119" s="43" t="s">
        <v>37</v>
      </c>
      <c r="N119" s="43" t="s">
        <v>254</v>
      </c>
      <c r="O119" s="43"/>
      <c r="P119" s="43">
        <v>1</v>
      </c>
      <c r="Q119" s="25" t="str">
        <f>VLOOKUP(P119,Key!$E$2:$F$9,2,FALSE)</f>
        <v>Home</v>
      </c>
      <c r="R119" s="25" t="str">
        <f t="shared" si="2"/>
        <v>Work-Home</v>
      </c>
      <c r="S119" s="62"/>
      <c r="T119" s="62">
        <v>4</v>
      </c>
      <c r="U119" s="72">
        <v>3</v>
      </c>
      <c r="V119" s="72">
        <v>8</v>
      </c>
      <c r="W119" s="62"/>
      <c r="X119" s="62"/>
      <c r="Y119" s="63"/>
      <c r="Z119" s="73"/>
      <c r="AA119" s="25">
        <f>VLOOKUP(F119,'[1]Zones 1'!$A$2:$F$25426,6,FALSE)</f>
        <v>436</v>
      </c>
      <c r="AB119" s="25">
        <f>VLOOKUP(L119,'[1]Zones 1'!$A$2:$F$25426,6,FALSE)</f>
        <v>644</v>
      </c>
    </row>
    <row r="120" spans="2:28">
      <c r="B120" s="78">
        <v>0.47222222222222227</v>
      </c>
      <c r="C120" s="41"/>
      <c r="D120" s="41">
        <v>9</v>
      </c>
      <c r="E120" s="41">
        <v>2</v>
      </c>
      <c r="F120" s="42" t="s">
        <v>241</v>
      </c>
      <c r="G120" s="42" t="s">
        <v>241</v>
      </c>
      <c r="H120" s="42" t="s">
        <v>254</v>
      </c>
      <c r="I120" s="42"/>
      <c r="J120" s="42">
        <v>2</v>
      </c>
      <c r="K120" s="25" t="str">
        <f>VLOOKUP(J120,Key!$E$2:$F$9,2,FALSE)</f>
        <v>Work</v>
      </c>
      <c r="L120" s="42" t="s">
        <v>256</v>
      </c>
      <c r="M120" s="43" t="s">
        <v>37</v>
      </c>
      <c r="N120" s="43" t="s">
        <v>254</v>
      </c>
      <c r="O120" s="43"/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62"/>
      <c r="T120" s="62">
        <v>7</v>
      </c>
      <c r="U120" s="72">
        <v>4</v>
      </c>
      <c r="V120" s="72">
        <v>10</v>
      </c>
      <c r="W120" s="62"/>
      <c r="X120" s="62"/>
      <c r="Y120" s="63"/>
      <c r="Z120" s="73"/>
      <c r="AA120" s="25">
        <f>VLOOKUP(F120,'[1]Zones 1'!$A$2:$F$25426,6,FALSE)</f>
        <v>521</v>
      </c>
      <c r="AB120" s="25">
        <f>VLOOKUP(L120,'[1]Zones 1'!$A$2:$F$25426,6,FALSE)</f>
        <v>1440</v>
      </c>
    </row>
    <row r="121" spans="2:28">
      <c r="B121" s="78">
        <v>0.4861111111111111</v>
      </c>
      <c r="C121" s="41"/>
      <c r="D121" s="41">
        <v>1</v>
      </c>
      <c r="E121" s="41">
        <v>1</v>
      </c>
      <c r="F121" s="42" t="s">
        <v>37</v>
      </c>
      <c r="G121" s="42" t="s">
        <v>37</v>
      </c>
      <c r="H121" s="42" t="s">
        <v>254</v>
      </c>
      <c r="I121" s="42"/>
      <c r="J121" s="42">
        <v>1</v>
      </c>
      <c r="K121" s="25" t="str">
        <f>VLOOKUP(J121,Key!$E$2:$F$9,2,FALSE)</f>
        <v>Home</v>
      </c>
      <c r="L121" s="42" t="s">
        <v>258</v>
      </c>
      <c r="M121" s="43" t="s">
        <v>37</v>
      </c>
      <c r="N121" s="43" t="s">
        <v>254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62"/>
      <c r="T121" s="62">
        <v>1</v>
      </c>
      <c r="U121" s="72">
        <v>3</v>
      </c>
      <c r="V121" s="72">
        <v>3</v>
      </c>
      <c r="W121" s="62"/>
      <c r="X121" s="62"/>
      <c r="Y121" s="63"/>
      <c r="Z121" s="73"/>
      <c r="AA121" s="25">
        <f>VLOOKUP(F121,'[1]Zones 1'!$A$2:$F$25426,6,FALSE)</f>
        <v>651</v>
      </c>
      <c r="AB121" s="25">
        <f>VLOOKUP(L121,'[1]Zones 1'!$A$2:$F$25426,6,FALSE)</f>
        <v>655</v>
      </c>
    </row>
    <row r="122" spans="2:28">
      <c r="B122" s="78">
        <v>0.48958333333333331</v>
      </c>
      <c r="C122" s="41"/>
      <c r="D122" s="41">
        <v>1</v>
      </c>
      <c r="E122" s="41">
        <v>2</v>
      </c>
      <c r="F122" s="42" t="s">
        <v>37</v>
      </c>
      <c r="G122" s="42" t="s">
        <v>37</v>
      </c>
      <c r="H122" s="42" t="s">
        <v>254</v>
      </c>
      <c r="I122" s="42"/>
      <c r="J122" s="42">
        <v>3</v>
      </c>
      <c r="K122" s="25" t="str">
        <f>VLOOKUP(J122,Key!$E$2:$F$9,2,FALSE)</f>
        <v>Study</v>
      </c>
      <c r="L122" s="42" t="s">
        <v>259</v>
      </c>
      <c r="M122" s="43" t="s">
        <v>37</v>
      </c>
      <c r="N122" s="43" t="s">
        <v>254</v>
      </c>
      <c r="O122" s="43"/>
      <c r="P122" s="43">
        <v>1</v>
      </c>
      <c r="Q122" s="25" t="str">
        <f>VLOOKUP(P122,Key!$E$2:$F$9,2,FALSE)</f>
        <v>Home</v>
      </c>
      <c r="R122" s="25" t="str">
        <f t="shared" si="2"/>
        <v>Study-Home</v>
      </c>
      <c r="S122" s="62"/>
      <c r="T122" s="62">
        <v>1</v>
      </c>
      <c r="U122" s="72">
        <v>3</v>
      </c>
      <c r="V122" s="72">
        <v>10</v>
      </c>
      <c r="W122" s="62"/>
      <c r="X122" s="62"/>
      <c r="Y122" s="63"/>
      <c r="Z122" s="73"/>
      <c r="AA122" s="25">
        <f>VLOOKUP(F122,'[1]Zones 1'!$A$2:$F$25426,6,FALSE)</f>
        <v>651</v>
      </c>
      <c r="AB122" s="25">
        <f>VLOOKUP(L122,'[1]Zones 1'!$A$2:$F$25426,6,FALSE)</f>
        <v>666</v>
      </c>
    </row>
    <row r="123" spans="2:28">
      <c r="B123" s="78">
        <v>0.49722222222222223</v>
      </c>
      <c r="C123" s="41"/>
      <c r="D123" s="41">
        <v>8</v>
      </c>
      <c r="E123" s="41">
        <v>2</v>
      </c>
      <c r="F123" s="42" t="s">
        <v>37</v>
      </c>
      <c r="G123" s="42" t="s">
        <v>37</v>
      </c>
      <c r="H123" s="42" t="s">
        <v>254</v>
      </c>
      <c r="I123" s="42"/>
      <c r="J123" s="42">
        <v>6</v>
      </c>
      <c r="K123" s="25" t="str">
        <f>VLOOKUP(J123,Key!$E$2:$F$9,2,FALSE)</f>
        <v>Leisure/Social</v>
      </c>
      <c r="L123" s="42" t="s">
        <v>258</v>
      </c>
      <c r="M123" s="43" t="s">
        <v>37</v>
      </c>
      <c r="N123" s="43" t="s">
        <v>254</v>
      </c>
      <c r="O123" s="43"/>
      <c r="P123" s="43">
        <v>1</v>
      </c>
      <c r="Q123" s="25" t="str">
        <f>VLOOKUP(P123,Key!$E$2:$F$9,2,FALSE)</f>
        <v>Home</v>
      </c>
      <c r="R123" s="25" t="str">
        <f t="shared" si="2"/>
        <v>Leisure/Social-Home</v>
      </c>
      <c r="S123" s="62"/>
      <c r="T123" s="62">
        <v>1</v>
      </c>
      <c r="U123" s="72">
        <v>4</v>
      </c>
      <c r="V123" s="72">
        <v>10</v>
      </c>
      <c r="W123" s="62"/>
      <c r="X123" s="62"/>
      <c r="Y123" s="63"/>
      <c r="Z123" s="73"/>
      <c r="AA123" s="25">
        <f>VLOOKUP(F123,'[1]Zones 1'!$A$2:$F$25426,6,FALSE)</f>
        <v>651</v>
      </c>
      <c r="AB123" s="25">
        <f>VLOOKUP(L123,'[1]Zones 1'!$A$2:$F$25426,6,FALSE)</f>
        <v>655</v>
      </c>
    </row>
    <row r="124" spans="2:28">
      <c r="B124" s="78">
        <v>0.50069444444444444</v>
      </c>
      <c r="C124" s="41"/>
      <c r="D124" s="41">
        <v>3</v>
      </c>
      <c r="E124" s="41">
        <v>2</v>
      </c>
      <c r="F124" s="42" t="s">
        <v>243</v>
      </c>
      <c r="G124" s="42" t="s">
        <v>243</v>
      </c>
      <c r="H124" s="42" t="s">
        <v>254</v>
      </c>
      <c r="I124" s="42"/>
      <c r="J124" s="42">
        <v>6</v>
      </c>
      <c r="K124" s="25" t="str">
        <f>VLOOKUP(J124,Key!$E$2:$F$9,2,FALSE)</f>
        <v>Leisure/Social</v>
      </c>
      <c r="L124" s="42" t="s">
        <v>256</v>
      </c>
      <c r="M124" s="43" t="s">
        <v>37</v>
      </c>
      <c r="N124" s="43" t="s">
        <v>254</v>
      </c>
      <c r="O124" s="43"/>
      <c r="P124" s="43">
        <v>1</v>
      </c>
      <c r="Q124" s="25" t="str">
        <f>VLOOKUP(P124,Key!$E$2:$F$9,2,FALSE)</f>
        <v>Home</v>
      </c>
      <c r="R124" s="25" t="str">
        <f t="shared" si="2"/>
        <v>Leisure/Social-Home</v>
      </c>
      <c r="S124" s="62"/>
      <c r="T124" s="62">
        <v>3</v>
      </c>
      <c r="U124" s="72">
        <v>4</v>
      </c>
      <c r="V124" s="72">
        <v>10</v>
      </c>
      <c r="W124" s="62"/>
      <c r="X124" s="62"/>
      <c r="Y124" s="63"/>
      <c r="Z124" s="73"/>
      <c r="AA124" s="25">
        <f>VLOOKUP(F124,'[1]Zones 1'!$A$2:$F$25426,6,FALSE)</f>
        <v>1283</v>
      </c>
      <c r="AB124" s="25">
        <f>VLOOKUP(L124,'[1]Zones 1'!$A$2:$F$25426,6,FALSE)</f>
        <v>1440</v>
      </c>
    </row>
    <row r="125" spans="2:28">
      <c r="B125" s="78">
        <v>0.50486111111111109</v>
      </c>
      <c r="C125" s="41"/>
      <c r="D125" s="41">
        <v>2</v>
      </c>
      <c r="E125" s="41">
        <v>1</v>
      </c>
      <c r="F125" s="42" t="s">
        <v>37</v>
      </c>
      <c r="G125" s="42" t="s">
        <v>37</v>
      </c>
      <c r="H125" s="42" t="s">
        <v>254</v>
      </c>
      <c r="I125" s="42"/>
      <c r="J125" s="42">
        <v>4</v>
      </c>
      <c r="K125" s="25" t="str">
        <f>VLOOKUP(J125,Key!$E$2:$F$9,2,FALSE)</f>
        <v>Commercial</v>
      </c>
      <c r="L125" s="42" t="s">
        <v>258</v>
      </c>
      <c r="M125" s="43" t="s">
        <v>37</v>
      </c>
      <c r="N125" s="43" t="s">
        <v>254</v>
      </c>
      <c r="O125" s="43"/>
      <c r="P125" s="43">
        <v>1</v>
      </c>
      <c r="Q125" s="25" t="str">
        <f>VLOOKUP(P125,Key!$E$2:$F$9,2,FALSE)</f>
        <v>Home</v>
      </c>
      <c r="R125" s="25" t="str">
        <f t="shared" si="2"/>
        <v>Commercial-Home</v>
      </c>
      <c r="S125" s="62"/>
      <c r="T125" s="62">
        <v>1</v>
      </c>
      <c r="U125" s="72">
        <v>3</v>
      </c>
      <c r="V125" s="72"/>
      <c r="W125" s="62"/>
      <c r="X125" s="62"/>
      <c r="Y125" s="63"/>
      <c r="Z125" s="73"/>
      <c r="AA125" s="25">
        <f>VLOOKUP(F125,'[1]Zones 1'!$A$2:$F$25426,6,FALSE)</f>
        <v>651</v>
      </c>
      <c r="AB125" s="25">
        <f>VLOOKUP(L125,'[1]Zones 1'!$A$2:$F$25426,6,FALSE)</f>
        <v>655</v>
      </c>
    </row>
    <row r="126" spans="2:28">
      <c r="B126" s="78">
        <v>0.51527777777777783</v>
      </c>
      <c r="C126" s="41"/>
      <c r="D126" s="41">
        <v>3</v>
      </c>
      <c r="E126" s="41">
        <v>1</v>
      </c>
      <c r="F126" s="42" t="s">
        <v>573</v>
      </c>
      <c r="G126" s="42" t="s">
        <v>242</v>
      </c>
      <c r="H126" s="42" t="s">
        <v>254</v>
      </c>
      <c r="I126" s="42"/>
      <c r="J126" s="42">
        <v>2</v>
      </c>
      <c r="K126" s="25" t="str">
        <f>VLOOKUP(J126,Key!$E$2:$F$9,2,FALSE)</f>
        <v>Work</v>
      </c>
      <c r="L126" s="42" t="s">
        <v>38</v>
      </c>
      <c r="M126" s="43" t="s">
        <v>37</v>
      </c>
      <c r="N126" s="43" t="s">
        <v>254</v>
      </c>
      <c r="O126" s="43"/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62"/>
      <c r="T126" s="62">
        <v>3</v>
      </c>
      <c r="U126" s="72">
        <v>2</v>
      </c>
      <c r="V126" s="72">
        <v>3</v>
      </c>
      <c r="W126" s="62"/>
      <c r="X126" s="62"/>
      <c r="Y126" s="63"/>
      <c r="Z126" s="73"/>
      <c r="AA126" s="25">
        <f>VLOOKUP(F126,'[1]Zones 1'!$A$2:$F$25426,6,FALSE)</f>
        <v>433</v>
      </c>
      <c r="AB126" s="25">
        <f>VLOOKUP(L126,'[1]Zones 1'!$A$2:$F$25426,6,FALSE)</f>
        <v>644</v>
      </c>
    </row>
    <row r="127" spans="2:28">
      <c r="B127" s="78">
        <v>0.53055555555555556</v>
      </c>
      <c r="C127" s="41"/>
      <c r="D127" s="41">
        <v>1</v>
      </c>
      <c r="E127" s="41">
        <v>3</v>
      </c>
      <c r="F127" s="42" t="s">
        <v>37</v>
      </c>
      <c r="G127" s="42" t="s">
        <v>37</v>
      </c>
      <c r="H127" s="42" t="s">
        <v>254</v>
      </c>
      <c r="I127" s="42"/>
      <c r="J127" s="42">
        <v>1</v>
      </c>
      <c r="K127" s="25" t="str">
        <f>VLOOKUP(J127,Key!$E$2:$F$9,2,FALSE)</f>
        <v>Home</v>
      </c>
      <c r="L127" s="42" t="s">
        <v>38</v>
      </c>
      <c r="M127" s="43" t="s">
        <v>37</v>
      </c>
      <c r="N127" s="43" t="s">
        <v>254</v>
      </c>
      <c r="O127" s="43"/>
      <c r="P127" s="43">
        <v>6</v>
      </c>
      <c r="Q127" s="25" t="str">
        <f>VLOOKUP(P127,Key!$E$2:$F$9,2,FALSE)</f>
        <v>Leisure/Social</v>
      </c>
      <c r="R127" s="25" t="str">
        <f t="shared" si="2"/>
        <v>Home-Leisure/Social</v>
      </c>
      <c r="S127" s="62"/>
      <c r="T127" s="62">
        <v>1</v>
      </c>
      <c r="U127" s="72">
        <v>4</v>
      </c>
      <c r="V127" s="72">
        <v>10</v>
      </c>
      <c r="W127" s="62"/>
      <c r="X127" s="62"/>
      <c r="Y127" s="63"/>
      <c r="Z127" s="73"/>
      <c r="AA127" s="25">
        <f>VLOOKUP(F127,'[1]Zones 1'!$A$2:$F$25426,6,FALSE)</f>
        <v>651</v>
      </c>
      <c r="AB127" s="25">
        <f>VLOOKUP(L127,'[1]Zones 1'!$A$2:$F$25426,6,FALSE)</f>
        <v>644</v>
      </c>
    </row>
    <row r="128" spans="2:28">
      <c r="B128" s="78">
        <v>0.53333333333333333</v>
      </c>
      <c r="C128" s="41"/>
      <c r="D128" s="41">
        <v>1</v>
      </c>
      <c r="E128" s="41">
        <v>1</v>
      </c>
      <c r="F128" s="42" t="s">
        <v>37</v>
      </c>
      <c r="G128" s="42" t="s">
        <v>37</v>
      </c>
      <c r="H128" s="42" t="s">
        <v>254</v>
      </c>
      <c r="I128" s="42"/>
      <c r="J128" s="42">
        <v>6</v>
      </c>
      <c r="K128" s="25" t="str">
        <f>VLOOKUP(J128,Key!$E$2:$F$9,2,FALSE)</f>
        <v>Leisure/Social</v>
      </c>
      <c r="L128" s="42" t="s">
        <v>258</v>
      </c>
      <c r="M128" s="43" t="s">
        <v>37</v>
      </c>
      <c r="N128" s="43" t="s">
        <v>254</v>
      </c>
      <c r="O128" s="43"/>
      <c r="P128" s="43">
        <v>1</v>
      </c>
      <c r="Q128" s="25" t="str">
        <f>VLOOKUP(P128,Key!$E$2:$F$9,2,FALSE)</f>
        <v>Home</v>
      </c>
      <c r="R128" s="25" t="str">
        <f t="shared" si="2"/>
        <v>Leisure/Social-Home</v>
      </c>
      <c r="S128" s="62"/>
      <c r="T128" s="62">
        <v>2</v>
      </c>
      <c r="U128" s="72">
        <v>3</v>
      </c>
      <c r="V128" s="72"/>
      <c r="W128" s="62"/>
      <c r="X128" s="62"/>
      <c r="Y128" s="63"/>
      <c r="Z128" s="73"/>
      <c r="AA128" s="25">
        <f>VLOOKUP(F128,'[1]Zones 1'!$A$2:$F$25426,6,FALSE)</f>
        <v>651</v>
      </c>
      <c r="AB128" s="25">
        <f>VLOOKUP(L128,'[1]Zones 1'!$A$2:$F$25426,6,FALSE)</f>
        <v>655</v>
      </c>
    </row>
    <row r="129" spans="2:28">
      <c r="B129" s="78">
        <v>0.54791666666666672</v>
      </c>
      <c r="C129" s="41"/>
      <c r="D129" s="41">
        <v>3</v>
      </c>
      <c r="E129" s="41">
        <v>3</v>
      </c>
      <c r="F129" s="42" t="s">
        <v>37</v>
      </c>
      <c r="G129" s="42" t="s">
        <v>37</v>
      </c>
      <c r="H129" s="42" t="s">
        <v>254</v>
      </c>
      <c r="I129" s="42"/>
      <c r="J129" s="42">
        <v>1</v>
      </c>
      <c r="K129" s="25" t="str">
        <f>VLOOKUP(J129,Key!$E$2:$F$9,2,FALSE)</f>
        <v>Home</v>
      </c>
      <c r="L129" s="42" t="s">
        <v>38</v>
      </c>
      <c r="M129" s="43" t="s">
        <v>37</v>
      </c>
      <c r="N129" s="43" t="s">
        <v>254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Home-Work</v>
      </c>
      <c r="S129" s="62"/>
      <c r="T129" s="62">
        <v>2</v>
      </c>
      <c r="U129" s="72">
        <v>2</v>
      </c>
      <c r="V129" s="72">
        <v>6</v>
      </c>
      <c r="W129" s="62"/>
      <c r="X129" s="62"/>
      <c r="Y129" s="63"/>
      <c r="Z129" s="73"/>
      <c r="AA129" s="25">
        <f>VLOOKUP(F129,'[1]Zones 1'!$A$2:$F$25426,6,FALSE)</f>
        <v>651</v>
      </c>
      <c r="AB129" s="25">
        <f>VLOOKUP(L129,'[1]Zones 1'!$A$2:$F$25426,6,FALSE)</f>
        <v>644</v>
      </c>
    </row>
    <row r="130" spans="2:28">
      <c r="B130" s="78">
        <v>0.55208333333333337</v>
      </c>
      <c r="C130" s="41"/>
      <c r="D130" s="41">
        <v>1</v>
      </c>
      <c r="E130" s="41">
        <v>1</v>
      </c>
      <c r="F130" s="42" t="s">
        <v>37</v>
      </c>
      <c r="G130" s="42" t="s">
        <v>37</v>
      </c>
      <c r="H130" s="42" t="s">
        <v>254</v>
      </c>
      <c r="I130" s="42"/>
      <c r="J130" s="42">
        <v>2</v>
      </c>
      <c r="K130" s="25" t="str">
        <f>VLOOKUP(J130,Key!$E$2:$F$9,2,FALSE)</f>
        <v>Work</v>
      </c>
      <c r="L130" s="42" t="s">
        <v>258</v>
      </c>
      <c r="M130" s="43" t="s">
        <v>37</v>
      </c>
      <c r="N130" s="43" t="s">
        <v>254</v>
      </c>
      <c r="O130" s="43"/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62"/>
      <c r="T130" s="62">
        <v>1</v>
      </c>
      <c r="U130" s="72">
        <v>2</v>
      </c>
      <c r="V130" s="72">
        <v>10</v>
      </c>
      <c r="W130" s="62"/>
      <c r="X130" s="62"/>
      <c r="Y130" s="63"/>
      <c r="Z130" s="73"/>
      <c r="AA130" s="25">
        <f>VLOOKUP(F130,'[1]Zones 1'!$A$2:$F$25426,6,FALSE)</f>
        <v>651</v>
      </c>
      <c r="AB130" s="25">
        <f>VLOOKUP(L130,'[1]Zones 1'!$A$2:$F$25426,6,FALSE)</f>
        <v>655</v>
      </c>
    </row>
    <row r="131" spans="2:28">
      <c r="B131" s="78">
        <v>0.55902777777777779</v>
      </c>
      <c r="C131" s="41"/>
      <c r="D131" s="41">
        <v>8</v>
      </c>
      <c r="E131" s="41">
        <v>2</v>
      </c>
      <c r="F131" s="42" t="s">
        <v>245</v>
      </c>
      <c r="G131" s="42" t="s">
        <v>245</v>
      </c>
      <c r="H131" s="42" t="s">
        <v>254</v>
      </c>
      <c r="I131" s="42"/>
      <c r="J131" s="42">
        <v>1</v>
      </c>
      <c r="K131" s="25" t="str">
        <f>VLOOKUP(J131,Key!$E$2:$F$9,2,FALSE)</f>
        <v>Home</v>
      </c>
      <c r="L131" s="42" t="s">
        <v>256</v>
      </c>
      <c r="M131" s="43" t="s">
        <v>37</v>
      </c>
      <c r="N131" s="43" t="s">
        <v>254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62"/>
      <c r="T131" s="62">
        <v>48</v>
      </c>
      <c r="U131" s="72">
        <v>4</v>
      </c>
      <c r="V131" s="72">
        <v>10</v>
      </c>
      <c r="W131" s="62"/>
      <c r="X131" s="62"/>
      <c r="Y131" s="63"/>
      <c r="Z131" s="73"/>
      <c r="AA131" s="25">
        <f>VLOOKUP(F131,'[1]Zones 1'!$A$2:$F$25426,6,FALSE)</f>
        <v>1382</v>
      </c>
      <c r="AB131" s="25">
        <f>VLOOKUP(L131,'[1]Zones 1'!$A$2:$F$25426,6,FALSE)</f>
        <v>1440</v>
      </c>
    </row>
    <row r="132" spans="2:28">
      <c r="B132" s="78">
        <v>0.56388888888888888</v>
      </c>
      <c r="C132" s="41"/>
      <c r="D132" s="41">
        <v>3</v>
      </c>
      <c r="E132" s="41">
        <v>1</v>
      </c>
      <c r="F132" s="42" t="s">
        <v>37</v>
      </c>
      <c r="G132" s="42" t="s">
        <v>37</v>
      </c>
      <c r="H132" s="42" t="s">
        <v>254</v>
      </c>
      <c r="I132" s="42"/>
      <c r="J132" s="42">
        <v>2</v>
      </c>
      <c r="K132" s="25" t="str">
        <f>VLOOKUP(J132,Key!$E$2:$F$9,2,FALSE)</f>
        <v>Work</v>
      </c>
      <c r="L132" s="42" t="s">
        <v>259</v>
      </c>
      <c r="M132" s="43" t="s">
        <v>37</v>
      </c>
      <c r="N132" s="43" t="s">
        <v>254</v>
      </c>
      <c r="O132" s="43"/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2"/>
      <c r="T132" s="62">
        <v>1</v>
      </c>
      <c r="U132" s="72">
        <v>3</v>
      </c>
      <c r="V132" s="72">
        <v>6</v>
      </c>
      <c r="W132" s="62"/>
      <c r="X132" s="62"/>
      <c r="Y132" s="63"/>
      <c r="Z132" s="73"/>
      <c r="AA132" s="25">
        <f>VLOOKUP(F132,'[1]Zones 1'!$A$2:$F$25426,6,FALSE)</f>
        <v>651</v>
      </c>
      <c r="AB132" s="25">
        <f>VLOOKUP(L132,'[1]Zones 1'!$A$2:$F$25426,6,FALSE)</f>
        <v>666</v>
      </c>
    </row>
    <row r="133" spans="2:28">
      <c r="B133" s="78">
        <v>0.56944444444444442</v>
      </c>
      <c r="C133" s="41"/>
      <c r="D133" s="41">
        <v>3</v>
      </c>
      <c r="E133" s="41">
        <v>2</v>
      </c>
      <c r="F133" s="42" t="s">
        <v>37</v>
      </c>
      <c r="G133" s="42" t="s">
        <v>37</v>
      </c>
      <c r="H133" s="42" t="s">
        <v>254</v>
      </c>
      <c r="I133" s="42"/>
      <c r="J133" s="42">
        <v>1</v>
      </c>
      <c r="K133" s="25" t="str">
        <f>VLOOKUP(J133,Key!$E$2:$F$9,2,FALSE)</f>
        <v>Home</v>
      </c>
      <c r="L133" s="42" t="s">
        <v>88</v>
      </c>
      <c r="M133" s="43" t="s">
        <v>37</v>
      </c>
      <c r="N133" s="43" t="s">
        <v>254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62"/>
      <c r="T133" s="62">
        <v>1</v>
      </c>
      <c r="U133" s="72">
        <v>3</v>
      </c>
      <c r="V133" s="72">
        <v>3</v>
      </c>
      <c r="W133" s="62"/>
      <c r="X133" s="62"/>
      <c r="Y133" s="63"/>
      <c r="Z133" s="73"/>
      <c r="AA133" s="25">
        <f>VLOOKUP(F133,'[1]Zones 1'!$A$2:$F$25426,6,FALSE)</f>
        <v>651</v>
      </c>
      <c r="AB133" s="25">
        <f>VLOOKUP(L133,'[1]Zones 1'!$A$2:$F$25426,6,FALSE)</f>
        <v>659</v>
      </c>
    </row>
    <row r="134" spans="2:28">
      <c r="B134" s="78">
        <v>0.57916666666666672</v>
      </c>
      <c r="C134" s="41"/>
      <c r="D134" s="41">
        <v>3</v>
      </c>
      <c r="E134" s="41">
        <v>1</v>
      </c>
      <c r="F134" s="42" t="s">
        <v>246</v>
      </c>
      <c r="G134" s="42" t="s">
        <v>246</v>
      </c>
      <c r="H134" s="42" t="s">
        <v>254</v>
      </c>
      <c r="I134" s="42"/>
      <c r="J134" s="42">
        <v>1</v>
      </c>
      <c r="K134" s="25" t="str">
        <f>VLOOKUP(J134,Key!$E$2:$F$9,2,FALSE)</f>
        <v>Home</v>
      </c>
      <c r="L134" s="42" t="s">
        <v>260</v>
      </c>
      <c r="M134" s="43" t="s">
        <v>37</v>
      </c>
      <c r="N134" s="43" t="s">
        <v>254</v>
      </c>
      <c r="O134" s="43"/>
      <c r="P134" s="43">
        <v>7</v>
      </c>
      <c r="Q134" s="25" t="str">
        <f>VLOOKUP(P134,Key!$E$2:$F$9,2,FALSE)</f>
        <v>Hospital</v>
      </c>
      <c r="R134" s="25" t="str">
        <f t="shared" si="2"/>
        <v>Home-Hospital</v>
      </c>
      <c r="S134" s="62"/>
      <c r="T134" s="62">
        <v>4</v>
      </c>
      <c r="U134" s="72">
        <v>4</v>
      </c>
      <c r="V134" s="72">
        <v>10</v>
      </c>
      <c r="W134" s="62"/>
      <c r="X134" s="62"/>
      <c r="Y134" s="63"/>
      <c r="Z134" s="73"/>
      <c r="AA134" s="25">
        <f>VLOOKUP(F134,'[1]Zones 1'!$A$2:$F$25426,6,FALSE)</f>
        <v>341</v>
      </c>
      <c r="AB134" s="25">
        <f>VLOOKUP(L134,'[1]Zones 1'!$A$2:$F$25426,6,FALSE)</f>
        <v>651</v>
      </c>
    </row>
    <row r="135" spans="2:28">
      <c r="B135" s="78">
        <v>0.58819444444444446</v>
      </c>
      <c r="C135" s="41"/>
      <c r="D135" s="41">
        <v>1</v>
      </c>
      <c r="E135" s="41">
        <v>2</v>
      </c>
      <c r="F135" s="42" t="s">
        <v>241</v>
      </c>
      <c r="G135" s="42" t="s">
        <v>241</v>
      </c>
      <c r="H135" s="42" t="s">
        <v>254</v>
      </c>
      <c r="I135" s="42"/>
      <c r="J135" s="42">
        <v>2</v>
      </c>
      <c r="K135" s="25" t="str">
        <f>VLOOKUP(J135,Key!$E$2:$F$9,2,FALSE)</f>
        <v>Work</v>
      </c>
      <c r="L135" s="42" t="s">
        <v>38</v>
      </c>
      <c r="M135" s="43" t="s">
        <v>37</v>
      </c>
      <c r="N135" s="43" t="s">
        <v>254</v>
      </c>
      <c r="O135" s="43"/>
      <c r="P135" s="43">
        <v>1</v>
      </c>
      <c r="Q135" s="25" t="str">
        <f>VLOOKUP(P135,Key!$E$2:$F$9,2,FALSE)</f>
        <v>Home</v>
      </c>
      <c r="R135" s="25" t="str">
        <f t="shared" si="2"/>
        <v>Work-Home</v>
      </c>
      <c r="S135" s="62"/>
      <c r="T135" s="62">
        <v>6</v>
      </c>
      <c r="U135" s="72">
        <v>3</v>
      </c>
      <c r="V135" s="72">
        <v>9</v>
      </c>
      <c r="W135" s="62"/>
      <c r="X135" s="62"/>
      <c r="Y135" s="63"/>
      <c r="Z135" s="73"/>
      <c r="AA135" s="25">
        <f>VLOOKUP(F135,'[1]Zones 1'!$A$2:$F$25426,6,FALSE)</f>
        <v>521</v>
      </c>
      <c r="AB135" s="25">
        <f>VLOOKUP(L135,'[1]Zones 1'!$A$2:$F$25426,6,FALSE)</f>
        <v>644</v>
      </c>
    </row>
    <row r="136" spans="2:28">
      <c r="B136" s="78">
        <v>0.59583333333333333</v>
      </c>
      <c r="C136" s="41"/>
      <c r="D136" s="41">
        <v>1</v>
      </c>
      <c r="E136" s="41">
        <v>1</v>
      </c>
      <c r="F136" s="42" t="s">
        <v>247</v>
      </c>
      <c r="G136" s="42" t="s">
        <v>241</v>
      </c>
      <c r="H136" s="42" t="s">
        <v>254</v>
      </c>
      <c r="I136" s="42"/>
      <c r="J136" s="42">
        <v>2</v>
      </c>
      <c r="K136" s="25" t="str">
        <f>VLOOKUP(J136,Key!$E$2:$F$9,2,FALSE)</f>
        <v>Work</v>
      </c>
      <c r="L136" s="42" t="s">
        <v>38</v>
      </c>
      <c r="M136" s="43" t="s">
        <v>37</v>
      </c>
      <c r="N136" s="43" t="s">
        <v>254</v>
      </c>
      <c r="O136" s="43"/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62"/>
      <c r="T136" s="62">
        <v>2</v>
      </c>
      <c r="U136" s="72">
        <v>2</v>
      </c>
      <c r="V136" s="72">
        <v>8</v>
      </c>
      <c r="W136" s="62"/>
      <c r="X136" s="62"/>
      <c r="Y136" s="63"/>
      <c r="Z136" s="73"/>
      <c r="AA136" s="25">
        <f>VLOOKUP(F136,'[1]Zones 1'!$A$2:$F$25426,6,FALSE)</f>
        <v>651</v>
      </c>
      <c r="AB136" s="25">
        <f>VLOOKUP(L136,'[1]Zones 1'!$A$2:$F$25426,6,FALSE)</f>
        <v>644</v>
      </c>
    </row>
    <row r="137" spans="2:28">
      <c r="B137" s="78">
        <v>0.60138888888888886</v>
      </c>
      <c r="C137" s="41"/>
      <c r="D137" s="41">
        <v>3</v>
      </c>
      <c r="E137" s="41">
        <v>1</v>
      </c>
      <c r="F137" s="42" t="s">
        <v>37</v>
      </c>
      <c r="G137" s="42" t="s">
        <v>37</v>
      </c>
      <c r="H137" s="42" t="s">
        <v>254</v>
      </c>
      <c r="I137" s="42"/>
      <c r="J137" s="42">
        <v>1</v>
      </c>
      <c r="K137" s="25" t="str">
        <f>VLOOKUP(J137,Key!$E$2:$F$9,2,FALSE)</f>
        <v>Home</v>
      </c>
      <c r="L137" s="42" t="s">
        <v>259</v>
      </c>
      <c r="M137" s="43" t="s">
        <v>37</v>
      </c>
      <c r="N137" s="43" t="s">
        <v>254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2"/>
      <c r="T137" s="62">
        <v>1</v>
      </c>
      <c r="U137" s="72">
        <v>6</v>
      </c>
      <c r="V137" s="72">
        <v>5</v>
      </c>
      <c r="W137" s="62"/>
      <c r="X137" s="62"/>
      <c r="Y137" s="63"/>
      <c r="Z137" s="73"/>
      <c r="AA137" s="25">
        <f>VLOOKUP(F137,'[1]Zones 1'!$A$2:$F$25426,6,FALSE)</f>
        <v>651</v>
      </c>
      <c r="AB137" s="25">
        <f>VLOOKUP(L137,'[1]Zones 1'!$A$2:$F$25426,6,FALSE)</f>
        <v>666</v>
      </c>
    </row>
    <row r="138" spans="2:28">
      <c r="B138" s="78">
        <v>0.60625000000000007</v>
      </c>
      <c r="C138" s="41"/>
      <c r="D138" s="41">
        <v>1</v>
      </c>
      <c r="E138" s="41">
        <v>1</v>
      </c>
      <c r="F138" s="42" t="s">
        <v>243</v>
      </c>
      <c r="G138" s="42" t="s">
        <v>243</v>
      </c>
      <c r="H138" s="42" t="s">
        <v>254</v>
      </c>
      <c r="I138" s="42"/>
      <c r="J138" s="42">
        <v>1</v>
      </c>
      <c r="K138" s="25" t="str">
        <f>VLOOKUP(J138,Key!$E$2:$F$9,2,FALSE)</f>
        <v>Home</v>
      </c>
      <c r="L138" s="42" t="s">
        <v>38</v>
      </c>
      <c r="M138" s="43" t="s">
        <v>37</v>
      </c>
      <c r="N138" s="43" t="s">
        <v>254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62"/>
      <c r="T138" s="62">
        <v>2</v>
      </c>
      <c r="U138" s="72">
        <v>2</v>
      </c>
      <c r="V138" s="72">
        <v>7</v>
      </c>
      <c r="W138" s="62"/>
      <c r="X138" s="62"/>
      <c r="Y138" s="63"/>
      <c r="Z138" s="73"/>
      <c r="AA138" s="25">
        <f>VLOOKUP(F138,'[1]Zones 1'!$A$2:$F$25426,6,FALSE)</f>
        <v>1283</v>
      </c>
      <c r="AB138" s="25">
        <f>VLOOKUP(L138,'[1]Zones 1'!$A$2:$F$25426,6,FALSE)</f>
        <v>644</v>
      </c>
    </row>
    <row r="139" spans="2:28">
      <c r="B139" s="78">
        <v>0.61388888888888882</v>
      </c>
      <c r="C139" s="41"/>
      <c r="D139" s="41">
        <v>3</v>
      </c>
      <c r="E139" s="41">
        <v>2</v>
      </c>
      <c r="F139" s="42" t="s">
        <v>37</v>
      </c>
      <c r="G139" s="42" t="s">
        <v>37</v>
      </c>
      <c r="H139" s="42" t="s">
        <v>254</v>
      </c>
      <c r="I139" s="42"/>
      <c r="J139" s="42">
        <v>2</v>
      </c>
      <c r="K139" s="25" t="str">
        <f>VLOOKUP(J139,Key!$E$2:$F$9,2,FALSE)</f>
        <v>Work</v>
      </c>
      <c r="L139" s="42" t="s">
        <v>261</v>
      </c>
      <c r="M139" s="43" t="s">
        <v>37</v>
      </c>
      <c r="N139" s="43" t="s">
        <v>254</v>
      </c>
      <c r="O139" s="43"/>
      <c r="P139" s="43">
        <v>1</v>
      </c>
      <c r="Q139" s="25" t="str">
        <f>VLOOKUP(P139,Key!$E$2:$F$9,2,FALSE)</f>
        <v>Home</v>
      </c>
      <c r="R139" s="25" t="str">
        <f t="shared" si="2"/>
        <v>Work-Home</v>
      </c>
      <c r="S139" s="62"/>
      <c r="T139" s="62">
        <v>2</v>
      </c>
      <c r="U139" s="72">
        <v>2</v>
      </c>
      <c r="V139" s="72">
        <v>8</v>
      </c>
      <c r="W139" s="62"/>
      <c r="X139" s="62"/>
      <c r="Y139" s="63"/>
      <c r="Z139" s="73"/>
      <c r="AA139" s="25">
        <f>VLOOKUP(F139,'[1]Zones 1'!$A$2:$F$25426,6,FALSE)</f>
        <v>651</v>
      </c>
      <c r="AB139" s="25">
        <f>VLOOKUP(L139,'[1]Zones 1'!$A$2:$F$25426,6,FALSE)</f>
        <v>659</v>
      </c>
    </row>
    <row r="140" spans="2:28">
      <c r="B140" s="78">
        <v>0.58611111111111114</v>
      </c>
      <c r="C140" s="41"/>
      <c r="D140" s="41">
        <v>1</v>
      </c>
      <c r="E140" s="41">
        <v>1</v>
      </c>
      <c r="F140" s="42" t="s">
        <v>37</v>
      </c>
      <c r="G140" s="42" t="s">
        <v>37</v>
      </c>
      <c r="H140" s="42" t="s">
        <v>254</v>
      </c>
      <c r="I140" s="42"/>
      <c r="J140" s="42">
        <v>1</v>
      </c>
      <c r="K140" s="25" t="str">
        <f>VLOOKUP(J140,Key!$E$2:$F$9,2,FALSE)</f>
        <v>Home</v>
      </c>
      <c r="L140" s="42" t="s">
        <v>38</v>
      </c>
      <c r="M140" s="43" t="s">
        <v>37</v>
      </c>
      <c r="N140" s="43" t="s">
        <v>254</v>
      </c>
      <c r="O140" s="43"/>
      <c r="P140" s="43">
        <v>4</v>
      </c>
      <c r="Q140" s="25" t="str">
        <f>VLOOKUP(P140,Key!$E$2:$F$9,2,FALSE)</f>
        <v>Commercial</v>
      </c>
      <c r="R140" s="25" t="str">
        <f t="shared" si="2"/>
        <v>Home-Commercial</v>
      </c>
      <c r="S140" s="62"/>
      <c r="T140" s="62">
        <v>0</v>
      </c>
      <c r="U140" s="72">
        <v>3</v>
      </c>
      <c r="V140" s="72">
        <v>3</v>
      </c>
      <c r="W140" s="62"/>
      <c r="X140" s="62"/>
      <c r="Y140" s="63"/>
      <c r="Z140" s="73"/>
      <c r="AA140" s="25">
        <f>VLOOKUP(F140,'[1]Zones 1'!$A$2:$F$25426,6,FALSE)</f>
        <v>651</v>
      </c>
      <c r="AB140" s="25">
        <f>VLOOKUP(L140,'[1]Zones 1'!$A$2:$F$25426,6,FALSE)</f>
        <v>644</v>
      </c>
    </row>
    <row r="141" spans="2:28">
      <c r="B141" s="78">
        <v>0.62986111111111109</v>
      </c>
      <c r="C141" s="41"/>
      <c r="D141" s="41">
        <v>1</v>
      </c>
      <c r="E141" s="41">
        <v>1</v>
      </c>
      <c r="F141" s="42" t="s">
        <v>37</v>
      </c>
      <c r="G141" s="42" t="s">
        <v>37</v>
      </c>
      <c r="H141" s="42" t="s">
        <v>254</v>
      </c>
      <c r="I141" s="42"/>
      <c r="J141" s="42">
        <v>6</v>
      </c>
      <c r="K141" s="25" t="str">
        <f>VLOOKUP(J141,Key!$E$2:$F$9,2,FALSE)</f>
        <v>Leisure/Social</v>
      </c>
      <c r="L141" s="42" t="s">
        <v>258</v>
      </c>
      <c r="M141" s="43" t="s">
        <v>37</v>
      </c>
      <c r="N141" s="43" t="s">
        <v>254</v>
      </c>
      <c r="O141" s="43"/>
      <c r="P141" s="43">
        <v>1</v>
      </c>
      <c r="Q141" s="25" t="str">
        <f>VLOOKUP(P141,Key!$E$2:$F$9,2,FALSE)</f>
        <v>Home</v>
      </c>
      <c r="R141" s="25" t="str">
        <f t="shared" si="2"/>
        <v>Leisure/Social-Home</v>
      </c>
      <c r="S141" s="62"/>
      <c r="T141" s="62">
        <v>2</v>
      </c>
      <c r="U141" s="72">
        <v>4</v>
      </c>
      <c r="V141" s="72">
        <v>4</v>
      </c>
      <c r="W141" s="62"/>
      <c r="X141" s="62"/>
      <c r="Y141" s="63"/>
      <c r="Z141" s="73"/>
      <c r="AA141" s="25">
        <f>VLOOKUP(F141,'[1]Zones 1'!$A$2:$F$25426,6,FALSE)</f>
        <v>651</v>
      </c>
      <c r="AB141" s="25">
        <f>VLOOKUP(L141,'[1]Zones 1'!$A$2:$F$25426,6,FALSE)</f>
        <v>655</v>
      </c>
    </row>
    <row r="142" spans="2:28">
      <c r="B142" s="78">
        <v>0.63124999999999998</v>
      </c>
      <c r="C142" s="41"/>
      <c r="D142" s="41">
        <v>3</v>
      </c>
      <c r="E142" s="41">
        <v>2</v>
      </c>
      <c r="F142" s="42" t="s">
        <v>37</v>
      </c>
      <c r="G142" s="42" t="s">
        <v>37</v>
      </c>
      <c r="H142" s="42" t="s">
        <v>254</v>
      </c>
      <c r="I142" s="42"/>
      <c r="J142" s="42">
        <v>1</v>
      </c>
      <c r="K142" s="25" t="str">
        <f>VLOOKUP(J142,Key!$E$2:$F$9,2,FALSE)</f>
        <v>Home</v>
      </c>
      <c r="L142" s="42" t="s">
        <v>259</v>
      </c>
      <c r="M142" s="43" t="s">
        <v>37</v>
      </c>
      <c r="N142" s="43" t="s">
        <v>254</v>
      </c>
      <c r="O142" s="43"/>
      <c r="P142" s="43">
        <v>7</v>
      </c>
      <c r="Q142" s="25" t="str">
        <f>VLOOKUP(P142,Key!$E$2:$F$9,2,FALSE)</f>
        <v>Hospital</v>
      </c>
      <c r="R142" s="25" t="str">
        <f t="shared" si="2"/>
        <v>Home-Hospital</v>
      </c>
      <c r="S142" s="62"/>
      <c r="T142" s="62">
        <v>0</v>
      </c>
      <c r="U142" s="72">
        <v>4</v>
      </c>
      <c r="V142" s="72">
        <v>5</v>
      </c>
      <c r="W142" s="62"/>
      <c r="X142" s="62"/>
      <c r="Y142" s="63"/>
      <c r="Z142" s="73"/>
      <c r="AA142" s="25">
        <f>VLOOKUP(F142,'[1]Zones 1'!$A$2:$F$25426,6,FALSE)</f>
        <v>651</v>
      </c>
      <c r="AB142" s="25">
        <f>VLOOKUP(L142,'[1]Zones 1'!$A$2:$F$25426,6,FALSE)</f>
        <v>666</v>
      </c>
    </row>
    <row r="143" spans="2:28">
      <c r="B143" s="78">
        <v>0.63402777777777775</v>
      </c>
      <c r="C143" s="41"/>
      <c r="D143" s="41">
        <v>3</v>
      </c>
      <c r="E143" s="41">
        <v>1</v>
      </c>
      <c r="F143" s="42" t="s">
        <v>248</v>
      </c>
      <c r="G143" s="42" t="s">
        <v>248</v>
      </c>
      <c r="H143" s="42" t="s">
        <v>254</v>
      </c>
      <c r="I143" s="42"/>
      <c r="J143" s="42">
        <v>1</v>
      </c>
      <c r="K143" s="25" t="str">
        <f>VLOOKUP(J143,Key!$E$2:$F$9,2,FALSE)</f>
        <v>Home</v>
      </c>
      <c r="L143" s="42" t="s">
        <v>38</v>
      </c>
      <c r="M143" s="43" t="s">
        <v>37</v>
      </c>
      <c r="N143" s="43" t="s">
        <v>254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2"/>
      <c r="T143" s="62">
        <v>2</v>
      </c>
      <c r="U143" s="72">
        <v>3</v>
      </c>
      <c r="V143" s="72"/>
      <c r="W143" s="62"/>
      <c r="X143" s="62"/>
      <c r="Y143" s="63"/>
      <c r="Z143" s="73"/>
      <c r="AA143" s="25">
        <f>VLOOKUP(F143,'[1]Zones 1'!$A$2:$F$25426,6,FALSE)</f>
        <v>987</v>
      </c>
      <c r="AB143" s="25">
        <f>VLOOKUP(L143,'[1]Zones 1'!$A$2:$F$25426,6,FALSE)</f>
        <v>644</v>
      </c>
    </row>
    <row r="144" spans="2:28">
      <c r="B144" s="78">
        <v>0.63888888888888895</v>
      </c>
      <c r="C144" s="41"/>
      <c r="D144" s="41">
        <v>1</v>
      </c>
      <c r="E144" s="41">
        <v>2</v>
      </c>
      <c r="F144" s="42" t="s">
        <v>37</v>
      </c>
      <c r="G144" s="42" t="s">
        <v>37</v>
      </c>
      <c r="H144" s="42" t="s">
        <v>254</v>
      </c>
      <c r="I144" s="42"/>
      <c r="J144" s="42">
        <v>2</v>
      </c>
      <c r="K144" s="25" t="str">
        <f>VLOOKUP(J144,Key!$E$2:$F$9,2,FALSE)</f>
        <v>Work</v>
      </c>
      <c r="L144" s="42" t="s">
        <v>37</v>
      </c>
      <c r="M144" s="43" t="s">
        <v>37</v>
      </c>
      <c r="N144" s="43" t="s">
        <v>254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0</v>
      </c>
      <c r="U144" s="72">
        <v>1</v>
      </c>
      <c r="V144" s="72">
        <v>5</v>
      </c>
      <c r="W144" s="62"/>
      <c r="X144" s="62"/>
      <c r="Y144" s="63"/>
      <c r="Z144" s="73"/>
      <c r="AA144" s="25">
        <f>VLOOKUP(F144,'[1]Zones 1'!$A$2:$F$25426,6,FALSE)</f>
        <v>651</v>
      </c>
      <c r="AB144" s="25">
        <f>VLOOKUP(L144,'[1]Zones 1'!$A$2:$F$25426,6,FALSE)</f>
        <v>651</v>
      </c>
    </row>
    <row r="145" spans="2:28">
      <c r="B145" s="78">
        <v>0.65416666666666667</v>
      </c>
      <c r="C145" s="41"/>
      <c r="D145" s="41">
        <v>2</v>
      </c>
      <c r="E145" s="41">
        <v>2</v>
      </c>
      <c r="F145" s="42" t="s">
        <v>37</v>
      </c>
      <c r="G145" s="42" t="s">
        <v>37</v>
      </c>
      <c r="H145" s="42" t="s">
        <v>254</v>
      </c>
      <c r="I145" s="42"/>
      <c r="J145" s="42">
        <v>2</v>
      </c>
      <c r="K145" s="25" t="str">
        <f>VLOOKUP(J145,Key!$E$2:$F$9,2,FALSE)</f>
        <v>Work</v>
      </c>
      <c r="L145" s="42" t="s">
        <v>37</v>
      </c>
      <c r="M145" s="43" t="s">
        <v>37</v>
      </c>
      <c r="N145" s="43" t="s">
        <v>254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Work-Commercial</v>
      </c>
      <c r="S145" s="62"/>
      <c r="T145" s="62">
        <v>0</v>
      </c>
      <c r="U145" s="72">
        <v>2</v>
      </c>
      <c r="V145" s="72">
        <v>1</v>
      </c>
      <c r="W145" s="62"/>
      <c r="X145" s="62"/>
      <c r="Y145" s="63"/>
      <c r="Z145" s="73"/>
      <c r="AA145" s="25">
        <f>VLOOKUP(F145,'[1]Zones 1'!$A$2:$F$25426,6,FALSE)</f>
        <v>651</v>
      </c>
      <c r="AB145" s="25">
        <f>VLOOKUP(L145,'[1]Zones 1'!$A$2:$F$25426,6,FALSE)</f>
        <v>651</v>
      </c>
    </row>
    <row r="146" spans="2:28">
      <c r="B146" s="78">
        <v>0.65833333333333333</v>
      </c>
      <c r="C146" s="41"/>
      <c r="D146" s="41">
        <v>2</v>
      </c>
      <c r="E146" s="41">
        <v>1</v>
      </c>
      <c r="F146" s="42" t="s">
        <v>37</v>
      </c>
      <c r="G146" s="42" t="s">
        <v>37</v>
      </c>
      <c r="H146" s="42" t="s">
        <v>254</v>
      </c>
      <c r="I146" s="42"/>
      <c r="J146" s="42">
        <v>4</v>
      </c>
      <c r="K146" s="25" t="str">
        <f>VLOOKUP(J146,Key!$E$2:$F$9,2,FALSE)</f>
        <v>Commercial</v>
      </c>
      <c r="L146" s="42" t="s">
        <v>37</v>
      </c>
      <c r="M146" s="43" t="s">
        <v>37</v>
      </c>
      <c r="N146" s="43" t="s">
        <v>254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Commercial-Home</v>
      </c>
      <c r="S146" s="62"/>
      <c r="T146" s="62">
        <v>0</v>
      </c>
      <c r="U146" s="72">
        <v>3</v>
      </c>
      <c r="V146" s="72">
        <v>6</v>
      </c>
      <c r="W146" s="62"/>
      <c r="X146" s="62"/>
      <c r="Y146" s="63"/>
      <c r="Z146" s="73"/>
      <c r="AA146" s="25">
        <f>VLOOKUP(F146,'[1]Zones 1'!$A$2:$F$25426,6,FALSE)</f>
        <v>651</v>
      </c>
      <c r="AB146" s="25">
        <f>VLOOKUP(L146,'[1]Zones 1'!$A$2:$F$25426,6,FALSE)</f>
        <v>651</v>
      </c>
    </row>
    <row r="147" spans="2:28">
      <c r="B147" s="78">
        <v>0.65972222222222221</v>
      </c>
      <c r="C147" s="41"/>
      <c r="D147" s="41">
        <v>12</v>
      </c>
      <c r="E147" s="41">
        <v>2</v>
      </c>
      <c r="F147" s="42" t="s">
        <v>60</v>
      </c>
      <c r="G147" s="42" t="s">
        <v>240</v>
      </c>
      <c r="H147" s="42" t="s">
        <v>254</v>
      </c>
      <c r="I147" s="42"/>
      <c r="J147" s="42">
        <v>1</v>
      </c>
      <c r="K147" s="25" t="str">
        <f>VLOOKUP(J147,Key!$E$2:$F$9,2,FALSE)</f>
        <v>Home</v>
      </c>
      <c r="L147" s="42" t="s">
        <v>50</v>
      </c>
      <c r="M147" s="43" t="s">
        <v>255</v>
      </c>
      <c r="N147" s="43" t="s">
        <v>254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62"/>
      <c r="T147" s="62">
        <v>24</v>
      </c>
      <c r="U147" s="72">
        <v>3</v>
      </c>
      <c r="V147" s="72">
        <v>5</v>
      </c>
      <c r="W147" s="62"/>
      <c r="X147" s="62"/>
      <c r="Y147" s="63"/>
      <c r="Z147" s="73"/>
      <c r="AA147" s="25">
        <f>VLOOKUP(F147,'[1]Zones 1'!$A$2:$F$25426,6,FALSE)</f>
        <v>1434</v>
      </c>
      <c r="AB147" s="25">
        <f>VLOOKUP(L147,'[1]Zones 1'!$A$2:$F$25426,6,FALSE)</f>
        <v>1438</v>
      </c>
    </row>
    <row r="148" spans="2:28">
      <c r="B148" s="78">
        <v>0.66111111111111109</v>
      </c>
      <c r="C148" s="41"/>
      <c r="D148" s="41">
        <v>3</v>
      </c>
      <c r="E148" s="41">
        <v>2</v>
      </c>
      <c r="F148" s="42" t="s">
        <v>37</v>
      </c>
      <c r="G148" s="42" t="s">
        <v>37</v>
      </c>
      <c r="H148" s="42" t="s">
        <v>254</v>
      </c>
      <c r="I148" s="42"/>
      <c r="J148" s="42">
        <v>2</v>
      </c>
      <c r="K148" s="25" t="str">
        <f>VLOOKUP(J148,Key!$E$2:$F$9,2,FALSE)</f>
        <v>Work</v>
      </c>
      <c r="L148" s="42" t="s">
        <v>37</v>
      </c>
      <c r="M148" s="43" t="s">
        <v>37</v>
      </c>
      <c r="N148" s="43" t="s">
        <v>254</v>
      </c>
      <c r="O148" s="43"/>
      <c r="P148" s="43">
        <v>1</v>
      </c>
      <c r="Q148" s="25" t="str">
        <f>VLOOKUP(P148,Key!$E$2:$F$9,2,FALSE)</f>
        <v>Home</v>
      </c>
      <c r="R148" s="25" t="str">
        <f t="shared" si="2"/>
        <v>Work-Home</v>
      </c>
      <c r="S148" s="62"/>
      <c r="T148" s="62">
        <v>0</v>
      </c>
      <c r="U148" s="72">
        <v>2</v>
      </c>
      <c r="V148" s="72">
        <v>5</v>
      </c>
      <c r="W148" s="62"/>
      <c r="X148" s="62"/>
      <c r="Y148" s="63"/>
      <c r="Z148" s="73"/>
      <c r="AA148" s="25">
        <f>VLOOKUP(F148,'[1]Zones 1'!$A$2:$F$25426,6,FALSE)</f>
        <v>651</v>
      </c>
      <c r="AB148" s="25">
        <f>VLOOKUP(L148,'[1]Zones 1'!$A$2:$F$25426,6,FALSE)</f>
        <v>651</v>
      </c>
    </row>
    <row r="149" spans="2:28">
      <c r="B149" s="78">
        <v>0.67986111111111114</v>
      </c>
      <c r="C149" s="41"/>
      <c r="D149" s="41">
        <v>1</v>
      </c>
      <c r="E149" s="41">
        <v>1</v>
      </c>
      <c r="F149" s="42" t="s">
        <v>37</v>
      </c>
      <c r="G149" s="42" t="s">
        <v>37</v>
      </c>
      <c r="H149" s="42" t="s">
        <v>254</v>
      </c>
      <c r="I149" s="42"/>
      <c r="J149" s="42">
        <v>2</v>
      </c>
      <c r="K149" s="25" t="str">
        <f>VLOOKUP(J149,Key!$E$2:$F$9,2,FALSE)</f>
        <v>Work</v>
      </c>
      <c r="L149" s="42" t="s">
        <v>256</v>
      </c>
      <c r="M149" s="43" t="s">
        <v>37</v>
      </c>
      <c r="N149" s="43" t="s">
        <v>254</v>
      </c>
      <c r="O149" s="43"/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62"/>
      <c r="T149" s="62">
        <v>0</v>
      </c>
      <c r="U149" s="72">
        <v>2</v>
      </c>
      <c r="V149" s="72">
        <v>5</v>
      </c>
      <c r="W149" s="62"/>
      <c r="X149" s="62"/>
      <c r="Y149" s="63"/>
      <c r="Z149" s="73"/>
      <c r="AA149" s="25">
        <f>VLOOKUP(F149,'[1]Zones 1'!$A$2:$F$25426,6,FALSE)</f>
        <v>651</v>
      </c>
      <c r="AB149" s="25">
        <f>VLOOKUP(L149,'[1]Zones 1'!$A$2:$F$25426,6,FALSE)</f>
        <v>1440</v>
      </c>
    </row>
    <row r="150" spans="2:28">
      <c r="B150" s="78">
        <v>0.68541666666666667</v>
      </c>
      <c r="C150" s="41"/>
      <c r="D150" s="41">
        <v>12</v>
      </c>
      <c r="E150" s="41">
        <v>1</v>
      </c>
      <c r="F150" s="42" t="s">
        <v>60</v>
      </c>
      <c r="G150" s="42" t="s">
        <v>240</v>
      </c>
      <c r="H150" s="42" t="s">
        <v>254</v>
      </c>
      <c r="I150" s="42"/>
      <c r="J150" s="42">
        <v>1</v>
      </c>
      <c r="K150" s="25" t="str">
        <f>VLOOKUP(J150,Key!$E$2:$F$9,2,FALSE)</f>
        <v>Home</v>
      </c>
      <c r="L150" s="42" t="s">
        <v>50</v>
      </c>
      <c r="M150" s="43" t="s">
        <v>255</v>
      </c>
      <c r="N150" s="43" t="s">
        <v>254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2"/>
      <c r="T150" s="62">
        <v>0</v>
      </c>
      <c r="U150" s="72">
        <v>3</v>
      </c>
      <c r="V150" s="72">
        <v>10</v>
      </c>
      <c r="W150" s="62"/>
      <c r="X150" s="62"/>
      <c r="Y150" s="63"/>
      <c r="Z150" s="73"/>
      <c r="AA150" s="25">
        <f>VLOOKUP(F150,'[1]Zones 1'!$A$2:$F$25426,6,FALSE)</f>
        <v>1434</v>
      </c>
      <c r="AB150" s="25">
        <f>VLOOKUP(L150,'[1]Zones 1'!$A$2:$F$25426,6,FALSE)</f>
        <v>1438</v>
      </c>
    </row>
    <row r="151" spans="2:28">
      <c r="B151" s="78">
        <v>0.7006944444444444</v>
      </c>
      <c r="C151" s="41"/>
      <c r="D151" s="41">
        <v>3</v>
      </c>
      <c r="E151" s="41">
        <v>2</v>
      </c>
      <c r="F151" s="42" t="s">
        <v>249</v>
      </c>
      <c r="G151" s="42" t="s">
        <v>37</v>
      </c>
      <c r="H151" s="42" t="s">
        <v>254</v>
      </c>
      <c r="I151" s="42"/>
      <c r="J151" s="42">
        <v>2</v>
      </c>
      <c r="K151" s="25" t="str">
        <f>VLOOKUP(J151,Key!$E$2:$F$9,2,FALSE)</f>
        <v>Work</v>
      </c>
      <c r="L151" s="42" t="s">
        <v>38</v>
      </c>
      <c r="M151" s="43" t="s">
        <v>37</v>
      </c>
      <c r="N151" s="43" t="s">
        <v>254</v>
      </c>
      <c r="O151" s="43"/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2"/>
      <c r="T151" s="62">
        <v>5</v>
      </c>
      <c r="U151" s="72">
        <v>2</v>
      </c>
      <c r="V151" s="72">
        <v>6</v>
      </c>
      <c r="W151" s="62"/>
      <c r="X151" s="62"/>
      <c r="Y151" s="63"/>
      <c r="Z151" s="73"/>
      <c r="AA151" s="25">
        <f>VLOOKUP(F151,'[1]Zones 1'!$A$2:$F$25426,6,FALSE)</f>
        <v>655</v>
      </c>
      <c r="AB151" s="25">
        <f>VLOOKUP(L151,'[1]Zones 1'!$A$2:$F$25426,6,FALSE)</f>
        <v>644</v>
      </c>
    </row>
    <row r="152" spans="2:28">
      <c r="B152" s="78">
        <v>0.70138888888888884</v>
      </c>
      <c r="C152" s="41"/>
      <c r="D152" s="41">
        <v>3</v>
      </c>
      <c r="E152" s="41">
        <v>1</v>
      </c>
      <c r="F152" s="42" t="s">
        <v>37</v>
      </c>
      <c r="G152" s="42" t="s">
        <v>248</v>
      </c>
      <c r="H152" s="42" t="s">
        <v>254</v>
      </c>
      <c r="I152" s="42"/>
      <c r="J152" s="42">
        <v>2</v>
      </c>
      <c r="K152" s="25" t="str">
        <f>VLOOKUP(J152,Key!$E$2:$F$9,2,FALSE)</f>
        <v>Work</v>
      </c>
      <c r="L152" s="42" t="s">
        <v>50</v>
      </c>
      <c r="M152" s="43" t="s">
        <v>255</v>
      </c>
      <c r="N152" s="43" t="s">
        <v>254</v>
      </c>
      <c r="O152" s="43"/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62"/>
      <c r="T152" s="62">
        <v>24</v>
      </c>
      <c r="U152" s="72">
        <v>2</v>
      </c>
      <c r="V152" s="72">
        <v>5</v>
      </c>
      <c r="W152" s="62"/>
      <c r="X152" s="62"/>
      <c r="Y152" s="63"/>
      <c r="Z152" s="73"/>
      <c r="AA152" s="25">
        <f>VLOOKUP(F152,'[1]Zones 1'!$A$2:$F$25426,6,FALSE)</f>
        <v>651</v>
      </c>
      <c r="AB152" s="25">
        <f>VLOOKUP(L152,'[1]Zones 1'!$A$2:$F$25426,6,FALSE)</f>
        <v>1438</v>
      </c>
    </row>
    <row r="153" spans="2:28">
      <c r="B153" s="78">
        <v>0.71805555555555556</v>
      </c>
      <c r="C153" s="41"/>
      <c r="D153" s="41">
        <v>9</v>
      </c>
      <c r="E153" s="41">
        <v>1</v>
      </c>
      <c r="F153" s="42" t="s">
        <v>248</v>
      </c>
      <c r="G153" s="42" t="s">
        <v>248</v>
      </c>
      <c r="H153" s="42" t="s">
        <v>254</v>
      </c>
      <c r="I153" s="42"/>
      <c r="J153" s="42">
        <v>1</v>
      </c>
      <c r="K153" s="25" t="str">
        <f>VLOOKUP(J153,Key!$E$2:$F$9,2,FALSE)</f>
        <v>Home</v>
      </c>
      <c r="L153" s="42" t="s">
        <v>50</v>
      </c>
      <c r="M153" s="43" t="s">
        <v>255</v>
      </c>
      <c r="N153" s="43" t="s">
        <v>254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62"/>
      <c r="T153" s="62">
        <v>6</v>
      </c>
      <c r="U153" s="72">
        <v>2</v>
      </c>
      <c r="V153" s="72">
        <v>10</v>
      </c>
      <c r="W153" s="62"/>
      <c r="X153" s="62"/>
      <c r="Y153" s="63"/>
      <c r="Z153" s="73"/>
      <c r="AA153" s="25">
        <f>VLOOKUP(F153,'[1]Zones 1'!$A$2:$F$25426,6,FALSE)</f>
        <v>987</v>
      </c>
      <c r="AB153" s="25">
        <f>VLOOKUP(L153,'[1]Zones 1'!$A$2:$F$25426,6,FALSE)</f>
        <v>1438</v>
      </c>
    </row>
    <row r="154" spans="2:28">
      <c r="B154" s="78">
        <v>0.72777777777777775</v>
      </c>
      <c r="C154" s="41"/>
      <c r="D154" s="41">
        <v>8</v>
      </c>
      <c r="E154" s="41">
        <v>2</v>
      </c>
      <c r="F154" s="42" t="s">
        <v>243</v>
      </c>
      <c r="G154" s="42" t="s">
        <v>243</v>
      </c>
      <c r="H154" s="42" t="s">
        <v>254</v>
      </c>
      <c r="I154" s="42"/>
      <c r="J154" s="42">
        <v>1</v>
      </c>
      <c r="K154" s="25" t="str">
        <f>VLOOKUP(J154,Key!$E$2:$F$9,2,FALSE)</f>
        <v>Home</v>
      </c>
      <c r="L154" s="42" t="s">
        <v>38</v>
      </c>
      <c r="M154" s="43" t="s">
        <v>37</v>
      </c>
      <c r="N154" s="43" t="s">
        <v>254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62"/>
      <c r="T154" s="62">
        <v>0</v>
      </c>
      <c r="U154" s="72">
        <v>3</v>
      </c>
      <c r="V154" s="72">
        <v>3</v>
      </c>
      <c r="W154" s="62"/>
      <c r="X154" s="62"/>
      <c r="Y154" s="63"/>
      <c r="Z154" s="73"/>
      <c r="AA154" s="25">
        <f>VLOOKUP(F154,'[1]Zones 1'!$A$2:$F$25426,6,FALSE)</f>
        <v>1283</v>
      </c>
      <c r="AB154" s="25">
        <f>VLOOKUP(L154,'[1]Zones 1'!$A$2:$F$25426,6,FALSE)</f>
        <v>644</v>
      </c>
    </row>
    <row r="155" spans="2:28">
      <c r="B155" s="78">
        <v>0.7319444444444444</v>
      </c>
      <c r="C155" s="41"/>
      <c r="D155" s="41">
        <v>3</v>
      </c>
      <c r="E155" s="41">
        <v>3</v>
      </c>
      <c r="F155" s="42" t="s">
        <v>37</v>
      </c>
      <c r="G155" s="42" t="s">
        <v>37</v>
      </c>
      <c r="H155" s="42" t="s">
        <v>254</v>
      </c>
      <c r="I155" s="42"/>
      <c r="J155" s="42">
        <v>2</v>
      </c>
      <c r="K155" s="25" t="str">
        <f>VLOOKUP(J155,Key!$E$2:$F$9,2,FALSE)</f>
        <v>Work</v>
      </c>
      <c r="L155" s="42" t="s">
        <v>38</v>
      </c>
      <c r="M155" s="43" t="s">
        <v>37</v>
      </c>
      <c r="N155" s="43" t="s">
        <v>254</v>
      </c>
      <c r="O155" s="43"/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62"/>
      <c r="T155" s="62">
        <v>4</v>
      </c>
      <c r="U155" s="72">
        <v>4</v>
      </c>
      <c r="V155" s="72">
        <v>10</v>
      </c>
      <c r="W155" s="62"/>
      <c r="X155" s="62"/>
      <c r="Y155" s="63"/>
      <c r="Z155" s="73"/>
      <c r="AA155" s="25">
        <f>VLOOKUP(F155,'[1]Zones 1'!$A$2:$F$25426,6,FALSE)</f>
        <v>651</v>
      </c>
      <c r="AB155" s="25">
        <f>VLOOKUP(L155,'[1]Zones 1'!$A$2:$F$25426,6,FALSE)</f>
        <v>644</v>
      </c>
    </row>
    <row r="156" spans="2:28">
      <c r="B156" s="78">
        <v>0.75624999999999998</v>
      </c>
      <c r="C156" s="41"/>
      <c r="D156" s="41">
        <v>2</v>
      </c>
      <c r="E156" s="41">
        <v>1</v>
      </c>
      <c r="F156" s="42" t="s">
        <v>129</v>
      </c>
      <c r="G156" s="42" t="s">
        <v>129</v>
      </c>
      <c r="H156" s="42" t="s">
        <v>254</v>
      </c>
      <c r="I156" s="42"/>
      <c r="J156" s="42">
        <v>6</v>
      </c>
      <c r="K156" s="25" t="str">
        <f>VLOOKUP(J156,Key!$E$2:$F$9,2,FALSE)</f>
        <v>Leisure/Social</v>
      </c>
      <c r="L156" s="42" t="s">
        <v>260</v>
      </c>
      <c r="M156" s="43" t="s">
        <v>37</v>
      </c>
      <c r="N156" s="43" t="s">
        <v>254</v>
      </c>
      <c r="O156" s="43"/>
      <c r="P156" s="43">
        <v>1</v>
      </c>
      <c r="Q156" s="25" t="str">
        <f>VLOOKUP(P156,Key!$E$2:$F$9,2,FALSE)</f>
        <v>Home</v>
      </c>
      <c r="R156" s="25" t="str">
        <f t="shared" si="2"/>
        <v>Leisure/Social-Home</v>
      </c>
      <c r="S156" s="62"/>
      <c r="T156" s="62">
        <v>1</v>
      </c>
      <c r="U156" s="72">
        <v>2</v>
      </c>
      <c r="V156" s="72">
        <v>10</v>
      </c>
      <c r="W156" s="62"/>
      <c r="X156" s="62"/>
      <c r="Y156" s="63"/>
      <c r="Z156" s="73"/>
      <c r="AA156" s="25">
        <f>VLOOKUP(F156,'[1]Zones 1'!$A$2:$F$25426,6,FALSE)</f>
        <v>841</v>
      </c>
      <c r="AB156" s="25">
        <f>VLOOKUP(L156,'[1]Zones 1'!$A$2:$F$25426,6,FALSE)</f>
        <v>651</v>
      </c>
    </row>
    <row r="157" spans="2:28">
      <c r="B157" s="78">
        <v>0.76041666666666663</v>
      </c>
      <c r="C157" s="41"/>
      <c r="D157" s="41">
        <v>1</v>
      </c>
      <c r="E157" s="41">
        <v>2</v>
      </c>
      <c r="F157" s="42" t="s">
        <v>37</v>
      </c>
      <c r="G157" s="42" t="s">
        <v>37</v>
      </c>
      <c r="H157" s="42" t="s">
        <v>254</v>
      </c>
      <c r="I157" s="42"/>
      <c r="J157" s="42">
        <v>1</v>
      </c>
      <c r="K157" s="25" t="str">
        <f>VLOOKUP(J157,Key!$E$2:$F$9,2,FALSE)</f>
        <v>Home</v>
      </c>
      <c r="L157" s="42" t="s">
        <v>261</v>
      </c>
      <c r="M157" s="43" t="s">
        <v>37</v>
      </c>
      <c r="N157" s="43" t="s">
        <v>254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62"/>
      <c r="T157" s="62">
        <v>0</v>
      </c>
      <c r="U157" s="72">
        <v>4</v>
      </c>
      <c r="V157" s="72">
        <v>5</v>
      </c>
      <c r="W157" s="62"/>
      <c r="X157" s="62"/>
      <c r="Y157" s="63"/>
      <c r="Z157" s="73"/>
      <c r="AA157" s="25">
        <f>VLOOKUP(F157,'[1]Zones 1'!$A$2:$F$25426,6,FALSE)</f>
        <v>651</v>
      </c>
      <c r="AB157" s="25">
        <f>VLOOKUP(L157,'[1]Zones 1'!$A$2:$F$25426,6,FALSE)</f>
        <v>659</v>
      </c>
    </row>
    <row r="158" spans="2:28">
      <c r="B158" s="78">
        <v>0.76736111111111116</v>
      </c>
      <c r="C158" s="41"/>
      <c r="D158" s="41">
        <v>3</v>
      </c>
      <c r="E158" s="41">
        <v>1</v>
      </c>
      <c r="F158" s="42" t="s">
        <v>37</v>
      </c>
      <c r="G158" s="42" t="s">
        <v>37</v>
      </c>
      <c r="H158" s="42" t="s">
        <v>254</v>
      </c>
      <c r="I158" s="42"/>
      <c r="J158" s="42">
        <v>1</v>
      </c>
      <c r="K158" s="25" t="str">
        <f>VLOOKUP(J158,Key!$E$2:$F$9,2,FALSE)</f>
        <v>Home</v>
      </c>
      <c r="L158" s="42" t="s">
        <v>261</v>
      </c>
      <c r="M158" s="43" t="s">
        <v>37</v>
      </c>
      <c r="N158" s="43" t="s">
        <v>254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2"/>
      <c r="T158" s="62">
        <v>0</v>
      </c>
      <c r="U158" s="72">
        <v>3</v>
      </c>
      <c r="V158" s="72"/>
      <c r="W158" s="62"/>
      <c r="X158" s="62"/>
      <c r="Y158" s="63"/>
      <c r="Z158" s="73"/>
      <c r="AA158" s="25">
        <f>VLOOKUP(F158,'[1]Zones 1'!$A$2:$F$25426,6,FALSE)</f>
        <v>651</v>
      </c>
      <c r="AB158" s="25">
        <f>VLOOKUP(L158,'[1]Zones 1'!$A$2:$F$25426,6,FALSE)</f>
        <v>659</v>
      </c>
    </row>
    <row r="159" spans="2:28">
      <c r="B159" s="78">
        <v>0.82361111111111107</v>
      </c>
      <c r="C159" s="41"/>
      <c r="D159" s="41">
        <v>1</v>
      </c>
      <c r="E159" s="41">
        <v>1</v>
      </c>
      <c r="F159" s="42" t="s">
        <v>37</v>
      </c>
      <c r="G159" s="42" t="s">
        <v>37</v>
      </c>
      <c r="H159" s="42" t="s">
        <v>254</v>
      </c>
      <c r="I159" s="42"/>
      <c r="J159" s="42">
        <v>2</v>
      </c>
      <c r="K159" s="25" t="str">
        <f>VLOOKUP(J159,Key!$E$2:$F$9,2,FALSE)</f>
        <v>Work</v>
      </c>
      <c r="L159" s="42" t="s">
        <v>38</v>
      </c>
      <c r="M159" s="43" t="s">
        <v>37</v>
      </c>
      <c r="N159" s="43" t="s">
        <v>254</v>
      </c>
      <c r="O159" s="43"/>
      <c r="P159" s="43">
        <v>1</v>
      </c>
      <c r="Q159" s="25" t="str">
        <f>VLOOKUP(P159,Key!$E$2:$F$9,2,FALSE)</f>
        <v>Home</v>
      </c>
      <c r="R159" s="25" t="str">
        <f t="shared" si="2"/>
        <v>Work-Home</v>
      </c>
      <c r="S159" s="62"/>
      <c r="T159" s="62">
        <v>1</v>
      </c>
      <c r="U159" s="72">
        <v>3</v>
      </c>
      <c r="V159" s="72"/>
      <c r="W159" s="62"/>
      <c r="X159" s="62"/>
      <c r="Y159" s="63"/>
      <c r="Z159" s="73"/>
      <c r="AA159" s="25">
        <f>VLOOKUP(F159,'[1]Zones 1'!$A$2:$F$25426,6,FALSE)</f>
        <v>651</v>
      </c>
      <c r="AB159" s="25">
        <f>VLOOKUP(L159,'[1]Zones 1'!$A$2:$F$25426,6,FALSE)</f>
        <v>644</v>
      </c>
    </row>
    <row r="160" spans="2:28">
      <c r="B160" s="78">
        <v>0.8305555555555556</v>
      </c>
      <c r="C160" s="41"/>
      <c r="D160" s="41">
        <v>1</v>
      </c>
      <c r="E160" s="41">
        <v>1</v>
      </c>
      <c r="F160" s="42" t="s">
        <v>241</v>
      </c>
      <c r="G160" s="42" t="s">
        <v>241</v>
      </c>
      <c r="H160" s="42" t="s">
        <v>254</v>
      </c>
      <c r="I160" s="42"/>
      <c r="J160" s="42">
        <v>2</v>
      </c>
      <c r="K160" s="25" t="str">
        <f>VLOOKUP(J160,Key!$E$2:$F$9,2,FALSE)</f>
        <v>Work</v>
      </c>
      <c r="L160" s="42" t="s">
        <v>37</v>
      </c>
      <c r="M160" s="43" t="s">
        <v>37</v>
      </c>
      <c r="N160" s="43" t="s">
        <v>254</v>
      </c>
      <c r="O160" s="43"/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62"/>
      <c r="T160" s="62">
        <v>6</v>
      </c>
      <c r="U160" s="72">
        <v>1</v>
      </c>
      <c r="V160" s="72"/>
      <c r="W160" s="62"/>
      <c r="X160" s="62"/>
      <c r="Y160" s="63"/>
      <c r="Z160" s="73"/>
      <c r="AA160" s="25">
        <f>VLOOKUP(F160,'[1]Zones 1'!$A$2:$F$25426,6,FALSE)</f>
        <v>521</v>
      </c>
      <c r="AB160" s="25">
        <f>VLOOKUP(L160,'[1]Zones 1'!$A$2:$F$25426,6,FALSE)</f>
        <v>651</v>
      </c>
    </row>
    <row r="161" spans="2:28">
      <c r="B161" s="78">
        <v>0.83680555555555547</v>
      </c>
      <c r="C161" s="41"/>
      <c r="D161" s="41">
        <v>2</v>
      </c>
      <c r="E161" s="41">
        <v>1</v>
      </c>
      <c r="F161" s="42" t="s">
        <v>40</v>
      </c>
      <c r="G161" s="42" t="s">
        <v>40</v>
      </c>
      <c r="H161" s="42" t="s">
        <v>254</v>
      </c>
      <c r="I161" s="42"/>
      <c r="J161" s="42">
        <v>6</v>
      </c>
      <c r="K161" s="25" t="str">
        <f>VLOOKUP(J161,Key!$E$2:$F$9,2,FALSE)</f>
        <v>Leisure/Social</v>
      </c>
      <c r="L161" s="42" t="s">
        <v>38</v>
      </c>
      <c r="M161" s="43" t="s">
        <v>37</v>
      </c>
      <c r="N161" s="43" t="s">
        <v>254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Leisure/Social-Home</v>
      </c>
      <c r="S161" s="62"/>
      <c r="T161" s="62">
        <v>0</v>
      </c>
      <c r="U161" s="72">
        <v>2</v>
      </c>
      <c r="V161" s="72"/>
      <c r="W161" s="62"/>
      <c r="X161" s="62"/>
      <c r="Y161" s="63"/>
      <c r="Z161" s="73"/>
      <c r="AA161" s="25">
        <f>VLOOKUP(F161,'[1]Zones 1'!$A$2:$F$25426,6,FALSE)</f>
        <v>253</v>
      </c>
      <c r="AB161" s="25">
        <f>VLOOKUP(L161,'[1]Zones 1'!$A$2:$F$25426,6,FALSE)</f>
        <v>644</v>
      </c>
    </row>
    <row r="162" spans="2:28">
      <c r="B162" s="78">
        <v>0.84861111111111109</v>
      </c>
      <c r="C162" s="41"/>
      <c r="D162" s="41">
        <v>3</v>
      </c>
      <c r="E162" s="41">
        <v>1</v>
      </c>
      <c r="F162" s="42" t="s">
        <v>37</v>
      </c>
      <c r="G162" s="42" t="s">
        <v>37</v>
      </c>
      <c r="H162" s="42" t="s">
        <v>254</v>
      </c>
      <c r="I162" s="42"/>
      <c r="J162" s="42">
        <v>2</v>
      </c>
      <c r="K162" s="25" t="str">
        <f>VLOOKUP(J162,Key!$E$2:$F$9,2,FALSE)</f>
        <v>Work</v>
      </c>
      <c r="L162" s="42" t="s">
        <v>38</v>
      </c>
      <c r="M162" s="43" t="s">
        <v>37</v>
      </c>
      <c r="N162" s="43" t="s">
        <v>254</v>
      </c>
      <c r="O162" s="43"/>
      <c r="P162" s="43">
        <v>1</v>
      </c>
      <c r="Q162" s="25" t="str">
        <f>VLOOKUP(P162,Key!$E$2:$F$9,2,FALSE)</f>
        <v>Home</v>
      </c>
      <c r="R162" s="25" t="str">
        <f t="shared" si="2"/>
        <v>Work-Home</v>
      </c>
      <c r="S162" s="62"/>
      <c r="T162" s="62">
        <v>2</v>
      </c>
      <c r="U162" s="72">
        <v>2</v>
      </c>
      <c r="V162" s="72"/>
      <c r="W162" s="62"/>
      <c r="X162" s="62"/>
      <c r="Y162" s="63"/>
      <c r="Z162" s="73"/>
      <c r="AA162" s="25">
        <f>VLOOKUP(F162,'[1]Zones 1'!$A$2:$F$25426,6,FALSE)</f>
        <v>651</v>
      </c>
      <c r="AB162" s="25">
        <f>VLOOKUP(L162,'[1]Zones 1'!$A$2:$F$25426,6,FALSE)</f>
        <v>644</v>
      </c>
    </row>
    <row r="163" spans="2:28">
      <c r="B163" s="78">
        <v>0.85138888888888886</v>
      </c>
      <c r="C163" s="41"/>
      <c r="D163" s="41">
        <v>8</v>
      </c>
      <c r="E163" s="41">
        <v>1</v>
      </c>
      <c r="F163" s="42" t="s">
        <v>57</v>
      </c>
      <c r="G163" s="42" t="s">
        <v>57</v>
      </c>
      <c r="H163" s="42" t="s">
        <v>254</v>
      </c>
      <c r="I163" s="42"/>
      <c r="J163" s="42">
        <v>2</v>
      </c>
      <c r="K163" s="25" t="str">
        <f>VLOOKUP(J163,Key!$E$2:$F$9,2,FALSE)</f>
        <v>Work</v>
      </c>
      <c r="L163" s="42" t="s">
        <v>38</v>
      </c>
      <c r="M163" s="43" t="s">
        <v>37</v>
      </c>
      <c r="N163" s="43" t="s">
        <v>254</v>
      </c>
      <c r="O163" s="43"/>
      <c r="P163" s="43">
        <v>1</v>
      </c>
      <c r="Q163" s="25" t="str">
        <f>VLOOKUP(P163,Key!$E$2:$F$9,2,FALSE)</f>
        <v>Home</v>
      </c>
      <c r="R163" s="25" t="str">
        <f t="shared" si="2"/>
        <v>Work-Home</v>
      </c>
      <c r="S163" s="62"/>
      <c r="T163" s="62">
        <v>1</v>
      </c>
      <c r="U163" s="72">
        <v>1</v>
      </c>
      <c r="V163" s="72"/>
      <c r="W163" s="62"/>
      <c r="X163" s="62"/>
      <c r="Y163" s="63"/>
      <c r="Z163" s="73"/>
      <c r="AA163" s="25">
        <f>VLOOKUP(F163,'[1]Zones 1'!$A$2:$F$25426,6,FALSE)</f>
        <v>1181</v>
      </c>
      <c r="AB163" s="25">
        <f>VLOOKUP(L163,'[1]Zones 1'!$A$2:$F$25426,6,FALSE)</f>
        <v>644</v>
      </c>
    </row>
    <row r="164" spans="2:28">
      <c r="B164" s="78">
        <v>0.85555555555555562</v>
      </c>
      <c r="C164" s="41"/>
      <c r="D164" s="41">
        <v>3</v>
      </c>
      <c r="E164" s="41">
        <v>1</v>
      </c>
      <c r="F164" s="42" t="s">
        <v>37</v>
      </c>
      <c r="G164" s="42" t="s">
        <v>37</v>
      </c>
      <c r="H164" s="42" t="s">
        <v>254</v>
      </c>
      <c r="I164" s="42"/>
      <c r="J164" s="42">
        <v>2</v>
      </c>
      <c r="K164" s="25" t="str">
        <f>VLOOKUP(J164,Key!$E$2:$F$9,2,FALSE)</f>
        <v>Work</v>
      </c>
      <c r="L164" s="42" t="s">
        <v>261</v>
      </c>
      <c r="M164" s="43" t="s">
        <v>37</v>
      </c>
      <c r="N164" s="43" t="s">
        <v>254</v>
      </c>
      <c r="O164" s="43"/>
      <c r="P164" s="43">
        <v>4</v>
      </c>
      <c r="Q164" s="25" t="str">
        <f>VLOOKUP(P164,Key!$E$2:$F$9,2,FALSE)</f>
        <v>Commercial</v>
      </c>
      <c r="R164" s="25" t="str">
        <f t="shared" si="2"/>
        <v>Work-Commercial</v>
      </c>
      <c r="S164" s="62"/>
      <c r="T164" s="62">
        <v>2</v>
      </c>
      <c r="U164" s="72">
        <v>2</v>
      </c>
      <c r="V164" s="72"/>
      <c r="W164" s="62"/>
      <c r="X164" s="62"/>
      <c r="Y164" s="63"/>
      <c r="Z164" s="73"/>
      <c r="AA164" s="25">
        <f>VLOOKUP(F164,'[1]Zones 1'!$A$2:$F$25426,6,FALSE)</f>
        <v>651</v>
      </c>
      <c r="AB164" s="25">
        <f>VLOOKUP(L164,'[1]Zones 1'!$A$2:$F$25426,6,FALSE)</f>
        <v>659</v>
      </c>
    </row>
    <row r="165" spans="2:28">
      <c r="B165" s="78">
        <v>0.85972222222222217</v>
      </c>
      <c r="C165" s="41"/>
      <c r="D165" s="41">
        <v>1</v>
      </c>
      <c r="E165" s="41">
        <v>1</v>
      </c>
      <c r="F165" s="42" t="s">
        <v>575</v>
      </c>
      <c r="G165" s="42" t="s">
        <v>575</v>
      </c>
      <c r="H165" s="42" t="s">
        <v>254</v>
      </c>
      <c r="I165" s="42"/>
      <c r="J165" s="42">
        <v>2</v>
      </c>
      <c r="K165" s="25" t="str">
        <f>VLOOKUP(J165,Key!$E$2:$F$9,2,FALSE)</f>
        <v>Work</v>
      </c>
      <c r="L165" s="42" t="s">
        <v>256</v>
      </c>
      <c r="M165" s="43" t="s">
        <v>37</v>
      </c>
      <c r="N165" s="43" t="s">
        <v>254</v>
      </c>
      <c r="O165" s="43"/>
      <c r="P165" s="43">
        <v>1</v>
      </c>
      <c r="Q165" s="25" t="str">
        <f>VLOOKUP(P165,Key!$E$2:$F$9,2,FALSE)</f>
        <v>Home</v>
      </c>
      <c r="R165" s="25" t="str">
        <f t="shared" si="2"/>
        <v>Work-Home</v>
      </c>
      <c r="S165" s="62"/>
      <c r="T165" s="62">
        <v>48</v>
      </c>
      <c r="U165" s="72">
        <v>4</v>
      </c>
      <c r="V165" s="72"/>
      <c r="W165" s="62"/>
      <c r="X165" s="62"/>
      <c r="Y165" s="63"/>
      <c r="Z165" s="73"/>
      <c r="AA165" s="25">
        <f>VLOOKUP(F165,'[1]Zones 1'!$A$2:$F$25426,6,FALSE)</f>
        <v>1435</v>
      </c>
      <c r="AB165" s="25">
        <f>VLOOKUP(L165,'[1]Zones 1'!$A$2:$F$25426,6,FALSE)</f>
        <v>1440</v>
      </c>
    </row>
    <row r="166" spans="2:28">
      <c r="B166" s="78">
        <v>0.86736111111111114</v>
      </c>
      <c r="C166" s="41"/>
      <c r="D166" s="41">
        <v>3</v>
      </c>
      <c r="E166" s="41">
        <v>1</v>
      </c>
      <c r="F166" s="42" t="s">
        <v>241</v>
      </c>
      <c r="G166" s="42" t="s">
        <v>241</v>
      </c>
      <c r="H166" s="42" t="s">
        <v>254</v>
      </c>
      <c r="I166" s="42"/>
      <c r="J166" s="42">
        <v>2</v>
      </c>
      <c r="K166" s="25" t="str">
        <f>VLOOKUP(J166,Key!$E$2:$F$9,2,FALSE)</f>
        <v>Work</v>
      </c>
      <c r="L166" s="42" t="s">
        <v>38</v>
      </c>
      <c r="M166" s="43" t="s">
        <v>37</v>
      </c>
      <c r="N166" s="43" t="s">
        <v>254</v>
      </c>
      <c r="O166" s="43"/>
      <c r="P166" s="43">
        <v>1</v>
      </c>
      <c r="Q166" s="25" t="str">
        <f>VLOOKUP(P166,Key!$E$2:$F$9,2,FALSE)</f>
        <v>Home</v>
      </c>
      <c r="R166" s="25" t="str">
        <f t="shared" si="2"/>
        <v>Work-Home</v>
      </c>
      <c r="S166" s="62"/>
      <c r="T166" s="62">
        <v>3</v>
      </c>
      <c r="U166" s="72">
        <v>1</v>
      </c>
      <c r="V166" s="72"/>
      <c r="W166" s="62"/>
      <c r="X166" s="62"/>
      <c r="Y166" s="63"/>
      <c r="Z166" s="73"/>
      <c r="AA166" s="25">
        <f>VLOOKUP(F166,'[1]Zones 1'!$A$2:$F$25426,6,FALSE)</f>
        <v>521</v>
      </c>
      <c r="AB166" s="25">
        <f>VLOOKUP(L166,'[1]Zones 1'!$A$2:$F$25426,6,FALSE)</f>
        <v>644</v>
      </c>
    </row>
    <row r="167" spans="2:28">
      <c r="B167" s="78">
        <v>0.87083333333333324</v>
      </c>
      <c r="C167" s="41"/>
      <c r="D167" s="41">
        <v>1</v>
      </c>
      <c r="E167" s="41">
        <v>1</v>
      </c>
      <c r="F167" s="42" t="s">
        <v>251</v>
      </c>
      <c r="G167" s="42" t="s">
        <v>252</v>
      </c>
      <c r="H167" s="42" t="s">
        <v>254</v>
      </c>
      <c r="I167" s="42"/>
      <c r="J167" s="42">
        <v>6</v>
      </c>
      <c r="K167" s="25" t="str">
        <f>VLOOKUP(J167,Key!$E$2:$F$9,2,FALSE)</f>
        <v>Leisure/Social</v>
      </c>
      <c r="L167" s="42" t="s">
        <v>256</v>
      </c>
      <c r="M167" s="43" t="s">
        <v>37</v>
      </c>
      <c r="N167" s="43" t="s">
        <v>254</v>
      </c>
      <c r="O167" s="43"/>
      <c r="P167" s="43">
        <v>2</v>
      </c>
      <c r="Q167" s="25" t="str">
        <f>VLOOKUP(P167,Key!$E$2:$F$9,2,FALSE)</f>
        <v>Work</v>
      </c>
      <c r="R167" s="25" t="str">
        <f t="shared" si="2"/>
        <v>Leisure/Social-Work</v>
      </c>
      <c r="S167" s="62"/>
      <c r="T167" s="62">
        <v>0</v>
      </c>
      <c r="U167" s="72">
        <v>1</v>
      </c>
      <c r="V167" s="72"/>
      <c r="W167" s="62"/>
      <c r="X167" s="62"/>
      <c r="Y167" s="63"/>
      <c r="Z167" s="73"/>
      <c r="AA167" s="25">
        <f>VLOOKUP(F167,'[1]Zones 1'!$A$2:$F$25426,6,FALSE)</f>
        <v>895</v>
      </c>
      <c r="AB167" s="25">
        <f>VLOOKUP(L167,'[1]Zones 1'!$A$2:$F$25426,6,FALSE)</f>
        <v>1440</v>
      </c>
    </row>
    <row r="168" spans="2:28">
      <c r="B168" s="78">
        <v>0.87569444444444444</v>
      </c>
      <c r="C168" s="41"/>
      <c r="D168" s="41">
        <v>3</v>
      </c>
      <c r="E168" s="41">
        <v>1</v>
      </c>
      <c r="F168" s="42" t="s">
        <v>241</v>
      </c>
      <c r="G168" s="42" t="s">
        <v>241</v>
      </c>
      <c r="H168" s="42" t="s">
        <v>254</v>
      </c>
      <c r="I168" s="42"/>
      <c r="J168" s="42">
        <v>2</v>
      </c>
      <c r="K168" s="25" t="str">
        <f>VLOOKUP(J168,Key!$E$2:$F$9,2,FALSE)</f>
        <v>Work</v>
      </c>
      <c r="L168" s="42" t="s">
        <v>38</v>
      </c>
      <c r="M168" s="43" t="s">
        <v>37</v>
      </c>
      <c r="N168" s="43" t="s">
        <v>254</v>
      </c>
      <c r="O168" s="43"/>
      <c r="P168" s="43">
        <v>1</v>
      </c>
      <c r="Q168" s="25" t="str">
        <f>VLOOKUP(P168,Key!$E$2:$F$9,2,FALSE)</f>
        <v>Home</v>
      </c>
      <c r="R168" s="25" t="str">
        <f t="shared" si="2"/>
        <v>Work-Home</v>
      </c>
      <c r="S168" s="62"/>
      <c r="T168" s="62">
        <v>5</v>
      </c>
      <c r="U168" s="72">
        <v>1</v>
      </c>
      <c r="V168" s="72"/>
      <c r="W168" s="62"/>
      <c r="X168" s="62"/>
      <c r="Y168" s="63"/>
      <c r="Z168" s="73"/>
      <c r="AA168" s="25">
        <f>VLOOKUP(F168,'[1]Zones 1'!$A$2:$F$25426,6,FALSE)</f>
        <v>521</v>
      </c>
      <c r="AB168" s="25">
        <f>VLOOKUP(L168,'[1]Zones 1'!$A$2:$F$25426,6,FALSE)</f>
        <v>644</v>
      </c>
    </row>
    <row r="169" spans="2:28">
      <c r="B169" s="78">
        <v>0.88055555555555554</v>
      </c>
      <c r="C169" s="41"/>
      <c r="D169" s="41">
        <v>1</v>
      </c>
      <c r="E169" s="41">
        <v>1</v>
      </c>
      <c r="F169" s="42" t="s">
        <v>241</v>
      </c>
      <c r="G169" s="42" t="s">
        <v>241</v>
      </c>
      <c r="H169" s="42" t="s">
        <v>254</v>
      </c>
      <c r="I169" s="42"/>
      <c r="J169" s="42">
        <v>2</v>
      </c>
      <c r="K169" s="25" t="str">
        <f>VLOOKUP(J169,Key!$E$2:$F$9,2,FALSE)</f>
        <v>Work</v>
      </c>
      <c r="L169" s="42" t="s">
        <v>38</v>
      </c>
      <c r="M169" s="43" t="s">
        <v>37</v>
      </c>
      <c r="N169" s="43" t="s">
        <v>254</v>
      </c>
      <c r="O169" s="43"/>
      <c r="P169" s="43">
        <v>1</v>
      </c>
      <c r="Q169" s="25" t="str">
        <f>VLOOKUP(P169,Key!$E$2:$F$9,2,FALSE)</f>
        <v>Home</v>
      </c>
      <c r="R169" s="25" t="str">
        <f t="shared" si="2"/>
        <v>Work-Home</v>
      </c>
      <c r="S169" s="62"/>
      <c r="T169" s="62">
        <v>5</v>
      </c>
      <c r="U169" s="72">
        <v>1</v>
      </c>
      <c r="V169" s="72">
        <v>1</v>
      </c>
      <c r="W169" s="62"/>
      <c r="X169" s="62"/>
      <c r="Y169" s="63"/>
      <c r="Z169" s="73"/>
      <c r="AA169" s="25">
        <f>VLOOKUP(F169,'[1]Zones 1'!$A$2:$F$25426,6,FALSE)</f>
        <v>521</v>
      </c>
      <c r="AB169" s="25">
        <f>VLOOKUP(L169,'[1]Zones 1'!$A$2:$F$25426,6,FALSE)</f>
        <v>644</v>
      </c>
    </row>
    <row r="170" spans="2:28">
      <c r="B170" s="78">
        <v>0.89166666666666661</v>
      </c>
      <c r="C170" s="41"/>
      <c r="D170" s="41">
        <v>3</v>
      </c>
      <c r="E170" s="41">
        <v>2</v>
      </c>
      <c r="F170" s="42" t="s">
        <v>129</v>
      </c>
      <c r="G170" s="42" t="s">
        <v>129</v>
      </c>
      <c r="H170" s="42" t="s">
        <v>254</v>
      </c>
      <c r="I170" s="42"/>
      <c r="J170" s="42">
        <v>2</v>
      </c>
      <c r="K170" s="25" t="str">
        <f>VLOOKUP(J170,Key!$E$2:$F$9,2,FALSE)</f>
        <v>Work</v>
      </c>
      <c r="L170" s="42" t="s">
        <v>38</v>
      </c>
      <c r="M170" s="43" t="s">
        <v>37</v>
      </c>
      <c r="N170" s="43" t="s">
        <v>254</v>
      </c>
      <c r="O170" s="43"/>
      <c r="P170" s="43">
        <v>2</v>
      </c>
      <c r="Q170" s="25" t="str">
        <f>VLOOKUP(P170,Key!$E$2:$F$9,2,FALSE)</f>
        <v>Work</v>
      </c>
      <c r="R170" s="25" t="str">
        <f t="shared" si="2"/>
        <v>Work-Work</v>
      </c>
      <c r="S170" s="62"/>
      <c r="T170" s="62">
        <v>3</v>
      </c>
      <c r="U170" s="72">
        <v>4</v>
      </c>
      <c r="V170" s="72"/>
      <c r="W170" s="62"/>
      <c r="X170" s="62"/>
      <c r="Y170" s="63"/>
      <c r="Z170" s="73"/>
      <c r="AA170" s="25">
        <f>VLOOKUP(F170,'[1]Zones 1'!$A$2:$F$25426,6,FALSE)</f>
        <v>841</v>
      </c>
      <c r="AB170" s="25">
        <f>VLOOKUP(L170,'[1]Zones 1'!$A$2:$F$25426,6,FALSE)</f>
        <v>644</v>
      </c>
    </row>
    <row r="171" spans="2:28">
      <c r="B171" s="78">
        <v>0.8965277777777777</v>
      </c>
      <c r="C171" s="41"/>
      <c r="D171" s="41">
        <v>1</v>
      </c>
      <c r="E171" s="41">
        <v>3</v>
      </c>
      <c r="F171" s="42" t="s">
        <v>108</v>
      </c>
      <c r="G171" s="42" t="s">
        <v>37</v>
      </c>
      <c r="H171" s="42" t="s">
        <v>254</v>
      </c>
      <c r="I171" s="42"/>
      <c r="J171" s="42">
        <v>1</v>
      </c>
      <c r="K171" s="25" t="str">
        <f>VLOOKUP(J171,Key!$E$2:$F$9,2,FALSE)</f>
        <v>Home</v>
      </c>
      <c r="L171" s="42" t="s">
        <v>256</v>
      </c>
      <c r="M171" s="43" t="s">
        <v>37</v>
      </c>
      <c r="N171" s="43" t="s">
        <v>254</v>
      </c>
      <c r="O171" s="43"/>
      <c r="P171" s="43">
        <v>2</v>
      </c>
      <c r="Q171" s="25" t="str">
        <f>VLOOKUP(P171,Key!$E$2:$F$9,2,FALSE)</f>
        <v>Work</v>
      </c>
      <c r="R171" s="25" t="str">
        <f t="shared" si="2"/>
        <v>Home-Work</v>
      </c>
      <c r="S171" s="62"/>
      <c r="T171" s="62">
        <v>0</v>
      </c>
      <c r="U171" s="72">
        <v>3</v>
      </c>
      <c r="V171" s="72"/>
      <c r="W171" s="62"/>
      <c r="X171" s="62"/>
      <c r="Y171" s="63"/>
      <c r="Z171" s="73"/>
      <c r="AA171" s="25">
        <f>VLOOKUP(F171,'[1]Zones 1'!$A$2:$F$25426,6,FALSE)</f>
        <v>1435</v>
      </c>
      <c r="AB171" s="25">
        <f>VLOOKUP(L171,'[1]Zones 1'!$A$2:$F$25426,6,FALSE)</f>
        <v>1440</v>
      </c>
    </row>
    <row r="172" spans="2:28">
      <c r="B172" s="78">
        <v>0.91249999999999998</v>
      </c>
      <c r="C172" s="41"/>
      <c r="D172" s="41">
        <v>1</v>
      </c>
      <c r="E172" s="41">
        <v>1</v>
      </c>
      <c r="F172" s="42" t="s">
        <v>40</v>
      </c>
      <c r="G172" s="42" t="s">
        <v>243</v>
      </c>
      <c r="H172" s="42" t="s">
        <v>254</v>
      </c>
      <c r="I172" s="42"/>
      <c r="J172" s="42">
        <v>1</v>
      </c>
      <c r="K172" s="25" t="str">
        <f>VLOOKUP(J172,Key!$E$2:$F$9,2,FALSE)</f>
        <v>Home</v>
      </c>
      <c r="L172" s="42" t="s">
        <v>259</v>
      </c>
      <c r="M172" s="43" t="s">
        <v>37</v>
      </c>
      <c r="N172" s="43" t="s">
        <v>254</v>
      </c>
      <c r="O172" s="43"/>
      <c r="P172" s="43">
        <v>1</v>
      </c>
      <c r="Q172" s="25" t="str">
        <f>VLOOKUP(P172,Key!$E$2:$F$9,2,FALSE)</f>
        <v>Home</v>
      </c>
      <c r="R172" s="25" t="str">
        <f t="shared" si="2"/>
        <v>Home-Home</v>
      </c>
      <c r="S172" s="62"/>
      <c r="T172" s="62">
        <v>0.83333333333333337</v>
      </c>
      <c r="U172" s="72">
        <v>3</v>
      </c>
      <c r="V172" s="72"/>
      <c r="W172" s="62"/>
      <c r="X172" s="62"/>
      <c r="Y172" s="63"/>
      <c r="Z172" s="73"/>
      <c r="AA172" s="25">
        <f>VLOOKUP(F172,'[1]Zones 1'!$A$2:$F$25426,6,FALSE)</f>
        <v>253</v>
      </c>
      <c r="AB172" s="25">
        <f>VLOOKUP(L172,'[1]Zones 1'!$A$2:$F$25426,6,FALSE)</f>
        <v>666</v>
      </c>
    </row>
    <row r="173" spans="2:28">
      <c r="B173" s="78">
        <v>0.92638888888888893</v>
      </c>
      <c r="C173" s="41"/>
      <c r="D173" s="41">
        <v>3</v>
      </c>
      <c r="E173" s="41">
        <v>3</v>
      </c>
      <c r="F173" s="42" t="s">
        <v>249</v>
      </c>
      <c r="G173" s="42" t="s">
        <v>37</v>
      </c>
      <c r="H173" s="42" t="s">
        <v>254</v>
      </c>
      <c r="I173" s="42"/>
      <c r="J173" s="42">
        <v>2</v>
      </c>
      <c r="K173" s="25" t="str">
        <f>VLOOKUP(J173,Key!$E$2:$F$9,2,FALSE)</f>
        <v>Work</v>
      </c>
      <c r="L173" s="42" t="s">
        <v>38</v>
      </c>
      <c r="M173" s="43" t="s">
        <v>37</v>
      </c>
      <c r="N173" s="43" t="s">
        <v>254</v>
      </c>
      <c r="O173" s="43"/>
      <c r="P173" s="43">
        <v>1</v>
      </c>
      <c r="Q173" s="25" t="str">
        <f>VLOOKUP(P173,Key!$E$2:$F$9,2,FALSE)</f>
        <v>Home</v>
      </c>
      <c r="R173" s="25" t="str">
        <f t="shared" si="2"/>
        <v>Work-Home</v>
      </c>
      <c r="S173" s="62"/>
      <c r="T173" s="62">
        <v>1</v>
      </c>
      <c r="U173" s="72">
        <v>1</v>
      </c>
      <c r="V173" s="72">
        <v>1</v>
      </c>
      <c r="W173" s="62"/>
      <c r="X173" s="62"/>
      <c r="Y173" s="63"/>
      <c r="Z173" s="73"/>
      <c r="AA173" s="25">
        <f>VLOOKUP(F173,'[1]Zones 1'!$A$2:$F$25426,6,FALSE)</f>
        <v>655</v>
      </c>
      <c r="AB173" s="25">
        <f>VLOOKUP(L173,'[1]Zones 1'!$A$2:$F$25426,6,FALSE)</f>
        <v>644</v>
      </c>
    </row>
    <row r="174" spans="2:28">
      <c r="B174" s="78">
        <v>0.92708333333333337</v>
      </c>
      <c r="C174" s="41"/>
      <c r="D174" s="41">
        <v>8</v>
      </c>
      <c r="E174" s="41">
        <v>4</v>
      </c>
      <c r="F174" s="42" t="s">
        <v>248</v>
      </c>
      <c r="G174" s="42" t="s">
        <v>248</v>
      </c>
      <c r="H174" s="42" t="s">
        <v>254</v>
      </c>
      <c r="I174" s="42"/>
      <c r="J174" s="42">
        <v>5</v>
      </c>
      <c r="K174" s="25" t="str">
        <f>VLOOKUP(J174,Key!$E$2:$F$9,2,FALSE)</f>
        <v>Tourism</v>
      </c>
      <c r="L174" s="42" t="s">
        <v>38</v>
      </c>
      <c r="M174" s="43" t="s">
        <v>37</v>
      </c>
      <c r="N174" s="43" t="s">
        <v>254</v>
      </c>
      <c r="O174" s="43"/>
      <c r="P174" s="43">
        <v>2</v>
      </c>
      <c r="Q174" s="25" t="str">
        <f>VLOOKUP(P174,Key!$E$2:$F$9,2,FALSE)</f>
        <v>Work</v>
      </c>
      <c r="R174" s="25" t="str">
        <f t="shared" ref="R174:R185" si="3">K174&amp;"-"&amp;Q174</f>
        <v>Tourism-Work</v>
      </c>
      <c r="S174" s="62"/>
      <c r="T174" s="62">
        <v>2</v>
      </c>
      <c r="U174" s="72">
        <v>1</v>
      </c>
      <c r="V174" s="72">
        <v>6</v>
      </c>
      <c r="W174" s="62"/>
      <c r="X174" s="62"/>
      <c r="Y174" s="63"/>
      <c r="Z174" s="73"/>
      <c r="AA174" s="25">
        <f>VLOOKUP(F174,'[1]Zones 1'!$A$2:$F$25426,6,FALSE)</f>
        <v>987</v>
      </c>
      <c r="AB174" s="25">
        <f>VLOOKUP(L174,'[1]Zones 1'!$A$2:$F$25426,6,FALSE)</f>
        <v>644</v>
      </c>
    </row>
    <row r="175" spans="2:28">
      <c r="B175" s="78">
        <v>0.9277777777777777</v>
      </c>
      <c r="C175" s="41"/>
      <c r="D175" s="41">
        <v>12</v>
      </c>
      <c r="E175" s="41">
        <v>5</v>
      </c>
      <c r="F175" s="42" t="s">
        <v>60</v>
      </c>
      <c r="G175" s="42" t="s">
        <v>240</v>
      </c>
      <c r="H175" s="42" t="s">
        <v>254</v>
      </c>
      <c r="I175" s="42"/>
      <c r="J175" s="42">
        <v>1</v>
      </c>
      <c r="K175" s="25" t="str">
        <f>VLOOKUP(J175,Key!$E$2:$F$9,2,FALSE)</f>
        <v>Home</v>
      </c>
      <c r="L175" s="42" t="s">
        <v>38</v>
      </c>
      <c r="M175" s="43" t="s">
        <v>37</v>
      </c>
      <c r="N175" s="43" t="s">
        <v>254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62"/>
      <c r="T175" s="62">
        <v>48</v>
      </c>
      <c r="U175" s="72">
        <v>4</v>
      </c>
      <c r="V175" s="72"/>
      <c r="W175" s="62"/>
      <c r="X175" s="62"/>
      <c r="Y175" s="63"/>
      <c r="Z175" s="73"/>
      <c r="AA175" s="25">
        <f>VLOOKUP(F175,'[1]Zones 1'!$A$2:$F$25426,6,FALSE)</f>
        <v>1434</v>
      </c>
      <c r="AB175" s="25">
        <f>VLOOKUP(L175,'[1]Zones 1'!$A$2:$F$25426,6,FALSE)</f>
        <v>644</v>
      </c>
    </row>
    <row r="176" spans="2:28">
      <c r="B176" s="78">
        <v>0.93055555555555547</v>
      </c>
      <c r="C176" s="41"/>
      <c r="D176" s="41">
        <v>2</v>
      </c>
      <c r="E176" s="41">
        <v>5</v>
      </c>
      <c r="F176" s="42" t="s">
        <v>248</v>
      </c>
      <c r="G176" s="42" t="s">
        <v>248</v>
      </c>
      <c r="H176" s="42" t="s">
        <v>254</v>
      </c>
      <c r="I176" s="42"/>
      <c r="J176" s="42">
        <v>2</v>
      </c>
      <c r="K176" s="25" t="str">
        <f>VLOOKUP(J176,Key!$E$2:$F$9,2,FALSE)</f>
        <v>Work</v>
      </c>
      <c r="L176" s="42" t="s">
        <v>38</v>
      </c>
      <c r="M176" s="43" t="s">
        <v>37</v>
      </c>
      <c r="N176" s="43" t="s">
        <v>254</v>
      </c>
      <c r="O176" s="43"/>
      <c r="P176" s="43">
        <v>1</v>
      </c>
      <c r="Q176" s="25" t="str">
        <f>VLOOKUP(P176,Key!$E$2:$F$9,2,FALSE)</f>
        <v>Home</v>
      </c>
      <c r="R176" s="25" t="str">
        <f t="shared" si="3"/>
        <v>Work-Home</v>
      </c>
      <c r="S176" s="62"/>
      <c r="T176" s="62">
        <v>1.5</v>
      </c>
      <c r="U176" s="72">
        <v>4</v>
      </c>
      <c r="V176" s="72">
        <v>1</v>
      </c>
      <c r="W176" s="62"/>
      <c r="X176" s="62"/>
      <c r="Y176" s="63"/>
      <c r="Z176" s="73"/>
      <c r="AA176" s="25">
        <f>VLOOKUP(F176,'[1]Zones 1'!$A$2:$F$25426,6,FALSE)</f>
        <v>987</v>
      </c>
      <c r="AB176" s="25">
        <f>VLOOKUP(L176,'[1]Zones 1'!$A$2:$F$25426,6,FALSE)</f>
        <v>644</v>
      </c>
    </row>
    <row r="177" spans="2:28">
      <c r="B177" s="78">
        <v>0.93333333333333324</v>
      </c>
      <c r="C177" s="41"/>
      <c r="D177" s="41">
        <v>1</v>
      </c>
      <c r="E177" s="41">
        <v>3</v>
      </c>
      <c r="F177" s="42" t="s">
        <v>108</v>
      </c>
      <c r="G177" s="42" t="s">
        <v>37</v>
      </c>
      <c r="H177" s="42" t="s">
        <v>254</v>
      </c>
      <c r="I177" s="42"/>
      <c r="J177" s="42">
        <v>1</v>
      </c>
      <c r="K177" s="25" t="str">
        <f>VLOOKUP(J177,Key!$E$2:$F$9,2,FALSE)</f>
        <v>Home</v>
      </c>
      <c r="L177" s="42" t="s">
        <v>38</v>
      </c>
      <c r="M177" s="43" t="s">
        <v>37</v>
      </c>
      <c r="N177" s="43" t="s">
        <v>254</v>
      </c>
      <c r="O177" s="43"/>
      <c r="P177" s="43">
        <v>1</v>
      </c>
      <c r="Q177" s="25" t="str">
        <f>VLOOKUP(P177,Key!$E$2:$F$9,2,FALSE)</f>
        <v>Home</v>
      </c>
      <c r="R177" s="25" t="str">
        <f t="shared" si="3"/>
        <v>Home-Home</v>
      </c>
      <c r="S177" s="62"/>
      <c r="T177" s="62">
        <v>1</v>
      </c>
      <c r="U177" s="72">
        <v>1</v>
      </c>
      <c r="V177" s="72"/>
      <c r="W177" s="62"/>
      <c r="X177" s="62"/>
      <c r="Y177" s="63"/>
      <c r="Z177" s="73"/>
      <c r="AA177" s="25">
        <f>VLOOKUP(F177,'[1]Zones 1'!$A$2:$F$25426,6,FALSE)</f>
        <v>1435</v>
      </c>
      <c r="AB177" s="25">
        <f>VLOOKUP(L177,'[1]Zones 1'!$A$2:$F$25426,6,FALSE)</f>
        <v>644</v>
      </c>
    </row>
    <row r="178" spans="2:28">
      <c r="B178" s="78">
        <v>0.93680555555555556</v>
      </c>
      <c r="C178" s="41"/>
      <c r="D178" s="41">
        <v>1</v>
      </c>
      <c r="E178" s="41">
        <v>1</v>
      </c>
      <c r="F178" s="42" t="s">
        <v>37</v>
      </c>
      <c r="G178" s="42" t="s">
        <v>37</v>
      </c>
      <c r="H178" s="42" t="s">
        <v>254</v>
      </c>
      <c r="I178" s="42"/>
      <c r="J178" s="42">
        <v>2</v>
      </c>
      <c r="K178" s="25" t="str">
        <f>VLOOKUP(J178,Key!$E$2:$F$9,2,FALSE)</f>
        <v>Work</v>
      </c>
      <c r="L178" s="42" t="s">
        <v>38</v>
      </c>
      <c r="M178" s="43" t="s">
        <v>37</v>
      </c>
      <c r="N178" s="43" t="s">
        <v>254</v>
      </c>
      <c r="O178" s="43"/>
      <c r="P178" s="43">
        <v>1</v>
      </c>
      <c r="Q178" s="25" t="str">
        <f>VLOOKUP(P178,Key!$E$2:$F$9,2,FALSE)</f>
        <v>Home</v>
      </c>
      <c r="R178" s="25" t="str">
        <f t="shared" si="3"/>
        <v>Work-Home</v>
      </c>
      <c r="S178" s="62"/>
      <c r="T178" s="62">
        <v>2</v>
      </c>
      <c r="U178" s="72">
        <v>2</v>
      </c>
      <c r="V178" s="72">
        <v>7</v>
      </c>
      <c r="W178" s="62"/>
      <c r="X178" s="62"/>
      <c r="Y178" s="63"/>
      <c r="Z178" s="73"/>
      <c r="AA178" s="25">
        <f>VLOOKUP(F178,'[1]Zones 1'!$A$2:$F$25426,6,FALSE)</f>
        <v>651</v>
      </c>
      <c r="AB178" s="25">
        <f>VLOOKUP(L178,'[1]Zones 1'!$A$2:$F$25426,6,FALSE)</f>
        <v>644</v>
      </c>
    </row>
    <row r="179" spans="2:28">
      <c r="B179" s="78">
        <v>0.9472222222222223</v>
      </c>
      <c r="C179" s="41"/>
      <c r="D179" s="41">
        <v>1</v>
      </c>
      <c r="E179" s="41">
        <v>4</v>
      </c>
      <c r="F179" s="42" t="s">
        <v>241</v>
      </c>
      <c r="G179" s="42" t="s">
        <v>241</v>
      </c>
      <c r="H179" s="42" t="s">
        <v>254</v>
      </c>
      <c r="I179" s="42"/>
      <c r="J179" s="42">
        <v>2</v>
      </c>
      <c r="K179" s="25" t="str">
        <f>VLOOKUP(J179,Key!$E$2:$F$9,2,FALSE)</f>
        <v>Work</v>
      </c>
      <c r="L179" s="42" t="s">
        <v>38</v>
      </c>
      <c r="M179" s="43" t="s">
        <v>37</v>
      </c>
      <c r="N179" s="43" t="s">
        <v>254</v>
      </c>
      <c r="O179" s="43"/>
      <c r="P179" s="43">
        <v>1</v>
      </c>
      <c r="Q179" s="25" t="str">
        <f>VLOOKUP(P179,Key!$E$2:$F$9,2,FALSE)</f>
        <v>Home</v>
      </c>
      <c r="R179" s="25" t="str">
        <f t="shared" si="3"/>
        <v>Work-Home</v>
      </c>
      <c r="S179" s="62"/>
      <c r="T179" s="62">
        <v>5</v>
      </c>
      <c r="U179" s="72">
        <v>4</v>
      </c>
      <c r="V179" s="72"/>
      <c r="W179" s="62"/>
      <c r="X179" s="62"/>
      <c r="Y179" s="63"/>
      <c r="Z179" s="73"/>
      <c r="AA179" s="25">
        <f>VLOOKUP(F179,'[1]Zones 1'!$A$2:$F$25426,6,FALSE)</f>
        <v>521</v>
      </c>
      <c r="AB179" s="25">
        <f>VLOOKUP(L179,'[1]Zones 1'!$A$2:$F$25426,6,FALSE)</f>
        <v>644</v>
      </c>
    </row>
    <row r="180" spans="2:28">
      <c r="B180" s="78">
        <v>0.95277777777777783</v>
      </c>
      <c r="C180" s="41"/>
      <c r="D180" s="41">
        <v>1</v>
      </c>
      <c r="E180" s="41">
        <v>4</v>
      </c>
      <c r="F180" s="42" t="s">
        <v>108</v>
      </c>
      <c r="G180" s="42" t="s">
        <v>37</v>
      </c>
      <c r="H180" s="42" t="s">
        <v>254</v>
      </c>
      <c r="I180" s="42"/>
      <c r="J180" s="42">
        <v>2</v>
      </c>
      <c r="K180" s="25" t="str">
        <f>VLOOKUP(J180,Key!$E$2:$F$9,2,FALSE)</f>
        <v>Work</v>
      </c>
      <c r="L180" s="42" t="s">
        <v>256</v>
      </c>
      <c r="M180" s="43" t="s">
        <v>37</v>
      </c>
      <c r="N180" s="43" t="s">
        <v>254</v>
      </c>
      <c r="O180" s="43"/>
      <c r="P180" s="43">
        <v>1</v>
      </c>
      <c r="Q180" s="25" t="str">
        <f>VLOOKUP(P180,Key!$E$2:$F$9,2,FALSE)</f>
        <v>Home</v>
      </c>
      <c r="R180" s="25" t="str">
        <f t="shared" si="3"/>
        <v>Work-Home</v>
      </c>
      <c r="S180" s="62"/>
      <c r="T180" s="62">
        <v>1</v>
      </c>
      <c r="U180" s="72">
        <v>4</v>
      </c>
      <c r="V180" s="72"/>
      <c r="W180" s="62"/>
      <c r="X180" s="62"/>
      <c r="Y180" s="63"/>
      <c r="Z180" s="73"/>
      <c r="AA180" s="25">
        <f>VLOOKUP(F180,'[1]Zones 1'!$A$2:$F$25426,6,FALSE)</f>
        <v>1435</v>
      </c>
      <c r="AB180" s="25">
        <f>VLOOKUP(L180,'[1]Zones 1'!$A$2:$F$25426,6,FALSE)</f>
        <v>1440</v>
      </c>
    </row>
    <row r="181" spans="2:28">
      <c r="B181" s="78">
        <v>0.95833333333333337</v>
      </c>
      <c r="C181" s="41"/>
      <c r="D181" s="41">
        <v>1</v>
      </c>
      <c r="E181" s="41">
        <v>1</v>
      </c>
      <c r="F181" s="42" t="s">
        <v>37</v>
      </c>
      <c r="G181" s="42" t="s">
        <v>37</v>
      </c>
      <c r="H181" s="42" t="s">
        <v>254</v>
      </c>
      <c r="I181" s="42"/>
      <c r="J181" s="42">
        <v>2</v>
      </c>
      <c r="K181" s="25" t="str">
        <f>VLOOKUP(J181,Key!$E$2:$F$9,2,FALSE)</f>
        <v>Work</v>
      </c>
      <c r="L181" s="42" t="s">
        <v>261</v>
      </c>
      <c r="M181" s="43" t="s">
        <v>37</v>
      </c>
      <c r="N181" s="43" t="s">
        <v>254</v>
      </c>
      <c r="O181" s="43"/>
      <c r="P181" s="43">
        <v>1</v>
      </c>
      <c r="Q181" s="25" t="str">
        <f>VLOOKUP(P181,Key!$E$2:$F$9,2,FALSE)</f>
        <v>Home</v>
      </c>
      <c r="R181" s="25" t="str">
        <f t="shared" si="3"/>
        <v>Work-Home</v>
      </c>
      <c r="S181" s="62"/>
      <c r="T181" s="62">
        <v>2</v>
      </c>
      <c r="U181" s="72">
        <v>2</v>
      </c>
      <c r="V181" s="72"/>
      <c r="W181" s="62"/>
      <c r="X181" s="62"/>
      <c r="Y181" s="63"/>
      <c r="Z181" s="73"/>
      <c r="AA181" s="25">
        <f>VLOOKUP(F181,'[1]Zones 1'!$A$2:$F$25426,6,FALSE)</f>
        <v>651</v>
      </c>
      <c r="AB181" s="25">
        <f>VLOOKUP(L181,'[1]Zones 1'!$A$2:$F$25426,6,FALSE)</f>
        <v>659</v>
      </c>
    </row>
    <row r="182" spans="2:28">
      <c r="B182" s="78">
        <v>0.96527777777777779</v>
      </c>
      <c r="C182" s="41"/>
      <c r="D182" s="41">
        <v>8</v>
      </c>
      <c r="E182" s="41">
        <v>4</v>
      </c>
      <c r="F182" s="42" t="s">
        <v>248</v>
      </c>
      <c r="G182" s="42" t="s">
        <v>248</v>
      </c>
      <c r="H182" s="42" t="s">
        <v>254</v>
      </c>
      <c r="I182" s="42"/>
      <c r="J182" s="42">
        <v>2</v>
      </c>
      <c r="K182" s="25" t="str">
        <f>VLOOKUP(J182,Key!$E$2:$F$9,2,FALSE)</f>
        <v>Work</v>
      </c>
      <c r="L182" s="42" t="s">
        <v>38</v>
      </c>
      <c r="M182" s="43" t="s">
        <v>37</v>
      </c>
      <c r="N182" s="43" t="s">
        <v>254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2"/>
      <c r="T182" s="62">
        <v>3</v>
      </c>
      <c r="U182" s="72">
        <v>1</v>
      </c>
      <c r="V182" s="72"/>
      <c r="W182" s="62"/>
      <c r="X182" s="62"/>
      <c r="Y182" s="63"/>
      <c r="Z182" s="73"/>
      <c r="AA182" s="25">
        <f>VLOOKUP(F182,'[1]Zones 1'!$A$2:$F$25426,6,FALSE)</f>
        <v>987</v>
      </c>
      <c r="AB182" s="25">
        <f>VLOOKUP(L182,'[1]Zones 1'!$A$2:$F$25426,6,FALSE)</f>
        <v>644</v>
      </c>
    </row>
    <row r="183" spans="2:28">
      <c r="B183" s="78">
        <v>0.9784722222222223</v>
      </c>
      <c r="C183" s="41"/>
      <c r="D183" s="41">
        <v>1</v>
      </c>
      <c r="E183" s="41">
        <v>1</v>
      </c>
      <c r="F183" s="42" t="s">
        <v>41</v>
      </c>
      <c r="G183" s="42" t="s">
        <v>253</v>
      </c>
      <c r="H183" s="42" t="s">
        <v>254</v>
      </c>
      <c r="I183" s="42"/>
      <c r="J183" s="42">
        <v>1</v>
      </c>
      <c r="K183" s="25" t="str">
        <f>VLOOKUP(J183,Key!$E$2:$F$9,2,FALSE)</f>
        <v>Home</v>
      </c>
      <c r="L183" s="42" t="s">
        <v>38</v>
      </c>
      <c r="M183" s="43" t="s">
        <v>37</v>
      </c>
      <c r="N183" s="43" t="s">
        <v>254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Home-Work</v>
      </c>
      <c r="S183" s="62"/>
      <c r="T183" s="62">
        <v>10</v>
      </c>
      <c r="U183" s="72">
        <v>1</v>
      </c>
      <c r="V183" s="72">
        <v>6</v>
      </c>
      <c r="W183" s="62"/>
      <c r="X183" s="62"/>
      <c r="Y183" s="63"/>
      <c r="Z183" s="73"/>
      <c r="AA183" s="25">
        <f>VLOOKUP(F183,'[1]Zones 1'!$A$2:$F$25426,6,FALSE)</f>
        <v>937</v>
      </c>
      <c r="AB183" s="25">
        <f>VLOOKUP(L183,'[1]Zones 1'!$A$2:$F$25426,6,FALSE)</f>
        <v>644</v>
      </c>
    </row>
    <row r="184" spans="2:28">
      <c r="B184" s="78">
        <v>0.98958333333333337</v>
      </c>
      <c r="C184" s="41"/>
      <c r="D184" s="41">
        <v>5</v>
      </c>
      <c r="E184" s="41">
        <v>2</v>
      </c>
      <c r="F184" s="42" t="s">
        <v>241</v>
      </c>
      <c r="G184" s="42" t="s">
        <v>241</v>
      </c>
      <c r="H184" s="42" t="s">
        <v>254</v>
      </c>
      <c r="I184" s="42"/>
      <c r="J184" s="42">
        <v>2</v>
      </c>
      <c r="K184" s="25" t="str">
        <f>VLOOKUP(J184,Key!$E$2:$F$9,2,FALSE)</f>
        <v>Work</v>
      </c>
      <c r="L184" s="42" t="s">
        <v>38</v>
      </c>
      <c r="M184" s="43" t="s">
        <v>37</v>
      </c>
      <c r="N184" s="43" t="s">
        <v>254</v>
      </c>
      <c r="O184" s="43"/>
      <c r="P184" s="43">
        <v>1</v>
      </c>
      <c r="Q184" s="25" t="str">
        <f>VLOOKUP(P184,Key!$E$2:$F$9,2,FALSE)</f>
        <v>Home</v>
      </c>
      <c r="R184" s="25" t="str">
        <f t="shared" si="3"/>
        <v>Work-Home</v>
      </c>
      <c r="S184" s="62"/>
      <c r="T184" s="62">
        <v>8</v>
      </c>
      <c r="U184" s="72">
        <v>4</v>
      </c>
      <c r="V184" s="72"/>
      <c r="W184" s="62"/>
      <c r="X184" s="62"/>
      <c r="Y184" s="63"/>
      <c r="Z184" s="73"/>
      <c r="AA184" s="25">
        <f>VLOOKUP(F184,'[1]Zones 1'!$A$2:$F$25426,6,FALSE)</f>
        <v>521</v>
      </c>
      <c r="AB184" s="25">
        <f>VLOOKUP(L184,'[1]Zones 1'!$A$2:$F$25426,6,FALSE)</f>
        <v>644</v>
      </c>
    </row>
    <row r="185" spans="2:28">
      <c r="B185" s="78">
        <v>0.9916666666666667</v>
      </c>
      <c r="C185" s="41"/>
      <c r="D185" s="41">
        <v>1</v>
      </c>
      <c r="E185" s="41">
        <v>4</v>
      </c>
      <c r="F185" s="42" t="s">
        <v>241</v>
      </c>
      <c r="G185" s="42" t="s">
        <v>241</v>
      </c>
      <c r="H185" s="42" t="s">
        <v>254</v>
      </c>
      <c r="I185" s="42"/>
      <c r="J185" s="42">
        <v>7</v>
      </c>
      <c r="K185" s="25" t="str">
        <f>VLOOKUP(J185,Key!$E$2:$F$9,2,FALSE)</f>
        <v>Hospital</v>
      </c>
      <c r="L185" s="42" t="s">
        <v>38</v>
      </c>
      <c r="M185" s="43" t="s">
        <v>37</v>
      </c>
      <c r="N185" s="43" t="s">
        <v>254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Hospital-Work</v>
      </c>
      <c r="S185" s="62"/>
      <c r="T185" s="62">
        <v>4</v>
      </c>
      <c r="U185" s="72">
        <v>2</v>
      </c>
      <c r="V185" s="72"/>
      <c r="W185" s="62"/>
      <c r="X185" s="62"/>
      <c r="Y185" s="63"/>
      <c r="Z185" s="73"/>
      <c r="AA185" s="25">
        <f>VLOOKUP(F185,'[1]Zones 1'!$A$2:$F$25426,6,FALSE)</f>
        <v>521</v>
      </c>
      <c r="AB185" s="25">
        <f>VLOOKUP(L185,'[1]Zones 1'!$A$2:$F$25426,6,FALSE)</f>
        <v>644</v>
      </c>
    </row>
    <row r="186" spans="2:28">
      <c r="B186" s="40" t="s">
        <v>367</v>
      </c>
      <c r="C186" s="40"/>
      <c r="D186" s="41"/>
      <c r="E186" s="42">
        <v>1</v>
      </c>
      <c r="F186" s="42" t="s">
        <v>38</v>
      </c>
      <c r="G186" s="43" t="s">
        <v>37</v>
      </c>
      <c r="H186" s="42" t="s">
        <v>254</v>
      </c>
      <c r="I186" s="43"/>
      <c r="J186" s="43">
        <v>3</v>
      </c>
      <c r="K186" s="25" t="str">
        <f>VLOOKUP(J186,Key!$E$2:$F$9,2,FALSE)</f>
        <v>Study</v>
      </c>
      <c r="L186" s="42" t="s">
        <v>37</v>
      </c>
      <c r="M186" s="43" t="s">
        <v>37</v>
      </c>
      <c r="N186" s="42" t="s">
        <v>254</v>
      </c>
      <c r="O186" s="43"/>
      <c r="P186" s="43">
        <v>1</v>
      </c>
      <c r="Q186" s="25" t="str">
        <f>VLOOKUP(P186,Key!$E$2:$F$9,2,FALSE)</f>
        <v>Home</v>
      </c>
      <c r="R186" s="25" t="str">
        <f>K186&amp;"-"&amp;Q186</f>
        <v>Study-Home</v>
      </c>
      <c r="S186" s="62"/>
      <c r="T186" s="62">
        <v>0</v>
      </c>
      <c r="U186" s="43">
        <v>1</v>
      </c>
      <c r="V186" s="43"/>
      <c r="W186" s="62"/>
      <c r="X186" s="62"/>
      <c r="Y186" s="63"/>
      <c r="Z186" s="73"/>
      <c r="AA186" s="25">
        <f>VLOOKUP(F186,'[1]Zones 1'!$A$2:$F$25426,6,FALSE)</f>
        <v>644</v>
      </c>
      <c r="AB186" s="25">
        <f>VLOOKUP(L186,'[1]Zones 1'!$A$2:$F$25426,6,FALSE)</f>
        <v>651</v>
      </c>
    </row>
    <row r="187" spans="2:28">
      <c r="B187" s="40" t="s">
        <v>368</v>
      </c>
      <c r="C187" s="40"/>
      <c r="D187" s="41"/>
      <c r="E187" s="42">
        <v>1</v>
      </c>
      <c r="F187" s="42" t="s">
        <v>256</v>
      </c>
      <c r="G187" s="43" t="s">
        <v>37</v>
      </c>
      <c r="H187" s="42" t="s">
        <v>254</v>
      </c>
      <c r="I187" s="43"/>
      <c r="J187" s="43">
        <v>3</v>
      </c>
      <c r="K187" s="25" t="str">
        <f>VLOOKUP(J187,Key!$E$2:$F$9,2,FALSE)</f>
        <v>Study</v>
      </c>
      <c r="L187" s="42" t="s">
        <v>38</v>
      </c>
      <c r="M187" s="43" t="s">
        <v>37</v>
      </c>
      <c r="N187" s="42" t="s">
        <v>254</v>
      </c>
      <c r="O187" s="43"/>
      <c r="P187" s="43">
        <v>1</v>
      </c>
      <c r="Q187" s="25" t="str">
        <f>VLOOKUP(P187,Key!$E$2:$F$9,2,FALSE)</f>
        <v>Home</v>
      </c>
      <c r="R187" s="25" t="str">
        <f t="shared" ref="R187:R250" si="4">K187&amp;"-"&amp;Q187</f>
        <v>Study-Home</v>
      </c>
      <c r="S187" s="62"/>
      <c r="T187" s="62">
        <v>0</v>
      </c>
      <c r="U187" s="43">
        <v>2</v>
      </c>
      <c r="V187" s="43"/>
      <c r="W187" s="62"/>
      <c r="X187" s="62"/>
      <c r="Y187" s="63"/>
      <c r="Z187" s="73"/>
      <c r="AA187" s="25">
        <f>VLOOKUP(F187,'[1]Zones 1'!$A$2:$F$25426,6,FALSE)</f>
        <v>1440</v>
      </c>
      <c r="AB187" s="25">
        <f>VLOOKUP(L187,'[1]Zones 1'!$A$2:$F$25426,6,FALSE)</f>
        <v>644</v>
      </c>
    </row>
    <row r="188" spans="2:28">
      <c r="B188" s="40" t="s">
        <v>369</v>
      </c>
      <c r="C188" s="40"/>
      <c r="D188" s="41"/>
      <c r="E188" s="42">
        <v>1</v>
      </c>
      <c r="F188" s="42" t="s">
        <v>38</v>
      </c>
      <c r="G188" s="43" t="s">
        <v>37</v>
      </c>
      <c r="H188" s="42" t="s">
        <v>254</v>
      </c>
      <c r="I188" s="43"/>
      <c r="J188" s="43">
        <v>3</v>
      </c>
      <c r="K188" s="25" t="str">
        <f>VLOOKUP(J188,Key!$E$2:$F$9,2,FALSE)</f>
        <v>Study</v>
      </c>
      <c r="L188" s="42" t="s">
        <v>37</v>
      </c>
      <c r="M188" s="43" t="s">
        <v>37</v>
      </c>
      <c r="N188" s="42" t="s">
        <v>254</v>
      </c>
      <c r="O188" s="43"/>
      <c r="P188" s="43">
        <v>1</v>
      </c>
      <c r="Q188" s="25" t="str">
        <f>VLOOKUP(P188,Key!$E$2:$F$9,2,FALSE)</f>
        <v>Home</v>
      </c>
      <c r="R188" s="25" t="str">
        <f t="shared" si="4"/>
        <v>Study-Home</v>
      </c>
      <c r="S188" s="62"/>
      <c r="T188" s="62">
        <v>0.83333333333333337</v>
      </c>
      <c r="U188" s="43">
        <v>4</v>
      </c>
      <c r="V188" s="43"/>
      <c r="W188" s="62"/>
      <c r="X188" s="62"/>
      <c r="Y188" s="63"/>
      <c r="Z188" s="73"/>
      <c r="AA188" s="25">
        <f>VLOOKUP(F188,'[1]Zones 1'!$A$2:$F$25426,6,FALSE)</f>
        <v>644</v>
      </c>
      <c r="AB188" s="25">
        <f>VLOOKUP(L188,'[1]Zones 1'!$A$2:$F$25426,6,FALSE)</f>
        <v>651</v>
      </c>
    </row>
    <row r="189" spans="2:28">
      <c r="B189" s="40" t="s">
        <v>370</v>
      </c>
      <c r="C189" s="40"/>
      <c r="D189" s="41"/>
      <c r="E189" s="42">
        <v>1</v>
      </c>
      <c r="F189" s="42" t="s">
        <v>38</v>
      </c>
      <c r="G189" s="43" t="s">
        <v>37</v>
      </c>
      <c r="H189" s="42" t="s">
        <v>254</v>
      </c>
      <c r="I189" s="43"/>
      <c r="J189" s="43">
        <v>5</v>
      </c>
      <c r="K189" s="25" t="str">
        <f>VLOOKUP(J189,Key!$E$2:$F$9,2,FALSE)</f>
        <v>Tourism</v>
      </c>
      <c r="L189" s="42" t="s">
        <v>38</v>
      </c>
      <c r="M189" s="43" t="s">
        <v>37</v>
      </c>
      <c r="N189" s="42" t="s">
        <v>254</v>
      </c>
      <c r="O189" s="43"/>
      <c r="P189" s="43">
        <v>1</v>
      </c>
      <c r="Q189" s="25" t="str">
        <f>VLOOKUP(P189,Key!$E$2:$F$9,2,FALSE)</f>
        <v>Home</v>
      </c>
      <c r="R189" s="25" t="str">
        <f t="shared" si="4"/>
        <v>Tourism-Home</v>
      </c>
      <c r="S189" s="62"/>
      <c r="T189" s="62">
        <v>0</v>
      </c>
      <c r="U189" s="43">
        <v>2</v>
      </c>
      <c r="V189" s="43"/>
      <c r="W189" s="62"/>
      <c r="X189" s="62"/>
      <c r="Y189" s="63"/>
      <c r="Z189" s="73"/>
      <c r="AA189" s="25">
        <f>VLOOKUP(F189,'[1]Zones 1'!$A$2:$F$25426,6,FALSE)</f>
        <v>644</v>
      </c>
      <c r="AB189" s="25">
        <f>VLOOKUP(L189,'[1]Zones 1'!$A$2:$F$25426,6,FALSE)</f>
        <v>644</v>
      </c>
    </row>
    <row r="190" spans="2:28">
      <c r="B190" s="40" t="s">
        <v>371</v>
      </c>
      <c r="C190" s="40"/>
      <c r="D190" s="41"/>
      <c r="E190" s="42">
        <v>11</v>
      </c>
      <c r="F190" s="42" t="s">
        <v>38</v>
      </c>
      <c r="G190" s="43" t="s">
        <v>37</v>
      </c>
      <c r="H190" s="42" t="s">
        <v>254</v>
      </c>
      <c r="I190" s="43"/>
      <c r="J190" s="43">
        <v>3</v>
      </c>
      <c r="K190" s="25" t="str">
        <f>VLOOKUP(J190,Key!$E$2:$F$9,2,FALSE)</f>
        <v>Study</v>
      </c>
      <c r="L190" s="42" t="s">
        <v>38</v>
      </c>
      <c r="M190" s="43" t="s">
        <v>37</v>
      </c>
      <c r="N190" s="42" t="s">
        <v>254</v>
      </c>
      <c r="O190" s="43"/>
      <c r="P190" s="43">
        <v>1</v>
      </c>
      <c r="Q190" s="25" t="str">
        <f>VLOOKUP(P190,Key!$E$2:$F$9,2,FALSE)</f>
        <v>Home</v>
      </c>
      <c r="R190" s="25" t="str">
        <f t="shared" si="4"/>
        <v>Study-Home</v>
      </c>
      <c r="S190" s="62"/>
      <c r="T190" s="62">
        <v>0</v>
      </c>
      <c r="U190" s="43">
        <v>2</v>
      </c>
      <c r="V190" s="43"/>
      <c r="W190" s="62"/>
      <c r="X190" s="62"/>
      <c r="Y190" s="63"/>
      <c r="Z190" s="73"/>
      <c r="AA190" s="25">
        <f>VLOOKUP(F190,'[1]Zones 1'!$A$2:$F$25426,6,FALSE)</f>
        <v>644</v>
      </c>
      <c r="AB190" s="25">
        <f>VLOOKUP(L190,'[1]Zones 1'!$A$2:$F$25426,6,FALSE)</f>
        <v>644</v>
      </c>
    </row>
    <row r="191" spans="2:28">
      <c r="B191" s="40" t="s">
        <v>372</v>
      </c>
      <c r="C191" s="40"/>
      <c r="D191" s="41"/>
      <c r="E191" s="42">
        <v>1</v>
      </c>
      <c r="F191" s="42" t="s">
        <v>38</v>
      </c>
      <c r="G191" s="43" t="s">
        <v>37</v>
      </c>
      <c r="H191" s="42" t="s">
        <v>254</v>
      </c>
      <c r="I191" s="43"/>
      <c r="J191" s="43">
        <v>2</v>
      </c>
      <c r="K191" s="25" t="str">
        <f>VLOOKUP(J191,Key!$E$2:$F$9,2,FALSE)</f>
        <v>Work</v>
      </c>
      <c r="L191" s="42" t="s">
        <v>38</v>
      </c>
      <c r="M191" s="43" t="s">
        <v>37</v>
      </c>
      <c r="N191" s="42" t="s">
        <v>254</v>
      </c>
      <c r="O191" s="43"/>
      <c r="P191" s="43">
        <v>1</v>
      </c>
      <c r="Q191" s="25" t="str">
        <f>VLOOKUP(P191,Key!$E$2:$F$9,2,FALSE)</f>
        <v>Home</v>
      </c>
      <c r="R191" s="25" t="str">
        <f t="shared" si="4"/>
        <v>Work-Home</v>
      </c>
      <c r="S191" s="62"/>
      <c r="T191" s="62">
        <v>0</v>
      </c>
      <c r="U191" s="43">
        <v>3</v>
      </c>
      <c r="V191" s="43"/>
      <c r="W191" s="62"/>
      <c r="X191" s="62"/>
      <c r="Y191" s="63"/>
      <c r="Z191" s="73"/>
      <c r="AA191" s="25">
        <f>VLOOKUP(F191,'[1]Zones 1'!$A$2:$F$25426,6,FALSE)</f>
        <v>644</v>
      </c>
      <c r="AB191" s="25">
        <f>VLOOKUP(L191,'[1]Zones 1'!$A$2:$F$25426,6,FALSE)</f>
        <v>644</v>
      </c>
    </row>
    <row r="192" spans="2:28">
      <c r="B192" s="40" t="s">
        <v>373</v>
      </c>
      <c r="C192" s="40"/>
      <c r="D192" s="41"/>
      <c r="E192" s="42">
        <v>1</v>
      </c>
      <c r="F192" s="42" t="s">
        <v>38</v>
      </c>
      <c r="G192" s="43" t="s">
        <v>37</v>
      </c>
      <c r="H192" s="42" t="s">
        <v>254</v>
      </c>
      <c r="I192" s="43"/>
      <c r="J192" s="43">
        <v>1</v>
      </c>
      <c r="K192" s="25" t="str">
        <f>VLOOKUP(J192,Key!$E$2:$F$9,2,FALSE)</f>
        <v>Home</v>
      </c>
      <c r="L192" s="42" t="s">
        <v>38</v>
      </c>
      <c r="M192" s="43" t="s">
        <v>37</v>
      </c>
      <c r="N192" s="42" t="s">
        <v>254</v>
      </c>
      <c r="O192" s="43"/>
      <c r="P192" s="43">
        <v>1</v>
      </c>
      <c r="Q192" s="25" t="str">
        <f>VLOOKUP(P192,Key!$E$2:$F$9,2,FALSE)</f>
        <v>Home</v>
      </c>
      <c r="R192" s="25" t="str">
        <f t="shared" si="4"/>
        <v>Home-Home</v>
      </c>
      <c r="S192" s="62"/>
      <c r="T192" s="62">
        <v>3</v>
      </c>
      <c r="U192" s="43">
        <v>2</v>
      </c>
      <c r="V192" s="43"/>
      <c r="W192" s="62"/>
      <c r="X192" s="62"/>
      <c r="Y192" s="63"/>
      <c r="Z192" s="73"/>
      <c r="AA192" s="25">
        <f>VLOOKUP(F192,'[1]Zones 1'!$A$2:$F$25426,6,FALSE)</f>
        <v>644</v>
      </c>
      <c r="AB192" s="25">
        <f>VLOOKUP(L192,'[1]Zones 1'!$A$2:$F$25426,6,FALSE)</f>
        <v>644</v>
      </c>
    </row>
    <row r="193" spans="2:28">
      <c r="B193" s="40" t="s">
        <v>374</v>
      </c>
      <c r="C193" s="40"/>
      <c r="D193" s="41"/>
      <c r="E193" s="42">
        <v>1</v>
      </c>
      <c r="F193" s="42" t="s">
        <v>37</v>
      </c>
      <c r="G193" s="43" t="s">
        <v>37</v>
      </c>
      <c r="H193" s="42" t="s">
        <v>254</v>
      </c>
      <c r="I193" s="43"/>
      <c r="J193" s="43">
        <v>4</v>
      </c>
      <c r="K193" s="25" t="str">
        <f>VLOOKUP(J193,Key!$E$2:$F$9,2,FALSE)</f>
        <v>Commercial</v>
      </c>
      <c r="L193" s="42" t="s">
        <v>38</v>
      </c>
      <c r="M193" s="43" t="s">
        <v>37</v>
      </c>
      <c r="N193" s="42" t="s">
        <v>254</v>
      </c>
      <c r="O193" s="43"/>
      <c r="P193" s="43">
        <v>1</v>
      </c>
      <c r="Q193" s="25" t="str">
        <f>VLOOKUP(P193,Key!$E$2:$F$9,2,FALSE)</f>
        <v>Home</v>
      </c>
      <c r="R193" s="25" t="str">
        <f t="shared" si="4"/>
        <v>Commercial-Home</v>
      </c>
      <c r="S193" s="62"/>
      <c r="T193" s="62">
        <v>0</v>
      </c>
      <c r="U193" s="43">
        <v>2</v>
      </c>
      <c r="V193" s="43"/>
      <c r="W193" s="62"/>
      <c r="X193" s="62"/>
      <c r="Y193" s="63"/>
      <c r="Z193" s="73"/>
      <c r="AA193" s="25">
        <f>VLOOKUP(F193,'[1]Zones 1'!$A$2:$F$25426,6,FALSE)</f>
        <v>651</v>
      </c>
      <c r="AB193" s="25">
        <f>VLOOKUP(L193,'[1]Zones 1'!$A$2:$F$25426,6,FALSE)</f>
        <v>644</v>
      </c>
    </row>
    <row r="194" spans="2:28">
      <c r="B194" s="40" t="s">
        <v>375</v>
      </c>
      <c r="C194" s="40"/>
      <c r="D194" s="41"/>
      <c r="E194" s="42">
        <v>2</v>
      </c>
      <c r="F194" s="42" t="s">
        <v>38</v>
      </c>
      <c r="G194" s="43" t="s">
        <v>37</v>
      </c>
      <c r="H194" s="42" t="s">
        <v>254</v>
      </c>
      <c r="I194" s="43"/>
      <c r="J194" s="43">
        <v>3</v>
      </c>
      <c r="K194" s="25" t="str">
        <f>VLOOKUP(J194,Key!$E$2:$F$9,2,FALSE)</f>
        <v>Study</v>
      </c>
      <c r="L194" s="42" t="s">
        <v>38</v>
      </c>
      <c r="M194" s="43" t="s">
        <v>37</v>
      </c>
      <c r="N194" s="42" t="s">
        <v>254</v>
      </c>
      <c r="O194" s="43"/>
      <c r="P194" s="43">
        <v>1</v>
      </c>
      <c r="Q194" s="25" t="str">
        <f>VLOOKUP(P194,Key!$E$2:$F$9,2,FALSE)</f>
        <v>Home</v>
      </c>
      <c r="R194" s="25" t="str">
        <f t="shared" si="4"/>
        <v>Study-Home</v>
      </c>
      <c r="S194" s="62"/>
      <c r="T194" s="62">
        <v>0</v>
      </c>
      <c r="U194" s="43">
        <v>3</v>
      </c>
      <c r="V194" s="43"/>
      <c r="W194" s="62"/>
      <c r="X194" s="62"/>
      <c r="Y194" s="63"/>
      <c r="Z194" s="73"/>
      <c r="AA194" s="25">
        <f>VLOOKUP(F194,'[1]Zones 1'!$A$2:$F$25426,6,FALSE)</f>
        <v>644</v>
      </c>
      <c r="AB194" s="25">
        <f>VLOOKUP(L194,'[1]Zones 1'!$A$2:$F$25426,6,FALSE)</f>
        <v>644</v>
      </c>
    </row>
    <row r="195" spans="2:28">
      <c r="B195" s="40" t="s">
        <v>376</v>
      </c>
      <c r="C195" s="40"/>
      <c r="D195" s="41">
        <v>8</v>
      </c>
      <c r="E195" s="42">
        <v>1</v>
      </c>
      <c r="F195" s="42" t="s">
        <v>256</v>
      </c>
      <c r="G195" s="43" t="s">
        <v>37</v>
      </c>
      <c r="H195" s="42" t="s">
        <v>254</v>
      </c>
      <c r="I195" s="43"/>
      <c r="J195" s="43">
        <v>3</v>
      </c>
      <c r="K195" s="25" t="str">
        <f>VLOOKUP(J195,Key!$E$2:$F$9,2,FALSE)</f>
        <v>Study</v>
      </c>
      <c r="L195" s="42" t="s">
        <v>37</v>
      </c>
      <c r="M195" s="43" t="s">
        <v>37</v>
      </c>
      <c r="N195" s="42" t="s">
        <v>254</v>
      </c>
      <c r="O195" s="43"/>
      <c r="P195" s="43">
        <v>1</v>
      </c>
      <c r="Q195" s="25" t="str">
        <f>VLOOKUP(P195,Key!$E$2:$F$9,2,FALSE)</f>
        <v>Home</v>
      </c>
      <c r="R195" s="25" t="str">
        <f t="shared" si="4"/>
        <v>Study-Home</v>
      </c>
      <c r="S195" s="62"/>
      <c r="T195" s="62">
        <v>2</v>
      </c>
      <c r="U195" s="43">
        <v>2</v>
      </c>
      <c r="V195" s="43"/>
      <c r="W195" s="62"/>
      <c r="X195" s="62"/>
      <c r="Y195" s="63"/>
      <c r="Z195" s="73"/>
      <c r="AA195" s="25">
        <f>VLOOKUP(F195,'[1]Zones 1'!$A$2:$F$25426,6,FALSE)</f>
        <v>1440</v>
      </c>
      <c r="AB195" s="25">
        <f>VLOOKUP(L195,'[1]Zones 1'!$A$2:$F$25426,6,FALSE)</f>
        <v>651</v>
      </c>
    </row>
    <row r="196" spans="2:28">
      <c r="B196" s="40" t="s">
        <v>377</v>
      </c>
      <c r="C196" s="40"/>
      <c r="D196" s="41">
        <v>12</v>
      </c>
      <c r="E196" s="42">
        <v>1</v>
      </c>
      <c r="F196" s="42" t="s">
        <v>38</v>
      </c>
      <c r="G196" s="43" t="s">
        <v>37</v>
      </c>
      <c r="H196" s="42" t="s">
        <v>254</v>
      </c>
      <c r="I196" s="43"/>
      <c r="J196" s="43">
        <v>1</v>
      </c>
      <c r="K196" s="25" t="str">
        <f>VLOOKUP(J196,Key!$E$2:$F$9,2,FALSE)</f>
        <v>Home</v>
      </c>
      <c r="L196" s="42" t="s">
        <v>37</v>
      </c>
      <c r="M196" s="43" t="s">
        <v>37</v>
      </c>
      <c r="N196" s="42" t="s">
        <v>254</v>
      </c>
      <c r="O196" s="43"/>
      <c r="P196" s="43">
        <v>1</v>
      </c>
      <c r="Q196" s="25" t="str">
        <f>VLOOKUP(P196,Key!$E$2:$F$9,2,FALSE)</f>
        <v>Home</v>
      </c>
      <c r="R196" s="25" t="str">
        <f t="shared" si="4"/>
        <v>Home-Home</v>
      </c>
      <c r="S196" s="62"/>
      <c r="T196" s="62">
        <v>3</v>
      </c>
      <c r="U196" s="43">
        <v>3</v>
      </c>
      <c r="V196" s="43"/>
      <c r="W196" s="62"/>
      <c r="X196" s="62"/>
      <c r="Y196" s="63"/>
      <c r="Z196" s="73"/>
      <c r="AA196" s="25">
        <f>VLOOKUP(F196,'[1]Zones 1'!$A$2:$F$25426,6,FALSE)</f>
        <v>644</v>
      </c>
      <c r="AB196" s="25">
        <f>VLOOKUP(L196,'[1]Zones 1'!$A$2:$F$25426,6,FALSE)</f>
        <v>651</v>
      </c>
    </row>
    <row r="197" spans="2:28">
      <c r="B197" s="40" t="s">
        <v>378</v>
      </c>
      <c r="C197" s="40"/>
      <c r="D197" s="41">
        <v>12</v>
      </c>
      <c r="E197" s="42">
        <v>1</v>
      </c>
      <c r="F197" s="42" t="s">
        <v>38</v>
      </c>
      <c r="G197" s="43" t="s">
        <v>37</v>
      </c>
      <c r="H197" s="42" t="s">
        <v>254</v>
      </c>
      <c r="I197" s="43"/>
      <c r="J197" s="43">
        <v>1</v>
      </c>
      <c r="K197" s="25" t="str">
        <f>VLOOKUP(J197,Key!$E$2:$F$9,2,FALSE)</f>
        <v>Home</v>
      </c>
      <c r="L197" s="42" t="s">
        <v>37</v>
      </c>
      <c r="M197" s="43" t="s">
        <v>37</v>
      </c>
      <c r="N197" s="42" t="s">
        <v>254</v>
      </c>
      <c r="O197" s="43"/>
      <c r="P197" s="43">
        <v>1</v>
      </c>
      <c r="Q197" s="25" t="str">
        <f>VLOOKUP(P197,Key!$E$2:$F$9,2,FALSE)</f>
        <v>Home</v>
      </c>
      <c r="R197" s="25" t="str">
        <f t="shared" si="4"/>
        <v>Home-Home</v>
      </c>
      <c r="S197" s="62"/>
      <c r="T197" s="62">
        <v>0</v>
      </c>
      <c r="U197" s="43">
        <v>3</v>
      </c>
      <c r="V197" s="43"/>
      <c r="W197" s="62"/>
      <c r="X197" s="62"/>
      <c r="Y197" s="63"/>
      <c r="Z197" s="73"/>
      <c r="AA197" s="25">
        <f>VLOOKUP(F197,'[1]Zones 1'!$A$2:$F$25426,6,FALSE)</f>
        <v>644</v>
      </c>
      <c r="AB197" s="25">
        <f>VLOOKUP(L197,'[1]Zones 1'!$A$2:$F$25426,6,FALSE)</f>
        <v>651</v>
      </c>
    </row>
    <row r="198" spans="2:28">
      <c r="B198" s="40" t="s">
        <v>379</v>
      </c>
      <c r="C198" s="40"/>
      <c r="D198" s="41">
        <v>12</v>
      </c>
      <c r="E198" s="42">
        <v>1</v>
      </c>
      <c r="F198" s="42" t="s">
        <v>576</v>
      </c>
      <c r="G198" s="43" t="s">
        <v>37</v>
      </c>
      <c r="H198" s="42" t="s">
        <v>254</v>
      </c>
      <c r="I198" s="43"/>
      <c r="J198" s="43">
        <v>1</v>
      </c>
      <c r="K198" s="25" t="str">
        <f>VLOOKUP(J198,Key!$E$2:$F$9,2,FALSE)</f>
        <v>Home</v>
      </c>
      <c r="L198" s="42" t="s">
        <v>37</v>
      </c>
      <c r="M198" s="43" t="s">
        <v>37</v>
      </c>
      <c r="N198" s="42" t="s">
        <v>254</v>
      </c>
      <c r="O198" s="43"/>
      <c r="P198" s="43">
        <v>2</v>
      </c>
      <c r="Q198" s="25" t="str">
        <f>VLOOKUP(P198,Key!$E$2:$F$9,2,FALSE)</f>
        <v>Work</v>
      </c>
      <c r="R198" s="25" t="str">
        <f t="shared" si="4"/>
        <v>Home-Work</v>
      </c>
      <c r="S198" s="62"/>
      <c r="T198" s="62">
        <v>0</v>
      </c>
      <c r="U198" s="43">
        <v>2</v>
      </c>
      <c r="V198" s="43"/>
      <c r="W198" s="62"/>
      <c r="X198" s="62"/>
      <c r="Y198" s="63"/>
      <c r="Z198" s="73"/>
      <c r="AA198" s="25">
        <f>VLOOKUP(F198,'[1]Zones 1'!$A$2:$F$25426,6,FALSE)</f>
        <v>655</v>
      </c>
      <c r="AB198" s="25">
        <f>VLOOKUP(L198,'[1]Zones 1'!$A$2:$F$25426,6,FALSE)</f>
        <v>651</v>
      </c>
    </row>
    <row r="199" spans="2:28">
      <c r="B199" s="40" t="s">
        <v>380</v>
      </c>
      <c r="C199" s="40"/>
      <c r="D199" s="41">
        <v>12</v>
      </c>
      <c r="E199" s="42">
        <v>1</v>
      </c>
      <c r="F199" s="42" t="s">
        <v>576</v>
      </c>
      <c r="G199" s="43" t="s">
        <v>37</v>
      </c>
      <c r="H199" s="42" t="s">
        <v>254</v>
      </c>
      <c r="I199" s="43"/>
      <c r="J199" s="43">
        <v>1</v>
      </c>
      <c r="K199" s="25" t="str">
        <f>VLOOKUP(J199,Key!$E$2:$F$9,2,FALSE)</f>
        <v>Home</v>
      </c>
      <c r="L199" s="42" t="s">
        <v>37</v>
      </c>
      <c r="M199" s="43" t="s">
        <v>37</v>
      </c>
      <c r="N199" s="42" t="s">
        <v>254</v>
      </c>
      <c r="O199" s="43"/>
      <c r="P199" s="43">
        <v>1</v>
      </c>
      <c r="Q199" s="25" t="str">
        <f>VLOOKUP(P199,Key!$E$2:$F$9,2,FALSE)</f>
        <v>Home</v>
      </c>
      <c r="R199" s="25" t="str">
        <f t="shared" si="4"/>
        <v>Home-Home</v>
      </c>
      <c r="S199" s="62"/>
      <c r="T199" s="62">
        <v>0</v>
      </c>
      <c r="U199" s="43">
        <v>3</v>
      </c>
      <c r="V199" s="43"/>
      <c r="W199" s="62"/>
      <c r="X199" s="62"/>
      <c r="Y199" s="63"/>
      <c r="Z199" s="73"/>
      <c r="AA199" s="25">
        <f>VLOOKUP(F199,'[1]Zones 1'!$A$2:$F$25426,6,FALSE)</f>
        <v>655</v>
      </c>
      <c r="AB199" s="25">
        <f>VLOOKUP(L199,'[1]Zones 1'!$A$2:$F$25426,6,FALSE)</f>
        <v>651</v>
      </c>
    </row>
    <row r="200" spans="2:28">
      <c r="B200" s="40" t="s">
        <v>381</v>
      </c>
      <c r="C200" s="40"/>
      <c r="D200" s="41">
        <v>3</v>
      </c>
      <c r="E200" s="42">
        <v>1</v>
      </c>
      <c r="F200" s="42" t="s">
        <v>256</v>
      </c>
      <c r="G200" s="43" t="s">
        <v>37</v>
      </c>
      <c r="H200" s="42" t="s">
        <v>254</v>
      </c>
      <c r="I200" s="43"/>
      <c r="J200" s="43">
        <v>2</v>
      </c>
      <c r="K200" s="25" t="str">
        <f>VLOOKUP(J200,Key!$E$2:$F$9,2,FALSE)</f>
        <v>Work</v>
      </c>
      <c r="L200" s="42" t="s">
        <v>37</v>
      </c>
      <c r="M200" s="43" t="s">
        <v>37</v>
      </c>
      <c r="N200" s="42" t="s">
        <v>254</v>
      </c>
      <c r="O200" s="43"/>
      <c r="P200" s="43">
        <v>2</v>
      </c>
      <c r="Q200" s="25" t="str">
        <f>VLOOKUP(P200,Key!$E$2:$F$9,2,FALSE)</f>
        <v>Work</v>
      </c>
      <c r="R200" s="25" t="str">
        <f t="shared" si="4"/>
        <v>Work-Work</v>
      </c>
      <c r="S200" s="62"/>
      <c r="T200" s="62">
        <v>0</v>
      </c>
      <c r="U200" s="43">
        <v>2</v>
      </c>
      <c r="V200" s="43"/>
      <c r="W200" s="62"/>
      <c r="X200" s="62"/>
      <c r="Y200" s="63"/>
      <c r="Z200" s="73"/>
      <c r="AA200" s="25">
        <f>VLOOKUP(F200,'[1]Zones 1'!$A$2:$F$25426,6,FALSE)</f>
        <v>1440</v>
      </c>
      <c r="AB200" s="25">
        <f>VLOOKUP(L200,'[1]Zones 1'!$A$2:$F$25426,6,FALSE)</f>
        <v>651</v>
      </c>
    </row>
    <row r="201" spans="2:28">
      <c r="B201" s="40" t="s">
        <v>382</v>
      </c>
      <c r="C201" s="40"/>
      <c r="D201" s="41">
        <v>2</v>
      </c>
      <c r="E201" s="42">
        <v>1</v>
      </c>
      <c r="F201" s="42" t="s">
        <v>435</v>
      </c>
      <c r="G201" s="43" t="s">
        <v>37</v>
      </c>
      <c r="H201" s="42" t="s">
        <v>254</v>
      </c>
      <c r="I201" s="43"/>
      <c r="J201" s="43">
        <v>1</v>
      </c>
      <c r="K201" s="25" t="str">
        <f>VLOOKUP(J201,Key!$E$2:$F$9,2,FALSE)</f>
        <v>Home</v>
      </c>
      <c r="L201" s="42" t="s">
        <v>37</v>
      </c>
      <c r="M201" s="43" t="s">
        <v>37</v>
      </c>
      <c r="N201" s="42" t="s">
        <v>254</v>
      </c>
      <c r="O201" s="43"/>
      <c r="P201" s="43">
        <v>3</v>
      </c>
      <c r="Q201" s="25" t="str">
        <f>VLOOKUP(P201,Key!$E$2:$F$9,2,FALSE)</f>
        <v>Study</v>
      </c>
      <c r="R201" s="25" t="str">
        <f t="shared" si="4"/>
        <v>Home-Study</v>
      </c>
      <c r="S201" s="62"/>
      <c r="T201" s="62">
        <v>0</v>
      </c>
      <c r="U201" s="43">
        <v>3</v>
      </c>
      <c r="V201" s="43"/>
      <c r="W201" s="62"/>
      <c r="X201" s="62"/>
      <c r="Y201" s="63"/>
      <c r="Z201" s="73"/>
      <c r="AA201" s="25">
        <f>VLOOKUP(F201,'[1]Zones 1'!$A$2:$F$25426,6,FALSE)</f>
        <v>665</v>
      </c>
      <c r="AB201" s="25">
        <f>VLOOKUP(L201,'[1]Zones 1'!$A$2:$F$25426,6,FALSE)</f>
        <v>651</v>
      </c>
    </row>
    <row r="202" spans="2:28">
      <c r="B202" s="40" t="s">
        <v>383</v>
      </c>
      <c r="C202" s="40"/>
      <c r="D202" s="41">
        <v>8</v>
      </c>
      <c r="E202" s="42">
        <v>1</v>
      </c>
      <c r="F202" s="42" t="s">
        <v>38</v>
      </c>
      <c r="G202" s="43" t="s">
        <v>37</v>
      </c>
      <c r="H202" s="42" t="s">
        <v>254</v>
      </c>
      <c r="I202" s="43"/>
      <c r="J202" s="43">
        <v>2</v>
      </c>
      <c r="K202" s="25" t="str">
        <f>VLOOKUP(J202,Key!$E$2:$F$9,2,FALSE)</f>
        <v>Work</v>
      </c>
      <c r="L202" s="42" t="s">
        <v>37</v>
      </c>
      <c r="M202" s="43" t="s">
        <v>37</v>
      </c>
      <c r="N202" s="42" t="s">
        <v>254</v>
      </c>
      <c r="O202" s="43"/>
      <c r="P202" s="43">
        <v>2</v>
      </c>
      <c r="Q202" s="25" t="str">
        <f>VLOOKUP(P202,Key!$E$2:$F$9,2,FALSE)</f>
        <v>Work</v>
      </c>
      <c r="R202" s="25" t="str">
        <f t="shared" si="4"/>
        <v>Work-Work</v>
      </c>
      <c r="S202" s="62"/>
      <c r="T202" s="62">
        <v>0</v>
      </c>
      <c r="U202" s="43">
        <v>2</v>
      </c>
      <c r="V202" s="43"/>
      <c r="W202" s="62"/>
      <c r="X202" s="62"/>
      <c r="Y202" s="63"/>
      <c r="Z202" s="73"/>
      <c r="AA202" s="25">
        <f>VLOOKUP(F202,'[1]Zones 1'!$A$2:$F$25426,6,FALSE)</f>
        <v>644</v>
      </c>
      <c r="AB202" s="25">
        <f>VLOOKUP(L202,'[1]Zones 1'!$A$2:$F$25426,6,FALSE)</f>
        <v>651</v>
      </c>
    </row>
    <row r="203" spans="2:28">
      <c r="B203" s="40" t="s">
        <v>384</v>
      </c>
      <c r="C203" s="40"/>
      <c r="D203" s="41">
        <v>3</v>
      </c>
      <c r="E203" s="42">
        <v>1</v>
      </c>
      <c r="F203" s="42" t="s">
        <v>435</v>
      </c>
      <c r="G203" s="43" t="s">
        <v>37</v>
      </c>
      <c r="H203" s="42" t="s">
        <v>254</v>
      </c>
      <c r="I203" s="43"/>
      <c r="J203" s="43">
        <v>1</v>
      </c>
      <c r="K203" s="25" t="str">
        <f>VLOOKUP(J203,Key!$E$2:$F$9,2,FALSE)</f>
        <v>Home</v>
      </c>
      <c r="L203" s="42" t="s">
        <v>37</v>
      </c>
      <c r="M203" s="43" t="s">
        <v>37</v>
      </c>
      <c r="N203" s="42" t="s">
        <v>254</v>
      </c>
      <c r="O203" s="43"/>
      <c r="P203" s="43">
        <v>2</v>
      </c>
      <c r="Q203" s="25" t="str">
        <f>VLOOKUP(P203,Key!$E$2:$F$9,2,FALSE)</f>
        <v>Work</v>
      </c>
      <c r="R203" s="25" t="str">
        <f t="shared" si="4"/>
        <v>Home-Work</v>
      </c>
      <c r="S203" s="62"/>
      <c r="T203" s="62">
        <v>0.83333333333333337</v>
      </c>
      <c r="U203" s="43">
        <v>2</v>
      </c>
      <c r="V203" s="43"/>
      <c r="W203" s="62"/>
      <c r="X203" s="62"/>
      <c r="Y203" s="63"/>
      <c r="Z203" s="73"/>
      <c r="AA203" s="25">
        <f>VLOOKUP(F203,'[1]Zones 1'!$A$2:$F$25426,6,FALSE)</f>
        <v>665</v>
      </c>
      <c r="AB203" s="25">
        <f>VLOOKUP(L203,'[1]Zones 1'!$A$2:$F$25426,6,FALSE)</f>
        <v>651</v>
      </c>
    </row>
    <row r="204" spans="2:28">
      <c r="B204" s="40" t="s">
        <v>385</v>
      </c>
      <c r="C204" s="40"/>
      <c r="D204" s="41">
        <v>2</v>
      </c>
      <c r="E204" s="42">
        <v>1</v>
      </c>
      <c r="F204" s="42" t="s">
        <v>38</v>
      </c>
      <c r="G204" s="43" t="s">
        <v>37</v>
      </c>
      <c r="H204" s="42" t="s">
        <v>254</v>
      </c>
      <c r="I204" s="43"/>
      <c r="J204" s="43">
        <v>1</v>
      </c>
      <c r="K204" s="25" t="str">
        <f>VLOOKUP(J204,Key!$E$2:$F$9,2,FALSE)</f>
        <v>Home</v>
      </c>
      <c r="L204" s="42" t="s">
        <v>37</v>
      </c>
      <c r="M204" s="43" t="s">
        <v>37</v>
      </c>
      <c r="N204" s="42" t="s">
        <v>254</v>
      </c>
      <c r="O204" s="43"/>
      <c r="P204" s="43">
        <v>1</v>
      </c>
      <c r="Q204" s="25" t="str">
        <f>VLOOKUP(P204,Key!$E$2:$F$9,2,FALSE)</f>
        <v>Home</v>
      </c>
      <c r="R204" s="25" t="str">
        <f t="shared" si="4"/>
        <v>Home-Home</v>
      </c>
      <c r="S204" s="62"/>
      <c r="T204" s="62">
        <v>0</v>
      </c>
      <c r="U204" s="43">
        <v>1</v>
      </c>
      <c r="V204" s="43"/>
      <c r="W204" s="62"/>
      <c r="X204" s="62"/>
      <c r="Y204" s="63"/>
      <c r="Z204" s="73"/>
      <c r="AA204" s="25">
        <f>VLOOKUP(F204,'[1]Zones 1'!$A$2:$F$25426,6,FALSE)</f>
        <v>644</v>
      </c>
      <c r="AB204" s="25">
        <f>VLOOKUP(L204,'[1]Zones 1'!$A$2:$F$25426,6,FALSE)</f>
        <v>651</v>
      </c>
    </row>
    <row r="205" spans="2:28">
      <c r="B205" s="40" t="s">
        <v>386</v>
      </c>
      <c r="C205" s="40"/>
      <c r="D205" s="41">
        <v>1</v>
      </c>
      <c r="E205" s="42">
        <v>2</v>
      </c>
      <c r="F205" s="42" t="s">
        <v>38</v>
      </c>
      <c r="G205" s="43" t="s">
        <v>37</v>
      </c>
      <c r="H205" s="42" t="s">
        <v>254</v>
      </c>
      <c r="I205" s="43"/>
      <c r="J205" s="43">
        <v>2</v>
      </c>
      <c r="K205" s="25" t="str">
        <f>VLOOKUP(J205,Key!$E$2:$F$9,2,FALSE)</f>
        <v>Work</v>
      </c>
      <c r="L205" s="42" t="s">
        <v>37</v>
      </c>
      <c r="M205" s="43" t="s">
        <v>37</v>
      </c>
      <c r="N205" s="42" t="s">
        <v>254</v>
      </c>
      <c r="O205" s="43"/>
      <c r="P205" s="43">
        <v>3</v>
      </c>
      <c r="Q205" s="25" t="str">
        <f>VLOOKUP(P205,Key!$E$2:$F$9,2,FALSE)</f>
        <v>Study</v>
      </c>
      <c r="R205" s="25" t="str">
        <f t="shared" si="4"/>
        <v>Work-Study</v>
      </c>
      <c r="S205" s="62"/>
      <c r="T205" s="62">
        <v>2</v>
      </c>
      <c r="U205" s="43">
        <v>3</v>
      </c>
      <c r="V205" s="43"/>
      <c r="W205" s="62"/>
      <c r="X205" s="62"/>
      <c r="Y205" s="63"/>
      <c r="Z205" s="73"/>
      <c r="AA205" s="25">
        <f>VLOOKUP(F205,'[1]Zones 1'!$A$2:$F$25426,6,FALSE)</f>
        <v>644</v>
      </c>
      <c r="AB205" s="25">
        <f>VLOOKUP(L205,'[1]Zones 1'!$A$2:$F$25426,6,FALSE)</f>
        <v>651</v>
      </c>
    </row>
    <row r="206" spans="2:28">
      <c r="B206" s="40" t="s">
        <v>387</v>
      </c>
      <c r="C206" s="40"/>
      <c r="D206" s="41">
        <v>3</v>
      </c>
      <c r="E206" s="42">
        <v>1</v>
      </c>
      <c r="F206" s="42" t="s">
        <v>38</v>
      </c>
      <c r="G206" s="43" t="s">
        <v>37</v>
      </c>
      <c r="H206" s="42" t="s">
        <v>254</v>
      </c>
      <c r="I206" s="43"/>
      <c r="J206" s="43">
        <v>1</v>
      </c>
      <c r="K206" s="25" t="str">
        <f>VLOOKUP(J206,Key!$E$2:$F$9,2,FALSE)</f>
        <v>Home</v>
      </c>
      <c r="L206" s="42" t="s">
        <v>37</v>
      </c>
      <c r="M206" s="43" t="s">
        <v>37</v>
      </c>
      <c r="N206" s="42" t="s">
        <v>254</v>
      </c>
      <c r="O206" s="43"/>
      <c r="P206" s="43">
        <v>3</v>
      </c>
      <c r="Q206" s="25" t="str">
        <f>VLOOKUP(P206,Key!$E$2:$F$9,2,FALSE)</f>
        <v>Study</v>
      </c>
      <c r="R206" s="25" t="str">
        <f t="shared" si="4"/>
        <v>Home-Study</v>
      </c>
      <c r="S206" s="62"/>
      <c r="T206" s="62">
        <v>0</v>
      </c>
      <c r="U206" s="43">
        <v>3</v>
      </c>
      <c r="V206" s="43"/>
      <c r="W206" s="62"/>
      <c r="X206" s="62"/>
      <c r="Y206" s="63"/>
      <c r="Z206" s="73"/>
      <c r="AA206" s="25">
        <f>VLOOKUP(F206,'[1]Zones 1'!$A$2:$F$25426,6,FALSE)</f>
        <v>644</v>
      </c>
      <c r="AB206" s="25">
        <f>VLOOKUP(L206,'[1]Zones 1'!$A$2:$F$25426,6,FALSE)</f>
        <v>651</v>
      </c>
    </row>
    <row r="207" spans="2:28">
      <c r="B207" s="40" t="s">
        <v>388</v>
      </c>
      <c r="C207" s="40"/>
      <c r="D207" s="41">
        <v>8</v>
      </c>
      <c r="E207" s="42">
        <v>1</v>
      </c>
      <c r="F207" s="42" t="s">
        <v>38</v>
      </c>
      <c r="G207" s="43" t="s">
        <v>37</v>
      </c>
      <c r="H207" s="42" t="s">
        <v>254</v>
      </c>
      <c r="I207" s="43"/>
      <c r="J207" s="43">
        <v>3</v>
      </c>
      <c r="K207" s="25" t="str">
        <f>VLOOKUP(J207,Key!$E$2:$F$9,2,FALSE)</f>
        <v>Study</v>
      </c>
      <c r="L207" s="42" t="s">
        <v>37</v>
      </c>
      <c r="M207" s="43" t="s">
        <v>37</v>
      </c>
      <c r="N207" s="42" t="s">
        <v>254</v>
      </c>
      <c r="O207" s="43"/>
      <c r="P207" s="43">
        <v>2</v>
      </c>
      <c r="Q207" s="25" t="str">
        <f>VLOOKUP(P207,Key!$E$2:$F$9,2,FALSE)</f>
        <v>Work</v>
      </c>
      <c r="R207" s="25" t="str">
        <f t="shared" si="4"/>
        <v>Study-Work</v>
      </c>
      <c r="S207" s="62"/>
      <c r="T207" s="62">
        <v>2</v>
      </c>
      <c r="U207" s="43">
        <v>2</v>
      </c>
      <c r="V207" s="43"/>
      <c r="W207" s="62"/>
      <c r="X207" s="62"/>
      <c r="Y207" s="63"/>
      <c r="Z207" s="73"/>
      <c r="AA207" s="25">
        <f>VLOOKUP(F207,'[1]Zones 1'!$A$2:$F$25426,6,FALSE)</f>
        <v>644</v>
      </c>
      <c r="AB207" s="25">
        <f>VLOOKUP(L207,'[1]Zones 1'!$A$2:$F$25426,6,FALSE)</f>
        <v>651</v>
      </c>
    </row>
    <row r="208" spans="2:28">
      <c r="B208" s="40" t="s">
        <v>389</v>
      </c>
      <c r="C208" s="40"/>
      <c r="D208" s="41">
        <v>3</v>
      </c>
      <c r="E208" s="42">
        <v>1</v>
      </c>
      <c r="F208" s="42" t="s">
        <v>38</v>
      </c>
      <c r="G208" s="43" t="s">
        <v>37</v>
      </c>
      <c r="H208" s="42" t="s">
        <v>254</v>
      </c>
      <c r="I208" s="43"/>
      <c r="J208" s="43">
        <v>4</v>
      </c>
      <c r="K208" s="25" t="str">
        <f>VLOOKUP(J208,Key!$E$2:$F$9,2,FALSE)</f>
        <v>Commercial</v>
      </c>
      <c r="L208" s="42" t="s">
        <v>37</v>
      </c>
      <c r="M208" s="43" t="s">
        <v>37</v>
      </c>
      <c r="N208" s="42" t="s">
        <v>254</v>
      </c>
      <c r="O208" s="43"/>
      <c r="P208" s="43">
        <v>3</v>
      </c>
      <c r="Q208" s="25" t="str">
        <f>VLOOKUP(P208,Key!$E$2:$F$9,2,FALSE)</f>
        <v>Study</v>
      </c>
      <c r="R208" s="25" t="str">
        <f t="shared" si="4"/>
        <v>Commercial-Study</v>
      </c>
      <c r="S208" s="62"/>
      <c r="T208" s="62">
        <v>0</v>
      </c>
      <c r="U208" s="43">
        <v>3</v>
      </c>
      <c r="V208" s="43"/>
      <c r="W208" s="62"/>
      <c r="X208" s="62"/>
      <c r="Y208" s="63"/>
      <c r="Z208" s="73"/>
      <c r="AA208" s="25">
        <f>VLOOKUP(F208,'[1]Zones 1'!$A$2:$F$25426,6,FALSE)</f>
        <v>644</v>
      </c>
      <c r="AB208" s="25">
        <f>VLOOKUP(L208,'[1]Zones 1'!$A$2:$F$25426,6,FALSE)</f>
        <v>651</v>
      </c>
    </row>
    <row r="209" spans="2:28">
      <c r="B209" s="40" t="s">
        <v>262</v>
      </c>
      <c r="C209" s="40"/>
      <c r="D209" s="41">
        <v>5</v>
      </c>
      <c r="E209" s="42">
        <v>2</v>
      </c>
      <c r="F209" s="42" t="s">
        <v>38</v>
      </c>
      <c r="G209" s="43" t="s">
        <v>37</v>
      </c>
      <c r="H209" s="42" t="s">
        <v>254</v>
      </c>
      <c r="I209" s="43"/>
      <c r="J209" s="43">
        <v>1</v>
      </c>
      <c r="K209" s="25" t="str">
        <f>VLOOKUP(J209,Key!$E$2:$F$9,2,FALSE)</f>
        <v>Home</v>
      </c>
      <c r="L209" s="42" t="s">
        <v>37</v>
      </c>
      <c r="M209" s="43" t="s">
        <v>37</v>
      </c>
      <c r="N209" s="42" t="s">
        <v>254</v>
      </c>
      <c r="O209" s="43"/>
      <c r="P209" s="43">
        <v>4</v>
      </c>
      <c r="Q209" s="25" t="str">
        <f>VLOOKUP(P209,Key!$E$2:$F$9,2,FALSE)</f>
        <v>Commercial</v>
      </c>
      <c r="R209" s="25" t="str">
        <f t="shared" si="4"/>
        <v>Home-Commercial</v>
      </c>
      <c r="S209" s="62"/>
      <c r="T209" s="62">
        <v>0</v>
      </c>
      <c r="U209" s="43">
        <v>4</v>
      </c>
      <c r="V209" s="43"/>
      <c r="W209" s="62"/>
      <c r="X209" s="62"/>
      <c r="Y209" s="63"/>
      <c r="Z209" s="73"/>
      <c r="AA209" s="25">
        <f>VLOOKUP(F209,'[1]Zones 1'!$A$2:$F$25426,6,FALSE)</f>
        <v>644</v>
      </c>
      <c r="AB209" s="25">
        <f>VLOOKUP(L209,'[1]Zones 1'!$A$2:$F$25426,6,FALSE)</f>
        <v>651</v>
      </c>
    </row>
    <row r="210" spans="2:28">
      <c r="B210" s="40" t="s">
        <v>390</v>
      </c>
      <c r="C210" s="40"/>
      <c r="D210" s="41">
        <v>3</v>
      </c>
      <c r="E210" s="42">
        <v>2</v>
      </c>
      <c r="F210" s="42" t="s">
        <v>259</v>
      </c>
      <c r="G210" s="43" t="s">
        <v>37</v>
      </c>
      <c r="H210" s="42" t="s">
        <v>254</v>
      </c>
      <c r="I210" s="43"/>
      <c r="J210" s="43">
        <v>2</v>
      </c>
      <c r="K210" s="25" t="str">
        <f>VLOOKUP(J210,Key!$E$2:$F$9,2,FALSE)</f>
        <v>Work</v>
      </c>
      <c r="L210" s="42" t="s">
        <v>574</v>
      </c>
      <c r="M210" s="43" t="s">
        <v>365</v>
      </c>
      <c r="N210" s="42" t="s">
        <v>254</v>
      </c>
      <c r="O210" s="43"/>
      <c r="P210" s="43">
        <v>2</v>
      </c>
      <c r="Q210" s="25" t="str">
        <f>VLOOKUP(P210,Key!$E$2:$F$9,2,FALSE)</f>
        <v>Work</v>
      </c>
      <c r="R210" s="25" t="str">
        <f t="shared" si="4"/>
        <v>Work-Work</v>
      </c>
      <c r="S210" s="62"/>
      <c r="T210" s="62">
        <v>0</v>
      </c>
      <c r="U210" s="43">
        <v>2</v>
      </c>
      <c r="V210" s="43"/>
      <c r="W210" s="62"/>
      <c r="X210" s="62"/>
      <c r="Y210" s="63"/>
      <c r="Z210" s="73"/>
      <c r="AA210" s="25">
        <f>VLOOKUP(F210,'[1]Zones 1'!$A$2:$F$25426,6,FALSE)</f>
        <v>666</v>
      </c>
      <c r="AB210" s="25">
        <f>VLOOKUP(L210,'[1]Zones 1'!$A$2:$F$25426,6,FALSE)</f>
        <v>433</v>
      </c>
    </row>
    <row r="211" spans="2:28">
      <c r="B211" s="40" t="s">
        <v>391</v>
      </c>
      <c r="C211" s="40"/>
      <c r="D211" s="41">
        <v>2</v>
      </c>
      <c r="E211" s="42">
        <v>1</v>
      </c>
      <c r="F211" s="42" t="s">
        <v>576</v>
      </c>
      <c r="G211" s="43" t="s">
        <v>37</v>
      </c>
      <c r="H211" s="42" t="s">
        <v>254</v>
      </c>
      <c r="I211" s="43"/>
      <c r="J211" s="43">
        <v>1</v>
      </c>
      <c r="K211" s="25" t="str">
        <f>VLOOKUP(J211,Key!$E$2:$F$9,2,FALSE)</f>
        <v>Home</v>
      </c>
      <c r="L211" s="42" t="s">
        <v>37</v>
      </c>
      <c r="M211" s="43" t="s">
        <v>37</v>
      </c>
      <c r="N211" s="42" t="s">
        <v>254</v>
      </c>
      <c r="O211" s="43"/>
      <c r="P211" s="43">
        <v>3</v>
      </c>
      <c r="Q211" s="25" t="str">
        <f>VLOOKUP(P211,Key!$E$2:$F$9,2,FALSE)</f>
        <v>Study</v>
      </c>
      <c r="R211" s="25" t="str">
        <f t="shared" si="4"/>
        <v>Home-Study</v>
      </c>
      <c r="S211" s="62"/>
      <c r="T211" s="62">
        <v>3</v>
      </c>
      <c r="U211" s="43">
        <v>3</v>
      </c>
      <c r="V211" s="43"/>
      <c r="W211" s="62"/>
      <c r="X211" s="62"/>
      <c r="Y211" s="63"/>
      <c r="Z211" s="73"/>
      <c r="AA211" s="25">
        <f>VLOOKUP(F211,'[1]Zones 1'!$A$2:$F$25426,6,FALSE)</f>
        <v>655</v>
      </c>
      <c r="AB211" s="25">
        <f>VLOOKUP(L211,'[1]Zones 1'!$A$2:$F$25426,6,FALSE)</f>
        <v>651</v>
      </c>
    </row>
    <row r="212" spans="2:28">
      <c r="B212" s="40" t="s">
        <v>392</v>
      </c>
      <c r="C212" s="40"/>
      <c r="D212" s="41">
        <v>8</v>
      </c>
      <c r="E212" s="42">
        <v>1</v>
      </c>
      <c r="F212" s="42" t="s">
        <v>38</v>
      </c>
      <c r="G212" s="43" t="s">
        <v>37</v>
      </c>
      <c r="H212" s="42" t="s">
        <v>254</v>
      </c>
      <c r="I212" s="43"/>
      <c r="J212" s="43">
        <v>2</v>
      </c>
      <c r="K212" s="25" t="str">
        <f>VLOOKUP(J212,Key!$E$2:$F$9,2,FALSE)</f>
        <v>Work</v>
      </c>
      <c r="L212" s="42" t="s">
        <v>37</v>
      </c>
      <c r="M212" s="43" t="s">
        <v>37</v>
      </c>
      <c r="N212" s="42" t="s">
        <v>254</v>
      </c>
      <c r="O212" s="43"/>
      <c r="P212" s="43">
        <v>5</v>
      </c>
      <c r="Q212" s="25" t="str">
        <f>VLOOKUP(P212,Key!$E$2:$F$9,2,FALSE)</f>
        <v>Tourism</v>
      </c>
      <c r="R212" s="25" t="str">
        <f t="shared" si="4"/>
        <v>Work-Tourism</v>
      </c>
      <c r="S212" s="62"/>
      <c r="T212" s="62">
        <v>2</v>
      </c>
      <c r="U212" s="43">
        <v>5</v>
      </c>
      <c r="V212" s="43"/>
      <c r="W212" s="62"/>
      <c r="X212" s="62"/>
      <c r="Y212" s="63"/>
      <c r="Z212" s="73"/>
      <c r="AA212" s="25">
        <f>VLOOKUP(F212,'[1]Zones 1'!$A$2:$F$25426,6,FALSE)</f>
        <v>644</v>
      </c>
      <c r="AB212" s="25">
        <f>VLOOKUP(L212,'[1]Zones 1'!$A$2:$F$25426,6,FALSE)</f>
        <v>651</v>
      </c>
    </row>
    <row r="213" spans="2:28">
      <c r="B213" s="40" t="s">
        <v>393</v>
      </c>
      <c r="C213" s="40"/>
      <c r="D213" s="41">
        <v>2</v>
      </c>
      <c r="E213" s="42">
        <v>2</v>
      </c>
      <c r="F213" s="42" t="s">
        <v>38</v>
      </c>
      <c r="G213" s="43" t="s">
        <v>37</v>
      </c>
      <c r="H213" s="42" t="s">
        <v>254</v>
      </c>
      <c r="I213" s="43"/>
      <c r="J213" s="43">
        <v>1</v>
      </c>
      <c r="K213" s="25" t="str">
        <f>VLOOKUP(J213,Key!$E$2:$F$9,2,FALSE)</f>
        <v>Home</v>
      </c>
      <c r="L213" s="42" t="s">
        <v>440</v>
      </c>
      <c r="M213" s="43" t="s">
        <v>37</v>
      </c>
      <c r="N213" s="42" t="s">
        <v>254</v>
      </c>
      <c r="O213" s="43"/>
      <c r="P213" s="43">
        <v>4</v>
      </c>
      <c r="Q213" s="25" t="str">
        <f>VLOOKUP(P213,Key!$E$2:$F$9,2,FALSE)</f>
        <v>Commercial</v>
      </c>
      <c r="R213" s="25" t="str">
        <f t="shared" si="4"/>
        <v>Home-Commercial</v>
      </c>
      <c r="S213" s="62"/>
      <c r="T213" s="62">
        <v>0</v>
      </c>
      <c r="U213" s="43">
        <v>4</v>
      </c>
      <c r="V213" s="43"/>
      <c r="W213" s="62"/>
      <c r="X213" s="62"/>
      <c r="Y213" s="63"/>
      <c r="Z213" s="73"/>
      <c r="AA213" s="25">
        <f>VLOOKUP(F213,'[1]Zones 1'!$A$2:$F$25426,6,FALSE)</f>
        <v>644</v>
      </c>
      <c r="AB213" s="25">
        <f>VLOOKUP(L213,'[1]Zones 1'!$A$2:$F$25426,6,FALSE)</f>
        <v>660</v>
      </c>
    </row>
    <row r="214" spans="2:28">
      <c r="B214" s="40" t="s">
        <v>394</v>
      </c>
      <c r="C214" s="40"/>
      <c r="D214" s="41">
        <v>2</v>
      </c>
      <c r="E214" s="42">
        <v>1</v>
      </c>
      <c r="F214" s="42" t="s">
        <v>50</v>
      </c>
      <c r="G214" s="43" t="s">
        <v>255</v>
      </c>
      <c r="H214" s="42" t="s">
        <v>254</v>
      </c>
      <c r="I214" s="43"/>
      <c r="J214" s="43">
        <v>2</v>
      </c>
      <c r="K214" s="25" t="str">
        <f>VLOOKUP(J214,Key!$E$2:$F$9,2,FALSE)</f>
        <v>Work</v>
      </c>
      <c r="L214" s="42" t="s">
        <v>241</v>
      </c>
      <c r="M214" s="43" t="s">
        <v>241</v>
      </c>
      <c r="N214" s="42" t="s">
        <v>254</v>
      </c>
      <c r="O214" s="43"/>
      <c r="P214" s="43">
        <v>3</v>
      </c>
      <c r="Q214" s="25" t="str">
        <f>VLOOKUP(P214,Key!$E$2:$F$9,2,FALSE)</f>
        <v>Study</v>
      </c>
      <c r="R214" s="25" t="str">
        <f t="shared" si="4"/>
        <v>Work-Study</v>
      </c>
      <c r="S214" s="62"/>
      <c r="T214" s="62">
        <v>3.3333333333333333E-2</v>
      </c>
      <c r="U214" s="43">
        <v>3</v>
      </c>
      <c r="V214" s="43"/>
      <c r="W214" s="62"/>
      <c r="X214" s="62"/>
      <c r="Y214" s="63"/>
      <c r="Z214" s="73"/>
      <c r="AA214" s="25">
        <f>VLOOKUP(F214,'[1]Zones 1'!$A$2:$F$25426,6,FALSE)</f>
        <v>1438</v>
      </c>
      <c r="AB214" s="25">
        <f>VLOOKUP(L214,'[1]Zones 1'!$A$2:$F$25426,6,FALSE)</f>
        <v>521</v>
      </c>
    </row>
    <row r="215" spans="2:28">
      <c r="B215" s="40" t="s">
        <v>395</v>
      </c>
      <c r="C215" s="40"/>
      <c r="D215" s="41">
        <v>2</v>
      </c>
      <c r="E215" s="42">
        <v>1</v>
      </c>
      <c r="F215" s="42" t="s">
        <v>38</v>
      </c>
      <c r="G215" s="43" t="s">
        <v>37</v>
      </c>
      <c r="H215" s="42" t="s">
        <v>254</v>
      </c>
      <c r="I215" s="43"/>
      <c r="J215" s="43">
        <v>1</v>
      </c>
      <c r="K215" s="25" t="str">
        <f>VLOOKUP(J215,Key!$E$2:$F$9,2,FALSE)</f>
        <v>Home</v>
      </c>
      <c r="L215" s="42" t="s">
        <v>37</v>
      </c>
      <c r="M215" s="43" t="s">
        <v>37</v>
      </c>
      <c r="N215" s="42" t="s">
        <v>254</v>
      </c>
      <c r="O215" s="43"/>
      <c r="P215" s="43">
        <v>2</v>
      </c>
      <c r="Q215" s="25" t="str">
        <f>VLOOKUP(P215,Key!$E$2:$F$9,2,FALSE)</f>
        <v>Work</v>
      </c>
      <c r="R215" s="25" t="str">
        <f t="shared" si="4"/>
        <v>Home-Work</v>
      </c>
      <c r="S215" s="62"/>
      <c r="T215" s="62">
        <v>3</v>
      </c>
      <c r="U215" s="43">
        <v>2</v>
      </c>
      <c r="V215" s="43"/>
      <c r="W215" s="62"/>
      <c r="X215" s="62"/>
      <c r="Y215" s="63"/>
      <c r="Z215" s="73"/>
      <c r="AA215" s="25">
        <f>VLOOKUP(F215,'[1]Zones 1'!$A$2:$F$25426,6,FALSE)</f>
        <v>644</v>
      </c>
      <c r="AB215" s="25">
        <f>VLOOKUP(L215,'[1]Zones 1'!$A$2:$F$25426,6,FALSE)</f>
        <v>651</v>
      </c>
    </row>
    <row r="216" spans="2:28">
      <c r="B216" s="40" t="s">
        <v>396</v>
      </c>
      <c r="C216" s="40"/>
      <c r="D216" s="41">
        <v>2</v>
      </c>
      <c r="E216" s="42">
        <v>1</v>
      </c>
      <c r="F216" s="42" t="s">
        <v>50</v>
      </c>
      <c r="G216" s="43" t="s">
        <v>255</v>
      </c>
      <c r="H216" s="42" t="s">
        <v>254</v>
      </c>
      <c r="I216" s="43"/>
      <c r="J216" s="43">
        <v>4</v>
      </c>
      <c r="K216" s="25" t="str">
        <f>VLOOKUP(J216,Key!$E$2:$F$9,2,FALSE)</f>
        <v>Commercial</v>
      </c>
      <c r="L216" s="42" t="s">
        <v>37</v>
      </c>
      <c r="M216" s="43" t="s">
        <v>37</v>
      </c>
      <c r="N216" s="42" t="s">
        <v>254</v>
      </c>
      <c r="O216" s="43"/>
      <c r="P216" s="43">
        <v>4</v>
      </c>
      <c r="Q216" s="25" t="str">
        <f>VLOOKUP(P216,Key!$E$2:$F$9,2,FALSE)</f>
        <v>Commercial</v>
      </c>
      <c r="R216" s="25" t="str">
        <f t="shared" si="4"/>
        <v>Commercial-Commercial</v>
      </c>
      <c r="S216" s="62"/>
      <c r="T216" s="62">
        <v>0</v>
      </c>
      <c r="U216" s="43">
        <v>3</v>
      </c>
      <c r="V216" s="43"/>
      <c r="W216" s="62"/>
      <c r="X216" s="62"/>
      <c r="Y216" s="63"/>
      <c r="Z216" s="73"/>
      <c r="AA216" s="25">
        <f>VLOOKUP(F216,'[1]Zones 1'!$A$2:$F$25426,6,FALSE)</f>
        <v>1438</v>
      </c>
      <c r="AB216" s="25">
        <f>VLOOKUP(L216,'[1]Zones 1'!$A$2:$F$25426,6,FALSE)</f>
        <v>651</v>
      </c>
    </row>
    <row r="217" spans="2:28">
      <c r="B217" s="40" t="s">
        <v>397</v>
      </c>
      <c r="C217" s="40"/>
      <c r="D217" s="41">
        <v>12</v>
      </c>
      <c r="E217" s="42">
        <v>2</v>
      </c>
      <c r="F217" s="42" t="s">
        <v>38</v>
      </c>
      <c r="G217" s="43" t="s">
        <v>37</v>
      </c>
      <c r="H217" s="42" t="s">
        <v>254</v>
      </c>
      <c r="I217" s="43"/>
      <c r="J217" s="43">
        <v>2</v>
      </c>
      <c r="K217" s="25" t="str">
        <f>VLOOKUP(J217,Key!$E$2:$F$9,2,FALSE)</f>
        <v>Work</v>
      </c>
      <c r="L217" s="42" t="s">
        <v>37</v>
      </c>
      <c r="M217" s="43" t="s">
        <v>37</v>
      </c>
      <c r="N217" s="42" t="s">
        <v>254</v>
      </c>
      <c r="O217" s="43"/>
      <c r="P217" s="43">
        <v>2</v>
      </c>
      <c r="Q217" s="25" t="str">
        <f>VLOOKUP(P217,Key!$E$2:$F$9,2,FALSE)</f>
        <v>Work</v>
      </c>
      <c r="R217" s="25" t="str">
        <f t="shared" si="4"/>
        <v>Work-Work</v>
      </c>
      <c r="S217" s="62"/>
      <c r="T217" s="62">
        <v>3</v>
      </c>
      <c r="U217" s="43">
        <v>4</v>
      </c>
      <c r="V217" s="43"/>
      <c r="W217" s="62"/>
      <c r="X217" s="62"/>
      <c r="Y217" s="63"/>
      <c r="Z217" s="73"/>
      <c r="AA217" s="25">
        <f>VLOOKUP(F217,'[1]Zones 1'!$A$2:$F$25426,6,FALSE)</f>
        <v>644</v>
      </c>
      <c r="AB217" s="25">
        <f>VLOOKUP(L217,'[1]Zones 1'!$A$2:$F$25426,6,FALSE)</f>
        <v>651</v>
      </c>
    </row>
    <row r="218" spans="2:28">
      <c r="B218" s="40" t="s">
        <v>398</v>
      </c>
      <c r="C218" s="40"/>
      <c r="D218" s="41">
        <v>2</v>
      </c>
      <c r="E218" s="42">
        <v>1</v>
      </c>
      <c r="F218" s="42" t="s">
        <v>38</v>
      </c>
      <c r="G218" s="43" t="s">
        <v>37</v>
      </c>
      <c r="H218" s="42" t="s">
        <v>254</v>
      </c>
      <c r="I218" s="43"/>
      <c r="J218" s="43">
        <v>1</v>
      </c>
      <c r="K218" s="25" t="str">
        <f>VLOOKUP(J218,Key!$E$2:$F$9,2,FALSE)</f>
        <v>Home</v>
      </c>
      <c r="L218" s="42" t="s">
        <v>37</v>
      </c>
      <c r="M218" s="43" t="s">
        <v>37</v>
      </c>
      <c r="N218" s="42" t="s">
        <v>254</v>
      </c>
      <c r="O218" s="43"/>
      <c r="P218" s="43">
        <v>3</v>
      </c>
      <c r="Q218" s="25" t="str">
        <f>VLOOKUP(P218,Key!$E$2:$F$9,2,FALSE)</f>
        <v>Study</v>
      </c>
      <c r="R218" s="25" t="str">
        <f t="shared" si="4"/>
        <v>Home-Study</v>
      </c>
      <c r="S218" s="62"/>
      <c r="T218" s="62">
        <v>0</v>
      </c>
      <c r="U218" s="43">
        <v>2</v>
      </c>
      <c r="V218" s="43"/>
      <c r="W218" s="62"/>
      <c r="X218" s="62"/>
      <c r="Y218" s="63"/>
      <c r="Z218" s="73"/>
      <c r="AA218" s="25">
        <f>VLOOKUP(F218,'[1]Zones 1'!$A$2:$F$25426,6,FALSE)</f>
        <v>644</v>
      </c>
      <c r="AB218" s="25">
        <f>VLOOKUP(L218,'[1]Zones 1'!$A$2:$F$25426,6,FALSE)</f>
        <v>651</v>
      </c>
    </row>
    <row r="219" spans="2:28">
      <c r="B219" s="40" t="s">
        <v>399</v>
      </c>
      <c r="C219" s="40"/>
      <c r="D219" s="41">
        <v>12</v>
      </c>
      <c r="E219" s="42">
        <v>1</v>
      </c>
      <c r="F219" s="42" t="s">
        <v>256</v>
      </c>
      <c r="G219" s="43" t="s">
        <v>37</v>
      </c>
      <c r="H219" s="42" t="s">
        <v>254</v>
      </c>
      <c r="I219" s="43"/>
      <c r="J219" s="43">
        <v>2</v>
      </c>
      <c r="K219" s="25" t="str">
        <f>VLOOKUP(J219,Key!$E$2:$F$9,2,FALSE)</f>
        <v>Work</v>
      </c>
      <c r="L219" s="42" t="s">
        <v>60</v>
      </c>
      <c r="M219" s="43" t="s">
        <v>240</v>
      </c>
      <c r="N219" s="42" t="s">
        <v>254</v>
      </c>
      <c r="O219" s="43"/>
      <c r="P219" s="43">
        <v>1</v>
      </c>
      <c r="Q219" s="25" t="str">
        <f>VLOOKUP(P219,Key!$E$2:$F$9,2,FALSE)</f>
        <v>Home</v>
      </c>
      <c r="R219" s="25" t="str">
        <f t="shared" si="4"/>
        <v>Work-Home</v>
      </c>
      <c r="S219" s="62"/>
      <c r="T219" s="62">
        <v>3</v>
      </c>
      <c r="U219" s="43">
        <v>3</v>
      </c>
      <c r="V219" s="43"/>
      <c r="W219" s="62"/>
      <c r="X219" s="62"/>
      <c r="Y219" s="63"/>
      <c r="Z219" s="73"/>
      <c r="AA219" s="25">
        <f>VLOOKUP(F219,'[1]Zones 1'!$A$2:$F$25426,6,FALSE)</f>
        <v>1440</v>
      </c>
      <c r="AB219" s="25">
        <f>VLOOKUP(L219,'[1]Zones 1'!$A$2:$F$25426,6,FALSE)</f>
        <v>1434</v>
      </c>
    </row>
    <row r="220" spans="2:28">
      <c r="B220" s="40" t="s">
        <v>400</v>
      </c>
      <c r="C220" s="40"/>
      <c r="D220" s="41">
        <v>3</v>
      </c>
      <c r="E220" s="42">
        <v>2</v>
      </c>
      <c r="F220" s="42" t="s">
        <v>38</v>
      </c>
      <c r="G220" s="43" t="s">
        <v>37</v>
      </c>
      <c r="H220" s="42" t="s">
        <v>254</v>
      </c>
      <c r="I220" s="43"/>
      <c r="J220" s="43">
        <v>3</v>
      </c>
      <c r="K220" s="25" t="str">
        <f>VLOOKUP(J220,Key!$E$2:$F$9,2,FALSE)</f>
        <v>Study</v>
      </c>
      <c r="L220" s="42" t="s">
        <v>249</v>
      </c>
      <c r="M220" s="43" t="s">
        <v>37</v>
      </c>
      <c r="N220" s="42" t="s">
        <v>254</v>
      </c>
      <c r="O220" s="43"/>
      <c r="P220" s="43">
        <v>3</v>
      </c>
      <c r="Q220" s="25" t="str">
        <f>VLOOKUP(P220,Key!$E$2:$F$9,2,FALSE)</f>
        <v>Study</v>
      </c>
      <c r="R220" s="25" t="str">
        <f t="shared" si="4"/>
        <v>Study-Study</v>
      </c>
      <c r="S220" s="62"/>
      <c r="T220" s="62">
        <v>0.83333333333333337</v>
      </c>
      <c r="U220" s="43">
        <v>4</v>
      </c>
      <c r="V220" s="43"/>
      <c r="W220" s="62"/>
      <c r="X220" s="62"/>
      <c r="Y220" s="63"/>
      <c r="Z220" s="73"/>
      <c r="AA220" s="25">
        <f>VLOOKUP(F220,'[1]Zones 1'!$A$2:$F$25426,6,FALSE)</f>
        <v>644</v>
      </c>
      <c r="AB220" s="25">
        <f>VLOOKUP(L220,'[1]Zones 1'!$A$2:$F$25426,6,FALSE)</f>
        <v>655</v>
      </c>
    </row>
    <row r="221" spans="2:28">
      <c r="B221" s="40" t="s">
        <v>401</v>
      </c>
      <c r="C221" s="40"/>
      <c r="D221" s="41">
        <v>8</v>
      </c>
      <c r="E221" s="42">
        <v>1</v>
      </c>
      <c r="F221" s="42" t="s">
        <v>38</v>
      </c>
      <c r="G221" s="43" t="s">
        <v>37</v>
      </c>
      <c r="H221" s="42" t="s">
        <v>254</v>
      </c>
      <c r="I221" s="43"/>
      <c r="J221" s="43">
        <v>1</v>
      </c>
      <c r="K221" s="25" t="str">
        <f>VLOOKUP(J221,Key!$E$2:$F$9,2,FALSE)</f>
        <v>Home</v>
      </c>
      <c r="L221" s="42" t="s">
        <v>60</v>
      </c>
      <c r="M221" s="43" t="s">
        <v>240</v>
      </c>
      <c r="N221" s="42" t="s">
        <v>254</v>
      </c>
      <c r="O221" s="43"/>
      <c r="P221" s="43">
        <v>4</v>
      </c>
      <c r="Q221" s="25" t="str">
        <f>VLOOKUP(P221,Key!$E$2:$F$9,2,FALSE)</f>
        <v>Commercial</v>
      </c>
      <c r="R221" s="25" t="str">
        <f t="shared" si="4"/>
        <v>Home-Commercial</v>
      </c>
      <c r="S221" s="62"/>
      <c r="T221" s="62">
        <v>0</v>
      </c>
      <c r="U221" s="43">
        <v>3</v>
      </c>
      <c r="V221" s="43"/>
      <c r="W221" s="62"/>
      <c r="X221" s="62"/>
      <c r="Y221" s="63"/>
      <c r="Z221" s="73"/>
      <c r="AA221" s="25">
        <f>VLOOKUP(F221,'[1]Zones 1'!$A$2:$F$25426,6,FALSE)</f>
        <v>644</v>
      </c>
      <c r="AB221" s="25">
        <f>VLOOKUP(L221,'[1]Zones 1'!$A$2:$F$25426,6,FALSE)</f>
        <v>1434</v>
      </c>
    </row>
    <row r="222" spans="2:28">
      <c r="B222" s="40" t="s">
        <v>290</v>
      </c>
      <c r="C222" s="40"/>
      <c r="D222" s="41">
        <v>3</v>
      </c>
      <c r="E222" s="42">
        <v>2</v>
      </c>
      <c r="F222" s="42" t="s">
        <v>437</v>
      </c>
      <c r="G222" s="43" t="s">
        <v>37</v>
      </c>
      <c r="H222" s="42" t="s">
        <v>254</v>
      </c>
      <c r="I222" s="43"/>
      <c r="J222" s="43">
        <v>2</v>
      </c>
      <c r="K222" s="25" t="str">
        <f>VLOOKUP(J222,Key!$E$2:$F$9,2,FALSE)</f>
        <v>Work</v>
      </c>
      <c r="L222" s="42" t="s">
        <v>37</v>
      </c>
      <c r="M222" s="43" t="s">
        <v>37</v>
      </c>
      <c r="N222" s="42" t="s">
        <v>254</v>
      </c>
      <c r="O222" s="43"/>
      <c r="P222" s="43">
        <v>4</v>
      </c>
      <c r="Q222" s="25" t="str">
        <f>VLOOKUP(P222,Key!$E$2:$F$9,2,FALSE)</f>
        <v>Commercial</v>
      </c>
      <c r="R222" s="25" t="str">
        <f t="shared" si="4"/>
        <v>Work-Commercial</v>
      </c>
      <c r="S222" s="62"/>
      <c r="T222" s="62">
        <v>4</v>
      </c>
      <c r="U222" s="43">
        <v>4</v>
      </c>
      <c r="V222" s="43"/>
      <c r="W222" s="62"/>
      <c r="X222" s="62"/>
      <c r="Y222" s="63"/>
      <c r="Z222" s="73"/>
      <c r="AA222" s="25">
        <f>VLOOKUP(F222,'[1]Zones 1'!$A$2:$F$25426,6,FALSE)</f>
        <v>667</v>
      </c>
      <c r="AB222" s="25">
        <f>VLOOKUP(L222,'[1]Zones 1'!$A$2:$F$25426,6,FALSE)</f>
        <v>651</v>
      </c>
    </row>
    <row r="223" spans="2:28">
      <c r="B223" s="40" t="s">
        <v>291</v>
      </c>
      <c r="C223" s="40"/>
      <c r="D223" s="41">
        <v>3</v>
      </c>
      <c r="E223" s="42">
        <v>1</v>
      </c>
      <c r="F223" s="42" t="s">
        <v>38</v>
      </c>
      <c r="G223" s="43" t="s">
        <v>37</v>
      </c>
      <c r="H223" s="42" t="s">
        <v>254</v>
      </c>
      <c r="I223" s="43"/>
      <c r="J223" s="43">
        <v>1</v>
      </c>
      <c r="K223" s="25" t="str">
        <f>VLOOKUP(J223,Key!$E$2:$F$9,2,FALSE)</f>
        <v>Home</v>
      </c>
      <c r="L223" s="42" t="s">
        <v>241</v>
      </c>
      <c r="M223" s="43" t="s">
        <v>241</v>
      </c>
      <c r="N223" s="42" t="s">
        <v>254</v>
      </c>
      <c r="O223" s="43"/>
      <c r="P223" s="43">
        <v>3</v>
      </c>
      <c r="Q223" s="25" t="str">
        <f>VLOOKUP(P223,Key!$E$2:$F$9,2,FALSE)</f>
        <v>Study</v>
      </c>
      <c r="R223" s="25" t="str">
        <f t="shared" si="4"/>
        <v>Home-Study</v>
      </c>
      <c r="S223" s="62"/>
      <c r="T223" s="62">
        <v>0</v>
      </c>
      <c r="U223" s="43">
        <v>4</v>
      </c>
      <c r="V223" s="43"/>
      <c r="W223" s="62"/>
      <c r="X223" s="62"/>
      <c r="Y223" s="63"/>
      <c r="Z223" s="73"/>
      <c r="AA223" s="25">
        <f>VLOOKUP(F223,'[1]Zones 1'!$A$2:$F$25426,6,FALSE)</f>
        <v>644</v>
      </c>
      <c r="AB223" s="25">
        <f>VLOOKUP(L223,'[1]Zones 1'!$A$2:$F$25426,6,FALSE)</f>
        <v>521</v>
      </c>
    </row>
    <row r="224" spans="2:28">
      <c r="B224" s="40" t="s">
        <v>402</v>
      </c>
      <c r="C224" s="40"/>
      <c r="D224" s="41">
        <v>5</v>
      </c>
      <c r="E224" s="42">
        <v>2</v>
      </c>
      <c r="F224" s="42" t="s">
        <v>256</v>
      </c>
      <c r="G224" s="43" t="s">
        <v>37</v>
      </c>
      <c r="H224" s="42" t="s">
        <v>254</v>
      </c>
      <c r="I224" s="43"/>
      <c r="J224" s="43">
        <v>2</v>
      </c>
      <c r="K224" s="25" t="str">
        <f>VLOOKUP(J224,Key!$E$2:$F$9,2,FALSE)</f>
        <v>Work</v>
      </c>
      <c r="L224" s="42" t="s">
        <v>249</v>
      </c>
      <c r="M224" s="43" t="s">
        <v>37</v>
      </c>
      <c r="N224" s="42" t="s">
        <v>254</v>
      </c>
      <c r="O224" s="43"/>
      <c r="P224" s="43">
        <v>4</v>
      </c>
      <c r="Q224" s="25" t="str">
        <f>VLOOKUP(P224,Key!$E$2:$F$9,2,FALSE)</f>
        <v>Commercial</v>
      </c>
      <c r="R224" s="25" t="str">
        <f t="shared" si="4"/>
        <v>Work-Commercial</v>
      </c>
      <c r="S224" s="62"/>
      <c r="T224" s="62">
        <v>0</v>
      </c>
      <c r="U224" s="43">
        <v>3</v>
      </c>
      <c r="V224" s="43"/>
      <c r="W224" s="62"/>
      <c r="X224" s="62"/>
      <c r="Y224" s="63"/>
      <c r="Z224" s="73"/>
      <c r="AA224" s="25">
        <f>VLOOKUP(F224,'[1]Zones 1'!$A$2:$F$25426,6,FALSE)</f>
        <v>1440</v>
      </c>
      <c r="AB224" s="25">
        <f>VLOOKUP(L224,'[1]Zones 1'!$A$2:$F$25426,6,FALSE)</f>
        <v>655</v>
      </c>
    </row>
    <row r="225" spans="2:28">
      <c r="B225" s="40" t="s">
        <v>403</v>
      </c>
      <c r="C225" s="40"/>
      <c r="D225" s="41">
        <v>12</v>
      </c>
      <c r="E225" s="42">
        <v>1</v>
      </c>
      <c r="F225" s="42" t="s">
        <v>38</v>
      </c>
      <c r="G225" s="43" t="s">
        <v>37</v>
      </c>
      <c r="H225" s="42" t="s">
        <v>254</v>
      </c>
      <c r="I225" s="43"/>
      <c r="J225" s="43">
        <v>2</v>
      </c>
      <c r="K225" s="25" t="str">
        <f>VLOOKUP(J225,Key!$E$2:$F$9,2,FALSE)</f>
        <v>Work</v>
      </c>
      <c r="L225" s="42" t="s">
        <v>37</v>
      </c>
      <c r="M225" s="43" t="s">
        <v>37</v>
      </c>
      <c r="N225" s="42" t="s">
        <v>254</v>
      </c>
      <c r="O225" s="43"/>
      <c r="P225" s="43">
        <v>4</v>
      </c>
      <c r="Q225" s="25" t="str">
        <f>VLOOKUP(P225,Key!$E$2:$F$9,2,FALSE)</f>
        <v>Commercial</v>
      </c>
      <c r="R225" s="25" t="str">
        <f t="shared" si="4"/>
        <v>Work-Commercial</v>
      </c>
      <c r="S225" s="62"/>
      <c r="T225" s="62">
        <v>1</v>
      </c>
      <c r="U225" s="43">
        <v>4</v>
      </c>
      <c r="V225" s="43"/>
      <c r="W225" s="62"/>
      <c r="X225" s="62"/>
      <c r="Y225" s="63"/>
      <c r="Z225" s="73"/>
      <c r="AA225" s="25">
        <f>VLOOKUP(F225,'[1]Zones 1'!$A$2:$F$25426,6,FALSE)</f>
        <v>644</v>
      </c>
      <c r="AB225" s="25">
        <f>VLOOKUP(L225,'[1]Zones 1'!$A$2:$F$25426,6,FALSE)</f>
        <v>651</v>
      </c>
    </row>
    <row r="226" spans="2:28">
      <c r="B226" s="40" t="s">
        <v>404</v>
      </c>
      <c r="C226" s="40"/>
      <c r="D226" s="41">
        <v>8</v>
      </c>
      <c r="E226" s="42">
        <v>2</v>
      </c>
      <c r="F226" s="42" t="s">
        <v>259</v>
      </c>
      <c r="G226" s="43" t="s">
        <v>37</v>
      </c>
      <c r="H226" s="42" t="s">
        <v>254</v>
      </c>
      <c r="I226" s="43"/>
      <c r="J226" s="43">
        <v>1</v>
      </c>
      <c r="K226" s="25" t="str">
        <f>VLOOKUP(J226,Key!$E$2:$F$9,2,FALSE)</f>
        <v>Home</v>
      </c>
      <c r="L226" s="42" t="s">
        <v>248</v>
      </c>
      <c r="M226" s="43" t="s">
        <v>248</v>
      </c>
      <c r="N226" s="42" t="s">
        <v>254</v>
      </c>
      <c r="O226" s="43"/>
      <c r="P226" s="43">
        <v>3</v>
      </c>
      <c r="Q226" s="25" t="str">
        <f>VLOOKUP(P226,Key!$E$2:$F$9,2,FALSE)</f>
        <v>Study</v>
      </c>
      <c r="R226" s="25" t="str">
        <f t="shared" si="4"/>
        <v>Home-Study</v>
      </c>
      <c r="S226" s="62"/>
      <c r="T226" s="62">
        <v>3</v>
      </c>
      <c r="U226" s="43">
        <v>4</v>
      </c>
      <c r="V226" s="43"/>
      <c r="W226" s="62"/>
      <c r="X226" s="62"/>
      <c r="Y226" s="63"/>
      <c r="Z226" s="73"/>
      <c r="AA226" s="25">
        <f>VLOOKUP(F226,'[1]Zones 1'!$A$2:$F$25426,6,FALSE)</f>
        <v>666</v>
      </c>
      <c r="AB226" s="25">
        <f>VLOOKUP(L226,'[1]Zones 1'!$A$2:$F$25426,6,FALSE)</f>
        <v>987</v>
      </c>
    </row>
    <row r="227" spans="2:28">
      <c r="B227" s="40" t="s">
        <v>405</v>
      </c>
      <c r="C227" s="40"/>
      <c r="D227" s="41">
        <v>3</v>
      </c>
      <c r="E227" s="42">
        <v>1</v>
      </c>
      <c r="F227" s="42" t="s">
        <v>50</v>
      </c>
      <c r="G227" s="43" t="s">
        <v>255</v>
      </c>
      <c r="H227" s="42" t="s">
        <v>254</v>
      </c>
      <c r="I227" s="43"/>
      <c r="J227" s="43">
        <v>2</v>
      </c>
      <c r="K227" s="25" t="str">
        <f>VLOOKUP(J227,Key!$E$2:$F$9,2,FALSE)</f>
        <v>Work</v>
      </c>
      <c r="L227" s="42" t="s">
        <v>37</v>
      </c>
      <c r="M227" s="43" t="s">
        <v>37</v>
      </c>
      <c r="N227" s="42" t="s">
        <v>254</v>
      </c>
      <c r="O227" s="43"/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62"/>
      <c r="T227" s="62">
        <v>0</v>
      </c>
      <c r="U227" s="43">
        <v>3</v>
      </c>
      <c r="V227" s="43"/>
      <c r="W227" s="62"/>
      <c r="X227" s="62"/>
      <c r="Y227" s="63"/>
      <c r="Z227" s="73"/>
      <c r="AA227" s="25">
        <f>VLOOKUP(F227,'[1]Zones 1'!$A$2:$F$25426,6,FALSE)</f>
        <v>1438</v>
      </c>
      <c r="AB227" s="25">
        <f>VLOOKUP(L227,'[1]Zones 1'!$A$2:$F$25426,6,FALSE)</f>
        <v>651</v>
      </c>
    </row>
    <row r="228" spans="2:28">
      <c r="B228" s="40" t="s">
        <v>406</v>
      </c>
      <c r="C228" s="40"/>
      <c r="D228" s="41">
        <v>1</v>
      </c>
      <c r="E228" s="42">
        <v>1</v>
      </c>
      <c r="F228" s="42" t="s">
        <v>38</v>
      </c>
      <c r="G228" s="43" t="s">
        <v>37</v>
      </c>
      <c r="H228" s="42" t="s">
        <v>254</v>
      </c>
      <c r="I228" s="43"/>
      <c r="J228" s="43">
        <v>2</v>
      </c>
      <c r="K228" s="25" t="str">
        <f>VLOOKUP(J228,Key!$E$2:$F$9,2,FALSE)</f>
        <v>Work</v>
      </c>
      <c r="L228" s="42" t="s">
        <v>69</v>
      </c>
      <c r="M228" s="43" t="s">
        <v>69</v>
      </c>
      <c r="N228" s="42" t="s">
        <v>254</v>
      </c>
      <c r="O228" s="43"/>
      <c r="P228" s="43">
        <v>4</v>
      </c>
      <c r="Q228" s="25" t="str">
        <f>VLOOKUP(P228,Key!$E$2:$F$9,2,FALSE)</f>
        <v>Commercial</v>
      </c>
      <c r="R228" s="25" t="str">
        <f t="shared" si="4"/>
        <v>Work-Commercial</v>
      </c>
      <c r="S228" s="62"/>
      <c r="T228" s="62">
        <v>0</v>
      </c>
      <c r="U228" s="43">
        <v>2</v>
      </c>
      <c r="V228" s="43"/>
      <c r="W228" s="62"/>
      <c r="X228" s="62"/>
      <c r="Y228" s="63"/>
      <c r="Z228" s="73"/>
      <c r="AA228" s="25">
        <f>VLOOKUP(F228,'[1]Zones 1'!$A$2:$F$25426,6,FALSE)</f>
        <v>644</v>
      </c>
      <c r="AB228" s="25">
        <f>VLOOKUP(L228,'[1]Zones 1'!$A$2:$F$25426,6,FALSE)</f>
        <v>987</v>
      </c>
    </row>
    <row r="229" spans="2:28">
      <c r="B229" s="40" t="s">
        <v>407</v>
      </c>
      <c r="C229" s="40"/>
      <c r="D229" s="41">
        <v>8</v>
      </c>
      <c r="E229" s="42">
        <v>1</v>
      </c>
      <c r="F229" s="42" t="s">
        <v>256</v>
      </c>
      <c r="G229" s="43" t="s">
        <v>37</v>
      </c>
      <c r="H229" s="42" t="s">
        <v>254</v>
      </c>
      <c r="I229" s="43"/>
      <c r="J229" s="43">
        <v>2</v>
      </c>
      <c r="K229" s="25" t="str">
        <f>VLOOKUP(J229,Key!$E$2:$F$9,2,FALSE)</f>
        <v>Work</v>
      </c>
      <c r="L229" s="42" t="s">
        <v>37</v>
      </c>
      <c r="M229" s="43" t="s">
        <v>37</v>
      </c>
      <c r="N229" s="42" t="s">
        <v>254</v>
      </c>
      <c r="O229" s="43"/>
      <c r="P229" s="43">
        <v>3</v>
      </c>
      <c r="Q229" s="25" t="str">
        <f>VLOOKUP(P229,Key!$E$2:$F$9,2,FALSE)</f>
        <v>Study</v>
      </c>
      <c r="R229" s="25" t="str">
        <f t="shared" si="4"/>
        <v>Work-Study</v>
      </c>
      <c r="S229" s="62"/>
      <c r="T229" s="62">
        <v>0</v>
      </c>
      <c r="U229" s="43">
        <v>4</v>
      </c>
      <c r="V229" s="43"/>
      <c r="W229" s="62"/>
      <c r="X229" s="62"/>
      <c r="Y229" s="63"/>
      <c r="Z229" s="73"/>
      <c r="AA229" s="25">
        <f>VLOOKUP(F229,'[1]Zones 1'!$A$2:$F$25426,6,FALSE)</f>
        <v>1440</v>
      </c>
      <c r="AB229" s="25">
        <f>VLOOKUP(L229,'[1]Zones 1'!$A$2:$F$25426,6,FALSE)</f>
        <v>651</v>
      </c>
    </row>
    <row r="230" spans="2:28">
      <c r="B230" s="40" t="s">
        <v>408</v>
      </c>
      <c r="C230" s="40"/>
      <c r="D230" s="41">
        <v>12</v>
      </c>
      <c r="E230" s="42">
        <v>2</v>
      </c>
      <c r="F230" s="42" t="s">
        <v>259</v>
      </c>
      <c r="G230" s="43" t="s">
        <v>37</v>
      </c>
      <c r="H230" s="42" t="s">
        <v>254</v>
      </c>
      <c r="I230" s="43"/>
      <c r="J230" s="43">
        <v>2</v>
      </c>
      <c r="K230" s="25" t="str">
        <f>VLOOKUP(J230,Key!$E$2:$F$9,2,FALSE)</f>
        <v>Work</v>
      </c>
      <c r="L230" s="42" t="s">
        <v>37</v>
      </c>
      <c r="M230" s="43" t="s">
        <v>37</v>
      </c>
      <c r="N230" s="42" t="s">
        <v>254</v>
      </c>
      <c r="O230" s="43"/>
      <c r="P230" s="43">
        <v>3</v>
      </c>
      <c r="Q230" s="25" t="str">
        <f>VLOOKUP(P230,Key!$E$2:$F$9,2,FALSE)</f>
        <v>Study</v>
      </c>
      <c r="R230" s="25" t="str">
        <f t="shared" si="4"/>
        <v>Work-Study</v>
      </c>
      <c r="S230" s="62"/>
      <c r="T230" s="62">
        <v>3</v>
      </c>
      <c r="U230" s="43">
        <v>2</v>
      </c>
      <c r="V230" s="43"/>
      <c r="W230" s="62"/>
      <c r="X230" s="62"/>
      <c r="Y230" s="63"/>
      <c r="Z230" s="73"/>
      <c r="AA230" s="25">
        <f>VLOOKUP(F230,'[1]Zones 1'!$A$2:$F$25426,6,FALSE)</f>
        <v>666</v>
      </c>
      <c r="AB230" s="25">
        <f>VLOOKUP(L230,'[1]Zones 1'!$A$2:$F$25426,6,FALSE)</f>
        <v>651</v>
      </c>
    </row>
    <row r="231" spans="2:28">
      <c r="B231" s="40" t="s">
        <v>409</v>
      </c>
      <c r="C231" s="40"/>
      <c r="D231" s="41">
        <v>8</v>
      </c>
      <c r="E231" s="42">
        <v>2</v>
      </c>
      <c r="F231" s="42" t="s">
        <v>38</v>
      </c>
      <c r="G231" s="43" t="s">
        <v>37</v>
      </c>
      <c r="H231" s="42" t="s">
        <v>254</v>
      </c>
      <c r="I231" s="43"/>
      <c r="J231" s="43">
        <v>1</v>
      </c>
      <c r="K231" s="25" t="str">
        <f>VLOOKUP(J231,Key!$E$2:$F$9,2,FALSE)</f>
        <v>Home</v>
      </c>
      <c r="L231" s="42" t="s">
        <v>37</v>
      </c>
      <c r="M231" s="43" t="s">
        <v>37</v>
      </c>
      <c r="N231" s="42" t="s">
        <v>254</v>
      </c>
      <c r="O231" s="43"/>
      <c r="P231" s="43">
        <v>4</v>
      </c>
      <c r="Q231" s="25" t="str">
        <f>VLOOKUP(P231,Key!$E$2:$F$9,2,FALSE)</f>
        <v>Commercial</v>
      </c>
      <c r="R231" s="25" t="str">
        <f t="shared" si="4"/>
        <v>Home-Commercial</v>
      </c>
      <c r="S231" s="62"/>
      <c r="T231" s="62">
        <v>0</v>
      </c>
      <c r="U231" s="43">
        <v>3</v>
      </c>
      <c r="V231" s="43"/>
      <c r="W231" s="62"/>
      <c r="X231" s="62"/>
      <c r="Y231" s="63"/>
      <c r="Z231" s="73"/>
      <c r="AA231" s="25">
        <f>VLOOKUP(F231,'[1]Zones 1'!$A$2:$F$25426,6,FALSE)</f>
        <v>644</v>
      </c>
      <c r="AB231" s="25">
        <f>VLOOKUP(L231,'[1]Zones 1'!$A$2:$F$25426,6,FALSE)</f>
        <v>651</v>
      </c>
    </row>
    <row r="232" spans="2:28">
      <c r="B232" s="40" t="s">
        <v>306</v>
      </c>
      <c r="C232" s="40"/>
      <c r="D232" s="41">
        <v>12</v>
      </c>
      <c r="E232" s="42">
        <v>1</v>
      </c>
      <c r="F232" s="42" t="s">
        <v>38</v>
      </c>
      <c r="G232" s="43" t="s">
        <v>37</v>
      </c>
      <c r="H232" s="42" t="s">
        <v>254</v>
      </c>
      <c r="I232" s="43"/>
      <c r="J232" s="43">
        <v>1</v>
      </c>
      <c r="K232" s="25" t="str">
        <f>VLOOKUP(J232,Key!$E$2:$F$9,2,FALSE)</f>
        <v>Home</v>
      </c>
      <c r="L232" s="42" t="s">
        <v>60</v>
      </c>
      <c r="M232" s="43" t="s">
        <v>240</v>
      </c>
      <c r="N232" s="42" t="s">
        <v>254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Home-Work</v>
      </c>
      <c r="S232" s="62"/>
      <c r="T232" s="62">
        <v>0</v>
      </c>
      <c r="U232" s="43">
        <v>4</v>
      </c>
      <c r="V232" s="43"/>
      <c r="W232" s="62"/>
      <c r="X232" s="62"/>
      <c r="Y232" s="63"/>
      <c r="Z232" s="73"/>
      <c r="AA232" s="25">
        <f>VLOOKUP(F232,'[1]Zones 1'!$A$2:$F$25426,6,FALSE)</f>
        <v>644</v>
      </c>
      <c r="AB232" s="25">
        <f>VLOOKUP(L232,'[1]Zones 1'!$A$2:$F$25426,6,FALSE)</f>
        <v>1434</v>
      </c>
    </row>
    <row r="233" spans="2:28">
      <c r="B233" s="40" t="s">
        <v>410</v>
      </c>
      <c r="C233" s="40"/>
      <c r="D233" s="41">
        <v>3</v>
      </c>
      <c r="E233" s="42">
        <v>1</v>
      </c>
      <c r="F233" s="42" t="s">
        <v>38</v>
      </c>
      <c r="G233" s="43" t="s">
        <v>37</v>
      </c>
      <c r="H233" s="42" t="s">
        <v>254</v>
      </c>
      <c r="I233" s="43"/>
      <c r="J233" s="43">
        <v>1</v>
      </c>
      <c r="K233" s="25" t="str">
        <f>VLOOKUP(J233,Key!$E$2:$F$9,2,FALSE)</f>
        <v>Home</v>
      </c>
      <c r="L233" s="42" t="s">
        <v>241</v>
      </c>
      <c r="M233" s="43" t="s">
        <v>241</v>
      </c>
      <c r="N233" s="42" t="s">
        <v>254</v>
      </c>
      <c r="O233" s="43"/>
      <c r="P233" s="43">
        <v>3</v>
      </c>
      <c r="Q233" s="25" t="str">
        <f>VLOOKUP(P233,Key!$E$2:$F$9,2,FALSE)</f>
        <v>Study</v>
      </c>
      <c r="R233" s="25" t="str">
        <f t="shared" si="4"/>
        <v>Home-Study</v>
      </c>
      <c r="S233" s="62"/>
      <c r="T233" s="62">
        <v>0</v>
      </c>
      <c r="U233" s="43">
        <v>2</v>
      </c>
      <c r="V233" s="43"/>
      <c r="W233" s="62"/>
      <c r="X233" s="62"/>
      <c r="Y233" s="63"/>
      <c r="Z233" s="73"/>
      <c r="AA233" s="25">
        <f>VLOOKUP(F233,'[1]Zones 1'!$A$2:$F$25426,6,FALSE)</f>
        <v>644</v>
      </c>
      <c r="AB233" s="25">
        <f>VLOOKUP(L233,'[1]Zones 1'!$A$2:$F$25426,6,FALSE)</f>
        <v>521</v>
      </c>
    </row>
    <row r="234" spans="2:28">
      <c r="B234" s="40" t="s">
        <v>411</v>
      </c>
      <c r="C234" s="40"/>
      <c r="D234" s="41">
        <v>12</v>
      </c>
      <c r="E234" s="42">
        <v>1</v>
      </c>
      <c r="F234" s="42" t="s">
        <v>38</v>
      </c>
      <c r="G234" s="43" t="s">
        <v>37</v>
      </c>
      <c r="H234" s="42" t="s">
        <v>254</v>
      </c>
      <c r="I234" s="43"/>
      <c r="J234" s="43">
        <v>2</v>
      </c>
      <c r="K234" s="25" t="str">
        <f>VLOOKUP(J234,Key!$E$2:$F$9,2,FALSE)</f>
        <v>Work</v>
      </c>
      <c r="L234" s="42" t="s">
        <v>37</v>
      </c>
      <c r="M234" s="43" t="s">
        <v>37</v>
      </c>
      <c r="N234" s="42" t="s">
        <v>254</v>
      </c>
      <c r="O234" s="43"/>
      <c r="P234" s="43">
        <v>4</v>
      </c>
      <c r="Q234" s="25" t="str">
        <f>VLOOKUP(P234,Key!$E$2:$F$9,2,FALSE)</f>
        <v>Commercial</v>
      </c>
      <c r="R234" s="25" t="str">
        <f t="shared" si="4"/>
        <v>Work-Commercial</v>
      </c>
      <c r="S234" s="62"/>
      <c r="T234" s="62">
        <v>3</v>
      </c>
      <c r="U234" s="43">
        <v>3</v>
      </c>
      <c r="V234" s="43"/>
      <c r="W234" s="62"/>
      <c r="X234" s="62"/>
      <c r="Y234" s="63"/>
      <c r="Z234" s="73"/>
      <c r="AA234" s="25">
        <f>VLOOKUP(F234,'[1]Zones 1'!$A$2:$F$25426,6,FALSE)</f>
        <v>644</v>
      </c>
      <c r="AB234" s="25">
        <f>VLOOKUP(L234,'[1]Zones 1'!$A$2:$F$25426,6,FALSE)</f>
        <v>651</v>
      </c>
    </row>
    <row r="235" spans="2:28">
      <c r="B235" s="40" t="s">
        <v>412</v>
      </c>
      <c r="C235" s="40"/>
      <c r="D235" s="41">
        <v>8</v>
      </c>
      <c r="E235" s="42">
        <v>2</v>
      </c>
      <c r="F235" s="42" t="s">
        <v>38</v>
      </c>
      <c r="G235" s="43" t="s">
        <v>37</v>
      </c>
      <c r="H235" s="42" t="s">
        <v>254</v>
      </c>
      <c r="I235" s="43"/>
      <c r="J235" s="43">
        <v>2</v>
      </c>
      <c r="K235" s="25" t="str">
        <f>VLOOKUP(J235,Key!$E$2:$F$9,2,FALSE)</f>
        <v>Work</v>
      </c>
      <c r="L235" s="42" t="s">
        <v>37</v>
      </c>
      <c r="M235" s="43" t="s">
        <v>37</v>
      </c>
      <c r="N235" s="42" t="s">
        <v>254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62"/>
      <c r="T235" s="62">
        <v>4</v>
      </c>
      <c r="U235" s="43">
        <v>4</v>
      </c>
      <c r="V235" s="43"/>
      <c r="W235" s="62"/>
      <c r="X235" s="62"/>
      <c r="Y235" s="63"/>
      <c r="Z235" s="73"/>
      <c r="AA235" s="25">
        <f>VLOOKUP(F235,'[1]Zones 1'!$A$2:$F$25426,6,FALSE)</f>
        <v>644</v>
      </c>
      <c r="AB235" s="25">
        <f>VLOOKUP(L235,'[1]Zones 1'!$A$2:$F$25426,6,FALSE)</f>
        <v>651</v>
      </c>
    </row>
    <row r="236" spans="2:28">
      <c r="B236" s="40" t="s">
        <v>413</v>
      </c>
      <c r="C236" s="40"/>
      <c r="D236" s="41">
        <v>6</v>
      </c>
      <c r="E236" s="42">
        <v>1</v>
      </c>
      <c r="F236" s="42" t="s">
        <v>38</v>
      </c>
      <c r="G236" s="43" t="s">
        <v>37</v>
      </c>
      <c r="H236" s="42" t="s">
        <v>254</v>
      </c>
      <c r="I236" s="43"/>
      <c r="J236" s="43">
        <v>2</v>
      </c>
      <c r="K236" s="25" t="str">
        <f>VLOOKUP(J236,Key!$E$2:$F$9,2,FALSE)</f>
        <v>Work</v>
      </c>
      <c r="L236" s="42" t="s">
        <v>248</v>
      </c>
      <c r="M236" s="43" t="s">
        <v>248</v>
      </c>
      <c r="N236" s="42" t="s">
        <v>254</v>
      </c>
      <c r="O236" s="43"/>
      <c r="P236" s="43">
        <v>4</v>
      </c>
      <c r="Q236" s="25" t="str">
        <f>VLOOKUP(P236,Key!$E$2:$F$9,2,FALSE)</f>
        <v>Commercial</v>
      </c>
      <c r="R236" s="25" t="str">
        <f t="shared" si="4"/>
        <v>Work-Commercial</v>
      </c>
      <c r="S236" s="62"/>
      <c r="T236" s="62">
        <v>2</v>
      </c>
      <c r="U236" s="43">
        <v>2</v>
      </c>
      <c r="V236" s="43"/>
      <c r="W236" s="62"/>
      <c r="X236" s="62"/>
      <c r="Y236" s="63"/>
      <c r="Z236" s="73"/>
      <c r="AA236" s="25">
        <f>VLOOKUP(F236,'[1]Zones 1'!$A$2:$F$25426,6,FALSE)</f>
        <v>644</v>
      </c>
      <c r="AB236" s="25">
        <f>VLOOKUP(L236,'[1]Zones 1'!$A$2:$F$25426,6,FALSE)</f>
        <v>987</v>
      </c>
    </row>
    <row r="237" spans="2:28">
      <c r="B237" s="40" t="s">
        <v>414</v>
      </c>
      <c r="C237" s="40"/>
      <c r="D237" s="41">
        <v>12</v>
      </c>
      <c r="E237" s="42">
        <v>2</v>
      </c>
      <c r="F237" s="42" t="s">
        <v>38</v>
      </c>
      <c r="G237" s="43" t="s">
        <v>37</v>
      </c>
      <c r="H237" s="42" t="s">
        <v>254</v>
      </c>
      <c r="I237" s="43"/>
      <c r="J237" s="43">
        <v>1</v>
      </c>
      <c r="K237" s="25" t="str">
        <f>VLOOKUP(J237,Key!$E$2:$F$9,2,FALSE)</f>
        <v>Home</v>
      </c>
      <c r="L237" s="42" t="s">
        <v>248</v>
      </c>
      <c r="M237" s="43" t="s">
        <v>248</v>
      </c>
      <c r="N237" s="42" t="s">
        <v>254</v>
      </c>
      <c r="O237" s="43"/>
      <c r="P237" s="43">
        <v>3</v>
      </c>
      <c r="Q237" s="25" t="str">
        <f>VLOOKUP(P237,Key!$E$2:$F$9,2,FALSE)</f>
        <v>Study</v>
      </c>
      <c r="R237" s="25" t="str">
        <f t="shared" si="4"/>
        <v>Home-Study</v>
      </c>
      <c r="S237" s="62"/>
      <c r="T237" s="62">
        <v>2</v>
      </c>
      <c r="U237" s="43">
        <v>4</v>
      </c>
      <c r="V237" s="43"/>
      <c r="W237" s="62"/>
      <c r="X237" s="62"/>
      <c r="Y237" s="63"/>
      <c r="Z237" s="73"/>
      <c r="AA237" s="25">
        <f>VLOOKUP(F237,'[1]Zones 1'!$A$2:$F$25426,6,FALSE)</f>
        <v>644</v>
      </c>
      <c r="AB237" s="25">
        <f>VLOOKUP(L237,'[1]Zones 1'!$A$2:$F$25426,6,FALSE)</f>
        <v>987</v>
      </c>
    </row>
    <row r="238" spans="2:28">
      <c r="B238" s="40" t="s">
        <v>415</v>
      </c>
      <c r="C238" s="40"/>
      <c r="D238" s="41">
        <v>3</v>
      </c>
      <c r="E238" s="42">
        <v>2</v>
      </c>
      <c r="F238" s="42" t="s">
        <v>256</v>
      </c>
      <c r="G238" s="43" t="s">
        <v>37</v>
      </c>
      <c r="H238" s="42" t="s">
        <v>254</v>
      </c>
      <c r="I238" s="43"/>
      <c r="J238" s="43">
        <v>1</v>
      </c>
      <c r="K238" s="25" t="str">
        <f>VLOOKUP(J238,Key!$E$2:$F$9,2,FALSE)</f>
        <v>Home</v>
      </c>
      <c r="L238" s="42" t="s">
        <v>241</v>
      </c>
      <c r="M238" s="43" t="s">
        <v>241</v>
      </c>
      <c r="N238" s="42" t="s">
        <v>254</v>
      </c>
      <c r="O238" s="43"/>
      <c r="P238" s="43">
        <v>3</v>
      </c>
      <c r="Q238" s="25" t="str">
        <f>VLOOKUP(P238,Key!$E$2:$F$9,2,FALSE)</f>
        <v>Study</v>
      </c>
      <c r="R238" s="25" t="str">
        <f t="shared" si="4"/>
        <v>Home-Study</v>
      </c>
      <c r="S238" s="62"/>
      <c r="T238" s="62">
        <v>1</v>
      </c>
      <c r="U238" s="43">
        <v>3</v>
      </c>
      <c r="V238" s="43"/>
      <c r="W238" s="62"/>
      <c r="X238" s="62"/>
      <c r="Y238" s="63"/>
      <c r="Z238" s="73"/>
      <c r="AA238" s="25">
        <f>VLOOKUP(F238,'[1]Zones 1'!$A$2:$F$25426,6,FALSE)</f>
        <v>1440</v>
      </c>
      <c r="AB238" s="25">
        <f>VLOOKUP(L238,'[1]Zones 1'!$A$2:$F$25426,6,FALSE)</f>
        <v>521</v>
      </c>
    </row>
    <row r="239" spans="2:28">
      <c r="B239" s="40" t="s">
        <v>416</v>
      </c>
      <c r="C239" s="40"/>
      <c r="D239" s="41">
        <v>2</v>
      </c>
      <c r="E239" s="42">
        <v>1</v>
      </c>
      <c r="F239" s="42" t="s">
        <v>50</v>
      </c>
      <c r="G239" s="43" t="s">
        <v>255</v>
      </c>
      <c r="H239" s="42" t="s">
        <v>254</v>
      </c>
      <c r="I239" s="43"/>
      <c r="J239" s="43">
        <v>1</v>
      </c>
      <c r="K239" s="25" t="str">
        <f>VLOOKUP(J239,Key!$E$2:$F$9,2,FALSE)</f>
        <v>Home</v>
      </c>
      <c r="L239" s="42" t="s">
        <v>249</v>
      </c>
      <c r="M239" s="43" t="s">
        <v>37</v>
      </c>
      <c r="N239" s="42" t="s">
        <v>254</v>
      </c>
      <c r="O239" s="43"/>
      <c r="P239" s="43">
        <v>3</v>
      </c>
      <c r="Q239" s="25" t="str">
        <f>VLOOKUP(P239,Key!$E$2:$F$9,2,FALSE)</f>
        <v>Study</v>
      </c>
      <c r="R239" s="25" t="str">
        <f t="shared" si="4"/>
        <v>Home-Study</v>
      </c>
      <c r="S239" s="62"/>
      <c r="T239" s="62">
        <v>2</v>
      </c>
      <c r="U239" s="43">
        <v>3</v>
      </c>
      <c r="V239" s="43"/>
      <c r="W239" s="62"/>
      <c r="X239" s="62"/>
      <c r="Y239" s="63"/>
      <c r="Z239" s="73"/>
      <c r="AA239" s="25">
        <f>VLOOKUP(F239,'[1]Zones 1'!$A$2:$F$25426,6,FALSE)</f>
        <v>1438</v>
      </c>
      <c r="AB239" s="25">
        <f>VLOOKUP(L239,'[1]Zones 1'!$A$2:$F$25426,6,FALSE)</f>
        <v>655</v>
      </c>
    </row>
    <row r="240" spans="2:28">
      <c r="B240" s="40" t="s">
        <v>417</v>
      </c>
      <c r="C240" s="40"/>
      <c r="D240" s="41">
        <v>8</v>
      </c>
      <c r="E240" s="42">
        <v>1</v>
      </c>
      <c r="F240" s="42" t="s">
        <v>50</v>
      </c>
      <c r="G240" s="43" t="s">
        <v>255</v>
      </c>
      <c r="H240" s="42" t="s">
        <v>254</v>
      </c>
      <c r="I240" s="43"/>
      <c r="J240" s="43">
        <v>1</v>
      </c>
      <c r="K240" s="25" t="str">
        <f>VLOOKUP(J240,Key!$E$2:$F$9,2,FALSE)</f>
        <v>Home</v>
      </c>
      <c r="L240" s="42" t="s">
        <v>37</v>
      </c>
      <c r="M240" s="43" t="s">
        <v>37</v>
      </c>
      <c r="N240" s="42" t="s">
        <v>254</v>
      </c>
      <c r="O240" s="43"/>
      <c r="P240" s="43">
        <v>3</v>
      </c>
      <c r="Q240" s="25" t="str">
        <f>VLOOKUP(P240,Key!$E$2:$F$9,2,FALSE)</f>
        <v>Study</v>
      </c>
      <c r="R240" s="25" t="str">
        <f t="shared" si="4"/>
        <v>Home-Study</v>
      </c>
      <c r="S240" s="62"/>
      <c r="T240" s="62">
        <v>4</v>
      </c>
      <c r="U240" s="43">
        <v>3</v>
      </c>
      <c r="V240" s="43"/>
      <c r="W240" s="62"/>
      <c r="X240" s="62"/>
      <c r="Y240" s="63"/>
      <c r="Z240" s="73"/>
      <c r="AA240" s="25">
        <f>VLOOKUP(F240,'[1]Zones 1'!$A$2:$F$25426,6,FALSE)</f>
        <v>1438</v>
      </c>
      <c r="AB240" s="25">
        <f>VLOOKUP(L240,'[1]Zones 1'!$A$2:$F$25426,6,FALSE)</f>
        <v>651</v>
      </c>
    </row>
    <row r="241" spans="2:28">
      <c r="B241" s="40" t="s">
        <v>418</v>
      </c>
      <c r="C241" s="40"/>
      <c r="D241" s="41">
        <v>2</v>
      </c>
      <c r="E241" s="42">
        <v>2</v>
      </c>
      <c r="F241" s="42" t="s">
        <v>38</v>
      </c>
      <c r="G241" s="43" t="s">
        <v>37</v>
      </c>
      <c r="H241" s="42" t="s">
        <v>254</v>
      </c>
      <c r="I241" s="43"/>
      <c r="J241" s="43">
        <v>2</v>
      </c>
      <c r="K241" s="25" t="str">
        <f>VLOOKUP(J241,Key!$E$2:$F$9,2,FALSE)</f>
        <v>Work</v>
      </c>
      <c r="L241" s="42" t="s">
        <v>37</v>
      </c>
      <c r="M241" s="43" t="s">
        <v>37</v>
      </c>
      <c r="N241" s="42" t="s">
        <v>254</v>
      </c>
      <c r="O241" s="43"/>
      <c r="P241" s="43">
        <v>4</v>
      </c>
      <c r="Q241" s="25" t="str">
        <f>VLOOKUP(P241,Key!$E$2:$F$9,2,FALSE)</f>
        <v>Commercial</v>
      </c>
      <c r="R241" s="25" t="str">
        <f t="shared" si="4"/>
        <v>Work-Commercial</v>
      </c>
      <c r="S241" s="62"/>
      <c r="T241" s="62">
        <v>0</v>
      </c>
      <c r="U241" s="43">
        <v>3</v>
      </c>
      <c r="V241" s="43"/>
      <c r="W241" s="62"/>
      <c r="X241" s="62"/>
      <c r="Y241" s="63"/>
      <c r="Z241" s="73"/>
      <c r="AA241" s="25">
        <f>VLOOKUP(F241,'[1]Zones 1'!$A$2:$F$25426,6,FALSE)</f>
        <v>644</v>
      </c>
      <c r="AB241" s="25">
        <f>VLOOKUP(L241,'[1]Zones 1'!$A$2:$F$25426,6,FALSE)</f>
        <v>651</v>
      </c>
    </row>
    <row r="242" spans="2:28">
      <c r="B242" s="40" t="s">
        <v>419</v>
      </c>
      <c r="C242" s="40"/>
      <c r="D242" s="41">
        <v>2</v>
      </c>
      <c r="E242" s="42">
        <v>1</v>
      </c>
      <c r="F242" s="42" t="s">
        <v>576</v>
      </c>
      <c r="G242" s="43" t="s">
        <v>37</v>
      </c>
      <c r="H242" s="42" t="s">
        <v>254</v>
      </c>
      <c r="I242" s="43"/>
      <c r="J242" s="43">
        <v>1</v>
      </c>
      <c r="K242" s="25" t="str">
        <f>VLOOKUP(J242,Key!$E$2:$F$9,2,FALSE)</f>
        <v>Home</v>
      </c>
      <c r="L242" s="42" t="s">
        <v>241</v>
      </c>
      <c r="M242" s="43" t="s">
        <v>241</v>
      </c>
      <c r="N242" s="42" t="s">
        <v>254</v>
      </c>
      <c r="O242" s="43"/>
      <c r="P242" s="43">
        <v>3</v>
      </c>
      <c r="Q242" s="25" t="str">
        <f>VLOOKUP(P242,Key!$E$2:$F$9,2,FALSE)</f>
        <v>Study</v>
      </c>
      <c r="R242" s="25" t="str">
        <f t="shared" si="4"/>
        <v>Home-Study</v>
      </c>
      <c r="S242" s="62"/>
      <c r="T242" s="62">
        <v>0</v>
      </c>
      <c r="U242" s="43">
        <v>4</v>
      </c>
      <c r="V242" s="43"/>
      <c r="W242" s="62"/>
      <c r="X242" s="62"/>
      <c r="Y242" s="63"/>
      <c r="Z242" s="73"/>
      <c r="AA242" s="25">
        <f>VLOOKUP(F242,'[1]Zones 1'!$A$2:$F$25426,6,FALSE)</f>
        <v>655</v>
      </c>
      <c r="AB242" s="25">
        <f>VLOOKUP(L242,'[1]Zones 1'!$A$2:$F$25426,6,FALSE)</f>
        <v>521</v>
      </c>
    </row>
    <row r="243" spans="2:28">
      <c r="B243" s="40" t="s">
        <v>420</v>
      </c>
      <c r="C243" s="40"/>
      <c r="D243" s="41">
        <v>2</v>
      </c>
      <c r="E243" s="42">
        <v>1</v>
      </c>
      <c r="F243" s="42" t="s">
        <v>256</v>
      </c>
      <c r="G243" s="43" t="s">
        <v>37</v>
      </c>
      <c r="H243" s="42" t="s">
        <v>254</v>
      </c>
      <c r="I243" s="43"/>
      <c r="J243" s="43">
        <v>2</v>
      </c>
      <c r="K243" s="25" t="str">
        <f>VLOOKUP(J243,Key!$E$2:$F$9,2,FALSE)</f>
        <v>Work</v>
      </c>
      <c r="L243" s="42" t="s">
        <v>37</v>
      </c>
      <c r="M243" s="43" t="s">
        <v>37</v>
      </c>
      <c r="N243" s="42" t="s">
        <v>254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62"/>
      <c r="T243" s="62">
        <v>3</v>
      </c>
      <c r="U243" s="43">
        <v>3</v>
      </c>
      <c r="V243" s="43"/>
      <c r="W243" s="62"/>
      <c r="X243" s="62"/>
      <c r="Y243" s="63"/>
      <c r="Z243" s="73"/>
      <c r="AA243" s="25">
        <f>VLOOKUP(F243,'[1]Zones 1'!$A$2:$F$25426,6,FALSE)</f>
        <v>1440</v>
      </c>
      <c r="AB243" s="25">
        <f>VLOOKUP(L243,'[1]Zones 1'!$A$2:$F$25426,6,FALSE)</f>
        <v>651</v>
      </c>
    </row>
    <row r="244" spans="2:28">
      <c r="B244" s="40" t="s">
        <v>421</v>
      </c>
      <c r="C244" s="40"/>
      <c r="D244" s="41">
        <v>3</v>
      </c>
      <c r="E244" s="42">
        <v>1</v>
      </c>
      <c r="F244" s="42" t="s">
        <v>38</v>
      </c>
      <c r="G244" s="43" t="s">
        <v>37</v>
      </c>
      <c r="H244" s="42" t="s">
        <v>254</v>
      </c>
      <c r="I244" s="43"/>
      <c r="J244" s="43">
        <v>3</v>
      </c>
      <c r="K244" s="25" t="str">
        <f>VLOOKUP(J244,Key!$E$2:$F$9,2,FALSE)</f>
        <v>Study</v>
      </c>
      <c r="L244" s="42" t="s">
        <v>60</v>
      </c>
      <c r="M244" s="43" t="s">
        <v>240</v>
      </c>
      <c r="N244" s="42" t="s">
        <v>254</v>
      </c>
      <c r="O244" s="43"/>
      <c r="P244" s="43">
        <v>4</v>
      </c>
      <c r="Q244" s="25" t="str">
        <f>VLOOKUP(P244,Key!$E$2:$F$9,2,FALSE)</f>
        <v>Commercial</v>
      </c>
      <c r="R244" s="25" t="str">
        <f t="shared" si="4"/>
        <v>Study-Commercial</v>
      </c>
      <c r="S244" s="62"/>
      <c r="T244" s="62">
        <v>1</v>
      </c>
      <c r="U244" s="43">
        <v>2</v>
      </c>
      <c r="V244" s="43"/>
      <c r="W244" s="62"/>
      <c r="X244" s="62"/>
      <c r="Y244" s="63"/>
      <c r="Z244" s="73"/>
      <c r="AA244" s="25">
        <f>VLOOKUP(F244,'[1]Zones 1'!$A$2:$F$25426,6,FALSE)</f>
        <v>644</v>
      </c>
      <c r="AB244" s="25">
        <f>VLOOKUP(L244,'[1]Zones 1'!$A$2:$F$25426,6,FALSE)</f>
        <v>1434</v>
      </c>
    </row>
    <row r="245" spans="2:28">
      <c r="B245" s="40" t="s">
        <v>422</v>
      </c>
      <c r="C245" s="40"/>
      <c r="D245" s="41">
        <v>2</v>
      </c>
      <c r="E245" s="42">
        <v>1</v>
      </c>
      <c r="F245" s="42" t="s">
        <v>38</v>
      </c>
      <c r="G245" s="43" t="s">
        <v>37</v>
      </c>
      <c r="H245" s="42" t="s">
        <v>254</v>
      </c>
      <c r="I245" s="43"/>
      <c r="J245" s="43">
        <v>2</v>
      </c>
      <c r="K245" s="25" t="str">
        <f>VLOOKUP(J245,Key!$E$2:$F$9,2,FALSE)</f>
        <v>Work</v>
      </c>
      <c r="L245" s="42" t="s">
        <v>60</v>
      </c>
      <c r="M245" s="43" t="s">
        <v>240</v>
      </c>
      <c r="N245" s="42" t="s">
        <v>254</v>
      </c>
      <c r="O245" s="43"/>
      <c r="P245" s="43">
        <v>4</v>
      </c>
      <c r="Q245" s="25" t="str">
        <f>VLOOKUP(P245,Key!$E$2:$F$9,2,FALSE)</f>
        <v>Commercial</v>
      </c>
      <c r="R245" s="25" t="str">
        <f t="shared" si="4"/>
        <v>Work-Commercial</v>
      </c>
      <c r="S245" s="62"/>
      <c r="T245" s="62">
        <v>1</v>
      </c>
      <c r="U245" s="43">
        <v>4</v>
      </c>
      <c r="V245" s="43"/>
      <c r="W245" s="62"/>
      <c r="X245" s="62"/>
      <c r="Y245" s="63"/>
      <c r="Z245" s="73"/>
      <c r="AA245" s="25">
        <f>VLOOKUP(F245,'[1]Zones 1'!$A$2:$F$25426,6,FALSE)</f>
        <v>644</v>
      </c>
      <c r="AB245" s="25">
        <f>VLOOKUP(L245,'[1]Zones 1'!$A$2:$F$25426,6,FALSE)</f>
        <v>1434</v>
      </c>
    </row>
    <row r="246" spans="2:28">
      <c r="B246" s="40" t="s">
        <v>423</v>
      </c>
      <c r="C246" s="40"/>
      <c r="D246" s="41">
        <v>12</v>
      </c>
      <c r="E246" s="42">
        <v>1</v>
      </c>
      <c r="F246" s="42" t="s">
        <v>38</v>
      </c>
      <c r="G246" s="43" t="s">
        <v>37</v>
      </c>
      <c r="H246" s="42" t="s">
        <v>254</v>
      </c>
      <c r="I246" s="43"/>
      <c r="J246" s="43">
        <v>3</v>
      </c>
      <c r="K246" s="25" t="str">
        <f>VLOOKUP(J246,Key!$E$2:$F$9,2,FALSE)</f>
        <v>Study</v>
      </c>
      <c r="L246" s="42" t="s">
        <v>37</v>
      </c>
      <c r="M246" s="43" t="s">
        <v>37</v>
      </c>
      <c r="N246" s="42" t="s">
        <v>254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Study-Work</v>
      </c>
      <c r="S246" s="62"/>
      <c r="T246" s="62">
        <v>1</v>
      </c>
      <c r="U246" s="43">
        <v>4</v>
      </c>
      <c r="V246" s="43"/>
      <c r="W246" s="62"/>
      <c r="X246" s="62"/>
      <c r="Y246" s="63"/>
      <c r="Z246" s="73"/>
      <c r="AA246" s="25">
        <f>VLOOKUP(F246,'[1]Zones 1'!$A$2:$F$25426,6,FALSE)</f>
        <v>644</v>
      </c>
      <c r="AB246" s="25">
        <f>VLOOKUP(L246,'[1]Zones 1'!$A$2:$F$25426,6,FALSE)</f>
        <v>651</v>
      </c>
    </row>
    <row r="247" spans="2:28">
      <c r="B247" s="40" t="s">
        <v>424</v>
      </c>
      <c r="C247" s="40"/>
      <c r="D247" s="41">
        <v>8</v>
      </c>
      <c r="E247" s="42">
        <v>1</v>
      </c>
      <c r="F247" s="42" t="s">
        <v>438</v>
      </c>
      <c r="G247" s="43" t="s">
        <v>37</v>
      </c>
      <c r="H247" s="42" t="s">
        <v>254</v>
      </c>
      <c r="I247" s="43"/>
      <c r="J247" s="43">
        <v>1</v>
      </c>
      <c r="K247" s="25" t="str">
        <f>VLOOKUP(J247,Key!$E$2:$F$9,2,FALSE)</f>
        <v>Home</v>
      </c>
      <c r="L247" s="42" t="s">
        <v>37</v>
      </c>
      <c r="M247" s="43" t="s">
        <v>37</v>
      </c>
      <c r="N247" s="42" t="s">
        <v>254</v>
      </c>
      <c r="O247" s="43"/>
      <c r="P247" s="43">
        <v>3</v>
      </c>
      <c r="Q247" s="25" t="str">
        <f>VLOOKUP(P247,Key!$E$2:$F$9,2,FALSE)</f>
        <v>Study</v>
      </c>
      <c r="R247" s="25" t="str">
        <f t="shared" si="4"/>
        <v>Home-Study</v>
      </c>
      <c r="S247" s="62"/>
      <c r="T247" s="62">
        <v>3</v>
      </c>
      <c r="U247" s="43">
        <v>2</v>
      </c>
      <c r="V247" s="43"/>
      <c r="W247" s="62"/>
      <c r="X247" s="62"/>
      <c r="Y247" s="63"/>
      <c r="Z247" s="73"/>
      <c r="AA247" s="25">
        <f>VLOOKUP(F247,'[1]Zones 1'!$A$2:$F$25426,6,FALSE)</f>
        <v>660</v>
      </c>
      <c r="AB247" s="25">
        <f>VLOOKUP(L247,'[1]Zones 1'!$A$2:$F$25426,6,FALSE)</f>
        <v>651</v>
      </c>
    </row>
    <row r="248" spans="2:28">
      <c r="B248" s="40" t="s">
        <v>425</v>
      </c>
      <c r="C248" s="40"/>
      <c r="D248" s="41">
        <v>4</v>
      </c>
      <c r="E248" s="42">
        <v>1</v>
      </c>
      <c r="F248" s="42" t="s">
        <v>38</v>
      </c>
      <c r="G248" s="43" t="s">
        <v>37</v>
      </c>
      <c r="H248" s="42" t="s">
        <v>254</v>
      </c>
      <c r="I248" s="43"/>
      <c r="J248" s="43">
        <v>4</v>
      </c>
      <c r="K248" s="25" t="str">
        <f>VLOOKUP(J248,Key!$E$2:$F$9,2,FALSE)</f>
        <v>Commercial</v>
      </c>
      <c r="L248" s="42" t="s">
        <v>37</v>
      </c>
      <c r="M248" s="43" t="s">
        <v>37</v>
      </c>
      <c r="N248" s="42" t="s">
        <v>254</v>
      </c>
      <c r="O248" s="43"/>
      <c r="P248" s="43">
        <v>3</v>
      </c>
      <c r="Q248" s="25" t="str">
        <f>VLOOKUP(P248,Key!$E$2:$F$9,2,FALSE)</f>
        <v>Study</v>
      </c>
      <c r="R248" s="25" t="str">
        <f t="shared" si="4"/>
        <v>Commercial-Study</v>
      </c>
      <c r="S248" s="62"/>
      <c r="T248" s="62">
        <v>3</v>
      </c>
      <c r="U248" s="43">
        <v>3</v>
      </c>
      <c r="V248" s="43"/>
      <c r="W248" s="62"/>
      <c r="X248" s="62"/>
      <c r="Y248" s="63"/>
      <c r="Z248" s="73"/>
      <c r="AA248" s="25">
        <f>VLOOKUP(F248,'[1]Zones 1'!$A$2:$F$25426,6,FALSE)</f>
        <v>644</v>
      </c>
      <c r="AB248" s="25">
        <f>VLOOKUP(L248,'[1]Zones 1'!$A$2:$F$25426,6,FALSE)</f>
        <v>651</v>
      </c>
    </row>
    <row r="249" spans="2:28">
      <c r="B249" s="40" t="s">
        <v>426</v>
      </c>
      <c r="C249" s="40"/>
      <c r="D249" s="41">
        <v>2</v>
      </c>
      <c r="E249" s="42">
        <v>1</v>
      </c>
      <c r="F249" s="42" t="s">
        <v>38</v>
      </c>
      <c r="G249" s="43" t="s">
        <v>37</v>
      </c>
      <c r="H249" s="42" t="s">
        <v>254</v>
      </c>
      <c r="I249" s="43"/>
      <c r="J249" s="43">
        <v>2</v>
      </c>
      <c r="K249" s="25" t="str">
        <f>VLOOKUP(J249,Key!$E$2:$F$9,2,FALSE)</f>
        <v>Work</v>
      </c>
      <c r="L249" s="42" t="s">
        <v>37</v>
      </c>
      <c r="M249" s="43" t="s">
        <v>37</v>
      </c>
      <c r="N249" s="42" t="s">
        <v>254</v>
      </c>
      <c r="O249" s="43"/>
      <c r="P249" s="43">
        <v>3</v>
      </c>
      <c r="Q249" s="25" t="str">
        <f>VLOOKUP(P249,Key!$E$2:$F$9,2,FALSE)</f>
        <v>Study</v>
      </c>
      <c r="R249" s="25" t="str">
        <f t="shared" si="4"/>
        <v>Work-Study</v>
      </c>
      <c r="S249" s="62"/>
      <c r="T249" s="62">
        <v>0</v>
      </c>
      <c r="U249" s="43">
        <v>3</v>
      </c>
      <c r="V249" s="43"/>
      <c r="W249" s="62"/>
      <c r="X249" s="62"/>
      <c r="Y249" s="63"/>
      <c r="Z249" s="73"/>
      <c r="AA249" s="25">
        <f>VLOOKUP(F249,'[1]Zones 1'!$A$2:$F$25426,6,FALSE)</f>
        <v>644</v>
      </c>
      <c r="AB249" s="25">
        <f>VLOOKUP(L249,'[1]Zones 1'!$A$2:$F$25426,6,FALSE)</f>
        <v>651</v>
      </c>
    </row>
    <row r="250" spans="2:28">
      <c r="B250" s="40" t="s">
        <v>427</v>
      </c>
      <c r="C250" s="40"/>
      <c r="D250" s="41">
        <v>1</v>
      </c>
      <c r="E250" s="42">
        <v>1</v>
      </c>
      <c r="F250" s="42" t="s">
        <v>256</v>
      </c>
      <c r="G250" s="43" t="s">
        <v>37</v>
      </c>
      <c r="H250" s="42" t="s">
        <v>254</v>
      </c>
      <c r="I250" s="43"/>
      <c r="J250" s="43">
        <v>2</v>
      </c>
      <c r="K250" s="25" t="str">
        <f>VLOOKUP(J250,Key!$E$2:$F$9,2,FALSE)</f>
        <v>Work</v>
      </c>
      <c r="L250" s="42" t="s">
        <v>37</v>
      </c>
      <c r="M250" s="43" t="s">
        <v>37</v>
      </c>
      <c r="N250" s="42" t="s">
        <v>254</v>
      </c>
      <c r="O250" s="43"/>
      <c r="P250" s="43">
        <v>3</v>
      </c>
      <c r="Q250" s="25" t="str">
        <f>VLOOKUP(P250,Key!$E$2:$F$9,2,FALSE)</f>
        <v>Study</v>
      </c>
      <c r="R250" s="25" t="str">
        <f t="shared" si="4"/>
        <v>Work-Study</v>
      </c>
      <c r="S250" s="62"/>
      <c r="T250" s="62">
        <v>2</v>
      </c>
      <c r="U250" s="43">
        <v>3</v>
      </c>
      <c r="V250" s="43"/>
      <c r="W250" s="62"/>
      <c r="X250" s="62"/>
      <c r="Y250" s="63"/>
      <c r="Z250" s="73"/>
      <c r="AA250" s="25">
        <f>VLOOKUP(F250,'[1]Zones 1'!$A$2:$F$25426,6,FALSE)</f>
        <v>1440</v>
      </c>
      <c r="AB250" s="25">
        <f>VLOOKUP(L250,'[1]Zones 1'!$A$2:$F$25426,6,FALSE)</f>
        <v>651</v>
      </c>
    </row>
    <row r="251" spans="2:28">
      <c r="B251" s="40" t="s">
        <v>428</v>
      </c>
      <c r="C251" s="40"/>
      <c r="D251" s="41">
        <v>12</v>
      </c>
      <c r="E251" s="42">
        <v>1</v>
      </c>
      <c r="F251" s="42" t="s">
        <v>256</v>
      </c>
      <c r="G251" s="43" t="s">
        <v>37</v>
      </c>
      <c r="H251" s="42" t="s">
        <v>254</v>
      </c>
      <c r="I251" s="43"/>
      <c r="J251" s="43">
        <v>2</v>
      </c>
      <c r="K251" s="25" t="str">
        <f>VLOOKUP(J251,Key!$E$2:$F$9,2,FALSE)</f>
        <v>Work</v>
      </c>
      <c r="L251" s="42" t="s">
        <v>37</v>
      </c>
      <c r="M251" s="43" t="s">
        <v>37</v>
      </c>
      <c r="N251" s="42" t="s">
        <v>254</v>
      </c>
      <c r="O251" s="43"/>
      <c r="P251" s="43">
        <v>3</v>
      </c>
      <c r="Q251" s="25" t="str">
        <f>VLOOKUP(P251,Key!$E$2:$F$9,2,FALSE)</f>
        <v>Study</v>
      </c>
      <c r="R251" s="25" t="str">
        <f t="shared" ref="R251:R258" si="5">K251&amp;"-"&amp;Q251</f>
        <v>Work-Study</v>
      </c>
      <c r="S251" s="62"/>
      <c r="T251" s="62">
        <v>1</v>
      </c>
      <c r="U251" s="43">
        <v>3</v>
      </c>
      <c r="V251" s="43"/>
      <c r="W251" s="62"/>
      <c r="X251" s="62"/>
      <c r="Y251" s="63"/>
      <c r="Z251" s="73"/>
      <c r="AA251" s="25">
        <f>VLOOKUP(F251,'[1]Zones 1'!$A$2:$F$25426,6,FALSE)</f>
        <v>1440</v>
      </c>
      <c r="AB251" s="25">
        <f>VLOOKUP(L251,'[1]Zones 1'!$A$2:$F$25426,6,FALSE)</f>
        <v>651</v>
      </c>
    </row>
    <row r="252" spans="2:28">
      <c r="B252" s="40" t="s">
        <v>429</v>
      </c>
      <c r="C252" s="40"/>
      <c r="D252" s="41">
        <v>13</v>
      </c>
      <c r="E252" s="42">
        <v>1</v>
      </c>
      <c r="F252" s="42" t="s">
        <v>38</v>
      </c>
      <c r="G252" s="43" t="s">
        <v>37</v>
      </c>
      <c r="H252" s="42" t="s">
        <v>254</v>
      </c>
      <c r="I252" s="43"/>
      <c r="J252" s="43">
        <v>1</v>
      </c>
      <c r="K252" s="25" t="str">
        <f>VLOOKUP(J252,Key!$E$2:$F$9,2,FALSE)</f>
        <v>Home</v>
      </c>
      <c r="L252" s="42" t="s">
        <v>37</v>
      </c>
      <c r="M252" s="43" t="s">
        <v>37</v>
      </c>
      <c r="N252" s="42" t="s">
        <v>254</v>
      </c>
      <c r="O252" s="43"/>
      <c r="P252" s="43">
        <v>3</v>
      </c>
      <c r="Q252" s="25" t="str">
        <f>VLOOKUP(P252,Key!$E$2:$F$9,2,FALSE)</f>
        <v>Study</v>
      </c>
      <c r="R252" s="25" t="str">
        <f t="shared" si="5"/>
        <v>Home-Study</v>
      </c>
      <c r="S252" s="62"/>
      <c r="T252" s="62">
        <v>3</v>
      </c>
      <c r="U252" s="43">
        <v>3</v>
      </c>
      <c r="V252" s="43"/>
      <c r="W252" s="62"/>
      <c r="X252" s="62"/>
      <c r="Y252" s="63"/>
      <c r="Z252" s="73"/>
      <c r="AA252" s="25">
        <f>VLOOKUP(F252,'[1]Zones 1'!$A$2:$F$25426,6,FALSE)</f>
        <v>644</v>
      </c>
      <c r="AB252" s="25">
        <f>VLOOKUP(L252,'[1]Zones 1'!$A$2:$F$25426,6,FALSE)</f>
        <v>651</v>
      </c>
    </row>
    <row r="253" spans="2:28">
      <c r="B253" s="40" t="s">
        <v>329</v>
      </c>
      <c r="C253" s="40"/>
      <c r="D253" s="41">
        <v>3</v>
      </c>
      <c r="E253" s="42">
        <v>2</v>
      </c>
      <c r="F253" s="42" t="s">
        <v>38</v>
      </c>
      <c r="G253" s="43" t="s">
        <v>37</v>
      </c>
      <c r="H253" s="42" t="s">
        <v>254</v>
      </c>
      <c r="I253" s="43"/>
      <c r="J253" s="43">
        <v>2</v>
      </c>
      <c r="K253" s="25" t="str">
        <f>VLOOKUP(J253,Key!$E$2:$F$9,2,FALSE)</f>
        <v>Work</v>
      </c>
      <c r="L253" s="42" t="s">
        <v>40</v>
      </c>
      <c r="M253" s="43" t="s">
        <v>40</v>
      </c>
      <c r="N253" s="42" t="s">
        <v>254</v>
      </c>
      <c r="O253" s="43"/>
      <c r="P253" s="43">
        <v>4</v>
      </c>
      <c r="Q253" s="25" t="str">
        <f>VLOOKUP(P253,Key!$E$2:$F$9,2,FALSE)</f>
        <v>Commercial</v>
      </c>
      <c r="R253" s="25" t="str">
        <f t="shared" si="5"/>
        <v>Work-Commercial</v>
      </c>
      <c r="S253" s="62"/>
      <c r="T253" s="62">
        <v>2</v>
      </c>
      <c r="U253" s="43">
        <v>3</v>
      </c>
      <c r="V253" s="43"/>
      <c r="W253" s="62"/>
      <c r="X253" s="62"/>
      <c r="Y253" s="63"/>
      <c r="Z253" s="73"/>
      <c r="AA253" s="25">
        <f>VLOOKUP(F253,'[1]Zones 1'!$A$2:$F$25426,6,FALSE)</f>
        <v>644</v>
      </c>
      <c r="AB253" s="25">
        <f>VLOOKUP(L253,'[1]Zones 1'!$A$2:$F$25426,6,FALSE)</f>
        <v>253</v>
      </c>
    </row>
    <row r="254" spans="2:28">
      <c r="B254" s="40" t="s">
        <v>430</v>
      </c>
      <c r="C254" s="40"/>
      <c r="D254" s="41">
        <v>1</v>
      </c>
      <c r="E254" s="42">
        <v>1</v>
      </c>
      <c r="F254" s="42" t="s">
        <v>38</v>
      </c>
      <c r="G254" s="43" t="s">
        <v>37</v>
      </c>
      <c r="H254" s="42" t="s">
        <v>254</v>
      </c>
      <c r="I254" s="43"/>
      <c r="J254" s="43">
        <v>1</v>
      </c>
      <c r="K254" s="25" t="str">
        <f>VLOOKUP(J254,Key!$E$2:$F$9,2,FALSE)</f>
        <v>Home</v>
      </c>
      <c r="L254" s="42" t="s">
        <v>37</v>
      </c>
      <c r="M254" s="43" t="s">
        <v>37</v>
      </c>
      <c r="N254" s="42" t="s">
        <v>254</v>
      </c>
      <c r="O254" s="43"/>
      <c r="P254" s="43">
        <v>3</v>
      </c>
      <c r="Q254" s="25" t="str">
        <f>VLOOKUP(P254,Key!$E$2:$F$9,2,FALSE)</f>
        <v>Study</v>
      </c>
      <c r="R254" s="25" t="str">
        <f t="shared" si="5"/>
        <v>Home-Study</v>
      </c>
      <c r="S254" s="62"/>
      <c r="T254" s="62">
        <v>1</v>
      </c>
      <c r="U254" s="43">
        <v>4</v>
      </c>
      <c r="V254" s="43"/>
      <c r="W254" s="62"/>
      <c r="X254" s="62"/>
      <c r="Y254" s="63"/>
      <c r="Z254" s="73"/>
      <c r="AA254" s="25">
        <f>VLOOKUP(F254,'[1]Zones 1'!$A$2:$F$25426,6,FALSE)</f>
        <v>644</v>
      </c>
      <c r="AB254" s="25">
        <f>VLOOKUP(L254,'[1]Zones 1'!$A$2:$F$25426,6,FALSE)</f>
        <v>651</v>
      </c>
    </row>
    <row r="255" spans="2:28">
      <c r="B255" s="40" t="s">
        <v>431</v>
      </c>
      <c r="C255" s="40"/>
      <c r="D255" s="41">
        <v>5</v>
      </c>
      <c r="E255" s="42">
        <v>1</v>
      </c>
      <c r="F255" s="42" t="s">
        <v>256</v>
      </c>
      <c r="G255" s="43" t="s">
        <v>37</v>
      </c>
      <c r="H255" s="42" t="s">
        <v>254</v>
      </c>
      <c r="I255" s="43"/>
      <c r="J255" s="43">
        <v>1</v>
      </c>
      <c r="K255" s="25" t="str">
        <f>VLOOKUP(J255,Key!$E$2:$F$9,2,FALSE)</f>
        <v>Home</v>
      </c>
      <c r="L255" s="42" t="s">
        <v>37</v>
      </c>
      <c r="M255" s="43" t="s">
        <v>37</v>
      </c>
      <c r="N255" s="42" t="s">
        <v>254</v>
      </c>
      <c r="O255" s="43"/>
      <c r="P255" s="43">
        <v>4</v>
      </c>
      <c r="Q255" s="25" t="str">
        <f>VLOOKUP(P255,Key!$E$2:$F$9,2,FALSE)</f>
        <v>Commercial</v>
      </c>
      <c r="R255" s="25" t="str">
        <f t="shared" si="5"/>
        <v>Home-Commercial</v>
      </c>
      <c r="S255" s="62"/>
      <c r="T255" s="62">
        <v>2</v>
      </c>
      <c r="U255" s="43">
        <v>3</v>
      </c>
      <c r="V255" s="43"/>
      <c r="W255" s="62"/>
      <c r="X255" s="62"/>
      <c r="Y255" s="63"/>
      <c r="Z255" s="73"/>
      <c r="AA255" s="25">
        <f>VLOOKUP(F255,'[1]Zones 1'!$A$2:$F$25426,6,FALSE)</f>
        <v>1440</v>
      </c>
      <c r="AB255" s="25">
        <f>VLOOKUP(L255,'[1]Zones 1'!$A$2:$F$25426,6,FALSE)</f>
        <v>651</v>
      </c>
    </row>
    <row r="256" spans="2:28">
      <c r="B256" s="40" t="s">
        <v>432</v>
      </c>
      <c r="C256" s="40"/>
      <c r="D256" s="41">
        <v>2</v>
      </c>
      <c r="E256" s="42">
        <v>2</v>
      </c>
      <c r="F256" s="42" t="s">
        <v>38</v>
      </c>
      <c r="G256" s="43" t="s">
        <v>37</v>
      </c>
      <c r="H256" s="42" t="s">
        <v>254</v>
      </c>
      <c r="I256" s="43"/>
      <c r="J256" s="43">
        <v>2</v>
      </c>
      <c r="K256" s="25" t="str">
        <f>VLOOKUP(J256,Key!$E$2:$F$9,2,FALSE)</f>
        <v>Work</v>
      </c>
      <c r="L256" s="42" t="s">
        <v>248</v>
      </c>
      <c r="M256" s="43" t="s">
        <v>69</v>
      </c>
      <c r="N256" s="42" t="s">
        <v>254</v>
      </c>
      <c r="O256" s="43"/>
      <c r="P256" s="43">
        <v>3</v>
      </c>
      <c r="Q256" s="25" t="str">
        <f>VLOOKUP(P256,Key!$E$2:$F$9,2,FALSE)</f>
        <v>Study</v>
      </c>
      <c r="R256" s="25" t="str">
        <f t="shared" si="5"/>
        <v>Work-Study</v>
      </c>
      <c r="S256" s="62"/>
      <c r="T256" s="62">
        <v>0</v>
      </c>
      <c r="U256" s="43">
        <v>4</v>
      </c>
      <c r="V256" s="43"/>
      <c r="W256" s="62"/>
      <c r="X256" s="62"/>
      <c r="Y256" s="63"/>
      <c r="Z256" s="73"/>
      <c r="AA256" s="25">
        <f>VLOOKUP(F256,'[1]Zones 1'!$A$2:$F$25426,6,FALSE)</f>
        <v>644</v>
      </c>
      <c r="AB256" s="25">
        <f>VLOOKUP(L256,'[1]Zones 1'!$A$2:$F$25426,6,FALSE)</f>
        <v>987</v>
      </c>
    </row>
    <row r="257" spans="2:28">
      <c r="B257" s="40" t="s">
        <v>433</v>
      </c>
      <c r="C257" s="40"/>
      <c r="D257" s="41">
        <v>3</v>
      </c>
      <c r="E257" s="42">
        <v>0</v>
      </c>
      <c r="F257" s="42" t="s">
        <v>38</v>
      </c>
      <c r="G257" s="43" t="s">
        <v>37</v>
      </c>
      <c r="H257" s="42" t="s">
        <v>254</v>
      </c>
      <c r="I257" s="43"/>
      <c r="J257" s="43">
        <v>1</v>
      </c>
      <c r="K257" s="25" t="str">
        <f>VLOOKUP(J257,Key!$E$2:$F$9,2,FALSE)</f>
        <v>Home</v>
      </c>
      <c r="L257" s="42" t="s">
        <v>441</v>
      </c>
      <c r="M257" s="43" t="s">
        <v>441</v>
      </c>
      <c r="N257" s="42" t="s">
        <v>254</v>
      </c>
      <c r="O257" s="43"/>
      <c r="P257" s="43">
        <v>3</v>
      </c>
      <c r="Q257" s="25" t="str">
        <f>VLOOKUP(P257,Key!$E$2:$F$9,2,FALSE)</f>
        <v>Study</v>
      </c>
      <c r="R257" s="25" t="str">
        <f t="shared" si="5"/>
        <v>Home-Study</v>
      </c>
      <c r="S257" s="62"/>
      <c r="T257" s="62">
        <v>0</v>
      </c>
      <c r="U257" s="43">
        <v>3</v>
      </c>
      <c r="V257" s="43"/>
      <c r="W257" s="62"/>
      <c r="X257" s="62"/>
      <c r="Y257" s="63"/>
      <c r="Z257" s="73"/>
      <c r="AA257" s="25">
        <f>VLOOKUP(F257,'[1]Zones 1'!$A$2:$F$25426,6,FALSE)</f>
        <v>644</v>
      </c>
      <c r="AB257" s="25">
        <f>VLOOKUP(L257,'[1]Zones 1'!$A$2:$F$25426,6,FALSE)</f>
        <v>1055</v>
      </c>
    </row>
    <row r="258" spans="2:28">
      <c r="B258" s="40" t="s">
        <v>434</v>
      </c>
      <c r="C258" s="40"/>
      <c r="D258" s="41">
        <v>2</v>
      </c>
      <c r="E258" s="42">
        <v>1</v>
      </c>
      <c r="F258" s="42" t="s">
        <v>38</v>
      </c>
      <c r="G258" s="43" t="s">
        <v>37</v>
      </c>
      <c r="H258" s="42" t="s">
        <v>254</v>
      </c>
      <c r="I258" s="43"/>
      <c r="J258" s="43">
        <v>2</v>
      </c>
      <c r="K258" s="25" t="str">
        <f>VLOOKUP(J258,Key!$E$2:$F$9,2,FALSE)</f>
        <v>Work</v>
      </c>
      <c r="L258" s="42" t="s">
        <v>37</v>
      </c>
      <c r="M258" s="43" t="s">
        <v>37</v>
      </c>
      <c r="N258" s="42" t="s">
        <v>254</v>
      </c>
      <c r="O258" s="43"/>
      <c r="P258" s="43">
        <v>2</v>
      </c>
      <c r="Q258" s="25" t="str">
        <f>VLOOKUP(P258,Key!$E$2:$F$9,2,FALSE)</f>
        <v>Work</v>
      </c>
      <c r="R258" s="25" t="str">
        <f t="shared" si="5"/>
        <v>Work-Work</v>
      </c>
      <c r="S258" s="62"/>
      <c r="T258" s="62">
        <v>0</v>
      </c>
      <c r="U258" s="43">
        <v>3</v>
      </c>
      <c r="V258" s="43"/>
      <c r="W258" s="62"/>
      <c r="X258" s="62"/>
      <c r="Y258" s="63"/>
      <c r="Z258" s="73"/>
      <c r="AA258" s="25">
        <f>VLOOKUP(F258,'[1]Zones 1'!$A$2:$F$25426,6,FALSE)</f>
        <v>644</v>
      </c>
      <c r="AB258" s="25">
        <f>VLOOKUP(L258,'[1]Zones 1'!$A$2:$F$25426,6,FALSE)</f>
        <v>651</v>
      </c>
    </row>
    <row r="259" spans="2:28">
      <c r="B259" s="40" t="s">
        <v>503</v>
      </c>
      <c r="C259" s="40"/>
      <c r="D259" s="41">
        <v>2</v>
      </c>
      <c r="E259" s="42"/>
      <c r="F259" s="42" t="s">
        <v>241</v>
      </c>
      <c r="G259" s="43" t="s">
        <v>241</v>
      </c>
      <c r="H259" s="42" t="s">
        <v>254</v>
      </c>
      <c r="I259" s="43"/>
      <c r="J259" s="43">
        <v>1</v>
      </c>
      <c r="K259" s="25" t="str">
        <f>VLOOKUP(J259,Key!$E$2:$F$9,2,FALSE)</f>
        <v>Home</v>
      </c>
      <c r="L259" s="42" t="s">
        <v>38</v>
      </c>
      <c r="M259" s="43" t="s">
        <v>37</v>
      </c>
      <c r="N259" s="42" t="s">
        <v>254</v>
      </c>
      <c r="O259" s="43"/>
      <c r="P259" s="43">
        <v>2</v>
      </c>
      <c r="Q259" s="25" t="str">
        <f>VLOOKUP(P259,Key!$E$2:$F$9,2,FALSE)</f>
        <v>Work</v>
      </c>
      <c r="R259" s="25" t="str">
        <f>K259&amp;"-"&amp;Q259</f>
        <v>Home-Work</v>
      </c>
      <c r="S259" s="62"/>
      <c r="T259" s="62">
        <v>8</v>
      </c>
      <c r="U259" s="43">
        <v>4</v>
      </c>
      <c r="V259" s="43"/>
      <c r="W259" s="62"/>
      <c r="X259" s="62"/>
      <c r="Y259" s="63"/>
      <c r="Z259" s="73"/>
      <c r="AA259" s="25">
        <f>VLOOKUP(F259,'[1]Zones 1'!$A$2:$F$25426,6,FALSE)</f>
        <v>521</v>
      </c>
      <c r="AB259" s="25">
        <f>VLOOKUP(L259,'[1]Zones 1'!$A$2:$F$25426,6,FALSE)</f>
        <v>644</v>
      </c>
    </row>
    <row r="260" spans="2:28">
      <c r="B260" s="40" t="s">
        <v>442</v>
      </c>
      <c r="C260" s="40"/>
      <c r="D260" s="41"/>
      <c r="E260" s="42">
        <v>3</v>
      </c>
      <c r="F260" s="42" t="s">
        <v>41</v>
      </c>
      <c r="G260" s="43" t="s">
        <v>253</v>
      </c>
      <c r="H260" s="42" t="s">
        <v>254</v>
      </c>
      <c r="I260" s="43"/>
      <c r="J260" s="43">
        <v>1</v>
      </c>
      <c r="K260" s="25" t="str">
        <f>VLOOKUP(J260,Key!$E$2:$F$9,2,FALSE)</f>
        <v>Home</v>
      </c>
      <c r="L260" s="42" t="s">
        <v>256</v>
      </c>
      <c r="M260" s="43" t="s">
        <v>37</v>
      </c>
      <c r="N260" s="42" t="s">
        <v>254</v>
      </c>
      <c r="O260" s="43"/>
      <c r="P260" s="43">
        <v>2</v>
      </c>
      <c r="Q260" s="25" t="str">
        <f>VLOOKUP(P260,Key!$E$2:$F$9,2,FALSE)</f>
        <v>Work</v>
      </c>
      <c r="R260" s="25" t="str">
        <f t="shared" ref="R260:R323" si="6">K260&amp;"-"&amp;Q260</f>
        <v>Home-Work</v>
      </c>
      <c r="S260" s="62"/>
      <c r="T260" s="62">
        <v>6</v>
      </c>
      <c r="U260" s="43">
        <v>2</v>
      </c>
      <c r="V260" s="43"/>
      <c r="W260" s="62"/>
      <c r="X260" s="62"/>
      <c r="Y260" s="63"/>
      <c r="Z260" s="73"/>
      <c r="AA260" s="25">
        <f>VLOOKUP(F260,'[1]Zones 1'!$A$2:$F$25426,6,FALSE)</f>
        <v>937</v>
      </c>
      <c r="AB260" s="25">
        <f>VLOOKUP(L260,'[1]Zones 1'!$A$2:$F$25426,6,FALSE)</f>
        <v>1440</v>
      </c>
    </row>
    <row r="261" spans="2:28">
      <c r="B261" s="40">
        <v>0.22569444444444445</v>
      </c>
      <c r="C261" s="40"/>
      <c r="D261" s="41"/>
      <c r="E261" s="42">
        <v>3</v>
      </c>
      <c r="F261" s="42" t="s">
        <v>241</v>
      </c>
      <c r="G261" s="43" t="s">
        <v>241</v>
      </c>
      <c r="H261" s="42" t="s">
        <v>254</v>
      </c>
      <c r="I261" s="43"/>
      <c r="J261" s="43">
        <v>1</v>
      </c>
      <c r="K261" s="25" t="str">
        <f>VLOOKUP(J261,Key!$E$2:$F$9,2,FALSE)</f>
        <v>Home</v>
      </c>
      <c r="L261" s="42" t="s">
        <v>256</v>
      </c>
      <c r="M261" s="43" t="s">
        <v>37</v>
      </c>
      <c r="N261" s="42" t="s">
        <v>254</v>
      </c>
      <c r="O261" s="43"/>
      <c r="P261" s="43">
        <v>2</v>
      </c>
      <c r="Q261" s="25" t="str">
        <f>VLOOKUP(P261,Key!$E$2:$F$9,2,FALSE)</f>
        <v>Work</v>
      </c>
      <c r="R261" s="25" t="str">
        <f t="shared" si="6"/>
        <v>Home-Work</v>
      </c>
      <c r="S261" s="62"/>
      <c r="T261" s="62">
        <v>48</v>
      </c>
      <c r="U261" s="43">
        <v>3</v>
      </c>
      <c r="V261" s="43">
        <v>10</v>
      </c>
      <c r="W261" s="62"/>
      <c r="X261" s="62"/>
      <c r="Y261" s="63"/>
      <c r="Z261" s="73"/>
      <c r="AA261" s="25">
        <f>VLOOKUP(F261,'[1]Zones 1'!$A$2:$F$25426,6,FALSE)</f>
        <v>521</v>
      </c>
      <c r="AB261" s="25">
        <f>VLOOKUP(L261,'[1]Zones 1'!$A$2:$F$25426,6,FALSE)</f>
        <v>1440</v>
      </c>
    </row>
    <row r="262" spans="2:28">
      <c r="B262" s="40" t="s">
        <v>443</v>
      </c>
      <c r="C262" s="40"/>
      <c r="D262" s="41"/>
      <c r="E262" s="42">
        <v>3</v>
      </c>
      <c r="F262" s="42" t="s">
        <v>441</v>
      </c>
      <c r="G262" s="43" t="s">
        <v>441</v>
      </c>
      <c r="H262" s="42" t="s">
        <v>254</v>
      </c>
      <c r="I262" s="43"/>
      <c r="J262" s="43">
        <v>1</v>
      </c>
      <c r="K262" s="25" t="str">
        <f>VLOOKUP(J262,Key!$E$2:$F$9,2,FALSE)</f>
        <v>Home</v>
      </c>
      <c r="L262" s="42" t="s">
        <v>256</v>
      </c>
      <c r="M262" s="43" t="s">
        <v>37</v>
      </c>
      <c r="N262" s="42" t="s">
        <v>254</v>
      </c>
      <c r="O262" s="43"/>
      <c r="P262" s="43">
        <v>4</v>
      </c>
      <c r="Q262" s="25" t="str">
        <f>VLOOKUP(P262,Key!$E$2:$F$9,2,FALSE)</f>
        <v>Commercial</v>
      </c>
      <c r="R262" s="25" t="str">
        <f t="shared" si="6"/>
        <v>Home-Commercial</v>
      </c>
      <c r="S262" s="62"/>
      <c r="T262" s="62">
        <v>2</v>
      </c>
      <c r="U262" s="43">
        <v>5</v>
      </c>
      <c r="V262" s="43"/>
      <c r="W262" s="62"/>
      <c r="X262" s="62"/>
      <c r="Y262" s="63"/>
      <c r="Z262" s="73"/>
      <c r="AA262" s="25">
        <f>VLOOKUP(F262,'[1]Zones 1'!$A$2:$F$25426,6,FALSE)</f>
        <v>1055</v>
      </c>
      <c r="AB262" s="25">
        <f>VLOOKUP(L262,'[1]Zones 1'!$A$2:$F$25426,6,FALSE)</f>
        <v>1440</v>
      </c>
    </row>
    <row r="263" spans="2:28">
      <c r="B263" s="40" t="s">
        <v>444</v>
      </c>
      <c r="C263" s="40"/>
      <c r="D263" s="41"/>
      <c r="E263" s="42">
        <v>4</v>
      </c>
      <c r="F263" s="42" t="s">
        <v>37</v>
      </c>
      <c r="G263" s="43" t="s">
        <v>37</v>
      </c>
      <c r="H263" s="42" t="s">
        <v>254</v>
      </c>
      <c r="I263" s="43"/>
      <c r="J263" s="43">
        <v>1</v>
      </c>
      <c r="K263" s="25" t="str">
        <f>VLOOKUP(J263,Key!$E$2:$F$9,2,FALSE)</f>
        <v>Home</v>
      </c>
      <c r="L263" s="42" t="s">
        <v>258</v>
      </c>
      <c r="M263" s="43" t="s">
        <v>37</v>
      </c>
      <c r="N263" s="42" t="s">
        <v>254</v>
      </c>
      <c r="O263" s="43"/>
      <c r="P263" s="43">
        <v>3</v>
      </c>
      <c r="Q263" s="25" t="str">
        <f>VLOOKUP(P263,Key!$E$2:$F$9,2,FALSE)</f>
        <v>Study</v>
      </c>
      <c r="R263" s="25" t="str">
        <f t="shared" si="6"/>
        <v>Home-Study</v>
      </c>
      <c r="S263" s="62"/>
      <c r="T263" s="62">
        <v>2</v>
      </c>
      <c r="U263" s="43">
        <v>5</v>
      </c>
      <c r="V263" s="43"/>
      <c r="W263" s="62"/>
      <c r="X263" s="62"/>
      <c r="Y263" s="63"/>
      <c r="Z263" s="73"/>
      <c r="AA263" s="25">
        <f>VLOOKUP(F263,'[1]Zones 1'!$A$2:$F$25426,6,FALSE)</f>
        <v>651</v>
      </c>
      <c r="AB263" s="25">
        <f>VLOOKUP(L263,'[1]Zones 1'!$A$2:$F$25426,6,FALSE)</f>
        <v>655</v>
      </c>
    </row>
    <row r="264" spans="2:28">
      <c r="B264" s="40" t="s">
        <v>371</v>
      </c>
      <c r="C264" s="40"/>
      <c r="D264" s="41"/>
      <c r="E264" s="42">
        <v>2</v>
      </c>
      <c r="F264" s="42" t="s">
        <v>37</v>
      </c>
      <c r="G264" s="43" t="s">
        <v>37</v>
      </c>
      <c r="H264" s="42" t="s">
        <v>254</v>
      </c>
      <c r="I264" s="43"/>
      <c r="J264" s="43">
        <v>3</v>
      </c>
      <c r="K264" s="25" t="str">
        <f>VLOOKUP(J264,Key!$E$2:$F$9,2,FALSE)</f>
        <v>Study</v>
      </c>
      <c r="L264" s="42" t="s">
        <v>37</v>
      </c>
      <c r="M264" s="43" t="s">
        <v>37</v>
      </c>
      <c r="N264" s="42" t="s">
        <v>254</v>
      </c>
      <c r="O264" s="43"/>
      <c r="P264" s="43">
        <v>1</v>
      </c>
      <c r="Q264" s="25" t="str">
        <f>VLOOKUP(P264,Key!$E$2:$F$9,2,FALSE)</f>
        <v>Home</v>
      </c>
      <c r="R264" s="25" t="str">
        <f t="shared" si="6"/>
        <v>Study-Home</v>
      </c>
      <c r="S264" s="62"/>
      <c r="T264" s="62">
        <v>1</v>
      </c>
      <c r="U264" s="43">
        <v>1</v>
      </c>
      <c r="V264" s="43"/>
      <c r="W264" s="62"/>
      <c r="X264" s="62"/>
      <c r="Y264" s="63"/>
      <c r="Z264" s="73"/>
      <c r="AA264" s="25">
        <f>VLOOKUP(F264,'[1]Zones 1'!$A$2:$F$25426,6,FALSE)</f>
        <v>651</v>
      </c>
      <c r="AB264" s="25">
        <f>VLOOKUP(L264,'[1]Zones 1'!$A$2:$F$25426,6,FALSE)</f>
        <v>651</v>
      </c>
    </row>
    <row r="265" spans="2:28">
      <c r="B265" s="40" t="s">
        <v>445</v>
      </c>
      <c r="C265" s="40"/>
      <c r="D265" s="41"/>
      <c r="E265" s="42">
        <v>1</v>
      </c>
      <c r="F265" s="42" t="s">
        <v>38</v>
      </c>
      <c r="G265" s="43" t="s">
        <v>37</v>
      </c>
      <c r="H265" s="42" t="s">
        <v>254</v>
      </c>
      <c r="I265" s="43"/>
      <c r="J265" s="43">
        <v>1</v>
      </c>
      <c r="K265" s="25" t="str">
        <f>VLOOKUP(J265,Key!$E$2:$F$9,2,FALSE)</f>
        <v>Home</v>
      </c>
      <c r="L265" s="42" t="s">
        <v>38</v>
      </c>
      <c r="M265" s="43" t="s">
        <v>37</v>
      </c>
      <c r="N265" s="42" t="s">
        <v>254</v>
      </c>
      <c r="O265" s="43"/>
      <c r="P265" s="43">
        <v>6</v>
      </c>
      <c r="Q265" s="25" t="str">
        <f>VLOOKUP(P265,Key!$E$2:$F$9,2,FALSE)</f>
        <v>Leisure/Social</v>
      </c>
      <c r="R265" s="25" t="str">
        <f t="shared" si="6"/>
        <v>Home-Leisure/Social</v>
      </c>
      <c r="S265" s="62"/>
      <c r="T265" s="62">
        <v>3</v>
      </c>
      <c r="U265" s="43">
        <v>5</v>
      </c>
      <c r="V265" s="43">
        <v>3</v>
      </c>
      <c r="W265" s="62"/>
      <c r="X265" s="62"/>
      <c r="Y265" s="63"/>
      <c r="Z265" s="73"/>
      <c r="AA265" s="25">
        <f>VLOOKUP(F265,'[1]Zones 1'!$A$2:$F$25426,6,FALSE)</f>
        <v>644</v>
      </c>
      <c r="AB265" s="25">
        <f>VLOOKUP(L265,'[1]Zones 1'!$A$2:$F$25426,6,FALSE)</f>
        <v>644</v>
      </c>
    </row>
    <row r="266" spans="2:28">
      <c r="B266" s="40" t="s">
        <v>446</v>
      </c>
      <c r="C266" s="40"/>
      <c r="D266" s="41">
        <v>3</v>
      </c>
      <c r="E266" s="42">
        <v>11</v>
      </c>
      <c r="F266" s="42" t="s">
        <v>37</v>
      </c>
      <c r="G266" s="43" t="s">
        <v>37</v>
      </c>
      <c r="H266" s="42" t="s">
        <v>254</v>
      </c>
      <c r="I266" s="43"/>
      <c r="J266" s="43">
        <v>6</v>
      </c>
      <c r="K266" s="25" t="str">
        <f>VLOOKUP(J266,Key!$E$2:$F$9,2,FALSE)</f>
        <v>Leisure/Social</v>
      </c>
      <c r="L266" s="42" t="s">
        <v>38</v>
      </c>
      <c r="M266" s="43" t="s">
        <v>37</v>
      </c>
      <c r="N266" s="42" t="s">
        <v>254</v>
      </c>
      <c r="O266" s="43"/>
      <c r="P266" s="43">
        <v>1</v>
      </c>
      <c r="Q266" s="25" t="str">
        <f>VLOOKUP(P266,Key!$E$2:$F$9,2,FALSE)</f>
        <v>Home</v>
      </c>
      <c r="R266" s="25" t="str">
        <f t="shared" si="6"/>
        <v>Leisure/Social-Home</v>
      </c>
      <c r="S266" s="62"/>
      <c r="T266" s="62">
        <v>0</v>
      </c>
      <c r="U266" s="43">
        <v>2</v>
      </c>
      <c r="V266" s="43"/>
      <c r="W266" s="62"/>
      <c r="X266" s="62"/>
      <c r="Y266" s="63"/>
      <c r="Z266" s="73"/>
      <c r="AA266" s="25">
        <f>VLOOKUP(F266,'[1]Zones 1'!$A$2:$F$25426,6,FALSE)</f>
        <v>651</v>
      </c>
      <c r="AB266" s="25">
        <f>VLOOKUP(L266,'[1]Zones 1'!$A$2:$F$25426,6,FALSE)</f>
        <v>644</v>
      </c>
    </row>
    <row r="267" spans="2:28">
      <c r="B267" s="40" t="s">
        <v>447</v>
      </c>
      <c r="C267" s="40"/>
      <c r="D267" s="41">
        <v>1</v>
      </c>
      <c r="E267" s="42">
        <v>11</v>
      </c>
      <c r="F267" s="42" t="s">
        <v>37</v>
      </c>
      <c r="G267" s="43" t="s">
        <v>37</v>
      </c>
      <c r="H267" s="42" t="s">
        <v>254</v>
      </c>
      <c r="I267" s="43"/>
      <c r="J267" s="43">
        <v>4</v>
      </c>
      <c r="K267" s="25" t="str">
        <f>VLOOKUP(J267,Key!$E$2:$F$9,2,FALSE)</f>
        <v>Commercial</v>
      </c>
      <c r="L267" s="42" t="s">
        <v>38</v>
      </c>
      <c r="M267" s="43" t="s">
        <v>37</v>
      </c>
      <c r="N267" s="42" t="s">
        <v>254</v>
      </c>
      <c r="O267" s="43"/>
      <c r="P267" s="43">
        <v>1</v>
      </c>
      <c r="Q267" s="25" t="str">
        <f>VLOOKUP(P267,Key!$E$2:$F$9,2,FALSE)</f>
        <v>Home</v>
      </c>
      <c r="R267" s="25" t="str">
        <f t="shared" si="6"/>
        <v>Commercial-Home</v>
      </c>
      <c r="S267" s="62"/>
      <c r="T267" s="62">
        <v>6.6666666666666666E-2</v>
      </c>
      <c r="U267" s="43">
        <v>2</v>
      </c>
      <c r="V267" s="43"/>
      <c r="W267" s="62"/>
      <c r="X267" s="62"/>
      <c r="Y267" s="63"/>
      <c r="Z267" s="73"/>
      <c r="AA267" s="25">
        <f>VLOOKUP(F267,'[1]Zones 1'!$A$2:$F$25426,6,FALSE)</f>
        <v>651</v>
      </c>
      <c r="AB267" s="25">
        <f>VLOOKUP(L267,'[1]Zones 1'!$A$2:$F$25426,6,FALSE)</f>
        <v>644</v>
      </c>
    </row>
    <row r="268" spans="2:28">
      <c r="B268" s="40" t="s">
        <v>448</v>
      </c>
      <c r="C268" s="40"/>
      <c r="D268" s="41">
        <v>1</v>
      </c>
      <c r="E268" s="42">
        <v>1</v>
      </c>
      <c r="F268" s="42" t="s">
        <v>37</v>
      </c>
      <c r="G268" s="43" t="s">
        <v>37</v>
      </c>
      <c r="H268" s="42" t="s">
        <v>254</v>
      </c>
      <c r="I268" s="43"/>
      <c r="J268" s="43">
        <v>7</v>
      </c>
      <c r="K268" s="25" t="str">
        <f>VLOOKUP(J268,Key!$E$2:$F$9,2,FALSE)</f>
        <v>Hospital</v>
      </c>
      <c r="L268" s="42" t="s">
        <v>38</v>
      </c>
      <c r="M268" s="43" t="s">
        <v>37</v>
      </c>
      <c r="N268" s="42" t="s">
        <v>254</v>
      </c>
      <c r="O268" s="43"/>
      <c r="P268" s="43">
        <v>1</v>
      </c>
      <c r="Q268" s="25" t="str">
        <f>VLOOKUP(P268,Key!$E$2:$F$9,2,FALSE)</f>
        <v>Home</v>
      </c>
      <c r="R268" s="25" t="str">
        <f t="shared" si="6"/>
        <v>Hospital-Home</v>
      </c>
      <c r="S268" s="62"/>
      <c r="T268" s="62">
        <v>0</v>
      </c>
      <c r="U268" s="43">
        <v>4</v>
      </c>
      <c r="V268" s="43"/>
      <c r="W268" s="62"/>
      <c r="X268" s="62"/>
      <c r="Y268" s="63"/>
      <c r="Z268" s="73"/>
      <c r="AA268" s="25">
        <f>VLOOKUP(F268,'[1]Zones 1'!$A$2:$F$25426,6,FALSE)</f>
        <v>651</v>
      </c>
      <c r="AB268" s="25">
        <f>VLOOKUP(L268,'[1]Zones 1'!$A$2:$F$25426,6,FALSE)</f>
        <v>644</v>
      </c>
    </row>
    <row r="269" spans="2:28">
      <c r="B269" s="40" t="s">
        <v>383</v>
      </c>
      <c r="C269" s="40"/>
      <c r="D269" s="41">
        <v>1</v>
      </c>
      <c r="E269" s="42">
        <v>1</v>
      </c>
      <c r="F269" s="42" t="s">
        <v>576</v>
      </c>
      <c r="G269" s="43" t="s">
        <v>37</v>
      </c>
      <c r="H269" s="42" t="s">
        <v>254</v>
      </c>
      <c r="I269" s="43"/>
      <c r="J269" s="43">
        <v>4</v>
      </c>
      <c r="K269" s="25" t="str">
        <f>VLOOKUP(J269,Key!$E$2:$F$9,2,FALSE)</f>
        <v>Commercial</v>
      </c>
      <c r="L269" s="42" t="s">
        <v>38</v>
      </c>
      <c r="M269" s="43" t="s">
        <v>37</v>
      </c>
      <c r="N269" s="42" t="s">
        <v>254</v>
      </c>
      <c r="O269" s="43"/>
      <c r="P269" s="43">
        <v>1</v>
      </c>
      <c r="Q269" s="25" t="str">
        <f>VLOOKUP(P269,Key!$E$2:$F$9,2,FALSE)</f>
        <v>Home</v>
      </c>
      <c r="R269" s="25" t="str">
        <f t="shared" si="6"/>
        <v>Commercial-Home</v>
      </c>
      <c r="S269" s="62"/>
      <c r="T269" s="62">
        <v>0</v>
      </c>
      <c r="U269" s="43">
        <v>3</v>
      </c>
      <c r="V269" s="43"/>
      <c r="W269" s="62"/>
      <c r="X269" s="62"/>
      <c r="Y269" s="63"/>
      <c r="Z269" s="73"/>
      <c r="AA269" s="25">
        <f>VLOOKUP(F269,'[1]Zones 1'!$A$2:$F$25426,6,FALSE)</f>
        <v>655</v>
      </c>
      <c r="AB269" s="25">
        <f>VLOOKUP(L269,'[1]Zones 1'!$A$2:$F$25426,6,FALSE)</f>
        <v>644</v>
      </c>
    </row>
    <row r="270" spans="2:28">
      <c r="B270" s="40" t="s">
        <v>449</v>
      </c>
      <c r="C270" s="40"/>
      <c r="D270" s="41">
        <v>1</v>
      </c>
      <c r="E270" s="42">
        <v>1</v>
      </c>
      <c r="F270" s="42" t="s">
        <v>243</v>
      </c>
      <c r="G270" s="43" t="s">
        <v>243</v>
      </c>
      <c r="H270" s="42" t="s">
        <v>254</v>
      </c>
      <c r="I270" s="43"/>
      <c r="J270" s="43">
        <v>4</v>
      </c>
      <c r="K270" s="25" t="str">
        <f>VLOOKUP(J270,Key!$E$2:$F$9,2,FALSE)</f>
        <v>Commercial</v>
      </c>
      <c r="L270" s="42" t="s">
        <v>67</v>
      </c>
      <c r="M270" s="43" t="s">
        <v>67</v>
      </c>
      <c r="N270" s="42" t="s">
        <v>254</v>
      </c>
      <c r="O270" s="43"/>
      <c r="P270" s="43">
        <v>1</v>
      </c>
      <c r="Q270" s="25" t="str">
        <f>VLOOKUP(P270,Key!$E$2:$F$9,2,FALSE)</f>
        <v>Home</v>
      </c>
      <c r="R270" s="25" t="str">
        <f t="shared" si="6"/>
        <v>Commercial-Home</v>
      </c>
      <c r="S270" s="62"/>
      <c r="T270" s="62">
        <v>4</v>
      </c>
      <c r="U270" s="43">
        <v>2</v>
      </c>
      <c r="V270" s="43">
        <v>6</v>
      </c>
      <c r="W270" s="62"/>
      <c r="X270" s="62"/>
      <c r="Y270" s="63"/>
      <c r="Z270" s="73"/>
      <c r="AA270" s="25">
        <f>VLOOKUP(F270,'[1]Zones 1'!$A$2:$F$25426,6,FALSE)</f>
        <v>1283</v>
      </c>
      <c r="AB270" s="25">
        <f>VLOOKUP(L270,'[1]Zones 1'!$A$2:$F$25426,6,FALSE)</f>
        <v>521</v>
      </c>
    </row>
    <row r="271" spans="2:28">
      <c r="B271" s="40" t="s">
        <v>450</v>
      </c>
      <c r="C271" s="40"/>
      <c r="D271" s="41">
        <v>3</v>
      </c>
      <c r="E271" s="42">
        <v>1</v>
      </c>
      <c r="F271" s="42" t="s">
        <v>37</v>
      </c>
      <c r="G271" s="43" t="s">
        <v>37</v>
      </c>
      <c r="H271" s="42" t="s">
        <v>254</v>
      </c>
      <c r="I271" s="43"/>
      <c r="J271" s="43">
        <v>3</v>
      </c>
      <c r="K271" s="25" t="str">
        <f>VLOOKUP(J271,Key!$E$2:$F$9,2,FALSE)</f>
        <v>Study</v>
      </c>
      <c r="L271" s="42" t="s">
        <v>69</v>
      </c>
      <c r="M271" s="43" t="s">
        <v>69</v>
      </c>
      <c r="N271" s="42" t="s">
        <v>254</v>
      </c>
      <c r="O271" s="43"/>
      <c r="P271" s="43">
        <v>1</v>
      </c>
      <c r="Q271" s="25" t="str">
        <f>VLOOKUP(P271,Key!$E$2:$F$9,2,FALSE)</f>
        <v>Home</v>
      </c>
      <c r="R271" s="25" t="str">
        <f t="shared" si="6"/>
        <v>Study-Home</v>
      </c>
      <c r="S271" s="62"/>
      <c r="T271" s="62">
        <v>0</v>
      </c>
      <c r="U271" s="43">
        <v>3</v>
      </c>
      <c r="V271" s="43"/>
      <c r="W271" s="62"/>
      <c r="X271" s="62"/>
      <c r="Y271" s="63"/>
      <c r="Z271" s="73"/>
      <c r="AA271" s="25">
        <f>VLOOKUP(F271,'[1]Zones 1'!$A$2:$F$25426,6,FALSE)</f>
        <v>651</v>
      </c>
      <c r="AB271" s="25">
        <f>VLOOKUP(L271,'[1]Zones 1'!$A$2:$F$25426,6,FALSE)</f>
        <v>987</v>
      </c>
    </row>
    <row r="272" spans="2:28">
      <c r="B272" s="40" t="s">
        <v>451</v>
      </c>
      <c r="C272" s="40"/>
      <c r="D272" s="41">
        <v>3</v>
      </c>
      <c r="E272" s="42">
        <v>1</v>
      </c>
      <c r="F272" s="42" t="s">
        <v>37</v>
      </c>
      <c r="G272" s="43" t="s">
        <v>37</v>
      </c>
      <c r="H272" s="42" t="s">
        <v>254</v>
      </c>
      <c r="I272" s="43"/>
      <c r="J272" s="43">
        <v>3</v>
      </c>
      <c r="K272" s="25" t="str">
        <f>VLOOKUP(J272,Key!$E$2:$F$9,2,FALSE)</f>
        <v>Study</v>
      </c>
      <c r="L272" s="42" t="s">
        <v>258</v>
      </c>
      <c r="M272" s="43" t="s">
        <v>37</v>
      </c>
      <c r="N272" s="42" t="s">
        <v>254</v>
      </c>
      <c r="O272" s="43"/>
      <c r="P272" s="43">
        <v>1</v>
      </c>
      <c r="Q272" s="25" t="str">
        <f>VLOOKUP(P272,Key!$E$2:$F$9,2,FALSE)</f>
        <v>Home</v>
      </c>
      <c r="R272" s="25" t="str">
        <f t="shared" si="6"/>
        <v>Study-Home</v>
      </c>
      <c r="S272" s="62"/>
      <c r="T272" s="62">
        <v>0</v>
      </c>
      <c r="U272" s="43">
        <v>4</v>
      </c>
      <c r="V272" s="43"/>
      <c r="W272" s="62"/>
      <c r="X272" s="62"/>
      <c r="Y272" s="63"/>
      <c r="Z272" s="73"/>
      <c r="AA272" s="25">
        <f>VLOOKUP(F272,'[1]Zones 1'!$A$2:$F$25426,6,FALSE)</f>
        <v>651</v>
      </c>
      <c r="AB272" s="25">
        <f>VLOOKUP(L272,'[1]Zones 1'!$A$2:$F$25426,6,FALSE)</f>
        <v>655</v>
      </c>
    </row>
    <row r="273" spans="2:28">
      <c r="B273" s="40" t="s">
        <v>452</v>
      </c>
      <c r="C273" s="40"/>
      <c r="D273" s="41">
        <v>3</v>
      </c>
      <c r="E273" s="42">
        <v>1</v>
      </c>
      <c r="F273" s="42" t="s">
        <v>37</v>
      </c>
      <c r="G273" s="43" t="s">
        <v>37</v>
      </c>
      <c r="H273" s="42" t="s">
        <v>254</v>
      </c>
      <c r="I273" s="43"/>
      <c r="J273" s="43">
        <v>5</v>
      </c>
      <c r="K273" s="25" t="str">
        <f>VLOOKUP(J273,Key!$E$2:$F$9,2,FALSE)</f>
        <v>Tourism</v>
      </c>
      <c r="L273" s="42" t="s">
        <v>37</v>
      </c>
      <c r="M273" s="43" t="s">
        <v>37</v>
      </c>
      <c r="N273" s="42" t="s">
        <v>254</v>
      </c>
      <c r="O273" s="43"/>
      <c r="P273" s="43">
        <v>1</v>
      </c>
      <c r="Q273" s="25" t="str">
        <f>VLOOKUP(P273,Key!$E$2:$F$9,2,FALSE)</f>
        <v>Home</v>
      </c>
      <c r="R273" s="25" t="str">
        <f t="shared" si="6"/>
        <v>Tourism-Home</v>
      </c>
      <c r="S273" s="62"/>
      <c r="T273" s="62">
        <v>0</v>
      </c>
      <c r="U273" s="43">
        <v>2</v>
      </c>
      <c r="V273" s="43"/>
      <c r="W273" s="62"/>
      <c r="X273" s="62"/>
      <c r="Y273" s="63"/>
      <c r="Z273" s="73"/>
      <c r="AA273" s="25">
        <f>VLOOKUP(F273,'[1]Zones 1'!$A$2:$F$25426,6,FALSE)</f>
        <v>651</v>
      </c>
      <c r="AB273" s="25">
        <f>VLOOKUP(L273,'[1]Zones 1'!$A$2:$F$25426,6,FALSE)</f>
        <v>651</v>
      </c>
    </row>
    <row r="274" spans="2:28">
      <c r="B274" s="40" t="s">
        <v>265</v>
      </c>
      <c r="C274" s="40"/>
      <c r="D274" s="41">
        <v>1</v>
      </c>
      <c r="E274" s="42">
        <v>1</v>
      </c>
      <c r="F274" s="42" t="s">
        <v>37</v>
      </c>
      <c r="G274" s="43" t="s">
        <v>37</v>
      </c>
      <c r="H274" s="42" t="s">
        <v>254</v>
      </c>
      <c r="I274" s="43"/>
      <c r="J274" s="43">
        <v>3</v>
      </c>
      <c r="K274" s="25" t="str">
        <f>VLOOKUP(J274,Key!$E$2:$F$9,2,FALSE)</f>
        <v>Study</v>
      </c>
      <c r="L274" s="42" t="s">
        <v>37</v>
      </c>
      <c r="M274" s="43" t="s">
        <v>37</v>
      </c>
      <c r="N274" s="42" t="s">
        <v>254</v>
      </c>
      <c r="O274" s="43"/>
      <c r="P274" s="43">
        <v>1</v>
      </c>
      <c r="Q274" s="25" t="str">
        <f>VLOOKUP(P274,Key!$E$2:$F$9,2,FALSE)</f>
        <v>Home</v>
      </c>
      <c r="R274" s="25" t="str">
        <f t="shared" si="6"/>
        <v>Study-Home</v>
      </c>
      <c r="S274" s="62"/>
      <c r="T274" s="62">
        <v>3</v>
      </c>
      <c r="U274" s="43">
        <v>3</v>
      </c>
      <c r="V274" s="43"/>
      <c r="W274" s="62"/>
      <c r="X274" s="62"/>
      <c r="Y274" s="63"/>
      <c r="Z274" s="73"/>
      <c r="AA274" s="25">
        <f>VLOOKUP(F274,'[1]Zones 1'!$A$2:$F$25426,6,FALSE)</f>
        <v>651</v>
      </c>
      <c r="AB274" s="25">
        <f>VLOOKUP(L274,'[1]Zones 1'!$A$2:$F$25426,6,FALSE)</f>
        <v>651</v>
      </c>
    </row>
    <row r="275" spans="2:28">
      <c r="B275" s="40" t="s">
        <v>453</v>
      </c>
      <c r="C275" s="40"/>
      <c r="D275" s="41">
        <v>3</v>
      </c>
      <c r="E275" s="42">
        <v>1</v>
      </c>
      <c r="F275" s="42" t="s">
        <v>241</v>
      </c>
      <c r="G275" s="43" t="s">
        <v>241</v>
      </c>
      <c r="H275" s="42" t="s">
        <v>254</v>
      </c>
      <c r="I275" s="43"/>
      <c r="J275" s="43">
        <v>2</v>
      </c>
      <c r="K275" s="25" t="str">
        <f>VLOOKUP(J275,Key!$E$2:$F$9,2,FALSE)</f>
        <v>Work</v>
      </c>
      <c r="L275" s="42" t="s">
        <v>69</v>
      </c>
      <c r="M275" s="43" t="s">
        <v>69</v>
      </c>
      <c r="N275" s="42" t="s">
        <v>254</v>
      </c>
      <c r="O275" s="43"/>
      <c r="P275" s="43">
        <v>1</v>
      </c>
      <c r="Q275" s="25" t="str">
        <f>VLOOKUP(P275,Key!$E$2:$F$9,2,FALSE)</f>
        <v>Home</v>
      </c>
      <c r="R275" s="25" t="str">
        <f t="shared" si="6"/>
        <v>Work-Home</v>
      </c>
      <c r="S275" s="62"/>
      <c r="T275" s="62">
        <v>0</v>
      </c>
      <c r="U275" s="43">
        <v>2</v>
      </c>
      <c r="V275" s="43"/>
      <c r="W275" s="62"/>
      <c r="X275" s="62"/>
      <c r="Y275" s="63"/>
      <c r="Z275" s="73"/>
      <c r="AA275" s="25">
        <f>VLOOKUP(F275,'[1]Zones 1'!$A$2:$F$25426,6,FALSE)</f>
        <v>521</v>
      </c>
      <c r="AB275" s="25">
        <f>VLOOKUP(L275,'[1]Zones 1'!$A$2:$F$25426,6,FALSE)</f>
        <v>987</v>
      </c>
    </row>
    <row r="276" spans="2:28">
      <c r="B276" s="40" t="s">
        <v>454</v>
      </c>
      <c r="C276" s="40"/>
      <c r="D276" s="41">
        <v>3</v>
      </c>
      <c r="E276" s="42">
        <v>1</v>
      </c>
      <c r="F276" s="42" t="s">
        <v>37</v>
      </c>
      <c r="G276" s="43" t="s">
        <v>37</v>
      </c>
      <c r="H276" s="42" t="s">
        <v>254</v>
      </c>
      <c r="I276" s="43"/>
      <c r="J276" s="43">
        <v>3</v>
      </c>
      <c r="K276" s="25" t="str">
        <f>VLOOKUP(J276,Key!$E$2:$F$9,2,FALSE)</f>
        <v>Study</v>
      </c>
      <c r="L276" s="42" t="s">
        <v>37</v>
      </c>
      <c r="M276" s="43" t="s">
        <v>37</v>
      </c>
      <c r="N276" s="42" t="s">
        <v>254</v>
      </c>
      <c r="O276" s="43"/>
      <c r="P276" s="43">
        <v>1</v>
      </c>
      <c r="Q276" s="25" t="str">
        <f>VLOOKUP(P276,Key!$E$2:$F$9,2,FALSE)</f>
        <v>Home</v>
      </c>
      <c r="R276" s="25" t="str">
        <f t="shared" si="6"/>
        <v>Study-Home</v>
      </c>
      <c r="S276" s="62"/>
      <c r="T276" s="62">
        <v>0</v>
      </c>
      <c r="U276" s="43">
        <v>2</v>
      </c>
      <c r="V276" s="43"/>
      <c r="W276" s="62"/>
      <c r="X276" s="62"/>
      <c r="Y276" s="63"/>
      <c r="Z276" s="73"/>
      <c r="AA276" s="25">
        <f>VLOOKUP(F276,'[1]Zones 1'!$A$2:$F$25426,6,FALSE)</f>
        <v>651</v>
      </c>
      <c r="AB276" s="25">
        <f>VLOOKUP(L276,'[1]Zones 1'!$A$2:$F$25426,6,FALSE)</f>
        <v>651</v>
      </c>
    </row>
    <row r="277" spans="2:28">
      <c r="B277" s="40" t="s">
        <v>455</v>
      </c>
      <c r="C277" s="40"/>
      <c r="D277" s="41">
        <v>1</v>
      </c>
      <c r="E277" s="42">
        <v>1</v>
      </c>
      <c r="F277" s="42" t="s">
        <v>576</v>
      </c>
      <c r="G277" s="43" t="s">
        <v>37</v>
      </c>
      <c r="H277" s="42" t="s">
        <v>254</v>
      </c>
      <c r="I277" s="43"/>
      <c r="J277" s="43">
        <v>3</v>
      </c>
      <c r="K277" s="25" t="str">
        <f>VLOOKUP(J277,Key!$E$2:$F$9,2,FALSE)</f>
        <v>Study</v>
      </c>
      <c r="L277" s="42" t="s">
        <v>69</v>
      </c>
      <c r="M277" s="43" t="s">
        <v>69</v>
      </c>
      <c r="N277" s="42" t="s">
        <v>254</v>
      </c>
      <c r="O277" s="43"/>
      <c r="P277" s="43">
        <v>1</v>
      </c>
      <c r="Q277" s="25" t="str">
        <f>VLOOKUP(P277,Key!$E$2:$F$9,2,FALSE)</f>
        <v>Home</v>
      </c>
      <c r="R277" s="25" t="str">
        <f t="shared" si="6"/>
        <v>Study-Home</v>
      </c>
      <c r="S277" s="62"/>
      <c r="T277" s="62">
        <v>0</v>
      </c>
      <c r="U277" s="43">
        <v>2</v>
      </c>
      <c r="V277" s="43"/>
      <c r="W277" s="62"/>
      <c r="X277" s="62"/>
      <c r="Y277" s="63"/>
      <c r="Z277" s="73"/>
      <c r="AA277" s="25">
        <f>VLOOKUP(F277,'[1]Zones 1'!$A$2:$F$25426,6,FALSE)</f>
        <v>655</v>
      </c>
      <c r="AB277" s="25">
        <f>VLOOKUP(L277,'[1]Zones 1'!$A$2:$F$25426,6,FALSE)</f>
        <v>987</v>
      </c>
    </row>
    <row r="278" spans="2:28">
      <c r="B278" s="40" t="s">
        <v>391</v>
      </c>
      <c r="C278" s="40"/>
      <c r="D278" s="41">
        <v>1</v>
      </c>
      <c r="E278" s="42">
        <v>11</v>
      </c>
      <c r="F278" s="42" t="s">
        <v>37</v>
      </c>
      <c r="G278" s="43" t="s">
        <v>37</v>
      </c>
      <c r="H278" s="42" t="s">
        <v>254</v>
      </c>
      <c r="I278" s="43"/>
      <c r="J278" s="43">
        <v>2</v>
      </c>
      <c r="K278" s="25" t="str">
        <f>VLOOKUP(J278,Key!$E$2:$F$9,2,FALSE)</f>
        <v>Work</v>
      </c>
      <c r="L278" s="42" t="s">
        <v>37</v>
      </c>
      <c r="M278" s="43" t="s">
        <v>37</v>
      </c>
      <c r="N278" s="42" t="s">
        <v>254</v>
      </c>
      <c r="O278" s="43"/>
      <c r="P278" s="43">
        <v>1</v>
      </c>
      <c r="Q278" s="25" t="str">
        <f>VLOOKUP(P278,Key!$E$2:$F$9,2,FALSE)</f>
        <v>Home</v>
      </c>
      <c r="R278" s="25" t="str">
        <f t="shared" si="6"/>
        <v>Work-Home</v>
      </c>
      <c r="S278" s="62"/>
      <c r="T278" s="62">
        <v>0</v>
      </c>
      <c r="U278" s="43">
        <v>2</v>
      </c>
      <c r="V278" s="43"/>
      <c r="W278" s="62"/>
      <c r="X278" s="62"/>
      <c r="Y278" s="63"/>
      <c r="Z278" s="73"/>
      <c r="AA278" s="25">
        <f>VLOOKUP(F278,'[1]Zones 1'!$A$2:$F$25426,6,FALSE)</f>
        <v>651</v>
      </c>
      <c r="AB278" s="25">
        <f>VLOOKUP(L278,'[1]Zones 1'!$A$2:$F$25426,6,FALSE)</f>
        <v>651</v>
      </c>
    </row>
    <row r="279" spans="2:28">
      <c r="B279" s="40" t="s">
        <v>456</v>
      </c>
      <c r="C279" s="40"/>
      <c r="D279" s="41">
        <v>1</v>
      </c>
      <c r="E279" s="42">
        <v>11</v>
      </c>
      <c r="F279" s="42" t="s">
        <v>37</v>
      </c>
      <c r="G279" s="43" t="s">
        <v>37</v>
      </c>
      <c r="H279" s="42" t="s">
        <v>254</v>
      </c>
      <c r="I279" s="43"/>
      <c r="J279" s="43">
        <v>2</v>
      </c>
      <c r="K279" s="25" t="str">
        <f>VLOOKUP(J279,Key!$E$2:$F$9,2,FALSE)</f>
        <v>Work</v>
      </c>
      <c r="L279" s="42" t="s">
        <v>69</v>
      </c>
      <c r="M279" s="43" t="s">
        <v>69</v>
      </c>
      <c r="N279" s="42" t="s">
        <v>254</v>
      </c>
      <c r="O279" s="43"/>
      <c r="P279" s="43">
        <v>1</v>
      </c>
      <c r="Q279" s="25" t="str">
        <f>VLOOKUP(P279,Key!$E$2:$F$9,2,FALSE)</f>
        <v>Home</v>
      </c>
      <c r="R279" s="25" t="str">
        <f t="shared" si="6"/>
        <v>Work-Home</v>
      </c>
      <c r="S279" s="62"/>
      <c r="T279" s="62">
        <v>0</v>
      </c>
      <c r="U279" s="43">
        <v>2</v>
      </c>
      <c r="V279" s="43"/>
      <c r="W279" s="62"/>
      <c r="X279" s="62"/>
      <c r="Y279" s="63"/>
      <c r="Z279" s="73"/>
      <c r="AA279" s="25">
        <f>VLOOKUP(F279,'[1]Zones 1'!$A$2:$F$25426,6,FALSE)</f>
        <v>651</v>
      </c>
      <c r="AB279" s="25">
        <f>VLOOKUP(L279,'[1]Zones 1'!$A$2:$F$25426,6,FALSE)</f>
        <v>987</v>
      </c>
    </row>
    <row r="280" spans="2:28">
      <c r="B280" s="40" t="s">
        <v>457</v>
      </c>
      <c r="C280" s="40"/>
      <c r="D280" s="41">
        <v>3</v>
      </c>
      <c r="E280" s="42">
        <v>1</v>
      </c>
      <c r="F280" s="42" t="s">
        <v>37</v>
      </c>
      <c r="G280" s="43" t="s">
        <v>37</v>
      </c>
      <c r="H280" s="42" t="s">
        <v>254</v>
      </c>
      <c r="I280" s="43"/>
      <c r="J280" s="43">
        <v>2</v>
      </c>
      <c r="K280" s="25" t="str">
        <f>VLOOKUP(J280,Key!$E$2:$F$9,2,FALSE)</f>
        <v>Work</v>
      </c>
      <c r="L280" s="42" t="s">
        <v>37</v>
      </c>
      <c r="M280" s="43" t="s">
        <v>37</v>
      </c>
      <c r="N280" s="42" t="s">
        <v>254</v>
      </c>
      <c r="O280" s="43"/>
      <c r="P280" s="43">
        <v>1</v>
      </c>
      <c r="Q280" s="25" t="str">
        <f>VLOOKUP(P280,Key!$E$2:$F$9,2,FALSE)</f>
        <v>Home</v>
      </c>
      <c r="R280" s="25" t="str">
        <f t="shared" si="6"/>
        <v>Work-Home</v>
      </c>
      <c r="S280" s="62"/>
      <c r="T280" s="62">
        <v>0.83333333333333337</v>
      </c>
      <c r="U280" s="43">
        <v>2</v>
      </c>
      <c r="V280" s="43"/>
      <c r="W280" s="62"/>
      <c r="X280" s="62"/>
      <c r="Y280" s="63"/>
      <c r="Z280" s="73"/>
      <c r="AA280" s="25">
        <f>VLOOKUP(F280,'[1]Zones 1'!$A$2:$F$25426,6,FALSE)</f>
        <v>651</v>
      </c>
      <c r="AB280" s="25">
        <f>VLOOKUP(L280,'[1]Zones 1'!$A$2:$F$25426,6,FALSE)</f>
        <v>651</v>
      </c>
    </row>
    <row r="281" spans="2:28">
      <c r="B281" s="40" t="s">
        <v>272</v>
      </c>
      <c r="C281" s="40"/>
      <c r="D281" s="41">
        <v>1</v>
      </c>
      <c r="E281" s="42">
        <v>1</v>
      </c>
      <c r="F281" s="42" t="s">
        <v>37</v>
      </c>
      <c r="G281" s="43" t="s">
        <v>37</v>
      </c>
      <c r="H281" s="42" t="s">
        <v>254</v>
      </c>
      <c r="I281" s="43"/>
      <c r="J281" s="43">
        <v>6</v>
      </c>
      <c r="K281" s="25" t="str">
        <f>VLOOKUP(J281,Key!$E$2:$F$9,2,FALSE)</f>
        <v>Leisure/Social</v>
      </c>
      <c r="L281" s="42" t="s">
        <v>37</v>
      </c>
      <c r="M281" s="43" t="s">
        <v>37</v>
      </c>
      <c r="N281" s="42" t="s">
        <v>254</v>
      </c>
      <c r="O281" s="43"/>
      <c r="P281" s="43">
        <v>1</v>
      </c>
      <c r="Q281" s="25" t="str">
        <f>VLOOKUP(P281,Key!$E$2:$F$9,2,FALSE)</f>
        <v>Home</v>
      </c>
      <c r="R281" s="25" t="str">
        <f t="shared" si="6"/>
        <v>Leisure/Social-Home</v>
      </c>
      <c r="S281" s="62"/>
      <c r="T281" s="62">
        <v>1</v>
      </c>
      <c r="U281" s="43">
        <v>3</v>
      </c>
      <c r="V281" s="43"/>
      <c r="W281" s="62"/>
      <c r="X281" s="62"/>
      <c r="Y281" s="63"/>
      <c r="Z281" s="73"/>
      <c r="AA281" s="25">
        <f>VLOOKUP(F281,'[1]Zones 1'!$A$2:$F$25426,6,FALSE)</f>
        <v>651</v>
      </c>
      <c r="AB281" s="25">
        <f>VLOOKUP(L281,'[1]Zones 1'!$A$2:$F$25426,6,FALSE)</f>
        <v>651</v>
      </c>
    </row>
    <row r="282" spans="2:28">
      <c r="B282" s="40" t="s">
        <v>458</v>
      </c>
      <c r="C282" s="40"/>
      <c r="D282" s="41">
        <v>1</v>
      </c>
      <c r="E282" s="42">
        <v>1</v>
      </c>
      <c r="F282" s="42" t="s">
        <v>37</v>
      </c>
      <c r="G282" s="43" t="s">
        <v>37</v>
      </c>
      <c r="H282" s="42" t="s">
        <v>254</v>
      </c>
      <c r="I282" s="43"/>
      <c r="J282" s="43">
        <v>7</v>
      </c>
      <c r="K282" s="25" t="str">
        <f>VLOOKUP(J282,Key!$E$2:$F$9,2,FALSE)</f>
        <v>Hospital</v>
      </c>
      <c r="L282" s="42" t="s">
        <v>258</v>
      </c>
      <c r="M282" s="43" t="s">
        <v>37</v>
      </c>
      <c r="N282" s="42" t="s">
        <v>254</v>
      </c>
      <c r="O282" s="43"/>
      <c r="P282" s="43">
        <v>1</v>
      </c>
      <c r="Q282" s="25" t="str">
        <f>VLOOKUP(P282,Key!$E$2:$F$9,2,FALSE)</f>
        <v>Home</v>
      </c>
      <c r="R282" s="25" t="str">
        <f t="shared" si="6"/>
        <v>Hospital-Home</v>
      </c>
      <c r="S282" s="62"/>
      <c r="T282" s="62">
        <v>1</v>
      </c>
      <c r="U282" s="43">
        <v>4</v>
      </c>
      <c r="V282" s="43">
        <v>6</v>
      </c>
      <c r="W282" s="62"/>
      <c r="X282" s="62"/>
      <c r="Y282" s="63"/>
      <c r="Z282" s="73"/>
      <c r="AA282" s="25">
        <f>VLOOKUP(F282,'[1]Zones 1'!$A$2:$F$25426,6,FALSE)</f>
        <v>651</v>
      </c>
      <c r="AB282" s="25">
        <f>VLOOKUP(L282,'[1]Zones 1'!$A$2:$F$25426,6,FALSE)</f>
        <v>655</v>
      </c>
    </row>
    <row r="283" spans="2:28">
      <c r="B283" s="40" t="s">
        <v>274</v>
      </c>
      <c r="C283" s="40"/>
      <c r="D283" s="41">
        <v>3</v>
      </c>
      <c r="E283" s="42">
        <v>1</v>
      </c>
      <c r="F283" s="42" t="s">
        <v>37</v>
      </c>
      <c r="G283" s="43" t="s">
        <v>37</v>
      </c>
      <c r="H283" s="42" t="s">
        <v>254</v>
      </c>
      <c r="I283" s="43"/>
      <c r="J283" s="43">
        <v>4</v>
      </c>
      <c r="K283" s="25" t="str">
        <f>VLOOKUP(J283,Key!$E$2:$F$9,2,FALSE)</f>
        <v>Commercial</v>
      </c>
      <c r="L283" s="42" t="s">
        <v>38</v>
      </c>
      <c r="M283" s="43" t="s">
        <v>37</v>
      </c>
      <c r="N283" s="42" t="s">
        <v>254</v>
      </c>
      <c r="O283" s="43"/>
      <c r="P283" s="43">
        <v>1</v>
      </c>
      <c r="Q283" s="25" t="str">
        <f>VLOOKUP(P283,Key!$E$2:$F$9,2,FALSE)</f>
        <v>Home</v>
      </c>
      <c r="R283" s="25" t="str">
        <f t="shared" si="6"/>
        <v>Commercial-Home</v>
      </c>
      <c r="S283" s="62"/>
      <c r="T283" s="62">
        <v>0.75</v>
      </c>
      <c r="U283" s="43">
        <v>3</v>
      </c>
      <c r="V283" s="43"/>
      <c r="W283" s="62"/>
      <c r="X283" s="62"/>
      <c r="Y283" s="63"/>
      <c r="Z283" s="73"/>
      <c r="AA283" s="25">
        <f>VLOOKUP(F283,'[1]Zones 1'!$A$2:$F$25426,6,FALSE)</f>
        <v>651</v>
      </c>
      <c r="AB283" s="25">
        <f>VLOOKUP(L283,'[1]Zones 1'!$A$2:$F$25426,6,FALSE)</f>
        <v>644</v>
      </c>
    </row>
    <row r="284" spans="2:28">
      <c r="B284" s="40" t="s">
        <v>459</v>
      </c>
      <c r="C284" s="40"/>
      <c r="D284" s="41">
        <v>1</v>
      </c>
      <c r="E284" s="42">
        <v>1</v>
      </c>
      <c r="F284" s="42" t="s">
        <v>37</v>
      </c>
      <c r="G284" s="43" t="s">
        <v>37</v>
      </c>
      <c r="H284" s="42" t="s">
        <v>254</v>
      </c>
      <c r="I284" s="43"/>
      <c r="J284" s="43">
        <v>4</v>
      </c>
      <c r="K284" s="25" t="str">
        <f>VLOOKUP(J284,Key!$E$2:$F$9,2,FALSE)</f>
        <v>Commercial</v>
      </c>
      <c r="L284" s="42" t="s">
        <v>38</v>
      </c>
      <c r="M284" s="43" t="s">
        <v>37</v>
      </c>
      <c r="N284" s="42" t="s">
        <v>254</v>
      </c>
      <c r="O284" s="43"/>
      <c r="P284" s="43">
        <v>1</v>
      </c>
      <c r="Q284" s="25" t="str">
        <f>VLOOKUP(P284,Key!$E$2:$F$9,2,FALSE)</f>
        <v>Home</v>
      </c>
      <c r="R284" s="25" t="str">
        <f t="shared" si="6"/>
        <v>Commercial-Home</v>
      </c>
      <c r="S284" s="62"/>
      <c r="T284" s="62">
        <v>0.83333333333333337</v>
      </c>
      <c r="U284" s="43">
        <v>3</v>
      </c>
      <c r="V284" s="43"/>
      <c r="W284" s="62"/>
      <c r="X284" s="62"/>
      <c r="Y284" s="63"/>
      <c r="Z284" s="73"/>
      <c r="AA284" s="25">
        <f>VLOOKUP(F284,'[1]Zones 1'!$A$2:$F$25426,6,FALSE)</f>
        <v>651</v>
      </c>
      <c r="AB284" s="25">
        <f>VLOOKUP(L284,'[1]Zones 1'!$A$2:$F$25426,6,FALSE)</f>
        <v>644</v>
      </c>
    </row>
    <row r="285" spans="2:28">
      <c r="B285" s="40" t="s">
        <v>275</v>
      </c>
      <c r="C285" s="40"/>
      <c r="D285" s="41">
        <v>1</v>
      </c>
      <c r="E285" s="42">
        <v>1</v>
      </c>
      <c r="F285" s="42" t="s">
        <v>576</v>
      </c>
      <c r="G285" s="43" t="s">
        <v>37</v>
      </c>
      <c r="H285" s="42" t="s">
        <v>254</v>
      </c>
      <c r="I285" s="43"/>
      <c r="J285" s="43">
        <v>3</v>
      </c>
      <c r="K285" s="25" t="str">
        <f>VLOOKUP(J285,Key!$E$2:$F$9,2,FALSE)</f>
        <v>Study</v>
      </c>
      <c r="L285" s="42" t="s">
        <v>38</v>
      </c>
      <c r="M285" s="43" t="s">
        <v>37</v>
      </c>
      <c r="N285" s="42" t="s">
        <v>254</v>
      </c>
      <c r="O285" s="43"/>
      <c r="P285" s="43">
        <v>1</v>
      </c>
      <c r="Q285" s="25" t="str">
        <f>VLOOKUP(P285,Key!$E$2:$F$9,2,FALSE)</f>
        <v>Home</v>
      </c>
      <c r="R285" s="25" t="str">
        <f t="shared" si="6"/>
        <v>Study-Home</v>
      </c>
      <c r="S285" s="62"/>
      <c r="T285" s="62">
        <v>1</v>
      </c>
      <c r="U285" s="43">
        <v>3</v>
      </c>
      <c r="V285" s="43"/>
      <c r="W285" s="62"/>
      <c r="X285" s="62"/>
      <c r="Y285" s="63"/>
      <c r="Z285" s="73"/>
      <c r="AA285" s="25">
        <f>VLOOKUP(F285,'[1]Zones 1'!$A$2:$F$25426,6,FALSE)</f>
        <v>655</v>
      </c>
      <c r="AB285" s="25">
        <f>VLOOKUP(L285,'[1]Zones 1'!$A$2:$F$25426,6,FALSE)</f>
        <v>644</v>
      </c>
    </row>
    <row r="286" spans="2:28">
      <c r="B286" s="40" t="s">
        <v>460</v>
      </c>
      <c r="C286" s="40"/>
      <c r="D286" s="41">
        <v>1</v>
      </c>
      <c r="E286" s="42">
        <v>1</v>
      </c>
      <c r="F286" s="42" t="s">
        <v>37</v>
      </c>
      <c r="G286" s="43" t="s">
        <v>37</v>
      </c>
      <c r="H286" s="42" t="s">
        <v>254</v>
      </c>
      <c r="I286" s="43"/>
      <c r="J286" s="43">
        <v>2</v>
      </c>
      <c r="K286" s="25" t="str">
        <f>VLOOKUP(J286,Key!$E$2:$F$9,2,FALSE)</f>
        <v>Work</v>
      </c>
      <c r="L286" s="42" t="s">
        <v>38</v>
      </c>
      <c r="M286" s="43" t="s">
        <v>37</v>
      </c>
      <c r="N286" s="42" t="s">
        <v>254</v>
      </c>
      <c r="O286" s="43"/>
      <c r="P286" s="43">
        <v>1</v>
      </c>
      <c r="Q286" s="25" t="str">
        <f>VLOOKUP(P286,Key!$E$2:$F$9,2,FALSE)</f>
        <v>Home</v>
      </c>
      <c r="R286" s="25" t="str">
        <f t="shared" si="6"/>
        <v>Work-Home</v>
      </c>
      <c r="S286" s="62"/>
      <c r="T286" s="62">
        <v>0.5</v>
      </c>
      <c r="U286" s="43">
        <v>2</v>
      </c>
      <c r="V286" s="43"/>
      <c r="W286" s="62"/>
      <c r="X286" s="62"/>
      <c r="Y286" s="63"/>
      <c r="Z286" s="73"/>
      <c r="AA286" s="25">
        <f>VLOOKUP(F286,'[1]Zones 1'!$A$2:$F$25426,6,FALSE)</f>
        <v>651</v>
      </c>
      <c r="AB286" s="25">
        <f>VLOOKUP(L286,'[1]Zones 1'!$A$2:$F$25426,6,FALSE)</f>
        <v>644</v>
      </c>
    </row>
    <row r="287" spans="2:28">
      <c r="B287" s="40" t="s">
        <v>461</v>
      </c>
      <c r="C287" s="40"/>
      <c r="D287" s="41">
        <v>1</v>
      </c>
      <c r="E287" s="42">
        <v>11</v>
      </c>
      <c r="F287" s="42" t="s">
        <v>37</v>
      </c>
      <c r="G287" s="43" t="s">
        <v>37</v>
      </c>
      <c r="H287" s="42" t="s">
        <v>254</v>
      </c>
      <c r="I287" s="43"/>
      <c r="J287" s="43">
        <v>6</v>
      </c>
      <c r="K287" s="25" t="str">
        <f>VLOOKUP(J287,Key!$E$2:$F$9,2,FALSE)</f>
        <v>Leisure/Social</v>
      </c>
      <c r="L287" s="42" t="s">
        <v>38</v>
      </c>
      <c r="M287" s="43" t="s">
        <v>37</v>
      </c>
      <c r="N287" s="42" t="s">
        <v>254</v>
      </c>
      <c r="O287" s="43"/>
      <c r="P287" s="43">
        <v>1</v>
      </c>
      <c r="Q287" s="25" t="str">
        <f>VLOOKUP(P287,Key!$E$2:$F$9,2,FALSE)</f>
        <v>Home</v>
      </c>
      <c r="R287" s="25" t="str">
        <f t="shared" si="6"/>
        <v>Leisure/Social-Home</v>
      </c>
      <c r="S287" s="62"/>
      <c r="T287" s="62">
        <v>0</v>
      </c>
      <c r="U287" s="43">
        <v>5</v>
      </c>
      <c r="V287" s="43"/>
      <c r="W287" s="62"/>
      <c r="X287" s="62"/>
      <c r="Y287" s="63"/>
      <c r="Z287" s="73"/>
      <c r="AA287" s="25">
        <f>VLOOKUP(F287,'[1]Zones 1'!$A$2:$F$25426,6,FALSE)</f>
        <v>651</v>
      </c>
      <c r="AB287" s="25">
        <f>VLOOKUP(L287,'[1]Zones 1'!$A$2:$F$25426,6,FALSE)</f>
        <v>644</v>
      </c>
    </row>
    <row r="288" spans="2:28">
      <c r="B288" s="40" t="s">
        <v>462</v>
      </c>
      <c r="C288" s="40"/>
      <c r="D288" s="41">
        <v>3</v>
      </c>
      <c r="E288" s="42">
        <v>1</v>
      </c>
      <c r="F288" s="42" t="s">
        <v>37</v>
      </c>
      <c r="G288" s="43" t="s">
        <v>37</v>
      </c>
      <c r="H288" s="42" t="s">
        <v>254</v>
      </c>
      <c r="I288" s="43"/>
      <c r="J288" s="43">
        <v>7</v>
      </c>
      <c r="K288" s="25" t="str">
        <f>VLOOKUP(J288,Key!$E$2:$F$9,2,FALSE)</f>
        <v>Hospital</v>
      </c>
      <c r="L288" s="42" t="s">
        <v>38</v>
      </c>
      <c r="M288" s="43" t="s">
        <v>37</v>
      </c>
      <c r="N288" s="42" t="s">
        <v>254</v>
      </c>
      <c r="O288" s="43"/>
      <c r="P288" s="43">
        <v>1</v>
      </c>
      <c r="Q288" s="25" t="str">
        <f>VLOOKUP(P288,Key!$E$2:$F$9,2,FALSE)</f>
        <v>Home</v>
      </c>
      <c r="R288" s="25" t="str">
        <f t="shared" si="6"/>
        <v>Hospital-Home</v>
      </c>
      <c r="S288" s="62"/>
      <c r="T288" s="62">
        <v>2</v>
      </c>
      <c r="U288" s="43">
        <v>5</v>
      </c>
      <c r="V288" s="43"/>
      <c r="W288" s="62"/>
      <c r="X288" s="62"/>
      <c r="Y288" s="63"/>
      <c r="Z288" s="73"/>
      <c r="AA288" s="25">
        <f>VLOOKUP(F288,'[1]Zones 1'!$A$2:$F$25426,6,FALSE)</f>
        <v>651</v>
      </c>
      <c r="AB288" s="25">
        <f>VLOOKUP(L288,'[1]Zones 1'!$A$2:$F$25426,6,FALSE)</f>
        <v>644</v>
      </c>
    </row>
    <row r="289" spans="2:28">
      <c r="B289" s="40" t="s">
        <v>463</v>
      </c>
      <c r="C289" s="40"/>
      <c r="D289" s="41">
        <v>3</v>
      </c>
      <c r="E289" s="42">
        <v>11</v>
      </c>
      <c r="F289" s="42" t="s">
        <v>37</v>
      </c>
      <c r="G289" s="43" t="s">
        <v>37</v>
      </c>
      <c r="H289" s="42" t="s">
        <v>254</v>
      </c>
      <c r="I289" s="43"/>
      <c r="J289" s="43">
        <v>3</v>
      </c>
      <c r="K289" s="25" t="str">
        <f>VLOOKUP(J289,Key!$E$2:$F$9,2,FALSE)</f>
        <v>Study</v>
      </c>
      <c r="L289" s="42" t="s">
        <v>38</v>
      </c>
      <c r="M289" s="43" t="s">
        <v>37</v>
      </c>
      <c r="N289" s="42" t="s">
        <v>254</v>
      </c>
      <c r="O289" s="43"/>
      <c r="P289" s="43">
        <v>2</v>
      </c>
      <c r="Q289" s="25" t="str">
        <f>VLOOKUP(P289,Key!$E$2:$F$9,2,FALSE)</f>
        <v>Work</v>
      </c>
      <c r="R289" s="25" t="str">
        <f t="shared" si="6"/>
        <v>Study-Work</v>
      </c>
      <c r="S289" s="62"/>
      <c r="T289" s="62">
        <v>2</v>
      </c>
      <c r="U289" s="43">
        <v>4</v>
      </c>
      <c r="V289" s="43"/>
      <c r="W289" s="62"/>
      <c r="X289" s="62"/>
      <c r="Y289" s="63"/>
      <c r="Z289" s="73"/>
      <c r="AA289" s="25">
        <f>VLOOKUP(F289,'[1]Zones 1'!$A$2:$F$25426,6,FALSE)</f>
        <v>651</v>
      </c>
      <c r="AB289" s="25">
        <f>VLOOKUP(L289,'[1]Zones 1'!$A$2:$F$25426,6,FALSE)</f>
        <v>644</v>
      </c>
    </row>
    <row r="290" spans="2:28">
      <c r="B290" s="40" t="s">
        <v>464</v>
      </c>
      <c r="C290" s="40"/>
      <c r="D290" s="41">
        <v>3</v>
      </c>
      <c r="E290" s="42">
        <v>1</v>
      </c>
      <c r="F290" s="42" t="s">
        <v>37</v>
      </c>
      <c r="G290" s="43" t="s">
        <v>37</v>
      </c>
      <c r="H290" s="42" t="s">
        <v>254</v>
      </c>
      <c r="I290" s="43"/>
      <c r="J290" s="43">
        <v>5</v>
      </c>
      <c r="K290" s="25" t="str">
        <f>VLOOKUP(J290,Key!$E$2:$F$9,2,FALSE)</f>
        <v>Tourism</v>
      </c>
      <c r="L290" s="42" t="s">
        <v>38</v>
      </c>
      <c r="M290" s="43" t="s">
        <v>37</v>
      </c>
      <c r="N290" s="42" t="s">
        <v>254</v>
      </c>
      <c r="O290" s="43"/>
      <c r="P290" s="43">
        <v>1</v>
      </c>
      <c r="Q290" s="25" t="str">
        <f>VLOOKUP(P290,Key!$E$2:$F$9,2,FALSE)</f>
        <v>Home</v>
      </c>
      <c r="R290" s="25" t="str">
        <f t="shared" si="6"/>
        <v>Tourism-Home</v>
      </c>
      <c r="S290" s="62"/>
      <c r="T290" s="62">
        <v>0</v>
      </c>
      <c r="U290" s="43">
        <v>4</v>
      </c>
      <c r="V290" s="43"/>
      <c r="W290" s="62"/>
      <c r="X290" s="62"/>
      <c r="Y290" s="63"/>
      <c r="Z290" s="73"/>
      <c r="AA290" s="25">
        <f>VLOOKUP(F290,'[1]Zones 1'!$A$2:$F$25426,6,FALSE)</f>
        <v>651</v>
      </c>
      <c r="AB290" s="25">
        <f>VLOOKUP(L290,'[1]Zones 1'!$A$2:$F$25426,6,FALSE)</f>
        <v>644</v>
      </c>
    </row>
    <row r="291" spans="2:28">
      <c r="B291" s="40" t="s">
        <v>401</v>
      </c>
      <c r="C291" s="40"/>
      <c r="D291" s="41">
        <v>3</v>
      </c>
      <c r="E291" s="42">
        <v>1</v>
      </c>
      <c r="F291" s="42" t="s">
        <v>37</v>
      </c>
      <c r="G291" s="43" t="s">
        <v>37</v>
      </c>
      <c r="H291" s="42" t="s">
        <v>254</v>
      </c>
      <c r="I291" s="43"/>
      <c r="J291" s="43">
        <v>3</v>
      </c>
      <c r="K291" s="25" t="str">
        <f>VLOOKUP(J291,Key!$E$2:$F$9,2,FALSE)</f>
        <v>Study</v>
      </c>
      <c r="L291" s="42" t="s">
        <v>38</v>
      </c>
      <c r="M291" s="43" t="s">
        <v>37</v>
      </c>
      <c r="N291" s="42" t="s">
        <v>254</v>
      </c>
      <c r="O291" s="43"/>
      <c r="P291" s="43">
        <v>1</v>
      </c>
      <c r="Q291" s="25" t="str">
        <f>VLOOKUP(P291,Key!$E$2:$F$9,2,FALSE)</f>
        <v>Home</v>
      </c>
      <c r="R291" s="25" t="str">
        <f t="shared" si="6"/>
        <v>Study-Home</v>
      </c>
      <c r="S291" s="62"/>
      <c r="T291" s="62">
        <v>0.83333333333333337</v>
      </c>
      <c r="U291" s="43">
        <v>3</v>
      </c>
      <c r="V291" s="43"/>
      <c r="W291" s="62"/>
      <c r="X291" s="62"/>
      <c r="Y291" s="63"/>
      <c r="Z291" s="73"/>
      <c r="AA291" s="25">
        <f>VLOOKUP(F291,'[1]Zones 1'!$A$2:$F$25426,6,FALSE)</f>
        <v>651</v>
      </c>
      <c r="AB291" s="25">
        <f>VLOOKUP(L291,'[1]Zones 1'!$A$2:$F$25426,6,FALSE)</f>
        <v>644</v>
      </c>
    </row>
    <row r="292" spans="2:28">
      <c r="B292" s="40" t="s">
        <v>290</v>
      </c>
      <c r="C292" s="40"/>
      <c r="D292" s="41">
        <v>3</v>
      </c>
      <c r="E292" s="42">
        <v>11</v>
      </c>
      <c r="F292" s="42" t="s">
        <v>37</v>
      </c>
      <c r="G292" s="43" t="s">
        <v>37</v>
      </c>
      <c r="H292" s="42" t="s">
        <v>254</v>
      </c>
      <c r="I292" s="43"/>
      <c r="J292" s="43">
        <v>3</v>
      </c>
      <c r="K292" s="25" t="str">
        <f>VLOOKUP(J292,Key!$E$2:$F$9,2,FALSE)</f>
        <v>Study</v>
      </c>
      <c r="L292" s="42" t="s">
        <v>38</v>
      </c>
      <c r="M292" s="43" t="s">
        <v>37</v>
      </c>
      <c r="N292" s="42" t="s">
        <v>254</v>
      </c>
      <c r="O292" s="43"/>
      <c r="P292" s="43">
        <v>4</v>
      </c>
      <c r="Q292" s="25" t="str">
        <f>VLOOKUP(P292,Key!$E$2:$F$9,2,FALSE)</f>
        <v>Commercial</v>
      </c>
      <c r="R292" s="25" t="str">
        <f t="shared" si="6"/>
        <v>Study-Commercial</v>
      </c>
      <c r="S292" s="62"/>
      <c r="T292" s="62">
        <v>0</v>
      </c>
      <c r="U292" s="43">
        <v>3</v>
      </c>
      <c r="V292" s="43"/>
      <c r="W292" s="62"/>
      <c r="X292" s="62"/>
      <c r="Y292" s="63"/>
      <c r="Z292" s="73"/>
      <c r="AA292" s="25">
        <f>VLOOKUP(F292,'[1]Zones 1'!$A$2:$F$25426,6,FALSE)</f>
        <v>651</v>
      </c>
      <c r="AB292" s="25">
        <f>VLOOKUP(L292,'[1]Zones 1'!$A$2:$F$25426,6,FALSE)</f>
        <v>644</v>
      </c>
    </row>
    <row r="293" spans="2:28">
      <c r="B293" s="40" t="s">
        <v>465</v>
      </c>
      <c r="C293" s="40"/>
      <c r="D293" s="41">
        <v>1</v>
      </c>
      <c r="E293" s="42">
        <v>1</v>
      </c>
      <c r="F293" s="42" t="s">
        <v>37</v>
      </c>
      <c r="G293" s="43" t="s">
        <v>37</v>
      </c>
      <c r="H293" s="42" t="s">
        <v>254</v>
      </c>
      <c r="I293" s="43"/>
      <c r="J293" s="43">
        <v>4</v>
      </c>
      <c r="K293" s="25" t="str">
        <f>VLOOKUP(J293,Key!$E$2:$F$9,2,FALSE)</f>
        <v>Commercial</v>
      </c>
      <c r="L293" s="42" t="s">
        <v>38</v>
      </c>
      <c r="M293" s="43" t="s">
        <v>37</v>
      </c>
      <c r="N293" s="42" t="s">
        <v>254</v>
      </c>
      <c r="O293" s="43"/>
      <c r="P293" s="43">
        <v>4</v>
      </c>
      <c r="Q293" s="25" t="str">
        <f>VLOOKUP(P293,Key!$E$2:$F$9,2,FALSE)</f>
        <v>Commercial</v>
      </c>
      <c r="R293" s="25" t="str">
        <f t="shared" si="6"/>
        <v>Commercial-Commercial</v>
      </c>
      <c r="S293" s="62"/>
      <c r="T293" s="62">
        <v>0</v>
      </c>
      <c r="U293" s="43">
        <v>2</v>
      </c>
      <c r="V293" s="43"/>
      <c r="W293" s="62"/>
      <c r="X293" s="62"/>
      <c r="Y293" s="63"/>
      <c r="Z293" s="73"/>
      <c r="AA293" s="25">
        <f>VLOOKUP(F293,'[1]Zones 1'!$A$2:$F$25426,6,FALSE)</f>
        <v>651</v>
      </c>
      <c r="AB293" s="25">
        <f>VLOOKUP(L293,'[1]Zones 1'!$A$2:$F$25426,6,FALSE)</f>
        <v>644</v>
      </c>
    </row>
    <row r="294" spans="2:28">
      <c r="B294" s="40" t="s">
        <v>466</v>
      </c>
      <c r="C294" s="40"/>
      <c r="D294" s="41">
        <v>1</v>
      </c>
      <c r="E294" s="42">
        <v>1</v>
      </c>
      <c r="F294" s="42" t="s">
        <v>37</v>
      </c>
      <c r="G294" s="43" t="s">
        <v>37</v>
      </c>
      <c r="H294" s="42" t="s">
        <v>254</v>
      </c>
      <c r="I294" s="43"/>
      <c r="J294" s="43">
        <v>5</v>
      </c>
      <c r="K294" s="25" t="str">
        <f>VLOOKUP(J294,Key!$E$2:$F$9,2,FALSE)</f>
        <v>Tourism</v>
      </c>
      <c r="L294" s="42" t="s">
        <v>38</v>
      </c>
      <c r="M294" s="43" t="s">
        <v>37</v>
      </c>
      <c r="N294" s="42" t="s">
        <v>254</v>
      </c>
      <c r="O294" s="43"/>
      <c r="P294" s="43">
        <v>4</v>
      </c>
      <c r="Q294" s="25" t="str">
        <f>VLOOKUP(P294,Key!$E$2:$F$9,2,FALSE)</f>
        <v>Commercial</v>
      </c>
      <c r="R294" s="25" t="str">
        <f t="shared" si="6"/>
        <v>Tourism-Commercial</v>
      </c>
      <c r="S294" s="62"/>
      <c r="T294" s="62">
        <v>0</v>
      </c>
      <c r="U294" s="43">
        <v>3</v>
      </c>
      <c r="V294" s="43"/>
      <c r="W294" s="62"/>
      <c r="X294" s="62"/>
      <c r="Y294" s="63"/>
      <c r="Z294" s="73"/>
      <c r="AA294" s="25">
        <f>VLOOKUP(F294,'[1]Zones 1'!$A$2:$F$25426,6,FALSE)</f>
        <v>651</v>
      </c>
      <c r="AB294" s="25">
        <f>VLOOKUP(L294,'[1]Zones 1'!$A$2:$F$25426,6,FALSE)</f>
        <v>644</v>
      </c>
    </row>
    <row r="295" spans="2:28">
      <c r="B295" s="40" t="s">
        <v>467</v>
      </c>
      <c r="C295" s="40"/>
      <c r="D295" s="41">
        <v>3</v>
      </c>
      <c r="E295" s="42">
        <v>1</v>
      </c>
      <c r="F295" s="42" t="s">
        <v>37</v>
      </c>
      <c r="G295" s="43" t="s">
        <v>37</v>
      </c>
      <c r="H295" s="42" t="s">
        <v>254</v>
      </c>
      <c r="I295" s="43"/>
      <c r="J295" s="43">
        <v>6</v>
      </c>
      <c r="K295" s="25" t="str">
        <f>VLOOKUP(J295,Key!$E$2:$F$9,2,FALSE)</f>
        <v>Leisure/Social</v>
      </c>
      <c r="L295" s="42" t="s">
        <v>38</v>
      </c>
      <c r="M295" s="43" t="s">
        <v>37</v>
      </c>
      <c r="N295" s="42" t="s">
        <v>254</v>
      </c>
      <c r="O295" s="43"/>
      <c r="P295" s="43">
        <v>5</v>
      </c>
      <c r="Q295" s="25" t="str">
        <f>VLOOKUP(P295,Key!$E$2:$F$9,2,FALSE)</f>
        <v>Tourism</v>
      </c>
      <c r="R295" s="25" t="str">
        <f t="shared" si="6"/>
        <v>Leisure/Social-Tourism</v>
      </c>
      <c r="S295" s="62"/>
      <c r="T295" s="62">
        <v>0</v>
      </c>
      <c r="U295" s="43">
        <v>3</v>
      </c>
      <c r="V295" s="43"/>
      <c r="W295" s="62"/>
      <c r="X295" s="62"/>
      <c r="Y295" s="63"/>
      <c r="Z295" s="73"/>
      <c r="AA295" s="25">
        <f>VLOOKUP(F295,'[1]Zones 1'!$A$2:$F$25426,6,FALSE)</f>
        <v>651</v>
      </c>
      <c r="AB295" s="25">
        <f>VLOOKUP(L295,'[1]Zones 1'!$A$2:$F$25426,6,FALSE)</f>
        <v>644</v>
      </c>
    </row>
    <row r="296" spans="2:28">
      <c r="B296" s="40" t="s">
        <v>468</v>
      </c>
      <c r="C296" s="40"/>
      <c r="D296" s="41">
        <v>1</v>
      </c>
      <c r="E296" s="42">
        <v>1</v>
      </c>
      <c r="F296" s="42" t="s">
        <v>576</v>
      </c>
      <c r="G296" s="43" t="s">
        <v>37</v>
      </c>
      <c r="H296" s="42" t="s">
        <v>254</v>
      </c>
      <c r="I296" s="43"/>
      <c r="J296" s="43">
        <v>3</v>
      </c>
      <c r="K296" s="25" t="str">
        <f>VLOOKUP(J296,Key!$E$2:$F$9,2,FALSE)</f>
        <v>Study</v>
      </c>
      <c r="L296" s="42" t="s">
        <v>38</v>
      </c>
      <c r="M296" s="43" t="s">
        <v>37</v>
      </c>
      <c r="N296" s="42" t="s">
        <v>254</v>
      </c>
      <c r="O296" s="43"/>
      <c r="P296" s="43">
        <v>3</v>
      </c>
      <c r="Q296" s="25" t="str">
        <f>VLOOKUP(P296,Key!$E$2:$F$9,2,FALSE)</f>
        <v>Study</v>
      </c>
      <c r="R296" s="25" t="str">
        <f t="shared" si="6"/>
        <v>Study-Study</v>
      </c>
      <c r="S296" s="62"/>
      <c r="T296" s="62">
        <v>1</v>
      </c>
      <c r="U296" s="43">
        <v>4</v>
      </c>
      <c r="V296" s="43"/>
      <c r="W296" s="62"/>
      <c r="X296" s="62"/>
      <c r="Y296" s="63"/>
      <c r="Z296" s="73"/>
      <c r="AA296" s="25">
        <f>VLOOKUP(F296,'[1]Zones 1'!$A$2:$F$25426,6,FALSE)</f>
        <v>655</v>
      </c>
      <c r="AB296" s="25">
        <f>VLOOKUP(L296,'[1]Zones 1'!$A$2:$F$25426,6,FALSE)</f>
        <v>644</v>
      </c>
    </row>
    <row r="297" spans="2:28">
      <c r="B297" s="40" t="s">
        <v>469</v>
      </c>
      <c r="C297" s="40"/>
      <c r="D297" s="41">
        <v>1</v>
      </c>
      <c r="E297" s="42">
        <v>1</v>
      </c>
      <c r="F297" s="42" t="s">
        <v>37</v>
      </c>
      <c r="G297" s="43" t="s">
        <v>37</v>
      </c>
      <c r="H297" s="42" t="s">
        <v>254</v>
      </c>
      <c r="I297" s="43"/>
      <c r="J297" s="43">
        <v>4</v>
      </c>
      <c r="K297" s="25" t="str">
        <f>VLOOKUP(J297,Key!$E$2:$F$9,2,FALSE)</f>
        <v>Commercial</v>
      </c>
      <c r="L297" s="42" t="s">
        <v>38</v>
      </c>
      <c r="M297" s="43" t="s">
        <v>37</v>
      </c>
      <c r="N297" s="42" t="s">
        <v>254</v>
      </c>
      <c r="O297" s="43"/>
      <c r="P297" s="43">
        <v>3</v>
      </c>
      <c r="Q297" s="25" t="str">
        <f>VLOOKUP(P297,Key!$E$2:$F$9,2,FALSE)</f>
        <v>Study</v>
      </c>
      <c r="R297" s="25" t="str">
        <f t="shared" si="6"/>
        <v>Commercial-Study</v>
      </c>
      <c r="S297" s="62"/>
      <c r="T297" s="62">
        <v>0</v>
      </c>
      <c r="U297" s="43">
        <v>4</v>
      </c>
      <c r="V297" s="43"/>
      <c r="W297" s="62"/>
      <c r="X297" s="62"/>
      <c r="Y297" s="63"/>
      <c r="Z297" s="73"/>
      <c r="AA297" s="25">
        <f>VLOOKUP(F297,'[1]Zones 1'!$A$2:$F$25426,6,FALSE)</f>
        <v>651</v>
      </c>
      <c r="AB297" s="25">
        <f>VLOOKUP(L297,'[1]Zones 1'!$A$2:$F$25426,6,FALSE)</f>
        <v>644</v>
      </c>
    </row>
    <row r="298" spans="2:28">
      <c r="B298" s="40" t="s">
        <v>406</v>
      </c>
      <c r="C298" s="40"/>
      <c r="D298" s="41">
        <v>3</v>
      </c>
      <c r="E298" s="42">
        <v>1</v>
      </c>
      <c r="F298" s="42" t="s">
        <v>37</v>
      </c>
      <c r="G298" s="43" t="s">
        <v>37</v>
      </c>
      <c r="H298" s="42" t="s">
        <v>254</v>
      </c>
      <c r="I298" s="43"/>
      <c r="J298" s="43">
        <v>3</v>
      </c>
      <c r="K298" s="25" t="str">
        <f>VLOOKUP(J298,Key!$E$2:$F$9,2,FALSE)</f>
        <v>Study</v>
      </c>
      <c r="L298" s="42" t="s">
        <v>38</v>
      </c>
      <c r="M298" s="43" t="s">
        <v>37</v>
      </c>
      <c r="N298" s="42" t="s">
        <v>254</v>
      </c>
      <c r="O298" s="43"/>
      <c r="P298" s="43">
        <v>3</v>
      </c>
      <c r="Q298" s="25" t="str">
        <f>VLOOKUP(P298,Key!$E$2:$F$9,2,FALSE)</f>
        <v>Study</v>
      </c>
      <c r="R298" s="25" t="str">
        <f t="shared" si="6"/>
        <v>Study-Study</v>
      </c>
      <c r="S298" s="62"/>
      <c r="T298" s="62">
        <v>1</v>
      </c>
      <c r="U298" s="43">
        <v>2</v>
      </c>
      <c r="V298" s="43"/>
      <c r="W298" s="62"/>
      <c r="X298" s="62"/>
      <c r="Y298" s="63"/>
      <c r="Z298" s="73"/>
      <c r="AA298" s="25">
        <f>VLOOKUP(F298,'[1]Zones 1'!$A$2:$F$25426,6,FALSE)</f>
        <v>651</v>
      </c>
      <c r="AB298" s="25">
        <f>VLOOKUP(L298,'[1]Zones 1'!$A$2:$F$25426,6,FALSE)</f>
        <v>644</v>
      </c>
    </row>
    <row r="299" spans="2:28">
      <c r="B299" s="40" t="s">
        <v>470</v>
      </c>
      <c r="C299" s="40"/>
      <c r="D299" s="41">
        <v>3</v>
      </c>
      <c r="E299" s="42">
        <v>1</v>
      </c>
      <c r="F299" s="42" t="s">
        <v>576</v>
      </c>
      <c r="G299" s="43" t="s">
        <v>37</v>
      </c>
      <c r="H299" s="42" t="s">
        <v>254</v>
      </c>
      <c r="I299" s="43"/>
      <c r="J299" s="43">
        <v>2</v>
      </c>
      <c r="K299" s="25" t="str">
        <f>VLOOKUP(J299,Key!$E$2:$F$9,2,FALSE)</f>
        <v>Work</v>
      </c>
      <c r="L299" s="42" t="s">
        <v>38</v>
      </c>
      <c r="M299" s="43" t="s">
        <v>37</v>
      </c>
      <c r="N299" s="42" t="s">
        <v>254</v>
      </c>
      <c r="O299" s="43"/>
      <c r="P299" s="43">
        <v>3</v>
      </c>
      <c r="Q299" s="25" t="str">
        <f>VLOOKUP(P299,Key!$E$2:$F$9,2,FALSE)</f>
        <v>Study</v>
      </c>
      <c r="R299" s="25" t="str">
        <f t="shared" si="6"/>
        <v>Work-Study</v>
      </c>
      <c r="S299" s="62"/>
      <c r="T299" s="62">
        <v>1</v>
      </c>
      <c r="U299" s="43">
        <v>2</v>
      </c>
      <c r="V299" s="43"/>
      <c r="W299" s="62"/>
      <c r="X299" s="62"/>
      <c r="Y299" s="63"/>
      <c r="Z299" s="73"/>
      <c r="AA299" s="25">
        <f>VLOOKUP(F299,'[1]Zones 1'!$A$2:$F$25426,6,FALSE)</f>
        <v>655</v>
      </c>
      <c r="AB299" s="25">
        <f>VLOOKUP(L299,'[1]Zones 1'!$A$2:$F$25426,6,FALSE)</f>
        <v>644</v>
      </c>
    </row>
    <row r="300" spans="2:28">
      <c r="B300" s="40" t="s">
        <v>471</v>
      </c>
      <c r="C300" s="40"/>
      <c r="D300" s="41">
        <v>1</v>
      </c>
      <c r="E300" s="42">
        <v>2</v>
      </c>
      <c r="F300" s="42" t="s">
        <v>37</v>
      </c>
      <c r="G300" s="43" t="s">
        <v>37</v>
      </c>
      <c r="H300" s="42" t="s">
        <v>254</v>
      </c>
      <c r="I300" s="43"/>
      <c r="J300" s="43">
        <v>2</v>
      </c>
      <c r="K300" s="25" t="str">
        <f>VLOOKUP(J300,Key!$E$2:$F$9,2,FALSE)</f>
        <v>Work</v>
      </c>
      <c r="L300" s="42" t="s">
        <v>38</v>
      </c>
      <c r="M300" s="43" t="s">
        <v>37</v>
      </c>
      <c r="N300" s="42" t="s">
        <v>254</v>
      </c>
      <c r="O300" s="43"/>
      <c r="P300" s="43">
        <v>3</v>
      </c>
      <c r="Q300" s="25" t="str">
        <f>VLOOKUP(P300,Key!$E$2:$F$9,2,FALSE)</f>
        <v>Study</v>
      </c>
      <c r="R300" s="25" t="str">
        <f t="shared" si="6"/>
        <v>Work-Study</v>
      </c>
      <c r="S300" s="62"/>
      <c r="T300" s="62">
        <v>1</v>
      </c>
      <c r="U300" s="43">
        <v>2</v>
      </c>
      <c r="V300" s="43"/>
      <c r="W300" s="62"/>
      <c r="X300" s="62"/>
      <c r="Y300" s="63"/>
      <c r="Z300" s="73"/>
      <c r="AA300" s="25">
        <f>VLOOKUP(F300,'[1]Zones 1'!$A$2:$F$25426,6,FALSE)</f>
        <v>651</v>
      </c>
      <c r="AB300" s="25">
        <f>VLOOKUP(L300,'[1]Zones 1'!$A$2:$F$25426,6,FALSE)</f>
        <v>644</v>
      </c>
    </row>
    <row r="301" spans="2:28">
      <c r="B301" s="40" t="s">
        <v>472</v>
      </c>
      <c r="C301" s="40"/>
      <c r="D301" s="41">
        <v>1</v>
      </c>
      <c r="E301" s="42">
        <v>4</v>
      </c>
      <c r="F301" s="42" t="s">
        <v>37</v>
      </c>
      <c r="G301" s="43" t="s">
        <v>37</v>
      </c>
      <c r="H301" s="42" t="s">
        <v>254</v>
      </c>
      <c r="I301" s="43"/>
      <c r="J301" s="43">
        <v>2</v>
      </c>
      <c r="K301" s="25" t="str">
        <f>VLOOKUP(J301,Key!$E$2:$F$9,2,FALSE)</f>
        <v>Work</v>
      </c>
      <c r="L301" s="42" t="s">
        <v>38</v>
      </c>
      <c r="M301" s="43" t="s">
        <v>37</v>
      </c>
      <c r="N301" s="42" t="s">
        <v>254</v>
      </c>
      <c r="O301" s="43"/>
      <c r="P301" s="43">
        <v>1</v>
      </c>
      <c r="Q301" s="25" t="str">
        <f>VLOOKUP(P301,Key!$E$2:$F$9,2,FALSE)</f>
        <v>Home</v>
      </c>
      <c r="R301" s="25" t="str">
        <f t="shared" si="6"/>
        <v>Work-Home</v>
      </c>
      <c r="S301" s="62"/>
      <c r="T301" s="62">
        <v>1</v>
      </c>
      <c r="U301" s="43">
        <v>2</v>
      </c>
      <c r="V301" s="43"/>
      <c r="W301" s="62"/>
      <c r="X301" s="62"/>
      <c r="Y301" s="63"/>
      <c r="Z301" s="73"/>
      <c r="AA301" s="25">
        <f>VLOOKUP(F301,'[1]Zones 1'!$A$2:$F$25426,6,FALSE)</f>
        <v>651</v>
      </c>
      <c r="AB301" s="25">
        <f>VLOOKUP(L301,'[1]Zones 1'!$A$2:$F$25426,6,FALSE)</f>
        <v>644</v>
      </c>
    </row>
    <row r="302" spans="2:28">
      <c r="B302" s="40" t="s">
        <v>473</v>
      </c>
      <c r="C302" s="40"/>
      <c r="D302" s="41">
        <v>3</v>
      </c>
      <c r="E302" s="42">
        <v>2</v>
      </c>
      <c r="F302" s="42" t="s">
        <v>37</v>
      </c>
      <c r="G302" s="43" t="s">
        <v>37</v>
      </c>
      <c r="H302" s="42" t="s">
        <v>254</v>
      </c>
      <c r="I302" s="43"/>
      <c r="J302" s="43">
        <v>2</v>
      </c>
      <c r="K302" s="25" t="str">
        <f>VLOOKUP(J302,Key!$E$2:$F$9,2,FALSE)</f>
        <v>Work</v>
      </c>
      <c r="L302" s="42" t="s">
        <v>38</v>
      </c>
      <c r="M302" s="43" t="s">
        <v>37</v>
      </c>
      <c r="N302" s="42" t="s">
        <v>254</v>
      </c>
      <c r="O302" s="43"/>
      <c r="P302" s="43">
        <v>1</v>
      </c>
      <c r="Q302" s="25" t="str">
        <f>VLOOKUP(P302,Key!$E$2:$F$9,2,FALSE)</f>
        <v>Home</v>
      </c>
      <c r="R302" s="25" t="str">
        <f t="shared" si="6"/>
        <v>Work-Home</v>
      </c>
      <c r="S302" s="62"/>
      <c r="T302" s="62">
        <v>1</v>
      </c>
      <c r="U302" s="43">
        <v>2</v>
      </c>
      <c r="V302" s="43"/>
      <c r="W302" s="62"/>
      <c r="X302" s="62"/>
      <c r="Y302" s="63"/>
      <c r="Z302" s="73"/>
      <c r="AA302" s="25">
        <f>VLOOKUP(F302,'[1]Zones 1'!$A$2:$F$25426,6,FALSE)</f>
        <v>651</v>
      </c>
      <c r="AB302" s="25">
        <f>VLOOKUP(L302,'[1]Zones 1'!$A$2:$F$25426,6,FALSE)</f>
        <v>644</v>
      </c>
    </row>
    <row r="303" spans="2:28">
      <c r="B303" s="40" t="s">
        <v>474</v>
      </c>
      <c r="C303" s="40"/>
      <c r="D303" s="41">
        <v>3</v>
      </c>
      <c r="E303" s="42">
        <v>2</v>
      </c>
      <c r="F303" s="42" t="s">
        <v>37</v>
      </c>
      <c r="G303" s="43" t="s">
        <v>37</v>
      </c>
      <c r="H303" s="42" t="s">
        <v>254</v>
      </c>
      <c r="I303" s="43"/>
      <c r="J303" s="43">
        <v>4</v>
      </c>
      <c r="K303" s="25" t="str">
        <f>VLOOKUP(J303,Key!$E$2:$F$9,2,FALSE)</f>
        <v>Commercial</v>
      </c>
      <c r="L303" s="42" t="s">
        <v>38</v>
      </c>
      <c r="M303" s="43" t="s">
        <v>37</v>
      </c>
      <c r="N303" s="42" t="s">
        <v>254</v>
      </c>
      <c r="O303" s="43"/>
      <c r="P303" s="43">
        <v>1</v>
      </c>
      <c r="Q303" s="25" t="str">
        <f>VLOOKUP(P303,Key!$E$2:$F$9,2,FALSE)</f>
        <v>Home</v>
      </c>
      <c r="R303" s="25" t="str">
        <f t="shared" si="6"/>
        <v>Commercial-Home</v>
      </c>
      <c r="S303" s="62"/>
      <c r="T303" s="62">
        <v>1</v>
      </c>
      <c r="U303" s="43">
        <v>1</v>
      </c>
      <c r="V303" s="43"/>
      <c r="W303" s="62"/>
      <c r="X303" s="62"/>
      <c r="Y303" s="63"/>
      <c r="Z303" s="73"/>
      <c r="AA303" s="25">
        <f>VLOOKUP(F303,'[1]Zones 1'!$A$2:$F$25426,6,FALSE)</f>
        <v>651</v>
      </c>
      <c r="AB303" s="25">
        <f>VLOOKUP(L303,'[1]Zones 1'!$A$2:$F$25426,6,FALSE)</f>
        <v>644</v>
      </c>
    </row>
    <row r="304" spans="2:28">
      <c r="B304" s="40" t="s">
        <v>306</v>
      </c>
      <c r="C304" s="40"/>
      <c r="D304" s="41">
        <v>1</v>
      </c>
      <c r="E304" s="42">
        <v>2</v>
      </c>
      <c r="F304" s="42" t="s">
        <v>243</v>
      </c>
      <c r="G304" s="43" t="s">
        <v>243</v>
      </c>
      <c r="H304" s="42" t="s">
        <v>254</v>
      </c>
      <c r="I304" s="43"/>
      <c r="J304" s="43">
        <v>4</v>
      </c>
      <c r="K304" s="25" t="str">
        <f>VLOOKUP(J304,Key!$E$2:$F$9,2,FALSE)</f>
        <v>Commercial</v>
      </c>
      <c r="L304" s="42" t="s">
        <v>38</v>
      </c>
      <c r="M304" s="43" t="s">
        <v>37</v>
      </c>
      <c r="N304" s="42" t="s">
        <v>254</v>
      </c>
      <c r="O304" s="43"/>
      <c r="P304" s="43">
        <v>1</v>
      </c>
      <c r="Q304" s="25" t="str">
        <f>VLOOKUP(P304,Key!$E$2:$F$9,2,FALSE)</f>
        <v>Home</v>
      </c>
      <c r="R304" s="25" t="str">
        <f t="shared" si="6"/>
        <v>Commercial-Home</v>
      </c>
      <c r="S304" s="62"/>
      <c r="T304" s="62">
        <v>1</v>
      </c>
      <c r="U304" s="43">
        <v>3</v>
      </c>
      <c r="V304" s="43"/>
      <c r="W304" s="62"/>
      <c r="X304" s="62"/>
      <c r="Y304" s="63"/>
      <c r="Z304" s="73"/>
      <c r="AA304" s="25">
        <f>VLOOKUP(F304,'[1]Zones 1'!$A$2:$F$25426,6,FALSE)</f>
        <v>1283</v>
      </c>
      <c r="AB304" s="25">
        <f>VLOOKUP(L304,'[1]Zones 1'!$A$2:$F$25426,6,FALSE)</f>
        <v>644</v>
      </c>
    </row>
    <row r="305" spans="2:28">
      <c r="B305" s="40" t="s">
        <v>475</v>
      </c>
      <c r="C305" s="40"/>
      <c r="D305" s="41">
        <v>9</v>
      </c>
      <c r="E305" s="42">
        <v>2</v>
      </c>
      <c r="F305" s="42" t="s">
        <v>576</v>
      </c>
      <c r="G305" s="43" t="s">
        <v>37</v>
      </c>
      <c r="H305" s="42" t="s">
        <v>254</v>
      </c>
      <c r="I305" s="43"/>
      <c r="J305" s="43">
        <v>5</v>
      </c>
      <c r="K305" s="25" t="str">
        <f>VLOOKUP(J305,Key!$E$2:$F$9,2,FALSE)</f>
        <v>Tourism</v>
      </c>
      <c r="L305" s="42" t="s">
        <v>38</v>
      </c>
      <c r="M305" s="43" t="s">
        <v>37</v>
      </c>
      <c r="N305" s="42" t="s">
        <v>254</v>
      </c>
      <c r="O305" s="43"/>
      <c r="P305" s="43">
        <v>1</v>
      </c>
      <c r="Q305" s="25" t="str">
        <f>VLOOKUP(P305,Key!$E$2:$F$9,2,FALSE)</f>
        <v>Home</v>
      </c>
      <c r="R305" s="25" t="str">
        <f t="shared" si="6"/>
        <v>Tourism-Home</v>
      </c>
      <c r="S305" s="62"/>
      <c r="T305" s="62">
        <v>1</v>
      </c>
      <c r="U305" s="43">
        <v>4</v>
      </c>
      <c r="V305" s="43"/>
      <c r="W305" s="62"/>
      <c r="X305" s="62"/>
      <c r="Y305" s="63"/>
      <c r="Z305" s="73"/>
      <c r="AA305" s="25">
        <f>VLOOKUP(F305,'[1]Zones 1'!$A$2:$F$25426,6,FALSE)</f>
        <v>655</v>
      </c>
      <c r="AB305" s="25">
        <f>VLOOKUP(L305,'[1]Zones 1'!$A$2:$F$25426,6,FALSE)</f>
        <v>644</v>
      </c>
    </row>
    <row r="306" spans="2:28">
      <c r="B306" s="40" t="s">
        <v>476</v>
      </c>
      <c r="C306" s="40"/>
      <c r="D306" s="41">
        <v>9</v>
      </c>
      <c r="E306" s="42">
        <v>3</v>
      </c>
      <c r="F306" s="42" t="s">
        <v>37</v>
      </c>
      <c r="G306" s="43" t="s">
        <v>37</v>
      </c>
      <c r="H306" s="42" t="s">
        <v>254</v>
      </c>
      <c r="I306" s="43"/>
      <c r="J306" s="43">
        <v>5</v>
      </c>
      <c r="K306" s="25" t="str">
        <f>VLOOKUP(J306,Key!$E$2:$F$9,2,FALSE)</f>
        <v>Tourism</v>
      </c>
      <c r="L306" s="42" t="s">
        <v>38</v>
      </c>
      <c r="M306" s="43" t="s">
        <v>37</v>
      </c>
      <c r="N306" s="42" t="s">
        <v>254</v>
      </c>
      <c r="O306" s="43"/>
      <c r="P306" s="43">
        <v>1</v>
      </c>
      <c r="Q306" s="25" t="str">
        <f>VLOOKUP(P306,Key!$E$2:$F$9,2,FALSE)</f>
        <v>Home</v>
      </c>
      <c r="R306" s="25" t="str">
        <f t="shared" si="6"/>
        <v>Tourism-Home</v>
      </c>
      <c r="S306" s="62"/>
      <c r="T306" s="62">
        <v>1</v>
      </c>
      <c r="U306" s="43">
        <v>4</v>
      </c>
      <c r="V306" s="43"/>
      <c r="W306" s="62"/>
      <c r="X306" s="62"/>
      <c r="Y306" s="63"/>
      <c r="Z306" s="73"/>
      <c r="AA306" s="25">
        <f>VLOOKUP(F306,'[1]Zones 1'!$A$2:$F$25426,6,FALSE)</f>
        <v>651</v>
      </c>
      <c r="AB306" s="25">
        <f>VLOOKUP(L306,'[1]Zones 1'!$A$2:$F$25426,6,FALSE)</f>
        <v>644</v>
      </c>
    </row>
    <row r="307" spans="2:28">
      <c r="B307" s="40" t="s">
        <v>477</v>
      </c>
      <c r="C307" s="40"/>
      <c r="D307" s="41">
        <v>3</v>
      </c>
      <c r="E307" s="42">
        <v>2</v>
      </c>
      <c r="F307" s="42" t="s">
        <v>37</v>
      </c>
      <c r="G307" s="43" t="s">
        <v>37</v>
      </c>
      <c r="H307" s="42" t="s">
        <v>254</v>
      </c>
      <c r="I307" s="43"/>
      <c r="J307" s="43">
        <v>6</v>
      </c>
      <c r="K307" s="25" t="str">
        <f>VLOOKUP(J307,Key!$E$2:$F$9,2,FALSE)</f>
        <v>Leisure/Social</v>
      </c>
      <c r="L307" s="42" t="s">
        <v>38</v>
      </c>
      <c r="M307" s="43" t="s">
        <v>37</v>
      </c>
      <c r="N307" s="42" t="s">
        <v>254</v>
      </c>
      <c r="O307" s="43"/>
      <c r="P307" s="43">
        <v>1</v>
      </c>
      <c r="Q307" s="25" t="str">
        <f>VLOOKUP(P307,Key!$E$2:$F$9,2,FALSE)</f>
        <v>Home</v>
      </c>
      <c r="R307" s="25" t="str">
        <f t="shared" si="6"/>
        <v>Leisure/Social-Home</v>
      </c>
      <c r="S307" s="62"/>
      <c r="T307" s="62">
        <v>0</v>
      </c>
      <c r="U307" s="43">
        <v>3</v>
      </c>
      <c r="V307" s="43"/>
      <c r="W307" s="62"/>
      <c r="X307" s="62"/>
      <c r="Y307" s="63"/>
      <c r="Z307" s="73"/>
      <c r="AA307" s="25">
        <f>VLOOKUP(F307,'[1]Zones 1'!$A$2:$F$25426,6,FALSE)</f>
        <v>651</v>
      </c>
      <c r="AB307" s="25">
        <f>VLOOKUP(L307,'[1]Zones 1'!$A$2:$F$25426,6,FALSE)</f>
        <v>644</v>
      </c>
    </row>
    <row r="308" spans="2:28">
      <c r="B308" s="40" t="s">
        <v>413</v>
      </c>
      <c r="C308" s="40"/>
      <c r="D308" s="41">
        <v>1</v>
      </c>
      <c r="E308" s="42">
        <v>4</v>
      </c>
      <c r="F308" s="42" t="s">
        <v>242</v>
      </c>
      <c r="G308" s="43" t="s">
        <v>242</v>
      </c>
      <c r="H308" s="42" t="s">
        <v>254</v>
      </c>
      <c r="I308" s="43"/>
      <c r="J308" s="43">
        <v>5</v>
      </c>
      <c r="K308" s="25" t="str">
        <f>VLOOKUP(J308,Key!$E$2:$F$9,2,FALSE)</f>
        <v>Tourism</v>
      </c>
      <c r="L308" s="42" t="s">
        <v>38</v>
      </c>
      <c r="M308" s="43" t="s">
        <v>37</v>
      </c>
      <c r="N308" s="42" t="s">
        <v>254</v>
      </c>
      <c r="O308" s="43"/>
      <c r="P308" s="43">
        <v>1</v>
      </c>
      <c r="Q308" s="25" t="str">
        <f>VLOOKUP(P308,Key!$E$2:$F$9,2,FALSE)</f>
        <v>Home</v>
      </c>
      <c r="R308" s="25" t="str">
        <f t="shared" si="6"/>
        <v>Tourism-Home</v>
      </c>
      <c r="S308" s="62"/>
      <c r="T308" s="62">
        <v>0</v>
      </c>
      <c r="U308" s="43">
        <v>2</v>
      </c>
      <c r="V308" s="43"/>
      <c r="W308" s="62"/>
      <c r="X308" s="62"/>
      <c r="Y308" s="63"/>
      <c r="Z308" s="73"/>
      <c r="AA308" s="25">
        <f>VLOOKUP(F308,'[1]Zones 1'!$A$2:$F$25426,6,FALSE)</f>
        <v>436</v>
      </c>
      <c r="AB308" s="25">
        <f>VLOOKUP(L308,'[1]Zones 1'!$A$2:$F$25426,6,FALSE)</f>
        <v>644</v>
      </c>
    </row>
    <row r="309" spans="2:28">
      <c r="B309" s="40" t="s">
        <v>478</v>
      </c>
      <c r="C309" s="40"/>
      <c r="D309" s="41">
        <v>3</v>
      </c>
      <c r="E309" s="42">
        <v>3</v>
      </c>
      <c r="F309" s="42" t="s">
        <v>37</v>
      </c>
      <c r="G309" s="43" t="s">
        <v>37</v>
      </c>
      <c r="H309" s="42" t="s">
        <v>254</v>
      </c>
      <c r="I309" s="43"/>
      <c r="J309" s="43">
        <v>4</v>
      </c>
      <c r="K309" s="25" t="str">
        <f>VLOOKUP(J309,Key!$E$2:$F$9,2,FALSE)</f>
        <v>Commercial</v>
      </c>
      <c r="L309" s="42" t="s">
        <v>38</v>
      </c>
      <c r="M309" s="43" t="s">
        <v>37</v>
      </c>
      <c r="N309" s="42" t="s">
        <v>254</v>
      </c>
      <c r="O309" s="43"/>
      <c r="P309" s="43">
        <v>1</v>
      </c>
      <c r="Q309" s="25" t="str">
        <f>VLOOKUP(P309,Key!$E$2:$F$9,2,FALSE)</f>
        <v>Home</v>
      </c>
      <c r="R309" s="25" t="str">
        <f t="shared" si="6"/>
        <v>Commercial-Home</v>
      </c>
      <c r="S309" s="62"/>
      <c r="T309" s="62">
        <v>0</v>
      </c>
      <c r="U309" s="43">
        <v>3</v>
      </c>
      <c r="V309" s="43"/>
      <c r="W309" s="62"/>
      <c r="X309" s="62"/>
      <c r="Y309" s="63"/>
      <c r="Z309" s="73"/>
      <c r="AA309" s="25">
        <f>VLOOKUP(F309,'[1]Zones 1'!$A$2:$F$25426,6,FALSE)</f>
        <v>651</v>
      </c>
      <c r="AB309" s="25">
        <f>VLOOKUP(L309,'[1]Zones 1'!$A$2:$F$25426,6,FALSE)</f>
        <v>644</v>
      </c>
    </row>
    <row r="310" spans="2:28">
      <c r="B310" s="40" t="s">
        <v>479</v>
      </c>
      <c r="C310" s="40"/>
      <c r="D310" s="41">
        <v>3</v>
      </c>
      <c r="E310" s="42">
        <v>2</v>
      </c>
      <c r="F310" s="42" t="s">
        <v>37</v>
      </c>
      <c r="G310" s="43" t="s">
        <v>37</v>
      </c>
      <c r="H310" s="42" t="s">
        <v>254</v>
      </c>
      <c r="I310" s="43"/>
      <c r="J310" s="43">
        <v>2</v>
      </c>
      <c r="K310" s="25" t="str">
        <f>VLOOKUP(J310,Key!$E$2:$F$9,2,FALSE)</f>
        <v>Work</v>
      </c>
      <c r="L310" s="42" t="s">
        <v>38</v>
      </c>
      <c r="M310" s="43" t="s">
        <v>37</v>
      </c>
      <c r="N310" s="42" t="s">
        <v>254</v>
      </c>
      <c r="O310" s="43"/>
      <c r="P310" s="43">
        <v>4</v>
      </c>
      <c r="Q310" s="25" t="str">
        <f>VLOOKUP(P310,Key!$E$2:$F$9,2,FALSE)</f>
        <v>Commercial</v>
      </c>
      <c r="R310" s="25" t="str">
        <f t="shared" si="6"/>
        <v>Work-Commercial</v>
      </c>
      <c r="S310" s="62"/>
      <c r="T310" s="62">
        <v>0</v>
      </c>
      <c r="U310" s="43">
        <v>4</v>
      </c>
      <c r="V310" s="43"/>
      <c r="W310" s="62"/>
      <c r="X310" s="62"/>
      <c r="Y310" s="63"/>
      <c r="Z310" s="73"/>
      <c r="AA310" s="25">
        <f>VLOOKUP(F310,'[1]Zones 1'!$A$2:$F$25426,6,FALSE)</f>
        <v>651</v>
      </c>
      <c r="AB310" s="25">
        <f>VLOOKUP(L310,'[1]Zones 1'!$A$2:$F$25426,6,FALSE)</f>
        <v>644</v>
      </c>
    </row>
    <row r="311" spans="2:28">
      <c r="B311" s="40" t="s">
        <v>480</v>
      </c>
      <c r="C311" s="40"/>
      <c r="D311" s="41">
        <v>9</v>
      </c>
      <c r="E311" s="42">
        <v>4</v>
      </c>
      <c r="F311" s="42" t="s">
        <v>37</v>
      </c>
      <c r="G311" s="43" t="s">
        <v>37</v>
      </c>
      <c r="H311" s="42" t="s">
        <v>254</v>
      </c>
      <c r="I311" s="43"/>
      <c r="J311" s="43">
        <v>1</v>
      </c>
      <c r="K311" s="25" t="str">
        <f>VLOOKUP(J311,Key!$E$2:$F$9,2,FALSE)</f>
        <v>Home</v>
      </c>
      <c r="L311" s="42" t="s">
        <v>38</v>
      </c>
      <c r="M311" s="43" t="s">
        <v>37</v>
      </c>
      <c r="N311" s="42" t="s">
        <v>254</v>
      </c>
      <c r="O311" s="43"/>
      <c r="P311" s="43">
        <v>5</v>
      </c>
      <c r="Q311" s="25" t="str">
        <f>VLOOKUP(P311,Key!$E$2:$F$9,2,FALSE)</f>
        <v>Tourism</v>
      </c>
      <c r="R311" s="25" t="str">
        <f t="shared" si="6"/>
        <v>Home-Tourism</v>
      </c>
      <c r="S311" s="62"/>
      <c r="T311" s="62">
        <v>3</v>
      </c>
      <c r="U311" s="43">
        <v>5</v>
      </c>
      <c r="V311" s="43"/>
      <c r="W311" s="62"/>
      <c r="X311" s="62"/>
      <c r="Y311" s="63"/>
      <c r="Z311" s="73"/>
      <c r="AA311" s="25">
        <f>VLOOKUP(F311,'[1]Zones 1'!$A$2:$F$25426,6,FALSE)</f>
        <v>651</v>
      </c>
      <c r="AB311" s="25">
        <f>VLOOKUP(L311,'[1]Zones 1'!$A$2:$F$25426,6,FALSE)</f>
        <v>644</v>
      </c>
    </row>
    <row r="312" spans="2:28">
      <c r="B312" s="40" t="s">
        <v>481</v>
      </c>
      <c r="C312" s="40"/>
      <c r="D312" s="41">
        <v>3</v>
      </c>
      <c r="E312" s="42">
        <v>4</v>
      </c>
      <c r="F312" s="42" t="s">
        <v>37</v>
      </c>
      <c r="G312" s="43" t="s">
        <v>37</v>
      </c>
      <c r="H312" s="42" t="s">
        <v>254</v>
      </c>
      <c r="I312" s="43"/>
      <c r="J312" s="43">
        <v>4</v>
      </c>
      <c r="K312" s="25" t="str">
        <f>VLOOKUP(J312,Key!$E$2:$F$9,2,FALSE)</f>
        <v>Commercial</v>
      </c>
      <c r="L312" s="42" t="s">
        <v>38</v>
      </c>
      <c r="M312" s="43" t="s">
        <v>37</v>
      </c>
      <c r="N312" s="42" t="s">
        <v>254</v>
      </c>
      <c r="O312" s="43"/>
      <c r="P312" s="43">
        <v>4</v>
      </c>
      <c r="Q312" s="25" t="str">
        <f>VLOOKUP(P312,Key!$E$2:$F$9,2,FALSE)</f>
        <v>Commercial</v>
      </c>
      <c r="R312" s="25" t="str">
        <f t="shared" si="6"/>
        <v>Commercial-Commercial</v>
      </c>
      <c r="S312" s="62"/>
      <c r="T312" s="62">
        <v>0</v>
      </c>
      <c r="U312" s="43">
        <v>3</v>
      </c>
      <c r="V312" s="43"/>
      <c r="W312" s="62"/>
      <c r="X312" s="62"/>
      <c r="Y312" s="63"/>
      <c r="Z312" s="73"/>
      <c r="AA312" s="25">
        <f>VLOOKUP(F312,'[1]Zones 1'!$A$2:$F$25426,6,FALSE)</f>
        <v>651</v>
      </c>
      <c r="AB312" s="25">
        <f>VLOOKUP(L312,'[1]Zones 1'!$A$2:$F$25426,6,FALSE)</f>
        <v>644</v>
      </c>
    </row>
    <row r="313" spans="2:28">
      <c r="B313" s="40" t="s">
        <v>415</v>
      </c>
      <c r="C313" s="40"/>
      <c r="D313" s="41">
        <v>2</v>
      </c>
      <c r="E313" s="42">
        <v>5</v>
      </c>
      <c r="F313" s="42" t="s">
        <v>248</v>
      </c>
      <c r="G313" s="43" t="s">
        <v>248</v>
      </c>
      <c r="H313" s="42" t="s">
        <v>254</v>
      </c>
      <c r="I313" s="43"/>
      <c r="J313" s="43">
        <v>4</v>
      </c>
      <c r="K313" s="25" t="str">
        <f>VLOOKUP(J313,Key!$E$2:$F$9,2,FALSE)</f>
        <v>Commercial</v>
      </c>
      <c r="L313" s="42" t="s">
        <v>38</v>
      </c>
      <c r="M313" s="43" t="s">
        <v>37</v>
      </c>
      <c r="N313" s="42" t="s">
        <v>254</v>
      </c>
      <c r="O313" s="43"/>
      <c r="P313" s="43">
        <v>7</v>
      </c>
      <c r="Q313" s="25" t="str">
        <f>VLOOKUP(P313,Key!$E$2:$F$9,2,FALSE)</f>
        <v>Hospital</v>
      </c>
      <c r="R313" s="25" t="str">
        <f t="shared" si="6"/>
        <v>Commercial-Hospital</v>
      </c>
      <c r="S313" s="62"/>
      <c r="T313" s="62">
        <v>0</v>
      </c>
      <c r="U313" s="43">
        <v>2</v>
      </c>
      <c r="V313" s="43"/>
      <c r="W313" s="62"/>
      <c r="X313" s="62"/>
      <c r="Y313" s="63"/>
      <c r="Z313" s="73"/>
      <c r="AA313" s="25">
        <f>VLOOKUP(F313,'[1]Zones 1'!$A$2:$F$25426,6,FALSE)</f>
        <v>987</v>
      </c>
      <c r="AB313" s="25">
        <f>VLOOKUP(L313,'[1]Zones 1'!$A$2:$F$25426,6,FALSE)</f>
        <v>644</v>
      </c>
    </row>
    <row r="314" spans="2:28">
      <c r="B314" s="40" t="s">
        <v>482</v>
      </c>
      <c r="C314" s="40"/>
      <c r="D314" s="41">
        <v>3</v>
      </c>
      <c r="E314" s="42">
        <v>2</v>
      </c>
      <c r="F314" s="42" t="s">
        <v>37</v>
      </c>
      <c r="G314" s="43" t="s">
        <v>37</v>
      </c>
      <c r="H314" s="42" t="s">
        <v>254</v>
      </c>
      <c r="I314" s="43"/>
      <c r="J314" s="43">
        <v>4</v>
      </c>
      <c r="K314" s="25" t="str">
        <f>VLOOKUP(J314,Key!$E$2:$F$9,2,FALSE)</f>
        <v>Commercial</v>
      </c>
      <c r="L314" s="42" t="s">
        <v>38</v>
      </c>
      <c r="M314" s="43" t="s">
        <v>37</v>
      </c>
      <c r="N314" s="42" t="s">
        <v>254</v>
      </c>
      <c r="O314" s="43"/>
      <c r="P314" s="43">
        <v>1</v>
      </c>
      <c r="Q314" s="25" t="str">
        <f>VLOOKUP(P314,Key!$E$2:$F$9,2,FALSE)</f>
        <v>Home</v>
      </c>
      <c r="R314" s="25" t="str">
        <f t="shared" si="6"/>
        <v>Commercial-Home</v>
      </c>
      <c r="S314" s="62"/>
      <c r="T314" s="62">
        <v>1.3333333333333333</v>
      </c>
      <c r="U314" s="43">
        <v>4</v>
      </c>
      <c r="V314" s="43"/>
      <c r="W314" s="62"/>
      <c r="X314" s="62"/>
      <c r="Y314" s="63"/>
      <c r="Z314" s="73"/>
      <c r="AA314" s="25">
        <f>VLOOKUP(F314,'[1]Zones 1'!$A$2:$F$25426,6,FALSE)</f>
        <v>651</v>
      </c>
      <c r="AB314" s="25">
        <f>VLOOKUP(L314,'[1]Zones 1'!$A$2:$F$25426,6,FALSE)</f>
        <v>644</v>
      </c>
    </row>
    <row r="315" spans="2:28">
      <c r="B315" s="40" t="s">
        <v>483</v>
      </c>
      <c r="C315" s="40"/>
      <c r="D315" s="41">
        <v>1</v>
      </c>
      <c r="E315" s="42">
        <v>22</v>
      </c>
      <c r="F315" s="42" t="s">
        <v>37</v>
      </c>
      <c r="G315" s="43" t="s">
        <v>37</v>
      </c>
      <c r="H315" s="42" t="s">
        <v>254</v>
      </c>
      <c r="I315" s="43"/>
      <c r="J315" s="43">
        <v>5</v>
      </c>
      <c r="K315" s="25" t="str">
        <f>VLOOKUP(J315,Key!$E$2:$F$9,2,FALSE)</f>
        <v>Tourism</v>
      </c>
      <c r="L315" s="42" t="s">
        <v>38</v>
      </c>
      <c r="M315" s="43" t="s">
        <v>37</v>
      </c>
      <c r="N315" s="42" t="s">
        <v>254</v>
      </c>
      <c r="O315" s="43"/>
      <c r="P315" s="43">
        <v>1</v>
      </c>
      <c r="Q315" s="25" t="str">
        <f>VLOOKUP(P315,Key!$E$2:$F$9,2,FALSE)</f>
        <v>Home</v>
      </c>
      <c r="R315" s="25" t="str">
        <f t="shared" si="6"/>
        <v>Tourism-Home</v>
      </c>
      <c r="S315" s="62"/>
      <c r="T315" s="62">
        <v>0.83333333333333337</v>
      </c>
      <c r="U315" s="43">
        <v>4</v>
      </c>
      <c r="V315" s="43"/>
      <c r="W315" s="62"/>
      <c r="X315" s="62"/>
      <c r="Y315" s="63"/>
      <c r="Z315" s="73"/>
      <c r="AA315" s="25">
        <f>VLOOKUP(F315,'[1]Zones 1'!$A$2:$F$25426,6,FALSE)</f>
        <v>651</v>
      </c>
      <c r="AB315" s="25">
        <f>VLOOKUP(L315,'[1]Zones 1'!$A$2:$F$25426,6,FALSE)</f>
        <v>644</v>
      </c>
    </row>
    <row r="316" spans="2:28">
      <c r="B316" s="40" t="s">
        <v>484</v>
      </c>
      <c r="C316" s="40"/>
      <c r="D316" s="41">
        <v>2</v>
      </c>
      <c r="E316" s="42">
        <v>2</v>
      </c>
      <c r="F316" s="42" t="s">
        <v>37</v>
      </c>
      <c r="G316" s="43" t="s">
        <v>37</v>
      </c>
      <c r="H316" s="42" t="s">
        <v>254</v>
      </c>
      <c r="I316" s="43"/>
      <c r="J316" s="43">
        <v>4</v>
      </c>
      <c r="K316" s="25" t="str">
        <f>VLOOKUP(J316,Key!$E$2:$F$9,2,FALSE)</f>
        <v>Commercial</v>
      </c>
      <c r="L316" s="42" t="s">
        <v>38</v>
      </c>
      <c r="M316" s="43" t="s">
        <v>37</v>
      </c>
      <c r="N316" s="42" t="s">
        <v>254</v>
      </c>
      <c r="O316" s="43"/>
      <c r="P316" s="43">
        <v>1</v>
      </c>
      <c r="Q316" s="25" t="str">
        <f>VLOOKUP(P316,Key!$E$2:$F$9,2,FALSE)</f>
        <v>Home</v>
      </c>
      <c r="R316" s="25" t="str">
        <f t="shared" si="6"/>
        <v>Commercial-Home</v>
      </c>
      <c r="S316" s="62"/>
      <c r="T316" s="62">
        <v>0</v>
      </c>
      <c r="U316" s="43">
        <v>4</v>
      </c>
      <c r="V316" s="43"/>
      <c r="W316" s="62"/>
      <c r="X316" s="62"/>
      <c r="Y316" s="63"/>
      <c r="Z316" s="73"/>
      <c r="AA316" s="25">
        <f>VLOOKUP(F316,'[1]Zones 1'!$A$2:$F$25426,6,FALSE)</f>
        <v>651</v>
      </c>
      <c r="AB316" s="25">
        <f>VLOOKUP(L316,'[1]Zones 1'!$A$2:$F$25426,6,FALSE)</f>
        <v>644</v>
      </c>
    </row>
    <row r="317" spans="2:28">
      <c r="B317" s="40" t="s">
        <v>485</v>
      </c>
      <c r="C317" s="40"/>
      <c r="D317" s="41">
        <v>1</v>
      </c>
      <c r="E317" s="42">
        <v>2</v>
      </c>
      <c r="F317" s="42" t="s">
        <v>37</v>
      </c>
      <c r="G317" s="43" t="s">
        <v>37</v>
      </c>
      <c r="H317" s="42" t="s">
        <v>254</v>
      </c>
      <c r="I317" s="43"/>
      <c r="J317" s="43">
        <v>6</v>
      </c>
      <c r="K317" s="25" t="str">
        <f>VLOOKUP(J317,Key!$E$2:$F$9,2,FALSE)</f>
        <v>Leisure/Social</v>
      </c>
      <c r="L317" s="42" t="s">
        <v>38</v>
      </c>
      <c r="M317" s="43" t="s">
        <v>37</v>
      </c>
      <c r="N317" s="42" t="s">
        <v>254</v>
      </c>
      <c r="O317" s="43"/>
      <c r="P317" s="43">
        <v>2</v>
      </c>
      <c r="Q317" s="25" t="str">
        <f>VLOOKUP(P317,Key!$E$2:$F$9,2,FALSE)</f>
        <v>Work</v>
      </c>
      <c r="R317" s="25" t="str">
        <f t="shared" si="6"/>
        <v>Leisure/Social-Work</v>
      </c>
      <c r="S317" s="62"/>
      <c r="T317" s="62">
        <v>0</v>
      </c>
      <c r="U317" s="43">
        <v>2</v>
      </c>
      <c r="V317" s="43"/>
      <c r="W317" s="62"/>
      <c r="X317" s="62"/>
      <c r="Y317" s="63"/>
      <c r="Z317" s="73"/>
      <c r="AA317" s="25">
        <f>VLOOKUP(F317,'[1]Zones 1'!$A$2:$F$25426,6,FALSE)</f>
        <v>651</v>
      </c>
      <c r="AB317" s="25">
        <f>VLOOKUP(L317,'[1]Zones 1'!$A$2:$F$25426,6,FALSE)</f>
        <v>644</v>
      </c>
    </row>
    <row r="318" spans="2:28">
      <c r="B318" s="40" t="s">
        <v>486</v>
      </c>
      <c r="C318" s="40"/>
      <c r="D318" s="41">
        <v>1</v>
      </c>
      <c r="E318" s="42">
        <v>2</v>
      </c>
      <c r="F318" s="42" t="s">
        <v>37</v>
      </c>
      <c r="G318" s="43" t="s">
        <v>37</v>
      </c>
      <c r="H318" s="42" t="s">
        <v>254</v>
      </c>
      <c r="I318" s="43"/>
      <c r="J318" s="43">
        <v>3</v>
      </c>
      <c r="K318" s="25" t="str">
        <f>VLOOKUP(J318,Key!$E$2:$F$9,2,FALSE)</f>
        <v>Study</v>
      </c>
      <c r="L318" s="42" t="s">
        <v>38</v>
      </c>
      <c r="M318" s="43" t="s">
        <v>37</v>
      </c>
      <c r="N318" s="42" t="s">
        <v>254</v>
      </c>
      <c r="O318" s="43"/>
      <c r="P318" s="43">
        <v>2</v>
      </c>
      <c r="Q318" s="25" t="str">
        <f>VLOOKUP(P318,Key!$E$2:$F$9,2,FALSE)</f>
        <v>Work</v>
      </c>
      <c r="R318" s="25" t="str">
        <f t="shared" si="6"/>
        <v>Study-Work</v>
      </c>
      <c r="S318" s="62"/>
      <c r="T318" s="62">
        <v>0.5</v>
      </c>
      <c r="U318" s="43">
        <v>2</v>
      </c>
      <c r="V318" s="43"/>
      <c r="W318" s="62"/>
      <c r="X318" s="62"/>
      <c r="Y318" s="63"/>
      <c r="Z318" s="73"/>
      <c r="AA318" s="25">
        <f>VLOOKUP(F318,'[1]Zones 1'!$A$2:$F$25426,6,FALSE)</f>
        <v>651</v>
      </c>
      <c r="AB318" s="25">
        <f>VLOOKUP(L318,'[1]Zones 1'!$A$2:$F$25426,6,FALSE)</f>
        <v>644</v>
      </c>
    </row>
    <row r="319" spans="2:28">
      <c r="B319" s="40" t="s">
        <v>487</v>
      </c>
      <c r="C319" s="40"/>
      <c r="D319" s="41">
        <v>1</v>
      </c>
      <c r="E319" s="42">
        <v>2</v>
      </c>
      <c r="F319" s="42" t="s">
        <v>37</v>
      </c>
      <c r="G319" s="43" t="s">
        <v>37</v>
      </c>
      <c r="H319" s="42" t="s">
        <v>254</v>
      </c>
      <c r="I319" s="43"/>
      <c r="J319" s="43">
        <v>4</v>
      </c>
      <c r="K319" s="25" t="str">
        <f>VLOOKUP(J319,Key!$E$2:$F$9,2,FALSE)</f>
        <v>Commercial</v>
      </c>
      <c r="L319" s="42" t="s">
        <v>38</v>
      </c>
      <c r="M319" s="43" t="s">
        <v>37</v>
      </c>
      <c r="N319" s="42" t="s">
        <v>254</v>
      </c>
      <c r="O319" s="43"/>
      <c r="P319" s="43">
        <v>6</v>
      </c>
      <c r="Q319" s="25" t="str">
        <f>VLOOKUP(P319,Key!$E$2:$F$9,2,FALSE)</f>
        <v>Leisure/Social</v>
      </c>
      <c r="R319" s="25" t="str">
        <f t="shared" si="6"/>
        <v>Commercial-Leisure/Social</v>
      </c>
      <c r="S319" s="62"/>
      <c r="T319" s="62">
        <v>0</v>
      </c>
      <c r="U319" s="43">
        <v>4</v>
      </c>
      <c r="V319" s="43"/>
      <c r="W319" s="62"/>
      <c r="X319" s="62"/>
      <c r="Y319" s="63"/>
      <c r="Z319" s="73"/>
      <c r="AA319" s="25">
        <f>VLOOKUP(F319,'[1]Zones 1'!$A$2:$F$25426,6,FALSE)</f>
        <v>651</v>
      </c>
      <c r="AB319" s="25">
        <f>VLOOKUP(L319,'[1]Zones 1'!$A$2:$F$25426,6,FALSE)</f>
        <v>644</v>
      </c>
    </row>
    <row r="320" spans="2:28">
      <c r="B320" s="40" t="s">
        <v>488</v>
      </c>
      <c r="C320" s="40"/>
      <c r="D320" s="41">
        <v>12</v>
      </c>
      <c r="E320" s="42">
        <v>2</v>
      </c>
      <c r="F320" s="42" t="s">
        <v>37</v>
      </c>
      <c r="G320" s="43" t="s">
        <v>37</v>
      </c>
      <c r="H320" s="42" t="s">
        <v>254</v>
      </c>
      <c r="I320" s="43"/>
      <c r="J320" s="43">
        <v>6</v>
      </c>
      <c r="K320" s="25" t="str">
        <f>VLOOKUP(J320,Key!$E$2:$F$9,2,FALSE)</f>
        <v>Leisure/Social</v>
      </c>
      <c r="L320" s="42" t="s">
        <v>38</v>
      </c>
      <c r="M320" s="43" t="s">
        <v>37</v>
      </c>
      <c r="N320" s="42" t="s">
        <v>254</v>
      </c>
      <c r="O320" s="43"/>
      <c r="P320" s="43">
        <v>4</v>
      </c>
      <c r="Q320" s="25" t="str">
        <f>VLOOKUP(P320,Key!$E$2:$F$9,2,FALSE)</f>
        <v>Commercial</v>
      </c>
      <c r="R320" s="25" t="str">
        <f t="shared" si="6"/>
        <v>Leisure/Social-Commercial</v>
      </c>
      <c r="S320" s="62"/>
      <c r="T320" s="62">
        <v>0</v>
      </c>
      <c r="U320" s="43">
        <v>5</v>
      </c>
      <c r="V320" s="43"/>
      <c r="W320" s="62"/>
      <c r="X320" s="62"/>
      <c r="Y320" s="63"/>
      <c r="Z320" s="73"/>
      <c r="AA320" s="25">
        <f>VLOOKUP(F320,'[1]Zones 1'!$A$2:$F$25426,6,FALSE)</f>
        <v>651</v>
      </c>
      <c r="AB320" s="25">
        <f>VLOOKUP(L320,'[1]Zones 1'!$A$2:$F$25426,6,FALSE)</f>
        <v>644</v>
      </c>
    </row>
    <row r="321" spans="2:28">
      <c r="B321" s="40" t="s">
        <v>489</v>
      </c>
      <c r="C321" s="40"/>
      <c r="D321" s="41">
        <v>12</v>
      </c>
      <c r="E321" s="42">
        <v>1</v>
      </c>
      <c r="F321" s="42" t="s">
        <v>576</v>
      </c>
      <c r="G321" s="43" t="s">
        <v>37</v>
      </c>
      <c r="H321" s="42" t="s">
        <v>254</v>
      </c>
      <c r="I321" s="43"/>
      <c r="J321" s="43">
        <v>5</v>
      </c>
      <c r="K321" s="25" t="str">
        <f>VLOOKUP(J321,Key!$E$2:$F$9,2,FALSE)</f>
        <v>Tourism</v>
      </c>
      <c r="L321" s="42" t="s">
        <v>38</v>
      </c>
      <c r="M321" s="43" t="s">
        <v>37</v>
      </c>
      <c r="N321" s="42" t="s">
        <v>254</v>
      </c>
      <c r="O321" s="43"/>
      <c r="P321" s="43">
        <v>5</v>
      </c>
      <c r="Q321" s="25" t="str">
        <f>VLOOKUP(P321,Key!$E$2:$F$9,2,FALSE)</f>
        <v>Tourism</v>
      </c>
      <c r="R321" s="25" t="str">
        <f t="shared" si="6"/>
        <v>Tourism-Tourism</v>
      </c>
      <c r="S321" s="62"/>
      <c r="T321" s="62">
        <v>0</v>
      </c>
      <c r="U321" s="43">
        <v>5</v>
      </c>
      <c r="V321" s="43"/>
      <c r="W321" s="62"/>
      <c r="X321" s="62"/>
      <c r="Y321" s="63"/>
      <c r="Z321" s="73"/>
      <c r="AA321" s="25">
        <f>VLOOKUP(F321,'[1]Zones 1'!$A$2:$F$25426,6,FALSE)</f>
        <v>655</v>
      </c>
      <c r="AB321" s="25">
        <f>VLOOKUP(L321,'[1]Zones 1'!$A$2:$F$25426,6,FALSE)</f>
        <v>644</v>
      </c>
    </row>
    <row r="322" spans="2:28">
      <c r="B322" s="40" t="s">
        <v>490</v>
      </c>
      <c r="C322" s="40"/>
      <c r="D322" s="41">
        <v>9</v>
      </c>
      <c r="E322" s="42">
        <v>1</v>
      </c>
      <c r="F322" s="42" t="s">
        <v>248</v>
      </c>
      <c r="G322" s="43" t="s">
        <v>248</v>
      </c>
      <c r="H322" s="42" t="s">
        <v>254</v>
      </c>
      <c r="I322" s="43"/>
      <c r="J322" s="43">
        <v>5</v>
      </c>
      <c r="K322" s="25" t="str">
        <f>VLOOKUP(J322,Key!$E$2:$F$9,2,FALSE)</f>
        <v>Tourism</v>
      </c>
      <c r="L322" s="42" t="s">
        <v>38</v>
      </c>
      <c r="M322" s="43" t="s">
        <v>37</v>
      </c>
      <c r="N322" s="42" t="s">
        <v>254</v>
      </c>
      <c r="O322" s="43"/>
      <c r="P322" s="43">
        <v>5</v>
      </c>
      <c r="Q322" s="25" t="str">
        <f>VLOOKUP(P322,Key!$E$2:$F$9,2,FALSE)</f>
        <v>Tourism</v>
      </c>
      <c r="R322" s="25" t="str">
        <f t="shared" si="6"/>
        <v>Tourism-Tourism</v>
      </c>
      <c r="S322" s="62"/>
      <c r="T322" s="62">
        <v>0</v>
      </c>
      <c r="U322" s="43">
        <v>2</v>
      </c>
      <c r="V322" s="43"/>
      <c r="W322" s="62"/>
      <c r="X322" s="62"/>
      <c r="Y322" s="63"/>
      <c r="Z322" s="73"/>
      <c r="AA322" s="25">
        <f>VLOOKUP(F322,'[1]Zones 1'!$A$2:$F$25426,6,FALSE)</f>
        <v>987</v>
      </c>
      <c r="AB322" s="25">
        <f>VLOOKUP(L322,'[1]Zones 1'!$A$2:$F$25426,6,FALSE)</f>
        <v>644</v>
      </c>
    </row>
    <row r="323" spans="2:28">
      <c r="B323" s="40" t="s">
        <v>491</v>
      </c>
      <c r="C323" s="40"/>
      <c r="D323" s="41">
        <v>3</v>
      </c>
      <c r="E323" s="42">
        <v>1</v>
      </c>
      <c r="F323" s="42" t="s">
        <v>37</v>
      </c>
      <c r="G323" s="43" t="s">
        <v>37</v>
      </c>
      <c r="H323" s="42" t="s">
        <v>254</v>
      </c>
      <c r="I323" s="43"/>
      <c r="J323" s="43">
        <v>4</v>
      </c>
      <c r="K323" s="25" t="str">
        <f>VLOOKUP(J323,Key!$E$2:$F$9,2,FALSE)</f>
        <v>Commercial</v>
      </c>
      <c r="L323" s="42" t="s">
        <v>38</v>
      </c>
      <c r="M323" s="43" t="s">
        <v>37</v>
      </c>
      <c r="N323" s="42" t="s">
        <v>254</v>
      </c>
      <c r="O323" s="43"/>
      <c r="P323" s="43">
        <v>3</v>
      </c>
      <c r="Q323" s="25" t="str">
        <f>VLOOKUP(P323,Key!$E$2:$F$9,2,FALSE)</f>
        <v>Study</v>
      </c>
      <c r="R323" s="25" t="str">
        <f t="shared" si="6"/>
        <v>Commercial-Study</v>
      </c>
      <c r="S323" s="62"/>
      <c r="T323" s="62">
        <v>0</v>
      </c>
      <c r="U323" s="43">
        <v>1</v>
      </c>
      <c r="V323" s="43"/>
      <c r="W323" s="62"/>
      <c r="X323" s="62"/>
      <c r="Y323" s="63"/>
      <c r="Z323" s="73"/>
      <c r="AA323" s="25">
        <f>VLOOKUP(F323,'[1]Zones 1'!$A$2:$F$25426,6,FALSE)</f>
        <v>651</v>
      </c>
      <c r="AB323" s="25">
        <f>VLOOKUP(L323,'[1]Zones 1'!$A$2:$F$25426,6,FALSE)</f>
        <v>644</v>
      </c>
    </row>
    <row r="324" spans="2:28">
      <c r="B324" s="40" t="s">
        <v>492</v>
      </c>
      <c r="C324" s="40"/>
      <c r="D324" s="41">
        <v>3</v>
      </c>
      <c r="E324" s="42">
        <v>1</v>
      </c>
      <c r="F324" s="42" t="s">
        <v>37</v>
      </c>
      <c r="G324" s="43" t="s">
        <v>37</v>
      </c>
      <c r="H324" s="42" t="s">
        <v>254</v>
      </c>
      <c r="I324" s="43"/>
      <c r="J324" s="43">
        <v>3</v>
      </c>
      <c r="K324" s="25" t="str">
        <f>VLOOKUP(J324,Key!$E$2:$F$9,2,FALSE)</f>
        <v>Study</v>
      </c>
      <c r="L324" s="42" t="s">
        <v>38</v>
      </c>
      <c r="M324" s="43" t="s">
        <v>37</v>
      </c>
      <c r="N324" s="42" t="s">
        <v>254</v>
      </c>
      <c r="O324" s="43"/>
      <c r="P324" s="43">
        <v>2</v>
      </c>
      <c r="Q324" s="25" t="str">
        <f>VLOOKUP(P324,Key!$E$2:$F$9,2,FALSE)</f>
        <v>Work</v>
      </c>
      <c r="R324" s="25" t="str">
        <f t="shared" ref="R324:R338" si="7">K324&amp;"-"&amp;Q324</f>
        <v>Study-Work</v>
      </c>
      <c r="S324" s="62"/>
      <c r="T324" s="62">
        <v>0</v>
      </c>
      <c r="U324" s="43">
        <v>4</v>
      </c>
      <c r="V324" s="43"/>
      <c r="W324" s="62"/>
      <c r="X324" s="62"/>
      <c r="Y324" s="63"/>
      <c r="Z324" s="73"/>
      <c r="AA324" s="25">
        <f>VLOOKUP(F324,'[1]Zones 1'!$A$2:$F$25426,6,FALSE)</f>
        <v>651</v>
      </c>
      <c r="AB324" s="25">
        <f>VLOOKUP(L324,'[1]Zones 1'!$A$2:$F$25426,6,FALSE)</f>
        <v>644</v>
      </c>
    </row>
    <row r="325" spans="2:28">
      <c r="B325" s="40" t="s">
        <v>493</v>
      </c>
      <c r="C325" s="40"/>
      <c r="D325" s="41">
        <v>3</v>
      </c>
      <c r="E325" s="42">
        <v>2</v>
      </c>
      <c r="F325" s="42" t="s">
        <v>37</v>
      </c>
      <c r="G325" s="43" t="s">
        <v>37</v>
      </c>
      <c r="H325" s="42" t="s">
        <v>254</v>
      </c>
      <c r="I325" s="43"/>
      <c r="J325" s="43">
        <v>2</v>
      </c>
      <c r="K325" s="25" t="str">
        <f>VLOOKUP(J325,Key!$E$2:$F$9,2,FALSE)</f>
        <v>Work</v>
      </c>
      <c r="L325" s="42" t="s">
        <v>38</v>
      </c>
      <c r="M325" s="43" t="s">
        <v>37</v>
      </c>
      <c r="N325" s="42" t="s">
        <v>254</v>
      </c>
      <c r="O325" s="43"/>
      <c r="P325" s="43">
        <v>3</v>
      </c>
      <c r="Q325" s="25" t="str">
        <f>VLOOKUP(P325,Key!$E$2:$F$9,2,FALSE)</f>
        <v>Study</v>
      </c>
      <c r="R325" s="25" t="str">
        <f t="shared" si="7"/>
        <v>Work-Study</v>
      </c>
      <c r="S325" s="62"/>
      <c r="T325" s="62">
        <v>0</v>
      </c>
      <c r="U325" s="43">
        <v>2</v>
      </c>
      <c r="V325" s="43"/>
      <c r="W325" s="62"/>
      <c r="X325" s="62"/>
      <c r="Y325" s="63"/>
      <c r="Z325" s="73"/>
      <c r="AA325" s="25">
        <f>VLOOKUP(F325,'[1]Zones 1'!$A$2:$F$25426,6,FALSE)</f>
        <v>651</v>
      </c>
      <c r="AB325" s="25">
        <f>VLOOKUP(L325,'[1]Zones 1'!$A$2:$F$25426,6,FALSE)</f>
        <v>644</v>
      </c>
    </row>
    <row r="326" spans="2:28">
      <c r="B326" s="40" t="s">
        <v>494</v>
      </c>
      <c r="C326" s="40"/>
      <c r="D326" s="41">
        <v>13</v>
      </c>
      <c r="E326" s="42">
        <v>1</v>
      </c>
      <c r="F326" s="42" t="s">
        <v>37</v>
      </c>
      <c r="G326" s="43" t="s">
        <v>37</v>
      </c>
      <c r="H326" s="42" t="s">
        <v>254</v>
      </c>
      <c r="I326" s="43"/>
      <c r="J326" s="43">
        <v>2</v>
      </c>
      <c r="K326" s="25" t="str">
        <f>VLOOKUP(J326,Key!$E$2:$F$9,2,FALSE)</f>
        <v>Work</v>
      </c>
      <c r="L326" s="42" t="s">
        <v>38</v>
      </c>
      <c r="M326" s="43" t="s">
        <v>37</v>
      </c>
      <c r="N326" s="42" t="s">
        <v>254</v>
      </c>
      <c r="O326" s="43"/>
      <c r="P326" s="43">
        <v>1</v>
      </c>
      <c r="Q326" s="25" t="str">
        <f>VLOOKUP(P326,Key!$E$2:$F$9,2,FALSE)</f>
        <v>Home</v>
      </c>
      <c r="R326" s="25" t="str">
        <f t="shared" si="7"/>
        <v>Work-Home</v>
      </c>
      <c r="S326" s="62"/>
      <c r="T326" s="62">
        <v>0</v>
      </c>
      <c r="U326" s="43">
        <v>3</v>
      </c>
      <c r="V326" s="43"/>
      <c r="W326" s="62"/>
      <c r="X326" s="62"/>
      <c r="Y326" s="63"/>
      <c r="Z326" s="73"/>
      <c r="AA326" s="25">
        <f>VLOOKUP(F326,'[1]Zones 1'!$A$2:$F$25426,6,FALSE)</f>
        <v>651</v>
      </c>
      <c r="AB326" s="25">
        <f>VLOOKUP(L326,'[1]Zones 1'!$A$2:$F$25426,6,FALSE)</f>
        <v>644</v>
      </c>
    </row>
    <row r="327" spans="2:28">
      <c r="B327" s="40" t="s">
        <v>495</v>
      </c>
      <c r="C327" s="40"/>
      <c r="D327" s="41">
        <v>1</v>
      </c>
      <c r="E327" s="42">
        <v>1</v>
      </c>
      <c r="F327" s="42" t="s">
        <v>37</v>
      </c>
      <c r="G327" s="43" t="s">
        <v>37</v>
      </c>
      <c r="H327" s="42" t="s">
        <v>254</v>
      </c>
      <c r="I327" s="43"/>
      <c r="J327" s="43">
        <v>2</v>
      </c>
      <c r="K327" s="25" t="str">
        <f>VLOOKUP(J327,Key!$E$2:$F$9,2,FALSE)</f>
        <v>Work</v>
      </c>
      <c r="L327" s="42" t="s">
        <v>38</v>
      </c>
      <c r="M327" s="43" t="s">
        <v>37</v>
      </c>
      <c r="N327" s="42" t="s">
        <v>254</v>
      </c>
      <c r="O327" s="43"/>
      <c r="P327" s="43">
        <v>1</v>
      </c>
      <c r="Q327" s="25" t="str">
        <f>VLOOKUP(P327,Key!$E$2:$F$9,2,FALSE)</f>
        <v>Home</v>
      </c>
      <c r="R327" s="25" t="str">
        <f t="shared" si="7"/>
        <v>Work-Home</v>
      </c>
      <c r="S327" s="62"/>
      <c r="T327" s="62">
        <v>0.25</v>
      </c>
      <c r="U327" s="43">
        <v>2</v>
      </c>
      <c r="V327" s="43"/>
      <c r="W327" s="62"/>
      <c r="X327" s="62"/>
      <c r="Y327" s="63"/>
      <c r="Z327" s="73"/>
      <c r="AA327" s="25">
        <f>VLOOKUP(F327,'[1]Zones 1'!$A$2:$F$25426,6,FALSE)</f>
        <v>651</v>
      </c>
      <c r="AB327" s="25">
        <f>VLOOKUP(L327,'[1]Zones 1'!$A$2:$F$25426,6,FALSE)</f>
        <v>644</v>
      </c>
    </row>
    <row r="328" spans="2:28">
      <c r="B328" s="40" t="s">
        <v>496</v>
      </c>
      <c r="C328" s="40"/>
      <c r="D328" s="41">
        <v>1</v>
      </c>
      <c r="E328" s="42">
        <v>1</v>
      </c>
      <c r="F328" s="42" t="s">
        <v>37</v>
      </c>
      <c r="G328" s="43" t="s">
        <v>37</v>
      </c>
      <c r="H328" s="42" t="s">
        <v>254</v>
      </c>
      <c r="I328" s="43"/>
      <c r="J328" s="43">
        <v>3</v>
      </c>
      <c r="K328" s="25" t="str">
        <f>VLOOKUP(J328,Key!$E$2:$F$9,2,FALSE)</f>
        <v>Study</v>
      </c>
      <c r="L328" s="42" t="s">
        <v>38</v>
      </c>
      <c r="M328" s="43" t="s">
        <v>37</v>
      </c>
      <c r="N328" s="42" t="s">
        <v>254</v>
      </c>
      <c r="O328" s="43"/>
      <c r="P328" s="43">
        <v>1</v>
      </c>
      <c r="Q328" s="25" t="str">
        <f>VLOOKUP(P328,Key!$E$2:$F$9,2,FALSE)</f>
        <v>Home</v>
      </c>
      <c r="R328" s="25" t="str">
        <f t="shared" si="7"/>
        <v>Study-Home</v>
      </c>
      <c r="S328" s="62"/>
      <c r="T328" s="62">
        <v>0</v>
      </c>
      <c r="U328" s="43">
        <v>2</v>
      </c>
      <c r="V328" s="43"/>
      <c r="W328" s="62"/>
      <c r="X328" s="62"/>
      <c r="Y328" s="63"/>
      <c r="Z328" s="73"/>
      <c r="AA328" s="25">
        <f>VLOOKUP(F328,'[1]Zones 1'!$A$2:$F$25426,6,FALSE)</f>
        <v>651</v>
      </c>
      <c r="AB328" s="25">
        <f>VLOOKUP(L328,'[1]Zones 1'!$A$2:$F$25426,6,FALSE)</f>
        <v>644</v>
      </c>
    </row>
    <row r="329" spans="2:28">
      <c r="B329" s="40" t="s">
        <v>497</v>
      </c>
      <c r="C329" s="40"/>
      <c r="D329" s="41">
        <v>1</v>
      </c>
      <c r="E329" s="42">
        <v>11</v>
      </c>
      <c r="F329" s="42" t="s">
        <v>37</v>
      </c>
      <c r="G329" s="43" t="s">
        <v>37</v>
      </c>
      <c r="H329" s="42" t="s">
        <v>254</v>
      </c>
      <c r="I329" s="43"/>
      <c r="J329" s="43">
        <v>3</v>
      </c>
      <c r="K329" s="25" t="str">
        <f>VLOOKUP(J329,Key!$E$2:$F$9,2,FALSE)</f>
        <v>Study</v>
      </c>
      <c r="L329" s="42" t="s">
        <v>258</v>
      </c>
      <c r="M329" s="43" t="s">
        <v>37</v>
      </c>
      <c r="N329" s="42" t="s">
        <v>254</v>
      </c>
      <c r="O329" s="43"/>
      <c r="P329" s="43">
        <v>1</v>
      </c>
      <c r="Q329" s="25" t="str">
        <f>VLOOKUP(P329,Key!$E$2:$F$9,2,FALSE)</f>
        <v>Home</v>
      </c>
      <c r="R329" s="25" t="str">
        <f t="shared" si="7"/>
        <v>Study-Home</v>
      </c>
      <c r="S329" s="62"/>
      <c r="T329" s="62">
        <v>0</v>
      </c>
      <c r="U329" s="43">
        <v>2</v>
      </c>
      <c r="V329" s="43"/>
      <c r="W329" s="62"/>
      <c r="X329" s="62"/>
      <c r="Y329" s="63"/>
      <c r="Z329" s="73"/>
      <c r="AA329" s="25">
        <f>VLOOKUP(F329,'[1]Zones 1'!$A$2:$F$25426,6,FALSE)</f>
        <v>651</v>
      </c>
      <c r="AB329" s="25">
        <f>VLOOKUP(L329,'[1]Zones 1'!$A$2:$F$25426,6,FALSE)</f>
        <v>655</v>
      </c>
    </row>
    <row r="330" spans="2:28">
      <c r="B330" s="40" t="s">
        <v>498</v>
      </c>
      <c r="C330" s="40"/>
      <c r="D330" s="41">
        <v>12</v>
      </c>
      <c r="E330" s="42">
        <v>1</v>
      </c>
      <c r="F330" s="42" t="s">
        <v>37</v>
      </c>
      <c r="G330" s="43" t="s">
        <v>37</v>
      </c>
      <c r="H330" s="42" t="s">
        <v>254</v>
      </c>
      <c r="I330" s="43"/>
      <c r="J330" s="43">
        <v>3</v>
      </c>
      <c r="K330" s="25" t="str">
        <f>VLOOKUP(J330,Key!$E$2:$F$9,2,FALSE)</f>
        <v>Study</v>
      </c>
      <c r="L330" s="42" t="s">
        <v>258</v>
      </c>
      <c r="M330" s="43" t="s">
        <v>37</v>
      </c>
      <c r="N330" s="42" t="s">
        <v>254</v>
      </c>
      <c r="O330" s="43"/>
      <c r="P330" s="43">
        <v>1</v>
      </c>
      <c r="Q330" s="25" t="str">
        <f>VLOOKUP(P330,Key!$E$2:$F$9,2,FALSE)</f>
        <v>Home</v>
      </c>
      <c r="R330" s="25" t="str">
        <f t="shared" si="7"/>
        <v>Study-Home</v>
      </c>
      <c r="S330" s="62"/>
      <c r="T330" s="62">
        <v>1</v>
      </c>
      <c r="U330" s="43">
        <v>2</v>
      </c>
      <c r="V330" s="43"/>
      <c r="W330" s="62"/>
      <c r="X330" s="62"/>
      <c r="Y330" s="63"/>
      <c r="Z330" s="73"/>
      <c r="AA330" s="25">
        <f>VLOOKUP(F330,'[1]Zones 1'!$A$2:$F$25426,6,FALSE)</f>
        <v>651</v>
      </c>
      <c r="AB330" s="25">
        <f>VLOOKUP(L330,'[1]Zones 1'!$A$2:$F$25426,6,FALSE)</f>
        <v>655</v>
      </c>
    </row>
    <row r="331" spans="2:28">
      <c r="B331" s="40" t="s">
        <v>430</v>
      </c>
      <c r="C331" s="40"/>
      <c r="D331" s="41">
        <v>2</v>
      </c>
      <c r="E331" s="42">
        <v>1</v>
      </c>
      <c r="F331" s="42" t="s">
        <v>37</v>
      </c>
      <c r="G331" s="43" t="s">
        <v>37</v>
      </c>
      <c r="H331" s="42" t="s">
        <v>254</v>
      </c>
      <c r="I331" s="43"/>
      <c r="J331" s="43">
        <v>3</v>
      </c>
      <c r="K331" s="25" t="str">
        <f>VLOOKUP(J331,Key!$E$2:$F$9,2,FALSE)</f>
        <v>Study</v>
      </c>
      <c r="L331" s="42" t="s">
        <v>258</v>
      </c>
      <c r="M331" s="43" t="s">
        <v>37</v>
      </c>
      <c r="N331" s="42" t="s">
        <v>254</v>
      </c>
      <c r="O331" s="43"/>
      <c r="P331" s="43">
        <v>1</v>
      </c>
      <c r="Q331" s="25" t="str">
        <f>VLOOKUP(P331,Key!$E$2:$F$9,2,FALSE)</f>
        <v>Home</v>
      </c>
      <c r="R331" s="25" t="str">
        <f t="shared" si="7"/>
        <v>Study-Home</v>
      </c>
      <c r="S331" s="62"/>
      <c r="T331" s="62">
        <v>2</v>
      </c>
      <c r="U331" s="43">
        <v>2</v>
      </c>
      <c r="V331" s="43"/>
      <c r="W331" s="62"/>
      <c r="X331" s="62"/>
      <c r="Y331" s="63"/>
      <c r="Z331" s="73"/>
      <c r="AA331" s="25">
        <f>VLOOKUP(F331,'[1]Zones 1'!$A$2:$F$25426,6,FALSE)</f>
        <v>651</v>
      </c>
      <c r="AB331" s="25">
        <f>VLOOKUP(L331,'[1]Zones 1'!$A$2:$F$25426,6,FALSE)</f>
        <v>655</v>
      </c>
    </row>
    <row r="332" spans="2:28">
      <c r="B332" s="40" t="s">
        <v>499</v>
      </c>
      <c r="C332" s="40"/>
      <c r="D332" s="41">
        <v>1</v>
      </c>
      <c r="E332" s="42">
        <v>1</v>
      </c>
      <c r="F332" s="42" t="s">
        <v>37</v>
      </c>
      <c r="G332" s="43" t="s">
        <v>37</v>
      </c>
      <c r="H332" s="42" t="s">
        <v>254</v>
      </c>
      <c r="I332" s="43"/>
      <c r="J332" s="43">
        <v>3</v>
      </c>
      <c r="K332" s="25" t="str">
        <f>VLOOKUP(J332,Key!$E$2:$F$9,2,FALSE)</f>
        <v>Study</v>
      </c>
      <c r="L332" s="42" t="s">
        <v>258</v>
      </c>
      <c r="M332" s="43" t="s">
        <v>37</v>
      </c>
      <c r="N332" s="42" t="s">
        <v>254</v>
      </c>
      <c r="O332" s="43"/>
      <c r="P332" s="43">
        <v>2</v>
      </c>
      <c r="Q332" s="25" t="str">
        <f>VLOOKUP(P332,Key!$E$2:$F$9,2,FALSE)</f>
        <v>Work</v>
      </c>
      <c r="R332" s="25" t="str">
        <f t="shared" si="7"/>
        <v>Study-Work</v>
      </c>
      <c r="S332" s="62"/>
      <c r="T332" s="62">
        <v>1</v>
      </c>
      <c r="U332" s="43">
        <v>2</v>
      </c>
      <c r="V332" s="43"/>
      <c r="W332" s="62"/>
      <c r="X332" s="62"/>
      <c r="Y332" s="63"/>
      <c r="Z332" s="73"/>
      <c r="AA332" s="25">
        <f>VLOOKUP(F332,'[1]Zones 1'!$A$2:$F$25426,6,FALSE)</f>
        <v>651</v>
      </c>
      <c r="AB332" s="25">
        <f>VLOOKUP(L332,'[1]Zones 1'!$A$2:$F$25426,6,FALSE)</f>
        <v>655</v>
      </c>
    </row>
    <row r="333" spans="2:28">
      <c r="B333" s="40" t="s">
        <v>500</v>
      </c>
      <c r="C333" s="40"/>
      <c r="D333" s="41">
        <v>1</v>
      </c>
      <c r="E333" s="42">
        <v>1</v>
      </c>
      <c r="F333" s="42" t="s">
        <v>241</v>
      </c>
      <c r="G333" s="43" t="s">
        <v>241</v>
      </c>
      <c r="H333" s="42" t="s">
        <v>254</v>
      </c>
      <c r="I333" s="43"/>
      <c r="J333" s="43">
        <v>3</v>
      </c>
      <c r="K333" s="25" t="str">
        <f>VLOOKUP(J333,Key!$E$2:$F$9,2,FALSE)</f>
        <v>Study</v>
      </c>
      <c r="L333" s="42" t="s">
        <v>258</v>
      </c>
      <c r="M333" s="43" t="s">
        <v>37</v>
      </c>
      <c r="N333" s="42" t="s">
        <v>254</v>
      </c>
      <c r="O333" s="43"/>
      <c r="P333" s="43">
        <v>3</v>
      </c>
      <c r="Q333" s="25" t="str">
        <f>VLOOKUP(P333,Key!$E$2:$F$9,2,FALSE)</f>
        <v>Study</v>
      </c>
      <c r="R333" s="25" t="str">
        <f t="shared" si="7"/>
        <v>Study-Study</v>
      </c>
      <c r="S333" s="62"/>
      <c r="T333" s="62">
        <v>1</v>
      </c>
      <c r="U333" s="43">
        <v>2</v>
      </c>
      <c r="V333" s="43"/>
      <c r="W333" s="62"/>
      <c r="X333" s="62"/>
      <c r="Y333" s="63"/>
      <c r="Z333" s="73"/>
      <c r="AA333" s="25">
        <f>VLOOKUP(F333,'[1]Zones 1'!$A$2:$F$25426,6,FALSE)</f>
        <v>521</v>
      </c>
      <c r="AB333" s="25">
        <f>VLOOKUP(L333,'[1]Zones 1'!$A$2:$F$25426,6,FALSE)</f>
        <v>655</v>
      </c>
    </row>
    <row r="334" spans="2:28">
      <c r="B334" s="40" t="s">
        <v>432</v>
      </c>
      <c r="C334" s="40"/>
      <c r="D334" s="41">
        <v>1</v>
      </c>
      <c r="E334" s="42">
        <v>1</v>
      </c>
      <c r="F334" s="42" t="s">
        <v>37</v>
      </c>
      <c r="G334" s="43" t="s">
        <v>37</v>
      </c>
      <c r="H334" s="42" t="s">
        <v>254</v>
      </c>
      <c r="I334" s="43"/>
      <c r="J334" s="43">
        <v>4</v>
      </c>
      <c r="K334" s="25" t="str">
        <f>VLOOKUP(J334,Key!$E$2:$F$9,2,FALSE)</f>
        <v>Commercial</v>
      </c>
      <c r="L334" s="42" t="s">
        <v>38</v>
      </c>
      <c r="M334" s="43" t="s">
        <v>37</v>
      </c>
      <c r="N334" s="42" t="s">
        <v>254</v>
      </c>
      <c r="O334" s="43"/>
      <c r="P334" s="43">
        <v>4</v>
      </c>
      <c r="Q334" s="25" t="str">
        <f>VLOOKUP(P334,Key!$E$2:$F$9,2,FALSE)</f>
        <v>Commercial</v>
      </c>
      <c r="R334" s="25" t="str">
        <f t="shared" si="7"/>
        <v>Commercial-Commercial</v>
      </c>
      <c r="S334" s="62"/>
      <c r="T334" s="62">
        <v>1</v>
      </c>
      <c r="U334" s="43">
        <v>2</v>
      </c>
      <c r="V334" s="43"/>
      <c r="W334" s="62"/>
      <c r="X334" s="62"/>
      <c r="Y334" s="63"/>
      <c r="Z334" s="73"/>
      <c r="AA334" s="25">
        <f>VLOOKUP(F334,'[1]Zones 1'!$A$2:$F$25426,6,FALSE)</f>
        <v>651</v>
      </c>
      <c r="AB334" s="25">
        <f>VLOOKUP(L334,'[1]Zones 1'!$A$2:$F$25426,6,FALSE)</f>
        <v>644</v>
      </c>
    </row>
    <row r="335" spans="2:28">
      <c r="B335" s="40" t="s">
        <v>501</v>
      </c>
      <c r="C335" s="40"/>
      <c r="D335" s="41">
        <v>3</v>
      </c>
      <c r="E335" s="42">
        <v>1</v>
      </c>
      <c r="F335" s="42" t="s">
        <v>37</v>
      </c>
      <c r="G335" s="43" t="s">
        <v>37</v>
      </c>
      <c r="H335" s="42" t="s">
        <v>254</v>
      </c>
      <c r="I335" s="43"/>
      <c r="J335" s="43">
        <v>3</v>
      </c>
      <c r="K335" s="25" t="str">
        <f>VLOOKUP(J335,Key!$E$2:$F$9,2,FALSE)</f>
        <v>Study</v>
      </c>
      <c r="L335" s="42" t="s">
        <v>38</v>
      </c>
      <c r="M335" s="43" t="s">
        <v>37</v>
      </c>
      <c r="N335" s="42" t="s">
        <v>254</v>
      </c>
      <c r="O335" s="43"/>
      <c r="P335" s="43">
        <v>4</v>
      </c>
      <c r="Q335" s="25" t="str">
        <f>VLOOKUP(P335,Key!$E$2:$F$9,2,FALSE)</f>
        <v>Commercial</v>
      </c>
      <c r="R335" s="25" t="str">
        <f t="shared" si="7"/>
        <v>Study-Commercial</v>
      </c>
      <c r="S335" s="62"/>
      <c r="T335" s="62">
        <v>1</v>
      </c>
      <c r="U335" s="43">
        <v>2</v>
      </c>
      <c r="V335" s="43"/>
      <c r="W335" s="62"/>
      <c r="X335" s="62"/>
      <c r="Y335" s="63"/>
      <c r="Z335" s="73"/>
      <c r="AA335" s="25">
        <f>VLOOKUP(F335,'[1]Zones 1'!$A$2:$F$25426,6,FALSE)</f>
        <v>651</v>
      </c>
      <c r="AB335" s="25">
        <f>VLOOKUP(L335,'[1]Zones 1'!$A$2:$F$25426,6,FALSE)</f>
        <v>644</v>
      </c>
    </row>
    <row r="336" spans="2:28">
      <c r="B336" s="40" t="s">
        <v>433</v>
      </c>
      <c r="C336" s="40"/>
      <c r="D336" s="41">
        <v>1</v>
      </c>
      <c r="E336" s="42">
        <v>1</v>
      </c>
      <c r="F336" s="42" t="s">
        <v>37</v>
      </c>
      <c r="G336" s="43" t="s">
        <v>37</v>
      </c>
      <c r="H336" s="42" t="s">
        <v>254</v>
      </c>
      <c r="I336" s="43"/>
      <c r="J336" s="43">
        <v>4</v>
      </c>
      <c r="K336" s="25" t="str">
        <f>VLOOKUP(J336,Key!$E$2:$F$9,2,FALSE)</f>
        <v>Commercial</v>
      </c>
      <c r="L336" s="42" t="s">
        <v>38</v>
      </c>
      <c r="M336" s="43" t="s">
        <v>37</v>
      </c>
      <c r="N336" s="42" t="s">
        <v>254</v>
      </c>
      <c r="O336" s="43"/>
      <c r="P336" s="43">
        <v>4</v>
      </c>
      <c r="Q336" s="25" t="str">
        <f>VLOOKUP(P336,Key!$E$2:$F$9,2,FALSE)</f>
        <v>Commercial</v>
      </c>
      <c r="R336" s="25" t="str">
        <f t="shared" si="7"/>
        <v>Commercial-Commercial</v>
      </c>
      <c r="S336" s="62"/>
      <c r="T336" s="62">
        <v>1</v>
      </c>
      <c r="U336" s="43">
        <v>3</v>
      </c>
      <c r="V336" s="43"/>
      <c r="W336" s="62"/>
      <c r="X336" s="62"/>
      <c r="Y336" s="63"/>
      <c r="Z336" s="73"/>
      <c r="AA336" s="25">
        <f>VLOOKUP(F336,'[1]Zones 1'!$A$2:$F$25426,6,FALSE)</f>
        <v>651</v>
      </c>
      <c r="AB336" s="25">
        <f>VLOOKUP(L336,'[1]Zones 1'!$A$2:$F$25426,6,FALSE)</f>
        <v>644</v>
      </c>
    </row>
    <row r="337" spans="2:28">
      <c r="B337" s="40" t="s">
        <v>502</v>
      </c>
      <c r="C337" s="40"/>
      <c r="D337" s="41">
        <v>1</v>
      </c>
      <c r="E337" s="42">
        <v>1</v>
      </c>
      <c r="F337" s="42" t="s">
        <v>37</v>
      </c>
      <c r="G337" s="43" t="s">
        <v>37</v>
      </c>
      <c r="H337" s="42" t="s">
        <v>254</v>
      </c>
      <c r="I337" s="43"/>
      <c r="J337" s="43">
        <v>2</v>
      </c>
      <c r="K337" s="25" t="str">
        <f>VLOOKUP(J337,Key!$E$2:$F$9,2,FALSE)</f>
        <v>Work</v>
      </c>
      <c r="L337" s="42" t="s">
        <v>38</v>
      </c>
      <c r="M337" s="43" t="s">
        <v>37</v>
      </c>
      <c r="N337" s="42" t="s">
        <v>254</v>
      </c>
      <c r="O337" s="43"/>
      <c r="P337" s="43">
        <v>3</v>
      </c>
      <c r="Q337" s="25" t="str">
        <f>VLOOKUP(P337,Key!$E$2:$F$9,2,FALSE)</f>
        <v>Study</v>
      </c>
      <c r="R337" s="25" t="str">
        <f t="shared" si="7"/>
        <v>Work-Study</v>
      </c>
      <c r="S337" s="62"/>
      <c r="T337" s="62">
        <v>1</v>
      </c>
      <c r="U337" s="43">
        <v>2</v>
      </c>
      <c r="V337" s="43"/>
      <c r="W337" s="62"/>
      <c r="X337" s="62"/>
      <c r="Y337" s="63"/>
      <c r="Z337" s="73"/>
      <c r="AA337" s="25">
        <f>VLOOKUP(F337,'[1]Zones 1'!$A$2:$F$25426,6,FALSE)</f>
        <v>651</v>
      </c>
      <c r="AB337" s="25">
        <f>VLOOKUP(L337,'[1]Zones 1'!$A$2:$F$25426,6,FALSE)</f>
        <v>644</v>
      </c>
    </row>
    <row r="338" spans="2:28">
      <c r="B338" s="40">
        <v>0.77638888888888891</v>
      </c>
      <c r="C338" s="40"/>
      <c r="D338" s="41">
        <v>3</v>
      </c>
      <c r="E338" s="42">
        <v>1</v>
      </c>
      <c r="F338" s="42" t="s">
        <v>37</v>
      </c>
      <c r="G338" s="43" t="s">
        <v>37</v>
      </c>
      <c r="H338" s="42" t="s">
        <v>254</v>
      </c>
      <c r="I338" s="43"/>
      <c r="J338" s="43">
        <v>1</v>
      </c>
      <c r="K338" s="25" t="str">
        <f>VLOOKUP(J338,Key!$E$2:$F$9,2,FALSE)</f>
        <v>Home</v>
      </c>
      <c r="L338" s="42" t="s">
        <v>38</v>
      </c>
      <c r="M338" s="43" t="s">
        <v>37</v>
      </c>
      <c r="N338" s="42" t="s">
        <v>254</v>
      </c>
      <c r="O338" s="43"/>
      <c r="P338" s="43">
        <v>2</v>
      </c>
      <c r="Q338" s="25" t="str">
        <f>VLOOKUP(P338,Key!$E$2:$F$9,2,FALSE)</f>
        <v>Work</v>
      </c>
      <c r="R338" s="25" t="str">
        <f t="shared" si="7"/>
        <v>Home-Work</v>
      </c>
      <c r="S338" s="62"/>
      <c r="T338" s="62">
        <v>0</v>
      </c>
      <c r="U338" s="43">
        <v>2</v>
      </c>
      <c r="V338" s="43"/>
      <c r="W338" s="62"/>
      <c r="X338" s="62"/>
      <c r="Y338" s="63"/>
      <c r="Z338" s="73"/>
      <c r="AA338" s="25">
        <f>VLOOKUP(F338,'[1]Zones 1'!$A$2:$F$25426,6,FALSE)</f>
        <v>651</v>
      </c>
      <c r="AB338" s="25">
        <f>VLOOKUP(L338,'[1]Zones 1'!$A$2:$F$25426,6,FALSE)</f>
        <v>644</v>
      </c>
    </row>
    <row r="339" spans="2:28">
      <c r="B339" s="40">
        <v>0.31944444444444448</v>
      </c>
      <c r="C339" s="40"/>
      <c r="D339" s="41">
        <v>2</v>
      </c>
      <c r="E339" s="41">
        <v>1</v>
      </c>
      <c r="F339" s="42" t="s">
        <v>38</v>
      </c>
      <c r="G339" s="42" t="s">
        <v>37</v>
      </c>
      <c r="H339" s="42" t="s">
        <v>254</v>
      </c>
      <c r="I339" s="42"/>
      <c r="J339" s="42">
        <v>1</v>
      </c>
      <c r="K339" s="25" t="str">
        <f>VLOOKUP(J339,[2]Key!$E$2:$F$9,2,FALSE)</f>
        <v>Home</v>
      </c>
      <c r="L339" s="42" t="s">
        <v>241</v>
      </c>
      <c r="M339" s="43" t="s">
        <v>241</v>
      </c>
      <c r="N339" s="43" t="s">
        <v>254</v>
      </c>
      <c r="O339" s="43"/>
      <c r="P339" s="43">
        <v>1</v>
      </c>
      <c r="Q339" s="25" t="str">
        <f>VLOOKUP(P339,[2]Key!$E$2:$F$9,2,FALSE)</f>
        <v>Home</v>
      </c>
      <c r="R339" s="25" t="str">
        <f>K339&amp;"-"&amp;Q339</f>
        <v>Home-Home</v>
      </c>
      <c r="S339" s="62"/>
      <c r="T339" s="62">
        <v>2</v>
      </c>
      <c r="U339" s="72">
        <v>1</v>
      </c>
      <c r="V339" s="72"/>
      <c r="W339" s="62"/>
      <c r="X339" s="62"/>
      <c r="Y339" s="63"/>
      <c r="Z339" s="73"/>
      <c r="AA339" s="25">
        <f>VLOOKUP(F339,'[1]Zones 1'!$A$2:$F$25426,6,FALSE)</f>
        <v>644</v>
      </c>
      <c r="AB339" s="25">
        <f>VLOOKUP(L339,'[1]Zones 1'!$A$2:$F$25426,6,FALSE)</f>
        <v>521</v>
      </c>
    </row>
    <row r="340" spans="2:28">
      <c r="B340" s="40" t="s">
        <v>505</v>
      </c>
      <c r="C340" s="40"/>
      <c r="D340" s="41">
        <v>4</v>
      </c>
      <c r="E340" s="41">
        <v>3</v>
      </c>
      <c r="F340" s="42" t="s">
        <v>38</v>
      </c>
      <c r="G340" s="42" t="s">
        <v>37</v>
      </c>
      <c r="H340" s="42" t="s">
        <v>254</v>
      </c>
      <c r="I340" s="42"/>
      <c r="J340" s="42">
        <v>1</v>
      </c>
      <c r="K340" s="25" t="str">
        <f>VLOOKUP(J340,[2]Key!$E$2:$F$9,2,FALSE)</f>
        <v>Home</v>
      </c>
      <c r="L340" s="42" t="s">
        <v>37</v>
      </c>
      <c r="M340" s="43" t="s">
        <v>37</v>
      </c>
      <c r="N340" s="43" t="s">
        <v>254</v>
      </c>
      <c r="O340" s="43"/>
      <c r="P340" s="43">
        <v>1</v>
      </c>
      <c r="Q340" s="25" t="str">
        <f>VLOOKUP(P340,[2]Key!$E$2:$F$9,2,FALSE)</f>
        <v>Home</v>
      </c>
      <c r="R340" s="25" t="str">
        <f t="shared" ref="R340:R392" si="8">K340&amp;"-"&amp;Q340</f>
        <v>Home-Home</v>
      </c>
      <c r="S340" s="62"/>
      <c r="T340" s="62">
        <v>0.83333333333333337</v>
      </c>
      <c r="U340" s="72">
        <v>2</v>
      </c>
      <c r="V340" s="72"/>
      <c r="W340" s="62"/>
      <c r="X340" s="62"/>
      <c r="Y340" s="63"/>
      <c r="Z340" s="73"/>
      <c r="AA340" s="25">
        <f>VLOOKUP(F340,'[1]Zones 1'!$A$2:$F$25426,6,FALSE)</f>
        <v>644</v>
      </c>
      <c r="AB340" s="25">
        <f>VLOOKUP(L340,'[1]Zones 1'!$A$2:$F$25426,6,FALSE)</f>
        <v>651</v>
      </c>
    </row>
    <row r="341" spans="2:28">
      <c r="B341" s="40" t="s">
        <v>506</v>
      </c>
      <c r="C341" s="40"/>
      <c r="D341" s="41">
        <v>3</v>
      </c>
      <c r="E341" s="41">
        <v>5</v>
      </c>
      <c r="F341" s="42" t="s">
        <v>38</v>
      </c>
      <c r="G341" s="42" t="s">
        <v>37</v>
      </c>
      <c r="H341" s="42" t="s">
        <v>254</v>
      </c>
      <c r="I341" s="42"/>
      <c r="J341" s="42">
        <v>1</v>
      </c>
      <c r="K341" s="25" t="str">
        <f>VLOOKUP(J341,[2]Key!$E$2:$F$9,2,FALSE)</f>
        <v>Home</v>
      </c>
      <c r="L341" s="42" t="s">
        <v>37</v>
      </c>
      <c r="M341" s="43" t="s">
        <v>37</v>
      </c>
      <c r="N341" s="43" t="s">
        <v>254</v>
      </c>
      <c r="O341" s="43"/>
      <c r="P341" s="43">
        <v>1</v>
      </c>
      <c r="Q341" s="25" t="str">
        <f>VLOOKUP(P341,[2]Key!$E$2:$F$9,2,FALSE)</f>
        <v>Home</v>
      </c>
      <c r="R341" s="25" t="str">
        <f t="shared" si="8"/>
        <v>Home-Home</v>
      </c>
      <c r="S341" s="62"/>
      <c r="T341" s="62">
        <v>2</v>
      </c>
      <c r="U341" s="72">
        <v>3</v>
      </c>
      <c r="V341" s="72">
        <v>3</v>
      </c>
      <c r="W341" s="62"/>
      <c r="X341" s="62"/>
      <c r="Y341" s="63"/>
      <c r="Z341" s="73"/>
      <c r="AA341" s="25">
        <f>VLOOKUP(F341,'[1]Zones 1'!$A$2:$F$25426,6,FALSE)</f>
        <v>644</v>
      </c>
      <c r="AB341" s="25">
        <f>VLOOKUP(L341,'[1]Zones 1'!$A$2:$F$25426,6,FALSE)</f>
        <v>651</v>
      </c>
    </row>
    <row r="342" spans="2:28">
      <c r="B342" s="40" t="s">
        <v>507</v>
      </c>
      <c r="C342" s="40"/>
      <c r="D342" s="41">
        <v>3</v>
      </c>
      <c r="E342" s="41">
        <v>3</v>
      </c>
      <c r="F342" s="42" t="s">
        <v>256</v>
      </c>
      <c r="G342" s="42" t="s">
        <v>37</v>
      </c>
      <c r="H342" s="42" t="s">
        <v>254</v>
      </c>
      <c r="I342" s="42"/>
      <c r="J342" s="42">
        <v>1</v>
      </c>
      <c r="K342" s="25" t="str">
        <f>VLOOKUP(J342,[2]Key!$E$2:$F$9,2,FALSE)</f>
        <v>Home</v>
      </c>
      <c r="L342" s="42" t="s">
        <v>37</v>
      </c>
      <c r="M342" s="43" t="s">
        <v>37</v>
      </c>
      <c r="N342" s="43" t="s">
        <v>254</v>
      </c>
      <c r="O342" s="43"/>
      <c r="P342" s="43">
        <v>1</v>
      </c>
      <c r="Q342" s="25" t="str">
        <f>VLOOKUP(P342,[2]Key!$E$2:$F$9,2,FALSE)</f>
        <v>Home</v>
      </c>
      <c r="R342" s="25" t="str">
        <f t="shared" si="8"/>
        <v>Home-Home</v>
      </c>
      <c r="S342" s="62"/>
      <c r="T342" s="62">
        <v>1</v>
      </c>
      <c r="U342" s="72">
        <v>4</v>
      </c>
      <c r="V342" s="72">
        <v>6</v>
      </c>
      <c r="W342" s="62"/>
      <c r="X342" s="62"/>
      <c r="Y342" s="63"/>
      <c r="Z342" s="73"/>
      <c r="AA342" s="25">
        <f>VLOOKUP(F342,'[1]Zones 1'!$A$2:$F$25426,6,FALSE)</f>
        <v>1440</v>
      </c>
      <c r="AB342" s="25">
        <f>VLOOKUP(L342,'[1]Zones 1'!$A$2:$F$25426,6,FALSE)</f>
        <v>651</v>
      </c>
    </row>
    <row r="343" spans="2:28">
      <c r="B343" s="40" t="s">
        <v>449</v>
      </c>
      <c r="C343" s="40"/>
      <c r="D343" s="41">
        <v>4</v>
      </c>
      <c r="E343" s="41">
        <v>4</v>
      </c>
      <c r="F343" s="42" t="s">
        <v>260</v>
      </c>
      <c r="G343" s="42" t="s">
        <v>37</v>
      </c>
      <c r="H343" s="42" t="s">
        <v>254</v>
      </c>
      <c r="I343" s="42"/>
      <c r="J343" s="42">
        <v>1</v>
      </c>
      <c r="K343" s="25" t="str">
        <f>VLOOKUP(J343,[2]Key!$E$2:$F$9,2,FALSE)</f>
        <v>Home</v>
      </c>
      <c r="L343" s="42" t="s">
        <v>37</v>
      </c>
      <c r="M343" s="43" t="s">
        <v>37</v>
      </c>
      <c r="N343" s="43" t="s">
        <v>254</v>
      </c>
      <c r="O343" s="43"/>
      <c r="P343" s="43">
        <v>1</v>
      </c>
      <c r="Q343" s="25" t="str">
        <f>VLOOKUP(P343,[2]Key!$E$2:$F$9,2,FALSE)</f>
        <v>Home</v>
      </c>
      <c r="R343" s="25" t="str">
        <f t="shared" si="8"/>
        <v>Home-Home</v>
      </c>
      <c r="S343" s="62"/>
      <c r="T343" s="62">
        <v>3</v>
      </c>
      <c r="U343" s="72">
        <v>3</v>
      </c>
      <c r="V343" s="72"/>
      <c r="W343" s="62"/>
      <c r="X343" s="62"/>
      <c r="Y343" s="63"/>
      <c r="Z343" s="73"/>
      <c r="AA343" s="25">
        <f>VLOOKUP(F343,'[1]Zones 1'!$A$2:$F$25426,6,FALSE)</f>
        <v>651</v>
      </c>
      <c r="AB343" s="25">
        <f>VLOOKUP(L343,'[1]Zones 1'!$A$2:$F$25426,6,FALSE)</f>
        <v>651</v>
      </c>
    </row>
    <row r="344" spans="2:28">
      <c r="B344" s="40" t="s">
        <v>508</v>
      </c>
      <c r="C344" s="40"/>
      <c r="D344" s="41">
        <v>2</v>
      </c>
      <c r="E344" s="41">
        <v>4</v>
      </c>
      <c r="F344" s="42" t="s">
        <v>38</v>
      </c>
      <c r="G344" s="42" t="s">
        <v>37</v>
      </c>
      <c r="H344" s="42" t="s">
        <v>254</v>
      </c>
      <c r="I344" s="42"/>
      <c r="J344" s="42">
        <v>1</v>
      </c>
      <c r="K344" s="25" t="str">
        <f>VLOOKUP(J344,[2]Key!$E$2:$F$9,2,FALSE)</f>
        <v>Home</v>
      </c>
      <c r="L344" s="42" t="s">
        <v>241</v>
      </c>
      <c r="M344" s="43" t="s">
        <v>241</v>
      </c>
      <c r="N344" s="43" t="s">
        <v>254</v>
      </c>
      <c r="O344" s="43"/>
      <c r="P344" s="43">
        <v>1</v>
      </c>
      <c r="Q344" s="25" t="str">
        <f>VLOOKUP(P344,[2]Key!$E$2:$F$9,2,FALSE)</f>
        <v>Home</v>
      </c>
      <c r="R344" s="25" t="str">
        <f t="shared" si="8"/>
        <v>Home-Home</v>
      </c>
      <c r="S344" s="62"/>
      <c r="T344" s="62">
        <v>2</v>
      </c>
      <c r="U344" s="72">
        <v>5</v>
      </c>
      <c r="V344" s="72"/>
      <c r="W344" s="62"/>
      <c r="X344" s="62"/>
      <c r="Y344" s="63"/>
      <c r="Z344" s="73"/>
      <c r="AA344" s="25">
        <f>VLOOKUP(F344,'[1]Zones 1'!$A$2:$F$25426,6,FALSE)</f>
        <v>644</v>
      </c>
      <c r="AB344" s="25">
        <f>VLOOKUP(L344,'[1]Zones 1'!$A$2:$F$25426,6,FALSE)</f>
        <v>521</v>
      </c>
    </row>
    <row r="345" spans="2:28">
      <c r="B345" s="40" t="s">
        <v>262</v>
      </c>
      <c r="C345" s="40"/>
      <c r="D345" s="41">
        <v>1</v>
      </c>
      <c r="E345" s="41">
        <v>1</v>
      </c>
      <c r="F345" s="42" t="s">
        <v>576</v>
      </c>
      <c r="G345" s="42" t="s">
        <v>37</v>
      </c>
      <c r="H345" s="42" t="s">
        <v>254</v>
      </c>
      <c r="I345" s="42"/>
      <c r="J345" s="42">
        <v>1</v>
      </c>
      <c r="K345" s="25" t="str">
        <f>VLOOKUP(J345,[2]Key!$E$2:$F$9,2,FALSE)</f>
        <v>Home</v>
      </c>
      <c r="L345" s="42" t="s">
        <v>37</v>
      </c>
      <c r="M345" s="43" t="s">
        <v>37</v>
      </c>
      <c r="N345" s="43" t="s">
        <v>254</v>
      </c>
      <c r="O345" s="43"/>
      <c r="P345" s="43">
        <v>1</v>
      </c>
      <c r="Q345" s="25" t="str">
        <f>VLOOKUP(P345,[2]Key!$E$2:$F$9,2,FALSE)</f>
        <v>Home</v>
      </c>
      <c r="R345" s="25" t="str">
        <f t="shared" si="8"/>
        <v>Home-Home</v>
      </c>
      <c r="S345" s="62"/>
      <c r="T345" s="62">
        <v>0</v>
      </c>
      <c r="U345" s="72">
        <v>3</v>
      </c>
      <c r="V345" s="72"/>
      <c r="W345" s="62"/>
      <c r="X345" s="62"/>
      <c r="Y345" s="63"/>
      <c r="Z345" s="73"/>
      <c r="AA345" s="25">
        <f>VLOOKUP(F345,'[1]Zones 1'!$A$2:$F$25426,6,FALSE)</f>
        <v>655</v>
      </c>
      <c r="AB345" s="25">
        <f>VLOOKUP(L345,'[1]Zones 1'!$A$2:$F$25426,6,FALSE)</f>
        <v>651</v>
      </c>
    </row>
    <row r="346" spans="2:28">
      <c r="B346" s="40" t="s">
        <v>510</v>
      </c>
      <c r="C346" s="40"/>
      <c r="D346" s="41">
        <v>3</v>
      </c>
      <c r="E346" s="41">
        <v>1</v>
      </c>
      <c r="F346" s="42" t="s">
        <v>88</v>
      </c>
      <c r="G346" s="42" t="s">
        <v>37</v>
      </c>
      <c r="H346" s="42" t="s">
        <v>254</v>
      </c>
      <c r="I346" s="42"/>
      <c r="J346" s="42">
        <v>1</v>
      </c>
      <c r="K346" s="25" t="str">
        <f>VLOOKUP(J346,[2]Key!$E$2:$F$9,2,FALSE)</f>
        <v>Home</v>
      </c>
      <c r="L346" s="42" t="s">
        <v>249</v>
      </c>
      <c r="M346" s="43" t="s">
        <v>37</v>
      </c>
      <c r="N346" s="43" t="s">
        <v>254</v>
      </c>
      <c r="O346" s="43"/>
      <c r="P346" s="43">
        <v>1</v>
      </c>
      <c r="Q346" s="25" t="str">
        <f>VLOOKUP(P346,[2]Key!$E$2:$F$9,2,FALSE)</f>
        <v>Home</v>
      </c>
      <c r="R346" s="25" t="str">
        <f t="shared" si="8"/>
        <v>Home-Home</v>
      </c>
      <c r="S346" s="62"/>
      <c r="T346" s="62">
        <v>2</v>
      </c>
      <c r="U346" s="72">
        <v>2</v>
      </c>
      <c r="V346" s="72"/>
      <c r="W346" s="62"/>
      <c r="X346" s="62"/>
      <c r="Y346" s="63"/>
      <c r="Z346" s="73"/>
      <c r="AA346" s="25">
        <f>VLOOKUP(F346,'[1]Zones 1'!$A$2:$F$25426,6,FALSE)</f>
        <v>659</v>
      </c>
      <c r="AB346" s="25">
        <f>VLOOKUP(L346,'[1]Zones 1'!$A$2:$F$25426,6,FALSE)</f>
        <v>655</v>
      </c>
    </row>
    <row r="347" spans="2:28">
      <c r="B347" s="40" t="s">
        <v>264</v>
      </c>
      <c r="C347" s="40"/>
      <c r="D347" s="41">
        <v>2</v>
      </c>
      <c r="E347" s="41">
        <v>1</v>
      </c>
      <c r="F347" s="42" t="s">
        <v>38</v>
      </c>
      <c r="G347" s="42" t="s">
        <v>37</v>
      </c>
      <c r="H347" s="42" t="s">
        <v>254</v>
      </c>
      <c r="I347" s="42"/>
      <c r="J347" s="42">
        <v>1</v>
      </c>
      <c r="K347" s="25" t="str">
        <f>VLOOKUP(J347,[2]Key!$E$2:$F$9,2,FALSE)</f>
        <v>Home</v>
      </c>
      <c r="L347" s="42" t="s">
        <v>37</v>
      </c>
      <c r="M347" s="43" t="s">
        <v>37</v>
      </c>
      <c r="N347" s="43" t="s">
        <v>254</v>
      </c>
      <c r="O347" s="43"/>
      <c r="P347" s="43">
        <v>1</v>
      </c>
      <c r="Q347" s="25" t="str">
        <f>VLOOKUP(P347,[2]Key!$E$2:$F$9,2,FALSE)</f>
        <v>Home</v>
      </c>
      <c r="R347" s="25" t="str">
        <f t="shared" si="8"/>
        <v>Home-Home</v>
      </c>
      <c r="S347" s="62"/>
      <c r="T347" s="62">
        <v>4</v>
      </c>
      <c r="U347" s="72">
        <v>4</v>
      </c>
      <c r="V347" s="72">
        <v>5</v>
      </c>
      <c r="W347" s="62"/>
      <c r="X347" s="62"/>
      <c r="Y347" s="63"/>
      <c r="Z347" s="73"/>
      <c r="AA347" s="25">
        <f>VLOOKUP(F347,'[1]Zones 1'!$A$2:$F$25426,6,FALSE)</f>
        <v>644</v>
      </c>
      <c r="AB347" s="25">
        <f>VLOOKUP(L347,'[1]Zones 1'!$A$2:$F$25426,6,FALSE)</f>
        <v>651</v>
      </c>
    </row>
    <row r="348" spans="2:28">
      <c r="B348" s="40" t="s">
        <v>512</v>
      </c>
      <c r="C348" s="40"/>
      <c r="D348" s="41">
        <v>3</v>
      </c>
      <c r="E348" s="41">
        <v>11</v>
      </c>
      <c r="F348" s="42" t="s">
        <v>38</v>
      </c>
      <c r="G348" s="42" t="s">
        <v>37</v>
      </c>
      <c r="H348" s="42" t="s">
        <v>254</v>
      </c>
      <c r="I348" s="42"/>
      <c r="J348" s="42">
        <v>1</v>
      </c>
      <c r="K348" s="25" t="str">
        <f>VLOOKUP(J348,[2]Key!$E$2:$F$9,2,FALSE)</f>
        <v>Home</v>
      </c>
      <c r="L348" s="42" t="s">
        <v>37</v>
      </c>
      <c r="M348" s="43" t="s">
        <v>37</v>
      </c>
      <c r="N348" s="43" t="s">
        <v>254</v>
      </c>
      <c r="O348" s="43"/>
      <c r="P348" s="43">
        <v>1</v>
      </c>
      <c r="Q348" s="25" t="str">
        <f>VLOOKUP(P348,[2]Key!$E$2:$F$9,2,FALSE)</f>
        <v>Home</v>
      </c>
      <c r="R348" s="25" t="str">
        <f t="shared" si="8"/>
        <v>Home-Home</v>
      </c>
      <c r="S348" s="62"/>
      <c r="T348" s="62">
        <v>0</v>
      </c>
      <c r="U348" s="72">
        <v>3</v>
      </c>
      <c r="V348" s="72"/>
      <c r="W348" s="62"/>
      <c r="X348" s="62"/>
      <c r="Y348" s="63"/>
      <c r="Z348" s="73"/>
      <c r="AA348" s="25">
        <f>VLOOKUP(F348,'[1]Zones 1'!$A$2:$F$25426,6,FALSE)</f>
        <v>644</v>
      </c>
      <c r="AB348" s="25">
        <f>VLOOKUP(L348,'[1]Zones 1'!$A$2:$F$25426,6,FALSE)</f>
        <v>651</v>
      </c>
    </row>
    <row r="349" spans="2:28">
      <c r="B349" s="40" t="s">
        <v>513</v>
      </c>
      <c r="C349" s="40"/>
      <c r="D349" s="41">
        <v>3</v>
      </c>
      <c r="E349" s="41">
        <v>11</v>
      </c>
      <c r="F349" s="42" t="s">
        <v>38</v>
      </c>
      <c r="G349" s="42" t="s">
        <v>37</v>
      </c>
      <c r="H349" s="42" t="s">
        <v>254</v>
      </c>
      <c r="I349" s="42"/>
      <c r="J349" s="42">
        <v>1</v>
      </c>
      <c r="K349" s="25" t="str">
        <f>VLOOKUP(J349,[2]Key!$E$2:$F$9,2,FALSE)</f>
        <v>Home</v>
      </c>
      <c r="L349" s="42" t="s">
        <v>37</v>
      </c>
      <c r="M349" s="43" t="s">
        <v>37</v>
      </c>
      <c r="N349" s="43" t="s">
        <v>254</v>
      </c>
      <c r="O349" s="43"/>
      <c r="P349" s="43">
        <v>1</v>
      </c>
      <c r="Q349" s="25" t="str">
        <f>VLOOKUP(P349,[2]Key!$E$2:$F$9,2,FALSE)</f>
        <v>Home</v>
      </c>
      <c r="R349" s="25" t="str">
        <f t="shared" si="8"/>
        <v>Home-Home</v>
      </c>
      <c r="S349" s="62"/>
      <c r="T349" s="62">
        <v>1</v>
      </c>
      <c r="U349" s="72">
        <v>2</v>
      </c>
      <c r="V349" s="72">
        <v>1</v>
      </c>
      <c r="W349" s="62"/>
      <c r="X349" s="62"/>
      <c r="Y349" s="63"/>
      <c r="Z349" s="73"/>
      <c r="AA349" s="25">
        <f>VLOOKUP(F349,'[1]Zones 1'!$A$2:$F$25426,6,FALSE)</f>
        <v>644</v>
      </c>
      <c r="AB349" s="25">
        <f>VLOOKUP(L349,'[1]Zones 1'!$A$2:$F$25426,6,FALSE)</f>
        <v>651</v>
      </c>
    </row>
    <row r="350" spans="2:28">
      <c r="B350" s="40" t="s">
        <v>514</v>
      </c>
      <c r="C350" s="40"/>
      <c r="D350" s="41">
        <v>2</v>
      </c>
      <c r="E350" s="41">
        <v>1</v>
      </c>
      <c r="F350" s="42" t="s">
        <v>515</v>
      </c>
      <c r="G350" s="42" t="s">
        <v>37</v>
      </c>
      <c r="H350" s="42" t="s">
        <v>254</v>
      </c>
      <c r="I350" s="42"/>
      <c r="J350" s="42">
        <v>1</v>
      </c>
      <c r="K350" s="25" t="str">
        <f>VLOOKUP(J350,[2]Key!$E$2:$F$9,2,FALSE)</f>
        <v>Home</v>
      </c>
      <c r="L350" s="42" t="s">
        <v>37</v>
      </c>
      <c r="M350" s="43" t="s">
        <v>37</v>
      </c>
      <c r="N350" s="43" t="s">
        <v>254</v>
      </c>
      <c r="O350" s="43"/>
      <c r="P350" s="43">
        <v>1</v>
      </c>
      <c r="Q350" s="25" t="str">
        <f>VLOOKUP(P350,[2]Key!$E$2:$F$9,2,FALSE)</f>
        <v>Home</v>
      </c>
      <c r="R350" s="25" t="str">
        <f t="shared" si="8"/>
        <v>Home-Home</v>
      </c>
      <c r="S350" s="62"/>
      <c r="T350" s="62">
        <v>0</v>
      </c>
      <c r="U350" s="72">
        <v>4</v>
      </c>
      <c r="V350" s="72"/>
      <c r="W350" s="62"/>
      <c r="X350" s="62"/>
      <c r="Y350" s="63"/>
      <c r="Z350" s="73"/>
      <c r="AA350" s="25">
        <f>VLOOKUP(F350,'[1]Zones 1'!$A$2:$F$25426,6,FALSE)</f>
        <v>666</v>
      </c>
      <c r="AB350" s="25">
        <f>VLOOKUP(L350,'[1]Zones 1'!$A$2:$F$25426,6,FALSE)</f>
        <v>651</v>
      </c>
    </row>
    <row r="351" spans="2:28">
      <c r="B351" s="40" t="s">
        <v>454</v>
      </c>
      <c r="C351" s="40"/>
      <c r="D351" s="41">
        <v>3</v>
      </c>
      <c r="E351" s="41">
        <v>1</v>
      </c>
      <c r="F351" s="42" t="s">
        <v>576</v>
      </c>
      <c r="G351" s="42" t="s">
        <v>37</v>
      </c>
      <c r="H351" s="42" t="s">
        <v>254</v>
      </c>
      <c r="I351" s="42"/>
      <c r="J351" s="42">
        <v>1</v>
      </c>
      <c r="K351" s="25" t="str">
        <f>VLOOKUP(J351,[2]Key!$E$2:$F$9,2,FALSE)</f>
        <v>Home</v>
      </c>
      <c r="L351" s="42" t="s">
        <v>37</v>
      </c>
      <c r="M351" s="43" t="s">
        <v>37</v>
      </c>
      <c r="N351" s="43" t="s">
        <v>254</v>
      </c>
      <c r="O351" s="43"/>
      <c r="P351" s="43">
        <v>1</v>
      </c>
      <c r="Q351" s="25" t="str">
        <f>VLOOKUP(P351,[2]Key!$E$2:$F$9,2,FALSE)</f>
        <v>Home</v>
      </c>
      <c r="R351" s="25" t="str">
        <f t="shared" si="8"/>
        <v>Home-Home</v>
      </c>
      <c r="S351" s="62"/>
      <c r="T351" s="62">
        <v>0</v>
      </c>
      <c r="U351" s="72">
        <v>3</v>
      </c>
      <c r="V351" s="72"/>
      <c r="W351" s="62"/>
      <c r="X351" s="62"/>
      <c r="Y351" s="63"/>
      <c r="Z351" s="73"/>
      <c r="AA351" s="25">
        <f>VLOOKUP(F351,'[1]Zones 1'!$A$2:$F$25426,6,FALSE)</f>
        <v>655</v>
      </c>
      <c r="AB351" s="25">
        <f>VLOOKUP(L351,'[1]Zones 1'!$A$2:$F$25426,6,FALSE)</f>
        <v>651</v>
      </c>
    </row>
    <row r="352" spans="2:28">
      <c r="B352" s="40" t="s">
        <v>516</v>
      </c>
      <c r="C352" s="40"/>
      <c r="D352" s="41">
        <v>4</v>
      </c>
      <c r="E352" s="41">
        <v>11</v>
      </c>
      <c r="F352" s="42" t="s">
        <v>38</v>
      </c>
      <c r="G352" s="42" t="s">
        <v>37</v>
      </c>
      <c r="H352" s="42" t="s">
        <v>254</v>
      </c>
      <c r="I352" s="42"/>
      <c r="J352" s="42">
        <v>1</v>
      </c>
      <c r="K352" s="25" t="str">
        <f>VLOOKUP(J352,[2]Key!$E$2:$F$9,2,FALSE)</f>
        <v>Home</v>
      </c>
      <c r="L352" s="42" t="s">
        <v>37</v>
      </c>
      <c r="M352" s="43" t="s">
        <v>37</v>
      </c>
      <c r="N352" s="43" t="s">
        <v>254</v>
      </c>
      <c r="O352" s="43"/>
      <c r="P352" s="43">
        <v>1</v>
      </c>
      <c r="Q352" s="25" t="str">
        <f>VLOOKUP(P352,[2]Key!$E$2:$F$9,2,FALSE)</f>
        <v>Home</v>
      </c>
      <c r="R352" s="25" t="str">
        <f t="shared" si="8"/>
        <v>Home-Home</v>
      </c>
      <c r="S352" s="62"/>
      <c r="T352" s="62">
        <v>0</v>
      </c>
      <c r="U352" s="72">
        <v>2</v>
      </c>
      <c r="V352" s="72"/>
      <c r="W352" s="62"/>
      <c r="X352" s="62"/>
      <c r="Y352" s="63"/>
      <c r="Z352" s="73"/>
      <c r="AA352" s="25">
        <f>VLOOKUP(F352,'[1]Zones 1'!$A$2:$F$25426,6,FALSE)</f>
        <v>644</v>
      </c>
      <c r="AB352" s="25">
        <f>VLOOKUP(L352,'[1]Zones 1'!$A$2:$F$25426,6,FALSE)</f>
        <v>651</v>
      </c>
    </row>
    <row r="353" spans="2:28">
      <c r="B353" s="40" t="s">
        <v>269</v>
      </c>
      <c r="C353" s="40"/>
      <c r="D353" s="41">
        <v>2</v>
      </c>
      <c r="E353" s="41">
        <v>1</v>
      </c>
      <c r="F353" s="42" t="s">
        <v>515</v>
      </c>
      <c r="G353" s="42" t="s">
        <v>37</v>
      </c>
      <c r="H353" s="42" t="s">
        <v>254</v>
      </c>
      <c r="I353" s="42"/>
      <c r="J353" s="42">
        <v>1</v>
      </c>
      <c r="K353" s="25" t="str">
        <f>VLOOKUP(J353,[2]Key!$E$2:$F$9,2,FALSE)</f>
        <v>Home</v>
      </c>
      <c r="L353" s="42" t="s">
        <v>37</v>
      </c>
      <c r="M353" s="43" t="s">
        <v>37</v>
      </c>
      <c r="N353" s="43" t="s">
        <v>254</v>
      </c>
      <c r="O353" s="43"/>
      <c r="P353" s="43">
        <v>1</v>
      </c>
      <c r="Q353" s="25" t="str">
        <f>VLOOKUP(P353,[2]Key!$E$2:$F$9,2,FALSE)</f>
        <v>Home</v>
      </c>
      <c r="R353" s="25" t="str">
        <f t="shared" si="8"/>
        <v>Home-Home</v>
      </c>
      <c r="S353" s="62"/>
      <c r="T353" s="62">
        <v>0</v>
      </c>
      <c r="U353" s="72">
        <v>1</v>
      </c>
      <c r="V353" s="72"/>
      <c r="W353" s="62"/>
      <c r="X353" s="62"/>
      <c r="Y353" s="63"/>
      <c r="Z353" s="73"/>
      <c r="AA353" s="25">
        <f>VLOOKUP(F353,'[1]Zones 1'!$A$2:$F$25426,6,FALSE)</f>
        <v>666</v>
      </c>
      <c r="AB353" s="25">
        <f>VLOOKUP(L353,'[1]Zones 1'!$A$2:$F$25426,6,FALSE)</f>
        <v>651</v>
      </c>
    </row>
    <row r="354" spans="2:28">
      <c r="B354" s="40" t="s">
        <v>456</v>
      </c>
      <c r="C354" s="40"/>
      <c r="D354" s="41">
        <v>2</v>
      </c>
      <c r="E354" s="41">
        <v>1</v>
      </c>
      <c r="F354" s="42" t="s">
        <v>38</v>
      </c>
      <c r="G354" s="42" t="s">
        <v>37</v>
      </c>
      <c r="H354" s="42" t="s">
        <v>254</v>
      </c>
      <c r="I354" s="42"/>
      <c r="J354" s="42">
        <v>2</v>
      </c>
      <c r="K354" s="25" t="str">
        <f>VLOOKUP(J354,[2]Key!$E$2:$F$9,2,FALSE)</f>
        <v>Work</v>
      </c>
      <c r="L354" s="42" t="s">
        <v>37</v>
      </c>
      <c r="M354" s="43" t="s">
        <v>37</v>
      </c>
      <c r="N354" s="43" t="s">
        <v>254</v>
      </c>
      <c r="O354" s="43"/>
      <c r="P354" s="43">
        <v>2</v>
      </c>
      <c r="Q354" s="25" t="str">
        <f>VLOOKUP(P354,[2]Key!$E$2:$F$9,2,FALSE)</f>
        <v>Work</v>
      </c>
      <c r="R354" s="25" t="str">
        <f t="shared" si="8"/>
        <v>Work-Work</v>
      </c>
      <c r="S354" s="62"/>
      <c r="T354" s="62">
        <v>0</v>
      </c>
      <c r="U354" s="72">
        <v>1</v>
      </c>
      <c r="V354" s="72">
        <v>2</v>
      </c>
      <c r="W354" s="62"/>
      <c r="X354" s="62"/>
      <c r="Y354" s="63"/>
      <c r="Z354" s="73"/>
      <c r="AA354" s="25">
        <f>VLOOKUP(F354,'[1]Zones 1'!$A$2:$F$25426,6,FALSE)</f>
        <v>644</v>
      </c>
      <c r="AB354" s="25">
        <f>VLOOKUP(L354,'[1]Zones 1'!$A$2:$F$25426,6,FALSE)</f>
        <v>651</v>
      </c>
    </row>
    <row r="355" spans="2:28">
      <c r="B355" s="40" t="s">
        <v>273</v>
      </c>
      <c r="C355" s="40"/>
      <c r="D355" s="41">
        <v>1</v>
      </c>
      <c r="E355" s="41">
        <v>1</v>
      </c>
      <c r="F355" s="42" t="s">
        <v>515</v>
      </c>
      <c r="G355" s="42" t="s">
        <v>37</v>
      </c>
      <c r="H355" s="42" t="s">
        <v>254</v>
      </c>
      <c r="I355" s="42"/>
      <c r="J355" s="42">
        <v>2</v>
      </c>
      <c r="K355" s="25" t="str">
        <f>VLOOKUP(J355,[2]Key!$E$2:$F$9,2,FALSE)</f>
        <v>Work</v>
      </c>
      <c r="L355" s="42" t="s">
        <v>37</v>
      </c>
      <c r="M355" s="43" t="s">
        <v>37</v>
      </c>
      <c r="N355" s="43" t="s">
        <v>254</v>
      </c>
      <c r="O355" s="43"/>
      <c r="P355" s="43">
        <v>2</v>
      </c>
      <c r="Q355" s="25" t="str">
        <f>VLOOKUP(P355,[2]Key!$E$2:$F$9,2,FALSE)</f>
        <v>Work</v>
      </c>
      <c r="R355" s="25" t="str">
        <f t="shared" si="8"/>
        <v>Work-Work</v>
      </c>
      <c r="S355" s="62"/>
      <c r="T355" s="62">
        <v>0</v>
      </c>
      <c r="U355" s="72">
        <v>1</v>
      </c>
      <c r="V355" s="72"/>
      <c r="W355" s="62"/>
      <c r="X355" s="62"/>
      <c r="Y355" s="63"/>
      <c r="Z355" s="73"/>
      <c r="AA355" s="25">
        <f>VLOOKUP(F355,'[1]Zones 1'!$A$2:$F$25426,6,FALSE)</f>
        <v>666</v>
      </c>
      <c r="AB355" s="25">
        <f>VLOOKUP(L355,'[1]Zones 1'!$A$2:$F$25426,6,FALSE)</f>
        <v>651</v>
      </c>
    </row>
    <row r="356" spans="2:28">
      <c r="B356" s="40" t="s">
        <v>274</v>
      </c>
      <c r="C356" s="40"/>
      <c r="D356" s="41">
        <v>3</v>
      </c>
      <c r="E356" s="41">
        <v>11</v>
      </c>
      <c r="F356" s="42" t="s">
        <v>260</v>
      </c>
      <c r="G356" s="42" t="s">
        <v>37</v>
      </c>
      <c r="H356" s="42" t="s">
        <v>254</v>
      </c>
      <c r="I356" s="42"/>
      <c r="J356" s="42">
        <v>2</v>
      </c>
      <c r="K356" s="25" t="str">
        <f>VLOOKUP(J356,[2]Key!$E$2:$F$9,2,FALSE)</f>
        <v>Work</v>
      </c>
      <c r="L356" s="42" t="s">
        <v>37</v>
      </c>
      <c r="M356" s="43" t="s">
        <v>37</v>
      </c>
      <c r="N356" s="43" t="s">
        <v>254</v>
      </c>
      <c r="O356" s="43"/>
      <c r="P356" s="43">
        <v>2</v>
      </c>
      <c r="Q356" s="25" t="str">
        <f>VLOOKUP(P356,[2]Key!$E$2:$F$9,2,FALSE)</f>
        <v>Work</v>
      </c>
      <c r="R356" s="25" t="str">
        <f t="shared" si="8"/>
        <v>Work-Work</v>
      </c>
      <c r="S356" s="62"/>
      <c r="T356" s="62">
        <v>3</v>
      </c>
      <c r="U356" s="72">
        <v>1</v>
      </c>
      <c r="V356" s="72">
        <v>1</v>
      </c>
      <c r="W356" s="62"/>
      <c r="X356" s="62"/>
      <c r="Y356" s="63"/>
      <c r="Z356" s="73"/>
      <c r="AA356" s="25">
        <f>VLOOKUP(F356,'[1]Zones 1'!$A$2:$F$25426,6,FALSE)</f>
        <v>651</v>
      </c>
      <c r="AB356" s="25">
        <f>VLOOKUP(L356,'[1]Zones 1'!$A$2:$F$25426,6,FALSE)</f>
        <v>651</v>
      </c>
    </row>
    <row r="357" spans="2:28">
      <c r="B357" s="40" t="s">
        <v>401</v>
      </c>
      <c r="C357" s="40"/>
      <c r="D357" s="41">
        <v>2</v>
      </c>
      <c r="E357" s="41">
        <v>1</v>
      </c>
      <c r="F357" s="42" t="s">
        <v>517</v>
      </c>
      <c r="G357" s="42" t="s">
        <v>37</v>
      </c>
      <c r="H357" s="42" t="s">
        <v>254</v>
      </c>
      <c r="I357" s="42"/>
      <c r="J357" s="42">
        <v>2</v>
      </c>
      <c r="K357" s="25" t="str">
        <f>VLOOKUP(J357,[2]Key!$E$2:$F$9,2,FALSE)</f>
        <v>Work</v>
      </c>
      <c r="L357" s="42" t="s">
        <v>37</v>
      </c>
      <c r="M357" s="43" t="s">
        <v>37</v>
      </c>
      <c r="N357" s="43" t="s">
        <v>254</v>
      </c>
      <c r="O357" s="43"/>
      <c r="P357" s="43">
        <v>2</v>
      </c>
      <c r="Q357" s="25" t="str">
        <f>VLOOKUP(P357,[2]Key!$E$2:$F$9,2,FALSE)</f>
        <v>Work</v>
      </c>
      <c r="R357" s="25" t="str">
        <f t="shared" si="8"/>
        <v>Work-Work</v>
      </c>
      <c r="S357" s="62"/>
      <c r="T357" s="62">
        <v>0</v>
      </c>
      <c r="U357" s="72">
        <v>1</v>
      </c>
      <c r="V357" s="72">
        <v>6</v>
      </c>
      <c r="W357" s="62"/>
      <c r="X357" s="62"/>
      <c r="Y357" s="63"/>
      <c r="Z357" s="73"/>
      <c r="AA357" s="25">
        <f>VLOOKUP(F357,'[1]Zones 1'!$A$2:$F$25426,6,FALSE)</f>
        <v>644</v>
      </c>
      <c r="AB357" s="25">
        <f>VLOOKUP(L357,'[1]Zones 1'!$A$2:$F$25426,6,FALSE)</f>
        <v>651</v>
      </c>
    </row>
    <row r="358" spans="2:28">
      <c r="B358" s="40" t="s">
        <v>518</v>
      </c>
      <c r="C358" s="40"/>
      <c r="D358" s="41">
        <v>1</v>
      </c>
      <c r="E358" s="41">
        <v>1</v>
      </c>
      <c r="F358" s="42" t="s">
        <v>38</v>
      </c>
      <c r="G358" s="42" t="s">
        <v>37</v>
      </c>
      <c r="H358" s="42" t="s">
        <v>254</v>
      </c>
      <c r="I358" s="42"/>
      <c r="J358" s="42">
        <v>2</v>
      </c>
      <c r="K358" s="25" t="str">
        <f>VLOOKUP(J358,[2]Key!$E$2:$F$9,2,FALSE)</f>
        <v>Work</v>
      </c>
      <c r="L358" s="42" t="s">
        <v>37</v>
      </c>
      <c r="M358" s="43" t="s">
        <v>37</v>
      </c>
      <c r="N358" s="43" t="s">
        <v>254</v>
      </c>
      <c r="O358" s="43"/>
      <c r="P358" s="43">
        <v>2</v>
      </c>
      <c r="Q358" s="25" t="str">
        <f>VLOOKUP(P358,[2]Key!$E$2:$F$9,2,FALSE)</f>
        <v>Work</v>
      </c>
      <c r="R358" s="25" t="str">
        <f t="shared" si="8"/>
        <v>Work-Work</v>
      </c>
      <c r="S358" s="62"/>
      <c r="T358" s="62">
        <v>0</v>
      </c>
      <c r="U358" s="72">
        <v>3</v>
      </c>
      <c r="V358" s="72"/>
      <c r="W358" s="62"/>
      <c r="X358" s="62"/>
      <c r="Y358" s="63"/>
      <c r="Z358" s="73"/>
      <c r="AA358" s="25">
        <f>VLOOKUP(F358,'[1]Zones 1'!$A$2:$F$25426,6,FALSE)</f>
        <v>644</v>
      </c>
      <c r="AB358" s="25">
        <f>VLOOKUP(L358,'[1]Zones 1'!$A$2:$F$25426,6,FALSE)</f>
        <v>651</v>
      </c>
    </row>
    <row r="359" spans="2:28">
      <c r="B359" s="40" t="s">
        <v>519</v>
      </c>
      <c r="C359" s="40"/>
      <c r="D359" s="41">
        <v>3</v>
      </c>
      <c r="E359" s="41">
        <v>1</v>
      </c>
      <c r="F359" s="42" t="s">
        <v>515</v>
      </c>
      <c r="G359" s="42" t="s">
        <v>37</v>
      </c>
      <c r="H359" s="42" t="s">
        <v>254</v>
      </c>
      <c r="I359" s="42"/>
      <c r="J359" s="42">
        <v>2</v>
      </c>
      <c r="K359" s="25" t="str">
        <f>VLOOKUP(J359,[2]Key!$E$2:$F$9,2,FALSE)</f>
        <v>Work</v>
      </c>
      <c r="L359" s="42" t="s">
        <v>37</v>
      </c>
      <c r="M359" s="43" t="s">
        <v>37</v>
      </c>
      <c r="N359" s="43" t="s">
        <v>254</v>
      </c>
      <c r="O359" s="43"/>
      <c r="P359" s="43">
        <v>2</v>
      </c>
      <c r="Q359" s="25" t="str">
        <f>VLOOKUP(P359,[2]Key!$E$2:$F$9,2,FALSE)</f>
        <v>Work</v>
      </c>
      <c r="R359" s="25" t="str">
        <f t="shared" si="8"/>
        <v>Work-Work</v>
      </c>
      <c r="S359" s="62"/>
      <c r="T359" s="62">
        <v>3</v>
      </c>
      <c r="U359" s="72">
        <v>4</v>
      </c>
      <c r="V359" s="72"/>
      <c r="W359" s="62"/>
      <c r="X359" s="62"/>
      <c r="Y359" s="63"/>
      <c r="Z359" s="73"/>
      <c r="AA359" s="25">
        <f>VLOOKUP(F359,'[1]Zones 1'!$A$2:$F$25426,6,FALSE)</f>
        <v>666</v>
      </c>
      <c r="AB359" s="25">
        <f>VLOOKUP(L359,'[1]Zones 1'!$A$2:$F$25426,6,FALSE)</f>
        <v>651</v>
      </c>
    </row>
    <row r="360" spans="2:28">
      <c r="B360" s="40" t="s">
        <v>520</v>
      </c>
      <c r="C360" s="40"/>
      <c r="D360" s="41">
        <v>5</v>
      </c>
      <c r="E360" s="41">
        <v>1</v>
      </c>
      <c r="F360" s="42" t="s">
        <v>38</v>
      </c>
      <c r="G360" s="42" t="s">
        <v>37</v>
      </c>
      <c r="H360" s="42" t="s">
        <v>254</v>
      </c>
      <c r="I360" s="42"/>
      <c r="J360" s="42">
        <v>2</v>
      </c>
      <c r="K360" s="25" t="str">
        <f>VLOOKUP(J360,[2]Key!$E$2:$F$9,2,FALSE)</f>
        <v>Work</v>
      </c>
      <c r="L360" s="42" t="s">
        <v>37</v>
      </c>
      <c r="M360" s="43" t="s">
        <v>37</v>
      </c>
      <c r="N360" s="43" t="s">
        <v>254</v>
      </c>
      <c r="O360" s="43"/>
      <c r="P360" s="43">
        <v>2</v>
      </c>
      <c r="Q360" s="25" t="str">
        <f>VLOOKUP(P360,[2]Key!$E$2:$F$9,2,FALSE)</f>
        <v>Work</v>
      </c>
      <c r="R360" s="25" t="str">
        <f t="shared" si="8"/>
        <v>Work-Work</v>
      </c>
      <c r="S360" s="62"/>
      <c r="T360" s="62">
        <v>0</v>
      </c>
      <c r="U360" s="72">
        <v>2</v>
      </c>
      <c r="V360" s="72"/>
      <c r="W360" s="62"/>
      <c r="X360" s="62"/>
      <c r="Y360" s="63"/>
      <c r="Z360" s="73"/>
      <c r="AA360" s="25">
        <f>VLOOKUP(F360,'[1]Zones 1'!$A$2:$F$25426,6,FALSE)</f>
        <v>644</v>
      </c>
      <c r="AB360" s="25">
        <f>VLOOKUP(L360,'[1]Zones 1'!$A$2:$F$25426,6,FALSE)</f>
        <v>651</v>
      </c>
    </row>
    <row r="361" spans="2:28">
      <c r="B361" s="40" t="s">
        <v>521</v>
      </c>
      <c r="C361" s="40"/>
      <c r="D361" s="41">
        <v>3</v>
      </c>
      <c r="E361" s="41">
        <v>2</v>
      </c>
      <c r="F361" s="42" t="s">
        <v>38</v>
      </c>
      <c r="G361" s="42" t="s">
        <v>37</v>
      </c>
      <c r="H361" s="42" t="s">
        <v>254</v>
      </c>
      <c r="I361" s="42"/>
      <c r="J361" s="42">
        <v>2</v>
      </c>
      <c r="K361" s="25" t="str">
        <f>VLOOKUP(J361,[2]Key!$E$2:$F$9,2,FALSE)</f>
        <v>Work</v>
      </c>
      <c r="L361" s="42" t="s">
        <v>37</v>
      </c>
      <c r="M361" s="43" t="s">
        <v>37</v>
      </c>
      <c r="N361" s="43" t="s">
        <v>254</v>
      </c>
      <c r="O361" s="43"/>
      <c r="P361" s="43">
        <v>2</v>
      </c>
      <c r="Q361" s="25" t="str">
        <f>VLOOKUP(P361,[2]Key!$E$2:$F$9,2,FALSE)</f>
        <v>Work</v>
      </c>
      <c r="R361" s="25" t="str">
        <f t="shared" si="8"/>
        <v>Work-Work</v>
      </c>
      <c r="S361" s="62"/>
      <c r="T361" s="62">
        <v>0</v>
      </c>
      <c r="U361" s="72">
        <v>3</v>
      </c>
      <c r="V361" s="72"/>
      <c r="W361" s="62"/>
      <c r="X361" s="62"/>
      <c r="Y361" s="63"/>
      <c r="Z361" s="73"/>
      <c r="AA361" s="25">
        <f>VLOOKUP(F361,'[1]Zones 1'!$A$2:$F$25426,6,FALSE)</f>
        <v>644</v>
      </c>
      <c r="AB361" s="25">
        <f>VLOOKUP(L361,'[1]Zones 1'!$A$2:$F$25426,6,FALSE)</f>
        <v>651</v>
      </c>
    </row>
    <row r="362" spans="2:28">
      <c r="B362" s="40" t="s">
        <v>522</v>
      </c>
      <c r="C362" s="40"/>
      <c r="D362" s="41">
        <v>2</v>
      </c>
      <c r="E362" s="41">
        <v>2</v>
      </c>
      <c r="F362" s="42" t="s">
        <v>38</v>
      </c>
      <c r="G362" s="42" t="s">
        <v>37</v>
      </c>
      <c r="H362" s="42" t="s">
        <v>254</v>
      </c>
      <c r="I362" s="42"/>
      <c r="J362" s="42">
        <v>2</v>
      </c>
      <c r="K362" s="25" t="str">
        <f>VLOOKUP(J362,[2]Key!$E$2:$F$9,2,FALSE)</f>
        <v>Work</v>
      </c>
      <c r="L362" s="42" t="s">
        <v>241</v>
      </c>
      <c r="M362" s="43" t="s">
        <v>241</v>
      </c>
      <c r="N362" s="43" t="s">
        <v>254</v>
      </c>
      <c r="O362" s="43"/>
      <c r="P362" s="43">
        <v>2</v>
      </c>
      <c r="Q362" s="25" t="str">
        <f>VLOOKUP(P362,[2]Key!$E$2:$F$9,2,FALSE)</f>
        <v>Work</v>
      </c>
      <c r="R362" s="25" t="str">
        <f t="shared" si="8"/>
        <v>Work-Work</v>
      </c>
      <c r="S362" s="62"/>
      <c r="T362" s="62">
        <v>2</v>
      </c>
      <c r="U362" s="72">
        <v>4</v>
      </c>
      <c r="V362" s="72"/>
      <c r="W362" s="62"/>
      <c r="X362" s="62"/>
      <c r="Y362" s="63"/>
      <c r="Z362" s="73"/>
      <c r="AA362" s="25">
        <f>VLOOKUP(F362,'[1]Zones 1'!$A$2:$F$25426,6,FALSE)</f>
        <v>644</v>
      </c>
      <c r="AB362" s="25">
        <f>VLOOKUP(L362,'[1]Zones 1'!$A$2:$F$25426,6,FALSE)</f>
        <v>521</v>
      </c>
    </row>
    <row r="363" spans="2:28">
      <c r="B363" s="40" t="s">
        <v>523</v>
      </c>
      <c r="C363" s="40"/>
      <c r="D363" s="41">
        <v>2</v>
      </c>
      <c r="E363" s="41">
        <v>2</v>
      </c>
      <c r="F363" s="42" t="s">
        <v>524</v>
      </c>
      <c r="G363" s="42" t="s">
        <v>37</v>
      </c>
      <c r="H363" s="42" t="s">
        <v>254</v>
      </c>
      <c r="I363" s="42"/>
      <c r="J363" s="42">
        <v>2</v>
      </c>
      <c r="K363" s="25" t="str">
        <f>VLOOKUP(J363,[2]Key!$E$2:$F$9,2,FALSE)</f>
        <v>Work</v>
      </c>
      <c r="L363" s="42" t="s">
        <v>42</v>
      </c>
      <c r="M363" s="43" t="s">
        <v>42</v>
      </c>
      <c r="N363" s="43" t="s">
        <v>254</v>
      </c>
      <c r="O363" s="43"/>
      <c r="P363" s="43">
        <v>2</v>
      </c>
      <c r="Q363" s="25" t="str">
        <f>VLOOKUP(P363,[2]Key!$E$2:$F$9,2,FALSE)</f>
        <v>Work</v>
      </c>
      <c r="R363" s="25" t="str">
        <f t="shared" si="8"/>
        <v>Work-Work</v>
      </c>
      <c r="S363" s="62"/>
      <c r="T363" s="62">
        <v>2</v>
      </c>
      <c r="U363" s="72">
        <v>3</v>
      </c>
      <c r="V363" s="72"/>
      <c r="W363" s="62"/>
      <c r="X363" s="62"/>
      <c r="Y363" s="63"/>
      <c r="Z363" s="73"/>
      <c r="AA363" s="25">
        <f>VLOOKUP(F363,'[1]Zones 1'!$A$2:$F$25426,6,FALSE)</f>
        <v>667</v>
      </c>
      <c r="AB363" s="25">
        <f>VLOOKUP(L363,'[1]Zones 1'!$A$2:$F$25426,6,FALSE)</f>
        <v>1303</v>
      </c>
    </row>
    <row r="364" spans="2:28">
      <c r="B364" s="40" t="s">
        <v>525</v>
      </c>
      <c r="C364" s="40"/>
      <c r="D364" s="41">
        <v>1</v>
      </c>
      <c r="E364" s="41">
        <v>2</v>
      </c>
      <c r="F364" s="42" t="s">
        <v>256</v>
      </c>
      <c r="G364" s="42" t="s">
        <v>37</v>
      </c>
      <c r="H364" s="42" t="s">
        <v>254</v>
      </c>
      <c r="I364" s="42"/>
      <c r="J364" s="42">
        <v>2</v>
      </c>
      <c r="K364" s="25" t="str">
        <f>VLOOKUP(J364,[2]Key!$E$2:$F$9,2,FALSE)</f>
        <v>Work</v>
      </c>
      <c r="L364" s="42" t="s">
        <v>79</v>
      </c>
      <c r="M364" s="43" t="s">
        <v>240</v>
      </c>
      <c r="N364" s="43" t="s">
        <v>254</v>
      </c>
      <c r="O364" s="43"/>
      <c r="P364" s="43">
        <v>2</v>
      </c>
      <c r="Q364" s="25" t="str">
        <f>VLOOKUP(P364,[2]Key!$E$2:$F$9,2,FALSE)</f>
        <v>Work</v>
      </c>
      <c r="R364" s="25" t="str">
        <f t="shared" si="8"/>
        <v>Work-Work</v>
      </c>
      <c r="S364" s="62"/>
      <c r="T364" s="62">
        <v>3</v>
      </c>
      <c r="U364" s="72">
        <v>2</v>
      </c>
      <c r="V364" s="72">
        <v>6</v>
      </c>
      <c r="W364" s="62"/>
      <c r="X364" s="62"/>
      <c r="Y364" s="63"/>
      <c r="Z364" s="73"/>
      <c r="AA364" s="25">
        <f>VLOOKUP(F364,'[1]Zones 1'!$A$2:$F$25426,6,FALSE)</f>
        <v>1440</v>
      </c>
      <c r="AB364" s="25">
        <f>VLOOKUP(L364,'[1]Zones 1'!$A$2:$F$25426,6,FALSE)</f>
        <v>1434</v>
      </c>
    </row>
    <row r="365" spans="2:28">
      <c r="B365" s="40" t="s">
        <v>300</v>
      </c>
      <c r="C365" s="40"/>
      <c r="D365" s="41">
        <v>2</v>
      </c>
      <c r="E365" s="41">
        <v>2</v>
      </c>
      <c r="F365" s="42" t="s">
        <v>38</v>
      </c>
      <c r="G365" s="42" t="s">
        <v>37</v>
      </c>
      <c r="H365" s="42" t="s">
        <v>254</v>
      </c>
      <c r="I365" s="42"/>
      <c r="J365" s="42">
        <v>2</v>
      </c>
      <c r="K365" s="25" t="str">
        <f>VLOOKUP(J365,[2]Key!$E$2:$F$9,2,FALSE)</f>
        <v>Work</v>
      </c>
      <c r="L365" s="42" t="s">
        <v>37</v>
      </c>
      <c r="M365" s="43" t="s">
        <v>37</v>
      </c>
      <c r="N365" s="43" t="s">
        <v>254</v>
      </c>
      <c r="O365" s="43"/>
      <c r="P365" s="43">
        <v>2</v>
      </c>
      <c r="Q365" s="25" t="str">
        <f>VLOOKUP(P365,[2]Key!$E$2:$F$9,2,FALSE)</f>
        <v>Work</v>
      </c>
      <c r="R365" s="25" t="str">
        <f t="shared" si="8"/>
        <v>Work-Work</v>
      </c>
      <c r="S365" s="62"/>
      <c r="T365" s="62">
        <v>0</v>
      </c>
      <c r="U365" s="72">
        <v>2</v>
      </c>
      <c r="V365" s="72"/>
      <c r="W365" s="62"/>
      <c r="X365" s="62"/>
      <c r="Y365" s="63"/>
      <c r="Z365" s="73"/>
      <c r="AA365" s="25">
        <f>VLOOKUP(F365,'[1]Zones 1'!$A$2:$F$25426,6,FALSE)</f>
        <v>644</v>
      </c>
      <c r="AB365" s="25">
        <f>VLOOKUP(L365,'[1]Zones 1'!$A$2:$F$25426,6,FALSE)</f>
        <v>651</v>
      </c>
    </row>
    <row r="366" spans="2:28">
      <c r="B366" s="40" t="s">
        <v>526</v>
      </c>
      <c r="C366" s="40"/>
      <c r="D366" s="41">
        <v>3</v>
      </c>
      <c r="E366" s="41">
        <v>2</v>
      </c>
      <c r="F366" s="42" t="s">
        <v>38</v>
      </c>
      <c r="G366" s="42" t="s">
        <v>37</v>
      </c>
      <c r="H366" s="42" t="s">
        <v>254</v>
      </c>
      <c r="I366" s="42"/>
      <c r="J366" s="42">
        <v>2</v>
      </c>
      <c r="K366" s="25" t="str">
        <f>VLOOKUP(J366,[2]Key!$E$2:$F$9,2,FALSE)</f>
        <v>Work</v>
      </c>
      <c r="L366" s="42" t="s">
        <v>37</v>
      </c>
      <c r="M366" s="43" t="s">
        <v>37</v>
      </c>
      <c r="N366" s="43" t="s">
        <v>254</v>
      </c>
      <c r="O366" s="43"/>
      <c r="P366" s="43">
        <v>2</v>
      </c>
      <c r="Q366" s="25" t="str">
        <f>VLOOKUP(P366,[2]Key!$E$2:$F$9,2,FALSE)</f>
        <v>Work</v>
      </c>
      <c r="R366" s="25" t="str">
        <f t="shared" si="8"/>
        <v>Work-Work</v>
      </c>
      <c r="S366" s="62"/>
      <c r="T366" s="62">
        <v>0</v>
      </c>
      <c r="U366" s="72">
        <v>2</v>
      </c>
      <c r="V366" s="72"/>
      <c r="W366" s="62"/>
      <c r="X366" s="62"/>
      <c r="Y366" s="63"/>
      <c r="Z366" s="73"/>
      <c r="AA366" s="25">
        <f>VLOOKUP(F366,'[1]Zones 1'!$A$2:$F$25426,6,FALSE)</f>
        <v>644</v>
      </c>
      <c r="AB366" s="25">
        <f>VLOOKUP(L366,'[1]Zones 1'!$A$2:$F$25426,6,FALSE)</f>
        <v>651</v>
      </c>
    </row>
    <row r="367" spans="2:28">
      <c r="B367" s="40" t="s">
        <v>527</v>
      </c>
      <c r="C367" s="40"/>
      <c r="D367" s="41">
        <v>2</v>
      </c>
      <c r="E367" s="41">
        <v>2</v>
      </c>
      <c r="F367" s="42" t="s">
        <v>38</v>
      </c>
      <c r="G367" s="42" t="s">
        <v>37</v>
      </c>
      <c r="H367" s="42" t="s">
        <v>254</v>
      </c>
      <c r="I367" s="42"/>
      <c r="J367" s="42">
        <v>3</v>
      </c>
      <c r="K367" s="25" t="str">
        <f>VLOOKUP(J367,[2]Key!$E$2:$F$9,2,FALSE)</f>
        <v>Study</v>
      </c>
      <c r="L367" s="42" t="s">
        <v>37</v>
      </c>
      <c r="M367" s="43" t="s">
        <v>37</v>
      </c>
      <c r="N367" s="43" t="s">
        <v>254</v>
      </c>
      <c r="O367" s="43"/>
      <c r="P367" s="43">
        <v>3</v>
      </c>
      <c r="Q367" s="25" t="str">
        <f>VLOOKUP(P367,[2]Key!$E$2:$F$9,2,FALSE)</f>
        <v>Study</v>
      </c>
      <c r="R367" s="25" t="str">
        <f t="shared" si="8"/>
        <v>Study-Study</v>
      </c>
      <c r="S367" s="62"/>
      <c r="T367" s="62">
        <v>0</v>
      </c>
      <c r="U367" s="72">
        <v>2</v>
      </c>
      <c r="V367" s="72"/>
      <c r="W367" s="62"/>
      <c r="X367" s="62"/>
      <c r="Y367" s="63"/>
      <c r="Z367" s="73"/>
      <c r="AA367" s="25">
        <f>VLOOKUP(F367,'[1]Zones 1'!$A$2:$F$25426,6,FALSE)</f>
        <v>644</v>
      </c>
      <c r="AB367" s="25">
        <f>VLOOKUP(L367,'[1]Zones 1'!$A$2:$F$25426,6,FALSE)</f>
        <v>651</v>
      </c>
    </row>
    <row r="368" spans="2:28">
      <c r="B368" s="40" t="s">
        <v>528</v>
      </c>
      <c r="C368" s="40"/>
      <c r="D368" s="41">
        <v>2</v>
      </c>
      <c r="E368" s="41">
        <v>2</v>
      </c>
      <c r="F368" s="42" t="s">
        <v>260</v>
      </c>
      <c r="G368" s="42" t="s">
        <v>37</v>
      </c>
      <c r="H368" s="42" t="s">
        <v>254</v>
      </c>
      <c r="I368" s="42"/>
      <c r="J368" s="42">
        <v>3</v>
      </c>
      <c r="K368" s="25" t="str">
        <f>VLOOKUP(J368,[2]Key!$E$2:$F$9,2,FALSE)</f>
        <v>Study</v>
      </c>
      <c r="L368" s="42" t="s">
        <v>37</v>
      </c>
      <c r="M368" s="43" t="s">
        <v>37</v>
      </c>
      <c r="N368" s="43" t="s">
        <v>254</v>
      </c>
      <c r="O368" s="43"/>
      <c r="P368" s="43">
        <v>3</v>
      </c>
      <c r="Q368" s="25" t="str">
        <f>VLOOKUP(P368,[2]Key!$E$2:$F$9,2,FALSE)</f>
        <v>Study</v>
      </c>
      <c r="R368" s="25" t="str">
        <f t="shared" si="8"/>
        <v>Study-Study</v>
      </c>
      <c r="S368" s="62"/>
      <c r="T368" s="62">
        <v>0</v>
      </c>
      <c r="U368" s="72">
        <v>2</v>
      </c>
      <c r="V368" s="72"/>
      <c r="W368" s="62"/>
      <c r="X368" s="62"/>
      <c r="Y368" s="63"/>
      <c r="Z368" s="73"/>
      <c r="AA368" s="25">
        <f>VLOOKUP(F368,'[1]Zones 1'!$A$2:$F$25426,6,FALSE)</f>
        <v>651</v>
      </c>
      <c r="AB368" s="25">
        <f>VLOOKUP(L368,'[1]Zones 1'!$A$2:$F$25426,6,FALSE)</f>
        <v>651</v>
      </c>
    </row>
    <row r="369" spans="2:28">
      <c r="B369" s="40" t="s">
        <v>476</v>
      </c>
      <c r="C369" s="40"/>
      <c r="D369" s="41">
        <v>2</v>
      </c>
      <c r="E369" s="41">
        <v>2</v>
      </c>
      <c r="F369" s="42" t="s">
        <v>256</v>
      </c>
      <c r="G369" s="42" t="s">
        <v>37</v>
      </c>
      <c r="H369" s="42" t="s">
        <v>254</v>
      </c>
      <c r="I369" s="42"/>
      <c r="J369" s="42">
        <v>3</v>
      </c>
      <c r="K369" s="25" t="str">
        <f>VLOOKUP(J369,[2]Key!$E$2:$F$9,2,FALSE)</f>
        <v>Study</v>
      </c>
      <c r="L369" s="42" t="s">
        <v>37</v>
      </c>
      <c r="M369" s="43" t="s">
        <v>37</v>
      </c>
      <c r="N369" s="43" t="s">
        <v>254</v>
      </c>
      <c r="O369" s="43"/>
      <c r="P369" s="43">
        <v>3</v>
      </c>
      <c r="Q369" s="25" t="str">
        <f>VLOOKUP(P369,[2]Key!$E$2:$F$9,2,FALSE)</f>
        <v>Study</v>
      </c>
      <c r="R369" s="25" t="str">
        <f t="shared" si="8"/>
        <v>Study-Study</v>
      </c>
      <c r="S369" s="62"/>
      <c r="T369" s="62">
        <v>0</v>
      </c>
      <c r="U369" s="72">
        <v>1</v>
      </c>
      <c r="V369" s="72"/>
      <c r="W369" s="62"/>
      <c r="X369" s="62"/>
      <c r="Y369" s="63"/>
      <c r="Z369" s="73"/>
      <c r="AA369" s="25">
        <f>VLOOKUP(F369,'[1]Zones 1'!$A$2:$F$25426,6,FALSE)</f>
        <v>1440</v>
      </c>
      <c r="AB369" s="25">
        <f>VLOOKUP(L369,'[1]Zones 1'!$A$2:$F$25426,6,FALSE)</f>
        <v>651</v>
      </c>
    </row>
    <row r="370" spans="2:28">
      <c r="B370" s="40" t="s">
        <v>529</v>
      </c>
      <c r="C370" s="40"/>
      <c r="D370" s="41">
        <v>4</v>
      </c>
      <c r="E370" s="41">
        <v>1</v>
      </c>
      <c r="F370" s="42" t="s">
        <v>38</v>
      </c>
      <c r="G370" s="42" t="s">
        <v>37</v>
      </c>
      <c r="H370" s="42" t="s">
        <v>254</v>
      </c>
      <c r="I370" s="42"/>
      <c r="J370" s="42">
        <v>3</v>
      </c>
      <c r="K370" s="25" t="str">
        <f>VLOOKUP(J370,[2]Key!$E$2:$F$9,2,FALSE)</f>
        <v>Study</v>
      </c>
      <c r="L370" s="42" t="s">
        <v>37</v>
      </c>
      <c r="M370" s="43" t="s">
        <v>37</v>
      </c>
      <c r="N370" s="43" t="s">
        <v>254</v>
      </c>
      <c r="O370" s="43"/>
      <c r="P370" s="43">
        <v>3</v>
      </c>
      <c r="Q370" s="25" t="str">
        <f>VLOOKUP(P370,[2]Key!$E$2:$F$9,2,FALSE)</f>
        <v>Study</v>
      </c>
      <c r="R370" s="25" t="str">
        <f t="shared" si="8"/>
        <v>Study-Study</v>
      </c>
      <c r="S370" s="62"/>
      <c r="T370" s="62">
        <v>3</v>
      </c>
      <c r="U370" s="72">
        <v>2</v>
      </c>
      <c r="V370" s="72"/>
      <c r="W370" s="62"/>
      <c r="X370" s="62"/>
      <c r="Y370" s="63"/>
      <c r="Z370" s="73"/>
      <c r="AA370" s="25">
        <f>VLOOKUP(F370,'[1]Zones 1'!$A$2:$F$25426,6,FALSE)</f>
        <v>644</v>
      </c>
      <c r="AB370" s="25">
        <f>VLOOKUP(L370,'[1]Zones 1'!$A$2:$F$25426,6,FALSE)</f>
        <v>651</v>
      </c>
    </row>
    <row r="371" spans="2:28">
      <c r="B371" s="40" t="s">
        <v>480</v>
      </c>
      <c r="C371" s="40"/>
      <c r="D371" s="41">
        <v>3</v>
      </c>
      <c r="E371" s="41">
        <v>2</v>
      </c>
      <c r="F371" s="42" t="s">
        <v>38</v>
      </c>
      <c r="G371" s="42" t="s">
        <v>37</v>
      </c>
      <c r="H371" s="42" t="s">
        <v>254</v>
      </c>
      <c r="I371" s="42"/>
      <c r="J371" s="42">
        <v>3</v>
      </c>
      <c r="K371" s="25" t="str">
        <f>VLOOKUP(J371,[2]Key!$E$2:$F$9,2,FALSE)</f>
        <v>Study</v>
      </c>
      <c r="L371" s="42" t="s">
        <v>241</v>
      </c>
      <c r="M371" s="43" t="s">
        <v>241</v>
      </c>
      <c r="N371" s="43" t="s">
        <v>254</v>
      </c>
      <c r="O371" s="43"/>
      <c r="P371" s="43">
        <v>3</v>
      </c>
      <c r="Q371" s="25" t="str">
        <f>VLOOKUP(P371,[2]Key!$E$2:$F$9,2,FALSE)</f>
        <v>Study</v>
      </c>
      <c r="R371" s="25" t="str">
        <f t="shared" si="8"/>
        <v>Study-Study</v>
      </c>
      <c r="S371" s="62"/>
      <c r="T371" s="62">
        <v>0</v>
      </c>
      <c r="U371" s="72">
        <v>1</v>
      </c>
      <c r="V371" s="72"/>
      <c r="W371" s="62"/>
      <c r="X371" s="62"/>
      <c r="Y371" s="63"/>
      <c r="Z371" s="73"/>
      <c r="AA371" s="25">
        <f>VLOOKUP(F371,'[1]Zones 1'!$A$2:$F$25426,6,FALSE)</f>
        <v>644</v>
      </c>
      <c r="AB371" s="25">
        <f>VLOOKUP(L371,'[1]Zones 1'!$A$2:$F$25426,6,FALSE)</f>
        <v>521</v>
      </c>
    </row>
    <row r="372" spans="2:28">
      <c r="B372" s="40" t="s">
        <v>530</v>
      </c>
      <c r="C372" s="40"/>
      <c r="D372" s="41">
        <v>2</v>
      </c>
      <c r="E372" s="41">
        <v>3</v>
      </c>
      <c r="F372" s="42" t="s">
        <v>38</v>
      </c>
      <c r="G372" s="42" t="s">
        <v>37</v>
      </c>
      <c r="H372" s="42" t="s">
        <v>254</v>
      </c>
      <c r="I372" s="42"/>
      <c r="J372" s="42">
        <v>3</v>
      </c>
      <c r="K372" s="25" t="str">
        <f>VLOOKUP(J372,[2]Key!$E$2:$F$9,2,FALSE)</f>
        <v>Study</v>
      </c>
      <c r="L372" s="42" t="s">
        <v>37</v>
      </c>
      <c r="M372" s="43" t="s">
        <v>37</v>
      </c>
      <c r="N372" s="43" t="s">
        <v>254</v>
      </c>
      <c r="O372" s="43"/>
      <c r="P372" s="43">
        <v>3</v>
      </c>
      <c r="Q372" s="25" t="str">
        <f>VLOOKUP(P372,[2]Key!$E$2:$F$9,2,FALSE)</f>
        <v>Study</v>
      </c>
      <c r="R372" s="25" t="str">
        <f t="shared" si="8"/>
        <v>Study-Study</v>
      </c>
      <c r="S372" s="62"/>
      <c r="T372" s="62">
        <v>0</v>
      </c>
      <c r="U372" s="72">
        <v>3</v>
      </c>
      <c r="V372" s="72"/>
      <c r="W372" s="62"/>
      <c r="X372" s="62"/>
      <c r="Y372" s="63"/>
      <c r="Z372" s="73"/>
      <c r="AA372" s="25">
        <f>VLOOKUP(F372,'[1]Zones 1'!$A$2:$F$25426,6,FALSE)</f>
        <v>644</v>
      </c>
      <c r="AB372" s="25">
        <f>VLOOKUP(L372,'[1]Zones 1'!$A$2:$F$25426,6,FALSE)</f>
        <v>651</v>
      </c>
    </row>
    <row r="373" spans="2:28">
      <c r="B373" s="40" t="s">
        <v>531</v>
      </c>
      <c r="C373" s="40"/>
      <c r="D373" s="41">
        <v>3</v>
      </c>
      <c r="E373" s="41">
        <v>2</v>
      </c>
      <c r="F373" s="42" t="s">
        <v>50</v>
      </c>
      <c r="G373" s="42" t="s">
        <v>255</v>
      </c>
      <c r="H373" s="42" t="s">
        <v>254</v>
      </c>
      <c r="I373" s="42"/>
      <c r="J373" s="42">
        <v>3</v>
      </c>
      <c r="K373" s="25" t="str">
        <f>VLOOKUP(J373,[2]Key!$E$2:$F$9,2,FALSE)</f>
        <v>Study</v>
      </c>
      <c r="L373" s="42" t="s">
        <v>79</v>
      </c>
      <c r="M373" s="43" t="s">
        <v>240</v>
      </c>
      <c r="N373" s="43" t="s">
        <v>254</v>
      </c>
      <c r="O373" s="43"/>
      <c r="P373" s="43">
        <v>3</v>
      </c>
      <c r="Q373" s="25" t="str">
        <f>VLOOKUP(P373,[2]Key!$E$2:$F$9,2,FALSE)</f>
        <v>Study</v>
      </c>
      <c r="R373" s="25" t="str">
        <f t="shared" si="8"/>
        <v>Study-Study</v>
      </c>
      <c r="S373" s="62"/>
      <c r="T373" s="62">
        <v>0</v>
      </c>
      <c r="U373" s="72">
        <v>3</v>
      </c>
      <c r="V373" s="72"/>
      <c r="W373" s="62"/>
      <c r="X373" s="62"/>
      <c r="Y373" s="63"/>
      <c r="Z373" s="73"/>
      <c r="AA373" s="25">
        <f>VLOOKUP(F373,'[1]Zones 1'!$A$2:$F$25426,6,FALSE)</f>
        <v>1438</v>
      </c>
      <c r="AB373" s="25">
        <f>VLOOKUP(L373,'[1]Zones 1'!$A$2:$F$25426,6,FALSE)</f>
        <v>1434</v>
      </c>
    </row>
    <row r="374" spans="2:28">
      <c r="B374" s="40" t="s">
        <v>415</v>
      </c>
      <c r="C374" s="40"/>
      <c r="D374" s="41">
        <v>2</v>
      </c>
      <c r="E374" s="41">
        <v>1</v>
      </c>
      <c r="F374" s="42" t="s">
        <v>38</v>
      </c>
      <c r="G374" s="42" t="s">
        <v>37</v>
      </c>
      <c r="H374" s="42" t="s">
        <v>254</v>
      </c>
      <c r="I374" s="42"/>
      <c r="J374" s="42">
        <v>1</v>
      </c>
      <c r="K374" s="25" t="str">
        <f>VLOOKUP(J374,[2]Key!$E$2:$F$9,2,FALSE)</f>
        <v>Home</v>
      </c>
      <c r="L374" s="42" t="s">
        <v>37</v>
      </c>
      <c r="M374" s="43" t="s">
        <v>37</v>
      </c>
      <c r="N374" s="43" t="s">
        <v>254</v>
      </c>
      <c r="O374" s="43"/>
      <c r="P374" s="43">
        <v>1</v>
      </c>
      <c r="Q374" s="25" t="str">
        <f>VLOOKUP(P374,[2]Key!$E$2:$F$9,2,FALSE)</f>
        <v>Home</v>
      </c>
      <c r="R374" s="25" t="str">
        <f t="shared" si="8"/>
        <v>Home-Home</v>
      </c>
      <c r="S374" s="62"/>
      <c r="T374" s="62">
        <v>3</v>
      </c>
      <c r="U374" s="72">
        <v>4</v>
      </c>
      <c r="V374" s="72"/>
      <c r="W374" s="62"/>
      <c r="X374" s="62"/>
      <c r="Y374" s="63"/>
      <c r="Z374" s="73"/>
      <c r="AA374" s="25">
        <f>VLOOKUP(F374,'[1]Zones 1'!$A$2:$F$25426,6,FALSE)</f>
        <v>644</v>
      </c>
      <c r="AB374" s="25">
        <f>VLOOKUP(L374,'[1]Zones 1'!$A$2:$F$25426,6,FALSE)</f>
        <v>651</v>
      </c>
    </row>
    <row r="375" spans="2:28">
      <c r="B375" s="40" t="s">
        <v>532</v>
      </c>
      <c r="C375" s="40"/>
      <c r="D375" s="41">
        <v>1</v>
      </c>
      <c r="E375" s="41">
        <v>2</v>
      </c>
      <c r="F375" s="42" t="s">
        <v>38</v>
      </c>
      <c r="G375" s="42" t="s">
        <v>37</v>
      </c>
      <c r="H375" s="42" t="s">
        <v>254</v>
      </c>
      <c r="I375" s="42"/>
      <c r="J375" s="42">
        <v>3</v>
      </c>
      <c r="K375" s="25" t="str">
        <f>VLOOKUP(J375,[2]Key!$E$2:$F$9,2,FALSE)</f>
        <v>Study</v>
      </c>
      <c r="L375" s="42" t="s">
        <v>37</v>
      </c>
      <c r="M375" s="43" t="s">
        <v>37</v>
      </c>
      <c r="N375" s="43" t="s">
        <v>254</v>
      </c>
      <c r="O375" s="43"/>
      <c r="P375" s="43">
        <v>3</v>
      </c>
      <c r="Q375" s="25" t="str">
        <f>VLOOKUP(P375,[2]Key!$E$2:$F$9,2,FALSE)</f>
        <v>Study</v>
      </c>
      <c r="R375" s="25" t="str">
        <f t="shared" si="8"/>
        <v>Study-Study</v>
      </c>
      <c r="S375" s="62"/>
      <c r="T375" s="62">
        <v>0</v>
      </c>
      <c r="U375" s="72">
        <v>1</v>
      </c>
      <c r="V375" s="72"/>
      <c r="W375" s="62"/>
      <c r="X375" s="62"/>
      <c r="Y375" s="63"/>
      <c r="Z375" s="73"/>
      <c r="AA375" s="25">
        <f>VLOOKUP(F375,'[1]Zones 1'!$A$2:$F$25426,6,FALSE)</f>
        <v>644</v>
      </c>
      <c r="AB375" s="25">
        <f>VLOOKUP(L375,'[1]Zones 1'!$A$2:$F$25426,6,FALSE)</f>
        <v>651</v>
      </c>
    </row>
    <row r="376" spans="2:28">
      <c r="B376" s="40" t="s">
        <v>313</v>
      </c>
      <c r="C376" s="40"/>
      <c r="D376" s="41">
        <v>3</v>
      </c>
      <c r="E376" s="41">
        <v>3</v>
      </c>
      <c r="F376" s="42" t="s">
        <v>576</v>
      </c>
      <c r="G376" s="42" t="s">
        <v>37</v>
      </c>
      <c r="H376" s="42" t="s">
        <v>254</v>
      </c>
      <c r="I376" s="42"/>
      <c r="J376" s="42">
        <v>2</v>
      </c>
      <c r="K376" s="25" t="str">
        <f>VLOOKUP(J376,[2]Key!$E$2:$F$9,2,FALSE)</f>
        <v>Work</v>
      </c>
      <c r="L376" s="42" t="s">
        <v>37</v>
      </c>
      <c r="M376" s="43" t="s">
        <v>37</v>
      </c>
      <c r="N376" s="43" t="s">
        <v>254</v>
      </c>
      <c r="O376" s="43"/>
      <c r="P376" s="43">
        <v>2</v>
      </c>
      <c r="Q376" s="25" t="str">
        <f>VLOOKUP(P376,[2]Key!$E$2:$F$9,2,FALSE)</f>
        <v>Work</v>
      </c>
      <c r="R376" s="25" t="str">
        <f t="shared" si="8"/>
        <v>Work-Work</v>
      </c>
      <c r="S376" s="62"/>
      <c r="T376" s="62">
        <v>3</v>
      </c>
      <c r="U376" s="72">
        <v>4</v>
      </c>
      <c r="V376" s="72"/>
      <c r="W376" s="62"/>
      <c r="X376" s="62"/>
      <c r="Y376" s="63"/>
      <c r="Z376" s="73"/>
      <c r="AA376" s="25">
        <f>VLOOKUP(F376,'[1]Zones 1'!$A$2:$F$25426,6,FALSE)</f>
        <v>655</v>
      </c>
      <c r="AB376" s="25">
        <f>VLOOKUP(L376,'[1]Zones 1'!$A$2:$F$25426,6,FALSE)</f>
        <v>651</v>
      </c>
    </row>
    <row r="377" spans="2:28">
      <c r="B377" s="40" t="s">
        <v>533</v>
      </c>
      <c r="C377" s="40"/>
      <c r="D377" s="41">
        <v>3</v>
      </c>
      <c r="E377" s="41">
        <v>4</v>
      </c>
      <c r="F377" s="42" t="s">
        <v>38</v>
      </c>
      <c r="G377" s="42" t="s">
        <v>37</v>
      </c>
      <c r="H377" s="42" t="s">
        <v>254</v>
      </c>
      <c r="I377" s="42"/>
      <c r="J377" s="42">
        <v>3</v>
      </c>
      <c r="K377" s="25" t="str">
        <f>VLOOKUP(J377,[2]Key!$E$2:$F$9,2,FALSE)</f>
        <v>Study</v>
      </c>
      <c r="L377" s="42" t="s">
        <v>241</v>
      </c>
      <c r="M377" s="43" t="s">
        <v>241</v>
      </c>
      <c r="N377" s="43" t="s">
        <v>254</v>
      </c>
      <c r="O377" s="43"/>
      <c r="P377" s="43">
        <v>3</v>
      </c>
      <c r="Q377" s="25" t="str">
        <f>VLOOKUP(P377,[2]Key!$E$2:$F$9,2,FALSE)</f>
        <v>Study</v>
      </c>
      <c r="R377" s="25" t="str">
        <f t="shared" si="8"/>
        <v>Study-Study</v>
      </c>
      <c r="S377" s="62"/>
      <c r="T377" s="62">
        <v>0</v>
      </c>
      <c r="U377" s="72">
        <v>2</v>
      </c>
      <c r="V377" s="72"/>
      <c r="W377" s="62"/>
      <c r="X377" s="62"/>
      <c r="Y377" s="63"/>
      <c r="Z377" s="73"/>
      <c r="AA377" s="25">
        <f>VLOOKUP(F377,'[1]Zones 1'!$A$2:$F$25426,6,FALSE)</f>
        <v>644</v>
      </c>
      <c r="AB377" s="25">
        <f>VLOOKUP(L377,'[1]Zones 1'!$A$2:$F$25426,6,FALSE)</f>
        <v>521</v>
      </c>
    </row>
    <row r="378" spans="2:28">
      <c r="B378" s="40" t="s">
        <v>534</v>
      </c>
      <c r="C378" s="40"/>
      <c r="D378" s="41">
        <v>2</v>
      </c>
      <c r="E378" s="41">
        <v>1</v>
      </c>
      <c r="F378" s="42" t="s">
        <v>256</v>
      </c>
      <c r="G378" s="42" t="s">
        <v>37</v>
      </c>
      <c r="H378" s="42" t="s">
        <v>254</v>
      </c>
      <c r="I378" s="42"/>
      <c r="J378" s="42">
        <v>3</v>
      </c>
      <c r="K378" s="25" t="str">
        <f>VLOOKUP(J378,[2]Key!$E$2:$F$9,2,FALSE)</f>
        <v>Study</v>
      </c>
      <c r="L378" s="42" t="s">
        <v>60</v>
      </c>
      <c r="M378" s="43" t="s">
        <v>240</v>
      </c>
      <c r="N378" s="43" t="s">
        <v>254</v>
      </c>
      <c r="O378" s="43"/>
      <c r="P378" s="43">
        <v>3</v>
      </c>
      <c r="Q378" s="25" t="str">
        <f>VLOOKUP(P378,[2]Key!$E$2:$F$9,2,FALSE)</f>
        <v>Study</v>
      </c>
      <c r="R378" s="25" t="str">
        <f t="shared" si="8"/>
        <v>Study-Study</v>
      </c>
      <c r="S378" s="62"/>
      <c r="T378" s="62">
        <v>0.05</v>
      </c>
      <c r="U378" s="72">
        <v>4</v>
      </c>
      <c r="V378" s="72"/>
      <c r="W378" s="62"/>
      <c r="X378" s="62"/>
      <c r="Y378" s="63"/>
      <c r="Z378" s="73"/>
      <c r="AA378" s="25">
        <f>VLOOKUP(F378,'[1]Zones 1'!$A$2:$F$25426,6,FALSE)</f>
        <v>1440</v>
      </c>
      <c r="AB378" s="25">
        <f>VLOOKUP(L378,'[1]Zones 1'!$A$2:$F$25426,6,FALSE)</f>
        <v>1434</v>
      </c>
    </row>
    <row r="379" spans="2:28">
      <c r="B379" s="40" t="s">
        <v>317</v>
      </c>
      <c r="C379" s="40"/>
      <c r="D379" s="41">
        <v>4</v>
      </c>
      <c r="E379" s="41">
        <v>2</v>
      </c>
      <c r="F379" s="42" t="s">
        <v>576</v>
      </c>
      <c r="G379" s="42" t="s">
        <v>37</v>
      </c>
      <c r="H379" s="42" t="s">
        <v>254</v>
      </c>
      <c r="I379" s="42"/>
      <c r="J379" s="42">
        <v>3</v>
      </c>
      <c r="K379" s="25" t="str">
        <f>VLOOKUP(J379,[2]Key!$E$2:$F$9,2,FALSE)</f>
        <v>Study</v>
      </c>
      <c r="L379" s="42" t="s">
        <v>249</v>
      </c>
      <c r="M379" s="43" t="s">
        <v>37</v>
      </c>
      <c r="N379" s="43" t="s">
        <v>254</v>
      </c>
      <c r="O379" s="43"/>
      <c r="P379" s="43">
        <v>3</v>
      </c>
      <c r="Q379" s="25" t="str">
        <f>VLOOKUP(P379,[2]Key!$E$2:$F$9,2,FALSE)</f>
        <v>Study</v>
      </c>
      <c r="R379" s="25" t="str">
        <f t="shared" si="8"/>
        <v>Study-Study</v>
      </c>
      <c r="S379" s="62"/>
      <c r="T379" s="62">
        <v>0</v>
      </c>
      <c r="U379" s="72">
        <v>1</v>
      </c>
      <c r="V379" s="72"/>
      <c r="W379" s="62"/>
      <c r="X379" s="62"/>
      <c r="Y379" s="63"/>
      <c r="Z379" s="73"/>
      <c r="AA379" s="25">
        <f>VLOOKUP(F379,'[1]Zones 1'!$A$2:$F$25426,6,FALSE)</f>
        <v>655</v>
      </c>
      <c r="AB379" s="25">
        <f>VLOOKUP(L379,'[1]Zones 1'!$A$2:$F$25426,6,FALSE)</f>
        <v>655</v>
      </c>
    </row>
    <row r="380" spans="2:28">
      <c r="B380" s="40" t="s">
        <v>535</v>
      </c>
      <c r="C380" s="40"/>
      <c r="D380" s="41">
        <v>2</v>
      </c>
      <c r="E380" s="41">
        <v>2</v>
      </c>
      <c r="F380" s="42" t="s">
        <v>38</v>
      </c>
      <c r="G380" s="42" t="s">
        <v>37</v>
      </c>
      <c r="H380" s="42" t="s">
        <v>254</v>
      </c>
      <c r="I380" s="42"/>
      <c r="J380" s="42">
        <v>3</v>
      </c>
      <c r="K380" s="25" t="str">
        <f>VLOOKUP(J380,[2]Key!$E$2:$F$9,2,FALSE)</f>
        <v>Study</v>
      </c>
      <c r="L380" s="42" t="s">
        <v>37</v>
      </c>
      <c r="M380" s="43" t="s">
        <v>37</v>
      </c>
      <c r="N380" s="43" t="s">
        <v>254</v>
      </c>
      <c r="O380" s="43"/>
      <c r="P380" s="43">
        <v>3</v>
      </c>
      <c r="Q380" s="25" t="str">
        <f>VLOOKUP(P380,[2]Key!$E$2:$F$9,2,FALSE)</f>
        <v>Study</v>
      </c>
      <c r="R380" s="25" t="str">
        <f t="shared" si="8"/>
        <v>Study-Study</v>
      </c>
      <c r="S380" s="62"/>
      <c r="T380" s="62">
        <v>3</v>
      </c>
      <c r="U380" s="72">
        <v>3</v>
      </c>
      <c r="V380" s="72"/>
      <c r="W380" s="62"/>
      <c r="X380" s="62"/>
      <c r="Y380" s="63"/>
      <c r="Z380" s="73"/>
      <c r="AA380" s="25">
        <f>VLOOKUP(F380,'[1]Zones 1'!$A$2:$F$25426,6,FALSE)</f>
        <v>644</v>
      </c>
      <c r="AB380" s="25">
        <f>VLOOKUP(L380,'[1]Zones 1'!$A$2:$F$25426,6,FALSE)</f>
        <v>651</v>
      </c>
    </row>
    <row r="381" spans="2:28">
      <c r="B381" s="40" t="s">
        <v>536</v>
      </c>
      <c r="C381" s="40"/>
      <c r="D381" s="41">
        <v>12</v>
      </c>
      <c r="E381" s="41">
        <v>2</v>
      </c>
      <c r="F381" s="42" t="s">
        <v>38</v>
      </c>
      <c r="G381" s="42" t="s">
        <v>37</v>
      </c>
      <c r="H381" s="42" t="s">
        <v>254</v>
      </c>
      <c r="I381" s="42"/>
      <c r="J381" s="42">
        <v>3</v>
      </c>
      <c r="K381" s="25" t="str">
        <f>VLOOKUP(J381,[2]Key!$E$2:$F$9,2,FALSE)</f>
        <v>Study</v>
      </c>
      <c r="L381" s="42" t="s">
        <v>65</v>
      </c>
      <c r="M381" s="43" t="s">
        <v>37</v>
      </c>
      <c r="N381" s="43" t="s">
        <v>254</v>
      </c>
      <c r="O381" s="43"/>
      <c r="P381" s="43">
        <v>3</v>
      </c>
      <c r="Q381" s="25" t="str">
        <f>VLOOKUP(P381,[2]Key!$E$2:$F$9,2,FALSE)</f>
        <v>Study</v>
      </c>
      <c r="R381" s="25" t="str">
        <f t="shared" si="8"/>
        <v>Study-Study</v>
      </c>
      <c r="S381" s="62"/>
      <c r="T381" s="62">
        <v>4</v>
      </c>
      <c r="U381" s="72">
        <v>5</v>
      </c>
      <c r="V381" s="72"/>
      <c r="W381" s="62"/>
      <c r="X381" s="62"/>
      <c r="Y381" s="63"/>
      <c r="Z381" s="73"/>
      <c r="AA381" s="25">
        <f>VLOOKUP(F381,'[1]Zones 1'!$A$2:$F$25426,6,FALSE)</f>
        <v>644</v>
      </c>
      <c r="AB381" s="25">
        <f>VLOOKUP(L381,'[1]Zones 1'!$A$2:$F$25426,6,FALSE)</f>
        <v>651</v>
      </c>
    </row>
    <row r="382" spans="2:28">
      <c r="B382" s="40" t="s">
        <v>537</v>
      </c>
      <c r="C382" s="40"/>
      <c r="D382" s="41">
        <v>13</v>
      </c>
      <c r="E382" s="41">
        <v>2</v>
      </c>
      <c r="F382" s="42" t="s">
        <v>38</v>
      </c>
      <c r="G382" s="42" t="s">
        <v>37</v>
      </c>
      <c r="H382" s="42" t="s">
        <v>254</v>
      </c>
      <c r="I382" s="42"/>
      <c r="J382" s="42">
        <v>3</v>
      </c>
      <c r="K382" s="25" t="str">
        <f>VLOOKUP(J382,[2]Key!$E$2:$F$9,2,FALSE)</f>
        <v>Study</v>
      </c>
      <c r="L382" s="42" t="s">
        <v>65</v>
      </c>
      <c r="M382" s="43" t="s">
        <v>37</v>
      </c>
      <c r="N382" s="43" t="s">
        <v>254</v>
      </c>
      <c r="O382" s="43"/>
      <c r="P382" s="43">
        <v>3</v>
      </c>
      <c r="Q382" s="25" t="str">
        <f>VLOOKUP(P382,[2]Key!$E$2:$F$9,2,FALSE)</f>
        <v>Study</v>
      </c>
      <c r="R382" s="25" t="str">
        <f t="shared" si="8"/>
        <v>Study-Study</v>
      </c>
      <c r="S382" s="62"/>
      <c r="T382" s="62">
        <v>3</v>
      </c>
      <c r="U382" s="72">
        <v>2</v>
      </c>
      <c r="V382" s="72"/>
      <c r="W382" s="62"/>
      <c r="X382" s="62"/>
      <c r="Y382" s="63"/>
      <c r="Z382" s="73"/>
      <c r="AA382" s="25">
        <f>VLOOKUP(F382,'[1]Zones 1'!$A$2:$F$25426,6,FALSE)</f>
        <v>644</v>
      </c>
      <c r="AB382" s="25">
        <f>VLOOKUP(L382,'[1]Zones 1'!$A$2:$F$25426,6,FALSE)</f>
        <v>651</v>
      </c>
    </row>
    <row r="383" spans="2:28">
      <c r="B383" s="40" t="s">
        <v>538</v>
      </c>
      <c r="C383" s="40"/>
      <c r="D383" s="41">
        <v>13</v>
      </c>
      <c r="E383" s="41">
        <v>2</v>
      </c>
      <c r="F383" s="42" t="s">
        <v>38</v>
      </c>
      <c r="G383" s="42" t="s">
        <v>37</v>
      </c>
      <c r="H383" s="42" t="s">
        <v>254</v>
      </c>
      <c r="I383" s="42"/>
      <c r="J383" s="42">
        <v>3</v>
      </c>
      <c r="K383" s="25" t="str">
        <f>VLOOKUP(J383,[2]Key!$E$2:$F$9,2,FALSE)</f>
        <v>Study</v>
      </c>
      <c r="L383" s="42" t="s">
        <v>37</v>
      </c>
      <c r="M383" s="43" t="s">
        <v>37</v>
      </c>
      <c r="N383" s="43" t="s">
        <v>254</v>
      </c>
      <c r="O383" s="43"/>
      <c r="P383" s="43">
        <v>3</v>
      </c>
      <c r="Q383" s="25" t="str">
        <f>VLOOKUP(P383,[2]Key!$E$2:$F$9,2,FALSE)</f>
        <v>Study</v>
      </c>
      <c r="R383" s="25" t="str">
        <f t="shared" si="8"/>
        <v>Study-Study</v>
      </c>
      <c r="S383" s="62"/>
      <c r="T383" s="62">
        <v>0</v>
      </c>
      <c r="U383" s="72">
        <v>3</v>
      </c>
      <c r="V383" s="72"/>
      <c r="W383" s="62"/>
      <c r="X383" s="62"/>
      <c r="Y383" s="63"/>
      <c r="Z383" s="73"/>
      <c r="AA383" s="25">
        <f>VLOOKUP(F383,'[1]Zones 1'!$A$2:$F$25426,6,FALSE)</f>
        <v>644</v>
      </c>
      <c r="AB383" s="25">
        <f>VLOOKUP(L383,'[1]Zones 1'!$A$2:$F$25426,6,FALSE)</f>
        <v>651</v>
      </c>
    </row>
    <row r="384" spans="2:28">
      <c r="B384" s="40" t="s">
        <v>539</v>
      </c>
      <c r="C384" s="40"/>
      <c r="D384" s="41">
        <v>5</v>
      </c>
      <c r="E384" s="41">
        <v>2</v>
      </c>
      <c r="F384" s="42" t="s">
        <v>364</v>
      </c>
      <c r="G384" s="42" t="s">
        <v>37</v>
      </c>
      <c r="H384" s="42" t="s">
        <v>254</v>
      </c>
      <c r="I384" s="42"/>
      <c r="J384" s="42">
        <v>3</v>
      </c>
      <c r="K384" s="25" t="str">
        <f>VLOOKUP(J384,[2]Key!$E$2:$F$9,2,FALSE)</f>
        <v>Study</v>
      </c>
      <c r="L384" s="42" t="s">
        <v>37</v>
      </c>
      <c r="M384" s="43" t="s">
        <v>37</v>
      </c>
      <c r="N384" s="43" t="s">
        <v>254</v>
      </c>
      <c r="O384" s="43"/>
      <c r="P384" s="43">
        <v>3</v>
      </c>
      <c r="Q384" s="25" t="str">
        <f>VLOOKUP(P384,[2]Key!$E$2:$F$9,2,FALSE)</f>
        <v>Study</v>
      </c>
      <c r="R384" s="25" t="str">
        <f t="shared" si="8"/>
        <v>Study-Study</v>
      </c>
      <c r="S384" s="62"/>
      <c r="T384" s="62">
        <v>0</v>
      </c>
      <c r="U384" s="72">
        <v>4</v>
      </c>
      <c r="V384" s="72"/>
      <c r="W384" s="62"/>
      <c r="X384" s="62"/>
      <c r="Y384" s="63"/>
      <c r="Z384" s="73"/>
      <c r="AA384" s="25">
        <f>VLOOKUP(F384,'[1]Zones 1'!$A$2:$F$25426,6,FALSE)</f>
        <v>659</v>
      </c>
      <c r="AB384" s="25">
        <f>VLOOKUP(L384,'[1]Zones 1'!$A$2:$F$25426,6,FALSE)</f>
        <v>651</v>
      </c>
    </row>
    <row r="385" spans="2:28">
      <c r="B385" s="40" t="s">
        <v>540</v>
      </c>
      <c r="C385" s="40"/>
      <c r="D385" s="41">
        <v>13</v>
      </c>
      <c r="E385" s="41">
        <v>1</v>
      </c>
      <c r="F385" s="42" t="s">
        <v>38</v>
      </c>
      <c r="G385" s="42" t="s">
        <v>37</v>
      </c>
      <c r="H385" s="42" t="s">
        <v>254</v>
      </c>
      <c r="I385" s="42"/>
      <c r="J385" s="42">
        <v>3</v>
      </c>
      <c r="K385" s="25" t="str">
        <f>VLOOKUP(J385,[2]Key!$E$2:$F$9,2,FALSE)</f>
        <v>Study</v>
      </c>
      <c r="L385" s="42" t="s">
        <v>37</v>
      </c>
      <c r="M385" s="43" t="s">
        <v>37</v>
      </c>
      <c r="N385" s="43" t="s">
        <v>254</v>
      </c>
      <c r="O385" s="43"/>
      <c r="P385" s="43">
        <v>3</v>
      </c>
      <c r="Q385" s="25" t="str">
        <f>VLOOKUP(P385,[2]Key!$E$2:$F$9,2,FALSE)</f>
        <v>Study</v>
      </c>
      <c r="R385" s="25" t="str">
        <f t="shared" si="8"/>
        <v>Study-Study</v>
      </c>
      <c r="S385" s="62"/>
      <c r="T385" s="62">
        <v>0</v>
      </c>
      <c r="U385" s="72">
        <v>2</v>
      </c>
      <c r="V385" s="72"/>
      <c r="W385" s="62"/>
      <c r="X385" s="62"/>
      <c r="Y385" s="63"/>
      <c r="Z385" s="73"/>
      <c r="AA385" s="25">
        <f>VLOOKUP(F385,'[1]Zones 1'!$A$2:$F$25426,6,FALSE)</f>
        <v>644</v>
      </c>
      <c r="AB385" s="25">
        <f>VLOOKUP(L385,'[1]Zones 1'!$A$2:$F$25426,6,FALSE)</f>
        <v>651</v>
      </c>
    </row>
    <row r="386" spans="2:28">
      <c r="B386" s="40" t="s">
        <v>541</v>
      </c>
      <c r="C386" s="40"/>
      <c r="D386" s="41">
        <v>12</v>
      </c>
      <c r="E386" s="41">
        <v>1</v>
      </c>
      <c r="F386" s="42" t="s">
        <v>38</v>
      </c>
      <c r="G386" s="42" t="s">
        <v>37</v>
      </c>
      <c r="H386" s="42" t="s">
        <v>254</v>
      </c>
      <c r="I386" s="42"/>
      <c r="J386" s="42">
        <v>1</v>
      </c>
      <c r="K386" s="25" t="str">
        <f>VLOOKUP(J386,[2]Key!$E$2:$F$9,2,FALSE)</f>
        <v>Home</v>
      </c>
      <c r="L386" s="42" t="s">
        <v>37</v>
      </c>
      <c r="M386" s="43" t="s">
        <v>37</v>
      </c>
      <c r="N386" s="43" t="s">
        <v>254</v>
      </c>
      <c r="O386" s="43"/>
      <c r="P386" s="43">
        <v>1</v>
      </c>
      <c r="Q386" s="25" t="str">
        <f>VLOOKUP(P386,[2]Key!$E$2:$F$9,2,FALSE)</f>
        <v>Home</v>
      </c>
      <c r="R386" s="25" t="str">
        <f t="shared" si="8"/>
        <v>Home-Home</v>
      </c>
      <c r="S386" s="62"/>
      <c r="T386" s="62">
        <v>0</v>
      </c>
      <c r="U386" s="72">
        <v>4</v>
      </c>
      <c r="V386" s="72"/>
      <c r="W386" s="62"/>
      <c r="X386" s="62"/>
      <c r="Y386" s="63"/>
      <c r="Z386" s="73"/>
      <c r="AA386" s="25">
        <f>VLOOKUP(F386,'[1]Zones 1'!$A$2:$F$25426,6,FALSE)</f>
        <v>644</v>
      </c>
      <c r="AB386" s="25">
        <f>VLOOKUP(L386,'[1]Zones 1'!$A$2:$F$25426,6,FALSE)</f>
        <v>651</v>
      </c>
    </row>
    <row r="387" spans="2:28">
      <c r="B387" s="40" t="s">
        <v>542</v>
      </c>
      <c r="C387" s="40"/>
      <c r="D387" s="41">
        <v>4</v>
      </c>
      <c r="E387" s="41">
        <v>1</v>
      </c>
      <c r="F387" s="42" t="s">
        <v>38</v>
      </c>
      <c r="G387" s="42" t="s">
        <v>37</v>
      </c>
      <c r="H387" s="42" t="s">
        <v>254</v>
      </c>
      <c r="I387" s="42"/>
      <c r="J387" s="42">
        <v>1</v>
      </c>
      <c r="K387" s="25" t="str">
        <f>VLOOKUP(J387,[2]Key!$E$2:$F$9,2,FALSE)</f>
        <v>Home</v>
      </c>
      <c r="L387" s="42" t="s">
        <v>37</v>
      </c>
      <c r="M387" s="43" t="s">
        <v>37</v>
      </c>
      <c r="N387" s="43" t="s">
        <v>254</v>
      </c>
      <c r="O387" s="43"/>
      <c r="P387" s="43">
        <v>1</v>
      </c>
      <c r="Q387" s="25" t="str">
        <f>VLOOKUP(P387,[2]Key!$E$2:$F$9,2,FALSE)</f>
        <v>Home</v>
      </c>
      <c r="R387" s="25" t="str">
        <f t="shared" si="8"/>
        <v>Home-Home</v>
      </c>
      <c r="S387" s="62"/>
      <c r="T387" s="62">
        <v>0.83333333333333337</v>
      </c>
      <c r="U387" s="72">
        <v>2</v>
      </c>
      <c r="V387" s="72"/>
      <c r="W387" s="62"/>
      <c r="X387" s="62"/>
      <c r="Y387" s="63"/>
      <c r="Z387" s="73"/>
      <c r="AA387" s="25">
        <f>VLOOKUP(F387,'[1]Zones 1'!$A$2:$F$25426,6,FALSE)</f>
        <v>644</v>
      </c>
      <c r="AB387" s="25">
        <f>VLOOKUP(L387,'[1]Zones 1'!$A$2:$F$25426,6,FALSE)</f>
        <v>651</v>
      </c>
    </row>
    <row r="388" spans="2:28">
      <c r="B388" s="40" t="s">
        <v>543</v>
      </c>
      <c r="C388" s="40"/>
      <c r="D388" s="41">
        <v>5</v>
      </c>
      <c r="E388" s="41">
        <v>1</v>
      </c>
      <c r="F388" s="42" t="s">
        <v>38</v>
      </c>
      <c r="G388" s="42" t="s">
        <v>37</v>
      </c>
      <c r="H388" s="42" t="s">
        <v>254</v>
      </c>
      <c r="I388" s="42"/>
      <c r="J388" s="42">
        <v>1</v>
      </c>
      <c r="K388" s="25" t="str">
        <f>VLOOKUP(J388,[2]Key!$E$2:$F$9,2,FALSE)</f>
        <v>Home</v>
      </c>
      <c r="L388" s="42" t="s">
        <v>37</v>
      </c>
      <c r="M388" s="43" t="s">
        <v>37</v>
      </c>
      <c r="N388" s="43" t="s">
        <v>254</v>
      </c>
      <c r="O388" s="43"/>
      <c r="P388" s="43">
        <v>1</v>
      </c>
      <c r="Q388" s="25" t="str">
        <f>VLOOKUP(P388,[2]Key!$E$2:$F$9,2,FALSE)</f>
        <v>Home</v>
      </c>
      <c r="R388" s="25" t="str">
        <f t="shared" si="8"/>
        <v>Home-Home</v>
      </c>
      <c r="S388" s="62"/>
      <c r="T388" s="62">
        <v>0.83333333333333337</v>
      </c>
      <c r="U388" s="72">
        <v>4</v>
      </c>
      <c r="V388" s="72"/>
      <c r="W388" s="62"/>
      <c r="X388" s="62"/>
      <c r="Y388" s="63"/>
      <c r="Z388" s="73"/>
      <c r="AA388" s="25">
        <f>VLOOKUP(F388,'[1]Zones 1'!$A$2:$F$25426,6,FALSE)</f>
        <v>644</v>
      </c>
      <c r="AB388" s="25">
        <f>VLOOKUP(L388,'[1]Zones 1'!$A$2:$F$25426,6,FALSE)</f>
        <v>651</v>
      </c>
    </row>
    <row r="389" spans="2:28">
      <c r="B389" s="40" t="s">
        <v>544</v>
      </c>
      <c r="C389" s="40"/>
      <c r="D389" s="41">
        <v>3</v>
      </c>
      <c r="E389" s="41">
        <v>3</v>
      </c>
      <c r="F389" s="42" t="s">
        <v>38</v>
      </c>
      <c r="G389" s="42" t="s">
        <v>37</v>
      </c>
      <c r="H389" s="42" t="s">
        <v>254</v>
      </c>
      <c r="I389" s="42"/>
      <c r="J389" s="42">
        <v>1</v>
      </c>
      <c r="K389" s="25" t="str">
        <f>VLOOKUP(J389,[2]Key!$E$2:$F$9,2,FALSE)</f>
        <v>Home</v>
      </c>
      <c r="L389" s="42" t="s">
        <v>241</v>
      </c>
      <c r="M389" s="43" t="s">
        <v>241</v>
      </c>
      <c r="N389" s="43" t="s">
        <v>254</v>
      </c>
      <c r="O389" s="43"/>
      <c r="P389" s="43">
        <v>1</v>
      </c>
      <c r="Q389" s="25" t="str">
        <f>VLOOKUP(P389,[2]Key!$E$2:$F$9,2,FALSE)</f>
        <v>Home</v>
      </c>
      <c r="R389" s="25" t="str">
        <f t="shared" si="8"/>
        <v>Home-Home</v>
      </c>
      <c r="S389" s="62"/>
      <c r="T389" s="62">
        <v>0</v>
      </c>
      <c r="U389" s="72">
        <v>3</v>
      </c>
      <c r="V389" s="72"/>
      <c r="W389" s="62"/>
      <c r="X389" s="62"/>
      <c r="Y389" s="63"/>
      <c r="Z389" s="73"/>
      <c r="AA389" s="25">
        <f>VLOOKUP(F389,'[1]Zones 1'!$A$2:$F$25426,6,FALSE)</f>
        <v>644</v>
      </c>
      <c r="AB389" s="25">
        <f>VLOOKUP(L389,'[1]Zones 1'!$A$2:$F$25426,6,FALSE)</f>
        <v>521</v>
      </c>
    </row>
    <row r="390" spans="2:28">
      <c r="B390" s="40" t="s">
        <v>545</v>
      </c>
      <c r="C390" s="40"/>
      <c r="D390" s="41">
        <v>4</v>
      </c>
      <c r="E390" s="41">
        <v>4</v>
      </c>
      <c r="F390" s="42" t="s">
        <v>38</v>
      </c>
      <c r="G390" s="42" t="s">
        <v>37</v>
      </c>
      <c r="H390" s="42" t="s">
        <v>254</v>
      </c>
      <c r="I390" s="42"/>
      <c r="J390" s="42">
        <v>1</v>
      </c>
      <c r="K390" s="25" t="str">
        <f>VLOOKUP(J390,[2]Key!$E$2:$F$9,2,FALSE)</f>
        <v>Home</v>
      </c>
      <c r="L390" s="42" t="s">
        <v>79</v>
      </c>
      <c r="M390" s="43" t="s">
        <v>240</v>
      </c>
      <c r="N390" s="43" t="s">
        <v>254</v>
      </c>
      <c r="O390" s="43"/>
      <c r="P390" s="43">
        <v>1</v>
      </c>
      <c r="Q390" s="25" t="str">
        <f>VLOOKUP(P390,[2]Key!$E$2:$F$9,2,FALSE)</f>
        <v>Home</v>
      </c>
      <c r="R390" s="25" t="str">
        <f t="shared" si="8"/>
        <v>Home-Home</v>
      </c>
      <c r="S390" s="62"/>
      <c r="T390" s="62">
        <v>3</v>
      </c>
      <c r="U390" s="72">
        <v>2</v>
      </c>
      <c r="V390" s="72"/>
      <c r="W390" s="62"/>
      <c r="X390" s="62"/>
      <c r="Y390" s="63"/>
      <c r="Z390" s="73"/>
      <c r="AA390" s="25">
        <f>VLOOKUP(F390,'[1]Zones 1'!$A$2:$F$25426,6,FALSE)</f>
        <v>644</v>
      </c>
      <c r="AB390" s="25">
        <f>VLOOKUP(L390,'[1]Zones 1'!$A$2:$F$25426,6,FALSE)</f>
        <v>1434</v>
      </c>
    </row>
    <row r="391" spans="2:28">
      <c r="B391" s="40" t="s">
        <v>546</v>
      </c>
      <c r="C391" s="40"/>
      <c r="D391" s="41">
        <v>5</v>
      </c>
      <c r="E391" s="41">
        <v>3</v>
      </c>
      <c r="F391" s="42" t="s">
        <v>38</v>
      </c>
      <c r="G391" s="42" t="s">
        <v>37</v>
      </c>
      <c r="H391" s="42" t="s">
        <v>254</v>
      </c>
      <c r="I391" s="42"/>
      <c r="J391" s="42">
        <v>1</v>
      </c>
      <c r="K391" s="25" t="str">
        <f>VLOOKUP(J391,[2]Key!$E$2:$F$9,2,FALSE)</f>
        <v>Home</v>
      </c>
      <c r="L391" s="42" t="s">
        <v>37</v>
      </c>
      <c r="M391" s="43" t="s">
        <v>37</v>
      </c>
      <c r="N391" s="43" t="s">
        <v>254</v>
      </c>
      <c r="O391" s="43"/>
      <c r="P391" s="43">
        <v>1</v>
      </c>
      <c r="Q391" s="25" t="str">
        <f>VLOOKUP(P391,[2]Key!$E$2:$F$9,2,FALSE)</f>
        <v>Home</v>
      </c>
      <c r="R391" s="25" t="str">
        <f t="shared" si="8"/>
        <v>Home-Home</v>
      </c>
      <c r="S391" s="62"/>
      <c r="T391" s="62">
        <v>0</v>
      </c>
      <c r="U391" s="72">
        <v>1</v>
      </c>
      <c r="V391" s="72"/>
      <c r="W391" s="62"/>
      <c r="X391" s="62"/>
      <c r="Y391" s="63"/>
      <c r="Z391" s="73"/>
      <c r="AA391" s="25">
        <f>VLOOKUP(F391,'[1]Zones 1'!$A$2:$F$25426,6,FALSE)</f>
        <v>644</v>
      </c>
      <c r="AB391" s="25">
        <f>VLOOKUP(L391,'[1]Zones 1'!$A$2:$F$25426,6,FALSE)</f>
        <v>651</v>
      </c>
    </row>
    <row r="392" spans="2:28">
      <c r="B392" s="40" t="s">
        <v>423</v>
      </c>
      <c r="C392" s="40"/>
      <c r="D392" s="41">
        <v>2</v>
      </c>
      <c r="E392" s="41">
        <v>2</v>
      </c>
      <c r="F392" s="42" t="s">
        <v>38</v>
      </c>
      <c r="G392" s="42" t="s">
        <v>37</v>
      </c>
      <c r="H392" s="42" t="s">
        <v>254</v>
      </c>
      <c r="I392" s="42"/>
      <c r="J392" s="42">
        <v>2</v>
      </c>
      <c r="K392" s="25" t="str">
        <f>VLOOKUP(J392,[2]Key!$E$2:$F$9,2,FALSE)</f>
        <v>Work</v>
      </c>
      <c r="L392" s="42" t="s">
        <v>37</v>
      </c>
      <c r="M392" s="43" t="s">
        <v>37</v>
      </c>
      <c r="N392" s="43" t="s">
        <v>254</v>
      </c>
      <c r="O392" s="43"/>
      <c r="P392" s="43">
        <v>2</v>
      </c>
      <c r="Q392" s="25" t="str">
        <f>VLOOKUP(P392,[2]Key!$E$2:$F$9,2,FALSE)</f>
        <v>Work</v>
      </c>
      <c r="R392" s="25" t="str">
        <f t="shared" si="8"/>
        <v>Work-Work</v>
      </c>
      <c r="S392" s="62"/>
      <c r="T392" s="62">
        <v>0</v>
      </c>
      <c r="U392" s="72">
        <v>2</v>
      </c>
      <c r="V392" s="72"/>
      <c r="W392" s="62"/>
      <c r="X392" s="62"/>
      <c r="Y392" s="63"/>
      <c r="Z392" s="73"/>
      <c r="AA392" s="25">
        <f>VLOOKUP(F392,'[1]Zones 1'!$A$2:$F$25426,6,FALSE)</f>
        <v>644</v>
      </c>
      <c r="AB392" s="25">
        <f>VLOOKUP(L392,'[1]Zones 1'!$A$2:$F$25426,6,FALSE)</f>
        <v>651</v>
      </c>
    </row>
    <row r="393" spans="2:28">
      <c r="B393" s="40" t="s">
        <v>547</v>
      </c>
      <c r="C393" s="40"/>
      <c r="D393" s="41">
        <v>3</v>
      </c>
      <c r="E393" s="42">
        <v>1</v>
      </c>
      <c r="F393" s="42" t="s">
        <v>37</v>
      </c>
      <c r="G393" s="43" t="s">
        <v>37</v>
      </c>
      <c r="H393" s="42" t="s">
        <v>254</v>
      </c>
      <c r="I393" s="43"/>
      <c r="J393" s="43">
        <v>1</v>
      </c>
      <c r="K393" s="25" t="str">
        <f>VLOOKUP(J393,[2]Key!$E$2:$F$9,2,FALSE)</f>
        <v>Home</v>
      </c>
      <c r="L393" s="42" t="s">
        <v>261</v>
      </c>
      <c r="M393" s="43" t="s">
        <v>37</v>
      </c>
      <c r="N393" s="42" t="s">
        <v>254</v>
      </c>
      <c r="O393" s="43"/>
      <c r="P393" s="43">
        <v>2</v>
      </c>
      <c r="Q393" s="25" t="str">
        <f>VLOOKUP(P393,[2]Key!$E$2:$F$9,2,FALSE)</f>
        <v>Work</v>
      </c>
      <c r="R393" s="25" t="str">
        <f>K393&amp;"-"&amp;Q393</f>
        <v>Home-Work</v>
      </c>
      <c r="S393" s="62"/>
      <c r="T393" s="62" t="s">
        <v>548</v>
      </c>
      <c r="U393" s="43">
        <v>2</v>
      </c>
      <c r="V393" s="43"/>
      <c r="W393" s="62"/>
      <c r="X393" s="62"/>
      <c r="Y393" s="63"/>
      <c r="Z393" s="76"/>
      <c r="AA393" s="25">
        <f>VLOOKUP(F393,'[1]Zones 1'!$A$2:$F$25426,6,FALSE)</f>
        <v>651</v>
      </c>
      <c r="AB393" s="25">
        <f>VLOOKUP(L393,'[1]Zones 1'!$A$2:$F$25426,6,FALSE)</f>
        <v>659</v>
      </c>
    </row>
    <row r="394" spans="2:28">
      <c r="B394" s="40" t="s">
        <v>549</v>
      </c>
      <c r="C394" s="40"/>
      <c r="D394" s="41">
        <v>4</v>
      </c>
      <c r="E394" s="42">
        <v>2</v>
      </c>
      <c r="F394" s="42" t="s">
        <v>37</v>
      </c>
      <c r="G394" s="43" t="s">
        <v>37</v>
      </c>
      <c r="H394" s="42" t="s">
        <v>254</v>
      </c>
      <c r="I394" s="43"/>
      <c r="J394" s="43">
        <v>7</v>
      </c>
      <c r="K394" s="25" t="str">
        <f>VLOOKUP(J394,[2]Key!$E$2:$F$9,2,FALSE)</f>
        <v>Hospital</v>
      </c>
      <c r="L394" s="42" t="s">
        <v>38</v>
      </c>
      <c r="M394" s="43" t="s">
        <v>37</v>
      </c>
      <c r="N394" s="42" t="s">
        <v>254</v>
      </c>
      <c r="O394" s="43"/>
      <c r="P394" s="43">
        <v>1</v>
      </c>
      <c r="Q394" s="25" t="str">
        <f>VLOOKUP(P394,[2]Key!$E$2:$F$9,2,FALSE)</f>
        <v>Home</v>
      </c>
      <c r="R394" s="25" t="str">
        <f t="shared" ref="R394:R433" si="9">K394&amp;"-"&amp;Q394</f>
        <v>Hospital-Home</v>
      </c>
      <c r="S394" s="62"/>
      <c r="T394" s="62" t="s">
        <v>548</v>
      </c>
      <c r="U394" s="43">
        <v>4</v>
      </c>
      <c r="V394" s="43"/>
      <c r="W394" s="62"/>
      <c r="X394" s="62"/>
      <c r="Y394" s="63"/>
      <c r="Z394" s="76"/>
      <c r="AA394" s="25">
        <f>VLOOKUP(F394,'[1]Zones 1'!$A$2:$F$25426,6,FALSE)</f>
        <v>651</v>
      </c>
      <c r="AB394" s="25">
        <f>VLOOKUP(L394,'[1]Zones 1'!$A$2:$F$25426,6,FALSE)</f>
        <v>644</v>
      </c>
    </row>
    <row r="395" spans="2:28">
      <c r="B395" s="40" t="s">
        <v>263</v>
      </c>
      <c r="C395" s="40"/>
      <c r="D395" s="41">
        <v>3</v>
      </c>
      <c r="E395" s="42">
        <v>2</v>
      </c>
      <c r="F395" s="42" t="s">
        <v>241</v>
      </c>
      <c r="G395" s="43" t="s">
        <v>67</v>
      </c>
      <c r="H395" s="42" t="s">
        <v>254</v>
      </c>
      <c r="I395" s="43"/>
      <c r="J395" s="43">
        <v>1</v>
      </c>
      <c r="K395" s="25" t="str">
        <f>VLOOKUP(J395,[2]Key!$E$2:$F$9,2,FALSE)</f>
        <v>Home</v>
      </c>
      <c r="L395" s="42" t="s">
        <v>38</v>
      </c>
      <c r="M395" s="43" t="s">
        <v>37</v>
      </c>
      <c r="N395" s="42" t="s">
        <v>254</v>
      </c>
      <c r="O395" s="43"/>
      <c r="P395" s="43">
        <v>2</v>
      </c>
      <c r="Q395" s="25" t="str">
        <f>VLOOKUP(P395,[2]Key!$E$2:$F$9,2,FALSE)</f>
        <v>Work</v>
      </c>
      <c r="R395" s="25" t="str">
        <f t="shared" si="9"/>
        <v>Home-Work</v>
      </c>
      <c r="S395" s="62"/>
      <c r="T395" s="62">
        <v>1</v>
      </c>
      <c r="U395" s="43">
        <v>4</v>
      </c>
      <c r="V395" s="43"/>
      <c r="W395" s="62"/>
      <c r="X395" s="62"/>
      <c r="Y395" s="63"/>
      <c r="Z395" s="76"/>
      <c r="AA395" s="25">
        <f>VLOOKUP(F395,'[1]Zones 1'!$A$2:$F$25426,6,FALSE)</f>
        <v>521</v>
      </c>
      <c r="AB395" s="25">
        <f>VLOOKUP(L395,'[1]Zones 1'!$A$2:$F$25426,6,FALSE)</f>
        <v>644</v>
      </c>
    </row>
    <row r="396" spans="2:28">
      <c r="B396" s="40" t="s">
        <v>510</v>
      </c>
      <c r="C396" s="40"/>
      <c r="D396" s="41">
        <v>2</v>
      </c>
      <c r="E396" s="42">
        <v>2</v>
      </c>
      <c r="F396" s="42" t="s">
        <v>37</v>
      </c>
      <c r="G396" s="43" t="s">
        <v>37</v>
      </c>
      <c r="H396" s="42" t="s">
        <v>254</v>
      </c>
      <c r="I396" s="43"/>
      <c r="J396" s="43">
        <v>2</v>
      </c>
      <c r="K396" s="25" t="str">
        <f>VLOOKUP(J396,[2]Key!$E$2:$F$9,2,FALSE)</f>
        <v>Work</v>
      </c>
      <c r="L396" s="42" t="s">
        <v>258</v>
      </c>
      <c r="M396" s="43" t="s">
        <v>37</v>
      </c>
      <c r="N396" s="42" t="s">
        <v>254</v>
      </c>
      <c r="O396" s="43"/>
      <c r="P396" s="43">
        <v>4</v>
      </c>
      <c r="Q396" s="25" t="str">
        <f>VLOOKUP(P396,[2]Key!$E$2:$F$9,2,FALSE)</f>
        <v>Commercial</v>
      </c>
      <c r="R396" s="25" t="str">
        <f t="shared" si="9"/>
        <v>Work-Commercial</v>
      </c>
      <c r="S396" s="62"/>
      <c r="T396" s="62">
        <v>0.75</v>
      </c>
      <c r="U396" s="43">
        <v>3</v>
      </c>
      <c r="V396" s="43"/>
      <c r="W396" s="62"/>
      <c r="X396" s="62"/>
      <c r="Y396" s="63"/>
      <c r="Z396" s="76"/>
      <c r="AA396" s="25">
        <f>VLOOKUP(F396,'[1]Zones 1'!$A$2:$F$25426,6,FALSE)</f>
        <v>651</v>
      </c>
      <c r="AB396" s="25">
        <f>VLOOKUP(L396,'[1]Zones 1'!$A$2:$F$25426,6,FALSE)</f>
        <v>655</v>
      </c>
    </row>
    <row r="397" spans="2:28">
      <c r="B397" s="40" t="s">
        <v>452</v>
      </c>
      <c r="C397" s="40"/>
      <c r="D397" s="41">
        <v>3</v>
      </c>
      <c r="E397" s="42">
        <v>1</v>
      </c>
      <c r="F397" s="42" t="s">
        <v>37</v>
      </c>
      <c r="G397" s="43" t="s">
        <v>37</v>
      </c>
      <c r="H397" s="42" t="s">
        <v>254</v>
      </c>
      <c r="I397" s="43"/>
      <c r="J397" s="43">
        <v>3</v>
      </c>
      <c r="K397" s="25" t="str">
        <f>VLOOKUP(J397,[2]Key!$E$2:$F$9,2,FALSE)</f>
        <v>Study</v>
      </c>
      <c r="L397" s="42" t="s">
        <v>258</v>
      </c>
      <c r="M397" s="43" t="s">
        <v>37</v>
      </c>
      <c r="N397" s="42" t="s">
        <v>254</v>
      </c>
      <c r="O397" s="43"/>
      <c r="P397" s="43">
        <v>2</v>
      </c>
      <c r="Q397" s="25" t="str">
        <f>VLOOKUP(P397,[2]Key!$E$2:$F$9,2,FALSE)</f>
        <v>Work</v>
      </c>
      <c r="R397" s="25" t="str">
        <f t="shared" si="9"/>
        <v>Study-Work</v>
      </c>
      <c r="S397" s="62"/>
      <c r="T397" s="62" t="s">
        <v>548</v>
      </c>
      <c r="U397" s="43">
        <v>3</v>
      </c>
      <c r="V397" s="43"/>
      <c r="W397" s="62"/>
      <c r="X397" s="62"/>
      <c r="Y397" s="63"/>
      <c r="Z397" s="76"/>
      <c r="AA397" s="25">
        <f>VLOOKUP(F397,'[1]Zones 1'!$A$2:$F$25426,6,FALSE)</f>
        <v>651</v>
      </c>
      <c r="AB397" s="25">
        <f>VLOOKUP(L397,'[1]Zones 1'!$A$2:$F$25426,6,FALSE)</f>
        <v>655</v>
      </c>
    </row>
    <row r="398" spans="2:28">
      <c r="B398" s="40" t="s">
        <v>513</v>
      </c>
      <c r="C398" s="40"/>
      <c r="D398" s="41">
        <v>3</v>
      </c>
      <c r="E398" s="42">
        <v>2</v>
      </c>
      <c r="F398" s="42" t="s">
        <v>241</v>
      </c>
      <c r="G398" s="43" t="s">
        <v>67</v>
      </c>
      <c r="H398" s="42" t="s">
        <v>254</v>
      </c>
      <c r="I398" s="43"/>
      <c r="J398" s="43">
        <v>2</v>
      </c>
      <c r="K398" s="25" t="str">
        <f>VLOOKUP(J398,[2]Key!$E$2:$F$9,2,FALSE)</f>
        <v>Work</v>
      </c>
      <c r="L398" s="42" t="s">
        <v>38</v>
      </c>
      <c r="M398" s="43" t="s">
        <v>37</v>
      </c>
      <c r="N398" s="42" t="s">
        <v>254</v>
      </c>
      <c r="O398" s="43"/>
      <c r="P398" s="43">
        <v>1</v>
      </c>
      <c r="Q398" s="25" t="str">
        <f>VLOOKUP(P398,[2]Key!$E$2:$F$9,2,FALSE)</f>
        <v>Home</v>
      </c>
      <c r="R398" s="25" t="str">
        <f t="shared" si="9"/>
        <v>Work-Home</v>
      </c>
      <c r="S398" s="62"/>
      <c r="T398" s="62">
        <v>1</v>
      </c>
      <c r="U398" s="43">
        <v>3</v>
      </c>
      <c r="V398" s="43"/>
      <c r="W398" s="62"/>
      <c r="X398" s="62"/>
      <c r="Y398" s="63"/>
      <c r="Z398" s="76"/>
      <c r="AA398" s="25">
        <f>VLOOKUP(F398,'[1]Zones 1'!$A$2:$F$25426,6,FALSE)</f>
        <v>521</v>
      </c>
      <c r="AB398" s="25">
        <f>VLOOKUP(L398,'[1]Zones 1'!$A$2:$F$25426,6,FALSE)</f>
        <v>644</v>
      </c>
    </row>
    <row r="399" spans="2:28">
      <c r="B399" s="40" t="s">
        <v>390</v>
      </c>
      <c r="C399" s="40"/>
      <c r="D399" s="41">
        <v>2</v>
      </c>
      <c r="E399" s="42">
        <v>2</v>
      </c>
      <c r="F399" s="42" t="s">
        <v>573</v>
      </c>
      <c r="G399" s="43" t="s">
        <v>242</v>
      </c>
      <c r="H399" s="42" t="s">
        <v>254</v>
      </c>
      <c r="I399" s="43"/>
      <c r="J399" s="43">
        <v>1</v>
      </c>
      <c r="K399" s="25" t="str">
        <f>VLOOKUP(J399,[2]Key!$E$2:$F$9,2,FALSE)</f>
        <v>Home</v>
      </c>
      <c r="L399" s="42" t="s">
        <v>38</v>
      </c>
      <c r="M399" s="43" t="s">
        <v>37</v>
      </c>
      <c r="N399" s="42" t="s">
        <v>254</v>
      </c>
      <c r="O399" s="43"/>
      <c r="P399" s="43">
        <v>2</v>
      </c>
      <c r="Q399" s="25" t="str">
        <f>VLOOKUP(P399,[2]Key!$E$2:$F$9,2,FALSE)</f>
        <v>Work</v>
      </c>
      <c r="R399" s="25" t="str">
        <f t="shared" si="9"/>
        <v>Home-Work</v>
      </c>
      <c r="S399" s="62"/>
      <c r="T399" s="62" t="s">
        <v>548</v>
      </c>
      <c r="U399" s="43">
        <v>3</v>
      </c>
      <c r="V399" s="43"/>
      <c r="W399" s="62"/>
      <c r="X399" s="62"/>
      <c r="Y399" s="63"/>
      <c r="Z399" s="76"/>
      <c r="AA399" s="25">
        <f>VLOOKUP(F399,'[1]Zones 1'!$A$2:$F$25426,6,FALSE)</f>
        <v>433</v>
      </c>
      <c r="AB399" s="25">
        <f>VLOOKUP(L399,'[1]Zones 1'!$A$2:$F$25426,6,FALSE)</f>
        <v>644</v>
      </c>
    </row>
    <row r="400" spans="2:28">
      <c r="B400" s="40" t="s">
        <v>267</v>
      </c>
      <c r="C400" s="40"/>
      <c r="D400" s="41">
        <v>3</v>
      </c>
      <c r="E400" s="42">
        <v>2</v>
      </c>
      <c r="F400" s="42" t="s">
        <v>249</v>
      </c>
      <c r="G400" s="43" t="s">
        <v>37</v>
      </c>
      <c r="H400" s="42" t="s">
        <v>254</v>
      </c>
      <c r="I400" s="43"/>
      <c r="J400" s="43">
        <v>2</v>
      </c>
      <c r="K400" s="25" t="str">
        <f>VLOOKUP(J400,[2]Key!$E$2:$F$9,2,FALSE)</f>
        <v>Work</v>
      </c>
      <c r="L400" s="42" t="s">
        <v>38</v>
      </c>
      <c r="M400" s="43" t="s">
        <v>37</v>
      </c>
      <c r="N400" s="42" t="s">
        <v>254</v>
      </c>
      <c r="O400" s="43"/>
      <c r="P400" s="43">
        <v>2</v>
      </c>
      <c r="Q400" s="25" t="str">
        <f>VLOOKUP(P400,[2]Key!$E$2:$F$9,2,FALSE)</f>
        <v>Work</v>
      </c>
      <c r="R400" s="25" t="str">
        <f t="shared" si="9"/>
        <v>Work-Work</v>
      </c>
      <c r="S400" s="62"/>
      <c r="T400" s="62">
        <v>0.75</v>
      </c>
      <c r="U400" s="43">
        <v>3</v>
      </c>
      <c r="V400" s="43"/>
      <c r="W400" s="62"/>
      <c r="X400" s="62"/>
      <c r="Y400" s="63"/>
      <c r="Z400" s="76"/>
      <c r="AA400" s="25">
        <f>VLOOKUP(F400,'[1]Zones 1'!$A$2:$F$25426,6,FALSE)</f>
        <v>655</v>
      </c>
      <c r="AB400" s="25">
        <f>VLOOKUP(L400,'[1]Zones 1'!$A$2:$F$25426,6,FALSE)</f>
        <v>644</v>
      </c>
    </row>
    <row r="401" spans="2:28">
      <c r="B401" s="40" t="s">
        <v>393</v>
      </c>
      <c r="C401" s="40"/>
      <c r="D401" s="41">
        <v>3</v>
      </c>
      <c r="E401" s="42">
        <v>1</v>
      </c>
      <c r="F401" s="42" t="s">
        <v>37</v>
      </c>
      <c r="G401" s="43" t="s">
        <v>37</v>
      </c>
      <c r="H401" s="42" t="s">
        <v>254</v>
      </c>
      <c r="I401" s="43"/>
      <c r="J401" s="43">
        <v>3</v>
      </c>
      <c r="K401" s="25" t="str">
        <f>VLOOKUP(J401,[2]Key!$E$2:$F$9,2,FALSE)</f>
        <v>Study</v>
      </c>
      <c r="L401" s="42" t="s">
        <v>258</v>
      </c>
      <c r="M401" s="43" t="s">
        <v>37</v>
      </c>
      <c r="N401" s="42" t="s">
        <v>254</v>
      </c>
      <c r="O401" s="43"/>
      <c r="P401" s="43">
        <v>2</v>
      </c>
      <c r="Q401" s="25" t="str">
        <f>VLOOKUP(P401,[2]Key!$E$2:$F$9,2,FALSE)</f>
        <v>Work</v>
      </c>
      <c r="R401" s="25" t="str">
        <f t="shared" si="9"/>
        <v>Study-Work</v>
      </c>
      <c r="S401" s="62"/>
      <c r="T401" s="62">
        <v>0.58333333333333337</v>
      </c>
      <c r="U401" s="43">
        <v>2</v>
      </c>
      <c r="V401" s="43"/>
      <c r="W401" s="62"/>
      <c r="X401" s="62"/>
      <c r="Y401" s="63"/>
      <c r="Z401" s="76"/>
      <c r="AA401" s="25">
        <f>VLOOKUP(F401,'[1]Zones 1'!$A$2:$F$25426,6,FALSE)</f>
        <v>651</v>
      </c>
      <c r="AB401" s="25">
        <f>VLOOKUP(L401,'[1]Zones 1'!$A$2:$F$25426,6,FALSE)</f>
        <v>655</v>
      </c>
    </row>
    <row r="402" spans="2:28">
      <c r="B402" s="40" t="s">
        <v>274</v>
      </c>
      <c r="C402" s="40"/>
      <c r="D402" s="41">
        <v>3</v>
      </c>
      <c r="E402" s="42">
        <v>3</v>
      </c>
      <c r="F402" s="42" t="s">
        <v>37</v>
      </c>
      <c r="G402" s="43" t="s">
        <v>37</v>
      </c>
      <c r="H402" s="42" t="s">
        <v>254</v>
      </c>
      <c r="I402" s="43"/>
      <c r="J402" s="43">
        <v>1</v>
      </c>
      <c r="K402" s="25" t="str">
        <f>VLOOKUP(J402,[2]Key!$E$2:$F$9,2,FALSE)</f>
        <v>Home</v>
      </c>
      <c r="L402" s="42" t="s">
        <v>550</v>
      </c>
      <c r="M402" s="43" t="s">
        <v>37</v>
      </c>
      <c r="N402" s="42" t="s">
        <v>254</v>
      </c>
      <c r="O402" s="43"/>
      <c r="P402" s="43">
        <v>2</v>
      </c>
      <c r="Q402" s="25" t="str">
        <f>VLOOKUP(P402,[2]Key!$E$2:$F$9,2,FALSE)</f>
        <v>Work</v>
      </c>
      <c r="R402" s="25" t="str">
        <f t="shared" si="9"/>
        <v>Home-Work</v>
      </c>
      <c r="S402" s="62"/>
      <c r="T402" s="62">
        <v>1</v>
      </c>
      <c r="U402" s="43">
        <v>2</v>
      </c>
      <c r="V402" s="43"/>
      <c r="W402" s="62"/>
      <c r="X402" s="62"/>
      <c r="Y402" s="63"/>
      <c r="Z402" s="76"/>
      <c r="AA402" s="25">
        <f>VLOOKUP(F402,'[1]Zones 1'!$A$2:$F$25426,6,FALSE)</f>
        <v>651</v>
      </c>
      <c r="AB402" s="25">
        <f>VLOOKUP(L402,'[1]Zones 1'!$A$2:$F$25426,6,FALSE)</f>
        <v>651</v>
      </c>
    </row>
    <row r="403" spans="2:28">
      <c r="B403" s="40" t="s">
        <v>275</v>
      </c>
      <c r="C403" s="40"/>
      <c r="D403" s="41">
        <v>3</v>
      </c>
      <c r="E403" s="42">
        <v>2</v>
      </c>
      <c r="F403" s="42" t="s">
        <v>37</v>
      </c>
      <c r="G403" s="43" t="s">
        <v>37</v>
      </c>
      <c r="H403" s="42" t="s">
        <v>254</v>
      </c>
      <c r="I403" s="43"/>
      <c r="J403" s="43">
        <v>1</v>
      </c>
      <c r="K403" s="25" t="str">
        <f>VLOOKUP(J403,[2]Key!$E$2:$F$9,2,FALSE)</f>
        <v>Home</v>
      </c>
      <c r="L403" s="42" t="s">
        <v>37</v>
      </c>
      <c r="M403" s="43" t="s">
        <v>37</v>
      </c>
      <c r="N403" s="42" t="s">
        <v>254</v>
      </c>
      <c r="O403" s="43"/>
      <c r="P403" s="43">
        <v>2</v>
      </c>
      <c r="Q403" s="25" t="str">
        <f>VLOOKUP(P403,[2]Key!$E$2:$F$9,2,FALSE)</f>
        <v>Work</v>
      </c>
      <c r="R403" s="25" t="str">
        <f t="shared" si="9"/>
        <v>Home-Work</v>
      </c>
      <c r="S403" s="62"/>
      <c r="T403" s="62">
        <v>0.16666666666666666</v>
      </c>
      <c r="U403" s="43">
        <v>3</v>
      </c>
      <c r="V403" s="43"/>
      <c r="W403" s="62"/>
      <c r="X403" s="62"/>
      <c r="Y403" s="63"/>
      <c r="Z403" s="76"/>
      <c r="AA403" s="25">
        <f>VLOOKUP(F403,'[1]Zones 1'!$A$2:$F$25426,6,FALSE)</f>
        <v>651</v>
      </c>
      <c r="AB403" s="25">
        <f>VLOOKUP(L403,'[1]Zones 1'!$A$2:$F$25426,6,FALSE)</f>
        <v>651</v>
      </c>
    </row>
    <row r="404" spans="2:28">
      <c r="B404" s="40" t="s">
        <v>551</v>
      </c>
      <c r="C404" s="40"/>
      <c r="D404" s="41">
        <v>3</v>
      </c>
      <c r="E404" s="42">
        <v>1</v>
      </c>
      <c r="F404" s="42" t="s">
        <v>37</v>
      </c>
      <c r="G404" s="43" t="s">
        <v>37</v>
      </c>
      <c r="H404" s="42" t="s">
        <v>254</v>
      </c>
      <c r="I404" s="43"/>
      <c r="J404" s="43">
        <v>1</v>
      </c>
      <c r="K404" s="25" t="str">
        <f>VLOOKUP(J404,[2]Key!$E$2:$F$9,2,FALSE)</f>
        <v>Home</v>
      </c>
      <c r="L404" s="42" t="s">
        <v>261</v>
      </c>
      <c r="M404" s="43" t="s">
        <v>37</v>
      </c>
      <c r="N404" s="42" t="s">
        <v>254</v>
      </c>
      <c r="O404" s="43"/>
      <c r="P404" s="43">
        <v>2</v>
      </c>
      <c r="Q404" s="25" t="str">
        <f>VLOOKUP(P404,[2]Key!$E$2:$F$9,2,FALSE)</f>
        <v>Work</v>
      </c>
      <c r="R404" s="25" t="str">
        <f t="shared" si="9"/>
        <v>Home-Work</v>
      </c>
      <c r="S404" s="62"/>
      <c r="T404" s="62">
        <v>3</v>
      </c>
      <c r="U404" s="43">
        <v>3</v>
      </c>
      <c r="V404" s="43"/>
      <c r="W404" s="62"/>
      <c r="X404" s="62"/>
      <c r="Y404" s="63"/>
      <c r="Z404" s="76"/>
      <c r="AA404" s="25">
        <f>VLOOKUP(F404,'[1]Zones 1'!$A$2:$F$25426,6,FALSE)</f>
        <v>651</v>
      </c>
      <c r="AB404" s="25">
        <f>VLOOKUP(L404,'[1]Zones 1'!$A$2:$F$25426,6,FALSE)</f>
        <v>659</v>
      </c>
    </row>
    <row r="405" spans="2:28">
      <c r="B405" s="40" t="s">
        <v>290</v>
      </c>
      <c r="C405" s="40"/>
      <c r="D405" s="41">
        <v>3</v>
      </c>
      <c r="E405" s="42">
        <v>2</v>
      </c>
      <c r="F405" s="42" t="s">
        <v>37</v>
      </c>
      <c r="G405" s="43" t="s">
        <v>37</v>
      </c>
      <c r="H405" s="42" t="s">
        <v>254</v>
      </c>
      <c r="I405" s="43"/>
      <c r="J405" s="43">
        <v>3</v>
      </c>
      <c r="K405" s="25" t="str">
        <f>VLOOKUP(J405,[2]Key!$E$2:$F$9,2,FALSE)</f>
        <v>Study</v>
      </c>
      <c r="L405" s="42" t="s">
        <v>38</v>
      </c>
      <c r="M405" s="43" t="s">
        <v>37</v>
      </c>
      <c r="N405" s="42" t="s">
        <v>254</v>
      </c>
      <c r="O405" s="43"/>
      <c r="P405" s="43">
        <v>1</v>
      </c>
      <c r="Q405" s="25" t="str">
        <f>VLOOKUP(P405,[2]Key!$E$2:$F$9,2,FALSE)</f>
        <v>Home</v>
      </c>
      <c r="R405" s="25" t="str">
        <f t="shared" si="9"/>
        <v>Study-Home</v>
      </c>
      <c r="S405" s="62"/>
      <c r="T405" s="62">
        <v>24</v>
      </c>
      <c r="U405" s="43">
        <v>4</v>
      </c>
      <c r="V405" s="43"/>
      <c r="W405" s="62"/>
      <c r="X405" s="62"/>
      <c r="Y405" s="63"/>
      <c r="Z405" s="76"/>
      <c r="AA405" s="25">
        <f>VLOOKUP(F405,'[1]Zones 1'!$A$2:$F$25426,6,FALSE)</f>
        <v>651</v>
      </c>
      <c r="AB405" s="25">
        <f>VLOOKUP(L405,'[1]Zones 1'!$A$2:$F$25426,6,FALSE)</f>
        <v>644</v>
      </c>
    </row>
    <row r="406" spans="2:28">
      <c r="B406" s="40" t="s">
        <v>522</v>
      </c>
      <c r="C406" s="40"/>
      <c r="D406" s="41">
        <v>4</v>
      </c>
      <c r="E406" s="42">
        <v>1</v>
      </c>
      <c r="F406" s="42" t="s">
        <v>40</v>
      </c>
      <c r="G406" s="43" t="s">
        <v>40</v>
      </c>
      <c r="H406" s="42" t="s">
        <v>254</v>
      </c>
      <c r="I406" s="43"/>
      <c r="J406" s="43">
        <v>2</v>
      </c>
      <c r="K406" s="25" t="str">
        <f>VLOOKUP(J406,[2]Key!$E$2:$F$9,2,FALSE)</f>
        <v>Work</v>
      </c>
      <c r="L406" s="42" t="s">
        <v>258</v>
      </c>
      <c r="M406" s="43" t="s">
        <v>37</v>
      </c>
      <c r="N406" s="42" t="s">
        <v>254</v>
      </c>
      <c r="O406" s="43"/>
      <c r="P406" s="43">
        <v>4</v>
      </c>
      <c r="Q406" s="25" t="str">
        <f>VLOOKUP(P406,[2]Key!$E$2:$F$9,2,FALSE)</f>
        <v>Commercial</v>
      </c>
      <c r="R406" s="25" t="str">
        <f t="shared" si="9"/>
        <v>Work-Commercial</v>
      </c>
      <c r="S406" s="62"/>
      <c r="T406" s="62" t="s">
        <v>548</v>
      </c>
      <c r="U406" s="43">
        <v>3</v>
      </c>
      <c r="V406" s="43"/>
      <c r="W406" s="62"/>
      <c r="X406" s="62"/>
      <c r="Y406" s="63"/>
      <c r="Z406" s="76"/>
      <c r="AA406" s="25">
        <f>VLOOKUP(F406,'[1]Zones 1'!$A$2:$F$25426,6,FALSE)</f>
        <v>253</v>
      </c>
      <c r="AB406" s="25">
        <f>VLOOKUP(L406,'[1]Zones 1'!$A$2:$F$25426,6,FALSE)</f>
        <v>655</v>
      </c>
    </row>
    <row r="407" spans="2:28">
      <c r="B407" s="40" t="s">
        <v>292</v>
      </c>
      <c r="C407" s="40"/>
      <c r="D407" s="41">
        <v>2</v>
      </c>
      <c r="E407" s="42">
        <v>2</v>
      </c>
      <c r="F407" s="42" t="s">
        <v>60</v>
      </c>
      <c r="G407" s="43" t="s">
        <v>240</v>
      </c>
      <c r="H407" s="42" t="s">
        <v>254</v>
      </c>
      <c r="I407" s="43"/>
      <c r="J407" s="43">
        <v>1</v>
      </c>
      <c r="K407" s="25" t="str">
        <f>VLOOKUP(J407,[2]Key!$E$2:$F$9,2,FALSE)</f>
        <v>Home</v>
      </c>
      <c r="L407" s="42" t="s">
        <v>50</v>
      </c>
      <c r="M407" s="43" t="s">
        <v>255</v>
      </c>
      <c r="N407" s="42" t="s">
        <v>254</v>
      </c>
      <c r="O407" s="43"/>
      <c r="P407" s="43">
        <v>2</v>
      </c>
      <c r="Q407" s="25" t="str">
        <f>VLOOKUP(P407,[2]Key!$E$2:$F$9,2,FALSE)</f>
        <v>Work</v>
      </c>
      <c r="R407" s="25" t="str">
        <f t="shared" si="9"/>
        <v>Home-Work</v>
      </c>
      <c r="S407" s="62"/>
      <c r="T407" s="62" t="s">
        <v>548</v>
      </c>
      <c r="U407" s="43">
        <v>2</v>
      </c>
      <c r="V407" s="43"/>
      <c r="W407" s="62"/>
      <c r="X407" s="62"/>
      <c r="Y407" s="63"/>
      <c r="Z407" s="76"/>
      <c r="AA407" s="25">
        <f>VLOOKUP(F407,'[1]Zones 1'!$A$2:$F$25426,6,FALSE)</f>
        <v>1434</v>
      </c>
      <c r="AB407" s="25">
        <f>VLOOKUP(L407,'[1]Zones 1'!$A$2:$F$25426,6,FALSE)</f>
        <v>1438</v>
      </c>
    </row>
    <row r="408" spans="2:28">
      <c r="B408" s="40" t="s">
        <v>293</v>
      </c>
      <c r="C408" s="40"/>
      <c r="D408" s="41">
        <v>1</v>
      </c>
      <c r="E408" s="42">
        <v>2</v>
      </c>
      <c r="F408" s="42" t="s">
        <v>37</v>
      </c>
      <c r="G408" s="43" t="s">
        <v>37</v>
      </c>
      <c r="H408" s="42" t="s">
        <v>254</v>
      </c>
      <c r="I408" s="43"/>
      <c r="J408" s="43">
        <v>4</v>
      </c>
      <c r="K408" s="25" t="str">
        <f>VLOOKUP(J408,[2]Key!$E$2:$F$9,2,FALSE)</f>
        <v>Commercial</v>
      </c>
      <c r="L408" s="42" t="s">
        <v>256</v>
      </c>
      <c r="M408" s="43" t="s">
        <v>37</v>
      </c>
      <c r="N408" s="42" t="s">
        <v>254</v>
      </c>
      <c r="O408" s="43"/>
      <c r="P408" s="43">
        <v>1</v>
      </c>
      <c r="Q408" s="25" t="str">
        <f>VLOOKUP(P408,[2]Key!$E$2:$F$9,2,FALSE)</f>
        <v>Home</v>
      </c>
      <c r="R408" s="25" t="str">
        <f t="shared" si="9"/>
        <v>Commercial-Home</v>
      </c>
      <c r="S408" s="62"/>
      <c r="T408" s="62" t="s">
        <v>548</v>
      </c>
      <c r="U408" s="43">
        <v>3</v>
      </c>
      <c r="V408" s="43"/>
      <c r="W408" s="62"/>
      <c r="X408" s="62"/>
      <c r="Y408" s="63"/>
      <c r="Z408" s="76"/>
      <c r="AA408" s="25">
        <f>VLOOKUP(F408,'[1]Zones 1'!$A$2:$F$25426,6,FALSE)</f>
        <v>651</v>
      </c>
      <c r="AB408" s="25">
        <f>VLOOKUP(L408,'[1]Zones 1'!$A$2:$F$25426,6,FALSE)</f>
        <v>1440</v>
      </c>
    </row>
    <row r="409" spans="2:28">
      <c r="B409" s="40" t="s">
        <v>552</v>
      </c>
      <c r="C409" s="40"/>
      <c r="D409" s="41">
        <v>1</v>
      </c>
      <c r="E409" s="42">
        <v>2</v>
      </c>
      <c r="F409" s="42" t="s">
        <v>37</v>
      </c>
      <c r="G409" s="43" t="s">
        <v>37</v>
      </c>
      <c r="H409" s="42" t="s">
        <v>254</v>
      </c>
      <c r="I409" s="43"/>
      <c r="J409" s="43">
        <v>2</v>
      </c>
      <c r="K409" s="25" t="str">
        <f>VLOOKUP(J409,[2]Key!$E$2:$F$9,2,FALSE)</f>
        <v>Work</v>
      </c>
      <c r="L409" s="42" t="s">
        <v>256</v>
      </c>
      <c r="M409" s="43" t="s">
        <v>37</v>
      </c>
      <c r="N409" s="42" t="s">
        <v>254</v>
      </c>
      <c r="O409" s="43"/>
      <c r="P409" s="43">
        <v>2</v>
      </c>
      <c r="Q409" s="25" t="str">
        <f>VLOOKUP(P409,[2]Key!$E$2:$F$9,2,FALSE)</f>
        <v>Work</v>
      </c>
      <c r="R409" s="25" t="str">
        <f t="shared" si="9"/>
        <v>Work-Work</v>
      </c>
      <c r="S409" s="62"/>
      <c r="T409" s="62">
        <v>0.16666666666666666</v>
      </c>
      <c r="U409" s="43">
        <v>3</v>
      </c>
      <c r="V409" s="43">
        <v>10</v>
      </c>
      <c r="W409" s="62"/>
      <c r="X409" s="62"/>
      <c r="Y409" s="63"/>
      <c r="Z409" s="76"/>
      <c r="AA409" s="25">
        <f>VLOOKUP(F409,'[1]Zones 1'!$A$2:$F$25426,6,FALSE)</f>
        <v>651</v>
      </c>
      <c r="AB409" s="25">
        <f>VLOOKUP(L409,'[1]Zones 1'!$A$2:$F$25426,6,FALSE)</f>
        <v>1440</v>
      </c>
    </row>
    <row r="410" spans="2:28">
      <c r="B410" s="40" t="s">
        <v>300</v>
      </c>
      <c r="C410" s="40"/>
      <c r="D410" s="41">
        <v>1</v>
      </c>
      <c r="E410" s="42">
        <v>1</v>
      </c>
      <c r="F410" s="42" t="s">
        <v>37</v>
      </c>
      <c r="G410" s="43" t="s">
        <v>37</v>
      </c>
      <c r="H410" s="42" t="s">
        <v>254</v>
      </c>
      <c r="I410" s="43"/>
      <c r="J410" s="43">
        <v>2</v>
      </c>
      <c r="K410" s="25" t="str">
        <f>VLOOKUP(J410,[2]Key!$E$2:$F$9,2,FALSE)</f>
        <v>Work</v>
      </c>
      <c r="L410" s="42" t="s">
        <v>261</v>
      </c>
      <c r="M410" s="43" t="s">
        <v>37</v>
      </c>
      <c r="N410" s="42" t="s">
        <v>254</v>
      </c>
      <c r="O410" s="43"/>
      <c r="P410" s="43">
        <v>1</v>
      </c>
      <c r="Q410" s="25" t="str">
        <f>VLOOKUP(P410,[2]Key!$E$2:$F$9,2,FALSE)</f>
        <v>Home</v>
      </c>
      <c r="R410" s="25" t="str">
        <f t="shared" si="9"/>
        <v>Work-Home</v>
      </c>
      <c r="S410" s="62"/>
      <c r="T410" s="62">
        <v>7</v>
      </c>
      <c r="U410" s="43">
        <v>4</v>
      </c>
      <c r="V410" s="43">
        <v>3</v>
      </c>
      <c r="W410" s="62"/>
      <c r="X410" s="62"/>
      <c r="Y410" s="63"/>
      <c r="Z410" s="76"/>
      <c r="AA410" s="25">
        <f>VLOOKUP(F410,'[1]Zones 1'!$A$2:$F$25426,6,FALSE)</f>
        <v>651</v>
      </c>
      <c r="AB410" s="25">
        <f>VLOOKUP(L410,'[1]Zones 1'!$A$2:$F$25426,6,FALSE)</f>
        <v>659</v>
      </c>
    </row>
    <row r="411" spans="2:28">
      <c r="B411" s="40" t="s">
        <v>553</v>
      </c>
      <c r="C411" s="40"/>
      <c r="D411" s="41">
        <v>1</v>
      </c>
      <c r="E411" s="42">
        <v>4</v>
      </c>
      <c r="F411" s="42" t="s">
        <v>37</v>
      </c>
      <c r="G411" s="43" t="s">
        <v>37</v>
      </c>
      <c r="H411" s="42" t="s">
        <v>254</v>
      </c>
      <c r="I411" s="43"/>
      <c r="J411" s="43">
        <v>1</v>
      </c>
      <c r="K411" s="25" t="str">
        <f>VLOOKUP(J411,[2]Key!$E$2:$F$9,2,FALSE)</f>
        <v>Home</v>
      </c>
      <c r="L411" s="42" t="s">
        <v>261</v>
      </c>
      <c r="M411" s="43" t="s">
        <v>37</v>
      </c>
      <c r="N411" s="42" t="s">
        <v>254</v>
      </c>
      <c r="O411" s="43"/>
      <c r="P411" s="43">
        <v>4</v>
      </c>
      <c r="Q411" s="25" t="str">
        <f>VLOOKUP(P411,[2]Key!$E$2:$F$9,2,FALSE)</f>
        <v>Commercial</v>
      </c>
      <c r="R411" s="25" t="str">
        <f t="shared" si="9"/>
        <v>Home-Commercial</v>
      </c>
      <c r="S411" s="62"/>
      <c r="T411" s="62">
        <v>0.16666666666666666</v>
      </c>
      <c r="U411" s="43">
        <v>3</v>
      </c>
      <c r="V411" s="43">
        <v>6</v>
      </c>
      <c r="W411" s="62"/>
      <c r="X411" s="62"/>
      <c r="Y411" s="63"/>
      <c r="Z411" s="76"/>
      <c r="AA411" s="25">
        <f>VLOOKUP(F411,'[1]Zones 1'!$A$2:$F$25426,6,FALSE)</f>
        <v>651</v>
      </c>
      <c r="AB411" s="25">
        <f>VLOOKUP(L411,'[1]Zones 1'!$A$2:$F$25426,6,FALSE)</f>
        <v>659</v>
      </c>
    </row>
    <row r="412" spans="2:28">
      <c r="B412" s="40" t="s">
        <v>470</v>
      </c>
      <c r="C412" s="40"/>
      <c r="D412" s="41">
        <v>1</v>
      </c>
      <c r="E412" s="42">
        <v>2</v>
      </c>
      <c r="F412" s="42" t="s">
        <v>241</v>
      </c>
      <c r="G412" s="43" t="s">
        <v>67</v>
      </c>
      <c r="H412" s="42" t="s">
        <v>254</v>
      </c>
      <c r="I412" s="43"/>
      <c r="J412" s="43">
        <v>1</v>
      </c>
      <c r="K412" s="25" t="str">
        <f>VLOOKUP(J412,[2]Key!$E$2:$F$9,2,FALSE)</f>
        <v>Home</v>
      </c>
      <c r="L412" s="42" t="s">
        <v>38</v>
      </c>
      <c r="M412" s="43" t="s">
        <v>37</v>
      </c>
      <c r="N412" s="42" t="s">
        <v>254</v>
      </c>
      <c r="O412" s="43"/>
      <c r="P412" s="43">
        <v>2</v>
      </c>
      <c r="Q412" s="25" t="str">
        <f>VLOOKUP(P412,[2]Key!$E$2:$F$9,2,FALSE)</f>
        <v>Work</v>
      </c>
      <c r="R412" s="25" t="str">
        <f t="shared" si="9"/>
        <v>Home-Work</v>
      </c>
      <c r="S412" s="62"/>
      <c r="T412" s="62" t="s">
        <v>548</v>
      </c>
      <c r="U412" s="43">
        <v>3</v>
      </c>
      <c r="V412" s="43">
        <v>10</v>
      </c>
      <c r="W412" s="62"/>
      <c r="X412" s="62"/>
      <c r="Y412" s="63"/>
      <c r="Z412" s="76"/>
      <c r="AA412" s="25">
        <f>VLOOKUP(F412,'[1]Zones 1'!$A$2:$F$25426,6,FALSE)</f>
        <v>521</v>
      </c>
      <c r="AB412" s="25">
        <f>VLOOKUP(L412,'[1]Zones 1'!$A$2:$F$25426,6,FALSE)</f>
        <v>644</v>
      </c>
    </row>
    <row r="413" spans="2:28">
      <c r="B413" s="40" t="s">
        <v>554</v>
      </c>
      <c r="C413" s="40"/>
      <c r="D413" s="41">
        <v>1</v>
      </c>
      <c r="E413" s="42">
        <v>2</v>
      </c>
      <c r="F413" s="42" t="s">
        <v>37</v>
      </c>
      <c r="G413" s="43" t="s">
        <v>37</v>
      </c>
      <c r="H413" s="42" t="s">
        <v>254</v>
      </c>
      <c r="I413" s="43"/>
      <c r="J413" s="43">
        <v>2</v>
      </c>
      <c r="K413" s="25" t="str">
        <f>VLOOKUP(J413,[2]Key!$E$2:$F$9,2,FALSE)</f>
        <v>Work</v>
      </c>
      <c r="L413" s="42" t="s">
        <v>38</v>
      </c>
      <c r="M413" s="43" t="s">
        <v>37</v>
      </c>
      <c r="N413" s="42" t="s">
        <v>254</v>
      </c>
      <c r="O413" s="43"/>
      <c r="P413" s="43">
        <v>4</v>
      </c>
      <c r="Q413" s="25" t="str">
        <f>VLOOKUP(P413,[2]Key!$E$2:$F$9,2,FALSE)</f>
        <v>Commercial</v>
      </c>
      <c r="R413" s="25" t="str">
        <f t="shared" si="9"/>
        <v>Work-Commercial</v>
      </c>
      <c r="S413" s="62"/>
      <c r="T413" s="62" t="s">
        <v>548</v>
      </c>
      <c r="U413" s="43">
        <v>3</v>
      </c>
      <c r="V413" s="43">
        <v>10</v>
      </c>
      <c r="W413" s="62"/>
      <c r="X413" s="62"/>
      <c r="Y413" s="63"/>
      <c r="Z413" s="76"/>
      <c r="AA413" s="25">
        <f>VLOOKUP(F413,'[1]Zones 1'!$A$2:$F$25426,6,FALSE)</f>
        <v>651</v>
      </c>
      <c r="AB413" s="25">
        <f>VLOOKUP(L413,'[1]Zones 1'!$A$2:$F$25426,6,FALSE)</f>
        <v>644</v>
      </c>
    </row>
    <row r="414" spans="2:28">
      <c r="B414" s="40" t="s">
        <v>555</v>
      </c>
      <c r="C414" s="40"/>
      <c r="D414" s="41">
        <v>3</v>
      </c>
      <c r="E414" s="42">
        <v>1</v>
      </c>
      <c r="F414" s="42" t="s">
        <v>37</v>
      </c>
      <c r="G414" s="43" t="s">
        <v>37</v>
      </c>
      <c r="H414" s="42" t="s">
        <v>254</v>
      </c>
      <c r="I414" s="43"/>
      <c r="J414" s="43">
        <v>2</v>
      </c>
      <c r="K414" s="25" t="str">
        <f>VLOOKUP(J414,[2]Key!$E$2:$F$9,2,FALSE)</f>
        <v>Work</v>
      </c>
      <c r="L414" s="42" t="s">
        <v>258</v>
      </c>
      <c r="M414" s="43" t="s">
        <v>37</v>
      </c>
      <c r="N414" s="42" t="s">
        <v>254</v>
      </c>
      <c r="O414" s="43"/>
      <c r="P414" s="43">
        <v>1</v>
      </c>
      <c r="Q414" s="25" t="str">
        <f>VLOOKUP(P414,[2]Key!$E$2:$F$9,2,FALSE)</f>
        <v>Home</v>
      </c>
      <c r="R414" s="25" t="str">
        <f t="shared" si="9"/>
        <v>Work-Home</v>
      </c>
      <c r="S414" s="62"/>
      <c r="T414" s="62" t="s">
        <v>548</v>
      </c>
      <c r="U414" s="43">
        <v>4</v>
      </c>
      <c r="V414" s="43">
        <v>8</v>
      </c>
      <c r="W414" s="62"/>
      <c r="X414" s="62"/>
      <c r="Y414" s="63"/>
      <c r="Z414" s="76"/>
      <c r="AA414" s="25">
        <f>VLOOKUP(F414,'[1]Zones 1'!$A$2:$F$25426,6,FALSE)</f>
        <v>651</v>
      </c>
      <c r="AB414" s="25">
        <f>VLOOKUP(L414,'[1]Zones 1'!$A$2:$F$25426,6,FALSE)</f>
        <v>655</v>
      </c>
    </row>
    <row r="415" spans="2:28">
      <c r="B415" s="40" t="s">
        <v>409</v>
      </c>
      <c r="C415" s="40"/>
      <c r="D415" s="41">
        <v>3</v>
      </c>
      <c r="E415" s="42">
        <v>2</v>
      </c>
      <c r="F415" s="42" t="s">
        <v>37</v>
      </c>
      <c r="G415" s="43" t="s">
        <v>37</v>
      </c>
      <c r="H415" s="42" t="s">
        <v>254</v>
      </c>
      <c r="I415" s="43"/>
      <c r="J415" s="43">
        <v>1</v>
      </c>
      <c r="K415" s="25" t="str">
        <f>VLOOKUP(J415,[2]Key!$E$2:$F$9,2,FALSE)</f>
        <v>Home</v>
      </c>
      <c r="L415" s="42" t="s">
        <v>256</v>
      </c>
      <c r="M415" s="43" t="s">
        <v>37</v>
      </c>
      <c r="N415" s="42" t="s">
        <v>254</v>
      </c>
      <c r="O415" s="43"/>
      <c r="P415" s="43">
        <v>2</v>
      </c>
      <c r="Q415" s="25" t="str">
        <f>VLOOKUP(P415,[2]Key!$E$2:$F$9,2,FALSE)</f>
        <v>Work</v>
      </c>
      <c r="R415" s="25" t="str">
        <f t="shared" si="9"/>
        <v>Home-Work</v>
      </c>
      <c r="S415" s="62"/>
      <c r="T415" s="62">
        <v>3</v>
      </c>
      <c r="U415" s="43">
        <v>3</v>
      </c>
      <c r="V415" s="43">
        <v>10</v>
      </c>
      <c r="W415" s="62"/>
      <c r="X415" s="62"/>
      <c r="Y415" s="63"/>
      <c r="Z415" s="76"/>
      <c r="AA415" s="25">
        <f>VLOOKUP(F415,'[1]Zones 1'!$A$2:$F$25426,6,FALSE)</f>
        <v>651</v>
      </c>
      <c r="AB415" s="25">
        <f>VLOOKUP(L415,'[1]Zones 1'!$A$2:$F$25426,6,FALSE)</f>
        <v>1440</v>
      </c>
    </row>
    <row r="416" spans="2:28">
      <c r="B416" s="40" t="s">
        <v>556</v>
      </c>
      <c r="C416" s="40"/>
      <c r="D416" s="41">
        <v>3</v>
      </c>
      <c r="E416" s="42">
        <v>1</v>
      </c>
      <c r="F416" s="42" t="s">
        <v>249</v>
      </c>
      <c r="G416" s="43" t="s">
        <v>37</v>
      </c>
      <c r="H416" s="42" t="s">
        <v>254</v>
      </c>
      <c r="I416" s="43"/>
      <c r="J416" s="43">
        <v>4</v>
      </c>
      <c r="K416" s="25" t="str">
        <f>VLOOKUP(J416,[2]Key!$E$2:$F$9,2,FALSE)</f>
        <v>Commercial</v>
      </c>
      <c r="L416" s="42" t="s">
        <v>38</v>
      </c>
      <c r="M416" s="43" t="s">
        <v>37</v>
      </c>
      <c r="N416" s="42" t="s">
        <v>254</v>
      </c>
      <c r="O416" s="43"/>
      <c r="P416" s="43">
        <v>1</v>
      </c>
      <c r="Q416" s="25" t="str">
        <f>VLOOKUP(P416,[2]Key!$E$2:$F$9,2,FALSE)</f>
        <v>Home</v>
      </c>
      <c r="R416" s="25" t="str">
        <f t="shared" si="9"/>
        <v>Commercial-Home</v>
      </c>
      <c r="S416" s="62"/>
      <c r="T416" s="62" t="s">
        <v>548</v>
      </c>
      <c r="U416" s="43">
        <v>2</v>
      </c>
      <c r="V416" s="43">
        <v>5</v>
      </c>
      <c r="W416" s="62"/>
      <c r="X416" s="62"/>
      <c r="Y416" s="63"/>
      <c r="Z416" s="76"/>
      <c r="AA416" s="25">
        <f>VLOOKUP(F416,'[1]Zones 1'!$A$2:$F$25426,6,FALSE)</f>
        <v>655</v>
      </c>
      <c r="AB416" s="25">
        <f>VLOOKUP(L416,'[1]Zones 1'!$A$2:$F$25426,6,FALSE)</f>
        <v>644</v>
      </c>
    </row>
    <row r="417" spans="2:28">
      <c r="B417" s="40" t="s">
        <v>557</v>
      </c>
      <c r="C417" s="40"/>
      <c r="D417" s="41">
        <v>4</v>
      </c>
      <c r="E417" s="42">
        <v>3</v>
      </c>
      <c r="F417" s="42" t="s">
        <v>40</v>
      </c>
      <c r="G417" s="43" t="s">
        <v>40</v>
      </c>
      <c r="H417" s="42" t="s">
        <v>254</v>
      </c>
      <c r="I417" s="43"/>
      <c r="J417" s="43">
        <v>1</v>
      </c>
      <c r="K417" s="25" t="str">
        <f>VLOOKUP(J417,[2]Key!$E$2:$F$9,2,FALSE)</f>
        <v>Home</v>
      </c>
      <c r="L417" s="42" t="s">
        <v>550</v>
      </c>
      <c r="M417" s="43" t="s">
        <v>37</v>
      </c>
      <c r="N417" s="42" t="s">
        <v>254</v>
      </c>
      <c r="O417" s="43"/>
      <c r="P417" s="43">
        <v>2</v>
      </c>
      <c r="Q417" s="25" t="str">
        <f>VLOOKUP(P417,[2]Key!$E$2:$F$9,2,FALSE)</f>
        <v>Work</v>
      </c>
      <c r="R417" s="25" t="str">
        <f t="shared" si="9"/>
        <v>Home-Work</v>
      </c>
      <c r="S417" s="62"/>
      <c r="T417" s="62">
        <v>0.16666666666666666</v>
      </c>
      <c r="U417" s="43">
        <v>3</v>
      </c>
      <c r="V417" s="43">
        <v>10</v>
      </c>
      <c r="W417" s="62"/>
      <c r="X417" s="62"/>
      <c r="Y417" s="63"/>
      <c r="Z417" s="76"/>
      <c r="AA417" s="25">
        <f>VLOOKUP(F417,'[1]Zones 1'!$A$2:$F$25426,6,FALSE)</f>
        <v>253</v>
      </c>
      <c r="AB417" s="25">
        <f>VLOOKUP(L417,'[1]Zones 1'!$A$2:$F$25426,6,FALSE)</f>
        <v>651</v>
      </c>
    </row>
    <row r="418" spans="2:28">
      <c r="B418" s="40" t="s">
        <v>308</v>
      </c>
      <c r="C418" s="40"/>
      <c r="D418" s="41">
        <v>4</v>
      </c>
      <c r="E418" s="42">
        <v>1</v>
      </c>
      <c r="F418" s="42" t="s">
        <v>37</v>
      </c>
      <c r="G418" s="43" t="s">
        <v>37</v>
      </c>
      <c r="H418" s="42" t="s">
        <v>254</v>
      </c>
      <c r="I418" s="43"/>
      <c r="J418" s="43">
        <v>2</v>
      </c>
      <c r="K418" s="25" t="str">
        <f>VLOOKUP(J418,[2]Key!$E$2:$F$9,2,FALSE)</f>
        <v>Work</v>
      </c>
      <c r="L418" s="42" t="s">
        <v>249</v>
      </c>
      <c r="M418" s="43" t="s">
        <v>37</v>
      </c>
      <c r="N418" s="42" t="s">
        <v>254</v>
      </c>
      <c r="O418" s="43"/>
      <c r="P418" s="43">
        <v>1</v>
      </c>
      <c r="Q418" s="25" t="str">
        <f>VLOOKUP(P418,[2]Key!$E$2:$F$9,2,FALSE)</f>
        <v>Home</v>
      </c>
      <c r="R418" s="25" t="str">
        <f t="shared" si="9"/>
        <v>Work-Home</v>
      </c>
      <c r="S418" s="62"/>
      <c r="T418" s="62" t="s">
        <v>548</v>
      </c>
      <c r="U418" s="43">
        <v>3</v>
      </c>
      <c r="V418" s="43">
        <v>10</v>
      </c>
      <c r="W418" s="62"/>
      <c r="X418" s="62"/>
      <c r="Y418" s="63"/>
      <c r="Z418" s="76"/>
      <c r="AA418" s="25">
        <f>VLOOKUP(F418,'[1]Zones 1'!$A$2:$F$25426,6,FALSE)</f>
        <v>651</v>
      </c>
      <c r="AB418" s="25">
        <f>VLOOKUP(L418,'[1]Zones 1'!$A$2:$F$25426,6,FALSE)</f>
        <v>655</v>
      </c>
    </row>
    <row r="419" spans="2:28">
      <c r="B419" s="40" t="s">
        <v>308</v>
      </c>
      <c r="C419" s="40"/>
      <c r="D419" s="41">
        <v>4</v>
      </c>
      <c r="E419" s="42">
        <v>2</v>
      </c>
      <c r="F419" s="42" t="s">
        <v>249</v>
      </c>
      <c r="G419" s="43" t="s">
        <v>37</v>
      </c>
      <c r="H419" s="42" t="s">
        <v>254</v>
      </c>
      <c r="I419" s="43"/>
      <c r="J419" s="43">
        <v>2</v>
      </c>
      <c r="K419" s="25" t="str">
        <f>VLOOKUP(J419,[2]Key!$E$2:$F$9,2,FALSE)</f>
        <v>Work</v>
      </c>
      <c r="L419" s="42" t="s">
        <v>38</v>
      </c>
      <c r="M419" s="43" t="s">
        <v>37</v>
      </c>
      <c r="N419" s="42" t="s">
        <v>254</v>
      </c>
      <c r="O419" s="43"/>
      <c r="P419" s="43">
        <v>1</v>
      </c>
      <c r="Q419" s="25" t="str">
        <f>VLOOKUP(P419,[2]Key!$E$2:$F$9,2,FALSE)</f>
        <v>Home</v>
      </c>
      <c r="R419" s="25" t="str">
        <f t="shared" si="9"/>
        <v>Work-Home</v>
      </c>
      <c r="S419" s="62"/>
      <c r="T419" s="62">
        <v>0.16666666666666666</v>
      </c>
      <c r="U419" s="43">
        <v>3</v>
      </c>
      <c r="V419" s="43">
        <v>10</v>
      </c>
      <c r="W419" s="62"/>
      <c r="X419" s="62"/>
      <c r="Y419" s="63"/>
      <c r="Z419" s="76"/>
      <c r="AA419" s="25">
        <f>VLOOKUP(F419,'[1]Zones 1'!$A$2:$F$25426,6,FALSE)</f>
        <v>655</v>
      </c>
      <c r="AB419" s="25">
        <f>VLOOKUP(L419,'[1]Zones 1'!$A$2:$F$25426,6,FALSE)</f>
        <v>644</v>
      </c>
    </row>
    <row r="420" spans="2:28">
      <c r="B420" s="40" t="s">
        <v>310</v>
      </c>
      <c r="C420" s="40"/>
      <c r="D420" s="41">
        <v>4</v>
      </c>
      <c r="E420" s="42">
        <v>2</v>
      </c>
      <c r="F420" s="42" t="s">
        <v>37</v>
      </c>
      <c r="G420" s="43" t="s">
        <v>37</v>
      </c>
      <c r="H420" s="42" t="s">
        <v>254</v>
      </c>
      <c r="I420" s="43"/>
      <c r="J420" s="43">
        <v>2</v>
      </c>
      <c r="K420" s="25" t="str">
        <f>VLOOKUP(J420,[2]Key!$E$2:$F$9,2,FALSE)</f>
        <v>Work</v>
      </c>
      <c r="L420" s="42" t="s">
        <v>38</v>
      </c>
      <c r="M420" s="43" t="s">
        <v>37</v>
      </c>
      <c r="N420" s="42" t="s">
        <v>254</v>
      </c>
      <c r="O420" s="43"/>
      <c r="P420" s="43">
        <v>2</v>
      </c>
      <c r="Q420" s="25" t="str">
        <f>VLOOKUP(P420,[2]Key!$E$2:$F$9,2,FALSE)</f>
        <v>Work</v>
      </c>
      <c r="R420" s="25" t="str">
        <f t="shared" si="9"/>
        <v>Work-Work</v>
      </c>
      <c r="S420" s="62"/>
      <c r="T420" s="62">
        <v>0.16666666666666666</v>
      </c>
      <c r="U420" s="43">
        <v>3</v>
      </c>
      <c r="V420" s="43">
        <v>3</v>
      </c>
      <c r="W420" s="62"/>
      <c r="X420" s="62"/>
      <c r="Y420" s="63"/>
      <c r="Z420" s="76"/>
      <c r="AA420" s="25">
        <f>VLOOKUP(F420,'[1]Zones 1'!$A$2:$F$25426,6,FALSE)</f>
        <v>651</v>
      </c>
      <c r="AB420" s="25">
        <f>VLOOKUP(L420,'[1]Zones 1'!$A$2:$F$25426,6,FALSE)</f>
        <v>644</v>
      </c>
    </row>
    <row r="421" spans="2:28">
      <c r="B421" s="40" t="s">
        <v>558</v>
      </c>
      <c r="C421" s="40"/>
      <c r="D421" s="41">
        <v>4</v>
      </c>
      <c r="E421" s="42">
        <v>1</v>
      </c>
      <c r="F421" s="42" t="s">
        <v>37</v>
      </c>
      <c r="G421" s="43" t="s">
        <v>37</v>
      </c>
      <c r="H421" s="42" t="s">
        <v>254</v>
      </c>
      <c r="I421" s="43"/>
      <c r="J421" s="43">
        <v>1</v>
      </c>
      <c r="K421" s="25" t="str">
        <f>VLOOKUP(J421,[2]Key!$E$2:$F$9,2,FALSE)</f>
        <v>Home</v>
      </c>
      <c r="L421" s="42" t="s">
        <v>38</v>
      </c>
      <c r="M421" s="43" t="s">
        <v>37</v>
      </c>
      <c r="N421" s="42" t="s">
        <v>254</v>
      </c>
      <c r="O421" s="43"/>
      <c r="P421" s="43">
        <v>7</v>
      </c>
      <c r="Q421" s="25" t="str">
        <f>VLOOKUP(P421,[2]Key!$E$2:$F$9,2,FALSE)</f>
        <v>Hospital</v>
      </c>
      <c r="R421" s="25" t="str">
        <f t="shared" si="9"/>
        <v>Home-Hospital</v>
      </c>
      <c r="S421" s="62"/>
      <c r="T421" s="62" t="s">
        <v>548</v>
      </c>
      <c r="U421" s="43">
        <v>4</v>
      </c>
      <c r="V421" s="43">
        <v>3</v>
      </c>
      <c r="W421" s="62"/>
      <c r="X421" s="62"/>
      <c r="Y421" s="63"/>
      <c r="Z421" s="76"/>
      <c r="AA421" s="25">
        <f>VLOOKUP(F421,'[1]Zones 1'!$A$2:$F$25426,6,FALSE)</f>
        <v>651</v>
      </c>
      <c r="AB421" s="25">
        <f>VLOOKUP(L421,'[1]Zones 1'!$A$2:$F$25426,6,FALSE)</f>
        <v>644</v>
      </c>
    </row>
    <row r="422" spans="2:28">
      <c r="B422" s="40" t="s">
        <v>559</v>
      </c>
      <c r="C422" s="40"/>
      <c r="D422" s="41">
        <v>4</v>
      </c>
      <c r="E422" s="42">
        <v>2</v>
      </c>
      <c r="F422" s="42" t="s">
        <v>249</v>
      </c>
      <c r="G422" s="43" t="s">
        <v>37</v>
      </c>
      <c r="H422" s="42" t="s">
        <v>254</v>
      </c>
      <c r="I422" s="43"/>
      <c r="J422" s="43">
        <v>4</v>
      </c>
      <c r="K422" s="25" t="str">
        <f>VLOOKUP(J422,[2]Key!$E$2:$F$9,2,FALSE)</f>
        <v>Commercial</v>
      </c>
      <c r="L422" s="42" t="s">
        <v>259</v>
      </c>
      <c r="M422" s="43" t="s">
        <v>37</v>
      </c>
      <c r="N422" s="42" t="s">
        <v>254</v>
      </c>
      <c r="O422" s="43"/>
      <c r="P422" s="43">
        <v>1</v>
      </c>
      <c r="Q422" s="25" t="str">
        <f>VLOOKUP(P422,[2]Key!$E$2:$F$9,2,FALSE)</f>
        <v>Home</v>
      </c>
      <c r="R422" s="25" t="str">
        <f t="shared" si="9"/>
        <v>Commercial-Home</v>
      </c>
      <c r="S422" s="62"/>
      <c r="T422" s="62">
        <v>3</v>
      </c>
      <c r="U422" s="43">
        <v>6</v>
      </c>
      <c r="V422" s="43">
        <v>10</v>
      </c>
      <c r="W422" s="62"/>
      <c r="X422" s="62"/>
      <c r="Y422" s="63"/>
      <c r="Z422" s="76"/>
      <c r="AA422" s="25">
        <f>VLOOKUP(F422,'[1]Zones 1'!$A$2:$F$25426,6,FALSE)</f>
        <v>655</v>
      </c>
      <c r="AB422" s="25">
        <f>VLOOKUP(L422,'[1]Zones 1'!$A$2:$F$25426,6,FALSE)</f>
        <v>666</v>
      </c>
    </row>
    <row r="423" spans="2:28">
      <c r="B423" s="40" t="s">
        <v>533</v>
      </c>
      <c r="C423" s="40"/>
      <c r="D423" s="41">
        <v>2</v>
      </c>
      <c r="E423" s="42">
        <v>1</v>
      </c>
      <c r="F423" s="42" t="s">
        <v>37</v>
      </c>
      <c r="G423" s="43" t="s">
        <v>37</v>
      </c>
      <c r="H423" s="42" t="s">
        <v>254</v>
      </c>
      <c r="I423" s="43"/>
      <c r="J423" s="43">
        <v>2</v>
      </c>
      <c r="K423" s="25" t="str">
        <f>VLOOKUP(J423,[2]Key!$E$2:$F$9,2,FALSE)</f>
        <v>Work</v>
      </c>
      <c r="L423" s="42" t="s">
        <v>256</v>
      </c>
      <c r="M423" s="43" t="s">
        <v>37</v>
      </c>
      <c r="N423" s="42" t="s">
        <v>254</v>
      </c>
      <c r="O423" s="43"/>
      <c r="P423" s="43">
        <v>7</v>
      </c>
      <c r="Q423" s="25" t="str">
        <f>VLOOKUP(P423,[2]Key!$E$2:$F$9,2,FALSE)</f>
        <v>Hospital</v>
      </c>
      <c r="R423" s="25" t="str">
        <f t="shared" si="9"/>
        <v>Work-Hospital</v>
      </c>
      <c r="S423" s="62"/>
      <c r="T423" s="62" t="s">
        <v>548</v>
      </c>
      <c r="U423" s="43">
        <v>2</v>
      </c>
      <c r="V423" s="43">
        <v>10</v>
      </c>
      <c r="W423" s="62"/>
      <c r="X423" s="62"/>
      <c r="Y423" s="63"/>
      <c r="Z423" s="76"/>
      <c r="AA423" s="25">
        <f>VLOOKUP(F423,'[1]Zones 1'!$A$2:$F$25426,6,FALSE)</f>
        <v>651</v>
      </c>
      <c r="AB423" s="25">
        <f>VLOOKUP(L423,'[1]Zones 1'!$A$2:$F$25426,6,FALSE)</f>
        <v>1440</v>
      </c>
    </row>
    <row r="424" spans="2:28">
      <c r="B424" s="40" t="s">
        <v>316</v>
      </c>
      <c r="C424" s="40"/>
      <c r="D424" s="41">
        <v>3</v>
      </c>
      <c r="E424" s="42">
        <v>4</v>
      </c>
      <c r="F424" s="42" t="s">
        <v>37</v>
      </c>
      <c r="G424" s="43" t="s">
        <v>37</v>
      </c>
      <c r="H424" s="42" t="s">
        <v>254</v>
      </c>
      <c r="I424" s="43"/>
      <c r="J424" s="43">
        <v>2</v>
      </c>
      <c r="K424" s="25" t="str">
        <f>VLOOKUP(J424,[2]Key!$E$2:$F$9,2,FALSE)</f>
        <v>Work</v>
      </c>
      <c r="L424" s="42" t="s">
        <v>38</v>
      </c>
      <c r="M424" s="43" t="s">
        <v>37</v>
      </c>
      <c r="N424" s="42" t="s">
        <v>254</v>
      </c>
      <c r="O424" s="43"/>
      <c r="P424" s="43">
        <v>1</v>
      </c>
      <c r="Q424" s="25" t="str">
        <f>VLOOKUP(P424,[2]Key!$E$2:$F$9,2,FALSE)</f>
        <v>Home</v>
      </c>
      <c r="R424" s="25" t="str">
        <f t="shared" si="9"/>
        <v>Work-Home</v>
      </c>
      <c r="S424" s="62"/>
      <c r="T424" s="62" t="s">
        <v>548</v>
      </c>
      <c r="U424" s="43">
        <v>3</v>
      </c>
      <c r="V424" s="43">
        <v>8</v>
      </c>
      <c r="W424" s="62"/>
      <c r="X424" s="62"/>
      <c r="Y424" s="63"/>
      <c r="Z424" s="76"/>
      <c r="AA424" s="25">
        <f>VLOOKUP(F424,'[1]Zones 1'!$A$2:$F$25426,6,FALSE)</f>
        <v>651</v>
      </c>
      <c r="AB424" s="25">
        <f>VLOOKUP(L424,'[1]Zones 1'!$A$2:$F$25426,6,FALSE)</f>
        <v>644</v>
      </c>
    </row>
    <row r="425" spans="2:28">
      <c r="B425" s="40" t="s">
        <v>560</v>
      </c>
      <c r="C425" s="40"/>
      <c r="D425" s="41">
        <v>3</v>
      </c>
      <c r="E425" s="42">
        <v>1</v>
      </c>
      <c r="F425" s="42" t="s">
        <v>37</v>
      </c>
      <c r="G425" s="43" t="s">
        <v>37</v>
      </c>
      <c r="H425" s="42" t="s">
        <v>254</v>
      </c>
      <c r="I425" s="43"/>
      <c r="J425" s="43">
        <v>2</v>
      </c>
      <c r="K425" s="25" t="str">
        <f>VLOOKUP(J425,[2]Key!$E$2:$F$9,2,FALSE)</f>
        <v>Work</v>
      </c>
      <c r="L425" s="42" t="s">
        <v>38</v>
      </c>
      <c r="M425" s="43" t="s">
        <v>37</v>
      </c>
      <c r="N425" s="42" t="s">
        <v>254</v>
      </c>
      <c r="O425" s="43"/>
      <c r="P425" s="43">
        <v>2</v>
      </c>
      <c r="Q425" s="25" t="str">
        <f>VLOOKUP(P425,[2]Key!$E$2:$F$9,2,FALSE)</f>
        <v>Work</v>
      </c>
      <c r="R425" s="25" t="str">
        <f t="shared" si="9"/>
        <v>Work-Work</v>
      </c>
      <c r="S425" s="62"/>
      <c r="T425" s="62">
        <v>3</v>
      </c>
      <c r="U425" s="43">
        <v>1</v>
      </c>
      <c r="V425" s="43">
        <v>10</v>
      </c>
      <c r="W425" s="62"/>
      <c r="X425" s="62"/>
      <c r="Y425" s="63"/>
      <c r="Z425" s="76"/>
      <c r="AA425" s="25">
        <f>VLOOKUP(F425,'[1]Zones 1'!$A$2:$F$25426,6,FALSE)</f>
        <v>651</v>
      </c>
      <c r="AB425" s="25">
        <f>VLOOKUP(L425,'[1]Zones 1'!$A$2:$F$25426,6,FALSE)</f>
        <v>644</v>
      </c>
    </row>
    <row r="426" spans="2:28">
      <c r="B426" s="40" t="s">
        <v>561</v>
      </c>
      <c r="C426" s="40"/>
      <c r="D426" s="41">
        <v>1</v>
      </c>
      <c r="E426" s="42">
        <v>2</v>
      </c>
      <c r="F426" s="42" t="s">
        <v>249</v>
      </c>
      <c r="G426" s="43" t="s">
        <v>37</v>
      </c>
      <c r="H426" s="42" t="s">
        <v>254</v>
      </c>
      <c r="I426" s="43"/>
      <c r="J426" s="43">
        <v>2</v>
      </c>
      <c r="K426" s="25" t="str">
        <f>VLOOKUP(J426,[2]Key!$E$2:$F$9,2,FALSE)</f>
        <v>Work</v>
      </c>
      <c r="L426" s="42" t="s">
        <v>258</v>
      </c>
      <c r="M426" s="43" t="s">
        <v>37</v>
      </c>
      <c r="N426" s="42" t="s">
        <v>254</v>
      </c>
      <c r="O426" s="43"/>
      <c r="P426" s="43">
        <v>2</v>
      </c>
      <c r="Q426" s="25" t="str">
        <f>VLOOKUP(P426,[2]Key!$E$2:$F$9,2,FALSE)</f>
        <v>Work</v>
      </c>
      <c r="R426" s="25" t="str">
        <f t="shared" si="9"/>
        <v>Work-Work</v>
      </c>
      <c r="S426" s="62"/>
      <c r="T426" s="62" t="s">
        <v>548</v>
      </c>
      <c r="U426" s="43">
        <v>2</v>
      </c>
      <c r="V426" s="43">
        <v>10</v>
      </c>
      <c r="W426" s="62"/>
      <c r="X426" s="62"/>
      <c r="Y426" s="63"/>
      <c r="Z426" s="76"/>
      <c r="AA426" s="25">
        <f>VLOOKUP(F426,'[1]Zones 1'!$A$2:$F$25426,6,FALSE)</f>
        <v>655</v>
      </c>
      <c r="AB426" s="25">
        <f>VLOOKUP(L426,'[1]Zones 1'!$A$2:$F$25426,6,FALSE)</f>
        <v>655</v>
      </c>
    </row>
    <row r="427" spans="2:28">
      <c r="B427" s="40" t="s">
        <v>421</v>
      </c>
      <c r="C427" s="40"/>
      <c r="D427" s="41">
        <v>2</v>
      </c>
      <c r="E427" s="42">
        <v>1</v>
      </c>
      <c r="F427" s="42" t="s">
        <v>37</v>
      </c>
      <c r="G427" s="43" t="s">
        <v>37</v>
      </c>
      <c r="H427" s="42" t="s">
        <v>254</v>
      </c>
      <c r="I427" s="43"/>
      <c r="J427" s="43">
        <v>1</v>
      </c>
      <c r="K427" s="25" t="str">
        <f>VLOOKUP(J427,[2]Key!$E$2:$F$9,2,FALSE)</f>
        <v>Home</v>
      </c>
      <c r="L427" s="42" t="s">
        <v>38</v>
      </c>
      <c r="M427" s="43" t="s">
        <v>37</v>
      </c>
      <c r="N427" s="42" t="s">
        <v>254</v>
      </c>
      <c r="O427" s="43"/>
      <c r="P427" s="43">
        <v>1</v>
      </c>
      <c r="Q427" s="25" t="str">
        <f>VLOOKUP(P427,[2]Key!$E$2:$F$9,2,FALSE)</f>
        <v>Home</v>
      </c>
      <c r="R427" s="25" t="str">
        <f t="shared" si="9"/>
        <v>Home-Home</v>
      </c>
      <c r="S427" s="62"/>
      <c r="T427" s="62" t="s">
        <v>548</v>
      </c>
      <c r="U427" s="43">
        <v>2</v>
      </c>
      <c r="V427" s="43">
        <v>8</v>
      </c>
      <c r="W427" s="62"/>
      <c r="X427" s="62"/>
      <c r="Y427" s="63"/>
      <c r="Z427" s="76"/>
      <c r="AA427" s="25">
        <f>VLOOKUP(F427,'[1]Zones 1'!$A$2:$F$25426,6,FALSE)</f>
        <v>651</v>
      </c>
      <c r="AB427" s="25">
        <f>VLOOKUP(L427,'[1]Zones 1'!$A$2:$F$25426,6,FALSE)</f>
        <v>644</v>
      </c>
    </row>
    <row r="428" spans="2:28">
      <c r="B428" s="40" t="s">
        <v>562</v>
      </c>
      <c r="C428" s="40"/>
      <c r="D428" s="41">
        <v>2</v>
      </c>
      <c r="E428" s="42">
        <v>2</v>
      </c>
      <c r="F428" s="42" t="s">
        <v>37</v>
      </c>
      <c r="G428" s="43" t="s">
        <v>37</v>
      </c>
      <c r="H428" s="42" t="s">
        <v>254</v>
      </c>
      <c r="I428" s="43"/>
      <c r="J428" s="43">
        <v>2</v>
      </c>
      <c r="K428" s="25" t="str">
        <f>VLOOKUP(J428,[2]Key!$E$2:$F$9,2,FALSE)</f>
        <v>Work</v>
      </c>
      <c r="L428" s="42" t="s">
        <v>38</v>
      </c>
      <c r="M428" s="43" t="s">
        <v>37</v>
      </c>
      <c r="N428" s="42" t="s">
        <v>254</v>
      </c>
      <c r="O428" s="43"/>
      <c r="P428" s="43">
        <v>2</v>
      </c>
      <c r="Q428" s="25" t="str">
        <f>VLOOKUP(P428,[2]Key!$E$2:$F$9,2,FALSE)</f>
        <v>Work</v>
      </c>
      <c r="R428" s="25" t="str">
        <f t="shared" si="9"/>
        <v>Work-Work</v>
      </c>
      <c r="S428" s="62"/>
      <c r="T428" s="62" t="s">
        <v>548</v>
      </c>
      <c r="U428" s="43">
        <v>3</v>
      </c>
      <c r="V428" s="43">
        <v>8</v>
      </c>
      <c r="W428" s="62"/>
      <c r="X428" s="62"/>
      <c r="Y428" s="63"/>
      <c r="Z428" s="76"/>
      <c r="AA428" s="25">
        <f>VLOOKUP(F428,'[1]Zones 1'!$A$2:$F$25426,6,FALSE)</f>
        <v>651</v>
      </c>
      <c r="AB428" s="25">
        <f>VLOOKUP(L428,'[1]Zones 1'!$A$2:$F$25426,6,FALSE)</f>
        <v>644</v>
      </c>
    </row>
    <row r="429" spans="2:28">
      <c r="B429" s="40" t="s">
        <v>563</v>
      </c>
      <c r="C429" s="40"/>
      <c r="D429" s="41">
        <v>1</v>
      </c>
      <c r="E429" s="42">
        <v>2</v>
      </c>
      <c r="F429" s="42" t="s">
        <v>564</v>
      </c>
      <c r="G429" s="43" t="s">
        <v>564</v>
      </c>
      <c r="H429" s="42" t="s">
        <v>254</v>
      </c>
      <c r="I429" s="43"/>
      <c r="J429" s="43">
        <v>5</v>
      </c>
      <c r="K429" s="25" t="str">
        <f>VLOOKUP(J429,[2]Key!$E$2:$F$9,2,FALSE)</f>
        <v>Tourism</v>
      </c>
      <c r="L429" s="42" t="s">
        <v>37</v>
      </c>
      <c r="M429" s="43" t="s">
        <v>37</v>
      </c>
      <c r="N429" s="42" t="s">
        <v>254</v>
      </c>
      <c r="O429" s="43"/>
      <c r="P429" s="43">
        <v>1</v>
      </c>
      <c r="Q429" s="25" t="str">
        <f>VLOOKUP(P429,[2]Key!$E$2:$F$9,2,FALSE)</f>
        <v>Home</v>
      </c>
      <c r="R429" s="25" t="str">
        <f t="shared" si="9"/>
        <v>Tourism-Home</v>
      </c>
      <c r="S429" s="62"/>
      <c r="T429" s="62">
        <v>1</v>
      </c>
      <c r="U429" s="43">
        <v>4</v>
      </c>
      <c r="V429" s="43">
        <v>10</v>
      </c>
      <c r="W429" s="62"/>
      <c r="X429" s="62"/>
      <c r="Y429" s="63"/>
      <c r="Z429" s="76"/>
      <c r="AA429" s="25">
        <f>VLOOKUP(F429,'[1]Zones 1'!$A$2:$F$25426,6,FALSE)</f>
        <v>422</v>
      </c>
      <c r="AB429" s="25">
        <f>VLOOKUP(L429,'[1]Zones 1'!$A$2:$F$25426,6,FALSE)</f>
        <v>651</v>
      </c>
    </row>
    <row r="430" spans="2:28">
      <c r="B430" s="40" t="s">
        <v>320</v>
      </c>
      <c r="C430" s="40"/>
      <c r="D430" s="41">
        <v>2</v>
      </c>
      <c r="E430" s="42">
        <v>2</v>
      </c>
      <c r="F430" s="42" t="s">
        <v>37</v>
      </c>
      <c r="G430" s="43" t="s">
        <v>37</v>
      </c>
      <c r="H430" s="42" t="s">
        <v>254</v>
      </c>
      <c r="I430" s="43"/>
      <c r="J430" s="43">
        <v>4</v>
      </c>
      <c r="K430" s="25" t="str">
        <f>VLOOKUP(J430,[2]Key!$E$2:$F$9,2,FALSE)</f>
        <v>Commercial</v>
      </c>
      <c r="L430" s="42" t="s">
        <v>38</v>
      </c>
      <c r="M430" s="43" t="s">
        <v>37</v>
      </c>
      <c r="N430" s="42" t="s">
        <v>254</v>
      </c>
      <c r="O430" s="43"/>
      <c r="P430" s="43">
        <v>4</v>
      </c>
      <c r="Q430" s="25" t="str">
        <f>VLOOKUP(P430,[2]Key!$E$2:$F$9,2,FALSE)</f>
        <v>Commercial</v>
      </c>
      <c r="R430" s="25" t="str">
        <f t="shared" si="9"/>
        <v>Commercial-Commercial</v>
      </c>
      <c r="S430" s="62"/>
      <c r="T430" s="62">
        <v>1</v>
      </c>
      <c r="U430" s="43">
        <v>3</v>
      </c>
      <c r="V430" s="43">
        <v>8</v>
      </c>
      <c r="W430" s="62"/>
      <c r="X430" s="62"/>
      <c r="Y430" s="63"/>
      <c r="Z430" s="76"/>
      <c r="AA430" s="25">
        <f>VLOOKUP(F430,'[1]Zones 1'!$A$2:$F$25426,6,FALSE)</f>
        <v>651</v>
      </c>
      <c r="AB430" s="25">
        <f>VLOOKUP(L430,'[1]Zones 1'!$A$2:$F$25426,6,FALSE)</f>
        <v>644</v>
      </c>
    </row>
    <row r="431" spans="2:28">
      <c r="B431" s="40" t="s">
        <v>544</v>
      </c>
      <c r="C431" s="40"/>
      <c r="D431" s="41">
        <v>2</v>
      </c>
      <c r="E431" s="42">
        <v>3</v>
      </c>
      <c r="F431" s="42" t="s">
        <v>37</v>
      </c>
      <c r="G431" s="43" t="s">
        <v>37</v>
      </c>
      <c r="H431" s="42" t="s">
        <v>254</v>
      </c>
      <c r="I431" s="43"/>
      <c r="J431" s="43">
        <v>2</v>
      </c>
      <c r="K431" s="25" t="str">
        <f>VLOOKUP(J431,[2]Key!$E$2:$F$9,2,FALSE)</f>
        <v>Work</v>
      </c>
      <c r="L431" s="42" t="s">
        <v>258</v>
      </c>
      <c r="M431" s="43" t="s">
        <v>37</v>
      </c>
      <c r="N431" s="42" t="s">
        <v>254</v>
      </c>
      <c r="O431" s="43"/>
      <c r="P431" s="43">
        <v>1</v>
      </c>
      <c r="Q431" s="25" t="str">
        <f>VLOOKUP(P431,[2]Key!$E$2:$F$9,2,FALSE)</f>
        <v>Home</v>
      </c>
      <c r="R431" s="25" t="str">
        <f t="shared" si="9"/>
        <v>Work-Home</v>
      </c>
      <c r="S431" s="62"/>
      <c r="T431" s="62">
        <v>2</v>
      </c>
      <c r="U431" s="43">
        <v>1</v>
      </c>
      <c r="V431" s="43">
        <v>10</v>
      </c>
      <c r="W431" s="62"/>
      <c r="X431" s="62"/>
      <c r="Y431" s="63"/>
      <c r="Z431" s="76"/>
      <c r="AA431" s="25">
        <f>VLOOKUP(F431,'[1]Zones 1'!$A$2:$F$25426,6,FALSE)</f>
        <v>651</v>
      </c>
      <c r="AB431" s="25">
        <f>VLOOKUP(L431,'[1]Zones 1'!$A$2:$F$25426,6,FALSE)</f>
        <v>655</v>
      </c>
    </row>
    <row r="432" spans="2:28">
      <c r="B432" s="40" t="s">
        <v>565</v>
      </c>
      <c r="C432" s="40"/>
      <c r="D432" s="41">
        <v>2</v>
      </c>
      <c r="E432" s="42">
        <v>1</v>
      </c>
      <c r="F432" s="42" t="s">
        <v>246</v>
      </c>
      <c r="G432" s="43" t="s">
        <v>246</v>
      </c>
      <c r="H432" s="42" t="s">
        <v>254</v>
      </c>
      <c r="I432" s="43"/>
      <c r="J432" s="43">
        <v>2</v>
      </c>
      <c r="K432" s="25" t="str">
        <f>VLOOKUP(J432,[2]Key!$E$2:$F$9,2,FALSE)</f>
        <v>Work</v>
      </c>
      <c r="L432" s="42" t="s">
        <v>38</v>
      </c>
      <c r="M432" s="43" t="s">
        <v>37</v>
      </c>
      <c r="N432" s="42" t="s">
        <v>254</v>
      </c>
      <c r="O432" s="43"/>
      <c r="P432" s="43">
        <v>2</v>
      </c>
      <c r="Q432" s="25" t="str">
        <f>VLOOKUP(P432,[2]Key!$E$2:$F$9,2,FALSE)</f>
        <v>Work</v>
      </c>
      <c r="R432" s="25" t="str">
        <f t="shared" si="9"/>
        <v>Work-Work</v>
      </c>
      <c r="S432" s="62"/>
      <c r="T432" s="62">
        <v>1</v>
      </c>
      <c r="U432" s="43">
        <v>6</v>
      </c>
      <c r="V432" s="43">
        <v>10</v>
      </c>
      <c r="W432" s="62"/>
      <c r="X432" s="62"/>
      <c r="Y432" s="63"/>
      <c r="Z432" s="76"/>
      <c r="AA432" s="25">
        <f>VLOOKUP(F432,'[1]Zones 1'!$A$2:$F$25426,6,FALSE)</f>
        <v>341</v>
      </c>
      <c r="AB432" s="25">
        <f>VLOOKUP(L432,'[1]Zones 1'!$A$2:$F$25426,6,FALSE)</f>
        <v>644</v>
      </c>
    </row>
    <row r="433" spans="2:28">
      <c r="B433" s="40" t="s">
        <v>566</v>
      </c>
      <c r="C433" s="40"/>
      <c r="D433" s="41">
        <v>2</v>
      </c>
      <c r="E433" s="42">
        <v>3</v>
      </c>
      <c r="F433" s="42" t="s">
        <v>37</v>
      </c>
      <c r="G433" s="43" t="s">
        <v>37</v>
      </c>
      <c r="H433" s="42" t="s">
        <v>254</v>
      </c>
      <c r="I433" s="43"/>
      <c r="J433" s="43">
        <v>1</v>
      </c>
      <c r="K433" s="25" t="str">
        <f>VLOOKUP(J433,[2]Key!$E$2:$F$9,2,FALSE)</f>
        <v>Home</v>
      </c>
      <c r="L433" s="42" t="s">
        <v>256</v>
      </c>
      <c r="M433" s="43" t="s">
        <v>37</v>
      </c>
      <c r="N433" s="42" t="s">
        <v>254</v>
      </c>
      <c r="O433" s="43"/>
      <c r="P433" s="43">
        <v>1</v>
      </c>
      <c r="Q433" s="25" t="str">
        <f>VLOOKUP(P433,[2]Key!$E$2:$F$9,2,FALSE)</f>
        <v>Home</v>
      </c>
      <c r="R433" s="25" t="str">
        <f t="shared" si="9"/>
        <v>Home-Home</v>
      </c>
      <c r="S433" s="62"/>
      <c r="T433" s="62">
        <v>3</v>
      </c>
      <c r="U433" s="43">
        <v>1</v>
      </c>
      <c r="V433" s="43">
        <v>7</v>
      </c>
      <c r="W433" s="62"/>
      <c r="X433" s="62"/>
      <c r="Y433" s="63"/>
      <c r="Z433" s="76"/>
      <c r="AA433" s="25">
        <f>VLOOKUP(F433,'[1]Zones 1'!$A$2:$F$25426,6,FALSE)</f>
        <v>651</v>
      </c>
      <c r="AB433" s="25">
        <f>VLOOKUP(L433,'[1]Zones 1'!$A$2:$F$25426,6,FALSE)</f>
        <v>1440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45"/>
  <sheetViews>
    <sheetView topLeftCell="A70" zoomScale="86" zoomScaleNormal="86" zoomScaleSheetLayoutView="80" workbookViewId="0">
      <selection activeCell="C18" sqref="C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">
        <v>570</v>
      </c>
      <c r="E4" s="1" t="s">
        <v>153</v>
      </c>
      <c r="F4" s="124" t="s">
        <v>567</v>
      </c>
      <c r="G4" s="125"/>
      <c r="I4" s="27" t="s">
        <v>154</v>
      </c>
      <c r="J4" s="5"/>
      <c r="K4" s="5"/>
      <c r="L4" s="66" t="s">
        <v>568</v>
      </c>
      <c r="M4" s="2"/>
      <c r="N4" s="1" t="s">
        <v>156</v>
      </c>
      <c r="O4" s="126" t="s">
        <v>237</v>
      </c>
      <c r="P4" s="127"/>
      <c r="Q4" s="127"/>
      <c r="R4" s="127"/>
      <c r="S4" s="127"/>
      <c r="T4" s="127"/>
      <c r="V4" s="1" t="s">
        <v>157</v>
      </c>
      <c r="W4" s="69" t="str">
        <f>'8.8 BWERA-KIKORONGO'!W4</f>
        <v>Isaac</v>
      </c>
      <c r="Y4" s="27" t="s">
        <v>6</v>
      </c>
      <c r="Z4" s="39" t="str">
        <f>'8.8 BWERA-KIKORONGO'!Z4</f>
        <v>Sheba N</v>
      </c>
      <c r="AA4" s="32" t="s">
        <v>7</v>
      </c>
      <c r="AB4" s="39" t="str">
        <f>'8.8 BWERA-KIKORONGO'!AB4</f>
        <v>Bakole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569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23" t="s">
        <v>158</v>
      </c>
      <c r="G8" s="23" t="s">
        <v>145</v>
      </c>
      <c r="H8" s="24" t="s">
        <v>146</v>
      </c>
      <c r="I8" s="131"/>
      <c r="J8" s="122"/>
      <c r="K8" s="122"/>
      <c r="L8" s="23" t="s">
        <v>158</v>
      </c>
      <c r="M8" s="23" t="s">
        <v>145</v>
      </c>
      <c r="N8" s="23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40" t="s">
        <v>262</v>
      </c>
      <c r="C9" s="40"/>
      <c r="D9" s="40">
        <v>8</v>
      </c>
      <c r="E9" s="40">
        <v>1</v>
      </c>
      <c r="F9" s="40" t="s">
        <v>38</v>
      </c>
      <c r="G9" s="40" t="s">
        <v>37</v>
      </c>
      <c r="H9" s="42" t="s">
        <v>254</v>
      </c>
      <c r="I9" s="43"/>
      <c r="J9" s="43">
        <v>2</v>
      </c>
      <c r="K9" s="25" t="str">
        <f>VLOOKUP(J9,Key!$E$2:$F$9,2,FALSE)</f>
        <v>Work</v>
      </c>
      <c r="L9" s="42" t="s">
        <v>37</v>
      </c>
      <c r="M9" s="43" t="s">
        <v>37</v>
      </c>
      <c r="N9" s="42" t="s">
        <v>254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Work-Commercial</v>
      </c>
      <c r="S9" s="62"/>
      <c r="T9" s="62">
        <v>0</v>
      </c>
      <c r="U9" s="43">
        <v>3</v>
      </c>
      <c r="V9" s="43"/>
      <c r="W9" s="62"/>
      <c r="X9" s="62"/>
      <c r="Y9" s="63"/>
      <c r="Z9" s="76"/>
      <c r="AA9" s="25"/>
      <c r="AB9" s="25"/>
    </row>
    <row r="10" spans="2:35">
      <c r="B10" s="40" t="s">
        <v>263</v>
      </c>
      <c r="C10" s="40"/>
      <c r="D10" s="40">
        <v>2</v>
      </c>
      <c r="E10" s="40">
        <v>2</v>
      </c>
      <c r="F10" s="40" t="s">
        <v>38</v>
      </c>
      <c r="G10" s="40" t="s">
        <v>37</v>
      </c>
      <c r="H10" s="42" t="s">
        <v>254</v>
      </c>
      <c r="I10" s="43"/>
      <c r="J10" s="43">
        <v>2</v>
      </c>
      <c r="K10" s="25" t="str">
        <f>VLOOKUP(J10,Key!$E$2:$F$9,2,FALSE)</f>
        <v>Work</v>
      </c>
      <c r="L10" s="42" t="s">
        <v>37</v>
      </c>
      <c r="M10" s="43" t="s">
        <v>37</v>
      </c>
      <c r="N10" s="42" t="s">
        <v>254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Work-Commercial</v>
      </c>
      <c r="S10" s="62"/>
      <c r="T10" s="62">
        <v>0</v>
      </c>
      <c r="U10" s="43">
        <v>5</v>
      </c>
      <c r="V10" s="43"/>
      <c r="W10" s="62"/>
      <c r="X10" s="62"/>
      <c r="Y10" s="63"/>
      <c r="Z10" s="76"/>
      <c r="AA10" s="25"/>
      <c r="AB10" s="25"/>
    </row>
    <row r="11" spans="2:35">
      <c r="B11" s="40" t="s">
        <v>264</v>
      </c>
      <c r="C11" s="40"/>
      <c r="D11" s="40">
        <v>2</v>
      </c>
      <c r="E11" s="40">
        <v>3</v>
      </c>
      <c r="F11" s="40" t="s">
        <v>38</v>
      </c>
      <c r="G11" s="40" t="s">
        <v>37</v>
      </c>
      <c r="H11" s="42" t="s">
        <v>254</v>
      </c>
      <c r="I11" s="43"/>
      <c r="J11" s="43">
        <v>2</v>
      </c>
      <c r="K11" s="25" t="str">
        <f>VLOOKUP(J11,Key!$E$2:$F$9,2,FALSE)</f>
        <v>Work</v>
      </c>
      <c r="L11" s="42" t="s">
        <v>37</v>
      </c>
      <c r="M11" s="43" t="s">
        <v>37</v>
      </c>
      <c r="N11" s="42" t="s">
        <v>254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3</v>
      </c>
      <c r="U11" s="43">
        <v>4</v>
      </c>
      <c r="V11" s="43"/>
      <c r="W11" s="62"/>
      <c r="X11" s="62"/>
      <c r="Y11" s="63"/>
      <c r="Z11" s="76"/>
      <c r="AA11" s="25"/>
      <c r="AB11" s="25"/>
    </row>
    <row r="12" spans="2:35">
      <c r="B12" s="40" t="s">
        <v>265</v>
      </c>
      <c r="C12" s="40"/>
      <c r="D12" s="40">
        <v>3</v>
      </c>
      <c r="E12" s="40">
        <v>2</v>
      </c>
      <c r="F12" s="40" t="s">
        <v>38</v>
      </c>
      <c r="G12" s="40" t="s">
        <v>37</v>
      </c>
      <c r="H12" s="42" t="s">
        <v>254</v>
      </c>
      <c r="I12" s="43"/>
      <c r="J12" s="43">
        <v>2</v>
      </c>
      <c r="K12" s="25" t="str">
        <f>VLOOKUP(J12,Key!$E$2:$F$9,2,FALSE)</f>
        <v>Work</v>
      </c>
      <c r="L12" s="42" t="s">
        <v>37</v>
      </c>
      <c r="M12" s="43" t="s">
        <v>37</v>
      </c>
      <c r="N12" s="42" t="s">
        <v>254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62"/>
      <c r="T12" s="62">
        <v>2</v>
      </c>
      <c r="U12" s="43">
        <v>3</v>
      </c>
      <c r="V12" s="43"/>
      <c r="W12" s="62"/>
      <c r="X12" s="62"/>
      <c r="Y12" s="63"/>
      <c r="Z12" s="76"/>
      <c r="AA12" s="25"/>
      <c r="AB12" s="25"/>
    </row>
    <row r="13" spans="2:35">
      <c r="B13" s="40">
        <v>0.41944444444444445</v>
      </c>
      <c r="C13" s="40"/>
      <c r="D13" s="40">
        <v>3</v>
      </c>
      <c r="E13" s="40">
        <v>3</v>
      </c>
      <c r="F13" s="40" t="s">
        <v>38</v>
      </c>
      <c r="G13" s="40" t="s">
        <v>37</v>
      </c>
      <c r="H13" s="42" t="s">
        <v>254</v>
      </c>
      <c r="I13" s="43"/>
      <c r="J13" s="43">
        <v>2</v>
      </c>
      <c r="K13" s="25" t="str">
        <f>VLOOKUP(J13,Key!$E$2:$F$9,2,FALSE)</f>
        <v>Work</v>
      </c>
      <c r="L13" s="42" t="s">
        <v>37</v>
      </c>
      <c r="M13" s="43" t="s">
        <v>37</v>
      </c>
      <c r="N13" s="42" t="s">
        <v>254</v>
      </c>
      <c r="O13" s="43"/>
      <c r="P13" s="43">
        <v>7</v>
      </c>
      <c r="Q13" s="25" t="str">
        <f>VLOOKUP(P13,Key!$E$2:$F$9,2,FALSE)</f>
        <v>Hospital</v>
      </c>
      <c r="R13" s="25" t="str">
        <f t="shared" si="0"/>
        <v>Work-Hospital</v>
      </c>
      <c r="S13" s="62"/>
      <c r="T13" s="62">
        <v>1</v>
      </c>
      <c r="U13" s="43">
        <v>2</v>
      </c>
      <c r="V13" s="43"/>
      <c r="W13" s="62"/>
      <c r="X13" s="62"/>
      <c r="Y13" s="63"/>
      <c r="Z13" s="76"/>
      <c r="AA13" s="25"/>
      <c r="AB13" s="25"/>
    </row>
    <row r="14" spans="2:35">
      <c r="B14" s="40" t="s">
        <v>266</v>
      </c>
      <c r="C14" s="40"/>
      <c r="D14" s="40">
        <v>3</v>
      </c>
      <c r="E14" s="40">
        <v>4</v>
      </c>
      <c r="F14" s="40" t="s">
        <v>361</v>
      </c>
      <c r="G14" s="40" t="s">
        <v>37</v>
      </c>
      <c r="H14" s="42" t="s">
        <v>254</v>
      </c>
      <c r="I14" s="43"/>
      <c r="J14" s="43">
        <v>1</v>
      </c>
      <c r="K14" s="25" t="str">
        <f>VLOOKUP(J14,Key!$E$2:$F$9,2,FALSE)</f>
        <v>Home</v>
      </c>
      <c r="L14" s="42" t="s">
        <v>37</v>
      </c>
      <c r="M14" s="43" t="s">
        <v>37</v>
      </c>
      <c r="N14" s="42" t="s">
        <v>254</v>
      </c>
      <c r="O14" s="43"/>
      <c r="P14" s="43">
        <v>5</v>
      </c>
      <c r="Q14" s="25" t="str">
        <f>VLOOKUP(P14,Key!$E$2:$F$9,2,FALSE)</f>
        <v>Tourism</v>
      </c>
      <c r="R14" s="25" t="str">
        <f t="shared" si="0"/>
        <v>Home-Tourism</v>
      </c>
      <c r="S14" s="62"/>
      <c r="T14" s="62">
        <v>1</v>
      </c>
      <c r="U14" s="43">
        <v>4</v>
      </c>
      <c r="V14" s="43"/>
      <c r="W14" s="62"/>
      <c r="X14" s="62"/>
      <c r="Y14" s="63"/>
      <c r="Z14" s="76"/>
      <c r="AA14" s="25"/>
      <c r="AB14" s="25"/>
    </row>
    <row r="15" spans="2:35">
      <c r="B15" s="40" t="s">
        <v>267</v>
      </c>
      <c r="C15" s="40"/>
      <c r="D15" s="40">
        <v>3</v>
      </c>
      <c r="E15" s="40">
        <v>3</v>
      </c>
      <c r="F15" s="40" t="s">
        <v>37</v>
      </c>
      <c r="G15" s="40" t="s">
        <v>37</v>
      </c>
      <c r="H15" s="42" t="s">
        <v>254</v>
      </c>
      <c r="I15" s="43"/>
      <c r="J15" s="43">
        <v>1</v>
      </c>
      <c r="K15" s="25" t="str">
        <f>VLOOKUP(J15,Key!$E$2:$F$9,2,FALSE)</f>
        <v>Home</v>
      </c>
      <c r="L15" s="42" t="s">
        <v>37</v>
      </c>
      <c r="M15" s="43" t="s">
        <v>37</v>
      </c>
      <c r="N15" s="42" t="s">
        <v>254</v>
      </c>
      <c r="O15" s="43"/>
      <c r="P15" s="43">
        <v>5</v>
      </c>
      <c r="Q15" s="25" t="str">
        <f>VLOOKUP(P15,Key!$E$2:$F$9,2,FALSE)</f>
        <v>Tourism</v>
      </c>
      <c r="R15" s="25" t="str">
        <f t="shared" si="0"/>
        <v>Home-Tourism</v>
      </c>
      <c r="S15" s="62"/>
      <c r="T15" s="62">
        <v>3</v>
      </c>
      <c r="U15" s="43">
        <v>6</v>
      </c>
      <c r="V15" s="43"/>
      <c r="W15" s="62"/>
      <c r="X15" s="62"/>
      <c r="Y15" s="63"/>
      <c r="Z15" s="76"/>
      <c r="AA15" s="25"/>
      <c r="AB15" s="25"/>
    </row>
    <row r="16" spans="2:35">
      <c r="B16" s="40" t="s">
        <v>268</v>
      </c>
      <c r="C16" s="40"/>
      <c r="D16" s="40">
        <v>12</v>
      </c>
      <c r="E16" s="40">
        <v>3</v>
      </c>
      <c r="F16" s="40" t="s">
        <v>50</v>
      </c>
      <c r="G16" s="40" t="s">
        <v>255</v>
      </c>
      <c r="H16" s="42" t="s">
        <v>254</v>
      </c>
      <c r="I16" s="43"/>
      <c r="J16" s="43">
        <v>1</v>
      </c>
      <c r="K16" s="25" t="str">
        <f>VLOOKUP(J16,Key!$E$2:$F$9,2,FALSE)</f>
        <v>Home</v>
      </c>
      <c r="L16" s="42" t="s">
        <v>60</v>
      </c>
      <c r="M16" s="43" t="s">
        <v>240</v>
      </c>
      <c r="N16" s="42" t="s">
        <v>254</v>
      </c>
      <c r="O16" s="43"/>
      <c r="P16" s="43">
        <v>7</v>
      </c>
      <c r="Q16" s="25" t="str">
        <f>VLOOKUP(P16,Key!$E$2:$F$9,2,FALSE)</f>
        <v>Hospital</v>
      </c>
      <c r="R16" s="25" t="str">
        <f t="shared" si="0"/>
        <v>Home-Hospital</v>
      </c>
      <c r="S16" s="62"/>
      <c r="T16" s="62">
        <v>1</v>
      </c>
      <c r="U16" s="43">
        <v>3</v>
      </c>
      <c r="V16" s="43"/>
      <c r="W16" s="62"/>
      <c r="X16" s="62"/>
      <c r="Y16" s="63"/>
      <c r="Z16" s="76"/>
      <c r="AA16" s="25"/>
      <c r="AB16" s="25"/>
    </row>
    <row r="17" spans="2:28">
      <c r="B17" s="40" t="s">
        <v>269</v>
      </c>
      <c r="C17" s="40"/>
      <c r="D17" s="40">
        <v>3</v>
      </c>
      <c r="E17" s="40">
        <v>1</v>
      </c>
      <c r="F17" s="40" t="s">
        <v>38</v>
      </c>
      <c r="G17" s="40" t="s">
        <v>37</v>
      </c>
      <c r="H17" s="42" t="s">
        <v>254</v>
      </c>
      <c r="I17" s="43"/>
      <c r="J17" s="43">
        <v>1</v>
      </c>
      <c r="K17" s="25" t="str">
        <f>VLOOKUP(J17,Key!$E$2:$F$9,2,FALSE)</f>
        <v>Home</v>
      </c>
      <c r="L17" s="42" t="s">
        <v>37</v>
      </c>
      <c r="M17" s="43" t="s">
        <v>37</v>
      </c>
      <c r="N17" s="42" t="s">
        <v>254</v>
      </c>
      <c r="O17" s="43"/>
      <c r="P17" s="43">
        <v>5</v>
      </c>
      <c r="Q17" s="25" t="str">
        <f>VLOOKUP(P17,Key!$E$2:$F$9,2,FALSE)</f>
        <v>Tourism</v>
      </c>
      <c r="R17" s="25" t="str">
        <f t="shared" si="0"/>
        <v>Home-Tourism</v>
      </c>
      <c r="S17" s="62"/>
      <c r="T17" s="62">
        <v>4</v>
      </c>
      <c r="U17" s="43">
        <v>2</v>
      </c>
      <c r="V17" s="43">
        <v>7</v>
      </c>
      <c r="W17" s="62"/>
      <c r="X17" s="62"/>
      <c r="Y17" s="63"/>
      <c r="Z17" s="76"/>
      <c r="AA17" s="25"/>
      <c r="AB17" s="25"/>
    </row>
    <row r="18" spans="2:28">
      <c r="B18" s="40" t="s">
        <v>270</v>
      </c>
      <c r="C18" s="40"/>
      <c r="D18" s="40">
        <v>2</v>
      </c>
      <c r="E18" s="40">
        <v>1</v>
      </c>
      <c r="F18" s="40" t="s">
        <v>38</v>
      </c>
      <c r="G18" s="40" t="s">
        <v>37</v>
      </c>
      <c r="H18" s="42" t="s">
        <v>254</v>
      </c>
      <c r="I18" s="43"/>
      <c r="J18" s="43">
        <v>1</v>
      </c>
      <c r="K18" s="25" t="str">
        <f>VLOOKUP(J18,Key!$E$2:$F$9,2,FALSE)</f>
        <v>Home</v>
      </c>
      <c r="L18" s="42" t="s">
        <v>37</v>
      </c>
      <c r="M18" s="43" t="s">
        <v>37</v>
      </c>
      <c r="N18" s="42" t="s">
        <v>254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Home-Commercial</v>
      </c>
      <c r="S18" s="62"/>
      <c r="T18" s="62">
        <v>48</v>
      </c>
      <c r="U18" s="43">
        <v>1</v>
      </c>
      <c r="V18" s="43"/>
      <c r="W18" s="62"/>
      <c r="X18" s="62"/>
      <c r="Y18" s="63"/>
      <c r="Z18" s="76"/>
      <c r="AA18" s="25"/>
      <c r="AB18" s="25"/>
    </row>
    <row r="19" spans="2:28">
      <c r="B19" s="40" t="s">
        <v>271</v>
      </c>
      <c r="C19" s="40"/>
      <c r="D19" s="40">
        <v>3</v>
      </c>
      <c r="E19" s="40">
        <v>1</v>
      </c>
      <c r="F19" s="40" t="s">
        <v>362</v>
      </c>
      <c r="G19" s="40" t="s">
        <v>37</v>
      </c>
      <c r="H19" s="42" t="s">
        <v>254</v>
      </c>
      <c r="I19" s="43"/>
      <c r="J19" s="43">
        <v>2</v>
      </c>
      <c r="K19" s="25" t="str">
        <f>VLOOKUP(J19,Key!$E$2:$F$9,2,FALSE)</f>
        <v>Work</v>
      </c>
      <c r="L19" s="42" t="s">
        <v>37</v>
      </c>
      <c r="M19" s="43" t="s">
        <v>37</v>
      </c>
      <c r="N19" s="42" t="s">
        <v>254</v>
      </c>
      <c r="O19" s="43"/>
      <c r="P19" s="43">
        <v>3</v>
      </c>
      <c r="Q19" s="25" t="str">
        <f>VLOOKUP(P19,Key!$E$2:$F$9,2,FALSE)</f>
        <v>Study</v>
      </c>
      <c r="R19" s="25" t="str">
        <f t="shared" si="0"/>
        <v>Work-Study</v>
      </c>
      <c r="S19" s="62"/>
      <c r="T19" s="62">
        <v>3</v>
      </c>
      <c r="U19" s="43">
        <v>3</v>
      </c>
      <c r="V19" s="43"/>
      <c r="W19" s="62"/>
      <c r="X19" s="62"/>
      <c r="Y19" s="63"/>
      <c r="Z19" s="76"/>
      <c r="AA19" s="25"/>
      <c r="AB19" s="25"/>
    </row>
    <row r="20" spans="2:28">
      <c r="B20" s="40" t="s">
        <v>272</v>
      </c>
      <c r="C20" s="40"/>
      <c r="D20" s="40">
        <v>1</v>
      </c>
      <c r="E20" s="40">
        <v>1</v>
      </c>
      <c r="F20" s="40" t="s">
        <v>38</v>
      </c>
      <c r="G20" s="40" t="s">
        <v>37</v>
      </c>
      <c r="H20" s="42" t="s">
        <v>254</v>
      </c>
      <c r="I20" s="43"/>
      <c r="J20" s="43">
        <v>2</v>
      </c>
      <c r="K20" s="25" t="str">
        <f>VLOOKUP(J20,Key!$E$2:$F$9,2,FALSE)</f>
        <v>Work</v>
      </c>
      <c r="L20" s="42" t="s">
        <v>37</v>
      </c>
      <c r="M20" s="43" t="s">
        <v>37</v>
      </c>
      <c r="N20" s="42" t="s">
        <v>254</v>
      </c>
      <c r="O20" s="43"/>
      <c r="P20" s="43">
        <v>3</v>
      </c>
      <c r="Q20" s="25" t="str">
        <f>VLOOKUP(P20,Key!$E$2:$F$9,2,FALSE)</f>
        <v>Study</v>
      </c>
      <c r="R20" s="25" t="str">
        <f t="shared" si="0"/>
        <v>Work-Study</v>
      </c>
      <c r="S20" s="62"/>
      <c r="T20" s="62">
        <v>1</v>
      </c>
      <c r="U20" s="43">
        <v>2</v>
      </c>
      <c r="V20" s="43"/>
      <c r="W20" s="62"/>
      <c r="X20" s="62"/>
      <c r="Y20" s="63"/>
      <c r="Z20" s="76"/>
      <c r="AA20" s="25"/>
      <c r="AB20" s="25"/>
    </row>
    <row r="21" spans="2:28">
      <c r="B21" s="40" t="s">
        <v>273</v>
      </c>
      <c r="C21" s="40"/>
      <c r="D21" s="40">
        <v>3</v>
      </c>
      <c r="E21" s="40">
        <v>1</v>
      </c>
      <c r="F21" s="40" t="s">
        <v>361</v>
      </c>
      <c r="G21" s="40" t="s">
        <v>37</v>
      </c>
      <c r="H21" s="42" t="s">
        <v>254</v>
      </c>
      <c r="I21" s="43"/>
      <c r="J21" s="43">
        <v>1</v>
      </c>
      <c r="K21" s="25" t="str">
        <f>VLOOKUP(J21,Key!$E$2:$F$9,2,FALSE)</f>
        <v>Home</v>
      </c>
      <c r="L21" s="42" t="s">
        <v>37</v>
      </c>
      <c r="M21" s="43" t="s">
        <v>37</v>
      </c>
      <c r="N21" s="42" t="s">
        <v>254</v>
      </c>
      <c r="O21" s="43"/>
      <c r="P21" s="43">
        <v>5</v>
      </c>
      <c r="Q21" s="25" t="str">
        <f>VLOOKUP(P21,Key!$E$2:$F$9,2,FALSE)</f>
        <v>Tourism</v>
      </c>
      <c r="R21" s="25" t="str">
        <f t="shared" si="0"/>
        <v>Home-Tourism</v>
      </c>
      <c r="S21" s="62"/>
      <c r="T21" s="62">
        <v>1</v>
      </c>
      <c r="U21" s="43">
        <v>2</v>
      </c>
      <c r="V21" s="43"/>
      <c r="W21" s="62"/>
      <c r="X21" s="62"/>
      <c r="Y21" s="63"/>
      <c r="Z21" s="76"/>
      <c r="AA21" s="25"/>
      <c r="AB21" s="25"/>
    </row>
    <row r="22" spans="2:28">
      <c r="B22" s="40" t="s">
        <v>274</v>
      </c>
      <c r="C22" s="40"/>
      <c r="D22" s="40">
        <v>12</v>
      </c>
      <c r="E22" s="40">
        <v>1</v>
      </c>
      <c r="F22" s="40" t="s">
        <v>256</v>
      </c>
      <c r="G22" s="40" t="s">
        <v>37</v>
      </c>
      <c r="H22" s="42" t="s">
        <v>254</v>
      </c>
      <c r="I22" s="43"/>
      <c r="J22" s="43">
        <v>2</v>
      </c>
      <c r="K22" s="25" t="str">
        <f>VLOOKUP(J22,Key!$E$2:$F$9,2,FALSE)</f>
        <v>Work</v>
      </c>
      <c r="L22" s="42" t="s">
        <v>79</v>
      </c>
      <c r="M22" s="43" t="s">
        <v>240</v>
      </c>
      <c r="N22" s="42" t="s">
        <v>254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0</v>
      </c>
      <c r="U22" s="43">
        <v>3</v>
      </c>
      <c r="V22" s="43"/>
      <c r="W22" s="62"/>
      <c r="X22" s="62"/>
      <c r="Y22" s="63"/>
      <c r="Z22" s="76"/>
      <c r="AA22" s="25"/>
      <c r="AB22" s="25"/>
    </row>
    <row r="23" spans="2:28">
      <c r="B23" s="40" t="s">
        <v>275</v>
      </c>
      <c r="C23" s="40"/>
      <c r="D23" s="40">
        <v>2</v>
      </c>
      <c r="E23" s="40">
        <v>1</v>
      </c>
      <c r="F23" s="40" t="s">
        <v>256</v>
      </c>
      <c r="G23" s="40" t="s">
        <v>37</v>
      </c>
      <c r="H23" s="42" t="s">
        <v>254</v>
      </c>
      <c r="I23" s="43"/>
      <c r="J23" s="43">
        <v>1</v>
      </c>
      <c r="K23" s="25" t="str">
        <f>VLOOKUP(J23,Key!$E$2:$F$9,2,FALSE)</f>
        <v>Home</v>
      </c>
      <c r="L23" s="42" t="s">
        <v>365</v>
      </c>
      <c r="M23" s="43" t="s">
        <v>365</v>
      </c>
      <c r="N23" s="42" t="s">
        <v>254</v>
      </c>
      <c r="O23" s="43"/>
      <c r="P23" s="43">
        <v>6</v>
      </c>
      <c r="Q23" s="25" t="str">
        <f>VLOOKUP(P23,Key!$E$2:$F$9,2,FALSE)</f>
        <v>Leisure/Social</v>
      </c>
      <c r="R23" s="25" t="str">
        <f t="shared" si="0"/>
        <v>Home-Leisure/Social</v>
      </c>
      <c r="S23" s="62"/>
      <c r="T23" s="62">
        <v>3</v>
      </c>
      <c r="U23" s="43">
        <v>4</v>
      </c>
      <c r="V23" s="43"/>
      <c r="W23" s="62"/>
      <c r="X23" s="62"/>
      <c r="Y23" s="63"/>
      <c r="Z23" s="76"/>
      <c r="AA23" s="25"/>
      <c r="AB23" s="25"/>
    </row>
    <row r="24" spans="2:28">
      <c r="B24" s="40" t="s">
        <v>276</v>
      </c>
      <c r="C24" s="40"/>
      <c r="D24" s="40">
        <v>12</v>
      </c>
      <c r="E24" s="40">
        <v>1</v>
      </c>
      <c r="F24" s="40" t="s">
        <v>50</v>
      </c>
      <c r="G24" s="40" t="s">
        <v>255</v>
      </c>
      <c r="H24" s="42" t="s">
        <v>254</v>
      </c>
      <c r="I24" s="43"/>
      <c r="J24" s="43">
        <v>1</v>
      </c>
      <c r="K24" s="25" t="str">
        <f>VLOOKUP(J24,Key!$E$2:$F$9,2,FALSE)</f>
        <v>Home</v>
      </c>
      <c r="L24" s="42" t="s">
        <v>60</v>
      </c>
      <c r="M24" s="43" t="s">
        <v>240</v>
      </c>
      <c r="N24" s="42" t="s">
        <v>254</v>
      </c>
      <c r="O24" s="43"/>
      <c r="P24" s="43">
        <v>6</v>
      </c>
      <c r="Q24" s="25" t="str">
        <f>VLOOKUP(P24,Key!$E$2:$F$9,2,FALSE)</f>
        <v>Leisure/Social</v>
      </c>
      <c r="R24" s="25" t="str">
        <f t="shared" si="0"/>
        <v>Home-Leisure/Social</v>
      </c>
      <c r="S24" s="62"/>
      <c r="T24" s="62">
        <v>0</v>
      </c>
      <c r="U24" s="43">
        <v>2</v>
      </c>
      <c r="V24" s="43"/>
      <c r="W24" s="62"/>
      <c r="X24" s="62"/>
      <c r="Y24" s="63"/>
      <c r="Z24" s="76"/>
      <c r="AA24" s="25"/>
      <c r="AB24" s="25"/>
    </row>
    <row r="25" spans="2:28">
      <c r="B25" s="40" t="s">
        <v>277</v>
      </c>
      <c r="C25" s="40"/>
      <c r="D25" s="40">
        <v>2</v>
      </c>
      <c r="E25" s="40">
        <v>1</v>
      </c>
      <c r="F25" s="40" t="s">
        <v>38</v>
      </c>
      <c r="G25" s="40" t="s">
        <v>37</v>
      </c>
      <c r="H25" s="42" t="s">
        <v>254</v>
      </c>
      <c r="I25" s="43"/>
      <c r="J25" s="43">
        <v>1</v>
      </c>
      <c r="K25" s="25" t="str">
        <f>VLOOKUP(J25,Key!$E$2:$F$9,2,FALSE)</f>
        <v>Home</v>
      </c>
      <c r="L25" s="42" t="s">
        <v>138</v>
      </c>
      <c r="M25" s="43" t="s">
        <v>366</v>
      </c>
      <c r="N25" s="42" t="s">
        <v>254</v>
      </c>
      <c r="O25" s="43"/>
      <c r="P25" s="43">
        <v>3</v>
      </c>
      <c r="Q25" s="25" t="str">
        <f>VLOOKUP(P25,Key!$E$2:$F$9,2,FALSE)</f>
        <v>Study</v>
      </c>
      <c r="R25" s="25" t="str">
        <f t="shared" si="0"/>
        <v>Home-Study</v>
      </c>
      <c r="S25" s="62"/>
      <c r="T25" s="62">
        <v>2</v>
      </c>
      <c r="U25" s="43">
        <v>4</v>
      </c>
      <c r="V25" s="43"/>
      <c r="W25" s="62"/>
      <c r="X25" s="62"/>
      <c r="Y25" s="63"/>
      <c r="Z25" s="76"/>
      <c r="AA25" s="25"/>
      <c r="AB25" s="25"/>
    </row>
    <row r="26" spans="2:28">
      <c r="B26" s="40" t="s">
        <v>278</v>
      </c>
      <c r="C26" s="40"/>
      <c r="D26" s="40">
        <v>3</v>
      </c>
      <c r="E26" s="40">
        <v>1</v>
      </c>
      <c r="F26" s="40" t="s">
        <v>38</v>
      </c>
      <c r="G26" s="40" t="s">
        <v>37</v>
      </c>
      <c r="H26" s="42" t="s">
        <v>254</v>
      </c>
      <c r="I26" s="43"/>
      <c r="J26" s="43">
        <v>1</v>
      </c>
      <c r="K26" s="25" t="str">
        <f>VLOOKUP(J26,Key!$E$2:$F$9,2,FALSE)</f>
        <v>Home</v>
      </c>
      <c r="L26" s="42" t="s">
        <v>37</v>
      </c>
      <c r="M26" s="43" t="s">
        <v>37</v>
      </c>
      <c r="N26" s="42" t="s">
        <v>254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62"/>
      <c r="T26" s="62">
        <v>0</v>
      </c>
      <c r="U26" s="43">
        <v>3</v>
      </c>
      <c r="V26" s="43"/>
      <c r="W26" s="62"/>
      <c r="X26" s="62"/>
      <c r="Y26" s="63"/>
      <c r="Z26" s="76"/>
      <c r="AA26" s="25"/>
      <c r="AB26" s="25"/>
    </row>
    <row r="27" spans="2:28">
      <c r="B27" s="40" t="s">
        <v>279</v>
      </c>
      <c r="C27" s="40"/>
      <c r="D27" s="40">
        <v>2</v>
      </c>
      <c r="E27" s="40">
        <v>1</v>
      </c>
      <c r="F27" s="40" t="s">
        <v>38</v>
      </c>
      <c r="G27" s="40" t="s">
        <v>37</v>
      </c>
      <c r="H27" s="42" t="s">
        <v>254</v>
      </c>
      <c r="I27" s="43"/>
      <c r="J27" s="43">
        <v>1</v>
      </c>
      <c r="K27" s="25" t="str">
        <f>VLOOKUP(J27,Key!$E$2:$F$9,2,FALSE)</f>
        <v>Home</v>
      </c>
      <c r="L27" s="42" t="s">
        <v>37</v>
      </c>
      <c r="M27" s="43" t="s">
        <v>37</v>
      </c>
      <c r="N27" s="42" t="s">
        <v>254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2"/>
      <c r="T27" s="62">
        <v>3</v>
      </c>
      <c r="U27" s="43">
        <v>2</v>
      </c>
      <c r="V27" s="43"/>
      <c r="W27" s="62"/>
      <c r="X27" s="62"/>
      <c r="Y27" s="63"/>
      <c r="Z27" s="76"/>
      <c r="AA27" s="25"/>
      <c r="AB27" s="25"/>
    </row>
    <row r="28" spans="2:28">
      <c r="B28" s="40" t="s">
        <v>280</v>
      </c>
      <c r="C28" s="40"/>
      <c r="D28" s="40">
        <v>8</v>
      </c>
      <c r="E28" s="40">
        <v>1</v>
      </c>
      <c r="F28" s="40" t="s">
        <v>38</v>
      </c>
      <c r="G28" s="40" t="s">
        <v>37</v>
      </c>
      <c r="H28" s="42" t="s">
        <v>254</v>
      </c>
      <c r="I28" s="43"/>
      <c r="J28" s="43">
        <v>1</v>
      </c>
      <c r="K28" s="25" t="str">
        <f>VLOOKUP(J28,Key!$E$2:$F$9,2,FALSE)</f>
        <v>Home</v>
      </c>
      <c r="L28" s="42" t="s">
        <v>365</v>
      </c>
      <c r="M28" s="43" t="s">
        <v>365</v>
      </c>
      <c r="N28" s="42" t="s">
        <v>254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62"/>
      <c r="T28" s="62">
        <v>3</v>
      </c>
      <c r="U28" s="43">
        <v>4</v>
      </c>
      <c r="V28" s="43"/>
      <c r="W28" s="62"/>
      <c r="X28" s="62"/>
      <c r="Y28" s="63"/>
      <c r="Z28" s="76"/>
      <c r="AA28" s="25"/>
      <c r="AB28" s="25"/>
    </row>
    <row r="29" spans="2:28">
      <c r="B29" s="40" t="s">
        <v>281</v>
      </c>
      <c r="C29" s="40"/>
      <c r="D29" s="40">
        <v>2</v>
      </c>
      <c r="E29" s="40">
        <v>2</v>
      </c>
      <c r="F29" s="40" t="s">
        <v>363</v>
      </c>
      <c r="G29" s="40" t="s">
        <v>37</v>
      </c>
      <c r="H29" s="42" t="s">
        <v>254</v>
      </c>
      <c r="I29" s="43"/>
      <c r="J29" s="43">
        <v>1</v>
      </c>
      <c r="K29" s="25" t="str">
        <f>VLOOKUP(J29,Key!$E$2:$F$9,2,FALSE)</f>
        <v>Home</v>
      </c>
      <c r="L29" s="42" t="s">
        <v>37</v>
      </c>
      <c r="M29" s="43" t="s">
        <v>37</v>
      </c>
      <c r="N29" s="42" t="s">
        <v>254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4</v>
      </c>
      <c r="U29" s="43">
        <v>1</v>
      </c>
      <c r="V29" s="43"/>
      <c r="W29" s="62"/>
      <c r="X29" s="62"/>
      <c r="Y29" s="63"/>
      <c r="Z29" s="76"/>
      <c r="AA29" s="25"/>
      <c r="AB29" s="25"/>
    </row>
    <row r="30" spans="2:28">
      <c r="B30" s="40" t="s">
        <v>282</v>
      </c>
      <c r="C30" s="40"/>
      <c r="D30" s="40">
        <v>12</v>
      </c>
      <c r="E30" s="40">
        <v>2</v>
      </c>
      <c r="F30" s="40" t="s">
        <v>38</v>
      </c>
      <c r="G30" s="40" t="s">
        <v>37</v>
      </c>
      <c r="H30" s="42" t="s">
        <v>254</v>
      </c>
      <c r="I30" s="43"/>
      <c r="J30" s="43">
        <v>1</v>
      </c>
      <c r="K30" s="25" t="str">
        <f>VLOOKUP(J30,Key!$E$2:$F$9,2,FALSE)</f>
        <v>Home</v>
      </c>
      <c r="L30" s="42" t="s">
        <v>37</v>
      </c>
      <c r="M30" s="43" t="s">
        <v>37</v>
      </c>
      <c r="N30" s="42" t="s">
        <v>254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1</v>
      </c>
      <c r="U30" s="43">
        <v>2</v>
      </c>
      <c r="V30" s="43"/>
      <c r="W30" s="62"/>
      <c r="X30" s="62"/>
      <c r="Y30" s="63"/>
      <c r="Z30" s="76"/>
      <c r="AA30" s="25"/>
      <c r="AB30" s="25"/>
    </row>
    <row r="31" spans="2:28">
      <c r="B31" s="40" t="s">
        <v>283</v>
      </c>
      <c r="C31" s="40"/>
      <c r="D31" s="40">
        <v>3</v>
      </c>
      <c r="E31" s="40">
        <v>1</v>
      </c>
      <c r="F31" s="40" t="s">
        <v>256</v>
      </c>
      <c r="G31" s="40" t="s">
        <v>37</v>
      </c>
      <c r="H31" s="42" t="s">
        <v>254</v>
      </c>
      <c r="I31" s="43"/>
      <c r="J31" s="43">
        <v>2</v>
      </c>
      <c r="K31" s="25" t="str">
        <f>VLOOKUP(J31,Key!$E$2:$F$9,2,FALSE)</f>
        <v>Work</v>
      </c>
      <c r="L31" s="42" t="s">
        <v>37</v>
      </c>
      <c r="M31" s="43" t="s">
        <v>37</v>
      </c>
      <c r="N31" s="42" t="s">
        <v>254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3</v>
      </c>
      <c r="U31" s="43">
        <v>2</v>
      </c>
      <c r="V31" s="43"/>
      <c r="W31" s="62"/>
      <c r="X31" s="62"/>
      <c r="Y31" s="63"/>
      <c r="Z31" s="76"/>
      <c r="AA31" s="25"/>
      <c r="AB31" s="25"/>
    </row>
    <row r="32" spans="2:28">
      <c r="B32" s="40" t="s">
        <v>284</v>
      </c>
      <c r="C32" s="40"/>
      <c r="D32" s="40">
        <v>12</v>
      </c>
      <c r="E32" s="40">
        <v>1</v>
      </c>
      <c r="F32" s="40" t="s">
        <v>256</v>
      </c>
      <c r="G32" s="40" t="s">
        <v>37</v>
      </c>
      <c r="H32" s="42" t="s">
        <v>254</v>
      </c>
      <c r="I32" s="43"/>
      <c r="J32" s="43">
        <v>1</v>
      </c>
      <c r="K32" s="25" t="str">
        <f>VLOOKUP(J32,Key!$E$2:$F$9,2,FALSE)</f>
        <v>Home</v>
      </c>
      <c r="L32" s="42" t="s">
        <v>37</v>
      </c>
      <c r="M32" s="43" t="s">
        <v>37</v>
      </c>
      <c r="N32" s="42" t="s">
        <v>254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0</v>
      </c>
      <c r="U32" s="43">
        <v>3</v>
      </c>
      <c r="V32" s="43"/>
      <c r="W32" s="62"/>
      <c r="X32" s="62"/>
      <c r="Y32" s="63"/>
      <c r="Z32" s="76"/>
      <c r="AA32" s="25"/>
      <c r="AB32" s="25"/>
    </row>
    <row r="33" spans="2:28">
      <c r="B33" s="40" t="s">
        <v>285</v>
      </c>
      <c r="C33" s="40"/>
      <c r="D33" s="40">
        <v>8</v>
      </c>
      <c r="E33" s="40">
        <v>4</v>
      </c>
      <c r="F33" s="40" t="s">
        <v>37</v>
      </c>
      <c r="G33" s="40" t="s">
        <v>37</v>
      </c>
      <c r="H33" s="42" t="s">
        <v>254</v>
      </c>
      <c r="I33" s="43"/>
      <c r="J33" s="43">
        <v>1</v>
      </c>
      <c r="K33" s="25" t="str">
        <f>VLOOKUP(J33,Key!$E$2:$F$9,2,FALSE)</f>
        <v>Home</v>
      </c>
      <c r="L33" s="42" t="s">
        <v>69</v>
      </c>
      <c r="M33" s="43" t="s">
        <v>69</v>
      </c>
      <c r="N33" s="42" t="s">
        <v>254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0</v>
      </c>
      <c r="U33" s="43">
        <v>3</v>
      </c>
      <c r="V33" s="43"/>
      <c r="W33" s="62"/>
      <c r="X33" s="62"/>
      <c r="Y33" s="63"/>
      <c r="Z33" s="76"/>
      <c r="AA33" s="25"/>
      <c r="AB33" s="25"/>
    </row>
    <row r="34" spans="2:28">
      <c r="B34" s="40" t="s">
        <v>286</v>
      </c>
      <c r="C34" s="40"/>
      <c r="D34" s="40">
        <v>2</v>
      </c>
      <c r="E34" s="40">
        <v>2</v>
      </c>
      <c r="F34" s="40" t="s">
        <v>37</v>
      </c>
      <c r="G34" s="40" t="s">
        <v>37</v>
      </c>
      <c r="H34" s="42" t="s">
        <v>254</v>
      </c>
      <c r="I34" s="43"/>
      <c r="J34" s="43">
        <v>1</v>
      </c>
      <c r="K34" s="25" t="str">
        <f>VLOOKUP(J34,Key!$E$2:$F$9,2,FALSE)</f>
        <v>Home</v>
      </c>
      <c r="L34" s="42" t="s">
        <v>37</v>
      </c>
      <c r="M34" s="43" t="s">
        <v>37</v>
      </c>
      <c r="N34" s="42" t="s">
        <v>254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Home-Commercial</v>
      </c>
      <c r="S34" s="62"/>
      <c r="T34" s="62">
        <v>0.83333333333333337</v>
      </c>
      <c r="U34" s="43">
        <v>3</v>
      </c>
      <c r="V34" s="43"/>
      <c r="W34" s="62"/>
      <c r="X34" s="62"/>
      <c r="Y34" s="63"/>
      <c r="Z34" s="76"/>
      <c r="AA34" s="25"/>
      <c r="AB34" s="25"/>
    </row>
    <row r="35" spans="2:28">
      <c r="B35" s="40" t="s">
        <v>287</v>
      </c>
      <c r="C35" s="40"/>
      <c r="D35" s="40">
        <v>2</v>
      </c>
      <c r="E35" s="40">
        <v>1</v>
      </c>
      <c r="F35" s="40" t="s">
        <v>256</v>
      </c>
      <c r="G35" s="40" t="s">
        <v>37</v>
      </c>
      <c r="H35" s="42" t="s">
        <v>254</v>
      </c>
      <c r="I35" s="43"/>
      <c r="J35" s="43">
        <v>1</v>
      </c>
      <c r="K35" s="25" t="str">
        <f>VLOOKUP(J35,Key!$E$2:$F$9,2,FALSE)</f>
        <v>Home</v>
      </c>
      <c r="L35" s="42" t="s">
        <v>60</v>
      </c>
      <c r="M35" s="43" t="s">
        <v>240</v>
      </c>
      <c r="N35" s="42" t="s">
        <v>254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3</v>
      </c>
      <c r="U35" s="43">
        <v>3</v>
      </c>
      <c r="V35" s="43"/>
      <c r="W35" s="62"/>
      <c r="X35" s="62"/>
      <c r="Y35" s="63"/>
      <c r="Z35" s="76"/>
      <c r="AA35" s="25"/>
      <c r="AB35" s="25"/>
    </row>
    <row r="36" spans="2:28">
      <c r="B36" s="40" t="s">
        <v>288</v>
      </c>
      <c r="C36" s="40"/>
      <c r="D36" s="40">
        <v>12</v>
      </c>
      <c r="E36" s="40">
        <v>2</v>
      </c>
      <c r="F36" s="40" t="s">
        <v>37</v>
      </c>
      <c r="G36" s="40" t="s">
        <v>37</v>
      </c>
      <c r="H36" s="42" t="s">
        <v>254</v>
      </c>
      <c r="I36" s="43"/>
      <c r="J36" s="43">
        <v>2</v>
      </c>
      <c r="K36" s="25" t="str">
        <f>VLOOKUP(J36,Key!$E$2:$F$9,2,FALSE)</f>
        <v>Work</v>
      </c>
      <c r="L36" s="42" t="s">
        <v>37</v>
      </c>
      <c r="M36" s="43" t="s">
        <v>37</v>
      </c>
      <c r="N36" s="42" t="s">
        <v>254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3</v>
      </c>
      <c r="U36" s="43">
        <v>3</v>
      </c>
      <c r="V36" s="43"/>
      <c r="W36" s="62"/>
      <c r="X36" s="62"/>
      <c r="Y36" s="63"/>
      <c r="Z36" s="76"/>
      <c r="AA36" s="25"/>
      <c r="AB36" s="25"/>
    </row>
    <row r="37" spans="2:28">
      <c r="B37" s="40" t="s">
        <v>289</v>
      </c>
      <c r="C37" s="40"/>
      <c r="D37" s="40">
        <v>3</v>
      </c>
      <c r="E37" s="40">
        <v>2</v>
      </c>
      <c r="F37" s="40" t="s">
        <v>362</v>
      </c>
      <c r="G37" s="40" t="s">
        <v>37</v>
      </c>
      <c r="H37" s="42" t="s">
        <v>254</v>
      </c>
      <c r="I37" s="43"/>
      <c r="J37" s="43">
        <v>4</v>
      </c>
      <c r="K37" s="25" t="str">
        <f>VLOOKUP(J37,Key!$E$2:$F$9,2,FALSE)</f>
        <v>Commercial</v>
      </c>
      <c r="L37" s="42" t="s">
        <v>37</v>
      </c>
      <c r="M37" s="43" t="s">
        <v>37</v>
      </c>
      <c r="N37" s="42" t="s">
        <v>254</v>
      </c>
      <c r="O37" s="43"/>
      <c r="P37" s="43">
        <v>3</v>
      </c>
      <c r="Q37" s="25" t="str">
        <f>VLOOKUP(P37,Key!$E$2:$F$9,2,FALSE)</f>
        <v>Study</v>
      </c>
      <c r="R37" s="25" t="str">
        <f t="shared" si="0"/>
        <v>Commercial-Study</v>
      </c>
      <c r="S37" s="62"/>
      <c r="T37" s="62">
        <v>3</v>
      </c>
      <c r="U37" s="43">
        <v>2</v>
      </c>
      <c r="V37" s="43"/>
      <c r="W37" s="62"/>
      <c r="X37" s="62"/>
      <c r="Y37" s="63"/>
      <c r="Z37" s="76"/>
      <c r="AA37" s="25"/>
      <c r="AB37" s="25"/>
    </row>
    <row r="38" spans="2:28">
      <c r="B38" s="40" t="s">
        <v>290</v>
      </c>
      <c r="C38" s="40"/>
      <c r="D38" s="40">
        <v>2</v>
      </c>
      <c r="E38" s="40">
        <v>3</v>
      </c>
      <c r="F38" s="40" t="s">
        <v>38</v>
      </c>
      <c r="G38" s="40" t="s">
        <v>37</v>
      </c>
      <c r="H38" s="42" t="s">
        <v>254</v>
      </c>
      <c r="I38" s="74"/>
      <c r="J38" s="74">
        <v>1</v>
      </c>
      <c r="K38" s="25" t="str">
        <f>VLOOKUP(J38,Key!$E$2:$F$9,2,FALSE)</f>
        <v>Home</v>
      </c>
      <c r="L38" s="42" t="s">
        <v>67</v>
      </c>
      <c r="M38" s="60" t="s">
        <v>67</v>
      </c>
      <c r="N38" s="42" t="s">
        <v>254</v>
      </c>
      <c r="O38" s="58"/>
      <c r="P38" s="58">
        <v>5</v>
      </c>
      <c r="Q38" s="25" t="str">
        <f>VLOOKUP(P38,Key!$E$2:$F$9,2,FALSE)</f>
        <v>Tourism</v>
      </c>
      <c r="R38" s="25" t="str">
        <f t="shared" ref="R38:R101" si="1">K38&amp;"-"&amp;Q38</f>
        <v>Home-Tourism</v>
      </c>
      <c r="S38" s="75"/>
      <c r="T38" s="62">
        <v>0</v>
      </c>
      <c r="U38" s="58">
        <v>3</v>
      </c>
      <c r="V38" s="58"/>
      <c r="W38" s="75"/>
      <c r="X38" s="75"/>
      <c r="Y38" s="61"/>
      <c r="Z38" s="77"/>
      <c r="AA38" s="25"/>
      <c r="AB38" s="25"/>
    </row>
    <row r="39" spans="2:28">
      <c r="B39" s="40" t="s">
        <v>291</v>
      </c>
      <c r="C39" s="40"/>
      <c r="D39" s="40">
        <v>8</v>
      </c>
      <c r="E39" s="40">
        <v>3</v>
      </c>
      <c r="F39" s="40" t="s">
        <v>50</v>
      </c>
      <c r="G39" s="40" t="s">
        <v>255</v>
      </c>
      <c r="H39" s="42" t="s">
        <v>254</v>
      </c>
      <c r="I39" s="74"/>
      <c r="J39" s="74">
        <v>4</v>
      </c>
      <c r="K39" s="25" t="str">
        <f>VLOOKUP(J39,Key!$E$2:$F$9,2,FALSE)</f>
        <v>Commercial</v>
      </c>
      <c r="L39" s="42" t="s">
        <v>60</v>
      </c>
      <c r="M39" s="60" t="s">
        <v>240</v>
      </c>
      <c r="N39" s="42" t="s">
        <v>254</v>
      </c>
      <c r="O39" s="58"/>
      <c r="P39" s="58">
        <v>7</v>
      </c>
      <c r="Q39" s="25" t="str">
        <f>VLOOKUP(P39,Key!$E$2:$F$9,2,FALSE)</f>
        <v>Hospital</v>
      </c>
      <c r="R39" s="25" t="str">
        <f t="shared" si="1"/>
        <v>Commercial-Hospital</v>
      </c>
      <c r="S39" s="75"/>
      <c r="T39" s="62">
        <v>1</v>
      </c>
      <c r="U39" s="58">
        <v>3</v>
      </c>
      <c r="V39" s="58"/>
      <c r="W39" s="75"/>
      <c r="X39" s="75"/>
      <c r="Y39" s="61"/>
      <c r="Z39" s="77"/>
      <c r="AA39" s="25"/>
      <c r="AB39" s="25"/>
    </row>
    <row r="40" spans="2:28">
      <c r="B40" s="40" t="s">
        <v>292</v>
      </c>
      <c r="C40" s="40"/>
      <c r="D40" s="40">
        <v>12</v>
      </c>
      <c r="E40" s="40">
        <v>3</v>
      </c>
      <c r="F40" s="40" t="s">
        <v>38</v>
      </c>
      <c r="G40" s="40" t="s">
        <v>37</v>
      </c>
      <c r="H40" s="42" t="s">
        <v>254</v>
      </c>
      <c r="I40" s="74"/>
      <c r="J40" s="74">
        <v>2</v>
      </c>
      <c r="K40" s="25" t="str">
        <f>VLOOKUP(J40,Key!$E$2:$F$9,2,FALSE)</f>
        <v>Work</v>
      </c>
      <c r="L40" s="42" t="s">
        <v>37</v>
      </c>
      <c r="M40" s="60" t="s">
        <v>37</v>
      </c>
      <c r="N40" s="42" t="s">
        <v>254</v>
      </c>
      <c r="O40" s="58"/>
      <c r="P40" s="58">
        <v>5</v>
      </c>
      <c r="Q40" s="25" t="str">
        <f>VLOOKUP(P40,Key!$E$2:$F$9,2,FALSE)</f>
        <v>Tourism</v>
      </c>
      <c r="R40" s="25" t="str">
        <f t="shared" si="1"/>
        <v>Work-Tourism</v>
      </c>
      <c r="S40" s="75"/>
      <c r="T40" s="62">
        <v>4</v>
      </c>
      <c r="U40" s="58">
        <v>6</v>
      </c>
      <c r="V40" s="58"/>
      <c r="W40" s="75"/>
      <c r="X40" s="75"/>
      <c r="Y40" s="61"/>
      <c r="Z40" s="77"/>
      <c r="AA40" s="25"/>
      <c r="AB40" s="25"/>
    </row>
    <row r="41" spans="2:28">
      <c r="B41" s="40" t="s">
        <v>293</v>
      </c>
      <c r="C41" s="40"/>
      <c r="D41" s="40">
        <v>8</v>
      </c>
      <c r="E41" s="40">
        <v>2</v>
      </c>
      <c r="F41" s="40" t="s">
        <v>50</v>
      </c>
      <c r="G41" s="40" t="s">
        <v>255</v>
      </c>
      <c r="H41" s="42" t="s">
        <v>254</v>
      </c>
      <c r="I41" s="74"/>
      <c r="J41" s="74">
        <v>6</v>
      </c>
      <c r="K41" s="25" t="str">
        <f>VLOOKUP(J41,Key!$E$2:$F$9,2,FALSE)</f>
        <v>Leisure/Social</v>
      </c>
      <c r="L41" s="42" t="s">
        <v>37</v>
      </c>
      <c r="M41" s="60" t="s">
        <v>37</v>
      </c>
      <c r="N41" s="42" t="s">
        <v>254</v>
      </c>
      <c r="O41" s="58"/>
      <c r="P41" s="58">
        <v>3</v>
      </c>
      <c r="Q41" s="25" t="str">
        <f>VLOOKUP(P41,Key!$E$2:$F$9,2,FALSE)</f>
        <v>Study</v>
      </c>
      <c r="R41" s="25" t="str">
        <f t="shared" si="1"/>
        <v>Leisure/Social-Study</v>
      </c>
      <c r="S41" s="75"/>
      <c r="T41" s="62">
        <v>4</v>
      </c>
      <c r="U41" s="58">
        <v>5</v>
      </c>
      <c r="V41" s="58"/>
      <c r="W41" s="75"/>
      <c r="X41" s="75"/>
      <c r="Y41" s="61"/>
      <c r="Z41" s="77"/>
      <c r="AA41" s="25"/>
      <c r="AB41" s="25"/>
    </row>
    <row r="42" spans="2:28">
      <c r="B42" s="40" t="s">
        <v>294</v>
      </c>
      <c r="C42" s="40"/>
      <c r="D42" s="40">
        <v>12</v>
      </c>
      <c r="E42" s="40">
        <v>3</v>
      </c>
      <c r="F42" s="40" t="s">
        <v>362</v>
      </c>
      <c r="G42" s="40" t="s">
        <v>37</v>
      </c>
      <c r="H42" s="42" t="s">
        <v>254</v>
      </c>
      <c r="I42" s="74"/>
      <c r="J42" s="74">
        <v>7</v>
      </c>
      <c r="K42" s="25" t="str">
        <f>VLOOKUP(J42,Key!$E$2:$F$9,2,FALSE)</f>
        <v>Hospital</v>
      </c>
      <c r="L42" s="42" t="s">
        <v>37</v>
      </c>
      <c r="M42" s="60" t="s">
        <v>37</v>
      </c>
      <c r="N42" s="42" t="s">
        <v>254</v>
      </c>
      <c r="O42" s="58"/>
      <c r="P42" s="58">
        <v>4</v>
      </c>
      <c r="Q42" s="25" t="str">
        <f>VLOOKUP(P42,Key!$E$2:$F$9,2,FALSE)</f>
        <v>Commercial</v>
      </c>
      <c r="R42" s="25" t="str">
        <f t="shared" si="1"/>
        <v>Hospital-Commercial</v>
      </c>
      <c r="S42" s="75"/>
      <c r="T42" s="62">
        <v>4</v>
      </c>
      <c r="U42" s="58">
        <v>3</v>
      </c>
      <c r="V42" s="58"/>
      <c r="W42" s="75"/>
      <c r="X42" s="75"/>
      <c r="Y42" s="61"/>
      <c r="Z42" s="77"/>
      <c r="AA42" s="25"/>
      <c r="AB42" s="25"/>
    </row>
    <row r="43" spans="2:28">
      <c r="B43" s="40" t="s">
        <v>295</v>
      </c>
      <c r="C43" s="40"/>
      <c r="D43" s="40">
        <v>3</v>
      </c>
      <c r="E43" s="40">
        <v>3</v>
      </c>
      <c r="F43" s="40" t="s">
        <v>364</v>
      </c>
      <c r="G43" s="40" t="s">
        <v>37</v>
      </c>
      <c r="H43" s="42" t="s">
        <v>254</v>
      </c>
      <c r="I43" s="74"/>
      <c r="J43" s="74">
        <v>2</v>
      </c>
      <c r="K43" s="25" t="str">
        <f>VLOOKUP(J43,Key!$E$2:$F$9,2,FALSE)</f>
        <v>Work</v>
      </c>
      <c r="L43" s="42" t="s">
        <v>37</v>
      </c>
      <c r="M43" s="60" t="s">
        <v>37</v>
      </c>
      <c r="N43" s="42" t="s">
        <v>254</v>
      </c>
      <c r="O43" s="58"/>
      <c r="P43" s="58">
        <v>3</v>
      </c>
      <c r="Q43" s="25" t="str">
        <f>VLOOKUP(P43,Key!$E$2:$F$9,2,FALSE)</f>
        <v>Study</v>
      </c>
      <c r="R43" s="25" t="str">
        <f t="shared" si="1"/>
        <v>Work-Study</v>
      </c>
      <c r="S43" s="75"/>
      <c r="T43" s="62">
        <v>3</v>
      </c>
      <c r="U43" s="58">
        <v>2</v>
      </c>
      <c r="V43" s="58"/>
      <c r="W43" s="75"/>
      <c r="X43" s="75"/>
      <c r="Y43" s="61"/>
      <c r="Z43" s="77"/>
      <c r="AA43" s="25"/>
      <c r="AB43" s="25"/>
    </row>
    <row r="44" spans="2:28">
      <c r="B44" s="40" t="s">
        <v>296</v>
      </c>
      <c r="C44" s="40"/>
      <c r="D44" s="40">
        <v>2</v>
      </c>
      <c r="E44" s="40">
        <v>3</v>
      </c>
      <c r="F44" s="40" t="s">
        <v>256</v>
      </c>
      <c r="G44" s="40" t="s">
        <v>37</v>
      </c>
      <c r="H44" s="42" t="s">
        <v>254</v>
      </c>
      <c r="I44" s="74"/>
      <c r="J44" s="74">
        <v>6</v>
      </c>
      <c r="K44" s="25" t="str">
        <f>VLOOKUP(J44,Key!$E$2:$F$9,2,FALSE)</f>
        <v>Leisure/Social</v>
      </c>
      <c r="L44" s="42" t="s">
        <v>67</v>
      </c>
      <c r="M44" s="60" t="s">
        <v>241</v>
      </c>
      <c r="N44" s="42" t="s">
        <v>254</v>
      </c>
      <c r="O44" s="58"/>
      <c r="P44" s="58">
        <v>4</v>
      </c>
      <c r="Q44" s="25" t="str">
        <f>VLOOKUP(P44,Key!$E$2:$F$9,2,FALSE)</f>
        <v>Commercial</v>
      </c>
      <c r="R44" s="25" t="str">
        <f t="shared" si="1"/>
        <v>Leisure/Social-Commercial</v>
      </c>
      <c r="S44" s="75"/>
      <c r="T44" s="62">
        <v>3</v>
      </c>
      <c r="U44" s="58">
        <v>1</v>
      </c>
      <c r="V44" s="58"/>
      <c r="W44" s="75"/>
      <c r="X44" s="75"/>
      <c r="Y44" s="61"/>
      <c r="Z44" s="77"/>
      <c r="AA44" s="25"/>
      <c r="AB44" s="25"/>
    </row>
    <row r="45" spans="2:28">
      <c r="B45" s="40" t="s">
        <v>297</v>
      </c>
      <c r="C45" s="40"/>
      <c r="D45" s="40">
        <v>2</v>
      </c>
      <c r="E45" s="40">
        <v>1</v>
      </c>
      <c r="F45" s="40" t="s">
        <v>38</v>
      </c>
      <c r="G45" s="40" t="s">
        <v>37</v>
      </c>
      <c r="H45" s="42" t="s">
        <v>254</v>
      </c>
      <c r="I45" s="74"/>
      <c r="J45" s="74">
        <v>7</v>
      </c>
      <c r="K45" s="25" t="str">
        <f>VLOOKUP(J45,Key!$E$2:$F$9,2,FALSE)</f>
        <v>Hospital</v>
      </c>
      <c r="L45" s="41" t="s">
        <v>37</v>
      </c>
      <c r="M45" s="60" t="s">
        <v>37</v>
      </c>
      <c r="N45" s="42" t="s">
        <v>254</v>
      </c>
      <c r="O45" s="58"/>
      <c r="P45" s="58">
        <v>5</v>
      </c>
      <c r="Q45" s="25" t="str">
        <f>VLOOKUP(P45,Key!$E$2:$F$9,2,FALSE)</f>
        <v>Tourism</v>
      </c>
      <c r="R45" s="25" t="str">
        <f t="shared" si="1"/>
        <v>Hospital-Tourism</v>
      </c>
      <c r="S45" s="75"/>
      <c r="T45" s="62">
        <v>3</v>
      </c>
      <c r="U45" s="58">
        <v>1</v>
      </c>
      <c r="V45" s="58"/>
      <c r="W45" s="75"/>
      <c r="X45" s="75"/>
      <c r="Y45" s="60"/>
      <c r="Z45" s="77"/>
      <c r="AA45" s="25"/>
      <c r="AB45" s="25"/>
    </row>
    <row r="46" spans="2:28">
      <c r="B46" s="40" t="s">
        <v>298</v>
      </c>
      <c r="C46" s="40"/>
      <c r="D46" s="40">
        <v>5</v>
      </c>
      <c r="E46" s="40">
        <v>3</v>
      </c>
      <c r="F46" s="40" t="s">
        <v>50</v>
      </c>
      <c r="G46" s="40" t="s">
        <v>255</v>
      </c>
      <c r="H46" s="42" t="s">
        <v>254</v>
      </c>
      <c r="I46" s="74"/>
      <c r="J46" s="74">
        <v>1</v>
      </c>
      <c r="K46" s="25" t="str">
        <f>VLOOKUP(J46,Key!$E$2:$F$9,2,FALSE)</f>
        <v>Home</v>
      </c>
      <c r="L46" s="42" t="s">
        <v>60</v>
      </c>
      <c r="M46" s="60" t="s">
        <v>240</v>
      </c>
      <c r="N46" s="42" t="s">
        <v>254</v>
      </c>
      <c r="O46" s="58"/>
      <c r="P46" s="58">
        <v>4</v>
      </c>
      <c r="Q46" s="25" t="str">
        <f>VLOOKUP(P46,Key!$E$2:$F$9,2,FALSE)</f>
        <v>Commercial</v>
      </c>
      <c r="R46" s="25" t="str">
        <f t="shared" si="1"/>
        <v>Home-Commercial</v>
      </c>
      <c r="S46" s="75"/>
      <c r="T46" s="62">
        <v>2</v>
      </c>
      <c r="U46" s="58">
        <v>1</v>
      </c>
      <c r="V46" s="58"/>
      <c r="W46" s="75"/>
      <c r="X46" s="75"/>
      <c r="Y46" s="60"/>
      <c r="Z46" s="77"/>
      <c r="AA46" s="25"/>
      <c r="AB46" s="25"/>
    </row>
    <row r="47" spans="2:28">
      <c r="B47" s="40" t="s">
        <v>299</v>
      </c>
      <c r="C47" s="40"/>
      <c r="D47" s="40">
        <v>12</v>
      </c>
      <c r="E47" s="40">
        <v>4</v>
      </c>
      <c r="F47" s="40" t="s">
        <v>38</v>
      </c>
      <c r="G47" s="40" t="s">
        <v>37</v>
      </c>
      <c r="H47" s="42" t="s">
        <v>254</v>
      </c>
      <c r="I47" s="74"/>
      <c r="J47" s="74">
        <v>2</v>
      </c>
      <c r="K47" s="25" t="str">
        <f>VLOOKUP(J47,Key!$E$2:$F$9,2,FALSE)</f>
        <v>Work</v>
      </c>
      <c r="L47" s="42" t="s">
        <v>37</v>
      </c>
      <c r="M47" s="60" t="s">
        <v>37</v>
      </c>
      <c r="N47" s="42" t="s">
        <v>254</v>
      </c>
      <c r="O47" s="58"/>
      <c r="P47" s="58">
        <v>5</v>
      </c>
      <c r="Q47" s="25" t="str">
        <f>VLOOKUP(P47,Key!$E$2:$F$9,2,FALSE)</f>
        <v>Tourism</v>
      </c>
      <c r="R47" s="25" t="str">
        <f t="shared" si="1"/>
        <v>Work-Tourism</v>
      </c>
      <c r="S47" s="75"/>
      <c r="T47" s="62">
        <v>0</v>
      </c>
      <c r="U47" s="58">
        <v>1</v>
      </c>
      <c r="V47" s="58"/>
      <c r="W47" s="75"/>
      <c r="X47" s="75"/>
      <c r="Y47" s="60"/>
      <c r="Z47" s="77"/>
      <c r="AA47" s="25"/>
      <c r="AB47" s="25"/>
    </row>
    <row r="48" spans="2:28">
      <c r="B48" s="40" t="s">
        <v>300</v>
      </c>
      <c r="C48" s="40"/>
      <c r="D48" s="40">
        <v>8</v>
      </c>
      <c r="E48" s="40">
        <v>1</v>
      </c>
      <c r="F48" s="40" t="s">
        <v>50</v>
      </c>
      <c r="G48" s="40" t="s">
        <v>255</v>
      </c>
      <c r="H48" s="42" t="s">
        <v>254</v>
      </c>
      <c r="I48" s="74"/>
      <c r="J48" s="74">
        <v>3</v>
      </c>
      <c r="K48" s="25" t="str">
        <f>VLOOKUP(J48,Key!$E$2:$F$9,2,FALSE)</f>
        <v>Study</v>
      </c>
      <c r="L48" s="42" t="s">
        <v>37</v>
      </c>
      <c r="M48" s="60" t="s">
        <v>37</v>
      </c>
      <c r="N48" s="42" t="s">
        <v>254</v>
      </c>
      <c r="O48" s="58"/>
      <c r="P48" s="58">
        <v>6</v>
      </c>
      <c r="Q48" s="25" t="str">
        <f>VLOOKUP(P48,Key!$E$2:$F$9,2,FALSE)</f>
        <v>Leisure/Social</v>
      </c>
      <c r="R48" s="25" t="str">
        <f t="shared" si="1"/>
        <v>Study-Leisure/Social</v>
      </c>
      <c r="S48" s="75"/>
      <c r="T48" s="62">
        <v>3</v>
      </c>
      <c r="U48" s="58">
        <v>1</v>
      </c>
      <c r="V48" s="58"/>
      <c r="W48" s="75"/>
      <c r="X48" s="75"/>
      <c r="Y48" s="60"/>
      <c r="Z48" s="77"/>
      <c r="AA48" s="25"/>
      <c r="AB48" s="25"/>
    </row>
    <row r="49" spans="2:28">
      <c r="B49" s="40" t="s">
        <v>301</v>
      </c>
      <c r="C49" s="40"/>
      <c r="D49" s="40">
        <v>12</v>
      </c>
      <c r="E49" s="40">
        <v>1</v>
      </c>
      <c r="F49" s="40" t="s">
        <v>50</v>
      </c>
      <c r="G49" s="40" t="s">
        <v>255</v>
      </c>
      <c r="H49" s="42" t="s">
        <v>254</v>
      </c>
      <c r="I49" s="74"/>
      <c r="J49" s="74">
        <v>3</v>
      </c>
      <c r="K49" s="25" t="str">
        <f>VLOOKUP(J49,Key!$E$2:$F$9,2,FALSE)</f>
        <v>Study</v>
      </c>
      <c r="L49" s="42" t="s">
        <v>37</v>
      </c>
      <c r="M49" s="60" t="s">
        <v>37</v>
      </c>
      <c r="N49" s="42" t="s">
        <v>254</v>
      </c>
      <c r="O49" s="58"/>
      <c r="P49" s="58">
        <v>7</v>
      </c>
      <c r="Q49" s="25" t="str">
        <f>VLOOKUP(P49,Key!$E$2:$F$9,2,FALSE)</f>
        <v>Hospital</v>
      </c>
      <c r="R49" s="25" t="str">
        <f t="shared" si="1"/>
        <v>Study-Hospital</v>
      </c>
      <c r="S49" s="75"/>
      <c r="T49" s="62">
        <v>0.2</v>
      </c>
      <c r="U49" s="58">
        <v>2</v>
      </c>
      <c r="V49" s="58"/>
      <c r="W49" s="75"/>
      <c r="X49" s="75"/>
      <c r="Y49" s="60"/>
      <c r="Z49" s="77"/>
      <c r="AA49" s="25"/>
      <c r="AB49" s="25"/>
    </row>
    <row r="50" spans="2:28">
      <c r="B50" s="40" t="s">
        <v>302</v>
      </c>
      <c r="C50" s="40"/>
      <c r="D50" s="40">
        <v>12</v>
      </c>
      <c r="E50" s="40">
        <v>1</v>
      </c>
      <c r="F50" s="40" t="s">
        <v>38</v>
      </c>
      <c r="G50" s="40" t="s">
        <v>37</v>
      </c>
      <c r="H50" s="42" t="s">
        <v>254</v>
      </c>
      <c r="I50" s="74"/>
      <c r="J50" s="74">
        <v>6</v>
      </c>
      <c r="K50" s="25" t="str">
        <f>VLOOKUP(J50,Key!$E$2:$F$9,2,FALSE)</f>
        <v>Leisure/Social</v>
      </c>
      <c r="L50" s="42" t="s">
        <v>37</v>
      </c>
      <c r="M50" s="60" t="s">
        <v>37</v>
      </c>
      <c r="N50" s="42" t="s">
        <v>254</v>
      </c>
      <c r="O50" s="58"/>
      <c r="P50" s="58">
        <v>3</v>
      </c>
      <c r="Q50" s="25" t="str">
        <f>VLOOKUP(P50,Key!$E$2:$F$9,2,FALSE)</f>
        <v>Study</v>
      </c>
      <c r="R50" s="25" t="str">
        <f t="shared" si="1"/>
        <v>Leisure/Social-Study</v>
      </c>
      <c r="S50" s="75"/>
      <c r="T50" s="62">
        <v>2</v>
      </c>
      <c r="U50" s="58">
        <v>2</v>
      </c>
      <c r="V50" s="58"/>
      <c r="W50" s="75"/>
      <c r="X50" s="75"/>
      <c r="Y50" s="60"/>
      <c r="Z50" s="77"/>
      <c r="AA50" s="25"/>
      <c r="AB50" s="25"/>
    </row>
    <row r="51" spans="2:28">
      <c r="B51" s="40" t="s">
        <v>303</v>
      </c>
      <c r="C51" s="40"/>
      <c r="D51" s="40">
        <v>3</v>
      </c>
      <c r="E51" s="40">
        <v>1</v>
      </c>
      <c r="F51" s="40" t="s">
        <v>50</v>
      </c>
      <c r="G51" s="40" t="s">
        <v>255</v>
      </c>
      <c r="H51" s="42" t="s">
        <v>254</v>
      </c>
      <c r="I51" s="74"/>
      <c r="J51" s="74">
        <v>7</v>
      </c>
      <c r="K51" s="25" t="str">
        <f>VLOOKUP(J51,Key!$E$2:$F$9,2,FALSE)</f>
        <v>Hospital</v>
      </c>
      <c r="L51" s="42" t="s">
        <v>37</v>
      </c>
      <c r="M51" s="60" t="s">
        <v>37</v>
      </c>
      <c r="N51" s="42" t="s">
        <v>254</v>
      </c>
      <c r="O51" s="58"/>
      <c r="P51" s="58">
        <v>3</v>
      </c>
      <c r="Q51" s="25" t="str">
        <f>VLOOKUP(P51,Key!$E$2:$F$9,2,FALSE)</f>
        <v>Study</v>
      </c>
      <c r="R51" s="25" t="str">
        <f t="shared" si="1"/>
        <v>Hospital-Study</v>
      </c>
      <c r="S51" s="75"/>
      <c r="T51" s="62">
        <v>0</v>
      </c>
      <c r="U51" s="58">
        <v>3</v>
      </c>
      <c r="V51" s="58"/>
      <c r="W51" s="75"/>
      <c r="X51" s="75"/>
      <c r="Y51" s="60"/>
      <c r="Z51" s="77"/>
      <c r="AA51" s="25"/>
      <c r="AB51" s="25"/>
    </row>
    <row r="52" spans="2:28">
      <c r="B52" s="40" t="s">
        <v>304</v>
      </c>
      <c r="C52" s="40"/>
      <c r="D52" s="40">
        <v>12</v>
      </c>
      <c r="E52" s="40">
        <v>1</v>
      </c>
      <c r="F52" s="40" t="s">
        <v>38</v>
      </c>
      <c r="G52" s="40" t="s">
        <v>37</v>
      </c>
      <c r="H52" s="42" t="s">
        <v>254</v>
      </c>
      <c r="I52" s="74"/>
      <c r="J52" s="74">
        <v>3</v>
      </c>
      <c r="K52" s="25" t="str">
        <f>VLOOKUP(J52,Key!$E$2:$F$9,2,FALSE)</f>
        <v>Study</v>
      </c>
      <c r="L52" s="42" t="s">
        <v>37</v>
      </c>
      <c r="M52" s="60" t="s">
        <v>37</v>
      </c>
      <c r="N52" s="42" t="s">
        <v>254</v>
      </c>
      <c r="O52" s="58"/>
      <c r="P52" s="58">
        <v>2</v>
      </c>
      <c r="Q52" s="25" t="str">
        <f>VLOOKUP(P52,Key!$E$2:$F$9,2,FALSE)</f>
        <v>Work</v>
      </c>
      <c r="R52" s="25" t="str">
        <f t="shared" si="1"/>
        <v>Study-Work</v>
      </c>
      <c r="S52" s="75"/>
      <c r="T52" s="62">
        <v>0.1</v>
      </c>
      <c r="U52" s="58">
        <v>1</v>
      </c>
      <c r="V52" s="58"/>
      <c r="W52" s="75"/>
      <c r="X52" s="75"/>
      <c r="Y52" s="60"/>
      <c r="Z52" s="77"/>
      <c r="AA52" s="25"/>
      <c r="AB52" s="25"/>
    </row>
    <row r="53" spans="2:28">
      <c r="B53" s="40" t="s">
        <v>305</v>
      </c>
      <c r="C53" s="40"/>
      <c r="D53" s="40">
        <v>5</v>
      </c>
      <c r="E53" s="40">
        <v>1</v>
      </c>
      <c r="F53" s="40" t="s">
        <v>38</v>
      </c>
      <c r="G53" s="40" t="s">
        <v>37</v>
      </c>
      <c r="H53" s="42" t="s">
        <v>254</v>
      </c>
      <c r="I53" s="74"/>
      <c r="J53" s="74">
        <v>3</v>
      </c>
      <c r="K53" s="25" t="str">
        <f>VLOOKUP(J53,Key!$E$2:$F$9,2,FALSE)</f>
        <v>Study</v>
      </c>
      <c r="L53" s="42" t="s">
        <v>37</v>
      </c>
      <c r="M53" s="60" t="s">
        <v>37</v>
      </c>
      <c r="N53" s="42" t="s">
        <v>254</v>
      </c>
      <c r="O53" s="58"/>
      <c r="P53" s="58">
        <v>5</v>
      </c>
      <c r="Q53" s="25" t="str">
        <f>VLOOKUP(P53,Key!$E$2:$F$9,2,FALSE)</f>
        <v>Tourism</v>
      </c>
      <c r="R53" s="25" t="str">
        <f t="shared" si="1"/>
        <v>Study-Tourism</v>
      </c>
      <c r="S53" s="75"/>
      <c r="T53" s="62">
        <v>3</v>
      </c>
      <c r="U53" s="58">
        <v>2</v>
      </c>
      <c r="V53" s="58">
        <v>6</v>
      </c>
      <c r="W53" s="75"/>
      <c r="X53" s="75"/>
      <c r="Y53" s="60"/>
      <c r="Z53" s="77"/>
      <c r="AA53" s="25"/>
      <c r="AB53" s="25"/>
    </row>
    <row r="54" spans="2:28">
      <c r="B54" s="40" t="s">
        <v>306</v>
      </c>
      <c r="C54" s="40"/>
      <c r="D54" s="40">
        <v>3</v>
      </c>
      <c r="E54" s="40">
        <v>1</v>
      </c>
      <c r="F54" s="40" t="s">
        <v>38</v>
      </c>
      <c r="G54" s="40" t="s">
        <v>37</v>
      </c>
      <c r="H54" s="42" t="s">
        <v>254</v>
      </c>
      <c r="I54" s="74"/>
      <c r="J54" s="74">
        <v>1</v>
      </c>
      <c r="K54" s="25" t="str">
        <f>VLOOKUP(J54,Key!$E$2:$F$9,2,FALSE)</f>
        <v>Home</v>
      </c>
      <c r="L54" s="42" t="s">
        <v>37</v>
      </c>
      <c r="M54" s="60" t="s">
        <v>37</v>
      </c>
      <c r="N54" s="42" t="s">
        <v>254</v>
      </c>
      <c r="O54" s="58"/>
      <c r="P54" s="58">
        <v>4</v>
      </c>
      <c r="Q54" s="25" t="str">
        <f>VLOOKUP(P54,Key!$E$2:$F$9,2,FALSE)</f>
        <v>Commercial</v>
      </c>
      <c r="R54" s="25" t="str">
        <f t="shared" si="1"/>
        <v>Home-Commercial</v>
      </c>
      <c r="S54" s="75"/>
      <c r="T54" s="62">
        <v>3</v>
      </c>
      <c r="U54" s="58">
        <v>2</v>
      </c>
      <c r="V54" s="58"/>
      <c r="W54" s="75"/>
      <c r="X54" s="75"/>
      <c r="Y54" s="60"/>
      <c r="Z54" s="77"/>
      <c r="AA54" s="25"/>
      <c r="AB54" s="25"/>
    </row>
    <row r="55" spans="2:28">
      <c r="B55" s="40" t="s">
        <v>307</v>
      </c>
      <c r="C55" s="40"/>
      <c r="D55" s="40">
        <v>3</v>
      </c>
      <c r="E55" s="40">
        <v>6</v>
      </c>
      <c r="F55" s="40" t="s">
        <v>38</v>
      </c>
      <c r="G55" s="40" t="s">
        <v>37</v>
      </c>
      <c r="H55" s="42" t="s">
        <v>254</v>
      </c>
      <c r="I55" s="74"/>
      <c r="J55" s="74">
        <v>2</v>
      </c>
      <c r="K55" s="25" t="str">
        <f>VLOOKUP(J55,Key!$E$2:$F$9,2,FALSE)</f>
        <v>Work</v>
      </c>
      <c r="L55" s="42" t="s">
        <v>37</v>
      </c>
      <c r="M55" s="60" t="s">
        <v>37</v>
      </c>
      <c r="N55" s="42" t="s">
        <v>254</v>
      </c>
      <c r="O55" s="58"/>
      <c r="P55" s="58">
        <v>1</v>
      </c>
      <c r="Q55" s="25" t="str">
        <f>VLOOKUP(P55,Key!$E$2:$F$9,2,FALSE)</f>
        <v>Home</v>
      </c>
      <c r="R55" s="25" t="str">
        <f t="shared" si="1"/>
        <v>Work-Home</v>
      </c>
      <c r="S55" s="75"/>
      <c r="T55" s="62">
        <v>3</v>
      </c>
      <c r="U55" s="58">
        <v>2</v>
      </c>
      <c r="V55" s="58">
        <v>6</v>
      </c>
      <c r="W55" s="75"/>
      <c r="X55" s="75"/>
      <c r="Y55" s="60"/>
      <c r="Z55" s="77"/>
      <c r="AA55" s="25"/>
      <c r="AB55" s="25"/>
    </row>
    <row r="56" spans="2:28">
      <c r="B56" s="40" t="s">
        <v>308</v>
      </c>
      <c r="C56" s="40"/>
      <c r="D56" s="40">
        <v>3</v>
      </c>
      <c r="E56" s="40">
        <v>1</v>
      </c>
      <c r="F56" s="40" t="s">
        <v>38</v>
      </c>
      <c r="G56" s="40" t="s">
        <v>37</v>
      </c>
      <c r="H56" s="42" t="s">
        <v>254</v>
      </c>
      <c r="I56" s="74"/>
      <c r="J56" s="74">
        <v>1</v>
      </c>
      <c r="K56" s="25" t="str">
        <f>VLOOKUP(J56,Key!$E$2:$F$9,2,FALSE)</f>
        <v>Home</v>
      </c>
      <c r="L56" s="42" t="s">
        <v>37</v>
      </c>
      <c r="M56" s="60" t="s">
        <v>37</v>
      </c>
      <c r="N56" s="42" t="s">
        <v>254</v>
      </c>
      <c r="O56" s="58"/>
      <c r="P56" s="58">
        <v>1</v>
      </c>
      <c r="Q56" s="25" t="str">
        <f>VLOOKUP(P56,Key!$E$2:$F$9,2,FALSE)</f>
        <v>Home</v>
      </c>
      <c r="R56" s="25" t="str">
        <f t="shared" si="1"/>
        <v>Home-Home</v>
      </c>
      <c r="S56" s="75"/>
      <c r="T56" s="62">
        <v>0</v>
      </c>
      <c r="U56" s="58">
        <v>2</v>
      </c>
      <c r="V56" s="58"/>
      <c r="W56" s="75"/>
      <c r="X56" s="75"/>
      <c r="Y56" s="60"/>
      <c r="Z56" s="77"/>
      <c r="AA56" s="25"/>
      <c r="AB56" s="25"/>
    </row>
    <row r="57" spans="2:28">
      <c r="B57" s="40" t="s">
        <v>309</v>
      </c>
      <c r="C57" s="40"/>
      <c r="D57" s="40">
        <v>8</v>
      </c>
      <c r="E57" s="40">
        <v>1</v>
      </c>
      <c r="F57" s="40" t="s">
        <v>38</v>
      </c>
      <c r="G57" s="40" t="s">
        <v>37</v>
      </c>
      <c r="H57" s="42" t="s">
        <v>254</v>
      </c>
      <c r="I57" s="74"/>
      <c r="J57" s="74">
        <v>5</v>
      </c>
      <c r="K57" s="25" t="str">
        <f>VLOOKUP(J57,Key!$E$2:$F$9,2,FALSE)</f>
        <v>Tourism</v>
      </c>
      <c r="L57" s="42" t="s">
        <v>69</v>
      </c>
      <c r="M57" s="60" t="s">
        <v>69</v>
      </c>
      <c r="N57" s="42" t="s">
        <v>254</v>
      </c>
      <c r="O57" s="58"/>
      <c r="P57" s="58">
        <v>1</v>
      </c>
      <c r="Q57" s="25" t="str">
        <f>VLOOKUP(P57,Key!$E$2:$F$9,2,FALSE)</f>
        <v>Home</v>
      </c>
      <c r="R57" s="25" t="str">
        <f t="shared" si="1"/>
        <v>Tourism-Home</v>
      </c>
      <c r="S57" s="75"/>
      <c r="T57" s="62">
        <v>3</v>
      </c>
      <c r="U57" s="58">
        <v>2</v>
      </c>
      <c r="V57" s="58"/>
      <c r="W57" s="75"/>
      <c r="X57" s="75"/>
      <c r="Y57" s="60"/>
      <c r="Z57" s="77"/>
      <c r="AA57" s="25"/>
      <c r="AB57" s="25"/>
    </row>
    <row r="58" spans="2:28">
      <c r="B58" s="40" t="s">
        <v>310</v>
      </c>
      <c r="C58" s="40"/>
      <c r="D58" s="40">
        <v>8</v>
      </c>
      <c r="E58" s="40">
        <v>1</v>
      </c>
      <c r="F58" s="40" t="s">
        <v>50</v>
      </c>
      <c r="G58" s="40" t="s">
        <v>255</v>
      </c>
      <c r="H58" s="42" t="s">
        <v>254</v>
      </c>
      <c r="I58" s="74"/>
      <c r="J58" s="74">
        <v>6</v>
      </c>
      <c r="K58" s="25" t="str">
        <f>VLOOKUP(J58,Key!$E$2:$F$9,2,FALSE)</f>
        <v>Leisure/Social</v>
      </c>
      <c r="L58" s="42" t="s">
        <v>365</v>
      </c>
      <c r="M58" s="60" t="s">
        <v>365</v>
      </c>
      <c r="N58" s="42" t="s">
        <v>254</v>
      </c>
      <c r="O58" s="58"/>
      <c r="P58" s="58">
        <v>1</v>
      </c>
      <c r="Q58" s="25" t="str">
        <f>VLOOKUP(P58,Key!$E$2:$F$9,2,FALSE)</f>
        <v>Home</v>
      </c>
      <c r="R58" s="25" t="str">
        <f t="shared" si="1"/>
        <v>Leisure/Social-Home</v>
      </c>
      <c r="S58" s="75"/>
      <c r="T58" s="62">
        <v>0.3</v>
      </c>
      <c r="U58" s="58">
        <v>2</v>
      </c>
      <c r="V58" s="58"/>
      <c r="W58" s="75"/>
      <c r="X58" s="75"/>
      <c r="Y58" s="60"/>
      <c r="Z58" s="77"/>
      <c r="AA58" s="25"/>
      <c r="AB58" s="25"/>
    </row>
    <row r="59" spans="2:28">
      <c r="B59" s="40" t="s">
        <v>311</v>
      </c>
      <c r="C59" s="40"/>
      <c r="D59" s="40">
        <v>12</v>
      </c>
      <c r="E59" s="40">
        <v>1</v>
      </c>
      <c r="F59" s="40" t="s">
        <v>364</v>
      </c>
      <c r="G59" s="40" t="s">
        <v>37</v>
      </c>
      <c r="H59" s="42" t="s">
        <v>254</v>
      </c>
      <c r="I59" s="74"/>
      <c r="J59" s="74">
        <v>2</v>
      </c>
      <c r="K59" s="25" t="str">
        <f>VLOOKUP(J59,Key!$E$2:$F$9,2,FALSE)</f>
        <v>Work</v>
      </c>
      <c r="L59" s="42" t="s">
        <v>37</v>
      </c>
      <c r="M59" s="60" t="s">
        <v>37</v>
      </c>
      <c r="N59" s="42" t="s">
        <v>254</v>
      </c>
      <c r="O59" s="58"/>
      <c r="P59" s="58">
        <v>1</v>
      </c>
      <c r="Q59" s="25" t="str">
        <f>VLOOKUP(P59,Key!$E$2:$F$9,2,FALSE)</f>
        <v>Home</v>
      </c>
      <c r="R59" s="25" t="str">
        <f t="shared" si="1"/>
        <v>Work-Home</v>
      </c>
      <c r="S59" s="75"/>
      <c r="T59" s="62">
        <v>0</v>
      </c>
      <c r="U59" s="58">
        <v>2</v>
      </c>
      <c r="V59" s="58"/>
      <c r="W59" s="75"/>
      <c r="X59" s="75"/>
      <c r="Y59" s="60"/>
      <c r="Z59" s="77"/>
      <c r="AA59" s="25"/>
      <c r="AB59" s="25"/>
    </row>
    <row r="60" spans="2:28">
      <c r="B60" s="40" t="s">
        <v>312</v>
      </c>
      <c r="C60" s="40"/>
      <c r="D60" s="40">
        <v>3</v>
      </c>
      <c r="E60" s="40">
        <v>1</v>
      </c>
      <c r="F60" s="40" t="s">
        <v>50</v>
      </c>
      <c r="G60" s="40" t="s">
        <v>255</v>
      </c>
      <c r="H60" s="42" t="s">
        <v>254</v>
      </c>
      <c r="I60" s="74"/>
      <c r="J60" s="74">
        <v>4</v>
      </c>
      <c r="K60" s="25" t="str">
        <f>VLOOKUP(J60,Key!$E$2:$F$9,2,FALSE)</f>
        <v>Commercial</v>
      </c>
      <c r="L60" s="42" t="s">
        <v>37</v>
      </c>
      <c r="M60" s="60" t="s">
        <v>37</v>
      </c>
      <c r="N60" s="42" t="s">
        <v>254</v>
      </c>
      <c r="O60" s="58"/>
      <c r="P60" s="58">
        <v>1</v>
      </c>
      <c r="Q60" s="25" t="str">
        <f>VLOOKUP(P60,Key!$E$2:$F$9,2,FALSE)</f>
        <v>Home</v>
      </c>
      <c r="R60" s="25" t="str">
        <f t="shared" si="1"/>
        <v>Commercial-Home</v>
      </c>
      <c r="S60" s="75"/>
      <c r="T60" s="62">
        <v>1</v>
      </c>
      <c r="U60" s="58">
        <v>2</v>
      </c>
      <c r="V60" s="58"/>
      <c r="W60" s="75"/>
      <c r="X60" s="75"/>
      <c r="Y60" s="60"/>
      <c r="Z60" s="77"/>
      <c r="AA60" s="25"/>
      <c r="AB60" s="25"/>
    </row>
    <row r="61" spans="2:28">
      <c r="B61" s="40" t="s">
        <v>313</v>
      </c>
      <c r="C61" s="40"/>
      <c r="D61" s="40">
        <v>12</v>
      </c>
      <c r="E61" s="40">
        <v>1</v>
      </c>
      <c r="F61" s="40" t="s">
        <v>38</v>
      </c>
      <c r="G61" s="40" t="s">
        <v>37</v>
      </c>
      <c r="H61" s="42" t="s">
        <v>254</v>
      </c>
      <c r="I61" s="74"/>
      <c r="J61" s="74">
        <v>4</v>
      </c>
      <c r="K61" s="25" t="str">
        <f>VLOOKUP(J61,Key!$E$2:$F$9,2,FALSE)</f>
        <v>Commercial</v>
      </c>
      <c r="L61" s="42" t="s">
        <v>37</v>
      </c>
      <c r="M61" s="60" t="s">
        <v>37</v>
      </c>
      <c r="N61" s="42" t="s">
        <v>254</v>
      </c>
      <c r="O61" s="58"/>
      <c r="P61" s="58">
        <v>1</v>
      </c>
      <c r="Q61" s="25" t="str">
        <f>VLOOKUP(P61,Key!$E$2:$F$9,2,FALSE)</f>
        <v>Home</v>
      </c>
      <c r="R61" s="25" t="str">
        <f t="shared" si="1"/>
        <v>Commercial-Home</v>
      </c>
      <c r="S61" s="75"/>
      <c r="T61" s="62">
        <v>3</v>
      </c>
      <c r="U61" s="58">
        <v>2</v>
      </c>
      <c r="V61" s="58"/>
      <c r="W61" s="75"/>
      <c r="X61" s="75"/>
      <c r="Y61" s="60"/>
      <c r="Z61" s="77"/>
      <c r="AA61" s="25"/>
      <c r="AB61" s="25"/>
    </row>
    <row r="62" spans="2:28">
      <c r="B62" s="40" t="s">
        <v>314</v>
      </c>
      <c r="C62" s="40"/>
      <c r="D62" s="40">
        <v>3</v>
      </c>
      <c r="E62" s="40">
        <v>2</v>
      </c>
      <c r="F62" s="40" t="s">
        <v>38</v>
      </c>
      <c r="G62" s="40" t="s">
        <v>37</v>
      </c>
      <c r="H62" s="42" t="s">
        <v>254</v>
      </c>
      <c r="I62" s="74"/>
      <c r="J62" s="74">
        <v>4</v>
      </c>
      <c r="K62" s="25" t="str">
        <f>VLOOKUP(J62,Key!$E$2:$F$9,2,FALSE)</f>
        <v>Commercial</v>
      </c>
      <c r="L62" s="42" t="s">
        <v>67</v>
      </c>
      <c r="M62" s="60" t="s">
        <v>37</v>
      </c>
      <c r="N62" s="42" t="s">
        <v>254</v>
      </c>
      <c r="O62" s="58"/>
      <c r="P62" s="58">
        <v>1</v>
      </c>
      <c r="Q62" s="25" t="str">
        <f>VLOOKUP(P62,Key!$E$2:$F$9,2,FALSE)</f>
        <v>Home</v>
      </c>
      <c r="R62" s="25" t="str">
        <f t="shared" si="1"/>
        <v>Commercial-Home</v>
      </c>
      <c r="S62" s="75"/>
      <c r="T62" s="62">
        <v>0</v>
      </c>
      <c r="U62" s="58">
        <v>4</v>
      </c>
      <c r="V62" s="58"/>
      <c r="W62" s="75"/>
      <c r="X62" s="75"/>
      <c r="Y62" s="60"/>
      <c r="Z62" s="77"/>
      <c r="AA62" s="25"/>
      <c r="AB62" s="25"/>
    </row>
    <row r="63" spans="2:28">
      <c r="B63" s="40" t="s">
        <v>315</v>
      </c>
      <c r="C63" s="40"/>
      <c r="D63" s="40">
        <v>2</v>
      </c>
      <c r="E63" s="40">
        <v>2</v>
      </c>
      <c r="F63" s="40" t="s">
        <v>38</v>
      </c>
      <c r="G63" s="40" t="s">
        <v>37</v>
      </c>
      <c r="H63" s="42" t="s">
        <v>254</v>
      </c>
      <c r="I63" s="74"/>
      <c r="J63" s="74">
        <v>4</v>
      </c>
      <c r="K63" s="25" t="str">
        <f>VLOOKUP(J63,Key!$E$2:$F$9,2,FALSE)</f>
        <v>Commercial</v>
      </c>
      <c r="L63" s="42" t="s">
        <v>37</v>
      </c>
      <c r="M63" s="60" t="s">
        <v>241</v>
      </c>
      <c r="N63" s="42" t="s">
        <v>254</v>
      </c>
      <c r="O63" s="58"/>
      <c r="P63" s="58">
        <v>1</v>
      </c>
      <c r="Q63" s="25" t="str">
        <f>VLOOKUP(P63,Key!$E$2:$F$9,2,FALSE)</f>
        <v>Home</v>
      </c>
      <c r="R63" s="25" t="str">
        <f t="shared" si="1"/>
        <v>Commercial-Home</v>
      </c>
      <c r="S63" s="75"/>
      <c r="T63" s="62">
        <v>0</v>
      </c>
      <c r="U63" s="58">
        <v>4</v>
      </c>
      <c r="V63" s="58"/>
      <c r="W63" s="75"/>
      <c r="X63" s="75"/>
      <c r="Y63" s="60"/>
      <c r="Z63" s="77"/>
      <c r="AA63" s="25"/>
      <c r="AB63" s="25"/>
    </row>
    <row r="64" spans="2:28">
      <c r="B64" s="40" t="s">
        <v>316</v>
      </c>
      <c r="C64" s="40"/>
      <c r="D64" s="40">
        <v>2</v>
      </c>
      <c r="E64" s="40">
        <v>2</v>
      </c>
      <c r="F64" s="40" t="s">
        <v>50</v>
      </c>
      <c r="G64" s="40" t="s">
        <v>255</v>
      </c>
      <c r="H64" s="42" t="s">
        <v>254</v>
      </c>
      <c r="I64" s="74"/>
      <c r="J64" s="74">
        <v>4</v>
      </c>
      <c r="K64" s="25" t="str">
        <f>VLOOKUP(J64,Key!$E$2:$F$9,2,FALSE)</f>
        <v>Commercial</v>
      </c>
      <c r="L64" s="42" t="s">
        <v>37</v>
      </c>
      <c r="M64" s="60" t="s">
        <v>37</v>
      </c>
      <c r="N64" s="42" t="s">
        <v>254</v>
      </c>
      <c r="O64" s="58"/>
      <c r="P64" s="58">
        <v>1</v>
      </c>
      <c r="Q64" s="25" t="str">
        <f>VLOOKUP(P64,Key!$E$2:$F$9,2,FALSE)</f>
        <v>Home</v>
      </c>
      <c r="R64" s="25" t="str">
        <f t="shared" si="1"/>
        <v>Commercial-Home</v>
      </c>
      <c r="S64" s="75"/>
      <c r="T64" s="62">
        <v>1</v>
      </c>
      <c r="U64" s="58">
        <v>3</v>
      </c>
      <c r="V64" s="58"/>
      <c r="W64" s="75"/>
      <c r="X64" s="75"/>
      <c r="Y64" s="60"/>
      <c r="Z64" s="77"/>
      <c r="AA64" s="25"/>
      <c r="AB64" s="25"/>
    </row>
    <row r="65" spans="2:28">
      <c r="B65" s="40" t="s">
        <v>317</v>
      </c>
      <c r="C65" s="40"/>
      <c r="D65" s="40">
        <v>12</v>
      </c>
      <c r="E65" s="40">
        <v>2</v>
      </c>
      <c r="F65" s="40" t="s">
        <v>38</v>
      </c>
      <c r="G65" s="40" t="s">
        <v>37</v>
      </c>
      <c r="H65" s="42" t="s">
        <v>254</v>
      </c>
      <c r="I65" s="74"/>
      <c r="J65" s="74">
        <v>6</v>
      </c>
      <c r="K65" s="25" t="str">
        <f>VLOOKUP(J65,Key!$E$2:$F$9,2,FALSE)</f>
        <v>Leisure/Social</v>
      </c>
      <c r="L65" s="42" t="s">
        <v>37</v>
      </c>
      <c r="M65" s="60" t="s">
        <v>37</v>
      </c>
      <c r="N65" s="42" t="s">
        <v>254</v>
      </c>
      <c r="O65" s="58"/>
      <c r="P65" s="58">
        <v>1</v>
      </c>
      <c r="Q65" s="25" t="str">
        <f>VLOOKUP(P65,Key!$E$2:$F$9,2,FALSE)</f>
        <v>Home</v>
      </c>
      <c r="R65" s="25" t="str">
        <f t="shared" si="1"/>
        <v>Leisure/Social-Home</v>
      </c>
      <c r="S65" s="75"/>
      <c r="T65" s="62">
        <v>1</v>
      </c>
      <c r="U65" s="58">
        <v>3</v>
      </c>
      <c r="V65" s="58">
        <v>9</v>
      </c>
      <c r="W65" s="75"/>
      <c r="X65" s="75"/>
      <c r="Y65" s="60"/>
      <c r="Z65" s="77"/>
      <c r="AA65" s="25"/>
      <c r="AB65" s="25"/>
    </row>
    <row r="66" spans="2:28">
      <c r="B66" s="40" t="s">
        <v>318</v>
      </c>
      <c r="C66" s="40"/>
      <c r="D66" s="40">
        <v>5</v>
      </c>
      <c r="E66" s="40">
        <v>2</v>
      </c>
      <c r="F66" s="40" t="s">
        <v>38</v>
      </c>
      <c r="G66" s="40" t="s">
        <v>37</v>
      </c>
      <c r="H66" s="42" t="s">
        <v>254</v>
      </c>
      <c r="I66" s="74"/>
      <c r="J66" s="74">
        <v>4</v>
      </c>
      <c r="K66" s="25" t="str">
        <f>VLOOKUP(J66,Key!$E$2:$F$9,2,FALSE)</f>
        <v>Commercial</v>
      </c>
      <c r="L66" s="42" t="s">
        <v>37</v>
      </c>
      <c r="M66" s="60" t="s">
        <v>37</v>
      </c>
      <c r="N66" s="42" t="s">
        <v>254</v>
      </c>
      <c r="O66" s="58"/>
      <c r="P66" s="58">
        <v>1</v>
      </c>
      <c r="Q66" s="25" t="str">
        <f>VLOOKUP(P66,Key!$E$2:$F$9,2,FALSE)</f>
        <v>Home</v>
      </c>
      <c r="R66" s="25" t="str">
        <f t="shared" si="1"/>
        <v>Commercial-Home</v>
      </c>
      <c r="S66" s="75"/>
      <c r="T66" s="62">
        <v>5</v>
      </c>
      <c r="U66" s="58">
        <v>3</v>
      </c>
      <c r="V66" s="58"/>
      <c r="W66" s="75"/>
      <c r="X66" s="75"/>
      <c r="Y66" s="60"/>
      <c r="Z66" s="77"/>
      <c r="AA66" s="25"/>
      <c r="AB66" s="25"/>
    </row>
    <row r="67" spans="2:28">
      <c r="B67" s="40" t="s">
        <v>319</v>
      </c>
      <c r="C67" s="40"/>
      <c r="D67" s="40">
        <v>2</v>
      </c>
      <c r="E67" s="40">
        <v>2</v>
      </c>
      <c r="F67" s="40" t="s">
        <v>38</v>
      </c>
      <c r="G67" s="40" t="s">
        <v>37</v>
      </c>
      <c r="H67" s="42" t="s">
        <v>254</v>
      </c>
      <c r="I67" s="74"/>
      <c r="J67" s="74">
        <v>3</v>
      </c>
      <c r="K67" s="25" t="str">
        <f>VLOOKUP(J67,Key!$E$2:$F$9,2,FALSE)</f>
        <v>Study</v>
      </c>
      <c r="L67" s="42" t="s">
        <v>37</v>
      </c>
      <c r="M67" s="60" t="s">
        <v>37</v>
      </c>
      <c r="N67" s="42" t="s">
        <v>254</v>
      </c>
      <c r="O67" s="58"/>
      <c r="P67" s="58">
        <v>1</v>
      </c>
      <c r="Q67" s="25" t="str">
        <f>VLOOKUP(P67,Key!$E$2:$F$9,2,FALSE)</f>
        <v>Home</v>
      </c>
      <c r="R67" s="25" t="str">
        <f t="shared" si="1"/>
        <v>Study-Home</v>
      </c>
      <c r="S67" s="75"/>
      <c r="T67" s="62">
        <v>3</v>
      </c>
      <c r="U67" s="58">
        <v>1</v>
      </c>
      <c r="V67" s="58">
        <v>10</v>
      </c>
      <c r="W67" s="75"/>
      <c r="X67" s="75"/>
      <c r="Y67" s="60"/>
      <c r="Z67" s="77"/>
      <c r="AA67" s="25"/>
      <c r="AB67" s="25"/>
    </row>
    <row r="68" spans="2:28">
      <c r="B68" s="40" t="s">
        <v>320</v>
      </c>
      <c r="C68" s="40"/>
      <c r="D68" s="40">
        <v>3</v>
      </c>
      <c r="E68" s="40">
        <v>2</v>
      </c>
      <c r="F68" s="40" t="s">
        <v>38</v>
      </c>
      <c r="G68" s="40" t="s">
        <v>37</v>
      </c>
      <c r="H68" s="42" t="s">
        <v>254</v>
      </c>
      <c r="I68" s="74"/>
      <c r="J68" s="74">
        <v>3</v>
      </c>
      <c r="K68" s="25" t="str">
        <f>VLOOKUP(J68,Key!$E$2:$F$9,2,FALSE)</f>
        <v>Study</v>
      </c>
      <c r="L68" s="42" t="s">
        <v>69</v>
      </c>
      <c r="M68" s="60" t="s">
        <v>69</v>
      </c>
      <c r="N68" s="42" t="s">
        <v>254</v>
      </c>
      <c r="O68" s="58"/>
      <c r="P68" s="58">
        <v>1</v>
      </c>
      <c r="Q68" s="25" t="str">
        <f>VLOOKUP(P68,Key!$E$2:$F$9,2,FALSE)</f>
        <v>Home</v>
      </c>
      <c r="R68" s="25" t="str">
        <f t="shared" si="1"/>
        <v>Study-Home</v>
      </c>
      <c r="S68" s="75"/>
      <c r="T68" s="62">
        <v>2</v>
      </c>
      <c r="U68" s="58">
        <v>6</v>
      </c>
      <c r="V68" s="58"/>
      <c r="W68" s="75"/>
      <c r="X68" s="75"/>
      <c r="Y68" s="60"/>
      <c r="Z68" s="77"/>
      <c r="AA68" s="25"/>
      <c r="AB68" s="25"/>
    </row>
    <row r="69" spans="2:28">
      <c r="B69" s="40" t="s">
        <v>321</v>
      </c>
      <c r="C69" s="40"/>
      <c r="D69" s="40">
        <v>3</v>
      </c>
      <c r="E69" s="40">
        <v>1</v>
      </c>
      <c r="F69" s="40" t="s">
        <v>38</v>
      </c>
      <c r="G69" s="40" t="s">
        <v>37</v>
      </c>
      <c r="H69" s="42" t="s">
        <v>254</v>
      </c>
      <c r="I69" s="74"/>
      <c r="J69" s="74">
        <v>2</v>
      </c>
      <c r="K69" s="25" t="str">
        <f>VLOOKUP(J69,Key!$E$2:$F$9,2,FALSE)</f>
        <v>Work</v>
      </c>
      <c r="L69" s="42" t="s">
        <v>37</v>
      </c>
      <c r="M69" s="60" t="s">
        <v>37</v>
      </c>
      <c r="N69" s="42" t="s">
        <v>254</v>
      </c>
      <c r="O69" s="58"/>
      <c r="P69" s="58">
        <v>1</v>
      </c>
      <c r="Q69" s="25" t="str">
        <f>VLOOKUP(P69,Key!$E$2:$F$9,2,FALSE)</f>
        <v>Home</v>
      </c>
      <c r="R69" s="25" t="str">
        <f t="shared" si="1"/>
        <v>Work-Home</v>
      </c>
      <c r="S69" s="75"/>
      <c r="T69" s="62">
        <v>0</v>
      </c>
      <c r="U69" s="58">
        <v>2</v>
      </c>
      <c r="V69" s="58">
        <v>3</v>
      </c>
      <c r="W69" s="75"/>
      <c r="X69" s="75"/>
      <c r="Y69" s="60"/>
      <c r="Z69" s="77"/>
      <c r="AA69" s="25"/>
      <c r="AB69" s="25"/>
    </row>
    <row r="70" spans="2:28">
      <c r="B70" s="40" t="s">
        <v>322</v>
      </c>
      <c r="C70" s="40"/>
      <c r="D70" s="40">
        <v>5</v>
      </c>
      <c r="E70" s="40">
        <v>3</v>
      </c>
      <c r="F70" s="40" t="s">
        <v>50</v>
      </c>
      <c r="G70" s="40" t="s">
        <v>255</v>
      </c>
      <c r="H70" s="42" t="s">
        <v>254</v>
      </c>
      <c r="I70" s="74"/>
      <c r="J70" s="74">
        <v>2</v>
      </c>
      <c r="K70" s="25" t="str">
        <f>VLOOKUP(J70,Key!$E$2:$F$9,2,FALSE)</f>
        <v>Work</v>
      </c>
      <c r="L70" s="42" t="s">
        <v>37</v>
      </c>
      <c r="M70" s="60" t="s">
        <v>37</v>
      </c>
      <c r="N70" s="42" t="s">
        <v>254</v>
      </c>
      <c r="O70" s="58"/>
      <c r="P70" s="58">
        <v>1</v>
      </c>
      <c r="Q70" s="25" t="str">
        <f>VLOOKUP(P70,Key!$E$2:$F$9,2,FALSE)</f>
        <v>Home</v>
      </c>
      <c r="R70" s="25" t="str">
        <f t="shared" si="1"/>
        <v>Work-Home</v>
      </c>
      <c r="S70" s="75"/>
      <c r="T70" s="62">
        <v>4</v>
      </c>
      <c r="U70" s="58">
        <v>2</v>
      </c>
      <c r="V70" s="58"/>
      <c r="W70" s="75"/>
      <c r="X70" s="75"/>
      <c r="Y70" s="60"/>
      <c r="Z70" s="77"/>
      <c r="AA70" s="25"/>
      <c r="AB70" s="25"/>
    </row>
    <row r="71" spans="2:28">
      <c r="B71" s="40" t="s">
        <v>323</v>
      </c>
      <c r="C71" s="40"/>
      <c r="D71" s="40">
        <v>12</v>
      </c>
      <c r="E71" s="40">
        <v>2</v>
      </c>
      <c r="F71" s="40" t="s">
        <v>38</v>
      </c>
      <c r="G71" s="40" t="s">
        <v>37</v>
      </c>
      <c r="H71" s="42" t="s">
        <v>254</v>
      </c>
      <c r="I71" s="43"/>
      <c r="J71" s="43">
        <v>2</v>
      </c>
      <c r="K71" s="25" t="str">
        <f>VLOOKUP(J71,Key!$E$2:$F$9,2,FALSE)</f>
        <v>Work</v>
      </c>
      <c r="L71" s="42" t="s">
        <v>37</v>
      </c>
      <c r="M71" s="43" t="s">
        <v>37</v>
      </c>
      <c r="N71" s="42" t="s">
        <v>254</v>
      </c>
      <c r="O71" s="42"/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62"/>
      <c r="T71" s="62">
        <v>3</v>
      </c>
      <c r="U71" s="43">
        <v>3</v>
      </c>
      <c r="V71" s="43"/>
      <c r="W71" s="62"/>
      <c r="X71" s="62"/>
      <c r="Y71" s="63"/>
      <c r="Z71" s="76"/>
      <c r="AA71" s="25"/>
      <c r="AB71" s="25"/>
    </row>
    <row r="72" spans="2:28">
      <c r="B72" s="40" t="s">
        <v>324</v>
      </c>
      <c r="C72" s="40"/>
      <c r="D72" s="40">
        <v>8</v>
      </c>
      <c r="E72" s="40">
        <v>2</v>
      </c>
      <c r="F72" s="40" t="s">
        <v>38</v>
      </c>
      <c r="G72" s="40" t="s">
        <v>37</v>
      </c>
      <c r="H72" s="42" t="s">
        <v>254</v>
      </c>
      <c r="I72" s="43"/>
      <c r="J72" s="43">
        <v>2</v>
      </c>
      <c r="K72" s="25" t="str">
        <f>VLOOKUP(J72,Key!$E$2:$F$9,2,FALSE)</f>
        <v>Work</v>
      </c>
      <c r="L72" s="42" t="s">
        <v>37</v>
      </c>
      <c r="M72" s="43" t="s">
        <v>37</v>
      </c>
      <c r="N72" s="42" t="s">
        <v>254</v>
      </c>
      <c r="O72" s="42"/>
      <c r="P72" s="42">
        <v>3</v>
      </c>
      <c r="Q72" s="25" t="str">
        <f>VLOOKUP(P72,Key!$E$2:$F$9,2,FALSE)</f>
        <v>Study</v>
      </c>
      <c r="R72" s="25" t="str">
        <f t="shared" si="1"/>
        <v>Work-Study</v>
      </c>
      <c r="S72" s="62"/>
      <c r="T72" s="62">
        <v>0</v>
      </c>
      <c r="U72" s="43">
        <v>3</v>
      </c>
      <c r="V72" s="43"/>
      <c r="W72" s="62"/>
      <c r="X72" s="62"/>
      <c r="Y72" s="63"/>
      <c r="Z72" s="76"/>
      <c r="AA72" s="25"/>
      <c r="AB72" s="25"/>
    </row>
    <row r="73" spans="2:28">
      <c r="B73" s="40" t="s">
        <v>325</v>
      </c>
      <c r="C73" s="40"/>
      <c r="D73" s="40">
        <v>2</v>
      </c>
      <c r="E73" s="40">
        <v>2</v>
      </c>
      <c r="F73" s="40" t="s">
        <v>38</v>
      </c>
      <c r="G73" s="40" t="s">
        <v>37</v>
      </c>
      <c r="H73" s="42" t="s">
        <v>254</v>
      </c>
      <c r="I73" s="43"/>
      <c r="J73" s="43">
        <v>2</v>
      </c>
      <c r="K73" s="25" t="str">
        <f>VLOOKUP(J73,Key!$E$2:$F$9,2,FALSE)</f>
        <v>Work</v>
      </c>
      <c r="L73" s="42" t="s">
        <v>69</v>
      </c>
      <c r="M73" s="43" t="s">
        <v>69</v>
      </c>
      <c r="N73" s="42" t="s">
        <v>254</v>
      </c>
      <c r="O73" s="42"/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1</v>
      </c>
      <c r="U73" s="43">
        <v>4</v>
      </c>
      <c r="V73" s="43"/>
      <c r="W73" s="62"/>
      <c r="X73" s="62"/>
      <c r="Y73" s="63"/>
      <c r="Z73" s="76"/>
      <c r="AA73" s="25"/>
      <c r="AB73" s="25"/>
    </row>
    <row r="74" spans="2:28">
      <c r="B74" s="40" t="s">
        <v>326</v>
      </c>
      <c r="C74" s="40"/>
      <c r="D74" s="40">
        <v>8</v>
      </c>
      <c r="E74" s="40">
        <v>1</v>
      </c>
      <c r="F74" s="40" t="s">
        <v>38</v>
      </c>
      <c r="G74" s="40" t="s">
        <v>37</v>
      </c>
      <c r="H74" s="42" t="s">
        <v>254</v>
      </c>
      <c r="I74" s="43"/>
      <c r="J74" s="43">
        <v>1</v>
      </c>
      <c r="K74" s="25" t="str">
        <f>VLOOKUP(J74,Key!$E$2:$F$9,2,FALSE)</f>
        <v>Home</v>
      </c>
      <c r="L74" s="42" t="s">
        <v>37</v>
      </c>
      <c r="M74" s="43" t="s">
        <v>37</v>
      </c>
      <c r="N74" s="42" t="s">
        <v>254</v>
      </c>
      <c r="O74" s="42"/>
      <c r="P74" s="42">
        <v>3</v>
      </c>
      <c r="Q74" s="25" t="str">
        <f>VLOOKUP(P74,Key!$E$2:$F$9,2,FALSE)</f>
        <v>Study</v>
      </c>
      <c r="R74" s="25" t="str">
        <f t="shared" si="1"/>
        <v>Home-Study</v>
      </c>
      <c r="S74" s="62"/>
      <c r="T74" s="62">
        <v>0</v>
      </c>
      <c r="U74" s="43">
        <v>1</v>
      </c>
      <c r="V74" s="43"/>
      <c r="W74" s="62"/>
      <c r="X74" s="62"/>
      <c r="Y74" s="63"/>
      <c r="Z74" s="76"/>
      <c r="AA74" s="25"/>
      <c r="AB74" s="25"/>
    </row>
    <row r="75" spans="2:28">
      <c r="B75" s="40" t="s">
        <v>327</v>
      </c>
      <c r="C75" s="40"/>
      <c r="D75" s="40">
        <v>8</v>
      </c>
      <c r="E75" s="40">
        <v>1</v>
      </c>
      <c r="F75" s="40" t="s">
        <v>38</v>
      </c>
      <c r="G75" s="40" t="s">
        <v>37</v>
      </c>
      <c r="H75" s="42" t="s">
        <v>254</v>
      </c>
      <c r="I75" s="43"/>
      <c r="J75" s="43">
        <v>1</v>
      </c>
      <c r="K75" s="25" t="str">
        <f>VLOOKUP(J75,Key!$E$2:$F$9,2,FALSE)</f>
        <v>Home</v>
      </c>
      <c r="L75" s="42" t="s">
        <v>69</v>
      </c>
      <c r="M75" s="43" t="s">
        <v>69</v>
      </c>
      <c r="N75" s="42" t="s">
        <v>254</v>
      </c>
      <c r="O75" s="42"/>
      <c r="P75" s="42">
        <v>4</v>
      </c>
      <c r="Q75" s="25" t="str">
        <f>VLOOKUP(P75,Key!$E$2:$F$9,2,FALSE)</f>
        <v>Commercial</v>
      </c>
      <c r="R75" s="25" t="str">
        <f t="shared" si="1"/>
        <v>Home-Commercial</v>
      </c>
      <c r="S75" s="62"/>
      <c r="T75" s="62">
        <v>3</v>
      </c>
      <c r="U75" s="43">
        <v>2</v>
      </c>
      <c r="V75" s="43"/>
      <c r="W75" s="62"/>
      <c r="X75" s="62"/>
      <c r="Y75" s="63"/>
      <c r="Z75" s="76"/>
      <c r="AA75" s="25"/>
      <c r="AB75" s="25"/>
    </row>
    <row r="76" spans="2:28">
      <c r="B76" s="40" t="s">
        <v>328</v>
      </c>
      <c r="C76" s="40"/>
      <c r="D76" s="40">
        <v>3</v>
      </c>
      <c r="E76" s="40">
        <v>1</v>
      </c>
      <c r="F76" s="40" t="s">
        <v>50</v>
      </c>
      <c r="G76" s="40" t="s">
        <v>255</v>
      </c>
      <c r="H76" s="42" t="s">
        <v>254</v>
      </c>
      <c r="I76" s="43"/>
      <c r="J76" s="43">
        <v>1</v>
      </c>
      <c r="K76" s="25" t="str">
        <f>VLOOKUP(J76,Key!$E$2:$F$9,2,FALSE)</f>
        <v>Home</v>
      </c>
      <c r="L76" s="42" t="s">
        <v>69</v>
      </c>
      <c r="M76" s="43" t="s">
        <v>69</v>
      </c>
      <c r="N76" s="42" t="s">
        <v>254</v>
      </c>
      <c r="O76" s="42"/>
      <c r="P76" s="42">
        <v>3</v>
      </c>
      <c r="Q76" s="25" t="str">
        <f>VLOOKUP(P76,Key!$E$2:$F$9,2,FALSE)</f>
        <v>Study</v>
      </c>
      <c r="R76" s="25" t="str">
        <f t="shared" si="1"/>
        <v>Home-Study</v>
      </c>
      <c r="S76" s="62"/>
      <c r="T76" s="62">
        <v>3</v>
      </c>
      <c r="U76" s="43">
        <v>2</v>
      </c>
      <c r="V76" s="43"/>
      <c r="W76" s="62"/>
      <c r="X76" s="62"/>
      <c r="Y76" s="63"/>
      <c r="Z76" s="76"/>
      <c r="AA76" s="25"/>
      <c r="AB76" s="25"/>
    </row>
    <row r="77" spans="2:28">
      <c r="B77" s="40" t="s">
        <v>329</v>
      </c>
      <c r="C77" s="40"/>
      <c r="D77" s="40">
        <v>12</v>
      </c>
      <c r="E77" s="40">
        <v>1</v>
      </c>
      <c r="F77" s="40" t="s">
        <v>38</v>
      </c>
      <c r="G77" s="40" t="s">
        <v>37</v>
      </c>
      <c r="H77" s="42" t="s">
        <v>254</v>
      </c>
      <c r="I77" s="43"/>
      <c r="J77" s="43">
        <v>1</v>
      </c>
      <c r="K77" s="25" t="str">
        <f>VLOOKUP(J77,Key!$E$2:$F$9,2,FALSE)</f>
        <v>Home</v>
      </c>
      <c r="L77" s="42" t="s">
        <v>67</v>
      </c>
      <c r="M77" s="43" t="s">
        <v>241</v>
      </c>
      <c r="N77" s="42" t="s">
        <v>254</v>
      </c>
      <c r="O77" s="42"/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62"/>
      <c r="T77" s="62">
        <v>10</v>
      </c>
      <c r="U77" s="43">
        <v>2</v>
      </c>
      <c r="V77" s="43"/>
      <c r="W77" s="62"/>
      <c r="X77" s="62"/>
      <c r="Y77" s="63"/>
      <c r="Z77" s="76"/>
      <c r="AA77" s="25"/>
      <c r="AB77" s="25"/>
    </row>
    <row r="78" spans="2:28">
      <c r="B78" s="40" t="s">
        <v>330</v>
      </c>
      <c r="C78" s="40"/>
      <c r="D78" s="40">
        <v>3</v>
      </c>
      <c r="E78" s="40">
        <v>1</v>
      </c>
      <c r="F78" s="40" t="s">
        <v>50</v>
      </c>
      <c r="G78" s="40" t="s">
        <v>255</v>
      </c>
      <c r="H78" s="42" t="s">
        <v>254</v>
      </c>
      <c r="I78" s="43"/>
      <c r="J78" s="43">
        <v>1</v>
      </c>
      <c r="K78" s="25" t="str">
        <f>VLOOKUP(J78,Key!$E$2:$F$9,2,FALSE)</f>
        <v>Home</v>
      </c>
      <c r="L78" s="42" t="s">
        <v>37</v>
      </c>
      <c r="M78" s="43" t="s">
        <v>37</v>
      </c>
      <c r="N78" s="42" t="s">
        <v>254</v>
      </c>
      <c r="O78" s="42"/>
      <c r="P78" s="42">
        <v>1</v>
      </c>
      <c r="Q78" s="25" t="str">
        <f>VLOOKUP(P78,Key!$E$2:$F$9,2,FALSE)</f>
        <v>Home</v>
      </c>
      <c r="R78" s="25" t="str">
        <f t="shared" si="1"/>
        <v>Home-Home</v>
      </c>
      <c r="S78" s="62"/>
      <c r="T78" s="62">
        <v>4</v>
      </c>
      <c r="U78" s="43">
        <v>2</v>
      </c>
      <c r="V78" s="43"/>
      <c r="W78" s="62"/>
      <c r="X78" s="62"/>
      <c r="Y78" s="63"/>
      <c r="Z78" s="76"/>
      <c r="AA78" s="25"/>
      <c r="AB78" s="25"/>
    </row>
    <row r="79" spans="2:28">
      <c r="B79" s="40" t="s">
        <v>331</v>
      </c>
      <c r="C79" s="40"/>
      <c r="D79" s="40">
        <v>12</v>
      </c>
      <c r="E79" s="40">
        <v>2</v>
      </c>
      <c r="F79" s="40" t="s">
        <v>38</v>
      </c>
      <c r="G79" s="40" t="s">
        <v>37</v>
      </c>
      <c r="H79" s="42" t="s">
        <v>254</v>
      </c>
      <c r="I79" s="43"/>
      <c r="J79" s="43">
        <v>1</v>
      </c>
      <c r="K79" s="25" t="str">
        <f>VLOOKUP(J79,Key!$E$2:$F$9,2,FALSE)</f>
        <v>Home</v>
      </c>
      <c r="L79" s="42" t="s">
        <v>67</v>
      </c>
      <c r="M79" s="43" t="s">
        <v>241</v>
      </c>
      <c r="N79" s="42" t="s">
        <v>254</v>
      </c>
      <c r="O79" s="42"/>
      <c r="P79" s="42">
        <v>4</v>
      </c>
      <c r="Q79" s="25" t="str">
        <f>VLOOKUP(P79,Key!$E$2:$F$9,2,FALSE)</f>
        <v>Commercial</v>
      </c>
      <c r="R79" s="25" t="str">
        <f t="shared" si="1"/>
        <v>Home-Commercial</v>
      </c>
      <c r="S79" s="62"/>
      <c r="T79" s="62">
        <v>2</v>
      </c>
      <c r="U79" s="43">
        <v>2</v>
      </c>
      <c r="V79" s="43">
        <v>3</v>
      </c>
      <c r="W79" s="62"/>
      <c r="X79" s="62"/>
      <c r="Y79" s="63"/>
      <c r="Z79" s="76"/>
      <c r="AA79" s="25"/>
      <c r="AB79" s="25"/>
    </row>
    <row r="80" spans="2:28">
      <c r="B80" s="40" t="s">
        <v>332</v>
      </c>
      <c r="C80" s="40"/>
      <c r="D80" s="40">
        <v>3</v>
      </c>
      <c r="E80" s="40">
        <v>3</v>
      </c>
      <c r="F80" s="40" t="s">
        <v>50</v>
      </c>
      <c r="G80" s="40" t="s">
        <v>255</v>
      </c>
      <c r="H80" s="42" t="s">
        <v>254</v>
      </c>
      <c r="I80" s="43"/>
      <c r="J80" s="43">
        <v>1</v>
      </c>
      <c r="K80" s="25" t="str">
        <f>VLOOKUP(J80,Key!$E$2:$F$9,2,FALSE)</f>
        <v>Home</v>
      </c>
      <c r="L80" s="42" t="s">
        <v>37</v>
      </c>
      <c r="M80" s="43" t="s">
        <v>37</v>
      </c>
      <c r="N80" s="42" t="s">
        <v>254</v>
      </c>
      <c r="O80" s="42"/>
      <c r="P80" s="42">
        <v>4</v>
      </c>
      <c r="Q80" s="25" t="str">
        <f>VLOOKUP(P80,Key!$E$2:$F$9,2,FALSE)</f>
        <v>Commercial</v>
      </c>
      <c r="R80" s="25" t="str">
        <f t="shared" si="1"/>
        <v>Home-Commercial</v>
      </c>
      <c r="S80" s="62"/>
      <c r="T80" s="62">
        <v>1</v>
      </c>
      <c r="U80" s="43">
        <v>3</v>
      </c>
      <c r="V80" s="43"/>
      <c r="W80" s="62"/>
      <c r="X80" s="62"/>
      <c r="Y80" s="63"/>
      <c r="Z80" s="76"/>
      <c r="AA80" s="25"/>
      <c r="AB80" s="25"/>
    </row>
    <row r="81" spans="2:28">
      <c r="B81" s="40" t="s">
        <v>333</v>
      </c>
      <c r="C81" s="40"/>
      <c r="D81" s="40">
        <v>13</v>
      </c>
      <c r="E81" s="40">
        <v>1</v>
      </c>
      <c r="F81" s="40" t="s">
        <v>50</v>
      </c>
      <c r="G81" s="40" t="s">
        <v>255</v>
      </c>
      <c r="H81" s="42" t="s">
        <v>254</v>
      </c>
      <c r="I81" s="43"/>
      <c r="J81" s="43">
        <v>2</v>
      </c>
      <c r="K81" s="25" t="str">
        <f>VLOOKUP(J81,Key!$E$2:$F$9,2,FALSE)</f>
        <v>Work</v>
      </c>
      <c r="L81" s="42" t="s">
        <v>65</v>
      </c>
      <c r="M81" s="43" t="s">
        <v>37</v>
      </c>
      <c r="N81" s="42" t="s">
        <v>254</v>
      </c>
      <c r="O81" s="42"/>
      <c r="P81" s="42">
        <v>3</v>
      </c>
      <c r="Q81" s="25" t="str">
        <f>VLOOKUP(P81,Key!$E$2:$F$9,2,FALSE)</f>
        <v>Study</v>
      </c>
      <c r="R81" s="25" t="str">
        <f t="shared" si="1"/>
        <v>Work-Study</v>
      </c>
      <c r="S81" s="62"/>
      <c r="T81" s="62">
        <v>0</v>
      </c>
      <c r="U81" s="43">
        <v>3</v>
      </c>
      <c r="V81" s="43"/>
      <c r="W81" s="62"/>
      <c r="X81" s="62"/>
      <c r="Y81" s="63"/>
      <c r="Z81" s="76"/>
      <c r="AA81" s="25"/>
      <c r="AB81" s="25"/>
    </row>
    <row r="82" spans="2:28">
      <c r="B82" s="40" t="s">
        <v>334</v>
      </c>
      <c r="C82" s="40"/>
      <c r="D82" s="40">
        <v>13</v>
      </c>
      <c r="E82" s="40">
        <v>1</v>
      </c>
      <c r="F82" s="40" t="s">
        <v>38</v>
      </c>
      <c r="G82" s="40" t="s">
        <v>37</v>
      </c>
      <c r="H82" s="42" t="s">
        <v>254</v>
      </c>
      <c r="I82" s="43"/>
      <c r="J82" s="43">
        <v>3</v>
      </c>
      <c r="K82" s="25" t="str">
        <f>VLOOKUP(J82,Key!$E$2:$F$9,2,FALSE)</f>
        <v>Study</v>
      </c>
      <c r="L82" s="42" t="s">
        <v>37</v>
      </c>
      <c r="M82" s="43" t="s">
        <v>37</v>
      </c>
      <c r="N82" s="42" t="s">
        <v>254</v>
      </c>
      <c r="O82" s="42"/>
      <c r="P82" s="42">
        <v>3</v>
      </c>
      <c r="Q82" s="25" t="str">
        <f>VLOOKUP(P82,Key!$E$2:$F$9,2,FALSE)</f>
        <v>Study</v>
      </c>
      <c r="R82" s="25" t="str">
        <f t="shared" si="1"/>
        <v>Study-Study</v>
      </c>
      <c r="S82" s="62"/>
      <c r="T82" s="62">
        <v>0.83333333333333337</v>
      </c>
      <c r="U82" s="43">
        <v>1</v>
      </c>
      <c r="V82" s="43"/>
      <c r="W82" s="62"/>
      <c r="X82" s="62"/>
      <c r="Y82" s="63"/>
      <c r="Z82" s="76"/>
      <c r="AA82" s="25"/>
      <c r="AB82" s="25"/>
    </row>
    <row r="83" spans="2:28">
      <c r="B83" s="40" t="s">
        <v>335</v>
      </c>
      <c r="C83" s="40"/>
      <c r="D83" s="40">
        <v>2</v>
      </c>
      <c r="E83" s="40">
        <v>1</v>
      </c>
      <c r="F83" s="40" t="s">
        <v>38</v>
      </c>
      <c r="G83" s="40" t="s">
        <v>37</v>
      </c>
      <c r="H83" s="42" t="s">
        <v>254</v>
      </c>
      <c r="I83" s="43"/>
      <c r="J83" s="43">
        <v>7</v>
      </c>
      <c r="K83" s="25" t="str">
        <f>VLOOKUP(J83,Key!$E$2:$F$9,2,FALSE)</f>
        <v>Hospital</v>
      </c>
      <c r="L83" s="42" t="s">
        <v>37</v>
      </c>
      <c r="M83" s="43" t="s">
        <v>37</v>
      </c>
      <c r="N83" s="42" t="s">
        <v>254</v>
      </c>
      <c r="O83" s="42"/>
      <c r="P83" s="42">
        <v>3</v>
      </c>
      <c r="Q83" s="25" t="str">
        <f>VLOOKUP(P83,Key!$E$2:$F$9,2,FALSE)</f>
        <v>Study</v>
      </c>
      <c r="R83" s="25" t="str">
        <f t="shared" si="1"/>
        <v>Hospital-Study</v>
      </c>
      <c r="S83" s="62"/>
      <c r="T83" s="62">
        <v>0.83333333333333337</v>
      </c>
      <c r="U83" s="43">
        <v>1</v>
      </c>
      <c r="V83" s="43"/>
      <c r="W83" s="62"/>
      <c r="X83" s="62"/>
      <c r="Y83" s="63"/>
      <c r="Z83" s="76"/>
      <c r="AA83" s="25"/>
      <c r="AB83" s="25"/>
    </row>
    <row r="84" spans="2:28">
      <c r="B84" s="40" t="s">
        <v>336</v>
      </c>
      <c r="C84" s="40"/>
      <c r="D84" s="40">
        <v>2</v>
      </c>
      <c r="E84" s="40">
        <v>1</v>
      </c>
      <c r="F84" s="40" t="s">
        <v>362</v>
      </c>
      <c r="G84" s="40" t="s">
        <v>37</v>
      </c>
      <c r="H84" s="42" t="s">
        <v>254</v>
      </c>
      <c r="I84" s="43"/>
      <c r="J84" s="43">
        <v>6</v>
      </c>
      <c r="K84" s="25" t="str">
        <f>VLOOKUP(J84,Key!$E$2:$F$9,2,FALSE)</f>
        <v>Leisure/Social</v>
      </c>
      <c r="L84" s="42" t="s">
        <v>37</v>
      </c>
      <c r="M84" s="43" t="s">
        <v>37</v>
      </c>
      <c r="N84" s="42" t="s">
        <v>254</v>
      </c>
      <c r="O84" s="42"/>
      <c r="P84" s="42">
        <v>1</v>
      </c>
      <c r="Q84" s="25" t="str">
        <f>VLOOKUP(P84,Key!$E$2:$F$9,2,FALSE)</f>
        <v>Home</v>
      </c>
      <c r="R84" s="25" t="str">
        <f t="shared" si="1"/>
        <v>Leisure/Social-Home</v>
      </c>
      <c r="S84" s="62"/>
      <c r="T84" s="62">
        <v>0</v>
      </c>
      <c r="U84" s="43">
        <v>1</v>
      </c>
      <c r="V84" s="43"/>
      <c r="W84" s="62"/>
      <c r="X84" s="62"/>
      <c r="Y84" s="63"/>
      <c r="Z84" s="76"/>
      <c r="AA84" s="25"/>
      <c r="AB84" s="25"/>
    </row>
    <row r="85" spans="2:28">
      <c r="B85" s="40" t="s">
        <v>337</v>
      </c>
      <c r="C85" s="40"/>
      <c r="D85" s="40">
        <v>12</v>
      </c>
      <c r="E85" s="40">
        <v>1</v>
      </c>
      <c r="F85" s="40" t="s">
        <v>256</v>
      </c>
      <c r="G85" s="40" t="s">
        <v>37</v>
      </c>
      <c r="H85" s="42" t="s">
        <v>254</v>
      </c>
      <c r="I85" s="43"/>
      <c r="J85" s="43">
        <v>5</v>
      </c>
      <c r="K85" s="25" t="str">
        <f>VLOOKUP(J85,Key!$E$2:$F$9,2,FALSE)</f>
        <v>Tourism</v>
      </c>
      <c r="L85" s="42" t="s">
        <v>65</v>
      </c>
      <c r="M85" s="43" t="s">
        <v>37</v>
      </c>
      <c r="N85" s="42" t="s">
        <v>254</v>
      </c>
      <c r="O85" s="42"/>
      <c r="P85" s="42">
        <v>2</v>
      </c>
      <c r="Q85" s="25" t="str">
        <f>VLOOKUP(P85,Key!$E$2:$F$9,2,FALSE)</f>
        <v>Work</v>
      </c>
      <c r="R85" s="25" t="str">
        <f t="shared" si="1"/>
        <v>Tourism-Work</v>
      </c>
      <c r="S85" s="62"/>
      <c r="T85" s="62">
        <v>3</v>
      </c>
      <c r="U85" s="43">
        <v>1</v>
      </c>
      <c r="V85" s="43"/>
      <c r="W85" s="62"/>
      <c r="X85" s="62"/>
      <c r="Y85" s="63"/>
      <c r="Z85" s="76"/>
      <c r="AA85" s="25"/>
      <c r="AB85" s="25"/>
    </row>
    <row r="86" spans="2:28">
      <c r="B86" s="40" t="s">
        <v>338</v>
      </c>
      <c r="C86" s="40"/>
      <c r="D86" s="40">
        <v>2</v>
      </c>
      <c r="E86" s="40">
        <v>1</v>
      </c>
      <c r="F86" s="40" t="s">
        <v>364</v>
      </c>
      <c r="G86" s="40" t="s">
        <v>37</v>
      </c>
      <c r="H86" s="42" t="s">
        <v>254</v>
      </c>
      <c r="I86" s="43"/>
      <c r="J86" s="43">
        <v>5</v>
      </c>
      <c r="K86" s="25" t="str">
        <f>VLOOKUP(J86,Key!$E$2:$F$9,2,FALSE)</f>
        <v>Tourism</v>
      </c>
      <c r="L86" s="42" t="s">
        <v>37</v>
      </c>
      <c r="M86" s="43" t="s">
        <v>37</v>
      </c>
      <c r="N86" s="42" t="s">
        <v>254</v>
      </c>
      <c r="O86" s="42"/>
      <c r="P86" s="42">
        <v>3</v>
      </c>
      <c r="Q86" s="25" t="str">
        <f>VLOOKUP(P86,Key!$E$2:$F$9,2,FALSE)</f>
        <v>Study</v>
      </c>
      <c r="R86" s="25" t="str">
        <f t="shared" si="1"/>
        <v>Tourism-Study</v>
      </c>
      <c r="S86" s="62"/>
      <c r="T86" s="62">
        <v>0</v>
      </c>
      <c r="U86" s="43">
        <v>2</v>
      </c>
      <c r="V86" s="43"/>
      <c r="W86" s="62"/>
      <c r="X86" s="62"/>
      <c r="Y86" s="63"/>
      <c r="Z86" s="76"/>
      <c r="AA86" s="25"/>
      <c r="AB86" s="25"/>
    </row>
    <row r="87" spans="2:28">
      <c r="B87" s="40" t="s">
        <v>339</v>
      </c>
      <c r="C87" s="40"/>
      <c r="D87" s="40">
        <v>3</v>
      </c>
      <c r="E87" s="40">
        <v>1</v>
      </c>
      <c r="F87" s="40" t="s">
        <v>364</v>
      </c>
      <c r="G87" s="40" t="s">
        <v>37</v>
      </c>
      <c r="H87" s="42" t="s">
        <v>254</v>
      </c>
      <c r="I87" s="43"/>
      <c r="J87" s="43">
        <v>4</v>
      </c>
      <c r="K87" s="25" t="str">
        <f>VLOOKUP(J87,Key!$E$2:$F$9,2,FALSE)</f>
        <v>Commercial</v>
      </c>
      <c r="L87" s="42" t="s">
        <v>37</v>
      </c>
      <c r="M87" s="43" t="s">
        <v>37</v>
      </c>
      <c r="N87" s="42" t="s">
        <v>254</v>
      </c>
      <c r="O87" s="42"/>
      <c r="P87" s="42">
        <v>5</v>
      </c>
      <c r="Q87" s="25" t="str">
        <f>VLOOKUP(P87,Key!$E$2:$F$9,2,FALSE)</f>
        <v>Tourism</v>
      </c>
      <c r="R87" s="25" t="str">
        <f t="shared" si="1"/>
        <v>Commercial-Tourism</v>
      </c>
      <c r="S87" s="62"/>
      <c r="T87" s="62">
        <v>1</v>
      </c>
      <c r="U87" s="43">
        <v>2</v>
      </c>
      <c r="V87" s="43"/>
      <c r="W87" s="62"/>
      <c r="X87" s="62"/>
      <c r="Y87" s="63"/>
      <c r="Z87" s="76"/>
      <c r="AA87" s="25"/>
      <c r="AB87" s="25"/>
    </row>
    <row r="88" spans="2:28">
      <c r="B88" s="40" t="s">
        <v>340</v>
      </c>
      <c r="C88" s="40"/>
      <c r="D88" s="40">
        <v>12</v>
      </c>
      <c r="E88" s="40">
        <v>1</v>
      </c>
      <c r="F88" s="40" t="s">
        <v>38</v>
      </c>
      <c r="G88" s="40" t="s">
        <v>37</v>
      </c>
      <c r="H88" s="42" t="s">
        <v>254</v>
      </c>
      <c r="I88" s="43"/>
      <c r="J88" s="43">
        <v>3</v>
      </c>
      <c r="K88" s="25" t="str">
        <f>VLOOKUP(J88,Key!$E$2:$F$9,2,FALSE)</f>
        <v>Study</v>
      </c>
      <c r="L88" s="42" t="s">
        <v>37</v>
      </c>
      <c r="M88" s="43" t="s">
        <v>37</v>
      </c>
      <c r="N88" s="42" t="s">
        <v>254</v>
      </c>
      <c r="O88" s="42"/>
      <c r="P88" s="42">
        <v>4</v>
      </c>
      <c r="Q88" s="25" t="str">
        <f>VLOOKUP(P88,Key!$E$2:$F$9,2,FALSE)</f>
        <v>Commercial</v>
      </c>
      <c r="R88" s="25" t="str">
        <f t="shared" si="1"/>
        <v>Study-Commercial</v>
      </c>
      <c r="S88" s="62"/>
      <c r="T88" s="62">
        <v>1</v>
      </c>
      <c r="U88" s="43">
        <v>2</v>
      </c>
      <c r="V88" s="43"/>
      <c r="W88" s="62"/>
      <c r="X88" s="62"/>
      <c r="Y88" s="63"/>
      <c r="Z88" s="76"/>
      <c r="AA88" s="25"/>
      <c r="AB88" s="25"/>
    </row>
    <row r="89" spans="2:28">
      <c r="B89" s="40" t="s">
        <v>341</v>
      </c>
      <c r="C89" s="40"/>
      <c r="D89" s="40">
        <v>3</v>
      </c>
      <c r="E89" s="40">
        <v>1</v>
      </c>
      <c r="F89" s="40" t="s">
        <v>50</v>
      </c>
      <c r="G89" s="40" t="s">
        <v>255</v>
      </c>
      <c r="H89" s="42" t="s">
        <v>254</v>
      </c>
      <c r="I89" s="43"/>
      <c r="J89" s="43">
        <v>3</v>
      </c>
      <c r="K89" s="25" t="str">
        <f>VLOOKUP(J89,Key!$E$2:$F$9,2,FALSE)</f>
        <v>Study</v>
      </c>
      <c r="L89" s="42" t="s">
        <v>37</v>
      </c>
      <c r="M89" s="43" t="s">
        <v>37</v>
      </c>
      <c r="N89" s="42" t="s">
        <v>254</v>
      </c>
      <c r="O89" s="42"/>
      <c r="P89" s="42">
        <v>3</v>
      </c>
      <c r="Q89" s="25" t="str">
        <f>VLOOKUP(P89,Key!$E$2:$F$9,2,FALSE)</f>
        <v>Study</v>
      </c>
      <c r="R89" s="25" t="str">
        <f t="shared" si="1"/>
        <v>Study-Study</v>
      </c>
      <c r="S89" s="62"/>
      <c r="T89" s="62">
        <v>4</v>
      </c>
      <c r="U89" s="43">
        <v>3</v>
      </c>
      <c r="V89" s="43">
        <v>4</v>
      </c>
      <c r="W89" s="62"/>
      <c r="X89" s="62"/>
      <c r="Y89" s="63"/>
      <c r="Z89" s="76"/>
      <c r="AA89" s="25"/>
      <c r="AB89" s="25"/>
    </row>
    <row r="90" spans="2:28">
      <c r="B90" s="40" t="s">
        <v>342</v>
      </c>
      <c r="C90" s="40"/>
      <c r="D90" s="40">
        <v>2</v>
      </c>
      <c r="E90" s="40">
        <v>2</v>
      </c>
      <c r="F90" s="40" t="s">
        <v>50</v>
      </c>
      <c r="G90" s="40" t="s">
        <v>255</v>
      </c>
      <c r="H90" s="42" t="s">
        <v>254</v>
      </c>
      <c r="I90" s="43"/>
      <c r="J90" s="43">
        <v>1</v>
      </c>
      <c r="K90" s="25" t="str">
        <f>VLOOKUP(J90,Key!$E$2:$F$9,2,FALSE)</f>
        <v>Home</v>
      </c>
      <c r="L90" s="42" t="s">
        <v>67</v>
      </c>
      <c r="M90" s="43" t="s">
        <v>241</v>
      </c>
      <c r="N90" s="42" t="s">
        <v>254</v>
      </c>
      <c r="O90" s="42"/>
      <c r="P90" s="42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</v>
      </c>
      <c r="U90" s="43">
        <v>2</v>
      </c>
      <c r="V90" s="43"/>
      <c r="W90" s="62"/>
      <c r="X90" s="62"/>
      <c r="Y90" s="63"/>
      <c r="Z90" s="76"/>
      <c r="AA90" s="25"/>
      <c r="AB90" s="25"/>
    </row>
    <row r="91" spans="2:28">
      <c r="B91" s="40" t="s">
        <v>343</v>
      </c>
      <c r="C91" s="40"/>
      <c r="D91" s="40">
        <v>12</v>
      </c>
      <c r="E91" s="40">
        <v>2</v>
      </c>
      <c r="F91" s="40" t="s">
        <v>38</v>
      </c>
      <c r="G91" s="40" t="s">
        <v>37</v>
      </c>
      <c r="H91" s="42" t="s">
        <v>254</v>
      </c>
      <c r="I91" s="43"/>
      <c r="J91" s="43">
        <v>1</v>
      </c>
      <c r="K91" s="25" t="str">
        <f>VLOOKUP(J91,Key!$E$2:$F$9,2,FALSE)</f>
        <v>Home</v>
      </c>
      <c r="L91" s="42" t="s">
        <v>69</v>
      </c>
      <c r="M91" s="43" t="s">
        <v>69</v>
      </c>
      <c r="N91" s="42" t="s">
        <v>254</v>
      </c>
      <c r="O91" s="42"/>
      <c r="P91" s="42">
        <v>3</v>
      </c>
      <c r="Q91" s="25" t="str">
        <f>VLOOKUP(P91,Key!$E$2:$F$9,2,FALSE)</f>
        <v>Study</v>
      </c>
      <c r="R91" s="25" t="str">
        <f t="shared" si="1"/>
        <v>Home-Study</v>
      </c>
      <c r="S91" s="62"/>
      <c r="T91" s="62">
        <v>1.5</v>
      </c>
      <c r="U91" s="43">
        <v>2</v>
      </c>
      <c r="V91" s="43"/>
      <c r="W91" s="62"/>
      <c r="X91" s="62"/>
      <c r="Y91" s="63"/>
      <c r="Z91" s="76"/>
      <c r="AA91" s="25"/>
      <c r="AB91" s="25"/>
    </row>
    <row r="92" spans="2:28">
      <c r="B92" s="40" t="s">
        <v>344</v>
      </c>
      <c r="C92" s="40"/>
      <c r="D92" s="40">
        <v>12</v>
      </c>
      <c r="E92" s="40">
        <v>3</v>
      </c>
      <c r="F92" s="40" t="s">
        <v>362</v>
      </c>
      <c r="G92" s="40" t="s">
        <v>37</v>
      </c>
      <c r="H92" s="42" t="s">
        <v>254</v>
      </c>
      <c r="I92" s="43"/>
      <c r="J92" s="43">
        <v>1</v>
      </c>
      <c r="K92" s="25" t="str">
        <f>VLOOKUP(J92,Key!$E$2:$F$9,2,FALSE)</f>
        <v>Home</v>
      </c>
      <c r="L92" s="42" t="s">
        <v>67</v>
      </c>
      <c r="M92" s="43" t="s">
        <v>241</v>
      </c>
      <c r="N92" s="42" t="s">
        <v>254</v>
      </c>
      <c r="O92" s="42"/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3</v>
      </c>
      <c r="U92" s="43">
        <v>3</v>
      </c>
      <c r="V92" s="43"/>
      <c r="W92" s="62"/>
      <c r="X92" s="62"/>
      <c r="Y92" s="63"/>
      <c r="Z92" s="76"/>
      <c r="AA92" s="25"/>
      <c r="AB92" s="25"/>
    </row>
    <row r="93" spans="2:28">
      <c r="B93" s="40" t="s">
        <v>345</v>
      </c>
      <c r="C93" s="40"/>
      <c r="D93" s="40">
        <v>3</v>
      </c>
      <c r="E93" s="40">
        <v>3</v>
      </c>
      <c r="F93" s="40" t="s">
        <v>50</v>
      </c>
      <c r="G93" s="40" t="s">
        <v>255</v>
      </c>
      <c r="H93" s="42" t="s">
        <v>254</v>
      </c>
      <c r="I93" s="43"/>
      <c r="J93" s="43">
        <v>1</v>
      </c>
      <c r="K93" s="25" t="str">
        <f>VLOOKUP(J93,Key!$E$2:$F$9,2,FALSE)</f>
        <v>Home</v>
      </c>
      <c r="L93" s="42" t="s">
        <v>37</v>
      </c>
      <c r="M93" s="43" t="s">
        <v>37</v>
      </c>
      <c r="N93" s="42" t="s">
        <v>254</v>
      </c>
      <c r="O93" s="42"/>
      <c r="P93" s="42">
        <v>3</v>
      </c>
      <c r="Q93" s="25" t="str">
        <f>VLOOKUP(P93,Key!$E$2:$F$9,2,FALSE)</f>
        <v>Study</v>
      </c>
      <c r="R93" s="25" t="str">
        <f t="shared" si="1"/>
        <v>Home-Study</v>
      </c>
      <c r="S93" s="62"/>
      <c r="T93" s="62">
        <v>3</v>
      </c>
      <c r="U93" s="43">
        <v>3</v>
      </c>
      <c r="V93" s="43">
        <v>4</v>
      </c>
      <c r="W93" s="62"/>
      <c r="X93" s="62"/>
      <c r="Y93" s="63"/>
      <c r="Z93" s="76"/>
      <c r="AA93" s="25"/>
      <c r="AB93" s="25"/>
    </row>
    <row r="94" spans="2:28">
      <c r="B94" s="40" t="s">
        <v>346</v>
      </c>
      <c r="C94" s="40"/>
      <c r="D94" s="40">
        <v>8</v>
      </c>
      <c r="E94" s="40">
        <v>3</v>
      </c>
      <c r="F94" s="40" t="s">
        <v>50</v>
      </c>
      <c r="G94" s="40" t="s">
        <v>255</v>
      </c>
      <c r="H94" s="42" t="s">
        <v>254</v>
      </c>
      <c r="I94" s="43"/>
      <c r="J94" s="43">
        <v>3</v>
      </c>
      <c r="K94" s="25" t="str">
        <f>VLOOKUP(J94,Key!$E$2:$F$9,2,FALSE)</f>
        <v>Study</v>
      </c>
      <c r="L94" s="42" t="s">
        <v>258</v>
      </c>
      <c r="M94" s="43" t="s">
        <v>37</v>
      </c>
      <c r="N94" s="42" t="s">
        <v>254</v>
      </c>
      <c r="O94" s="42"/>
      <c r="P94" s="42">
        <v>3</v>
      </c>
      <c r="Q94" s="25" t="str">
        <f>VLOOKUP(P94,Key!$E$2:$F$9,2,FALSE)</f>
        <v>Study</v>
      </c>
      <c r="R94" s="25" t="str">
        <f t="shared" si="1"/>
        <v>Study-Study</v>
      </c>
      <c r="S94" s="62"/>
      <c r="T94" s="62">
        <v>4</v>
      </c>
      <c r="U94" s="43">
        <v>3</v>
      </c>
      <c r="V94" s="43"/>
      <c r="W94" s="62"/>
      <c r="X94" s="62"/>
      <c r="Y94" s="63"/>
      <c r="Z94" s="76"/>
      <c r="AA94" s="25"/>
      <c r="AB94" s="25"/>
    </row>
    <row r="95" spans="2:28">
      <c r="B95" s="40" t="s">
        <v>347</v>
      </c>
      <c r="C95" s="40"/>
      <c r="D95" s="40">
        <v>8</v>
      </c>
      <c r="E95" s="40">
        <v>3</v>
      </c>
      <c r="F95" s="40" t="s">
        <v>256</v>
      </c>
      <c r="G95" s="40" t="s">
        <v>37</v>
      </c>
      <c r="H95" s="42" t="s">
        <v>254</v>
      </c>
      <c r="I95" s="43"/>
      <c r="J95" s="43">
        <v>3</v>
      </c>
      <c r="K95" s="25" t="str">
        <f>VLOOKUP(J95,Key!$E$2:$F$9,2,FALSE)</f>
        <v>Study</v>
      </c>
      <c r="L95" s="42" t="s">
        <v>37</v>
      </c>
      <c r="M95" s="43" t="s">
        <v>37</v>
      </c>
      <c r="N95" s="42" t="s">
        <v>254</v>
      </c>
      <c r="O95" s="42"/>
      <c r="P95" s="42">
        <v>2</v>
      </c>
      <c r="Q95" s="25" t="str">
        <f>VLOOKUP(P95,Key!$E$2:$F$9,2,FALSE)</f>
        <v>Work</v>
      </c>
      <c r="R95" s="25" t="str">
        <f t="shared" si="1"/>
        <v>Study-Work</v>
      </c>
      <c r="S95" s="62"/>
      <c r="T95" s="62">
        <v>5</v>
      </c>
      <c r="U95" s="43">
        <v>3</v>
      </c>
      <c r="V95" s="43"/>
      <c r="W95" s="62"/>
      <c r="X95" s="62"/>
      <c r="Y95" s="63"/>
      <c r="Z95" s="76"/>
      <c r="AA95" s="25"/>
      <c r="AB95" s="25"/>
    </row>
    <row r="96" spans="2:28">
      <c r="B96" s="40" t="s">
        <v>348</v>
      </c>
      <c r="C96" s="40"/>
      <c r="D96" s="40">
        <v>5</v>
      </c>
      <c r="E96" s="40">
        <v>1</v>
      </c>
      <c r="F96" s="40" t="s">
        <v>38</v>
      </c>
      <c r="G96" s="40" t="s">
        <v>37</v>
      </c>
      <c r="H96" s="42" t="s">
        <v>254</v>
      </c>
      <c r="I96" s="43"/>
      <c r="J96" s="43">
        <v>3</v>
      </c>
      <c r="K96" s="25" t="str">
        <f>VLOOKUP(J96,Key!$E$2:$F$9,2,FALSE)</f>
        <v>Study</v>
      </c>
      <c r="L96" s="42" t="s">
        <v>37</v>
      </c>
      <c r="M96" s="43" t="s">
        <v>37</v>
      </c>
      <c r="N96" s="42" t="s">
        <v>254</v>
      </c>
      <c r="O96" s="42"/>
      <c r="P96" s="42">
        <v>1</v>
      </c>
      <c r="Q96" s="25" t="str">
        <f>VLOOKUP(P96,Key!$E$2:$F$9,2,FALSE)</f>
        <v>Home</v>
      </c>
      <c r="R96" s="25" t="str">
        <f t="shared" si="1"/>
        <v>Study-Home</v>
      </c>
      <c r="S96" s="62"/>
      <c r="T96" s="62">
        <v>4</v>
      </c>
      <c r="U96" s="43">
        <v>3</v>
      </c>
      <c r="V96" s="43"/>
      <c r="W96" s="62"/>
      <c r="X96" s="62"/>
      <c r="Y96" s="63"/>
      <c r="Z96" s="76"/>
      <c r="AA96" s="25"/>
      <c r="AB96" s="25"/>
    </row>
    <row r="97" spans="2:28">
      <c r="B97" s="40" t="s">
        <v>349</v>
      </c>
      <c r="C97" s="40"/>
      <c r="D97" s="40">
        <v>5</v>
      </c>
      <c r="E97" s="40">
        <v>1</v>
      </c>
      <c r="F97" s="40" t="s">
        <v>38</v>
      </c>
      <c r="G97" s="40" t="s">
        <v>37</v>
      </c>
      <c r="H97" s="42" t="s">
        <v>254</v>
      </c>
      <c r="I97" s="43"/>
      <c r="J97" s="43">
        <v>1</v>
      </c>
      <c r="K97" s="25" t="str">
        <f>VLOOKUP(J97,Key!$E$2:$F$9,2,FALSE)</f>
        <v>Home</v>
      </c>
      <c r="L97" s="42" t="s">
        <v>37</v>
      </c>
      <c r="M97" s="43" t="s">
        <v>37</v>
      </c>
      <c r="N97" s="42" t="s">
        <v>254</v>
      </c>
      <c r="O97" s="42"/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0</v>
      </c>
      <c r="U97" s="43">
        <v>2</v>
      </c>
      <c r="V97" s="43"/>
      <c r="W97" s="62"/>
      <c r="X97" s="62"/>
      <c r="Y97" s="63"/>
      <c r="Z97" s="76"/>
      <c r="AA97" s="25"/>
      <c r="AB97" s="25"/>
    </row>
    <row r="98" spans="2:28">
      <c r="B98" s="40" t="s">
        <v>350</v>
      </c>
      <c r="C98" s="40"/>
      <c r="D98" s="40">
        <v>8</v>
      </c>
      <c r="E98" s="40">
        <v>1</v>
      </c>
      <c r="F98" s="40" t="s">
        <v>38</v>
      </c>
      <c r="G98" s="40" t="s">
        <v>37</v>
      </c>
      <c r="H98" s="42" t="s">
        <v>254</v>
      </c>
      <c r="I98" s="43"/>
      <c r="J98" s="43">
        <v>2</v>
      </c>
      <c r="K98" s="25" t="str">
        <f>VLOOKUP(J98,Key!$E$2:$F$9,2,FALSE)</f>
        <v>Work</v>
      </c>
      <c r="L98" s="42" t="s">
        <v>37</v>
      </c>
      <c r="M98" s="43" t="s">
        <v>37</v>
      </c>
      <c r="N98" s="42" t="s">
        <v>254</v>
      </c>
      <c r="O98" s="42"/>
      <c r="P98" s="42">
        <v>3</v>
      </c>
      <c r="Q98" s="25" t="str">
        <f>VLOOKUP(P98,Key!$E$2:$F$9,2,FALSE)</f>
        <v>Study</v>
      </c>
      <c r="R98" s="25" t="str">
        <f t="shared" si="1"/>
        <v>Work-Study</v>
      </c>
      <c r="S98" s="62"/>
      <c r="T98" s="62">
        <v>4</v>
      </c>
      <c r="U98" s="43">
        <v>2</v>
      </c>
      <c r="V98" s="43"/>
      <c r="W98" s="62"/>
      <c r="X98" s="62"/>
      <c r="Y98" s="63"/>
      <c r="Z98" s="76"/>
      <c r="AA98" s="25"/>
      <c r="AB98" s="25"/>
    </row>
    <row r="99" spans="2:28">
      <c r="B99" s="40" t="s">
        <v>351</v>
      </c>
      <c r="C99" s="40"/>
      <c r="D99" s="40">
        <v>2</v>
      </c>
      <c r="E99" s="40">
        <v>1</v>
      </c>
      <c r="F99" s="40" t="s">
        <v>256</v>
      </c>
      <c r="G99" s="40" t="s">
        <v>37</v>
      </c>
      <c r="H99" s="42" t="s">
        <v>254</v>
      </c>
      <c r="I99" s="43"/>
      <c r="J99" s="43">
        <v>2</v>
      </c>
      <c r="K99" s="25" t="str">
        <f>VLOOKUP(J99,Key!$E$2:$F$9,2,FALSE)</f>
        <v>Work</v>
      </c>
      <c r="L99" s="42" t="s">
        <v>37</v>
      </c>
      <c r="M99" s="43" t="s">
        <v>37</v>
      </c>
      <c r="N99" s="42" t="s">
        <v>254</v>
      </c>
      <c r="O99" s="42"/>
      <c r="P99" s="42">
        <v>3</v>
      </c>
      <c r="Q99" s="25" t="str">
        <f>VLOOKUP(P99,Key!$E$2:$F$9,2,FALSE)</f>
        <v>Study</v>
      </c>
      <c r="R99" s="25" t="str">
        <f t="shared" si="1"/>
        <v>Work-Study</v>
      </c>
      <c r="S99" s="62"/>
      <c r="T99" s="62">
        <v>3</v>
      </c>
      <c r="U99" s="43">
        <v>3</v>
      </c>
      <c r="V99" s="43"/>
      <c r="W99" s="62"/>
      <c r="X99" s="62"/>
      <c r="Y99" s="63"/>
      <c r="Z99" s="76"/>
      <c r="AA99" s="25"/>
      <c r="AB99" s="25"/>
    </row>
    <row r="100" spans="2:28">
      <c r="B100" s="40" t="s">
        <v>352</v>
      </c>
      <c r="C100" s="40"/>
      <c r="D100" s="40">
        <v>8</v>
      </c>
      <c r="E100" s="40">
        <v>1</v>
      </c>
      <c r="F100" s="40" t="s">
        <v>38</v>
      </c>
      <c r="G100" s="40" t="s">
        <v>37</v>
      </c>
      <c r="H100" s="42" t="s">
        <v>254</v>
      </c>
      <c r="I100" s="43"/>
      <c r="J100" s="43">
        <v>2</v>
      </c>
      <c r="K100" s="25" t="str">
        <f>VLOOKUP(J100,Key!$E$2:$F$9,2,FALSE)</f>
        <v>Work</v>
      </c>
      <c r="L100" s="42" t="s">
        <v>258</v>
      </c>
      <c r="M100" s="43" t="s">
        <v>37</v>
      </c>
      <c r="N100" s="42" t="s">
        <v>254</v>
      </c>
      <c r="O100" s="42"/>
      <c r="P100" s="42">
        <v>3</v>
      </c>
      <c r="Q100" s="25" t="str">
        <f>VLOOKUP(P100,Key!$E$2:$F$9,2,FALSE)</f>
        <v>Study</v>
      </c>
      <c r="R100" s="25" t="str">
        <f t="shared" si="1"/>
        <v>Work-Study</v>
      </c>
      <c r="S100" s="62"/>
      <c r="T100" s="62">
        <v>4</v>
      </c>
      <c r="U100" s="43">
        <v>4</v>
      </c>
      <c r="V100" s="43"/>
      <c r="W100" s="62"/>
      <c r="X100" s="62"/>
      <c r="Y100" s="63"/>
      <c r="Z100" s="76"/>
      <c r="AA100" s="25"/>
      <c r="AB100" s="25"/>
    </row>
    <row r="101" spans="2:28">
      <c r="B101" s="40" t="s">
        <v>353</v>
      </c>
      <c r="C101" s="40"/>
      <c r="D101" s="40">
        <v>8</v>
      </c>
      <c r="E101" s="40">
        <v>1</v>
      </c>
      <c r="F101" s="40" t="s">
        <v>256</v>
      </c>
      <c r="G101" s="40" t="s">
        <v>37</v>
      </c>
      <c r="H101" s="42" t="s">
        <v>254</v>
      </c>
      <c r="I101" s="43"/>
      <c r="J101" s="43">
        <v>2</v>
      </c>
      <c r="K101" s="25" t="str">
        <f>VLOOKUP(J101,Key!$E$2:$F$9,2,FALSE)</f>
        <v>Work</v>
      </c>
      <c r="L101" s="42" t="s">
        <v>37</v>
      </c>
      <c r="M101" s="43" t="s">
        <v>37</v>
      </c>
      <c r="N101" s="42" t="s">
        <v>254</v>
      </c>
      <c r="O101" s="42"/>
      <c r="P101" s="42">
        <v>1</v>
      </c>
      <c r="Q101" s="25" t="str">
        <f>VLOOKUP(P101,Key!$E$2:$F$9,2,FALSE)</f>
        <v>Home</v>
      </c>
      <c r="R101" s="25" t="str">
        <f t="shared" si="1"/>
        <v>Work-Home</v>
      </c>
      <c r="S101" s="62"/>
      <c r="T101" s="62">
        <v>2</v>
      </c>
      <c r="U101" s="43">
        <v>6</v>
      </c>
      <c r="V101" s="43"/>
      <c r="W101" s="62"/>
      <c r="X101" s="62"/>
      <c r="Y101" s="63"/>
      <c r="Z101" s="76"/>
      <c r="AA101" s="25"/>
      <c r="AB101" s="25"/>
    </row>
    <row r="102" spans="2:28">
      <c r="B102" s="40" t="s">
        <v>354</v>
      </c>
      <c r="C102" s="40"/>
      <c r="D102" s="40">
        <v>8</v>
      </c>
      <c r="E102" s="40">
        <v>1</v>
      </c>
      <c r="F102" s="40" t="s">
        <v>38</v>
      </c>
      <c r="G102" s="40" t="s">
        <v>37</v>
      </c>
      <c r="H102" s="42" t="s">
        <v>254</v>
      </c>
      <c r="I102" s="43"/>
      <c r="J102" s="43">
        <v>7</v>
      </c>
      <c r="K102" s="25" t="str">
        <f>VLOOKUP(J102,Key!$E$2:$F$9,2,FALSE)</f>
        <v>Hospital</v>
      </c>
      <c r="L102" s="42" t="s">
        <v>37</v>
      </c>
      <c r="M102" s="43" t="s">
        <v>37</v>
      </c>
      <c r="N102" s="42" t="s">
        <v>254</v>
      </c>
      <c r="O102" s="42"/>
      <c r="P102" s="42">
        <v>1</v>
      </c>
      <c r="Q102" s="25" t="str">
        <f>VLOOKUP(P102,Key!$E$2:$F$9,2,FALSE)</f>
        <v>Home</v>
      </c>
      <c r="R102" s="25" t="str">
        <f t="shared" ref="R102:R108" si="2">K102&amp;"-"&amp;Q102</f>
        <v>Hospital-Home</v>
      </c>
      <c r="S102" s="62"/>
      <c r="T102" s="62">
        <v>3</v>
      </c>
      <c r="U102" s="43">
        <v>4</v>
      </c>
      <c r="V102" s="43">
        <v>3</v>
      </c>
      <c r="W102" s="62"/>
      <c r="X102" s="62"/>
      <c r="Y102" s="63"/>
      <c r="Z102" s="76"/>
      <c r="AA102" s="25"/>
      <c r="AB102" s="25"/>
    </row>
    <row r="103" spans="2:28">
      <c r="B103" s="40" t="s">
        <v>355</v>
      </c>
      <c r="C103" s="40"/>
      <c r="D103" s="40">
        <v>12</v>
      </c>
      <c r="E103" s="40">
        <v>1</v>
      </c>
      <c r="F103" s="40" t="s">
        <v>38</v>
      </c>
      <c r="G103" s="40" t="s">
        <v>37</v>
      </c>
      <c r="H103" s="42" t="s">
        <v>254</v>
      </c>
      <c r="I103" s="43"/>
      <c r="J103" s="43">
        <v>5</v>
      </c>
      <c r="K103" s="25" t="str">
        <f>VLOOKUP(J103,Key!$E$2:$F$9,2,FALSE)</f>
        <v>Tourism</v>
      </c>
      <c r="L103" s="42" t="s">
        <v>37</v>
      </c>
      <c r="M103" s="43" t="s">
        <v>37</v>
      </c>
      <c r="N103" s="42" t="s">
        <v>254</v>
      </c>
      <c r="O103" s="42"/>
      <c r="P103" s="42">
        <v>1</v>
      </c>
      <c r="Q103" s="25" t="str">
        <f>VLOOKUP(P103,Key!$E$2:$F$9,2,FALSE)</f>
        <v>Home</v>
      </c>
      <c r="R103" s="25" t="str">
        <f t="shared" si="2"/>
        <v>Tourism-Home</v>
      </c>
      <c r="S103" s="62"/>
      <c r="T103" s="62">
        <v>5</v>
      </c>
      <c r="U103" s="43">
        <v>3</v>
      </c>
      <c r="V103" s="43"/>
      <c r="W103" s="62"/>
      <c r="X103" s="62"/>
      <c r="Y103" s="63"/>
      <c r="Z103" s="76"/>
      <c r="AA103" s="25"/>
      <c r="AB103" s="25"/>
    </row>
    <row r="104" spans="2:28">
      <c r="B104" s="40" t="s">
        <v>356</v>
      </c>
      <c r="C104" s="40"/>
      <c r="D104" s="40">
        <v>2</v>
      </c>
      <c r="E104" s="40">
        <v>1</v>
      </c>
      <c r="F104" s="40" t="s">
        <v>38</v>
      </c>
      <c r="G104" s="40" t="s">
        <v>37</v>
      </c>
      <c r="H104" s="42" t="s">
        <v>254</v>
      </c>
      <c r="I104" s="43"/>
      <c r="J104" s="43">
        <v>2</v>
      </c>
      <c r="K104" s="25" t="str">
        <f>VLOOKUP(J104,Key!$E$2:$F$9,2,FALSE)</f>
        <v>Work</v>
      </c>
      <c r="L104" s="42" t="s">
        <v>37</v>
      </c>
      <c r="M104" s="43" t="s">
        <v>37</v>
      </c>
      <c r="N104" s="42" t="s">
        <v>254</v>
      </c>
      <c r="O104" s="42"/>
      <c r="P104" s="42">
        <v>1</v>
      </c>
      <c r="Q104" s="25" t="str">
        <f>VLOOKUP(P104,Key!$E$2:$F$9,2,FALSE)</f>
        <v>Home</v>
      </c>
      <c r="R104" s="25" t="str">
        <f t="shared" si="2"/>
        <v>Work-Home</v>
      </c>
      <c r="S104" s="62"/>
      <c r="T104" s="62">
        <v>5</v>
      </c>
      <c r="U104" s="43">
        <v>3</v>
      </c>
      <c r="V104" s="43"/>
      <c r="W104" s="62"/>
      <c r="X104" s="62"/>
      <c r="Y104" s="63"/>
      <c r="Z104" s="76"/>
      <c r="AA104" s="25"/>
      <c r="AB104" s="25"/>
    </row>
    <row r="105" spans="2:28" ht="12" customHeight="1">
      <c r="B105" s="40" t="s">
        <v>357</v>
      </c>
      <c r="C105" s="40"/>
      <c r="D105" s="40">
        <v>8</v>
      </c>
      <c r="E105" s="40">
        <v>1</v>
      </c>
      <c r="F105" s="40" t="s">
        <v>256</v>
      </c>
      <c r="G105" s="40" t="s">
        <v>37</v>
      </c>
      <c r="H105" s="42" t="s">
        <v>254</v>
      </c>
      <c r="I105" s="43"/>
      <c r="J105" s="43">
        <v>3</v>
      </c>
      <c r="K105" s="25" t="str">
        <f>VLOOKUP(J105,Key!$E$2:$F$9,2,FALSE)</f>
        <v>Study</v>
      </c>
      <c r="L105" s="42" t="s">
        <v>37</v>
      </c>
      <c r="M105" s="43" t="s">
        <v>37</v>
      </c>
      <c r="N105" s="42" t="s">
        <v>254</v>
      </c>
      <c r="O105" s="42"/>
      <c r="P105" s="42">
        <v>1</v>
      </c>
      <c r="Q105" s="25" t="str">
        <f>VLOOKUP(P105,Key!$E$2:$F$9,2,FALSE)</f>
        <v>Home</v>
      </c>
      <c r="R105" s="25" t="str">
        <f t="shared" si="2"/>
        <v>Study-Home</v>
      </c>
      <c r="S105" s="62"/>
      <c r="T105" s="62">
        <v>0.3</v>
      </c>
      <c r="U105" s="43">
        <v>3</v>
      </c>
      <c r="V105" s="43"/>
      <c r="W105" s="62"/>
      <c r="X105" s="62"/>
      <c r="Y105" s="63"/>
      <c r="Z105" s="76"/>
      <c r="AA105" s="25"/>
      <c r="AB105" s="25"/>
    </row>
    <row r="106" spans="2:28">
      <c r="B106" s="40" t="s">
        <v>358</v>
      </c>
      <c r="C106" s="40"/>
      <c r="D106" s="40">
        <v>8</v>
      </c>
      <c r="E106" s="40">
        <v>1</v>
      </c>
      <c r="F106" s="40" t="s">
        <v>256</v>
      </c>
      <c r="G106" s="40" t="s">
        <v>37</v>
      </c>
      <c r="H106" s="42" t="s">
        <v>254</v>
      </c>
      <c r="I106" s="43"/>
      <c r="J106" s="43">
        <v>3</v>
      </c>
      <c r="K106" s="25" t="str">
        <f>VLOOKUP(J106,Key!$E$2:$F$9,2,FALSE)</f>
        <v>Study</v>
      </c>
      <c r="L106" s="42" t="s">
        <v>60</v>
      </c>
      <c r="M106" s="43" t="s">
        <v>240</v>
      </c>
      <c r="N106" s="42" t="s">
        <v>254</v>
      </c>
      <c r="O106" s="42"/>
      <c r="P106" s="42">
        <v>1</v>
      </c>
      <c r="Q106" s="25" t="str">
        <f>VLOOKUP(P106,Key!$E$2:$F$9,2,FALSE)</f>
        <v>Home</v>
      </c>
      <c r="R106" s="25" t="str">
        <f t="shared" si="2"/>
        <v>Study-Home</v>
      </c>
      <c r="S106" s="62"/>
      <c r="T106" s="62">
        <v>0</v>
      </c>
      <c r="U106" s="43">
        <v>5</v>
      </c>
      <c r="V106" s="43"/>
      <c r="W106" s="62"/>
      <c r="X106" s="62"/>
      <c r="Y106" s="63"/>
      <c r="Z106" s="76"/>
      <c r="AA106" s="25"/>
      <c r="AB106" s="25"/>
    </row>
    <row r="107" spans="2:28">
      <c r="B107" s="40" t="s">
        <v>359</v>
      </c>
      <c r="C107" s="40"/>
      <c r="D107" s="40">
        <v>8</v>
      </c>
      <c r="E107" s="40">
        <v>1</v>
      </c>
      <c r="F107" s="40" t="s">
        <v>38</v>
      </c>
      <c r="G107" s="40" t="s">
        <v>37</v>
      </c>
      <c r="H107" s="42" t="s">
        <v>254</v>
      </c>
      <c r="I107" s="43"/>
      <c r="J107" s="43">
        <v>5</v>
      </c>
      <c r="K107" s="25" t="str">
        <f>VLOOKUP(J107,Key!$E$2:$F$9,2,FALSE)</f>
        <v>Tourism</v>
      </c>
      <c r="L107" s="42" t="s">
        <v>37</v>
      </c>
      <c r="M107" s="43" t="s">
        <v>37</v>
      </c>
      <c r="N107" s="42" t="s">
        <v>254</v>
      </c>
      <c r="O107" s="42"/>
      <c r="P107" s="42">
        <v>2</v>
      </c>
      <c r="Q107" s="25" t="str">
        <f>VLOOKUP(P107,Key!$E$2:$F$9,2,FALSE)</f>
        <v>Work</v>
      </c>
      <c r="R107" s="25" t="str">
        <f t="shared" si="2"/>
        <v>Tourism-Work</v>
      </c>
      <c r="S107" s="62"/>
      <c r="T107" s="62">
        <v>0</v>
      </c>
      <c r="U107" s="43">
        <v>2</v>
      </c>
      <c r="V107" s="43"/>
      <c r="W107" s="62"/>
      <c r="X107" s="62"/>
      <c r="Y107" s="63"/>
      <c r="Z107" s="76"/>
      <c r="AA107" s="25"/>
      <c r="AB107" s="25"/>
    </row>
    <row r="108" spans="2:28">
      <c r="B108" s="40" t="s">
        <v>360</v>
      </c>
      <c r="C108" s="40"/>
      <c r="D108" s="40">
        <v>8</v>
      </c>
      <c r="E108" s="40">
        <v>1</v>
      </c>
      <c r="F108" s="40" t="s">
        <v>38</v>
      </c>
      <c r="G108" s="40" t="s">
        <v>37</v>
      </c>
      <c r="H108" s="42" t="s">
        <v>254</v>
      </c>
      <c r="I108" s="43"/>
      <c r="J108" s="43">
        <v>2</v>
      </c>
      <c r="K108" s="25" t="str">
        <f>VLOOKUP(J108,Key!$E$2:$F$9,2,FALSE)</f>
        <v>Work</v>
      </c>
      <c r="L108" s="42" t="s">
        <v>365</v>
      </c>
      <c r="M108" s="43" t="s">
        <v>365</v>
      </c>
      <c r="N108" s="42" t="s">
        <v>254</v>
      </c>
      <c r="O108" s="42"/>
      <c r="P108" s="42">
        <v>3</v>
      </c>
      <c r="Q108" s="25" t="str">
        <f>VLOOKUP(P108,Key!$E$2:$F$9,2,FALSE)</f>
        <v>Study</v>
      </c>
      <c r="R108" s="25" t="str">
        <f t="shared" si="2"/>
        <v>Work-Study</v>
      </c>
      <c r="S108" s="62"/>
      <c r="T108" s="62"/>
      <c r="U108" s="43">
        <v>1</v>
      </c>
      <c r="V108" s="43"/>
      <c r="W108" s="62"/>
      <c r="X108" s="62"/>
      <c r="Y108" s="63"/>
      <c r="Z108" s="76"/>
      <c r="AA108" s="25"/>
      <c r="AB108" s="25"/>
    </row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B9" sqref="B9:AB8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570</v>
      </c>
      <c r="E4" s="1" t="s">
        <v>153</v>
      </c>
      <c r="F4" s="141" t="s">
        <v>567</v>
      </c>
      <c r="G4" s="142"/>
      <c r="I4" s="27" t="s">
        <v>154</v>
      </c>
      <c r="J4" s="5"/>
      <c r="K4" s="5"/>
      <c r="L4" s="66" t="s">
        <v>569</v>
      </c>
      <c r="M4" s="2"/>
      <c r="N4" s="1" t="s">
        <v>156</v>
      </c>
      <c r="O4" s="126" t="s">
        <v>235</v>
      </c>
      <c r="P4" s="127"/>
      <c r="Q4" s="127"/>
      <c r="R4" s="127"/>
      <c r="S4" s="127"/>
      <c r="T4" s="127"/>
      <c r="V4" s="1" t="s">
        <v>157</v>
      </c>
      <c r="W4" s="43" t="s">
        <v>236</v>
      </c>
      <c r="Y4" s="27" t="s">
        <v>6</v>
      </c>
      <c r="Z4" s="68" t="s">
        <v>234</v>
      </c>
      <c r="AA4" s="32" t="s">
        <v>7</v>
      </c>
      <c r="AB4" s="68" t="s">
        <v>504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568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23" t="s">
        <v>158</v>
      </c>
      <c r="G8" s="23" t="s">
        <v>145</v>
      </c>
      <c r="H8" s="24" t="s">
        <v>146</v>
      </c>
      <c r="I8" s="131"/>
      <c r="J8" s="122"/>
      <c r="K8" s="122"/>
      <c r="L8" s="23" t="s">
        <v>158</v>
      </c>
      <c r="M8" s="23" t="s">
        <v>145</v>
      </c>
      <c r="N8" s="23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78">
        <v>0.40625</v>
      </c>
      <c r="C9" s="41"/>
      <c r="D9" s="41">
        <v>2</v>
      </c>
      <c r="E9" s="41">
        <v>1</v>
      </c>
      <c r="F9" s="42" t="s">
        <v>37</v>
      </c>
      <c r="G9" s="42" t="s">
        <v>37</v>
      </c>
      <c r="H9" s="42" t="s">
        <v>254</v>
      </c>
      <c r="I9" s="42"/>
      <c r="J9" s="42">
        <v>1</v>
      </c>
      <c r="K9" s="25" t="str">
        <f>VLOOKUP(J9,Key!$E$2:$F$9,2,FALSE)</f>
        <v>Home</v>
      </c>
      <c r="L9" s="42" t="s">
        <v>38</v>
      </c>
      <c r="M9" s="43" t="s">
        <v>37</v>
      </c>
      <c r="N9" s="43" t="s">
        <v>254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0</v>
      </c>
      <c r="U9" s="72">
        <v>2</v>
      </c>
      <c r="V9" s="72"/>
      <c r="W9" s="62"/>
      <c r="X9" s="62"/>
      <c r="Y9" s="63"/>
      <c r="Z9" s="73"/>
      <c r="AA9" s="25"/>
      <c r="AB9" s="25"/>
    </row>
    <row r="10" spans="2:35">
      <c r="B10" s="78">
        <v>0.40902777777777777</v>
      </c>
      <c r="C10" s="79"/>
      <c r="D10" s="41">
        <v>3</v>
      </c>
      <c r="E10" s="41">
        <v>2</v>
      </c>
      <c r="F10" s="42" t="s">
        <v>37</v>
      </c>
      <c r="G10" s="42" t="s">
        <v>37</v>
      </c>
      <c r="H10" s="42" t="s">
        <v>254</v>
      </c>
      <c r="I10" s="42"/>
      <c r="J10" s="42">
        <v>4</v>
      </c>
      <c r="K10" s="25" t="str">
        <f>VLOOKUP(J10,Key!$E$2:$F$9,2,FALSE)</f>
        <v>Commercial</v>
      </c>
      <c r="L10" s="42" t="s">
        <v>37</v>
      </c>
      <c r="M10" s="43" t="s">
        <v>37</v>
      </c>
      <c r="N10" s="43" t="s">
        <v>254</v>
      </c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Commercial-Home</v>
      </c>
      <c r="S10" s="62"/>
      <c r="T10" s="62">
        <v>0</v>
      </c>
      <c r="U10" s="72">
        <v>3</v>
      </c>
      <c r="V10" s="72">
        <v>6</v>
      </c>
      <c r="W10" s="62"/>
      <c r="X10" s="62"/>
      <c r="Y10" s="63"/>
      <c r="Z10" s="73"/>
      <c r="AA10" s="25"/>
      <c r="AB10" s="25"/>
    </row>
    <row r="11" spans="2:35">
      <c r="B11" s="78">
        <v>0.41111111111111115</v>
      </c>
      <c r="C11" s="79"/>
      <c r="D11" s="41">
        <v>12</v>
      </c>
      <c r="E11" s="41">
        <v>1</v>
      </c>
      <c r="F11" s="42" t="s">
        <v>60</v>
      </c>
      <c r="G11" s="42" t="s">
        <v>240</v>
      </c>
      <c r="H11" s="42" t="s">
        <v>254</v>
      </c>
      <c r="I11" s="42"/>
      <c r="J11" s="42">
        <v>1</v>
      </c>
      <c r="K11" s="25" t="str">
        <f>VLOOKUP(J11,Key!$E$2:$F$9,2,FALSE)</f>
        <v>Home</v>
      </c>
      <c r="L11" s="42" t="s">
        <v>50</v>
      </c>
      <c r="M11" s="43" t="s">
        <v>255</v>
      </c>
      <c r="N11" s="43" t="s">
        <v>254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3</v>
      </c>
      <c r="U11" s="72">
        <v>4</v>
      </c>
      <c r="V11" s="72">
        <v>5</v>
      </c>
      <c r="W11" s="62"/>
      <c r="X11" s="62"/>
      <c r="Y11" s="63"/>
      <c r="Z11" s="73"/>
      <c r="AA11" s="25"/>
      <c r="AB11" s="25"/>
    </row>
    <row r="12" spans="2:35">
      <c r="B12" s="78">
        <v>0.41250000000000003</v>
      </c>
      <c r="C12" s="79"/>
      <c r="D12" s="41">
        <v>8</v>
      </c>
      <c r="E12" s="41">
        <v>2</v>
      </c>
      <c r="F12" s="42" t="s">
        <v>241</v>
      </c>
      <c r="G12" s="42" t="s">
        <v>241</v>
      </c>
      <c r="H12" s="42" t="s">
        <v>254</v>
      </c>
      <c r="I12" s="42"/>
      <c r="J12" s="42">
        <v>1</v>
      </c>
      <c r="K12" s="25" t="str">
        <f>VLOOKUP(J12,Key!$E$2:$F$9,2,FALSE)</f>
        <v>Home</v>
      </c>
      <c r="L12" s="42" t="s">
        <v>37</v>
      </c>
      <c r="M12" s="43" t="s">
        <v>37</v>
      </c>
      <c r="N12" s="43" t="s">
        <v>254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8.5</v>
      </c>
      <c r="U12" s="72">
        <v>3</v>
      </c>
      <c r="V12" s="72">
        <v>10</v>
      </c>
      <c r="W12" s="62"/>
      <c r="X12" s="62"/>
      <c r="Y12" s="63"/>
      <c r="Z12" s="73"/>
      <c r="AA12" s="25"/>
      <c r="AB12" s="25"/>
    </row>
    <row r="13" spans="2:35">
      <c r="B13" s="78">
        <v>0.41597222222222219</v>
      </c>
      <c r="C13" s="79"/>
      <c r="D13" s="41">
        <v>3</v>
      </c>
      <c r="E13" s="41">
        <v>2</v>
      </c>
      <c r="F13" s="42" t="s">
        <v>37</v>
      </c>
      <c r="G13" s="42" t="s">
        <v>37</v>
      </c>
      <c r="H13" s="42" t="s">
        <v>254</v>
      </c>
      <c r="I13" s="42"/>
      <c r="J13" s="42">
        <v>7</v>
      </c>
      <c r="K13" s="25" t="str">
        <f>VLOOKUP(J13,Key!$E$2:$F$9,2,FALSE)</f>
        <v>Hospital</v>
      </c>
      <c r="L13" s="42" t="s">
        <v>37</v>
      </c>
      <c r="M13" s="43" t="s">
        <v>37</v>
      </c>
      <c r="N13" s="43" t="s">
        <v>254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Hospital-Home</v>
      </c>
      <c r="S13" s="62"/>
      <c r="T13" s="62">
        <v>0</v>
      </c>
      <c r="U13" s="72">
        <v>4</v>
      </c>
      <c r="V13" s="72">
        <v>10</v>
      </c>
      <c r="W13" s="62"/>
      <c r="X13" s="62"/>
      <c r="Y13" s="63"/>
      <c r="Z13" s="73"/>
      <c r="AA13" s="25"/>
      <c r="AB13" s="25"/>
    </row>
    <row r="14" spans="2:35">
      <c r="B14" s="78">
        <v>0.42152777777777778</v>
      </c>
      <c r="C14" s="79"/>
      <c r="D14" s="41">
        <v>5</v>
      </c>
      <c r="E14" s="41">
        <v>2</v>
      </c>
      <c r="F14" s="42" t="s">
        <v>241</v>
      </c>
      <c r="G14" s="42" t="s">
        <v>241</v>
      </c>
      <c r="H14" s="42" t="s">
        <v>254</v>
      </c>
      <c r="I14" s="42"/>
      <c r="J14" s="42">
        <v>3</v>
      </c>
      <c r="K14" s="25" t="str">
        <f>VLOOKUP(J14,Key!$E$2:$F$9,2,FALSE)</f>
        <v>Study</v>
      </c>
      <c r="L14" s="42" t="s">
        <v>38</v>
      </c>
      <c r="M14" s="43" t="s">
        <v>37</v>
      </c>
      <c r="N14" s="43" t="s">
        <v>254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Study-Home</v>
      </c>
      <c r="S14" s="62"/>
      <c r="T14" s="62">
        <v>7</v>
      </c>
      <c r="U14" s="72">
        <v>4</v>
      </c>
      <c r="V14" s="72">
        <v>10</v>
      </c>
      <c r="W14" s="62"/>
      <c r="X14" s="62"/>
      <c r="Y14" s="63"/>
      <c r="Z14" s="73"/>
      <c r="AA14" s="25"/>
      <c r="AB14" s="25"/>
    </row>
    <row r="15" spans="2:35">
      <c r="B15" s="78">
        <v>0.42638888888888887</v>
      </c>
      <c r="C15" s="79"/>
      <c r="D15" s="41">
        <v>1</v>
      </c>
      <c r="E15" s="41">
        <v>1</v>
      </c>
      <c r="F15" s="42" t="s">
        <v>37</v>
      </c>
      <c r="G15" s="42" t="s">
        <v>37</v>
      </c>
      <c r="H15" s="42" t="s">
        <v>254</v>
      </c>
      <c r="I15" s="42"/>
      <c r="J15" s="42">
        <v>2</v>
      </c>
      <c r="K15" s="25" t="str">
        <f>VLOOKUP(J15,Key!$E$2:$F$9,2,FALSE)</f>
        <v>Work</v>
      </c>
      <c r="L15" s="42" t="s">
        <v>38</v>
      </c>
      <c r="M15" s="43" t="s">
        <v>37</v>
      </c>
      <c r="N15" s="43" t="s">
        <v>254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0</v>
      </c>
      <c r="U15" s="72">
        <v>3</v>
      </c>
      <c r="V15" s="72"/>
      <c r="W15" s="62"/>
      <c r="X15" s="62"/>
      <c r="Y15" s="63"/>
      <c r="Z15" s="73"/>
      <c r="AA15" s="25"/>
      <c r="AB15" s="25"/>
    </row>
    <row r="16" spans="2:35">
      <c r="B16" s="78">
        <v>0.44375000000000003</v>
      </c>
      <c r="C16" s="79"/>
      <c r="D16" s="41">
        <v>1</v>
      </c>
      <c r="E16" s="41">
        <v>1</v>
      </c>
      <c r="F16" s="42" t="s">
        <v>37</v>
      </c>
      <c r="G16" s="42" t="s">
        <v>37</v>
      </c>
      <c r="H16" s="42" t="s">
        <v>254</v>
      </c>
      <c r="I16" s="42"/>
      <c r="J16" s="42">
        <v>1</v>
      </c>
      <c r="K16" s="25" t="str">
        <f>VLOOKUP(J16,Key!$E$2:$F$9,2,FALSE)</f>
        <v>Home</v>
      </c>
      <c r="L16" s="42" t="s">
        <v>38</v>
      </c>
      <c r="M16" s="43" t="s">
        <v>37</v>
      </c>
      <c r="N16" s="43" t="s">
        <v>254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1</v>
      </c>
      <c r="U16" s="72">
        <v>2</v>
      </c>
      <c r="V16" s="72">
        <v>3</v>
      </c>
      <c r="W16" s="62"/>
      <c r="X16" s="62"/>
      <c r="Y16" s="63"/>
      <c r="Z16" s="73"/>
      <c r="AA16" s="25"/>
      <c r="AB16" s="25"/>
    </row>
    <row r="17" spans="2:28">
      <c r="B17" s="78">
        <v>0.44722222222222219</v>
      </c>
      <c r="C17" s="79"/>
      <c r="D17" s="41">
        <v>3</v>
      </c>
      <c r="E17" s="41">
        <v>2</v>
      </c>
      <c r="F17" s="42" t="s">
        <v>37</v>
      </c>
      <c r="G17" s="42" t="s">
        <v>37</v>
      </c>
      <c r="H17" s="42" t="s">
        <v>254</v>
      </c>
      <c r="I17" s="42"/>
      <c r="J17" s="42">
        <v>4</v>
      </c>
      <c r="K17" s="25" t="str">
        <f>VLOOKUP(J17,Key!$E$2:$F$9,2,FALSE)</f>
        <v>Commercial</v>
      </c>
      <c r="L17" s="42" t="s">
        <v>256</v>
      </c>
      <c r="M17" s="43" t="s">
        <v>37</v>
      </c>
      <c r="N17" s="43" t="s">
        <v>254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Commercial-Home</v>
      </c>
      <c r="S17" s="62"/>
      <c r="T17" s="62">
        <v>0</v>
      </c>
      <c r="U17" s="72">
        <v>3</v>
      </c>
      <c r="V17" s="72">
        <v>10</v>
      </c>
      <c r="W17" s="62"/>
      <c r="X17" s="62"/>
      <c r="Y17" s="63"/>
      <c r="Z17" s="73"/>
      <c r="AA17" s="25"/>
      <c r="AB17" s="25"/>
    </row>
    <row r="18" spans="2:28">
      <c r="B18" s="78">
        <v>0.4513888888888889</v>
      </c>
      <c r="C18" s="79"/>
      <c r="D18" s="41">
        <v>8</v>
      </c>
      <c r="E18" s="41">
        <v>3</v>
      </c>
      <c r="F18" s="42" t="s">
        <v>37</v>
      </c>
      <c r="G18" s="42" t="s">
        <v>37</v>
      </c>
      <c r="H18" s="42" t="s">
        <v>254</v>
      </c>
      <c r="I18" s="42"/>
      <c r="J18" s="42">
        <v>1</v>
      </c>
      <c r="K18" s="25" t="str">
        <f>VLOOKUP(J18,Key!$E$2:$F$9,2,FALSE)</f>
        <v>Home</v>
      </c>
      <c r="L18" s="42" t="s">
        <v>257</v>
      </c>
      <c r="M18" s="43" t="s">
        <v>37</v>
      </c>
      <c r="N18" s="43" t="s">
        <v>254</v>
      </c>
      <c r="O18" s="43"/>
      <c r="P18" s="43">
        <v>6</v>
      </c>
      <c r="Q18" s="25" t="str">
        <f>VLOOKUP(P18,Key!$E$2:$F$9,2,FALSE)</f>
        <v>Leisure/Social</v>
      </c>
      <c r="R18" s="25" t="str">
        <f t="shared" si="0"/>
        <v>Home-Leisure/Social</v>
      </c>
      <c r="S18" s="62"/>
      <c r="T18" s="62">
        <v>0</v>
      </c>
      <c r="U18" s="72">
        <v>4</v>
      </c>
      <c r="V18" s="72"/>
      <c r="W18" s="62"/>
      <c r="X18" s="62"/>
      <c r="Y18" s="63"/>
      <c r="Z18" s="73"/>
      <c r="AA18" s="25"/>
      <c r="AB18" s="25"/>
    </row>
    <row r="19" spans="2:28">
      <c r="B19" s="78">
        <v>0.46458333333333335</v>
      </c>
      <c r="C19" s="79"/>
      <c r="D19" s="41">
        <v>3</v>
      </c>
      <c r="E19" s="41">
        <v>1</v>
      </c>
      <c r="F19" s="42" t="s">
        <v>242</v>
      </c>
      <c r="G19" s="42" t="s">
        <v>242</v>
      </c>
      <c r="H19" s="42" t="s">
        <v>254</v>
      </c>
      <c r="I19" s="42"/>
      <c r="J19" s="42">
        <v>2</v>
      </c>
      <c r="K19" s="25" t="str">
        <f>VLOOKUP(J19,Key!$E$2:$F$9,2,FALSE)</f>
        <v>Work</v>
      </c>
      <c r="L19" s="42" t="s">
        <v>38</v>
      </c>
      <c r="M19" s="43" t="s">
        <v>37</v>
      </c>
      <c r="N19" s="43" t="s">
        <v>254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62"/>
      <c r="T19" s="62">
        <v>4</v>
      </c>
      <c r="U19" s="72">
        <v>3</v>
      </c>
      <c r="V19" s="72">
        <v>8</v>
      </c>
      <c r="W19" s="62"/>
      <c r="X19" s="62"/>
      <c r="Y19" s="63"/>
      <c r="Z19" s="73"/>
      <c r="AA19" s="25"/>
      <c r="AB19" s="25"/>
    </row>
    <row r="20" spans="2:28">
      <c r="B20" s="78">
        <v>0.47222222222222227</v>
      </c>
      <c r="C20" s="79"/>
      <c r="D20" s="41">
        <v>9</v>
      </c>
      <c r="E20" s="41">
        <v>2</v>
      </c>
      <c r="F20" s="42" t="s">
        <v>241</v>
      </c>
      <c r="G20" s="42" t="s">
        <v>241</v>
      </c>
      <c r="H20" s="42" t="s">
        <v>254</v>
      </c>
      <c r="I20" s="42"/>
      <c r="J20" s="42">
        <v>2</v>
      </c>
      <c r="K20" s="25" t="str">
        <f>VLOOKUP(J20,Key!$E$2:$F$9,2,FALSE)</f>
        <v>Work</v>
      </c>
      <c r="L20" s="42" t="s">
        <v>256</v>
      </c>
      <c r="M20" s="43" t="s">
        <v>37</v>
      </c>
      <c r="N20" s="43" t="s">
        <v>254</v>
      </c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7</v>
      </c>
      <c r="U20" s="72">
        <v>4</v>
      </c>
      <c r="V20" s="72">
        <v>10</v>
      </c>
      <c r="W20" s="62"/>
      <c r="X20" s="62"/>
      <c r="Y20" s="63"/>
      <c r="Z20" s="73"/>
      <c r="AA20" s="25"/>
      <c r="AB20" s="25"/>
    </row>
    <row r="21" spans="2:28">
      <c r="B21" s="78">
        <v>0.4861111111111111</v>
      </c>
      <c r="C21" s="79"/>
      <c r="D21" s="41">
        <v>1</v>
      </c>
      <c r="E21" s="41">
        <v>1</v>
      </c>
      <c r="F21" s="42" t="s">
        <v>37</v>
      </c>
      <c r="G21" s="42" t="s">
        <v>37</v>
      </c>
      <c r="H21" s="42" t="s">
        <v>254</v>
      </c>
      <c r="I21" s="42"/>
      <c r="J21" s="42">
        <v>1</v>
      </c>
      <c r="K21" s="25" t="str">
        <f>VLOOKUP(J21,Key!$E$2:$F$9,2,FALSE)</f>
        <v>Home</v>
      </c>
      <c r="L21" s="42" t="s">
        <v>258</v>
      </c>
      <c r="M21" s="43" t="s">
        <v>37</v>
      </c>
      <c r="N21" s="43" t="s">
        <v>254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>
        <v>1</v>
      </c>
      <c r="U21" s="72">
        <v>3</v>
      </c>
      <c r="V21" s="72">
        <v>3</v>
      </c>
      <c r="W21" s="62"/>
      <c r="X21" s="62"/>
      <c r="Y21" s="63"/>
      <c r="Z21" s="73"/>
      <c r="AA21" s="25"/>
      <c r="AB21" s="25"/>
    </row>
    <row r="22" spans="2:28">
      <c r="B22" s="78">
        <v>0.48958333333333331</v>
      </c>
      <c r="C22" s="79"/>
      <c r="D22" s="41">
        <v>1</v>
      </c>
      <c r="E22" s="41">
        <v>2</v>
      </c>
      <c r="F22" s="42" t="s">
        <v>37</v>
      </c>
      <c r="G22" s="42" t="s">
        <v>37</v>
      </c>
      <c r="H22" s="42" t="s">
        <v>254</v>
      </c>
      <c r="I22" s="42"/>
      <c r="J22" s="42">
        <v>3</v>
      </c>
      <c r="K22" s="25" t="str">
        <f>VLOOKUP(J22,Key!$E$2:$F$9,2,FALSE)</f>
        <v>Study</v>
      </c>
      <c r="L22" s="42" t="s">
        <v>259</v>
      </c>
      <c r="M22" s="43" t="s">
        <v>37</v>
      </c>
      <c r="N22" s="43" t="s">
        <v>254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Study-Home</v>
      </c>
      <c r="S22" s="62"/>
      <c r="T22" s="62">
        <v>1</v>
      </c>
      <c r="U22" s="72">
        <v>3</v>
      </c>
      <c r="V22" s="72">
        <v>10</v>
      </c>
      <c r="W22" s="62"/>
      <c r="X22" s="62"/>
      <c r="Y22" s="63"/>
      <c r="Z22" s="73"/>
      <c r="AA22" s="25"/>
      <c r="AB22" s="25"/>
    </row>
    <row r="23" spans="2:28">
      <c r="B23" s="78">
        <v>0.49722222222222223</v>
      </c>
      <c r="C23" s="79"/>
      <c r="D23" s="41">
        <v>8</v>
      </c>
      <c r="E23" s="41">
        <v>2</v>
      </c>
      <c r="F23" s="42" t="s">
        <v>37</v>
      </c>
      <c r="G23" s="42" t="s">
        <v>37</v>
      </c>
      <c r="H23" s="42" t="s">
        <v>254</v>
      </c>
      <c r="I23" s="42"/>
      <c r="J23" s="42">
        <v>6</v>
      </c>
      <c r="K23" s="25" t="str">
        <f>VLOOKUP(J23,Key!$E$2:$F$9,2,FALSE)</f>
        <v>Leisure/Social</v>
      </c>
      <c r="L23" s="42" t="s">
        <v>258</v>
      </c>
      <c r="M23" s="43" t="s">
        <v>37</v>
      </c>
      <c r="N23" s="43" t="s">
        <v>254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Leisure/Social-Home</v>
      </c>
      <c r="S23" s="62"/>
      <c r="T23" s="62">
        <v>1</v>
      </c>
      <c r="U23" s="72">
        <v>4</v>
      </c>
      <c r="V23" s="72">
        <v>10</v>
      </c>
      <c r="W23" s="62"/>
      <c r="X23" s="62"/>
      <c r="Y23" s="63"/>
      <c r="Z23" s="73"/>
      <c r="AA23" s="25"/>
      <c r="AB23" s="25"/>
    </row>
    <row r="24" spans="2:28">
      <c r="B24" s="78">
        <v>0.50069444444444444</v>
      </c>
      <c r="C24" s="79"/>
      <c r="D24" s="41">
        <v>3</v>
      </c>
      <c r="E24" s="41">
        <v>2</v>
      </c>
      <c r="F24" s="42" t="s">
        <v>243</v>
      </c>
      <c r="G24" s="42" t="s">
        <v>243</v>
      </c>
      <c r="H24" s="42" t="s">
        <v>254</v>
      </c>
      <c r="I24" s="42"/>
      <c r="J24" s="42">
        <v>6</v>
      </c>
      <c r="K24" s="25" t="str">
        <f>VLOOKUP(J24,Key!$E$2:$F$9,2,FALSE)</f>
        <v>Leisure/Social</v>
      </c>
      <c r="L24" s="42" t="s">
        <v>256</v>
      </c>
      <c r="M24" s="43" t="s">
        <v>37</v>
      </c>
      <c r="N24" s="43" t="s">
        <v>254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Leisure/Social-Home</v>
      </c>
      <c r="S24" s="62"/>
      <c r="T24" s="62">
        <v>3</v>
      </c>
      <c r="U24" s="72">
        <v>4</v>
      </c>
      <c r="V24" s="72">
        <v>10</v>
      </c>
      <c r="W24" s="62"/>
      <c r="X24" s="62"/>
      <c r="Y24" s="63"/>
      <c r="Z24" s="73"/>
      <c r="AA24" s="25"/>
      <c r="AB24" s="25"/>
    </row>
    <row r="25" spans="2:28">
      <c r="B25" s="78">
        <v>0.50486111111111109</v>
      </c>
      <c r="C25" s="79"/>
      <c r="D25" s="41">
        <v>2</v>
      </c>
      <c r="E25" s="41">
        <v>1</v>
      </c>
      <c r="F25" s="42" t="s">
        <v>37</v>
      </c>
      <c r="G25" s="42" t="s">
        <v>37</v>
      </c>
      <c r="H25" s="42" t="s">
        <v>254</v>
      </c>
      <c r="I25" s="42"/>
      <c r="J25" s="42">
        <v>4</v>
      </c>
      <c r="K25" s="25" t="str">
        <f>VLOOKUP(J25,Key!$E$2:$F$9,2,FALSE)</f>
        <v>Commercial</v>
      </c>
      <c r="L25" s="42" t="s">
        <v>258</v>
      </c>
      <c r="M25" s="43" t="s">
        <v>37</v>
      </c>
      <c r="N25" s="43" t="s">
        <v>254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Commercial-Home</v>
      </c>
      <c r="S25" s="62"/>
      <c r="T25" s="62">
        <v>1</v>
      </c>
      <c r="U25" s="72">
        <v>3</v>
      </c>
      <c r="V25" s="72"/>
      <c r="W25" s="62"/>
      <c r="X25" s="62"/>
      <c r="Y25" s="63"/>
      <c r="Z25" s="73"/>
      <c r="AA25" s="25"/>
      <c r="AB25" s="25"/>
    </row>
    <row r="26" spans="2:28">
      <c r="B26" s="78">
        <v>0.51527777777777783</v>
      </c>
      <c r="C26" s="79"/>
      <c r="D26" s="41">
        <v>3</v>
      </c>
      <c r="E26" s="41">
        <v>1</v>
      </c>
      <c r="F26" s="42" t="s">
        <v>244</v>
      </c>
      <c r="G26" s="42" t="s">
        <v>242</v>
      </c>
      <c r="H26" s="42" t="s">
        <v>254</v>
      </c>
      <c r="I26" s="42"/>
      <c r="J26" s="42">
        <v>2</v>
      </c>
      <c r="K26" s="25" t="str">
        <f>VLOOKUP(J26,Key!$E$2:$F$9,2,FALSE)</f>
        <v>Work</v>
      </c>
      <c r="L26" s="42" t="s">
        <v>38</v>
      </c>
      <c r="M26" s="43" t="s">
        <v>37</v>
      </c>
      <c r="N26" s="43" t="s">
        <v>254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3</v>
      </c>
      <c r="U26" s="72">
        <v>2</v>
      </c>
      <c r="V26" s="72">
        <v>3</v>
      </c>
      <c r="W26" s="62"/>
      <c r="X26" s="62"/>
      <c r="Y26" s="63"/>
      <c r="Z26" s="73"/>
      <c r="AA26" s="25"/>
      <c r="AB26" s="25"/>
    </row>
    <row r="27" spans="2:28">
      <c r="B27" s="78">
        <v>0.53055555555555556</v>
      </c>
      <c r="C27" s="79"/>
      <c r="D27" s="41">
        <v>1</v>
      </c>
      <c r="E27" s="41">
        <v>3</v>
      </c>
      <c r="F27" s="42" t="s">
        <v>37</v>
      </c>
      <c r="G27" s="42" t="s">
        <v>37</v>
      </c>
      <c r="H27" s="42" t="s">
        <v>254</v>
      </c>
      <c r="I27" s="42"/>
      <c r="J27" s="42">
        <v>1</v>
      </c>
      <c r="K27" s="25" t="str">
        <f>VLOOKUP(J27,Key!$E$2:$F$9,2,FALSE)</f>
        <v>Home</v>
      </c>
      <c r="L27" s="42" t="s">
        <v>38</v>
      </c>
      <c r="M27" s="43" t="s">
        <v>37</v>
      </c>
      <c r="N27" s="43" t="s">
        <v>254</v>
      </c>
      <c r="O27" s="43"/>
      <c r="P27" s="43">
        <v>6</v>
      </c>
      <c r="Q27" s="25" t="str">
        <f>VLOOKUP(P27,Key!$E$2:$F$9,2,FALSE)</f>
        <v>Leisure/Social</v>
      </c>
      <c r="R27" s="25" t="str">
        <f t="shared" si="0"/>
        <v>Home-Leisure/Social</v>
      </c>
      <c r="S27" s="62"/>
      <c r="T27" s="62">
        <v>1</v>
      </c>
      <c r="U27" s="72">
        <v>4</v>
      </c>
      <c r="V27" s="72">
        <v>10</v>
      </c>
      <c r="W27" s="62"/>
      <c r="X27" s="62"/>
      <c r="Y27" s="63"/>
      <c r="Z27" s="73"/>
      <c r="AA27" s="25"/>
      <c r="AB27" s="25"/>
    </row>
    <row r="28" spans="2:28">
      <c r="B28" s="78">
        <v>0.53333333333333333</v>
      </c>
      <c r="C28" s="79"/>
      <c r="D28" s="41">
        <v>1</v>
      </c>
      <c r="E28" s="41">
        <v>1</v>
      </c>
      <c r="F28" s="42" t="s">
        <v>37</v>
      </c>
      <c r="G28" s="42" t="s">
        <v>37</v>
      </c>
      <c r="H28" s="42" t="s">
        <v>254</v>
      </c>
      <c r="I28" s="42"/>
      <c r="J28" s="42">
        <v>6</v>
      </c>
      <c r="K28" s="25" t="str">
        <f>VLOOKUP(J28,Key!$E$2:$F$9,2,FALSE)</f>
        <v>Leisure/Social</v>
      </c>
      <c r="L28" s="42" t="s">
        <v>258</v>
      </c>
      <c r="M28" s="43" t="s">
        <v>37</v>
      </c>
      <c r="N28" s="43" t="s">
        <v>254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Leisure/Social-Home</v>
      </c>
      <c r="S28" s="62"/>
      <c r="T28" s="62">
        <v>2</v>
      </c>
      <c r="U28" s="72">
        <v>3</v>
      </c>
      <c r="V28" s="72"/>
      <c r="W28" s="62"/>
      <c r="X28" s="62"/>
      <c r="Y28" s="63"/>
      <c r="Z28" s="73"/>
      <c r="AA28" s="25"/>
      <c r="AB28" s="25"/>
    </row>
    <row r="29" spans="2:28">
      <c r="B29" s="78">
        <v>0.54791666666666672</v>
      </c>
      <c r="C29" s="79"/>
      <c r="D29" s="41">
        <v>3</v>
      </c>
      <c r="E29" s="41">
        <v>3</v>
      </c>
      <c r="F29" s="42" t="s">
        <v>37</v>
      </c>
      <c r="G29" s="42" t="s">
        <v>37</v>
      </c>
      <c r="H29" s="42" t="s">
        <v>254</v>
      </c>
      <c r="I29" s="42"/>
      <c r="J29" s="42">
        <v>1</v>
      </c>
      <c r="K29" s="25" t="str">
        <f>VLOOKUP(J29,Key!$E$2:$F$9,2,FALSE)</f>
        <v>Home</v>
      </c>
      <c r="L29" s="42" t="s">
        <v>38</v>
      </c>
      <c r="M29" s="43" t="s">
        <v>37</v>
      </c>
      <c r="N29" s="43" t="s">
        <v>254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2</v>
      </c>
      <c r="U29" s="72">
        <v>2</v>
      </c>
      <c r="V29" s="72">
        <v>6</v>
      </c>
      <c r="W29" s="62"/>
      <c r="X29" s="62"/>
      <c r="Y29" s="63"/>
      <c r="Z29" s="73"/>
      <c r="AA29" s="25"/>
      <c r="AB29" s="25"/>
    </row>
    <row r="30" spans="2:28">
      <c r="B30" s="78">
        <v>0.55208333333333337</v>
      </c>
      <c r="C30" s="79"/>
      <c r="D30" s="41">
        <v>1</v>
      </c>
      <c r="E30" s="41">
        <v>1</v>
      </c>
      <c r="F30" s="42" t="s">
        <v>37</v>
      </c>
      <c r="G30" s="42" t="s">
        <v>37</v>
      </c>
      <c r="H30" s="42" t="s">
        <v>254</v>
      </c>
      <c r="I30" s="42"/>
      <c r="J30" s="42">
        <v>2</v>
      </c>
      <c r="K30" s="25" t="str">
        <f>VLOOKUP(J30,Key!$E$2:$F$9,2,FALSE)</f>
        <v>Work</v>
      </c>
      <c r="L30" s="42" t="s">
        <v>258</v>
      </c>
      <c r="M30" s="43" t="s">
        <v>37</v>
      </c>
      <c r="N30" s="43" t="s">
        <v>254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1</v>
      </c>
      <c r="U30" s="72">
        <v>2</v>
      </c>
      <c r="V30" s="72">
        <v>10</v>
      </c>
      <c r="W30" s="62"/>
      <c r="X30" s="62"/>
      <c r="Y30" s="63"/>
      <c r="Z30" s="73"/>
      <c r="AA30" s="25"/>
      <c r="AB30" s="25"/>
    </row>
    <row r="31" spans="2:28">
      <c r="B31" s="78">
        <v>0.55902777777777779</v>
      </c>
      <c r="C31" s="79"/>
      <c r="D31" s="41">
        <v>8</v>
      </c>
      <c r="E31" s="41">
        <v>2</v>
      </c>
      <c r="F31" s="42" t="s">
        <v>245</v>
      </c>
      <c r="G31" s="42" t="s">
        <v>245</v>
      </c>
      <c r="H31" s="42" t="s">
        <v>254</v>
      </c>
      <c r="I31" s="42"/>
      <c r="J31" s="42">
        <v>1</v>
      </c>
      <c r="K31" s="25" t="str">
        <f>VLOOKUP(J31,Key!$E$2:$F$9,2,FALSE)</f>
        <v>Home</v>
      </c>
      <c r="L31" s="42" t="s">
        <v>256</v>
      </c>
      <c r="M31" s="43" t="s">
        <v>37</v>
      </c>
      <c r="N31" s="43" t="s">
        <v>254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48</v>
      </c>
      <c r="U31" s="72">
        <v>4</v>
      </c>
      <c r="V31" s="72">
        <v>10</v>
      </c>
      <c r="W31" s="62"/>
      <c r="X31" s="62"/>
      <c r="Y31" s="63"/>
      <c r="Z31" s="73"/>
      <c r="AA31" s="25"/>
      <c r="AB31" s="25"/>
    </row>
    <row r="32" spans="2:28">
      <c r="B32" s="78">
        <v>0.56388888888888888</v>
      </c>
      <c r="C32" s="79"/>
      <c r="D32" s="41">
        <v>3</v>
      </c>
      <c r="E32" s="41">
        <v>1</v>
      </c>
      <c r="F32" s="42" t="s">
        <v>37</v>
      </c>
      <c r="G32" s="42" t="s">
        <v>37</v>
      </c>
      <c r="H32" s="42" t="s">
        <v>254</v>
      </c>
      <c r="I32" s="42"/>
      <c r="J32" s="42">
        <v>2</v>
      </c>
      <c r="K32" s="25" t="str">
        <f>VLOOKUP(J32,Key!$E$2:$F$9,2,FALSE)</f>
        <v>Work</v>
      </c>
      <c r="L32" s="42" t="s">
        <v>259</v>
      </c>
      <c r="M32" s="43" t="s">
        <v>37</v>
      </c>
      <c r="N32" s="43" t="s">
        <v>254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2"/>
      <c r="T32" s="62">
        <v>1</v>
      </c>
      <c r="U32" s="72">
        <v>3</v>
      </c>
      <c r="V32" s="72">
        <v>6</v>
      </c>
      <c r="W32" s="62"/>
      <c r="X32" s="62"/>
      <c r="Y32" s="63"/>
      <c r="Z32" s="73"/>
      <c r="AA32" s="25"/>
      <c r="AB32" s="25"/>
    </row>
    <row r="33" spans="2:28">
      <c r="B33" s="78">
        <v>0.56944444444444442</v>
      </c>
      <c r="C33" s="79"/>
      <c r="D33" s="41">
        <v>3</v>
      </c>
      <c r="E33" s="41">
        <v>2</v>
      </c>
      <c r="F33" s="42" t="s">
        <v>37</v>
      </c>
      <c r="G33" s="42" t="s">
        <v>37</v>
      </c>
      <c r="H33" s="42" t="s">
        <v>254</v>
      </c>
      <c r="I33" s="42"/>
      <c r="J33" s="42">
        <v>1</v>
      </c>
      <c r="K33" s="25" t="str">
        <f>VLOOKUP(J33,Key!$E$2:$F$9,2,FALSE)</f>
        <v>Home</v>
      </c>
      <c r="L33" s="42" t="s">
        <v>88</v>
      </c>
      <c r="M33" s="43" t="s">
        <v>37</v>
      </c>
      <c r="N33" s="43" t="s">
        <v>254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1</v>
      </c>
      <c r="U33" s="72">
        <v>3</v>
      </c>
      <c r="V33" s="72">
        <v>3</v>
      </c>
      <c r="W33" s="62"/>
      <c r="X33" s="62"/>
      <c r="Y33" s="63"/>
      <c r="Z33" s="73"/>
      <c r="AA33" s="25"/>
      <c r="AB33" s="25"/>
    </row>
    <row r="34" spans="2:28">
      <c r="B34" s="78">
        <v>0.57916666666666672</v>
      </c>
      <c r="C34" s="79"/>
      <c r="D34" s="41">
        <v>3</v>
      </c>
      <c r="E34" s="41">
        <v>1</v>
      </c>
      <c r="F34" s="42" t="s">
        <v>246</v>
      </c>
      <c r="G34" s="42" t="s">
        <v>246</v>
      </c>
      <c r="H34" s="42" t="s">
        <v>254</v>
      </c>
      <c r="I34" s="42"/>
      <c r="J34" s="42">
        <v>1</v>
      </c>
      <c r="K34" s="25" t="str">
        <f>VLOOKUP(J34,Key!$E$2:$F$9,2,FALSE)</f>
        <v>Home</v>
      </c>
      <c r="L34" s="42" t="s">
        <v>260</v>
      </c>
      <c r="M34" s="43" t="s">
        <v>37</v>
      </c>
      <c r="N34" s="43" t="s">
        <v>254</v>
      </c>
      <c r="O34" s="43"/>
      <c r="P34" s="43">
        <v>7</v>
      </c>
      <c r="Q34" s="25" t="str">
        <f>VLOOKUP(P34,Key!$E$2:$F$9,2,FALSE)</f>
        <v>Hospital</v>
      </c>
      <c r="R34" s="25" t="str">
        <f t="shared" si="0"/>
        <v>Home-Hospital</v>
      </c>
      <c r="S34" s="62"/>
      <c r="T34" s="62">
        <v>4</v>
      </c>
      <c r="U34" s="72">
        <v>4</v>
      </c>
      <c r="V34" s="72">
        <v>10</v>
      </c>
      <c r="W34" s="62"/>
      <c r="X34" s="62"/>
      <c r="Y34" s="63"/>
      <c r="Z34" s="73"/>
      <c r="AA34" s="25"/>
      <c r="AB34" s="25"/>
    </row>
    <row r="35" spans="2:28">
      <c r="B35" s="78">
        <v>0.58819444444444446</v>
      </c>
      <c r="C35" s="79"/>
      <c r="D35" s="41">
        <v>1</v>
      </c>
      <c r="E35" s="41">
        <v>2</v>
      </c>
      <c r="F35" s="42" t="s">
        <v>241</v>
      </c>
      <c r="G35" s="42" t="s">
        <v>241</v>
      </c>
      <c r="H35" s="42" t="s">
        <v>254</v>
      </c>
      <c r="I35" s="42"/>
      <c r="J35" s="42">
        <v>2</v>
      </c>
      <c r="K35" s="25" t="str">
        <f>VLOOKUP(J35,Key!$E$2:$F$9,2,FALSE)</f>
        <v>Work</v>
      </c>
      <c r="L35" s="42" t="s">
        <v>38</v>
      </c>
      <c r="M35" s="43" t="s">
        <v>37</v>
      </c>
      <c r="N35" s="43" t="s">
        <v>254</v>
      </c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62"/>
      <c r="T35" s="62">
        <v>6</v>
      </c>
      <c r="U35" s="72">
        <v>3</v>
      </c>
      <c r="V35" s="72">
        <v>9</v>
      </c>
      <c r="W35" s="62"/>
      <c r="X35" s="62"/>
      <c r="Y35" s="63"/>
      <c r="Z35" s="73"/>
      <c r="AA35" s="25"/>
      <c r="AB35" s="25"/>
    </row>
    <row r="36" spans="2:28">
      <c r="B36" s="78">
        <v>0.59583333333333333</v>
      </c>
      <c r="C36" s="79"/>
      <c r="D36" s="41">
        <v>1</v>
      </c>
      <c r="E36" s="41">
        <v>1</v>
      </c>
      <c r="F36" s="42" t="s">
        <v>247</v>
      </c>
      <c r="G36" s="42" t="s">
        <v>37</v>
      </c>
      <c r="H36" s="42" t="s">
        <v>254</v>
      </c>
      <c r="I36" s="42"/>
      <c r="J36" s="42">
        <v>2</v>
      </c>
      <c r="K36" s="25" t="str">
        <f>VLOOKUP(J36,Key!$E$2:$F$9,2,FALSE)</f>
        <v>Work</v>
      </c>
      <c r="L36" s="42" t="s">
        <v>38</v>
      </c>
      <c r="M36" s="43" t="s">
        <v>37</v>
      </c>
      <c r="N36" s="43" t="s">
        <v>254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2"/>
      <c r="T36" s="62">
        <v>2</v>
      </c>
      <c r="U36" s="72">
        <v>2</v>
      </c>
      <c r="V36" s="72">
        <v>8</v>
      </c>
      <c r="W36" s="62"/>
      <c r="X36" s="62"/>
      <c r="Y36" s="63"/>
      <c r="Z36" s="73"/>
      <c r="AA36" s="25"/>
      <c r="AB36" s="25"/>
    </row>
    <row r="37" spans="2:28">
      <c r="B37" s="78">
        <v>0.60138888888888886</v>
      </c>
      <c r="C37" s="79"/>
      <c r="D37" s="41">
        <v>3</v>
      </c>
      <c r="E37" s="41">
        <v>1</v>
      </c>
      <c r="F37" s="42" t="s">
        <v>37</v>
      </c>
      <c r="G37" s="42" t="s">
        <v>37</v>
      </c>
      <c r="H37" s="42" t="s">
        <v>254</v>
      </c>
      <c r="I37" s="42"/>
      <c r="J37" s="42">
        <v>1</v>
      </c>
      <c r="K37" s="25" t="str">
        <f>VLOOKUP(J37,Key!$E$2:$F$9,2,FALSE)</f>
        <v>Home</v>
      </c>
      <c r="L37" s="42" t="s">
        <v>259</v>
      </c>
      <c r="M37" s="43" t="s">
        <v>37</v>
      </c>
      <c r="N37" s="43" t="s">
        <v>254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1</v>
      </c>
      <c r="U37" s="72">
        <v>6</v>
      </c>
      <c r="V37" s="72">
        <v>5</v>
      </c>
      <c r="W37" s="62"/>
      <c r="X37" s="62"/>
      <c r="Y37" s="63"/>
      <c r="Z37" s="73"/>
      <c r="AA37" s="25"/>
      <c r="AB37" s="25"/>
    </row>
    <row r="38" spans="2:28">
      <c r="B38" s="78">
        <v>0.60625000000000007</v>
      </c>
      <c r="C38" s="79"/>
      <c r="D38" s="41">
        <v>1</v>
      </c>
      <c r="E38" s="41">
        <v>1</v>
      </c>
      <c r="F38" s="42" t="s">
        <v>243</v>
      </c>
      <c r="G38" s="42" t="s">
        <v>243</v>
      </c>
      <c r="H38" s="42" t="s">
        <v>254</v>
      </c>
      <c r="I38" s="42"/>
      <c r="J38" s="42">
        <v>1</v>
      </c>
      <c r="K38" s="25" t="str">
        <f>VLOOKUP(J38,Key!$E$2:$F$9,2,FALSE)</f>
        <v>Home</v>
      </c>
      <c r="L38" s="42" t="s">
        <v>38</v>
      </c>
      <c r="M38" s="43" t="s">
        <v>37</v>
      </c>
      <c r="N38" s="43" t="s">
        <v>254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2</v>
      </c>
      <c r="U38" s="72">
        <v>2</v>
      </c>
      <c r="V38" s="72">
        <v>7</v>
      </c>
      <c r="W38" s="62"/>
      <c r="X38" s="62"/>
      <c r="Y38" s="63"/>
      <c r="Z38" s="73"/>
      <c r="AA38" s="25"/>
      <c r="AB38" s="25"/>
    </row>
    <row r="39" spans="2:28">
      <c r="B39" s="78">
        <v>0.61388888888888882</v>
      </c>
      <c r="C39" s="79"/>
      <c r="D39" s="41">
        <v>3</v>
      </c>
      <c r="E39" s="41">
        <v>2</v>
      </c>
      <c r="F39" s="42" t="s">
        <v>37</v>
      </c>
      <c r="G39" s="42" t="s">
        <v>37</v>
      </c>
      <c r="H39" s="42" t="s">
        <v>254</v>
      </c>
      <c r="I39" s="42"/>
      <c r="J39" s="42">
        <v>2</v>
      </c>
      <c r="K39" s="25" t="str">
        <f>VLOOKUP(J39,Key!$E$2:$F$9,2,FALSE)</f>
        <v>Work</v>
      </c>
      <c r="L39" s="42" t="s">
        <v>261</v>
      </c>
      <c r="M39" s="43" t="s">
        <v>37</v>
      </c>
      <c r="N39" s="43" t="s">
        <v>254</v>
      </c>
      <c r="O39" s="43"/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62"/>
      <c r="T39" s="62">
        <v>2</v>
      </c>
      <c r="U39" s="72">
        <v>2</v>
      </c>
      <c r="V39" s="72">
        <v>8</v>
      </c>
      <c r="W39" s="62"/>
      <c r="X39" s="62"/>
      <c r="Y39" s="63"/>
      <c r="Z39" s="73"/>
      <c r="AA39" s="25"/>
      <c r="AB39" s="25"/>
    </row>
    <row r="40" spans="2:28">
      <c r="B40" s="78">
        <v>0.58611111111111114</v>
      </c>
      <c r="C40" s="79"/>
      <c r="D40" s="41">
        <v>1</v>
      </c>
      <c r="E40" s="41">
        <v>1</v>
      </c>
      <c r="F40" s="42" t="s">
        <v>37</v>
      </c>
      <c r="G40" s="42" t="s">
        <v>37</v>
      </c>
      <c r="H40" s="42" t="s">
        <v>254</v>
      </c>
      <c r="I40" s="42"/>
      <c r="J40" s="42">
        <v>1</v>
      </c>
      <c r="K40" s="25" t="str">
        <f>VLOOKUP(J40,Key!$E$2:$F$9,2,FALSE)</f>
        <v>Home</v>
      </c>
      <c r="L40" s="42" t="s">
        <v>38</v>
      </c>
      <c r="M40" s="43" t="s">
        <v>37</v>
      </c>
      <c r="N40" s="43" t="s">
        <v>254</v>
      </c>
      <c r="O40" s="43"/>
      <c r="P40" s="43">
        <v>4</v>
      </c>
      <c r="Q40" s="25" t="str">
        <f>VLOOKUP(P40,Key!$E$2:$F$9,2,FALSE)</f>
        <v>Commercial</v>
      </c>
      <c r="R40" s="25" t="str">
        <f t="shared" si="1"/>
        <v>Home-Commercial</v>
      </c>
      <c r="S40" s="62"/>
      <c r="T40" s="62">
        <v>0</v>
      </c>
      <c r="U40" s="72">
        <v>3</v>
      </c>
      <c r="V40" s="72">
        <v>3</v>
      </c>
      <c r="W40" s="62"/>
      <c r="X40" s="62"/>
      <c r="Y40" s="63"/>
      <c r="Z40" s="73"/>
      <c r="AA40" s="25"/>
      <c r="AB40" s="25"/>
    </row>
    <row r="41" spans="2:28">
      <c r="B41" s="78">
        <v>0.62986111111111109</v>
      </c>
      <c r="C41" s="79"/>
      <c r="D41" s="41">
        <v>1</v>
      </c>
      <c r="E41" s="41">
        <v>1</v>
      </c>
      <c r="F41" s="42" t="s">
        <v>37</v>
      </c>
      <c r="G41" s="42" t="s">
        <v>37</v>
      </c>
      <c r="H41" s="42" t="s">
        <v>254</v>
      </c>
      <c r="I41" s="42"/>
      <c r="J41" s="42">
        <v>6</v>
      </c>
      <c r="K41" s="25" t="str">
        <f>VLOOKUP(J41,Key!$E$2:$F$9,2,FALSE)</f>
        <v>Leisure/Social</v>
      </c>
      <c r="L41" s="42" t="s">
        <v>258</v>
      </c>
      <c r="M41" s="43" t="s">
        <v>37</v>
      </c>
      <c r="N41" s="43" t="s">
        <v>254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Leisure/Social-Home</v>
      </c>
      <c r="S41" s="62"/>
      <c r="T41" s="62">
        <v>2</v>
      </c>
      <c r="U41" s="72">
        <v>4</v>
      </c>
      <c r="V41" s="72">
        <v>4</v>
      </c>
      <c r="W41" s="62"/>
      <c r="X41" s="62"/>
      <c r="Y41" s="63"/>
      <c r="Z41" s="73"/>
      <c r="AA41" s="25"/>
      <c r="AB41" s="25"/>
    </row>
    <row r="42" spans="2:28">
      <c r="B42" s="78">
        <v>0.63124999999999998</v>
      </c>
      <c r="C42" s="79"/>
      <c r="D42" s="41">
        <v>3</v>
      </c>
      <c r="E42" s="41">
        <v>2</v>
      </c>
      <c r="F42" s="42" t="s">
        <v>37</v>
      </c>
      <c r="G42" s="42" t="s">
        <v>37</v>
      </c>
      <c r="H42" s="42" t="s">
        <v>254</v>
      </c>
      <c r="I42" s="42"/>
      <c r="J42" s="42">
        <v>1</v>
      </c>
      <c r="K42" s="25" t="str">
        <f>VLOOKUP(J42,Key!$E$2:$F$9,2,FALSE)</f>
        <v>Home</v>
      </c>
      <c r="L42" s="42" t="s">
        <v>259</v>
      </c>
      <c r="M42" s="43" t="s">
        <v>37</v>
      </c>
      <c r="N42" s="43" t="s">
        <v>254</v>
      </c>
      <c r="O42" s="43"/>
      <c r="P42" s="43">
        <v>7</v>
      </c>
      <c r="Q42" s="25" t="str">
        <f>VLOOKUP(P42,Key!$E$2:$F$9,2,FALSE)</f>
        <v>Hospital</v>
      </c>
      <c r="R42" s="25" t="str">
        <f t="shared" si="1"/>
        <v>Home-Hospital</v>
      </c>
      <c r="S42" s="62"/>
      <c r="T42" s="62">
        <v>0</v>
      </c>
      <c r="U42" s="72">
        <v>4</v>
      </c>
      <c r="V42" s="72">
        <v>5</v>
      </c>
      <c r="W42" s="62"/>
      <c r="X42" s="62"/>
      <c r="Y42" s="63"/>
      <c r="Z42" s="73"/>
      <c r="AA42" s="25"/>
      <c r="AB42" s="25"/>
    </row>
    <row r="43" spans="2:28">
      <c r="B43" s="78">
        <v>0.63402777777777775</v>
      </c>
      <c r="C43" s="79"/>
      <c r="D43" s="41">
        <v>3</v>
      </c>
      <c r="E43" s="41">
        <v>1</v>
      </c>
      <c r="F43" s="42" t="s">
        <v>248</v>
      </c>
      <c r="G43" s="42" t="s">
        <v>248</v>
      </c>
      <c r="H43" s="42" t="s">
        <v>254</v>
      </c>
      <c r="I43" s="42"/>
      <c r="J43" s="42">
        <v>1</v>
      </c>
      <c r="K43" s="25" t="str">
        <f>VLOOKUP(J43,Key!$E$2:$F$9,2,FALSE)</f>
        <v>Home</v>
      </c>
      <c r="L43" s="42" t="s">
        <v>38</v>
      </c>
      <c r="M43" s="43" t="s">
        <v>37</v>
      </c>
      <c r="N43" s="43" t="s">
        <v>254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2"/>
      <c r="T43" s="62">
        <v>2</v>
      </c>
      <c r="U43" s="72">
        <v>3</v>
      </c>
      <c r="V43" s="72"/>
      <c r="W43" s="62"/>
      <c r="X43" s="62"/>
      <c r="Y43" s="63"/>
      <c r="Z43" s="73"/>
      <c r="AA43" s="25"/>
      <c r="AB43" s="25"/>
    </row>
    <row r="44" spans="2:28">
      <c r="B44" s="78">
        <v>0.63888888888888895</v>
      </c>
      <c r="C44" s="79"/>
      <c r="D44" s="41">
        <v>1</v>
      </c>
      <c r="E44" s="41">
        <v>2</v>
      </c>
      <c r="F44" s="42" t="s">
        <v>37</v>
      </c>
      <c r="G44" s="42" t="s">
        <v>37</v>
      </c>
      <c r="H44" s="42" t="s">
        <v>254</v>
      </c>
      <c r="I44" s="42"/>
      <c r="J44" s="42">
        <v>2</v>
      </c>
      <c r="K44" s="25" t="str">
        <f>VLOOKUP(J44,Key!$E$2:$F$9,2,FALSE)</f>
        <v>Work</v>
      </c>
      <c r="L44" s="42" t="s">
        <v>37</v>
      </c>
      <c r="M44" s="43" t="s">
        <v>37</v>
      </c>
      <c r="N44" s="43" t="s">
        <v>254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2"/>
      <c r="T44" s="62">
        <v>0</v>
      </c>
      <c r="U44" s="72">
        <v>1</v>
      </c>
      <c r="V44" s="72">
        <v>5</v>
      </c>
      <c r="W44" s="62"/>
      <c r="X44" s="62"/>
      <c r="Y44" s="63"/>
      <c r="Z44" s="73"/>
      <c r="AA44" s="25"/>
      <c r="AB44" s="25"/>
    </row>
    <row r="45" spans="2:28">
      <c r="B45" s="78">
        <v>0.65416666666666667</v>
      </c>
      <c r="C45" s="79"/>
      <c r="D45" s="41">
        <v>2</v>
      </c>
      <c r="E45" s="41">
        <v>2</v>
      </c>
      <c r="F45" s="42" t="s">
        <v>37</v>
      </c>
      <c r="G45" s="42" t="s">
        <v>37</v>
      </c>
      <c r="H45" s="42" t="s">
        <v>254</v>
      </c>
      <c r="I45" s="42"/>
      <c r="J45" s="42">
        <v>2</v>
      </c>
      <c r="K45" s="25" t="str">
        <f>VLOOKUP(J45,Key!$E$2:$F$9,2,FALSE)</f>
        <v>Work</v>
      </c>
      <c r="L45" s="42" t="s">
        <v>37</v>
      </c>
      <c r="M45" s="43" t="s">
        <v>37</v>
      </c>
      <c r="N45" s="43" t="s">
        <v>254</v>
      </c>
      <c r="O45" s="43"/>
      <c r="P45" s="43">
        <v>4</v>
      </c>
      <c r="Q45" s="25" t="str">
        <f>VLOOKUP(P45,Key!$E$2:$F$9,2,FALSE)</f>
        <v>Commercial</v>
      </c>
      <c r="R45" s="25" t="str">
        <f t="shared" si="1"/>
        <v>Work-Commercial</v>
      </c>
      <c r="S45" s="62"/>
      <c r="T45" s="62">
        <v>0</v>
      </c>
      <c r="U45" s="72">
        <v>2</v>
      </c>
      <c r="V45" s="72">
        <v>1</v>
      </c>
      <c r="W45" s="62"/>
      <c r="X45" s="62"/>
      <c r="Y45" s="63"/>
      <c r="Z45" s="73"/>
      <c r="AA45" s="25"/>
      <c r="AB45" s="25"/>
    </row>
    <row r="46" spans="2:28">
      <c r="B46" s="78">
        <v>0.65833333333333333</v>
      </c>
      <c r="C46" s="79"/>
      <c r="D46" s="41">
        <v>2</v>
      </c>
      <c r="E46" s="41">
        <v>1</v>
      </c>
      <c r="F46" s="42" t="s">
        <v>37</v>
      </c>
      <c r="G46" s="42" t="s">
        <v>37</v>
      </c>
      <c r="H46" s="42" t="s">
        <v>254</v>
      </c>
      <c r="I46" s="42"/>
      <c r="J46" s="42">
        <v>4</v>
      </c>
      <c r="K46" s="25" t="str">
        <f>VLOOKUP(J46,Key!$E$2:$F$9,2,FALSE)</f>
        <v>Commercial</v>
      </c>
      <c r="L46" s="42" t="s">
        <v>37</v>
      </c>
      <c r="M46" s="43" t="s">
        <v>37</v>
      </c>
      <c r="N46" s="43" t="s">
        <v>254</v>
      </c>
      <c r="O46" s="43"/>
      <c r="P46" s="43">
        <v>1</v>
      </c>
      <c r="Q46" s="25" t="str">
        <f>VLOOKUP(P46,Key!$E$2:$F$9,2,FALSE)</f>
        <v>Home</v>
      </c>
      <c r="R46" s="25" t="str">
        <f t="shared" si="1"/>
        <v>Commercial-Home</v>
      </c>
      <c r="S46" s="62"/>
      <c r="T46" s="62">
        <v>0</v>
      </c>
      <c r="U46" s="72">
        <v>3</v>
      </c>
      <c r="V46" s="72">
        <v>6</v>
      </c>
      <c r="W46" s="62"/>
      <c r="X46" s="62"/>
      <c r="Y46" s="63"/>
      <c r="Z46" s="73"/>
      <c r="AA46" s="25"/>
      <c r="AB46" s="25"/>
    </row>
    <row r="47" spans="2:28">
      <c r="B47" s="78">
        <v>0.65972222222222221</v>
      </c>
      <c r="C47" s="79"/>
      <c r="D47" s="41">
        <v>12</v>
      </c>
      <c r="E47" s="41">
        <v>2</v>
      </c>
      <c r="F47" s="42" t="s">
        <v>60</v>
      </c>
      <c r="G47" s="42" t="s">
        <v>240</v>
      </c>
      <c r="H47" s="42" t="s">
        <v>254</v>
      </c>
      <c r="I47" s="42"/>
      <c r="J47" s="42">
        <v>1</v>
      </c>
      <c r="K47" s="25" t="str">
        <f>VLOOKUP(J47,Key!$E$2:$F$9,2,FALSE)</f>
        <v>Home</v>
      </c>
      <c r="L47" s="42" t="s">
        <v>50</v>
      </c>
      <c r="M47" s="43" t="s">
        <v>255</v>
      </c>
      <c r="N47" s="43" t="s">
        <v>254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2"/>
      <c r="T47" s="62">
        <v>24</v>
      </c>
      <c r="U47" s="72">
        <v>3</v>
      </c>
      <c r="V47" s="72">
        <v>5</v>
      </c>
      <c r="W47" s="62"/>
      <c r="X47" s="62"/>
      <c r="Y47" s="63"/>
      <c r="Z47" s="73"/>
      <c r="AA47" s="25"/>
      <c r="AB47" s="25"/>
    </row>
    <row r="48" spans="2:28">
      <c r="B48" s="78">
        <v>0.66111111111111109</v>
      </c>
      <c r="C48" s="79"/>
      <c r="D48" s="41">
        <v>3</v>
      </c>
      <c r="E48" s="41">
        <v>2</v>
      </c>
      <c r="F48" s="42" t="s">
        <v>37</v>
      </c>
      <c r="G48" s="42" t="s">
        <v>37</v>
      </c>
      <c r="H48" s="42" t="s">
        <v>254</v>
      </c>
      <c r="I48" s="42"/>
      <c r="J48" s="42">
        <v>2</v>
      </c>
      <c r="K48" s="25" t="str">
        <f>VLOOKUP(J48,Key!$E$2:$F$9,2,FALSE)</f>
        <v>Work</v>
      </c>
      <c r="L48" s="42" t="s">
        <v>37</v>
      </c>
      <c r="M48" s="43" t="s">
        <v>37</v>
      </c>
      <c r="N48" s="43" t="s">
        <v>254</v>
      </c>
      <c r="O48" s="43"/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62"/>
      <c r="T48" s="62">
        <v>0</v>
      </c>
      <c r="U48" s="72">
        <v>2</v>
      </c>
      <c r="V48" s="72">
        <v>5</v>
      </c>
      <c r="W48" s="62"/>
      <c r="X48" s="62"/>
      <c r="Y48" s="63"/>
      <c r="Z48" s="73"/>
      <c r="AA48" s="25"/>
      <c r="AB48" s="25"/>
    </row>
    <row r="49" spans="2:28">
      <c r="B49" s="78">
        <v>0.67986111111111114</v>
      </c>
      <c r="C49" s="79"/>
      <c r="D49" s="41">
        <v>1</v>
      </c>
      <c r="E49" s="41">
        <v>1</v>
      </c>
      <c r="F49" s="42" t="s">
        <v>37</v>
      </c>
      <c r="G49" s="42" t="s">
        <v>37</v>
      </c>
      <c r="H49" s="42" t="s">
        <v>254</v>
      </c>
      <c r="I49" s="42"/>
      <c r="J49" s="42">
        <v>2</v>
      </c>
      <c r="K49" s="25" t="str">
        <f>VLOOKUP(J49,Key!$E$2:$F$9,2,FALSE)</f>
        <v>Work</v>
      </c>
      <c r="L49" s="42" t="s">
        <v>256</v>
      </c>
      <c r="M49" s="43" t="s">
        <v>37</v>
      </c>
      <c r="N49" s="43" t="s">
        <v>254</v>
      </c>
      <c r="O49" s="43"/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62"/>
      <c r="T49" s="62">
        <v>0</v>
      </c>
      <c r="U49" s="72">
        <v>2</v>
      </c>
      <c r="V49" s="72">
        <v>5</v>
      </c>
      <c r="W49" s="62"/>
      <c r="X49" s="62"/>
      <c r="Y49" s="63"/>
      <c r="Z49" s="73"/>
      <c r="AA49" s="25"/>
      <c r="AB49" s="25"/>
    </row>
    <row r="50" spans="2:28">
      <c r="B50" s="78">
        <v>0.68541666666666667</v>
      </c>
      <c r="C50" s="79"/>
      <c r="D50" s="41">
        <v>12</v>
      </c>
      <c r="E50" s="41">
        <v>1</v>
      </c>
      <c r="F50" s="42" t="s">
        <v>60</v>
      </c>
      <c r="G50" s="42" t="s">
        <v>240</v>
      </c>
      <c r="H50" s="42" t="s">
        <v>254</v>
      </c>
      <c r="I50" s="42"/>
      <c r="J50" s="42">
        <v>1</v>
      </c>
      <c r="K50" s="25" t="str">
        <f>VLOOKUP(J50,Key!$E$2:$F$9,2,FALSE)</f>
        <v>Home</v>
      </c>
      <c r="L50" s="42" t="s">
        <v>50</v>
      </c>
      <c r="M50" s="43" t="s">
        <v>255</v>
      </c>
      <c r="N50" s="43" t="s">
        <v>254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0</v>
      </c>
      <c r="U50" s="72">
        <v>3</v>
      </c>
      <c r="V50" s="72">
        <v>10</v>
      </c>
      <c r="W50" s="62"/>
      <c r="X50" s="62"/>
      <c r="Y50" s="63"/>
      <c r="Z50" s="73"/>
      <c r="AA50" s="25"/>
      <c r="AB50" s="25"/>
    </row>
    <row r="51" spans="2:28">
      <c r="B51" s="78">
        <v>0.7006944444444444</v>
      </c>
      <c r="C51" s="79"/>
      <c r="D51" s="41">
        <v>3</v>
      </c>
      <c r="E51" s="41">
        <v>2</v>
      </c>
      <c r="F51" s="42" t="s">
        <v>249</v>
      </c>
      <c r="G51" s="42" t="s">
        <v>37</v>
      </c>
      <c r="H51" s="42" t="s">
        <v>254</v>
      </c>
      <c r="I51" s="42"/>
      <c r="J51" s="42">
        <v>2</v>
      </c>
      <c r="K51" s="25" t="str">
        <f>VLOOKUP(J51,Key!$E$2:$F$9,2,FALSE)</f>
        <v>Work</v>
      </c>
      <c r="L51" s="42" t="s">
        <v>38</v>
      </c>
      <c r="M51" s="43" t="s">
        <v>37</v>
      </c>
      <c r="N51" s="43" t="s">
        <v>254</v>
      </c>
      <c r="O51" s="43"/>
      <c r="P51" s="43">
        <v>1</v>
      </c>
      <c r="Q51" s="25" t="str">
        <f>VLOOKUP(P51,Key!$E$2:$F$9,2,FALSE)</f>
        <v>Home</v>
      </c>
      <c r="R51" s="25" t="str">
        <f t="shared" si="1"/>
        <v>Work-Home</v>
      </c>
      <c r="S51" s="62"/>
      <c r="T51" s="62">
        <v>5</v>
      </c>
      <c r="U51" s="72">
        <v>2</v>
      </c>
      <c r="V51" s="72">
        <v>6</v>
      </c>
      <c r="W51" s="62"/>
      <c r="X51" s="62"/>
      <c r="Y51" s="63"/>
      <c r="Z51" s="73"/>
      <c r="AA51" s="25"/>
      <c r="AB51" s="25"/>
    </row>
    <row r="52" spans="2:28">
      <c r="B52" s="78">
        <v>0.70138888888888884</v>
      </c>
      <c r="C52" s="79"/>
      <c r="D52" s="41">
        <v>3</v>
      </c>
      <c r="E52" s="41">
        <v>1</v>
      </c>
      <c r="F52" s="42" t="s">
        <v>37</v>
      </c>
      <c r="G52" s="42" t="s">
        <v>248</v>
      </c>
      <c r="H52" s="42" t="s">
        <v>254</v>
      </c>
      <c r="I52" s="42"/>
      <c r="J52" s="42">
        <v>2</v>
      </c>
      <c r="K52" s="25" t="str">
        <f>VLOOKUP(J52,Key!$E$2:$F$9,2,FALSE)</f>
        <v>Work</v>
      </c>
      <c r="L52" s="42" t="s">
        <v>50</v>
      </c>
      <c r="M52" s="43" t="s">
        <v>255</v>
      </c>
      <c r="N52" s="43" t="s">
        <v>254</v>
      </c>
      <c r="O52" s="43"/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62"/>
      <c r="T52" s="62">
        <v>24</v>
      </c>
      <c r="U52" s="72">
        <v>2</v>
      </c>
      <c r="V52" s="72">
        <v>5</v>
      </c>
      <c r="W52" s="62"/>
      <c r="X52" s="62"/>
      <c r="Y52" s="63"/>
      <c r="Z52" s="73"/>
      <c r="AA52" s="25"/>
      <c r="AB52" s="25"/>
    </row>
    <row r="53" spans="2:28">
      <c r="B53" s="78">
        <v>0.71805555555555556</v>
      </c>
      <c r="C53" s="79"/>
      <c r="D53" s="41">
        <v>9</v>
      </c>
      <c r="E53" s="41">
        <v>1</v>
      </c>
      <c r="F53" s="42" t="s">
        <v>248</v>
      </c>
      <c r="G53" s="42" t="s">
        <v>248</v>
      </c>
      <c r="H53" s="42" t="s">
        <v>254</v>
      </c>
      <c r="I53" s="42"/>
      <c r="J53" s="42">
        <v>1</v>
      </c>
      <c r="K53" s="25" t="str">
        <f>VLOOKUP(J53,Key!$E$2:$F$9,2,FALSE)</f>
        <v>Home</v>
      </c>
      <c r="L53" s="42" t="s">
        <v>50</v>
      </c>
      <c r="M53" s="43" t="s">
        <v>255</v>
      </c>
      <c r="N53" s="43" t="s">
        <v>254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6</v>
      </c>
      <c r="U53" s="72">
        <v>2</v>
      </c>
      <c r="V53" s="72">
        <v>10</v>
      </c>
      <c r="W53" s="62"/>
      <c r="X53" s="62"/>
      <c r="Y53" s="63"/>
      <c r="Z53" s="73"/>
      <c r="AA53" s="25"/>
      <c r="AB53" s="25"/>
    </row>
    <row r="54" spans="2:28">
      <c r="B54" s="78">
        <v>0.72777777777777775</v>
      </c>
      <c r="C54" s="79"/>
      <c r="D54" s="41">
        <v>8</v>
      </c>
      <c r="E54" s="41">
        <v>2</v>
      </c>
      <c r="F54" s="42" t="s">
        <v>243</v>
      </c>
      <c r="G54" s="42" t="s">
        <v>243</v>
      </c>
      <c r="H54" s="42" t="s">
        <v>254</v>
      </c>
      <c r="I54" s="42"/>
      <c r="J54" s="42">
        <v>1</v>
      </c>
      <c r="K54" s="25" t="str">
        <f>VLOOKUP(J54,Key!$E$2:$F$9,2,FALSE)</f>
        <v>Home</v>
      </c>
      <c r="L54" s="42" t="s">
        <v>38</v>
      </c>
      <c r="M54" s="43" t="s">
        <v>37</v>
      </c>
      <c r="N54" s="43" t="s">
        <v>254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2"/>
      <c r="T54" s="62">
        <v>0</v>
      </c>
      <c r="U54" s="72">
        <v>3</v>
      </c>
      <c r="V54" s="72">
        <v>3</v>
      </c>
      <c r="W54" s="62"/>
      <c r="X54" s="62"/>
      <c r="Y54" s="63"/>
      <c r="Z54" s="73"/>
      <c r="AA54" s="25"/>
      <c r="AB54" s="25"/>
    </row>
    <row r="55" spans="2:28">
      <c r="B55" s="78">
        <v>0.7319444444444444</v>
      </c>
      <c r="C55" s="79"/>
      <c r="D55" s="41">
        <v>3</v>
      </c>
      <c r="E55" s="41">
        <v>3</v>
      </c>
      <c r="F55" s="42" t="s">
        <v>37</v>
      </c>
      <c r="G55" s="42" t="s">
        <v>37</v>
      </c>
      <c r="H55" s="42" t="s">
        <v>254</v>
      </c>
      <c r="I55" s="42"/>
      <c r="J55" s="42">
        <v>2</v>
      </c>
      <c r="K55" s="25" t="str">
        <f>VLOOKUP(J55,Key!$E$2:$F$9,2,FALSE)</f>
        <v>Work</v>
      </c>
      <c r="L55" s="42" t="s">
        <v>38</v>
      </c>
      <c r="M55" s="43" t="s">
        <v>37</v>
      </c>
      <c r="N55" s="43" t="s">
        <v>254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62"/>
      <c r="T55" s="62">
        <v>4</v>
      </c>
      <c r="U55" s="72">
        <v>4</v>
      </c>
      <c r="V55" s="72">
        <v>10</v>
      </c>
      <c r="W55" s="62"/>
      <c r="X55" s="62"/>
      <c r="Y55" s="63"/>
      <c r="Z55" s="73"/>
      <c r="AA55" s="25"/>
      <c r="AB55" s="25"/>
    </row>
    <row r="56" spans="2:28">
      <c r="B56" s="78">
        <v>0.75624999999999998</v>
      </c>
      <c r="C56" s="79"/>
      <c r="D56" s="41">
        <v>2</v>
      </c>
      <c r="E56" s="41">
        <v>1</v>
      </c>
      <c r="F56" s="42" t="s">
        <v>129</v>
      </c>
      <c r="G56" s="42" t="s">
        <v>129</v>
      </c>
      <c r="H56" s="42" t="s">
        <v>254</v>
      </c>
      <c r="I56" s="42"/>
      <c r="J56" s="42">
        <v>6</v>
      </c>
      <c r="K56" s="25" t="str">
        <f>VLOOKUP(J56,Key!$E$2:$F$9,2,FALSE)</f>
        <v>Leisure/Social</v>
      </c>
      <c r="L56" s="42" t="s">
        <v>260</v>
      </c>
      <c r="M56" s="43" t="s">
        <v>37</v>
      </c>
      <c r="N56" s="43" t="s">
        <v>254</v>
      </c>
      <c r="O56" s="43"/>
      <c r="P56" s="43">
        <v>1</v>
      </c>
      <c r="Q56" s="25" t="str">
        <f>VLOOKUP(P56,Key!$E$2:$F$9,2,FALSE)</f>
        <v>Home</v>
      </c>
      <c r="R56" s="25" t="str">
        <f t="shared" si="1"/>
        <v>Leisure/Social-Home</v>
      </c>
      <c r="S56" s="62"/>
      <c r="T56" s="62">
        <v>1</v>
      </c>
      <c r="U56" s="72">
        <v>2</v>
      </c>
      <c r="V56" s="72">
        <v>10</v>
      </c>
      <c r="W56" s="62"/>
      <c r="X56" s="62"/>
      <c r="Y56" s="63"/>
      <c r="Z56" s="73"/>
      <c r="AA56" s="25"/>
      <c r="AB56" s="25"/>
    </row>
    <row r="57" spans="2:28">
      <c r="B57" s="78">
        <v>0.76041666666666663</v>
      </c>
      <c r="C57" s="79"/>
      <c r="D57" s="41">
        <v>1</v>
      </c>
      <c r="E57" s="41">
        <v>2</v>
      </c>
      <c r="F57" s="42" t="s">
        <v>37</v>
      </c>
      <c r="G57" s="42" t="s">
        <v>37</v>
      </c>
      <c r="H57" s="42" t="s">
        <v>254</v>
      </c>
      <c r="I57" s="42"/>
      <c r="J57" s="42">
        <v>1</v>
      </c>
      <c r="K57" s="25" t="str">
        <f>VLOOKUP(J57,Key!$E$2:$F$9,2,FALSE)</f>
        <v>Home</v>
      </c>
      <c r="L57" s="42" t="s">
        <v>261</v>
      </c>
      <c r="M57" s="43" t="s">
        <v>37</v>
      </c>
      <c r="N57" s="43" t="s">
        <v>254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62"/>
      <c r="T57" s="62">
        <v>0</v>
      </c>
      <c r="U57" s="72">
        <v>4</v>
      </c>
      <c r="V57" s="72">
        <v>5</v>
      </c>
      <c r="W57" s="62"/>
      <c r="X57" s="62"/>
      <c r="Y57" s="63"/>
      <c r="Z57" s="73"/>
      <c r="AA57" s="25"/>
      <c r="AB57" s="25"/>
    </row>
    <row r="58" spans="2:28">
      <c r="B58" s="78">
        <v>0.76736111111111116</v>
      </c>
      <c r="C58" s="79"/>
      <c r="D58" s="41">
        <v>3</v>
      </c>
      <c r="E58" s="41">
        <v>1</v>
      </c>
      <c r="F58" s="42" t="s">
        <v>37</v>
      </c>
      <c r="G58" s="42" t="s">
        <v>37</v>
      </c>
      <c r="H58" s="42" t="s">
        <v>254</v>
      </c>
      <c r="I58" s="42"/>
      <c r="J58" s="42">
        <v>1</v>
      </c>
      <c r="K58" s="25" t="str">
        <f>VLOOKUP(J58,Key!$E$2:$F$9,2,FALSE)</f>
        <v>Home</v>
      </c>
      <c r="L58" s="42" t="s">
        <v>261</v>
      </c>
      <c r="M58" s="43" t="s">
        <v>37</v>
      </c>
      <c r="N58" s="43" t="s">
        <v>254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2"/>
      <c r="T58" s="62">
        <v>0</v>
      </c>
      <c r="U58" s="72">
        <v>3</v>
      </c>
      <c r="V58" s="72"/>
      <c r="W58" s="62"/>
      <c r="X58" s="62"/>
      <c r="Y58" s="63"/>
      <c r="Z58" s="73"/>
      <c r="AA58" s="25"/>
      <c r="AB58" s="25"/>
    </row>
    <row r="59" spans="2:28">
      <c r="B59" s="78">
        <v>0.82361111111111107</v>
      </c>
      <c r="C59" s="79"/>
      <c r="D59" s="41">
        <v>1</v>
      </c>
      <c r="E59" s="41">
        <v>1</v>
      </c>
      <c r="F59" s="42" t="s">
        <v>37</v>
      </c>
      <c r="G59" s="42" t="s">
        <v>37</v>
      </c>
      <c r="H59" s="42" t="s">
        <v>254</v>
      </c>
      <c r="I59" s="42"/>
      <c r="J59" s="42">
        <v>2</v>
      </c>
      <c r="K59" s="25" t="str">
        <f>VLOOKUP(J59,Key!$E$2:$F$9,2,FALSE)</f>
        <v>Work</v>
      </c>
      <c r="L59" s="42" t="s">
        <v>38</v>
      </c>
      <c r="M59" s="43" t="s">
        <v>37</v>
      </c>
      <c r="N59" s="43" t="s">
        <v>254</v>
      </c>
      <c r="O59" s="43"/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62"/>
      <c r="T59" s="62">
        <v>1</v>
      </c>
      <c r="U59" s="72">
        <v>3</v>
      </c>
      <c r="V59" s="72"/>
      <c r="W59" s="62"/>
      <c r="X59" s="62"/>
      <c r="Y59" s="63"/>
      <c r="Z59" s="73"/>
      <c r="AA59" s="25"/>
      <c r="AB59" s="25"/>
    </row>
    <row r="60" spans="2:28">
      <c r="B60" s="78">
        <v>0.8305555555555556</v>
      </c>
      <c r="C60" s="79"/>
      <c r="D60" s="41">
        <v>1</v>
      </c>
      <c r="E60" s="41">
        <v>1</v>
      </c>
      <c r="F60" s="42" t="s">
        <v>241</v>
      </c>
      <c r="G60" s="42" t="s">
        <v>241</v>
      </c>
      <c r="H60" s="42" t="s">
        <v>254</v>
      </c>
      <c r="I60" s="42"/>
      <c r="J60" s="42">
        <v>2</v>
      </c>
      <c r="K60" s="25" t="str">
        <f>VLOOKUP(J60,Key!$E$2:$F$9,2,FALSE)</f>
        <v>Work</v>
      </c>
      <c r="L60" s="42" t="s">
        <v>37</v>
      </c>
      <c r="M60" s="43" t="s">
        <v>37</v>
      </c>
      <c r="N60" s="43" t="s">
        <v>254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Work-Home</v>
      </c>
      <c r="S60" s="62"/>
      <c r="T60" s="62">
        <v>6</v>
      </c>
      <c r="U60" s="72">
        <v>1</v>
      </c>
      <c r="V60" s="72"/>
      <c r="W60" s="62"/>
      <c r="X60" s="62"/>
      <c r="Y60" s="63"/>
      <c r="Z60" s="73"/>
      <c r="AA60" s="25"/>
      <c r="AB60" s="25"/>
    </row>
    <row r="61" spans="2:28">
      <c r="B61" s="78">
        <v>0.83680555555555547</v>
      </c>
      <c r="C61" s="79"/>
      <c r="D61" s="41">
        <v>2</v>
      </c>
      <c r="E61" s="41">
        <v>1</v>
      </c>
      <c r="F61" s="42" t="s">
        <v>40</v>
      </c>
      <c r="G61" s="42" t="s">
        <v>40</v>
      </c>
      <c r="H61" s="42" t="s">
        <v>254</v>
      </c>
      <c r="I61" s="42"/>
      <c r="J61" s="42">
        <v>6</v>
      </c>
      <c r="K61" s="25" t="str">
        <f>VLOOKUP(J61,Key!$E$2:$F$9,2,FALSE)</f>
        <v>Leisure/Social</v>
      </c>
      <c r="L61" s="42" t="s">
        <v>38</v>
      </c>
      <c r="M61" s="43" t="s">
        <v>37</v>
      </c>
      <c r="N61" s="43" t="s">
        <v>254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Leisure/Social-Home</v>
      </c>
      <c r="S61" s="62"/>
      <c r="T61" s="62">
        <v>0</v>
      </c>
      <c r="U61" s="72">
        <v>2</v>
      </c>
      <c r="V61" s="72"/>
      <c r="W61" s="62"/>
      <c r="X61" s="62"/>
      <c r="Y61" s="63"/>
      <c r="Z61" s="73"/>
      <c r="AA61" s="25"/>
      <c r="AB61" s="25"/>
    </row>
    <row r="62" spans="2:28">
      <c r="B62" s="78">
        <v>0.84861111111111109</v>
      </c>
      <c r="C62" s="79"/>
      <c r="D62" s="41">
        <v>3</v>
      </c>
      <c r="E62" s="41">
        <v>1</v>
      </c>
      <c r="F62" s="42" t="s">
        <v>37</v>
      </c>
      <c r="G62" s="42" t="s">
        <v>37</v>
      </c>
      <c r="H62" s="42" t="s">
        <v>254</v>
      </c>
      <c r="I62" s="42"/>
      <c r="J62" s="42">
        <v>2</v>
      </c>
      <c r="K62" s="25" t="str">
        <f>VLOOKUP(J62,Key!$E$2:$F$9,2,FALSE)</f>
        <v>Work</v>
      </c>
      <c r="L62" s="42" t="s">
        <v>38</v>
      </c>
      <c r="M62" s="43" t="s">
        <v>37</v>
      </c>
      <c r="N62" s="43" t="s">
        <v>254</v>
      </c>
      <c r="O62" s="43"/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62"/>
      <c r="T62" s="62">
        <v>2</v>
      </c>
      <c r="U62" s="72">
        <v>2</v>
      </c>
      <c r="V62" s="72"/>
      <c r="W62" s="62"/>
      <c r="X62" s="62"/>
      <c r="Y62" s="63"/>
      <c r="Z62" s="73"/>
      <c r="AA62" s="25"/>
      <c r="AB62" s="25"/>
    </row>
    <row r="63" spans="2:28">
      <c r="B63" s="78">
        <v>0.85138888888888886</v>
      </c>
      <c r="C63" s="79"/>
      <c r="D63" s="41">
        <v>8</v>
      </c>
      <c r="E63" s="41">
        <v>1</v>
      </c>
      <c r="F63" s="42" t="s">
        <v>57</v>
      </c>
      <c r="G63" s="42" t="s">
        <v>57</v>
      </c>
      <c r="H63" s="42" t="s">
        <v>254</v>
      </c>
      <c r="I63" s="42"/>
      <c r="J63" s="42">
        <v>2</v>
      </c>
      <c r="K63" s="25" t="str">
        <f>VLOOKUP(J63,Key!$E$2:$F$9,2,FALSE)</f>
        <v>Work</v>
      </c>
      <c r="L63" s="42" t="s">
        <v>38</v>
      </c>
      <c r="M63" s="43" t="s">
        <v>37</v>
      </c>
      <c r="N63" s="43" t="s">
        <v>254</v>
      </c>
      <c r="O63" s="43"/>
      <c r="P63" s="43">
        <v>1</v>
      </c>
      <c r="Q63" s="25" t="str">
        <f>VLOOKUP(P63,Key!$E$2:$F$9,2,FALSE)</f>
        <v>Home</v>
      </c>
      <c r="R63" s="25" t="str">
        <f t="shared" si="1"/>
        <v>Work-Home</v>
      </c>
      <c r="S63" s="62"/>
      <c r="T63" s="62">
        <v>1</v>
      </c>
      <c r="U63" s="72">
        <v>1</v>
      </c>
      <c r="V63" s="72"/>
      <c r="W63" s="62"/>
      <c r="X63" s="62"/>
      <c r="Y63" s="63"/>
      <c r="Z63" s="73"/>
      <c r="AA63" s="25"/>
      <c r="AB63" s="25"/>
    </row>
    <row r="64" spans="2:28">
      <c r="B64" s="78">
        <v>0.85555555555555562</v>
      </c>
      <c r="C64" s="79"/>
      <c r="D64" s="41">
        <v>3</v>
      </c>
      <c r="E64" s="41">
        <v>1</v>
      </c>
      <c r="F64" s="42" t="s">
        <v>37</v>
      </c>
      <c r="G64" s="42" t="s">
        <v>37</v>
      </c>
      <c r="H64" s="42" t="s">
        <v>254</v>
      </c>
      <c r="I64" s="42"/>
      <c r="J64" s="42">
        <v>2</v>
      </c>
      <c r="K64" s="25" t="str">
        <f>VLOOKUP(J64,Key!$E$2:$F$9,2,FALSE)</f>
        <v>Work</v>
      </c>
      <c r="L64" s="42" t="s">
        <v>261</v>
      </c>
      <c r="M64" s="43" t="s">
        <v>37</v>
      </c>
      <c r="N64" s="43" t="s">
        <v>254</v>
      </c>
      <c r="O64" s="43"/>
      <c r="P64" s="43">
        <v>4</v>
      </c>
      <c r="Q64" s="25" t="str">
        <f>VLOOKUP(P64,Key!$E$2:$F$9,2,FALSE)</f>
        <v>Commercial</v>
      </c>
      <c r="R64" s="25" t="str">
        <f t="shared" si="1"/>
        <v>Work-Commercial</v>
      </c>
      <c r="S64" s="62"/>
      <c r="T64" s="62">
        <v>2</v>
      </c>
      <c r="U64" s="72">
        <v>2</v>
      </c>
      <c r="V64" s="72"/>
      <c r="W64" s="62"/>
      <c r="X64" s="62"/>
      <c r="Y64" s="63"/>
      <c r="Z64" s="73"/>
      <c r="AA64" s="25"/>
      <c r="AB64" s="25"/>
    </row>
    <row r="65" spans="2:28">
      <c r="B65" s="78">
        <v>0.85972222222222217</v>
      </c>
      <c r="C65" s="79"/>
      <c r="D65" s="41">
        <v>1</v>
      </c>
      <c r="E65" s="41">
        <v>1</v>
      </c>
      <c r="F65" s="42" t="s">
        <v>250</v>
      </c>
      <c r="G65" s="42" t="s">
        <v>250</v>
      </c>
      <c r="H65" s="42" t="s">
        <v>254</v>
      </c>
      <c r="I65" s="42"/>
      <c r="J65" s="42">
        <v>2</v>
      </c>
      <c r="K65" s="25" t="str">
        <f>VLOOKUP(J65,Key!$E$2:$F$9,2,FALSE)</f>
        <v>Work</v>
      </c>
      <c r="L65" s="42" t="s">
        <v>256</v>
      </c>
      <c r="M65" s="43" t="s">
        <v>37</v>
      </c>
      <c r="N65" s="43" t="s">
        <v>254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62"/>
      <c r="T65" s="62">
        <v>48</v>
      </c>
      <c r="U65" s="72">
        <v>4</v>
      </c>
      <c r="V65" s="72"/>
      <c r="W65" s="62"/>
      <c r="X65" s="62"/>
      <c r="Y65" s="63"/>
      <c r="Z65" s="73"/>
      <c r="AA65" s="25"/>
      <c r="AB65" s="25"/>
    </row>
    <row r="66" spans="2:28">
      <c r="B66" s="78">
        <v>0.86736111111111114</v>
      </c>
      <c r="C66" s="79"/>
      <c r="D66" s="41">
        <v>3</v>
      </c>
      <c r="E66" s="41">
        <v>1</v>
      </c>
      <c r="F66" s="42" t="s">
        <v>241</v>
      </c>
      <c r="G66" s="42" t="s">
        <v>241</v>
      </c>
      <c r="H66" s="42" t="s">
        <v>254</v>
      </c>
      <c r="I66" s="42"/>
      <c r="J66" s="42">
        <v>2</v>
      </c>
      <c r="K66" s="25" t="str">
        <f>VLOOKUP(J66,Key!$E$2:$F$9,2,FALSE)</f>
        <v>Work</v>
      </c>
      <c r="L66" s="42" t="s">
        <v>38</v>
      </c>
      <c r="M66" s="43" t="s">
        <v>37</v>
      </c>
      <c r="N66" s="43" t="s">
        <v>254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62"/>
      <c r="T66" s="62">
        <v>3</v>
      </c>
      <c r="U66" s="72">
        <v>1</v>
      </c>
      <c r="V66" s="72"/>
      <c r="W66" s="62"/>
      <c r="X66" s="62"/>
      <c r="Y66" s="63"/>
      <c r="Z66" s="73"/>
      <c r="AA66" s="25"/>
      <c r="AB66" s="25"/>
    </row>
    <row r="67" spans="2:28">
      <c r="B67" s="78">
        <v>0.87083333333333324</v>
      </c>
      <c r="C67" s="79"/>
      <c r="D67" s="41">
        <v>1</v>
      </c>
      <c r="E67" s="41">
        <v>1</v>
      </c>
      <c r="F67" s="42" t="s">
        <v>251</v>
      </c>
      <c r="G67" s="42" t="s">
        <v>252</v>
      </c>
      <c r="H67" s="42" t="s">
        <v>254</v>
      </c>
      <c r="I67" s="42"/>
      <c r="J67" s="42">
        <v>6</v>
      </c>
      <c r="K67" s="25" t="str">
        <f>VLOOKUP(J67,Key!$E$2:$F$9,2,FALSE)</f>
        <v>Leisure/Social</v>
      </c>
      <c r="L67" s="42" t="s">
        <v>256</v>
      </c>
      <c r="M67" s="43" t="s">
        <v>37</v>
      </c>
      <c r="N67" s="43" t="s">
        <v>254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Leisure/Social-Work</v>
      </c>
      <c r="S67" s="62"/>
      <c r="T67" s="62">
        <v>0</v>
      </c>
      <c r="U67" s="72">
        <v>1</v>
      </c>
      <c r="V67" s="72"/>
      <c r="W67" s="62"/>
      <c r="X67" s="62"/>
      <c r="Y67" s="63"/>
      <c r="Z67" s="73"/>
      <c r="AA67" s="25"/>
      <c r="AB67" s="25"/>
    </row>
    <row r="68" spans="2:28">
      <c r="B68" s="78">
        <v>0.87569444444444444</v>
      </c>
      <c r="C68" s="79"/>
      <c r="D68" s="41">
        <v>3</v>
      </c>
      <c r="E68" s="41">
        <v>1</v>
      </c>
      <c r="F68" s="42" t="s">
        <v>241</v>
      </c>
      <c r="G68" s="42" t="s">
        <v>241</v>
      </c>
      <c r="H68" s="42" t="s">
        <v>254</v>
      </c>
      <c r="I68" s="42"/>
      <c r="J68" s="42">
        <v>2</v>
      </c>
      <c r="K68" s="25" t="str">
        <f>VLOOKUP(J68,Key!$E$2:$F$9,2,FALSE)</f>
        <v>Work</v>
      </c>
      <c r="L68" s="42" t="s">
        <v>38</v>
      </c>
      <c r="M68" s="43" t="s">
        <v>37</v>
      </c>
      <c r="N68" s="43" t="s">
        <v>254</v>
      </c>
      <c r="O68" s="43"/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62"/>
      <c r="T68" s="62">
        <v>5</v>
      </c>
      <c r="U68" s="72">
        <v>1</v>
      </c>
      <c r="V68" s="72"/>
      <c r="W68" s="62"/>
      <c r="X68" s="62"/>
      <c r="Y68" s="63"/>
      <c r="Z68" s="73"/>
      <c r="AA68" s="25"/>
      <c r="AB68" s="25"/>
    </row>
    <row r="69" spans="2:28">
      <c r="B69" s="78">
        <v>0.88055555555555554</v>
      </c>
      <c r="C69" s="79"/>
      <c r="D69" s="41">
        <v>1</v>
      </c>
      <c r="E69" s="41">
        <v>1</v>
      </c>
      <c r="F69" s="42" t="s">
        <v>241</v>
      </c>
      <c r="G69" s="42" t="s">
        <v>241</v>
      </c>
      <c r="H69" s="42" t="s">
        <v>254</v>
      </c>
      <c r="I69" s="42"/>
      <c r="J69" s="42">
        <v>2</v>
      </c>
      <c r="K69" s="25" t="str">
        <f>VLOOKUP(J69,Key!$E$2:$F$9,2,FALSE)</f>
        <v>Work</v>
      </c>
      <c r="L69" s="42" t="s">
        <v>38</v>
      </c>
      <c r="M69" s="43" t="s">
        <v>37</v>
      </c>
      <c r="N69" s="43" t="s">
        <v>254</v>
      </c>
      <c r="O69" s="43"/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62"/>
      <c r="T69" s="62">
        <v>5</v>
      </c>
      <c r="U69" s="72">
        <v>1</v>
      </c>
      <c r="V69" s="72">
        <v>1</v>
      </c>
      <c r="W69" s="62"/>
      <c r="X69" s="62"/>
      <c r="Y69" s="63"/>
      <c r="Z69" s="73"/>
      <c r="AA69" s="25"/>
      <c r="AB69" s="25"/>
    </row>
    <row r="70" spans="2:28">
      <c r="B70" s="78">
        <v>0.89166666666666661</v>
      </c>
      <c r="C70" s="79"/>
      <c r="D70" s="41">
        <v>3</v>
      </c>
      <c r="E70" s="41">
        <v>2</v>
      </c>
      <c r="F70" s="42" t="s">
        <v>129</v>
      </c>
      <c r="G70" s="42" t="s">
        <v>129</v>
      </c>
      <c r="H70" s="42" t="s">
        <v>254</v>
      </c>
      <c r="I70" s="42"/>
      <c r="J70" s="42">
        <v>2</v>
      </c>
      <c r="K70" s="25" t="str">
        <f>VLOOKUP(J70,Key!$E$2:$F$9,2,FALSE)</f>
        <v>Work</v>
      </c>
      <c r="L70" s="42" t="s">
        <v>38</v>
      </c>
      <c r="M70" s="43" t="s">
        <v>37</v>
      </c>
      <c r="N70" s="43" t="s">
        <v>254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2"/>
      <c r="T70" s="62">
        <v>3</v>
      </c>
      <c r="U70" s="72">
        <v>4</v>
      </c>
      <c r="V70" s="72"/>
      <c r="W70" s="62"/>
      <c r="X70" s="62"/>
      <c r="Y70" s="63"/>
      <c r="Z70" s="73"/>
      <c r="AA70" s="25"/>
      <c r="AB70" s="25"/>
    </row>
    <row r="71" spans="2:28">
      <c r="B71" s="78">
        <v>0.8965277777777777</v>
      </c>
      <c r="C71" s="79"/>
      <c r="D71" s="41">
        <v>1</v>
      </c>
      <c r="E71" s="41">
        <v>3</v>
      </c>
      <c r="F71" s="42" t="s">
        <v>108</v>
      </c>
      <c r="G71" s="42" t="s">
        <v>37</v>
      </c>
      <c r="H71" s="42" t="s">
        <v>254</v>
      </c>
      <c r="I71" s="42"/>
      <c r="J71" s="42">
        <v>1</v>
      </c>
      <c r="K71" s="25" t="str">
        <f>VLOOKUP(J71,Key!$E$2:$F$9,2,FALSE)</f>
        <v>Home</v>
      </c>
      <c r="L71" s="42" t="s">
        <v>256</v>
      </c>
      <c r="M71" s="43" t="s">
        <v>37</v>
      </c>
      <c r="N71" s="43" t="s">
        <v>254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2"/>
      <c r="T71" s="62">
        <v>0</v>
      </c>
      <c r="U71" s="72">
        <v>3</v>
      </c>
      <c r="V71" s="72"/>
      <c r="W71" s="62"/>
      <c r="X71" s="62"/>
      <c r="Y71" s="63"/>
      <c r="Z71" s="73"/>
      <c r="AA71" s="25"/>
      <c r="AB71" s="25"/>
    </row>
    <row r="72" spans="2:28">
      <c r="B72" s="78">
        <v>0.91249999999999998</v>
      </c>
      <c r="C72" s="79"/>
      <c r="D72" s="41">
        <v>1</v>
      </c>
      <c r="E72" s="41">
        <v>1</v>
      </c>
      <c r="F72" s="42" t="s">
        <v>40</v>
      </c>
      <c r="G72" s="42" t="s">
        <v>243</v>
      </c>
      <c r="H72" s="42" t="s">
        <v>254</v>
      </c>
      <c r="I72" s="42"/>
      <c r="J72" s="42">
        <v>1</v>
      </c>
      <c r="K72" s="25" t="str">
        <f>VLOOKUP(J72,Key!$E$2:$F$9,2,FALSE)</f>
        <v>Home</v>
      </c>
      <c r="L72" s="42" t="s">
        <v>259</v>
      </c>
      <c r="M72" s="43" t="s">
        <v>37</v>
      </c>
      <c r="N72" s="43" t="s">
        <v>254</v>
      </c>
      <c r="O72" s="43"/>
      <c r="P72" s="43">
        <v>1</v>
      </c>
      <c r="Q72" s="25" t="str">
        <f>VLOOKUP(P72,Key!$E$2:$F$9,2,FALSE)</f>
        <v>Home</v>
      </c>
      <c r="R72" s="25" t="str">
        <f t="shared" si="1"/>
        <v>Home-Home</v>
      </c>
      <c r="S72" s="62"/>
      <c r="T72" s="62">
        <v>0.83333333333333337</v>
      </c>
      <c r="U72" s="72">
        <v>3</v>
      </c>
      <c r="V72" s="72"/>
      <c r="W72" s="62"/>
      <c r="X72" s="62"/>
      <c r="Y72" s="63"/>
      <c r="Z72" s="73"/>
      <c r="AA72" s="25"/>
      <c r="AB72" s="25"/>
    </row>
    <row r="73" spans="2:28">
      <c r="B73" s="78">
        <v>0.92638888888888893</v>
      </c>
      <c r="C73" s="79"/>
      <c r="D73" s="41">
        <v>3</v>
      </c>
      <c r="E73" s="41">
        <v>3</v>
      </c>
      <c r="F73" s="42" t="s">
        <v>249</v>
      </c>
      <c r="G73" s="42" t="s">
        <v>37</v>
      </c>
      <c r="H73" s="42" t="s">
        <v>254</v>
      </c>
      <c r="I73" s="42"/>
      <c r="J73" s="42">
        <v>2</v>
      </c>
      <c r="K73" s="25" t="str">
        <f>VLOOKUP(J73,Key!$E$2:$F$9,2,FALSE)</f>
        <v>Work</v>
      </c>
      <c r="L73" s="42" t="s">
        <v>38</v>
      </c>
      <c r="M73" s="43" t="s">
        <v>37</v>
      </c>
      <c r="N73" s="43" t="s">
        <v>254</v>
      </c>
      <c r="O73" s="43"/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62"/>
      <c r="T73" s="62">
        <v>1</v>
      </c>
      <c r="U73" s="72">
        <v>1</v>
      </c>
      <c r="V73" s="72">
        <v>1</v>
      </c>
      <c r="W73" s="62"/>
      <c r="X73" s="62"/>
      <c r="Y73" s="63"/>
      <c r="Z73" s="73"/>
      <c r="AA73" s="25"/>
      <c r="AB73" s="25"/>
    </row>
    <row r="74" spans="2:28">
      <c r="B74" s="78">
        <v>0.92708333333333337</v>
      </c>
      <c r="C74" s="79"/>
      <c r="D74" s="41">
        <v>8</v>
      </c>
      <c r="E74" s="41">
        <v>4</v>
      </c>
      <c r="F74" s="42" t="s">
        <v>248</v>
      </c>
      <c r="G74" s="42" t="s">
        <v>248</v>
      </c>
      <c r="H74" s="42" t="s">
        <v>254</v>
      </c>
      <c r="I74" s="42"/>
      <c r="J74" s="42">
        <v>5</v>
      </c>
      <c r="K74" s="25" t="str">
        <f>VLOOKUP(J74,Key!$E$2:$F$9,2,FALSE)</f>
        <v>Tourism</v>
      </c>
      <c r="L74" s="42" t="s">
        <v>38</v>
      </c>
      <c r="M74" s="43" t="s">
        <v>37</v>
      </c>
      <c r="N74" s="43" t="s">
        <v>254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Tourism-Work</v>
      </c>
      <c r="S74" s="62"/>
      <c r="T74" s="62">
        <v>2</v>
      </c>
      <c r="U74" s="72">
        <v>1</v>
      </c>
      <c r="V74" s="72">
        <v>6</v>
      </c>
      <c r="W74" s="62"/>
      <c r="X74" s="62"/>
      <c r="Y74" s="63"/>
      <c r="Z74" s="73"/>
      <c r="AA74" s="25"/>
      <c r="AB74" s="25"/>
    </row>
    <row r="75" spans="2:28">
      <c r="B75" s="78">
        <v>0.9277777777777777</v>
      </c>
      <c r="C75" s="79"/>
      <c r="D75" s="41">
        <v>12</v>
      </c>
      <c r="E75" s="41">
        <v>5</v>
      </c>
      <c r="F75" s="42" t="s">
        <v>60</v>
      </c>
      <c r="G75" s="42" t="s">
        <v>240</v>
      </c>
      <c r="H75" s="42" t="s">
        <v>254</v>
      </c>
      <c r="I75" s="42"/>
      <c r="J75" s="42">
        <v>1</v>
      </c>
      <c r="K75" s="25" t="str">
        <f>VLOOKUP(J75,Key!$E$2:$F$9,2,FALSE)</f>
        <v>Home</v>
      </c>
      <c r="L75" s="42" t="s">
        <v>38</v>
      </c>
      <c r="M75" s="43" t="s">
        <v>37</v>
      </c>
      <c r="N75" s="43" t="s">
        <v>254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62"/>
      <c r="T75" s="62">
        <v>48</v>
      </c>
      <c r="U75" s="72">
        <v>4</v>
      </c>
      <c r="V75" s="72"/>
      <c r="W75" s="62"/>
      <c r="X75" s="62"/>
      <c r="Y75" s="63"/>
      <c r="Z75" s="73"/>
      <c r="AA75" s="25"/>
      <c r="AB75" s="25"/>
    </row>
    <row r="76" spans="2:28">
      <c r="B76" s="78">
        <v>0.93055555555555547</v>
      </c>
      <c r="C76" s="79"/>
      <c r="D76" s="41">
        <v>2</v>
      </c>
      <c r="E76" s="41">
        <v>5</v>
      </c>
      <c r="F76" s="42" t="s">
        <v>248</v>
      </c>
      <c r="G76" s="42" t="s">
        <v>248</v>
      </c>
      <c r="H76" s="42" t="s">
        <v>254</v>
      </c>
      <c r="I76" s="42"/>
      <c r="J76" s="42">
        <v>2</v>
      </c>
      <c r="K76" s="25" t="str">
        <f>VLOOKUP(J76,Key!$E$2:$F$9,2,FALSE)</f>
        <v>Work</v>
      </c>
      <c r="L76" s="42" t="s">
        <v>38</v>
      </c>
      <c r="M76" s="43" t="s">
        <v>37</v>
      </c>
      <c r="N76" s="43" t="s">
        <v>254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62"/>
      <c r="T76" s="62">
        <v>1.5</v>
      </c>
      <c r="U76" s="72">
        <v>4</v>
      </c>
      <c r="V76" s="72">
        <v>1</v>
      </c>
      <c r="W76" s="62"/>
      <c r="X76" s="62"/>
      <c r="Y76" s="63"/>
      <c r="Z76" s="73"/>
      <c r="AA76" s="25"/>
      <c r="AB76" s="25"/>
    </row>
    <row r="77" spans="2:28">
      <c r="B77" s="78">
        <v>0.93333333333333324</v>
      </c>
      <c r="C77" s="79"/>
      <c r="D77" s="41">
        <v>1</v>
      </c>
      <c r="E77" s="41">
        <v>3</v>
      </c>
      <c r="F77" s="42" t="s">
        <v>108</v>
      </c>
      <c r="G77" s="42" t="s">
        <v>37</v>
      </c>
      <c r="H77" s="42" t="s">
        <v>254</v>
      </c>
      <c r="I77" s="42"/>
      <c r="J77" s="42">
        <v>1</v>
      </c>
      <c r="K77" s="25" t="str">
        <f>VLOOKUP(J77,Key!$E$2:$F$9,2,FALSE)</f>
        <v>Home</v>
      </c>
      <c r="L77" s="42" t="s">
        <v>38</v>
      </c>
      <c r="M77" s="43" t="s">
        <v>37</v>
      </c>
      <c r="N77" s="43" t="s">
        <v>254</v>
      </c>
      <c r="O77" s="43"/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62"/>
      <c r="T77" s="62">
        <v>1</v>
      </c>
      <c r="U77" s="72">
        <v>1</v>
      </c>
      <c r="V77" s="72"/>
      <c r="W77" s="62"/>
      <c r="X77" s="62"/>
      <c r="Y77" s="63"/>
      <c r="Z77" s="73"/>
      <c r="AA77" s="25"/>
      <c r="AB77" s="25"/>
    </row>
    <row r="78" spans="2:28">
      <c r="B78" s="78">
        <v>0.93680555555555556</v>
      </c>
      <c r="C78" s="79"/>
      <c r="D78" s="41">
        <v>1</v>
      </c>
      <c r="E78" s="41">
        <v>1</v>
      </c>
      <c r="F78" s="42" t="s">
        <v>37</v>
      </c>
      <c r="G78" s="42" t="s">
        <v>37</v>
      </c>
      <c r="H78" s="42" t="s">
        <v>254</v>
      </c>
      <c r="I78" s="42"/>
      <c r="J78" s="42">
        <v>2</v>
      </c>
      <c r="K78" s="25" t="str">
        <f>VLOOKUP(J78,Key!$E$2:$F$9,2,FALSE)</f>
        <v>Work</v>
      </c>
      <c r="L78" s="42" t="s">
        <v>38</v>
      </c>
      <c r="M78" s="43" t="s">
        <v>37</v>
      </c>
      <c r="N78" s="43" t="s">
        <v>254</v>
      </c>
      <c r="O78" s="43"/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2"/>
      <c r="T78" s="62">
        <v>2</v>
      </c>
      <c r="U78" s="72">
        <v>2</v>
      </c>
      <c r="V78" s="72">
        <v>7</v>
      </c>
      <c r="W78" s="62"/>
      <c r="X78" s="62"/>
      <c r="Y78" s="63"/>
      <c r="Z78" s="73"/>
      <c r="AA78" s="25"/>
      <c r="AB78" s="25"/>
    </row>
    <row r="79" spans="2:28">
      <c r="B79" s="78">
        <v>0.9472222222222223</v>
      </c>
      <c r="C79" s="79"/>
      <c r="D79" s="41">
        <v>1</v>
      </c>
      <c r="E79" s="41">
        <v>4</v>
      </c>
      <c r="F79" s="42" t="s">
        <v>241</v>
      </c>
      <c r="G79" s="42" t="s">
        <v>241</v>
      </c>
      <c r="H79" s="42" t="s">
        <v>254</v>
      </c>
      <c r="I79" s="42"/>
      <c r="J79" s="42">
        <v>2</v>
      </c>
      <c r="K79" s="25" t="str">
        <f>VLOOKUP(J79,Key!$E$2:$F$9,2,FALSE)</f>
        <v>Work</v>
      </c>
      <c r="L79" s="42" t="s">
        <v>38</v>
      </c>
      <c r="M79" s="43" t="s">
        <v>37</v>
      </c>
      <c r="N79" s="43" t="s">
        <v>254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62"/>
      <c r="T79" s="62">
        <v>5</v>
      </c>
      <c r="U79" s="72">
        <v>4</v>
      </c>
      <c r="V79" s="72"/>
      <c r="W79" s="62"/>
      <c r="X79" s="62"/>
      <c r="Y79" s="63"/>
      <c r="Z79" s="73"/>
      <c r="AA79" s="25"/>
      <c r="AB79" s="25"/>
    </row>
    <row r="80" spans="2:28">
      <c r="B80" s="78">
        <v>0.95277777777777783</v>
      </c>
      <c r="C80" s="79"/>
      <c r="D80" s="41">
        <v>1</v>
      </c>
      <c r="E80" s="41">
        <v>4</v>
      </c>
      <c r="F80" s="42" t="s">
        <v>108</v>
      </c>
      <c r="G80" s="42" t="s">
        <v>37</v>
      </c>
      <c r="H80" s="42" t="s">
        <v>254</v>
      </c>
      <c r="I80" s="42"/>
      <c r="J80" s="42">
        <v>2</v>
      </c>
      <c r="K80" s="25" t="str">
        <f>VLOOKUP(J80,Key!$E$2:$F$9,2,FALSE)</f>
        <v>Work</v>
      </c>
      <c r="L80" s="42" t="s">
        <v>256</v>
      </c>
      <c r="M80" s="43" t="s">
        <v>37</v>
      </c>
      <c r="N80" s="43" t="s">
        <v>254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2"/>
      <c r="T80" s="62">
        <v>1</v>
      </c>
      <c r="U80" s="72">
        <v>4</v>
      </c>
      <c r="V80" s="72"/>
      <c r="W80" s="62"/>
      <c r="X80" s="62"/>
      <c r="Y80" s="63"/>
      <c r="Z80" s="73"/>
      <c r="AA80" s="25"/>
      <c r="AB80" s="25"/>
    </row>
    <row r="81" spans="2:28">
      <c r="B81" s="78">
        <v>0.95833333333333337</v>
      </c>
      <c r="C81" s="79"/>
      <c r="D81" s="41">
        <v>1</v>
      </c>
      <c r="E81" s="41">
        <v>1</v>
      </c>
      <c r="F81" s="42" t="s">
        <v>37</v>
      </c>
      <c r="G81" s="42" t="s">
        <v>37</v>
      </c>
      <c r="H81" s="42" t="s">
        <v>254</v>
      </c>
      <c r="I81" s="42"/>
      <c r="J81" s="42">
        <v>2</v>
      </c>
      <c r="K81" s="25" t="str">
        <f>VLOOKUP(J81,Key!$E$2:$F$9,2,FALSE)</f>
        <v>Work</v>
      </c>
      <c r="L81" s="42" t="s">
        <v>261</v>
      </c>
      <c r="M81" s="43" t="s">
        <v>37</v>
      </c>
      <c r="N81" s="43" t="s">
        <v>254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62"/>
      <c r="T81" s="62">
        <v>2</v>
      </c>
      <c r="U81" s="72">
        <v>2</v>
      </c>
      <c r="V81" s="72"/>
      <c r="W81" s="62"/>
      <c r="X81" s="62"/>
      <c r="Y81" s="63"/>
      <c r="Z81" s="73"/>
      <c r="AA81" s="25"/>
      <c r="AB81" s="25"/>
    </row>
    <row r="82" spans="2:28">
      <c r="B82" s="78">
        <v>0.96527777777777779</v>
      </c>
      <c r="C82" s="79"/>
      <c r="D82" s="41">
        <v>8</v>
      </c>
      <c r="E82" s="41">
        <v>4</v>
      </c>
      <c r="F82" s="42" t="s">
        <v>248</v>
      </c>
      <c r="G82" s="42" t="s">
        <v>248</v>
      </c>
      <c r="H82" s="42" t="s">
        <v>254</v>
      </c>
      <c r="I82" s="42"/>
      <c r="J82" s="42">
        <v>2</v>
      </c>
      <c r="K82" s="25" t="str">
        <f>VLOOKUP(J82,Key!$E$2:$F$9,2,FALSE)</f>
        <v>Work</v>
      </c>
      <c r="L82" s="42" t="s">
        <v>38</v>
      </c>
      <c r="M82" s="43" t="s">
        <v>37</v>
      </c>
      <c r="N82" s="43" t="s">
        <v>254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3</v>
      </c>
      <c r="U82" s="72">
        <v>1</v>
      </c>
      <c r="V82" s="72"/>
      <c r="W82" s="62"/>
      <c r="X82" s="62"/>
      <c r="Y82" s="63"/>
      <c r="Z82" s="73"/>
      <c r="AA82" s="25"/>
      <c r="AB82" s="25"/>
    </row>
    <row r="83" spans="2:28">
      <c r="B83" s="78">
        <v>0.9784722222222223</v>
      </c>
      <c r="C83" s="79"/>
      <c r="D83" s="41">
        <v>1</v>
      </c>
      <c r="E83" s="41">
        <v>1</v>
      </c>
      <c r="F83" s="42" t="s">
        <v>41</v>
      </c>
      <c r="G83" s="42" t="s">
        <v>253</v>
      </c>
      <c r="H83" s="42" t="s">
        <v>254</v>
      </c>
      <c r="I83" s="42"/>
      <c r="J83" s="42">
        <v>1</v>
      </c>
      <c r="K83" s="25" t="str">
        <f>VLOOKUP(J83,Key!$E$2:$F$9,2,FALSE)</f>
        <v>Home</v>
      </c>
      <c r="L83" s="42" t="s">
        <v>38</v>
      </c>
      <c r="M83" s="43" t="s">
        <v>37</v>
      </c>
      <c r="N83" s="43" t="s">
        <v>254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>
        <v>10</v>
      </c>
      <c r="U83" s="72">
        <v>1</v>
      </c>
      <c r="V83" s="72">
        <v>6</v>
      </c>
      <c r="W83" s="62"/>
      <c r="X83" s="62"/>
      <c r="Y83" s="63"/>
      <c r="Z83" s="73"/>
      <c r="AA83" s="25"/>
      <c r="AB83" s="25"/>
    </row>
    <row r="84" spans="2:28">
      <c r="B84" s="78">
        <v>0.98958333333333337</v>
      </c>
      <c r="C84" s="79"/>
      <c r="D84" s="41">
        <v>5</v>
      </c>
      <c r="E84" s="41">
        <v>2</v>
      </c>
      <c r="F84" s="42" t="s">
        <v>241</v>
      </c>
      <c r="G84" s="42" t="s">
        <v>241</v>
      </c>
      <c r="H84" s="42" t="s">
        <v>254</v>
      </c>
      <c r="I84" s="42"/>
      <c r="J84" s="42">
        <v>2</v>
      </c>
      <c r="K84" s="25" t="str">
        <f>VLOOKUP(J84,Key!$E$2:$F$9,2,FALSE)</f>
        <v>Work</v>
      </c>
      <c r="L84" s="42" t="s">
        <v>38</v>
      </c>
      <c r="M84" s="43" t="s">
        <v>37</v>
      </c>
      <c r="N84" s="43" t="s">
        <v>254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62"/>
      <c r="T84" s="62">
        <v>8</v>
      </c>
      <c r="U84" s="72">
        <v>4</v>
      </c>
      <c r="V84" s="72"/>
      <c r="W84" s="62"/>
      <c r="X84" s="62"/>
      <c r="Y84" s="63"/>
      <c r="Z84" s="73"/>
      <c r="AA84" s="25"/>
      <c r="AB84" s="25"/>
    </row>
    <row r="85" spans="2:28">
      <c r="B85" s="78">
        <v>0.9916666666666667</v>
      </c>
      <c r="C85" s="79"/>
      <c r="D85" s="41">
        <v>1</v>
      </c>
      <c r="E85" s="41">
        <v>4</v>
      </c>
      <c r="F85" s="42" t="s">
        <v>241</v>
      </c>
      <c r="G85" s="42" t="s">
        <v>241</v>
      </c>
      <c r="H85" s="42" t="s">
        <v>254</v>
      </c>
      <c r="I85" s="42"/>
      <c r="J85" s="42">
        <v>7</v>
      </c>
      <c r="K85" s="25" t="str">
        <f>VLOOKUP(J85,Key!$E$2:$F$9,2,FALSE)</f>
        <v>Hospital</v>
      </c>
      <c r="L85" s="42" t="s">
        <v>38</v>
      </c>
      <c r="M85" s="43" t="s">
        <v>37</v>
      </c>
      <c r="N85" s="43" t="s">
        <v>254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Hospital-Work</v>
      </c>
      <c r="S85" s="62"/>
      <c r="T85" s="62">
        <v>4</v>
      </c>
      <c r="U85" s="72">
        <v>2</v>
      </c>
      <c r="V85" s="72"/>
      <c r="W85" s="62"/>
      <c r="X85" s="62"/>
      <c r="Y85" s="63"/>
      <c r="Z85" s="73"/>
      <c r="AA85" s="25"/>
      <c r="AB85" s="25"/>
    </row>
    <row r="86" spans="2:28">
      <c r="B86" s="40"/>
      <c r="C86" s="40"/>
      <c r="D86" s="41"/>
      <c r="E86" s="41"/>
      <c r="F86" s="42"/>
      <c r="G86" s="42"/>
      <c r="H86" s="42"/>
      <c r="I86" s="42"/>
      <c r="J86" s="42"/>
      <c r="K86" s="25" t="e">
        <f>VLOOKUP(J86,Key!$E$2:$F$9,2,FALSE)</f>
        <v>#N/A</v>
      </c>
      <c r="L86" s="42"/>
      <c r="M86" s="43"/>
      <c r="N86" s="43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72"/>
      <c r="V86" s="72"/>
      <c r="W86" s="62"/>
      <c r="X86" s="62"/>
      <c r="Y86" s="63"/>
      <c r="Z86" s="73"/>
      <c r="AA86" s="25"/>
      <c r="AB86" s="25"/>
    </row>
    <row r="87" spans="2:28">
      <c r="B87" s="40"/>
      <c r="C87" s="40"/>
      <c r="D87" s="41"/>
      <c r="E87" s="41"/>
      <c r="F87" s="42"/>
      <c r="G87" s="42"/>
      <c r="H87" s="42"/>
      <c r="I87" s="42"/>
      <c r="J87" s="42"/>
      <c r="K87" s="25" t="e">
        <f>VLOOKUP(J87,Key!$E$2:$F$9,2,FALSE)</f>
        <v>#N/A</v>
      </c>
      <c r="L87" s="42"/>
      <c r="M87" s="43"/>
      <c r="N87" s="43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72"/>
      <c r="V87" s="72"/>
      <c r="W87" s="62"/>
      <c r="X87" s="62"/>
      <c r="Y87" s="63"/>
      <c r="Z87" s="73"/>
      <c r="AA87" s="25"/>
      <c r="AB87" s="25"/>
    </row>
    <row r="88" spans="2:28">
      <c r="B88" s="40"/>
      <c r="C88" s="40"/>
      <c r="D88" s="41"/>
      <c r="E88" s="41"/>
      <c r="F88" s="42"/>
      <c r="G88" s="42"/>
      <c r="H88" s="42"/>
      <c r="I88" s="42"/>
      <c r="J88" s="42"/>
      <c r="K88" s="25" t="e">
        <f>VLOOKUP(J88,Key!$E$2:$F$9,2,FALSE)</f>
        <v>#N/A</v>
      </c>
      <c r="L88" s="42"/>
      <c r="M88" s="43"/>
      <c r="N88" s="43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72"/>
      <c r="V88" s="72"/>
      <c r="W88" s="62"/>
      <c r="X88" s="62"/>
      <c r="Y88" s="63"/>
      <c r="Z88" s="73"/>
      <c r="AA88" s="25"/>
      <c r="AB88" s="25"/>
    </row>
    <row r="89" spans="2:28">
      <c r="B89" s="40"/>
      <c r="C89" s="40"/>
      <c r="D89" s="41"/>
      <c r="E89" s="41"/>
      <c r="F89" s="42"/>
      <c r="G89" s="42"/>
      <c r="H89" s="42"/>
      <c r="I89" s="42"/>
      <c r="J89" s="42"/>
      <c r="K89" s="25" t="e">
        <f>VLOOKUP(J89,Key!$E$2:$F$9,2,FALSE)</f>
        <v>#N/A</v>
      </c>
      <c r="L89" s="42"/>
      <c r="M89" s="43"/>
      <c r="N89" s="43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72"/>
      <c r="V89" s="72"/>
      <c r="W89" s="62"/>
      <c r="X89" s="62"/>
      <c r="Y89" s="63"/>
      <c r="Z89" s="73"/>
      <c r="AA89" s="25"/>
      <c r="AB89" s="25"/>
    </row>
    <row r="90" spans="2:28">
      <c r="B90" s="40"/>
      <c r="C90" s="40"/>
      <c r="D90" s="41"/>
      <c r="E90" s="41"/>
      <c r="F90" s="42"/>
      <c r="G90" s="42"/>
      <c r="H90" s="42"/>
      <c r="I90" s="42"/>
      <c r="J90" s="42"/>
      <c r="K90" s="25" t="e">
        <f>VLOOKUP(J90,Key!$E$2:$F$9,2,FALSE)</f>
        <v>#N/A</v>
      </c>
      <c r="L90" s="42"/>
      <c r="M90" s="43"/>
      <c r="N90" s="43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72"/>
      <c r="V90" s="72"/>
      <c r="W90" s="62"/>
      <c r="X90" s="62"/>
      <c r="Y90" s="63"/>
      <c r="Z90" s="73"/>
      <c r="AA90" s="25"/>
      <c r="AB90" s="25"/>
    </row>
    <row r="91" spans="2:28">
      <c r="B91" s="40"/>
      <c r="C91" s="40"/>
      <c r="D91" s="41"/>
      <c r="E91" s="41"/>
      <c r="F91" s="42"/>
      <c r="G91" s="42"/>
      <c r="H91" s="42"/>
      <c r="I91" s="42"/>
      <c r="J91" s="42"/>
      <c r="K91" s="25" t="e">
        <f>VLOOKUP(J91,Key!$E$2:$F$9,2,FALSE)</f>
        <v>#N/A</v>
      </c>
      <c r="L91" s="42"/>
      <c r="M91" s="43"/>
      <c r="N91" s="43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72"/>
      <c r="V91" s="72"/>
      <c r="W91" s="62"/>
      <c r="X91" s="62"/>
      <c r="Y91" s="63"/>
      <c r="Z91" s="73"/>
      <c r="AA91" s="25"/>
      <c r="AB91" s="25"/>
    </row>
    <row r="92" spans="2:28">
      <c r="B92" s="40"/>
      <c r="C92" s="40"/>
      <c r="D92" s="41"/>
      <c r="E92" s="41"/>
      <c r="F92" s="42"/>
      <c r="G92" s="42"/>
      <c r="H92" s="42"/>
      <c r="I92" s="42"/>
      <c r="J92" s="42"/>
      <c r="K92" s="25" t="e">
        <f>VLOOKUP(J92,Key!$E$2:$F$9,2,FALSE)</f>
        <v>#N/A</v>
      </c>
      <c r="L92" s="42"/>
      <c r="M92" s="43"/>
      <c r="N92" s="43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72"/>
      <c r="V92" s="72"/>
      <c r="W92" s="62"/>
      <c r="X92" s="62"/>
      <c r="Y92" s="63"/>
      <c r="Z92" s="73"/>
      <c r="AA92" s="25"/>
      <c r="AB92" s="25"/>
    </row>
    <row r="93" spans="2:28">
      <c r="B93" s="40"/>
      <c r="C93" s="40"/>
      <c r="D93" s="41"/>
      <c r="E93" s="41"/>
      <c r="F93" s="42"/>
      <c r="G93" s="42"/>
      <c r="H93" s="42"/>
      <c r="I93" s="42"/>
      <c r="J93" s="42"/>
      <c r="K93" s="25" t="e">
        <f>VLOOKUP(J93,Key!$E$2:$F$9,2,FALSE)</f>
        <v>#N/A</v>
      </c>
      <c r="L93" s="42"/>
      <c r="M93" s="43"/>
      <c r="N93" s="43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72"/>
      <c r="V93" s="72"/>
      <c r="W93" s="62"/>
      <c r="X93" s="62"/>
      <c r="Y93" s="63"/>
      <c r="Z93" s="73"/>
      <c r="AA93" s="25"/>
      <c r="AB93" s="25"/>
    </row>
    <row r="94" spans="2:28">
      <c r="B94" s="40"/>
      <c r="C94" s="40"/>
      <c r="D94" s="41"/>
      <c r="E94" s="41"/>
      <c r="F94" s="42"/>
      <c r="G94" s="42"/>
      <c r="H94" s="42"/>
      <c r="I94" s="42"/>
      <c r="J94" s="42"/>
      <c r="K94" s="25" t="e">
        <f>VLOOKUP(J94,Key!$E$2:$F$9,2,FALSE)</f>
        <v>#N/A</v>
      </c>
      <c r="L94" s="42"/>
      <c r="M94" s="43"/>
      <c r="N94" s="43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72"/>
      <c r="V94" s="72"/>
      <c r="W94" s="62"/>
      <c r="X94" s="62"/>
      <c r="Y94" s="63"/>
      <c r="Z94" s="73"/>
      <c r="AA94" s="25"/>
      <c r="AB94" s="25"/>
    </row>
    <row r="95" spans="2:28">
      <c r="B95" s="40"/>
      <c r="C95" s="40"/>
      <c r="D95" s="41"/>
      <c r="E95" s="41"/>
      <c r="F95" s="42"/>
      <c r="G95" s="42"/>
      <c r="H95" s="42"/>
      <c r="I95" s="42"/>
      <c r="J95" s="42"/>
      <c r="K95" s="25" t="e">
        <f>VLOOKUP(J95,Key!$E$2:$F$9,2,FALSE)</f>
        <v>#N/A</v>
      </c>
      <c r="L95" s="42"/>
      <c r="M95" s="43"/>
      <c r="N95" s="43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72"/>
      <c r="V95" s="72"/>
      <c r="W95" s="62"/>
      <c r="X95" s="62"/>
      <c r="Y95" s="63"/>
      <c r="Z95" s="73"/>
      <c r="AA95" s="25"/>
      <c r="AB95" s="25"/>
    </row>
    <row r="96" spans="2:28">
      <c r="B96" s="40"/>
      <c r="C96" s="40"/>
      <c r="D96" s="41"/>
      <c r="E96" s="41"/>
      <c r="F96" s="42"/>
      <c r="G96" s="42"/>
      <c r="H96" s="42"/>
      <c r="I96" s="42"/>
      <c r="J96" s="42"/>
      <c r="K96" s="25" t="e">
        <f>VLOOKUP(J96,Key!$E$2:$F$9,2,FALSE)</f>
        <v>#N/A</v>
      </c>
      <c r="L96" s="42"/>
      <c r="M96" s="43"/>
      <c r="N96" s="43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72"/>
      <c r="V96" s="72"/>
      <c r="W96" s="62"/>
      <c r="X96" s="62"/>
      <c r="Y96" s="63"/>
      <c r="Z96" s="73"/>
      <c r="AA96" s="25"/>
      <c r="AB96" s="25"/>
    </row>
    <row r="97" spans="2:28">
      <c r="B97" s="40"/>
      <c r="C97" s="40"/>
      <c r="D97" s="41"/>
      <c r="E97" s="41"/>
      <c r="F97" s="42"/>
      <c r="G97" s="42"/>
      <c r="H97" s="42"/>
      <c r="I97" s="42"/>
      <c r="J97" s="42"/>
      <c r="K97" s="25" t="e">
        <f>VLOOKUP(J97,Key!$E$2:$F$9,2,FALSE)</f>
        <v>#N/A</v>
      </c>
      <c r="L97" s="42"/>
      <c r="M97" s="43"/>
      <c r="N97" s="43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72"/>
      <c r="V97" s="72"/>
      <c r="W97" s="62"/>
      <c r="X97" s="62"/>
      <c r="Y97" s="63"/>
      <c r="Z97" s="73"/>
      <c r="AA97" s="25"/>
      <c r="AB97" s="25"/>
    </row>
    <row r="98" spans="2:28">
      <c r="B98" s="40"/>
      <c r="C98" s="40"/>
      <c r="D98" s="41"/>
      <c r="E98" s="41"/>
      <c r="F98" s="42"/>
      <c r="G98" s="42"/>
      <c r="H98" s="42"/>
      <c r="I98" s="42"/>
      <c r="J98" s="42"/>
      <c r="K98" s="25" t="e">
        <f>VLOOKUP(J98,Key!$E$2:$F$9,2,FALSE)</f>
        <v>#N/A</v>
      </c>
      <c r="L98" s="42"/>
      <c r="M98" s="43"/>
      <c r="N98" s="43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72"/>
      <c r="V98" s="72"/>
      <c r="W98" s="62"/>
      <c r="X98" s="62"/>
      <c r="Y98" s="63"/>
      <c r="Z98" s="73"/>
      <c r="AA98" s="25"/>
      <c r="AB98" s="25"/>
    </row>
    <row r="99" spans="2:28">
      <c r="B99" s="40"/>
      <c r="C99" s="40"/>
      <c r="D99" s="41"/>
      <c r="E99" s="41"/>
      <c r="F99" s="42"/>
      <c r="G99" s="42"/>
      <c r="H99" s="42"/>
      <c r="I99" s="42"/>
      <c r="J99" s="42"/>
      <c r="K99" s="25" t="e">
        <f>VLOOKUP(J99,Key!$E$2:$F$9,2,FALSE)</f>
        <v>#N/A</v>
      </c>
      <c r="L99" s="42"/>
      <c r="M99" s="43"/>
      <c r="N99" s="43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72"/>
      <c r="V99" s="72"/>
      <c r="W99" s="62"/>
      <c r="X99" s="62"/>
      <c r="Y99" s="63"/>
      <c r="Z99" s="73"/>
      <c r="AA99" s="25"/>
      <c r="AB99" s="25"/>
    </row>
    <row r="100" spans="2:28">
      <c r="B100" s="40"/>
      <c r="C100" s="40"/>
      <c r="D100" s="41"/>
      <c r="E100" s="41"/>
      <c r="F100" s="42"/>
      <c r="G100" s="42"/>
      <c r="H100" s="42"/>
      <c r="I100" s="42"/>
      <c r="J100" s="42"/>
      <c r="K100" s="25" t="e">
        <f>VLOOKUP(J100,Key!$E$2:$F$9,2,FALSE)</f>
        <v>#N/A</v>
      </c>
      <c r="L100" s="42"/>
      <c r="M100" s="43"/>
      <c r="N100" s="43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72"/>
      <c r="V100" s="72"/>
      <c r="W100" s="62"/>
      <c r="X100" s="62"/>
      <c r="Y100" s="63"/>
      <c r="Z100" s="73"/>
      <c r="AA100" s="25"/>
      <c r="AB100" s="25"/>
    </row>
    <row r="101" spans="2:28">
      <c r="B101" s="40"/>
      <c r="C101" s="40"/>
      <c r="D101" s="41"/>
      <c r="E101" s="41"/>
      <c r="F101" s="42"/>
      <c r="G101" s="42"/>
      <c r="H101" s="42"/>
      <c r="I101" s="42"/>
      <c r="J101" s="42"/>
      <c r="K101" s="25" t="e">
        <f>VLOOKUP(J101,Key!$E$2:$F$9,2,FALSE)</f>
        <v>#N/A</v>
      </c>
      <c r="L101" s="42"/>
      <c r="M101" s="43"/>
      <c r="N101" s="43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72"/>
      <c r="V101" s="72"/>
      <c r="W101" s="62"/>
      <c r="X101" s="62"/>
      <c r="Y101" s="63"/>
      <c r="Z101" s="73"/>
      <c r="AA101" s="25"/>
      <c r="AB101" s="25"/>
    </row>
    <row r="102" spans="2:28">
      <c r="B102" s="40"/>
      <c r="C102" s="40"/>
      <c r="D102" s="41"/>
      <c r="E102" s="41"/>
      <c r="F102" s="42"/>
      <c r="G102" s="42"/>
      <c r="H102" s="42"/>
      <c r="I102" s="42"/>
      <c r="J102" s="42"/>
      <c r="K102" s="25" t="e">
        <f>VLOOKUP(J102,Key!$E$2:$F$9,2,FALSE)</f>
        <v>#N/A</v>
      </c>
      <c r="L102" s="42"/>
      <c r="M102" s="43"/>
      <c r="N102" s="43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72"/>
      <c r="V102" s="72"/>
      <c r="W102" s="62"/>
      <c r="X102" s="62"/>
      <c r="Y102" s="63"/>
      <c r="Z102" s="73"/>
      <c r="AA102" s="25"/>
      <c r="AB102" s="25"/>
    </row>
    <row r="103" spans="2:28">
      <c r="B103" s="40"/>
      <c r="C103" s="40"/>
      <c r="D103" s="41"/>
      <c r="E103" s="41"/>
      <c r="F103" s="42"/>
      <c r="G103" s="42"/>
      <c r="H103" s="42"/>
      <c r="I103" s="42"/>
      <c r="J103" s="42"/>
      <c r="K103" s="25" t="e">
        <f>VLOOKUP(J103,Key!$E$2:$F$9,2,FALSE)</f>
        <v>#N/A</v>
      </c>
      <c r="L103" s="42"/>
      <c r="M103" s="43"/>
      <c r="N103" s="43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72"/>
      <c r="V103" s="72"/>
      <c r="W103" s="62"/>
      <c r="X103" s="62"/>
      <c r="Y103" s="63"/>
      <c r="Z103" s="73"/>
      <c r="AA103" s="25"/>
      <c r="AB103" s="25"/>
    </row>
    <row r="104" spans="2:28">
      <c r="B104" s="40"/>
      <c r="C104" s="40"/>
      <c r="D104" s="41"/>
      <c r="E104" s="41"/>
      <c r="F104" s="42"/>
      <c r="G104" s="42"/>
      <c r="H104" s="42"/>
      <c r="I104" s="42"/>
      <c r="J104" s="42"/>
      <c r="K104" s="25" t="e">
        <f>VLOOKUP(J104,Key!$E$2:$F$9,2,FALSE)</f>
        <v>#N/A</v>
      </c>
      <c r="L104" s="42"/>
      <c r="M104" s="43"/>
      <c r="N104" s="43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72"/>
      <c r="V104" s="72"/>
      <c r="W104" s="62"/>
      <c r="X104" s="62"/>
      <c r="Y104" s="63"/>
      <c r="Z104" s="73"/>
      <c r="AA104" s="25"/>
      <c r="AB104" s="25"/>
    </row>
    <row r="105" spans="2:28" ht="12" customHeight="1">
      <c r="B105" s="40"/>
      <c r="C105" s="40"/>
      <c r="D105" s="41"/>
      <c r="E105" s="41"/>
      <c r="F105" s="42"/>
      <c r="G105" s="42"/>
      <c r="H105" s="42"/>
      <c r="I105" s="42"/>
      <c r="J105" s="42"/>
      <c r="K105" s="25" t="e">
        <f>VLOOKUP(J105,Key!$E$2:$F$9,2,FALSE)</f>
        <v>#N/A</v>
      </c>
      <c r="L105" s="42"/>
      <c r="M105" s="43"/>
      <c r="N105" s="43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72"/>
      <c r="V105" s="72"/>
      <c r="W105" s="62"/>
      <c r="X105" s="62"/>
      <c r="Y105" s="63"/>
      <c r="Z105" s="73"/>
      <c r="AA105" s="25"/>
      <c r="AB105" s="25"/>
    </row>
    <row r="106" spans="2:28">
      <c r="B106" s="40"/>
      <c r="C106" s="40"/>
      <c r="D106" s="41"/>
      <c r="E106" s="41"/>
      <c r="F106" s="42"/>
      <c r="G106" s="42"/>
      <c r="H106" s="42"/>
      <c r="I106" s="42"/>
      <c r="J106" s="42"/>
      <c r="K106" s="25" t="e">
        <f>VLOOKUP(J106,Key!$E$2:$F$9,2,FALSE)</f>
        <v>#N/A</v>
      </c>
      <c r="L106" s="42"/>
      <c r="M106" s="43"/>
      <c r="N106" s="43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72"/>
      <c r="V106" s="72"/>
      <c r="W106" s="62"/>
      <c r="X106" s="62"/>
      <c r="Y106" s="63"/>
      <c r="Z106" s="73"/>
      <c r="AA106" s="25"/>
      <c r="AB106" s="25"/>
    </row>
    <row r="107" spans="2:28">
      <c r="B107" s="40"/>
      <c r="C107" s="40"/>
      <c r="D107" s="41"/>
      <c r="E107" s="41"/>
      <c r="F107" s="42"/>
      <c r="G107" s="42"/>
      <c r="H107" s="42"/>
      <c r="I107" s="42"/>
      <c r="J107" s="42"/>
      <c r="K107" s="25" t="e">
        <f>VLOOKUP(J107,Key!$E$2:$F$9,2,FALSE)</f>
        <v>#N/A</v>
      </c>
      <c r="L107" s="42"/>
      <c r="M107" s="43"/>
      <c r="N107" s="43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72"/>
      <c r="V107" s="72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1"/>
      <c r="F108" s="42"/>
      <c r="G108" s="42"/>
      <c r="H108" s="42"/>
      <c r="I108" s="42"/>
      <c r="J108" s="42"/>
      <c r="K108" s="25" t="e">
        <f>VLOOKUP(J108,Key!$E$2:$F$9,2,FALSE)</f>
        <v>#N/A</v>
      </c>
      <c r="L108" s="42"/>
      <c r="M108" s="43"/>
      <c r="N108" s="43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72"/>
      <c r="V108" s="72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1"/>
      <c r="F109" s="42"/>
      <c r="G109" s="42"/>
      <c r="H109" s="42"/>
      <c r="I109" s="42"/>
      <c r="J109" s="42"/>
      <c r="K109" s="25" t="e">
        <f>VLOOKUP(J109,Key!$E$2:$F$9,2,FALSE)</f>
        <v>#N/A</v>
      </c>
      <c r="L109" s="42"/>
      <c r="M109" s="43"/>
      <c r="N109" s="43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72"/>
      <c r="V109" s="72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1"/>
      <c r="F110" s="42"/>
      <c r="G110" s="42"/>
      <c r="H110" s="42"/>
      <c r="I110" s="42"/>
      <c r="J110" s="42"/>
      <c r="K110" s="25" t="e">
        <f>VLOOKUP(J110,Key!$E$2:$F$9,2,FALSE)</f>
        <v>#N/A</v>
      </c>
      <c r="L110" s="42"/>
      <c r="M110" s="43"/>
      <c r="N110" s="43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72"/>
      <c r="V110" s="72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1"/>
      <c r="F111" s="42"/>
      <c r="G111" s="42"/>
      <c r="H111" s="42"/>
      <c r="I111" s="42"/>
      <c r="J111" s="42"/>
      <c r="K111" s="25" t="e">
        <f>VLOOKUP(J111,Key!$E$2:$F$9,2,FALSE)</f>
        <v>#N/A</v>
      </c>
      <c r="L111" s="42"/>
      <c r="M111" s="43"/>
      <c r="N111" s="43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72"/>
      <c r="V111" s="72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1"/>
      <c r="F112" s="42"/>
      <c r="G112" s="42"/>
      <c r="H112" s="42"/>
      <c r="I112" s="42"/>
      <c r="J112" s="42"/>
      <c r="K112" s="25" t="e">
        <f>VLOOKUP(J112,Key!$E$2:$F$9,2,FALSE)</f>
        <v>#N/A</v>
      </c>
      <c r="L112" s="42"/>
      <c r="M112" s="43"/>
      <c r="N112" s="43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72"/>
      <c r="V112" s="72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1"/>
      <c r="F113" s="42"/>
      <c r="G113" s="42"/>
      <c r="H113" s="42"/>
      <c r="I113" s="42"/>
      <c r="J113" s="42"/>
      <c r="K113" s="25" t="e">
        <f>VLOOKUP(J113,Key!$E$2:$F$9,2,FALSE)</f>
        <v>#N/A</v>
      </c>
      <c r="L113" s="42"/>
      <c r="M113" s="43"/>
      <c r="N113" s="43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72"/>
      <c r="V113" s="72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1"/>
      <c r="F114" s="42"/>
      <c r="G114" s="42"/>
      <c r="H114" s="42"/>
      <c r="I114" s="42"/>
      <c r="J114" s="42"/>
      <c r="K114" s="25" t="e">
        <f>VLOOKUP(J114,Key!$E$2:$F$9,2,FALSE)</f>
        <v>#N/A</v>
      </c>
      <c r="L114" s="42"/>
      <c r="M114" s="43"/>
      <c r="N114" s="43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72"/>
      <c r="V114" s="72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1"/>
      <c r="F115" s="42"/>
      <c r="G115" s="42"/>
      <c r="H115" s="42"/>
      <c r="I115" s="42"/>
      <c r="J115" s="42"/>
      <c r="K115" s="25" t="e">
        <f>VLOOKUP(J115,Key!$E$2:$F$9,2,FALSE)</f>
        <v>#N/A</v>
      </c>
      <c r="L115" s="42"/>
      <c r="M115" s="43"/>
      <c r="N115" s="43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72"/>
      <c r="V115" s="72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1"/>
      <c r="F116" s="42"/>
      <c r="G116" s="42"/>
      <c r="H116" s="42"/>
      <c r="I116" s="42"/>
      <c r="J116" s="42"/>
      <c r="K116" s="25" t="e">
        <f>VLOOKUP(J116,Key!$E$2:$F$9,2,FALSE)</f>
        <v>#N/A</v>
      </c>
      <c r="L116" s="42"/>
      <c r="M116" s="43"/>
      <c r="N116" s="43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72"/>
      <c r="V116" s="72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1"/>
      <c r="F117" s="42"/>
      <c r="G117" s="42"/>
      <c r="H117" s="42"/>
      <c r="I117" s="42"/>
      <c r="J117" s="42"/>
      <c r="K117" s="25" t="e">
        <f>VLOOKUP(J117,Key!$E$2:$F$9,2,FALSE)</f>
        <v>#N/A</v>
      </c>
      <c r="L117" s="42"/>
      <c r="M117" s="43"/>
      <c r="N117" s="43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72"/>
      <c r="V117" s="72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1"/>
      <c r="F118" s="42"/>
      <c r="G118" s="42"/>
      <c r="H118" s="42"/>
      <c r="I118" s="42"/>
      <c r="J118" s="42"/>
      <c r="K118" s="25" t="e">
        <f>VLOOKUP(J118,Key!$E$2:$F$9,2,FALSE)</f>
        <v>#N/A</v>
      </c>
      <c r="L118" s="42"/>
      <c r="M118" s="43"/>
      <c r="N118" s="43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72"/>
      <c r="V118" s="72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1"/>
      <c r="F119" s="42"/>
      <c r="G119" s="42"/>
      <c r="H119" s="42"/>
      <c r="I119" s="42"/>
      <c r="J119" s="42"/>
      <c r="K119" s="25" t="e">
        <f>VLOOKUP(J119,Key!$E$2:$F$9,2,FALSE)</f>
        <v>#N/A</v>
      </c>
      <c r="L119" s="42"/>
      <c r="M119" s="43"/>
      <c r="N119" s="43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72"/>
      <c r="V119" s="72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1"/>
      <c r="F120" s="42"/>
      <c r="G120" s="42"/>
      <c r="H120" s="42"/>
      <c r="I120" s="42"/>
      <c r="J120" s="42"/>
      <c r="K120" s="25" t="e">
        <f>VLOOKUP(J120,Key!$E$2:$F$9,2,FALSE)</f>
        <v>#N/A</v>
      </c>
      <c r="L120" s="42"/>
      <c r="M120" s="43"/>
      <c r="N120" s="43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72"/>
      <c r="V120" s="72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1"/>
      <c r="F121" s="42"/>
      <c r="G121" s="42"/>
      <c r="H121" s="42"/>
      <c r="I121" s="42"/>
      <c r="J121" s="42"/>
      <c r="K121" s="25" t="e">
        <f>VLOOKUP(J121,Key!$E$2:$F$9,2,FALSE)</f>
        <v>#N/A</v>
      </c>
      <c r="L121" s="42"/>
      <c r="M121" s="43"/>
      <c r="N121" s="43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72"/>
      <c r="V121" s="72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1"/>
      <c r="F122" s="42"/>
      <c r="G122" s="42"/>
      <c r="H122" s="42"/>
      <c r="I122" s="42"/>
      <c r="J122" s="42"/>
      <c r="K122" s="25" t="e">
        <f>VLOOKUP(J122,Key!$E$2:$F$9,2,FALSE)</f>
        <v>#N/A</v>
      </c>
      <c r="L122" s="42"/>
      <c r="M122" s="43"/>
      <c r="N122" s="43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72"/>
      <c r="V122" s="72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1"/>
      <c r="F123" s="42"/>
      <c r="G123" s="42"/>
      <c r="H123" s="42"/>
      <c r="I123" s="42"/>
      <c r="J123" s="42"/>
      <c r="K123" s="25" t="e">
        <f>VLOOKUP(J123,Key!$E$2:$F$9,2,FALSE)</f>
        <v>#N/A</v>
      </c>
      <c r="L123" s="42"/>
      <c r="M123" s="43"/>
      <c r="N123" s="43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72"/>
      <c r="V123" s="72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1"/>
      <c r="F124" s="42"/>
      <c r="G124" s="42"/>
      <c r="H124" s="42"/>
      <c r="I124" s="42"/>
      <c r="J124" s="42"/>
      <c r="K124" s="25" t="e">
        <f>VLOOKUP(J124,Key!$E$2:$F$9,2,FALSE)</f>
        <v>#N/A</v>
      </c>
      <c r="L124" s="42"/>
      <c r="M124" s="43"/>
      <c r="N124" s="43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72"/>
      <c r="V124" s="72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1"/>
      <c r="F125" s="42"/>
      <c r="G125" s="42"/>
      <c r="H125" s="42"/>
      <c r="I125" s="42"/>
      <c r="J125" s="42"/>
      <c r="K125" s="25" t="e">
        <f>VLOOKUP(J125,Key!$E$2:$F$9,2,FALSE)</f>
        <v>#N/A</v>
      </c>
      <c r="L125" s="42"/>
      <c r="M125" s="43"/>
      <c r="N125" s="43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72"/>
      <c r="V125" s="72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1"/>
      <c r="F126" s="42"/>
      <c r="G126" s="42"/>
      <c r="H126" s="42"/>
      <c r="I126" s="42"/>
      <c r="J126" s="42"/>
      <c r="K126" s="25" t="e">
        <f>VLOOKUP(J126,Key!$E$2:$F$9,2,FALSE)</f>
        <v>#N/A</v>
      </c>
      <c r="L126" s="42"/>
      <c r="M126" s="43"/>
      <c r="N126" s="43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72"/>
      <c r="V126" s="72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1"/>
      <c r="F127" s="42"/>
      <c r="G127" s="42"/>
      <c r="H127" s="42"/>
      <c r="I127" s="42"/>
      <c r="J127" s="42"/>
      <c r="K127" s="25" t="e">
        <f>VLOOKUP(J127,Key!$E$2:$F$9,2,FALSE)</f>
        <v>#N/A</v>
      </c>
      <c r="L127" s="42"/>
      <c r="M127" s="43"/>
      <c r="N127" s="43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72"/>
      <c r="V127" s="72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1"/>
      <c r="F128" s="42"/>
      <c r="G128" s="42"/>
      <c r="H128" s="42"/>
      <c r="I128" s="42"/>
      <c r="J128" s="42"/>
      <c r="K128" s="25" t="e">
        <f>VLOOKUP(J128,Key!$E$2:$F$9,2,FALSE)</f>
        <v>#N/A</v>
      </c>
      <c r="L128" s="42"/>
      <c r="M128" s="43"/>
      <c r="N128" s="43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72"/>
      <c r="V128" s="72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1"/>
      <c r="F129" s="42"/>
      <c r="G129" s="42"/>
      <c r="H129" s="42"/>
      <c r="I129" s="42"/>
      <c r="J129" s="42"/>
      <c r="K129" s="25" t="e">
        <f>VLOOKUP(J129,Key!$E$2:$F$9,2,FALSE)</f>
        <v>#N/A</v>
      </c>
      <c r="L129" s="42"/>
      <c r="M129" s="43"/>
      <c r="N129" s="43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72"/>
      <c r="V129" s="72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1"/>
      <c r="F130" s="42"/>
      <c r="G130" s="42"/>
      <c r="H130" s="42"/>
      <c r="I130" s="42"/>
      <c r="J130" s="42"/>
      <c r="K130" s="25" t="e">
        <f>VLOOKUP(J130,Key!$E$2:$F$9,2,FALSE)</f>
        <v>#N/A</v>
      </c>
      <c r="L130" s="42"/>
      <c r="M130" s="43"/>
      <c r="N130" s="43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72"/>
      <c r="V130" s="72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1"/>
      <c r="F131" s="42"/>
      <c r="G131" s="42"/>
      <c r="H131" s="42"/>
      <c r="I131" s="42"/>
      <c r="J131" s="42"/>
      <c r="K131" s="25" t="e">
        <f>VLOOKUP(J131,Key!$E$2:$F$9,2,FALSE)</f>
        <v>#N/A</v>
      </c>
      <c r="L131" s="42"/>
      <c r="M131" s="43"/>
      <c r="N131" s="43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72"/>
      <c r="V131" s="72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1"/>
      <c r="F132" s="42"/>
      <c r="G132" s="42"/>
      <c r="H132" s="42"/>
      <c r="I132" s="42"/>
      <c r="J132" s="42"/>
      <c r="K132" s="25" t="e">
        <f>VLOOKUP(J132,Key!$E$2:$F$9,2,FALSE)</f>
        <v>#N/A</v>
      </c>
      <c r="L132" s="42"/>
      <c r="M132" s="43"/>
      <c r="N132" s="43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72"/>
      <c r="V132" s="72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1"/>
      <c r="F133" s="42"/>
      <c r="G133" s="42"/>
      <c r="H133" s="42"/>
      <c r="I133" s="42"/>
      <c r="J133" s="42"/>
      <c r="K133" s="25" t="e">
        <f>VLOOKUP(J133,Key!$E$2:$F$9,2,FALSE)</f>
        <v>#N/A</v>
      </c>
      <c r="L133" s="42"/>
      <c r="M133" s="43"/>
      <c r="N133" s="43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72"/>
      <c r="V133" s="72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1"/>
      <c r="F134" s="42"/>
      <c r="G134" s="42"/>
      <c r="H134" s="42"/>
      <c r="I134" s="42"/>
      <c r="J134" s="42"/>
      <c r="K134" s="25" t="e">
        <f>VLOOKUP(J134,Key!$E$2:$F$9,2,FALSE)</f>
        <v>#N/A</v>
      </c>
      <c r="L134" s="42"/>
      <c r="M134" s="43"/>
      <c r="N134" s="43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72"/>
      <c r="V134" s="72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64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64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64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64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64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3" t="s">
        <v>0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8" t="s">
        <v>8</v>
      </c>
      <c r="C7" s="130" t="s">
        <v>9</v>
      </c>
      <c r="D7" s="130" t="s">
        <v>10</v>
      </c>
      <c r="E7" s="130" t="s">
        <v>11</v>
      </c>
      <c r="F7" s="130" t="s">
        <v>12</v>
      </c>
      <c r="G7" s="130"/>
      <c r="H7" s="130" t="s">
        <v>15</v>
      </c>
      <c r="I7" s="130" t="s">
        <v>16</v>
      </c>
      <c r="J7" s="130" t="s">
        <v>17</v>
      </c>
      <c r="K7" s="130"/>
      <c r="L7" s="130" t="s">
        <v>18</v>
      </c>
      <c r="M7" s="130" t="s">
        <v>19</v>
      </c>
      <c r="N7" s="130" t="s">
        <v>20</v>
      </c>
      <c r="O7" s="136" t="s">
        <v>21</v>
      </c>
      <c r="P7" s="143" t="s">
        <v>27</v>
      </c>
      <c r="Q7" s="144"/>
    </row>
    <row r="8" spans="2:25" ht="24.75" customHeight="1" thickBot="1">
      <c r="B8" s="147"/>
      <c r="C8" s="148"/>
      <c r="D8" s="148"/>
      <c r="E8" s="148"/>
      <c r="F8" s="18" t="s">
        <v>13</v>
      </c>
      <c r="G8" s="18" t="s">
        <v>14</v>
      </c>
      <c r="H8" s="148"/>
      <c r="I8" s="148"/>
      <c r="J8" s="18" t="s">
        <v>13</v>
      </c>
      <c r="K8" s="18" t="s">
        <v>14</v>
      </c>
      <c r="L8" s="148"/>
      <c r="M8" s="148"/>
      <c r="N8" s="148"/>
      <c r="O8" s="149"/>
      <c r="P8" s="145"/>
      <c r="Q8" s="14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zoomScale="75" zoomScaleNormal="75" zoomScaleSheetLayoutView="80" workbookViewId="0">
      <selection activeCell="B9" sqref="B9:AB8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571</v>
      </c>
      <c r="E4" s="1" t="s">
        <v>153</v>
      </c>
      <c r="F4" s="124" t="str">
        <f>'8.8 BWERA-KIKORONGO'!F4:G4</f>
        <v>BWERA-MPONDWE</v>
      </c>
      <c r="G4" s="125"/>
      <c r="I4" s="27" t="s">
        <v>154</v>
      </c>
      <c r="J4" s="5"/>
      <c r="K4" s="5"/>
      <c r="L4" s="66" t="s">
        <v>568</v>
      </c>
      <c r="M4" s="2"/>
      <c r="N4" s="1" t="s">
        <v>156</v>
      </c>
      <c r="O4" s="126" t="s">
        <v>238</v>
      </c>
      <c r="P4" s="127"/>
      <c r="Q4" s="127"/>
      <c r="R4" s="127"/>
      <c r="S4" s="127"/>
      <c r="T4" s="127"/>
      <c r="V4" s="1" t="s">
        <v>157</v>
      </c>
      <c r="W4" s="69" t="str">
        <f>'8.8 BWERA-KIKORONGO'!W4</f>
        <v>Isaac</v>
      </c>
      <c r="Y4" s="27" t="s">
        <v>6</v>
      </c>
      <c r="Z4" s="39" t="str">
        <f>'8.8 BWERA-KIKORONGO'!Z4</f>
        <v>Sheba N</v>
      </c>
      <c r="AA4" s="32" t="s">
        <v>7</v>
      </c>
      <c r="AB4" s="39" t="str">
        <f>'8.8 BWERA-KIKORONGO'!AB4</f>
        <v>Bakole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569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23" t="s">
        <v>158</v>
      </c>
      <c r="G8" s="23" t="s">
        <v>145</v>
      </c>
      <c r="H8" s="24" t="s">
        <v>146</v>
      </c>
      <c r="I8" s="131"/>
      <c r="J8" s="122"/>
      <c r="K8" s="122"/>
      <c r="L8" s="23" t="s">
        <v>158</v>
      </c>
      <c r="M8" s="23" t="s">
        <v>145</v>
      </c>
      <c r="N8" s="23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40" t="s">
        <v>367</v>
      </c>
      <c r="C9" s="40"/>
      <c r="D9" s="41"/>
      <c r="E9" s="42">
        <v>1</v>
      </c>
      <c r="F9" s="42" t="s">
        <v>38</v>
      </c>
      <c r="G9" s="43" t="s">
        <v>37</v>
      </c>
      <c r="H9" s="42" t="s">
        <v>254</v>
      </c>
      <c r="I9" s="43"/>
      <c r="J9" s="43">
        <v>3</v>
      </c>
      <c r="K9" s="25" t="str">
        <f>VLOOKUP(J9,Key!$E$2:$F$9,2,FALSE)</f>
        <v>Study</v>
      </c>
      <c r="L9" s="42" t="s">
        <v>37</v>
      </c>
      <c r="M9" s="43" t="s">
        <v>37</v>
      </c>
      <c r="N9" s="42" t="s">
        <v>254</v>
      </c>
      <c r="O9" s="43"/>
      <c r="P9" s="43">
        <v>1</v>
      </c>
      <c r="Q9" s="25" t="str">
        <f>VLOOKUP(P9,Key!$E$2:$F$9,2,FALSE)</f>
        <v>Home</v>
      </c>
      <c r="R9" s="25" t="str">
        <f>K9&amp;"-"&amp;Q9</f>
        <v>Study-Home</v>
      </c>
      <c r="S9" s="62"/>
      <c r="T9" s="62">
        <v>0</v>
      </c>
      <c r="U9" s="43">
        <v>1</v>
      </c>
      <c r="V9" s="43"/>
      <c r="W9" s="62"/>
      <c r="X9" s="62"/>
      <c r="Y9" s="63"/>
      <c r="Z9" s="73"/>
      <c r="AA9" s="25"/>
      <c r="AB9" s="25"/>
    </row>
    <row r="10" spans="2:35">
      <c r="B10" s="40" t="s">
        <v>368</v>
      </c>
      <c r="C10" s="40"/>
      <c r="D10" s="41"/>
      <c r="E10" s="42">
        <v>1</v>
      </c>
      <c r="F10" s="42" t="s">
        <v>256</v>
      </c>
      <c r="G10" s="43" t="s">
        <v>37</v>
      </c>
      <c r="H10" s="42" t="s">
        <v>254</v>
      </c>
      <c r="I10" s="43"/>
      <c r="J10" s="43">
        <v>3</v>
      </c>
      <c r="K10" s="25" t="str">
        <f>VLOOKUP(J10,Key!$E$2:$F$9,2,FALSE)</f>
        <v>Study</v>
      </c>
      <c r="L10" s="42" t="s">
        <v>38</v>
      </c>
      <c r="M10" s="43" t="s">
        <v>37</v>
      </c>
      <c r="N10" s="42" t="s">
        <v>254</v>
      </c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Study-Home</v>
      </c>
      <c r="S10" s="62"/>
      <c r="T10" s="62">
        <v>0</v>
      </c>
      <c r="U10" s="43">
        <v>2</v>
      </c>
      <c r="V10" s="43"/>
      <c r="W10" s="62"/>
      <c r="X10" s="62"/>
      <c r="Y10" s="63"/>
      <c r="Z10" s="73"/>
      <c r="AA10" s="25"/>
      <c r="AB10" s="25"/>
    </row>
    <row r="11" spans="2:35">
      <c r="B11" s="40" t="s">
        <v>369</v>
      </c>
      <c r="C11" s="40"/>
      <c r="D11" s="41"/>
      <c r="E11" s="42">
        <v>1</v>
      </c>
      <c r="F11" s="42" t="s">
        <v>38</v>
      </c>
      <c r="G11" s="43" t="s">
        <v>37</v>
      </c>
      <c r="H11" s="42" t="s">
        <v>254</v>
      </c>
      <c r="I11" s="43"/>
      <c r="J11" s="43">
        <v>3</v>
      </c>
      <c r="K11" s="25" t="str">
        <f>VLOOKUP(J11,Key!$E$2:$F$9,2,FALSE)</f>
        <v>Study</v>
      </c>
      <c r="L11" s="42" t="s">
        <v>37</v>
      </c>
      <c r="M11" s="43" t="s">
        <v>37</v>
      </c>
      <c r="N11" s="42" t="s">
        <v>254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Study-Home</v>
      </c>
      <c r="S11" s="62"/>
      <c r="T11" s="62">
        <v>0.83333333333333337</v>
      </c>
      <c r="U11" s="43">
        <v>4</v>
      </c>
      <c r="V11" s="43"/>
      <c r="W11" s="62"/>
      <c r="X11" s="62"/>
      <c r="Y11" s="63"/>
      <c r="Z11" s="73"/>
      <c r="AA11" s="25"/>
      <c r="AB11" s="25"/>
    </row>
    <row r="12" spans="2:35">
      <c r="B12" s="40" t="s">
        <v>370</v>
      </c>
      <c r="C12" s="40"/>
      <c r="D12" s="41"/>
      <c r="E12" s="42">
        <v>1</v>
      </c>
      <c r="F12" s="42" t="s">
        <v>38</v>
      </c>
      <c r="G12" s="43" t="s">
        <v>37</v>
      </c>
      <c r="H12" s="42" t="s">
        <v>254</v>
      </c>
      <c r="I12" s="43"/>
      <c r="J12" s="43">
        <v>5</v>
      </c>
      <c r="K12" s="25" t="str">
        <f>VLOOKUP(J12,Key!$E$2:$F$9,2,FALSE)</f>
        <v>Tourism</v>
      </c>
      <c r="L12" s="42" t="s">
        <v>38</v>
      </c>
      <c r="M12" s="43" t="s">
        <v>37</v>
      </c>
      <c r="N12" s="42" t="s">
        <v>254</v>
      </c>
      <c r="O12" s="43"/>
      <c r="P12" s="43">
        <v>1</v>
      </c>
      <c r="Q12" s="25" t="str">
        <f>VLOOKUP(P12,Key!$E$2:$F$9,2,FALSE)</f>
        <v>Home</v>
      </c>
      <c r="R12" s="25" t="str">
        <f t="shared" si="0"/>
        <v>Tourism-Home</v>
      </c>
      <c r="S12" s="62"/>
      <c r="T12" s="62">
        <v>0</v>
      </c>
      <c r="U12" s="43">
        <v>2</v>
      </c>
      <c r="V12" s="43"/>
      <c r="W12" s="62"/>
      <c r="X12" s="62"/>
      <c r="Y12" s="63"/>
      <c r="Z12" s="73"/>
      <c r="AA12" s="25"/>
      <c r="AB12" s="25"/>
    </row>
    <row r="13" spans="2:35">
      <c r="B13" s="40" t="s">
        <v>371</v>
      </c>
      <c r="C13" s="40"/>
      <c r="D13" s="41"/>
      <c r="E13" s="42">
        <v>11</v>
      </c>
      <c r="F13" s="42" t="s">
        <v>38</v>
      </c>
      <c r="G13" s="43" t="s">
        <v>37</v>
      </c>
      <c r="H13" s="42" t="s">
        <v>254</v>
      </c>
      <c r="I13" s="43"/>
      <c r="J13" s="43">
        <v>3</v>
      </c>
      <c r="K13" s="25" t="str">
        <f>VLOOKUP(J13,Key!$E$2:$F$9,2,FALSE)</f>
        <v>Study</v>
      </c>
      <c r="L13" s="42" t="s">
        <v>38</v>
      </c>
      <c r="M13" s="43" t="s">
        <v>37</v>
      </c>
      <c r="N13" s="42" t="s">
        <v>254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Study-Home</v>
      </c>
      <c r="S13" s="62"/>
      <c r="T13" s="62">
        <v>0</v>
      </c>
      <c r="U13" s="43">
        <v>2</v>
      </c>
      <c r="V13" s="43"/>
      <c r="W13" s="62"/>
      <c r="X13" s="62"/>
      <c r="Y13" s="63"/>
      <c r="Z13" s="73"/>
      <c r="AA13" s="25"/>
      <c r="AB13" s="25"/>
    </row>
    <row r="14" spans="2:35">
      <c r="B14" s="40" t="s">
        <v>372</v>
      </c>
      <c r="C14" s="40"/>
      <c r="D14" s="41"/>
      <c r="E14" s="42">
        <v>1</v>
      </c>
      <c r="F14" s="42" t="s">
        <v>38</v>
      </c>
      <c r="G14" s="43" t="s">
        <v>37</v>
      </c>
      <c r="H14" s="42" t="s">
        <v>254</v>
      </c>
      <c r="I14" s="43"/>
      <c r="J14" s="43">
        <v>2</v>
      </c>
      <c r="K14" s="25" t="str">
        <f>VLOOKUP(J14,Key!$E$2:$F$9,2,FALSE)</f>
        <v>Work</v>
      </c>
      <c r="L14" s="42" t="s">
        <v>38</v>
      </c>
      <c r="M14" s="43" t="s">
        <v>37</v>
      </c>
      <c r="N14" s="42" t="s">
        <v>254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0</v>
      </c>
      <c r="U14" s="43">
        <v>3</v>
      </c>
      <c r="V14" s="43"/>
      <c r="W14" s="62"/>
      <c r="X14" s="62"/>
      <c r="Y14" s="63"/>
      <c r="Z14" s="73"/>
      <c r="AA14" s="25"/>
      <c r="AB14" s="25"/>
    </row>
    <row r="15" spans="2:35">
      <c r="B15" s="40" t="s">
        <v>373</v>
      </c>
      <c r="C15" s="40"/>
      <c r="D15" s="41"/>
      <c r="E15" s="42">
        <v>1</v>
      </c>
      <c r="F15" s="42" t="s">
        <v>38</v>
      </c>
      <c r="G15" s="43" t="s">
        <v>37</v>
      </c>
      <c r="H15" s="42" t="s">
        <v>254</v>
      </c>
      <c r="I15" s="43"/>
      <c r="J15" s="43">
        <v>1</v>
      </c>
      <c r="K15" s="25" t="str">
        <f>VLOOKUP(J15,Key!$E$2:$F$9,2,FALSE)</f>
        <v>Home</v>
      </c>
      <c r="L15" s="42" t="s">
        <v>38</v>
      </c>
      <c r="M15" s="43" t="s">
        <v>37</v>
      </c>
      <c r="N15" s="42" t="s">
        <v>254</v>
      </c>
      <c r="O15" s="43"/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62"/>
      <c r="T15" s="62">
        <v>3</v>
      </c>
      <c r="U15" s="43">
        <v>2</v>
      </c>
      <c r="V15" s="43"/>
      <c r="W15" s="62"/>
      <c r="X15" s="62"/>
      <c r="Y15" s="63"/>
      <c r="Z15" s="73"/>
      <c r="AA15" s="25"/>
      <c r="AB15" s="25"/>
    </row>
    <row r="16" spans="2:35">
      <c r="B16" s="40" t="s">
        <v>374</v>
      </c>
      <c r="C16" s="40"/>
      <c r="D16" s="41"/>
      <c r="E16" s="42">
        <v>1</v>
      </c>
      <c r="F16" s="42" t="s">
        <v>37</v>
      </c>
      <c r="G16" s="43" t="s">
        <v>37</v>
      </c>
      <c r="H16" s="42" t="s">
        <v>254</v>
      </c>
      <c r="I16" s="43"/>
      <c r="J16" s="43">
        <v>4</v>
      </c>
      <c r="K16" s="25" t="str">
        <f>VLOOKUP(J16,Key!$E$2:$F$9,2,FALSE)</f>
        <v>Commercial</v>
      </c>
      <c r="L16" s="42" t="s">
        <v>38</v>
      </c>
      <c r="M16" s="43" t="s">
        <v>37</v>
      </c>
      <c r="N16" s="42" t="s">
        <v>254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Commercial-Home</v>
      </c>
      <c r="S16" s="62"/>
      <c r="T16" s="62">
        <v>0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 t="s">
        <v>375</v>
      </c>
      <c r="C17" s="40"/>
      <c r="D17" s="41"/>
      <c r="E17" s="42">
        <v>2</v>
      </c>
      <c r="F17" s="42" t="s">
        <v>38</v>
      </c>
      <c r="G17" s="43" t="s">
        <v>37</v>
      </c>
      <c r="H17" s="42" t="s">
        <v>254</v>
      </c>
      <c r="I17" s="43"/>
      <c r="J17" s="43">
        <v>3</v>
      </c>
      <c r="K17" s="25" t="str">
        <f>VLOOKUP(J17,Key!$E$2:$F$9,2,FALSE)</f>
        <v>Study</v>
      </c>
      <c r="L17" s="42" t="s">
        <v>38</v>
      </c>
      <c r="M17" s="43" t="s">
        <v>37</v>
      </c>
      <c r="N17" s="42" t="s">
        <v>254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Study-Home</v>
      </c>
      <c r="S17" s="62"/>
      <c r="T17" s="62">
        <v>0</v>
      </c>
      <c r="U17" s="43">
        <v>3</v>
      </c>
      <c r="V17" s="43"/>
      <c r="W17" s="62"/>
      <c r="X17" s="62"/>
      <c r="Y17" s="63"/>
      <c r="Z17" s="73"/>
      <c r="AA17" s="25"/>
      <c r="AB17" s="25"/>
    </row>
    <row r="18" spans="2:28">
      <c r="B18" s="40" t="s">
        <v>376</v>
      </c>
      <c r="C18" s="40"/>
      <c r="D18" s="41">
        <v>8</v>
      </c>
      <c r="E18" s="42">
        <v>1</v>
      </c>
      <c r="F18" s="42" t="s">
        <v>256</v>
      </c>
      <c r="G18" s="43" t="s">
        <v>37</v>
      </c>
      <c r="H18" s="42" t="s">
        <v>254</v>
      </c>
      <c r="I18" s="43"/>
      <c r="J18" s="43">
        <v>3</v>
      </c>
      <c r="K18" s="25" t="str">
        <f>VLOOKUP(J18,Key!$E$2:$F$9,2,FALSE)</f>
        <v>Study</v>
      </c>
      <c r="L18" s="42" t="s">
        <v>37</v>
      </c>
      <c r="M18" s="43" t="s">
        <v>37</v>
      </c>
      <c r="N18" s="42" t="s">
        <v>254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Study-Home</v>
      </c>
      <c r="S18" s="62"/>
      <c r="T18" s="62">
        <v>2</v>
      </c>
      <c r="U18" s="43">
        <v>2</v>
      </c>
      <c r="V18" s="43"/>
      <c r="W18" s="62"/>
      <c r="X18" s="62"/>
      <c r="Y18" s="63"/>
      <c r="Z18" s="73"/>
      <c r="AA18" s="25"/>
      <c r="AB18" s="25"/>
    </row>
    <row r="19" spans="2:28">
      <c r="B19" s="40" t="s">
        <v>377</v>
      </c>
      <c r="C19" s="40"/>
      <c r="D19" s="41">
        <v>12</v>
      </c>
      <c r="E19" s="42">
        <v>1</v>
      </c>
      <c r="F19" s="42" t="s">
        <v>38</v>
      </c>
      <c r="G19" s="43" t="s">
        <v>37</v>
      </c>
      <c r="H19" s="42" t="s">
        <v>254</v>
      </c>
      <c r="I19" s="43"/>
      <c r="J19" s="43">
        <v>1</v>
      </c>
      <c r="K19" s="25" t="str">
        <f>VLOOKUP(J19,Key!$E$2:$F$9,2,FALSE)</f>
        <v>Home</v>
      </c>
      <c r="L19" s="42" t="s">
        <v>37</v>
      </c>
      <c r="M19" s="43" t="s">
        <v>37</v>
      </c>
      <c r="N19" s="42" t="s">
        <v>254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Home-Home</v>
      </c>
      <c r="S19" s="62"/>
      <c r="T19" s="62">
        <v>3</v>
      </c>
      <c r="U19" s="43">
        <v>3</v>
      </c>
      <c r="V19" s="43"/>
      <c r="W19" s="62"/>
      <c r="X19" s="62"/>
      <c r="Y19" s="63"/>
      <c r="Z19" s="73"/>
      <c r="AA19" s="25"/>
      <c r="AB19" s="25"/>
    </row>
    <row r="20" spans="2:28">
      <c r="B20" s="40" t="s">
        <v>378</v>
      </c>
      <c r="C20" s="40"/>
      <c r="D20" s="41">
        <v>12</v>
      </c>
      <c r="E20" s="42">
        <v>1</v>
      </c>
      <c r="F20" s="42" t="s">
        <v>38</v>
      </c>
      <c r="G20" s="43" t="s">
        <v>37</v>
      </c>
      <c r="H20" s="42" t="s">
        <v>254</v>
      </c>
      <c r="I20" s="43"/>
      <c r="J20" s="43">
        <v>1</v>
      </c>
      <c r="K20" s="25" t="str">
        <f>VLOOKUP(J20,Key!$E$2:$F$9,2,FALSE)</f>
        <v>Home</v>
      </c>
      <c r="L20" s="42" t="s">
        <v>37</v>
      </c>
      <c r="M20" s="43" t="s">
        <v>37</v>
      </c>
      <c r="N20" s="42" t="s">
        <v>254</v>
      </c>
      <c r="O20" s="43"/>
      <c r="P20" s="43">
        <v>1</v>
      </c>
      <c r="Q20" s="25" t="str">
        <f>VLOOKUP(P20,Key!$E$2:$F$9,2,FALSE)</f>
        <v>Home</v>
      </c>
      <c r="R20" s="25" t="str">
        <f t="shared" si="0"/>
        <v>Home-Home</v>
      </c>
      <c r="S20" s="62"/>
      <c r="T20" s="62">
        <v>0</v>
      </c>
      <c r="U20" s="43">
        <v>3</v>
      </c>
      <c r="V20" s="43"/>
      <c r="W20" s="62"/>
      <c r="X20" s="62"/>
      <c r="Y20" s="63"/>
      <c r="Z20" s="73"/>
      <c r="AA20" s="25"/>
      <c r="AB20" s="25"/>
    </row>
    <row r="21" spans="2:28">
      <c r="B21" s="40" t="s">
        <v>379</v>
      </c>
      <c r="C21" s="40"/>
      <c r="D21" s="41">
        <v>12</v>
      </c>
      <c r="E21" s="42">
        <v>1</v>
      </c>
      <c r="F21" s="42" t="s">
        <v>362</v>
      </c>
      <c r="G21" s="43" t="s">
        <v>37</v>
      </c>
      <c r="H21" s="42" t="s">
        <v>254</v>
      </c>
      <c r="I21" s="43"/>
      <c r="J21" s="43">
        <v>1</v>
      </c>
      <c r="K21" s="25" t="str">
        <f>VLOOKUP(J21,Key!$E$2:$F$9,2,FALSE)</f>
        <v>Home</v>
      </c>
      <c r="L21" s="42" t="s">
        <v>37</v>
      </c>
      <c r="M21" s="43" t="s">
        <v>37</v>
      </c>
      <c r="N21" s="42" t="s">
        <v>254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>
        <v>0</v>
      </c>
      <c r="U21" s="43">
        <v>2</v>
      </c>
      <c r="V21" s="43"/>
      <c r="W21" s="62"/>
      <c r="X21" s="62"/>
      <c r="Y21" s="63"/>
      <c r="Z21" s="73"/>
      <c r="AA21" s="25"/>
      <c r="AB21" s="25"/>
    </row>
    <row r="22" spans="2:28">
      <c r="B22" s="40" t="s">
        <v>380</v>
      </c>
      <c r="C22" s="40"/>
      <c r="D22" s="41">
        <v>12</v>
      </c>
      <c r="E22" s="42">
        <v>1</v>
      </c>
      <c r="F22" s="42" t="s">
        <v>362</v>
      </c>
      <c r="G22" s="43" t="s">
        <v>37</v>
      </c>
      <c r="H22" s="42" t="s">
        <v>254</v>
      </c>
      <c r="I22" s="43"/>
      <c r="J22" s="43">
        <v>1</v>
      </c>
      <c r="K22" s="25" t="str">
        <f>VLOOKUP(J22,Key!$E$2:$F$9,2,FALSE)</f>
        <v>Home</v>
      </c>
      <c r="L22" s="42" t="s">
        <v>37</v>
      </c>
      <c r="M22" s="43" t="s">
        <v>37</v>
      </c>
      <c r="N22" s="42" t="s">
        <v>254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Home-Home</v>
      </c>
      <c r="S22" s="62"/>
      <c r="T22" s="62">
        <v>0</v>
      </c>
      <c r="U22" s="43">
        <v>3</v>
      </c>
      <c r="V22" s="43"/>
      <c r="W22" s="62"/>
      <c r="X22" s="62"/>
      <c r="Y22" s="63"/>
      <c r="Z22" s="73"/>
      <c r="AA22" s="25"/>
      <c r="AB22" s="25"/>
    </row>
    <row r="23" spans="2:28">
      <c r="B23" s="40" t="s">
        <v>381</v>
      </c>
      <c r="C23" s="40"/>
      <c r="D23" s="41">
        <v>3</v>
      </c>
      <c r="E23" s="42">
        <v>1</v>
      </c>
      <c r="F23" s="42" t="s">
        <v>256</v>
      </c>
      <c r="G23" s="43" t="s">
        <v>37</v>
      </c>
      <c r="H23" s="42" t="s">
        <v>254</v>
      </c>
      <c r="I23" s="43"/>
      <c r="J23" s="43">
        <v>2</v>
      </c>
      <c r="K23" s="25" t="str">
        <f>VLOOKUP(J23,Key!$E$2:$F$9,2,FALSE)</f>
        <v>Work</v>
      </c>
      <c r="L23" s="42" t="s">
        <v>37</v>
      </c>
      <c r="M23" s="43" t="s">
        <v>37</v>
      </c>
      <c r="N23" s="42" t="s">
        <v>254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0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 t="s">
        <v>382</v>
      </c>
      <c r="C24" s="40"/>
      <c r="D24" s="41">
        <v>2</v>
      </c>
      <c r="E24" s="42">
        <v>1</v>
      </c>
      <c r="F24" s="42" t="s">
        <v>435</v>
      </c>
      <c r="G24" s="43" t="s">
        <v>37</v>
      </c>
      <c r="H24" s="42" t="s">
        <v>254</v>
      </c>
      <c r="I24" s="43"/>
      <c r="J24" s="43">
        <v>1</v>
      </c>
      <c r="K24" s="25" t="str">
        <f>VLOOKUP(J24,Key!$E$2:$F$9,2,FALSE)</f>
        <v>Home</v>
      </c>
      <c r="L24" s="42" t="s">
        <v>37</v>
      </c>
      <c r="M24" s="43" t="s">
        <v>37</v>
      </c>
      <c r="N24" s="42" t="s">
        <v>254</v>
      </c>
      <c r="O24" s="43"/>
      <c r="P24" s="43">
        <v>3</v>
      </c>
      <c r="Q24" s="25" t="str">
        <f>VLOOKUP(P24,Key!$E$2:$F$9,2,FALSE)</f>
        <v>Study</v>
      </c>
      <c r="R24" s="25" t="str">
        <f t="shared" si="0"/>
        <v>Home-Study</v>
      </c>
      <c r="S24" s="62"/>
      <c r="T24" s="62">
        <v>0</v>
      </c>
      <c r="U24" s="43">
        <v>3</v>
      </c>
      <c r="V24" s="43"/>
      <c r="W24" s="62"/>
      <c r="X24" s="62"/>
      <c r="Y24" s="63"/>
      <c r="Z24" s="73"/>
      <c r="AA24" s="25"/>
      <c r="AB24" s="25"/>
    </row>
    <row r="25" spans="2:28">
      <c r="B25" s="40" t="s">
        <v>383</v>
      </c>
      <c r="C25" s="40"/>
      <c r="D25" s="41">
        <v>8</v>
      </c>
      <c r="E25" s="42">
        <v>1</v>
      </c>
      <c r="F25" s="42" t="s">
        <v>38</v>
      </c>
      <c r="G25" s="43" t="s">
        <v>37</v>
      </c>
      <c r="H25" s="42" t="s">
        <v>254</v>
      </c>
      <c r="I25" s="43"/>
      <c r="J25" s="43">
        <v>2</v>
      </c>
      <c r="K25" s="25" t="str">
        <f>VLOOKUP(J25,Key!$E$2:$F$9,2,FALSE)</f>
        <v>Work</v>
      </c>
      <c r="L25" s="42" t="s">
        <v>37</v>
      </c>
      <c r="M25" s="43" t="s">
        <v>37</v>
      </c>
      <c r="N25" s="42" t="s">
        <v>254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0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 t="s">
        <v>384</v>
      </c>
      <c r="C26" s="40"/>
      <c r="D26" s="41">
        <v>3</v>
      </c>
      <c r="E26" s="42">
        <v>1</v>
      </c>
      <c r="F26" s="42" t="s">
        <v>435</v>
      </c>
      <c r="G26" s="43" t="s">
        <v>37</v>
      </c>
      <c r="H26" s="42" t="s">
        <v>254</v>
      </c>
      <c r="I26" s="43"/>
      <c r="J26" s="43">
        <v>1</v>
      </c>
      <c r="K26" s="25" t="str">
        <f>VLOOKUP(J26,Key!$E$2:$F$9,2,FALSE)</f>
        <v>Home</v>
      </c>
      <c r="L26" s="42" t="s">
        <v>37</v>
      </c>
      <c r="M26" s="43" t="s">
        <v>37</v>
      </c>
      <c r="N26" s="42" t="s">
        <v>254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0.83333333333333337</v>
      </c>
      <c r="U26" s="43">
        <v>2</v>
      </c>
      <c r="V26" s="43"/>
      <c r="W26" s="62"/>
      <c r="X26" s="62"/>
      <c r="Y26" s="63"/>
      <c r="Z26" s="73"/>
      <c r="AA26" s="25"/>
      <c r="AB26" s="25"/>
    </row>
    <row r="27" spans="2:28">
      <c r="B27" s="40" t="s">
        <v>385</v>
      </c>
      <c r="C27" s="40"/>
      <c r="D27" s="41">
        <v>2</v>
      </c>
      <c r="E27" s="42">
        <v>1</v>
      </c>
      <c r="F27" s="42" t="s">
        <v>38</v>
      </c>
      <c r="G27" s="43" t="s">
        <v>37</v>
      </c>
      <c r="H27" s="42" t="s">
        <v>254</v>
      </c>
      <c r="I27" s="43"/>
      <c r="J27" s="43">
        <v>1</v>
      </c>
      <c r="K27" s="25" t="str">
        <f>VLOOKUP(J27,Key!$E$2:$F$9,2,FALSE)</f>
        <v>Home</v>
      </c>
      <c r="L27" s="42" t="s">
        <v>37</v>
      </c>
      <c r="M27" s="43" t="s">
        <v>37</v>
      </c>
      <c r="N27" s="42" t="s">
        <v>254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2"/>
      <c r="T27" s="62">
        <v>0</v>
      </c>
      <c r="U27" s="43">
        <v>1</v>
      </c>
      <c r="V27" s="43"/>
      <c r="W27" s="62"/>
      <c r="X27" s="62"/>
      <c r="Y27" s="63"/>
      <c r="Z27" s="73"/>
      <c r="AA27" s="25"/>
      <c r="AB27" s="25"/>
    </row>
    <row r="28" spans="2:28">
      <c r="B28" s="40" t="s">
        <v>386</v>
      </c>
      <c r="C28" s="40"/>
      <c r="D28" s="41">
        <v>1</v>
      </c>
      <c r="E28" s="42">
        <v>2</v>
      </c>
      <c r="F28" s="42" t="s">
        <v>38</v>
      </c>
      <c r="G28" s="43" t="s">
        <v>37</v>
      </c>
      <c r="H28" s="42" t="s">
        <v>254</v>
      </c>
      <c r="I28" s="43"/>
      <c r="J28" s="43">
        <v>2</v>
      </c>
      <c r="K28" s="25" t="str">
        <f>VLOOKUP(J28,Key!$E$2:$F$9,2,FALSE)</f>
        <v>Work</v>
      </c>
      <c r="L28" s="42" t="s">
        <v>37</v>
      </c>
      <c r="M28" s="43" t="s">
        <v>37</v>
      </c>
      <c r="N28" s="42" t="s">
        <v>254</v>
      </c>
      <c r="O28" s="43"/>
      <c r="P28" s="43">
        <v>3</v>
      </c>
      <c r="Q28" s="25" t="str">
        <f>VLOOKUP(P28,Key!$E$2:$F$9,2,FALSE)</f>
        <v>Study</v>
      </c>
      <c r="R28" s="25" t="str">
        <f t="shared" si="0"/>
        <v>Work-Study</v>
      </c>
      <c r="S28" s="62"/>
      <c r="T28" s="62">
        <v>2</v>
      </c>
      <c r="U28" s="43">
        <v>3</v>
      </c>
      <c r="V28" s="43"/>
      <c r="W28" s="62"/>
      <c r="X28" s="62"/>
      <c r="Y28" s="63"/>
      <c r="Z28" s="73"/>
      <c r="AA28" s="25"/>
      <c r="AB28" s="25"/>
    </row>
    <row r="29" spans="2:28">
      <c r="B29" s="40" t="s">
        <v>387</v>
      </c>
      <c r="C29" s="40"/>
      <c r="D29" s="41">
        <v>3</v>
      </c>
      <c r="E29" s="42">
        <v>1</v>
      </c>
      <c r="F29" s="42" t="s">
        <v>38</v>
      </c>
      <c r="G29" s="43" t="s">
        <v>37</v>
      </c>
      <c r="H29" s="42" t="s">
        <v>254</v>
      </c>
      <c r="I29" s="43"/>
      <c r="J29" s="43">
        <v>1</v>
      </c>
      <c r="K29" s="25" t="str">
        <f>VLOOKUP(J29,Key!$E$2:$F$9,2,FALSE)</f>
        <v>Home</v>
      </c>
      <c r="L29" s="42" t="s">
        <v>37</v>
      </c>
      <c r="M29" s="43" t="s">
        <v>37</v>
      </c>
      <c r="N29" s="42" t="s">
        <v>254</v>
      </c>
      <c r="O29" s="43"/>
      <c r="P29" s="43">
        <v>3</v>
      </c>
      <c r="Q29" s="25" t="str">
        <f>VLOOKUP(P29,Key!$E$2:$F$9,2,FALSE)</f>
        <v>Study</v>
      </c>
      <c r="R29" s="25" t="str">
        <f t="shared" si="0"/>
        <v>Home-Study</v>
      </c>
      <c r="S29" s="62"/>
      <c r="T29" s="62">
        <v>0</v>
      </c>
      <c r="U29" s="43">
        <v>3</v>
      </c>
      <c r="V29" s="43"/>
      <c r="W29" s="62"/>
      <c r="X29" s="62"/>
      <c r="Y29" s="63"/>
      <c r="Z29" s="73"/>
      <c r="AA29" s="25"/>
      <c r="AB29" s="25"/>
    </row>
    <row r="30" spans="2:28">
      <c r="B30" s="40" t="s">
        <v>388</v>
      </c>
      <c r="C30" s="40"/>
      <c r="D30" s="41">
        <v>8</v>
      </c>
      <c r="E30" s="42">
        <v>1</v>
      </c>
      <c r="F30" s="42" t="s">
        <v>38</v>
      </c>
      <c r="G30" s="43" t="s">
        <v>37</v>
      </c>
      <c r="H30" s="42" t="s">
        <v>254</v>
      </c>
      <c r="I30" s="43"/>
      <c r="J30" s="43">
        <v>3</v>
      </c>
      <c r="K30" s="25" t="str">
        <f>VLOOKUP(J30,Key!$E$2:$F$9,2,FALSE)</f>
        <v>Study</v>
      </c>
      <c r="L30" s="42" t="s">
        <v>37</v>
      </c>
      <c r="M30" s="43" t="s">
        <v>37</v>
      </c>
      <c r="N30" s="42" t="s">
        <v>254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Study-Work</v>
      </c>
      <c r="S30" s="62"/>
      <c r="T30" s="62">
        <v>2</v>
      </c>
      <c r="U30" s="43">
        <v>2</v>
      </c>
      <c r="V30" s="43"/>
      <c r="W30" s="62"/>
      <c r="X30" s="62"/>
      <c r="Y30" s="63"/>
      <c r="Z30" s="73"/>
      <c r="AA30" s="25"/>
      <c r="AB30" s="25"/>
    </row>
    <row r="31" spans="2:28">
      <c r="B31" s="40" t="s">
        <v>389</v>
      </c>
      <c r="C31" s="40"/>
      <c r="D31" s="41">
        <v>3</v>
      </c>
      <c r="E31" s="42">
        <v>1</v>
      </c>
      <c r="F31" s="42" t="s">
        <v>38</v>
      </c>
      <c r="G31" s="43" t="s">
        <v>37</v>
      </c>
      <c r="H31" s="42" t="s">
        <v>254</v>
      </c>
      <c r="I31" s="43"/>
      <c r="J31" s="43">
        <v>4</v>
      </c>
      <c r="K31" s="25" t="str">
        <f>VLOOKUP(J31,Key!$E$2:$F$9,2,FALSE)</f>
        <v>Commercial</v>
      </c>
      <c r="L31" s="42" t="s">
        <v>37</v>
      </c>
      <c r="M31" s="43" t="s">
        <v>37</v>
      </c>
      <c r="N31" s="42" t="s">
        <v>254</v>
      </c>
      <c r="O31" s="43"/>
      <c r="P31" s="43">
        <v>3</v>
      </c>
      <c r="Q31" s="25" t="str">
        <f>VLOOKUP(P31,Key!$E$2:$F$9,2,FALSE)</f>
        <v>Study</v>
      </c>
      <c r="R31" s="25" t="str">
        <f t="shared" si="0"/>
        <v>Commercial-Study</v>
      </c>
      <c r="S31" s="62"/>
      <c r="T31" s="62">
        <v>0</v>
      </c>
      <c r="U31" s="43">
        <v>3</v>
      </c>
      <c r="V31" s="43"/>
      <c r="W31" s="62"/>
      <c r="X31" s="62"/>
      <c r="Y31" s="63"/>
      <c r="Z31" s="73"/>
      <c r="AA31" s="25"/>
      <c r="AB31" s="25"/>
    </row>
    <row r="32" spans="2:28">
      <c r="B32" s="40" t="s">
        <v>262</v>
      </c>
      <c r="C32" s="40"/>
      <c r="D32" s="41">
        <v>5</v>
      </c>
      <c r="E32" s="42">
        <v>2</v>
      </c>
      <c r="F32" s="42" t="s">
        <v>38</v>
      </c>
      <c r="G32" s="43" t="s">
        <v>37</v>
      </c>
      <c r="H32" s="42" t="s">
        <v>254</v>
      </c>
      <c r="I32" s="43"/>
      <c r="J32" s="43">
        <v>1</v>
      </c>
      <c r="K32" s="25" t="str">
        <f>VLOOKUP(J32,Key!$E$2:$F$9,2,FALSE)</f>
        <v>Home</v>
      </c>
      <c r="L32" s="42" t="s">
        <v>37</v>
      </c>
      <c r="M32" s="43" t="s">
        <v>37</v>
      </c>
      <c r="N32" s="42" t="s">
        <v>254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Home-Commercial</v>
      </c>
      <c r="S32" s="62"/>
      <c r="T32" s="62">
        <v>0</v>
      </c>
      <c r="U32" s="43">
        <v>4</v>
      </c>
      <c r="V32" s="43"/>
      <c r="W32" s="62"/>
      <c r="X32" s="62"/>
      <c r="Y32" s="63"/>
      <c r="Z32" s="73"/>
      <c r="AA32" s="25"/>
      <c r="AB32" s="25"/>
    </row>
    <row r="33" spans="2:28">
      <c r="B33" s="40" t="s">
        <v>390</v>
      </c>
      <c r="C33" s="40"/>
      <c r="D33" s="41">
        <v>3</v>
      </c>
      <c r="E33" s="42">
        <v>2</v>
      </c>
      <c r="F33" s="42" t="s">
        <v>436</v>
      </c>
      <c r="G33" s="43" t="s">
        <v>37</v>
      </c>
      <c r="H33" s="42" t="s">
        <v>254</v>
      </c>
      <c r="I33" s="43"/>
      <c r="J33" s="43">
        <v>2</v>
      </c>
      <c r="K33" s="25" t="str">
        <f>VLOOKUP(J33,Key!$E$2:$F$9,2,FALSE)</f>
        <v>Work</v>
      </c>
      <c r="L33" s="42" t="s">
        <v>439</v>
      </c>
      <c r="M33" s="43" t="s">
        <v>365</v>
      </c>
      <c r="N33" s="42" t="s">
        <v>254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0</v>
      </c>
      <c r="U33" s="43">
        <v>2</v>
      </c>
      <c r="V33" s="43"/>
      <c r="W33" s="62"/>
      <c r="X33" s="62"/>
      <c r="Y33" s="63"/>
      <c r="Z33" s="73"/>
      <c r="AA33" s="25"/>
      <c r="AB33" s="25"/>
    </row>
    <row r="34" spans="2:28">
      <c r="B34" s="40" t="s">
        <v>391</v>
      </c>
      <c r="C34" s="40"/>
      <c r="D34" s="41">
        <v>2</v>
      </c>
      <c r="E34" s="42">
        <v>1</v>
      </c>
      <c r="F34" s="42" t="s">
        <v>362</v>
      </c>
      <c r="G34" s="43" t="s">
        <v>37</v>
      </c>
      <c r="H34" s="42" t="s">
        <v>254</v>
      </c>
      <c r="I34" s="43"/>
      <c r="J34" s="43">
        <v>1</v>
      </c>
      <c r="K34" s="25" t="str">
        <f>VLOOKUP(J34,Key!$E$2:$F$9,2,FALSE)</f>
        <v>Home</v>
      </c>
      <c r="L34" s="42" t="s">
        <v>37</v>
      </c>
      <c r="M34" s="43" t="s">
        <v>37</v>
      </c>
      <c r="N34" s="42" t="s">
        <v>254</v>
      </c>
      <c r="O34" s="43"/>
      <c r="P34" s="43">
        <v>3</v>
      </c>
      <c r="Q34" s="25" t="str">
        <f>VLOOKUP(P34,Key!$E$2:$F$9,2,FALSE)</f>
        <v>Study</v>
      </c>
      <c r="R34" s="25" t="str">
        <f t="shared" si="0"/>
        <v>Home-Study</v>
      </c>
      <c r="S34" s="62"/>
      <c r="T34" s="62">
        <v>3</v>
      </c>
      <c r="U34" s="43">
        <v>3</v>
      </c>
      <c r="V34" s="43"/>
      <c r="W34" s="62"/>
      <c r="X34" s="62"/>
      <c r="Y34" s="63"/>
      <c r="Z34" s="73"/>
      <c r="AA34" s="25"/>
      <c r="AB34" s="25"/>
    </row>
    <row r="35" spans="2:28">
      <c r="B35" s="40" t="s">
        <v>392</v>
      </c>
      <c r="C35" s="40"/>
      <c r="D35" s="41">
        <v>8</v>
      </c>
      <c r="E35" s="42">
        <v>1</v>
      </c>
      <c r="F35" s="42" t="s">
        <v>38</v>
      </c>
      <c r="G35" s="43" t="s">
        <v>37</v>
      </c>
      <c r="H35" s="42" t="s">
        <v>254</v>
      </c>
      <c r="I35" s="43"/>
      <c r="J35" s="43">
        <v>2</v>
      </c>
      <c r="K35" s="25" t="str">
        <f>VLOOKUP(J35,Key!$E$2:$F$9,2,FALSE)</f>
        <v>Work</v>
      </c>
      <c r="L35" s="42" t="s">
        <v>37</v>
      </c>
      <c r="M35" s="43" t="s">
        <v>37</v>
      </c>
      <c r="N35" s="42" t="s">
        <v>254</v>
      </c>
      <c r="O35" s="43"/>
      <c r="P35" s="43">
        <v>5</v>
      </c>
      <c r="Q35" s="25" t="str">
        <f>VLOOKUP(P35,Key!$E$2:$F$9,2,FALSE)</f>
        <v>Tourism</v>
      </c>
      <c r="R35" s="25" t="str">
        <f t="shared" si="0"/>
        <v>Work-Tourism</v>
      </c>
      <c r="S35" s="62"/>
      <c r="T35" s="62">
        <v>2</v>
      </c>
      <c r="U35" s="43">
        <v>5</v>
      </c>
      <c r="V35" s="43"/>
      <c r="W35" s="62"/>
      <c r="X35" s="62"/>
      <c r="Y35" s="63"/>
      <c r="Z35" s="73"/>
      <c r="AA35" s="25"/>
      <c r="AB35" s="25"/>
    </row>
    <row r="36" spans="2:28">
      <c r="B36" s="40" t="s">
        <v>393</v>
      </c>
      <c r="C36" s="40"/>
      <c r="D36" s="41">
        <v>2</v>
      </c>
      <c r="E36" s="42">
        <v>2</v>
      </c>
      <c r="F36" s="42" t="s">
        <v>38</v>
      </c>
      <c r="G36" s="43" t="s">
        <v>37</v>
      </c>
      <c r="H36" s="42" t="s">
        <v>254</v>
      </c>
      <c r="I36" s="43"/>
      <c r="J36" s="43">
        <v>1</v>
      </c>
      <c r="K36" s="25" t="str">
        <f>VLOOKUP(J36,Key!$E$2:$F$9,2,FALSE)</f>
        <v>Home</v>
      </c>
      <c r="L36" s="42" t="s">
        <v>440</v>
      </c>
      <c r="M36" s="43" t="s">
        <v>37</v>
      </c>
      <c r="N36" s="42" t="s">
        <v>254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Home-Commercial</v>
      </c>
      <c r="S36" s="62"/>
      <c r="T36" s="62">
        <v>0</v>
      </c>
      <c r="U36" s="43">
        <v>4</v>
      </c>
      <c r="V36" s="43"/>
      <c r="W36" s="62"/>
      <c r="X36" s="62"/>
      <c r="Y36" s="63"/>
      <c r="Z36" s="73"/>
      <c r="AA36" s="25"/>
      <c r="AB36" s="25"/>
    </row>
    <row r="37" spans="2:28">
      <c r="B37" s="40" t="s">
        <v>394</v>
      </c>
      <c r="C37" s="40"/>
      <c r="D37" s="41">
        <v>2</v>
      </c>
      <c r="E37" s="42">
        <v>1</v>
      </c>
      <c r="F37" s="42" t="s">
        <v>50</v>
      </c>
      <c r="G37" s="43" t="s">
        <v>255</v>
      </c>
      <c r="H37" s="42" t="s">
        <v>254</v>
      </c>
      <c r="I37" s="43"/>
      <c r="J37" s="43">
        <v>2</v>
      </c>
      <c r="K37" s="25" t="str">
        <f>VLOOKUP(J37,Key!$E$2:$F$9,2,FALSE)</f>
        <v>Work</v>
      </c>
      <c r="L37" s="42" t="s">
        <v>241</v>
      </c>
      <c r="M37" s="43" t="s">
        <v>241</v>
      </c>
      <c r="N37" s="42" t="s">
        <v>254</v>
      </c>
      <c r="O37" s="43"/>
      <c r="P37" s="43">
        <v>3</v>
      </c>
      <c r="Q37" s="25" t="str">
        <f>VLOOKUP(P37,Key!$E$2:$F$9,2,FALSE)</f>
        <v>Study</v>
      </c>
      <c r="R37" s="25" t="str">
        <f t="shared" si="0"/>
        <v>Work-Study</v>
      </c>
      <c r="S37" s="62"/>
      <c r="T37" s="62">
        <v>3.3333333333333333E-2</v>
      </c>
      <c r="U37" s="43">
        <v>3</v>
      </c>
      <c r="V37" s="43"/>
      <c r="W37" s="62"/>
      <c r="X37" s="62"/>
      <c r="Y37" s="63"/>
      <c r="Z37" s="73"/>
      <c r="AA37" s="25"/>
      <c r="AB37" s="25"/>
    </row>
    <row r="38" spans="2:28">
      <c r="B38" s="40" t="s">
        <v>395</v>
      </c>
      <c r="C38" s="40"/>
      <c r="D38" s="41">
        <v>2</v>
      </c>
      <c r="E38" s="42">
        <v>1</v>
      </c>
      <c r="F38" s="42" t="s">
        <v>38</v>
      </c>
      <c r="G38" s="43" t="s">
        <v>37</v>
      </c>
      <c r="H38" s="42" t="s">
        <v>254</v>
      </c>
      <c r="I38" s="43"/>
      <c r="J38" s="43">
        <v>1</v>
      </c>
      <c r="K38" s="25" t="str">
        <f>VLOOKUP(J38,Key!$E$2:$F$9,2,FALSE)</f>
        <v>Home</v>
      </c>
      <c r="L38" s="42" t="s">
        <v>37</v>
      </c>
      <c r="M38" s="43" t="s">
        <v>37</v>
      </c>
      <c r="N38" s="42" t="s">
        <v>254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3</v>
      </c>
      <c r="U38" s="43">
        <v>2</v>
      </c>
      <c r="V38" s="43"/>
      <c r="W38" s="62"/>
      <c r="X38" s="62"/>
      <c r="Y38" s="63"/>
      <c r="Z38" s="73"/>
      <c r="AA38" s="25"/>
      <c r="AB38" s="25"/>
    </row>
    <row r="39" spans="2:28">
      <c r="B39" s="40" t="s">
        <v>396</v>
      </c>
      <c r="C39" s="40"/>
      <c r="D39" s="41">
        <v>2</v>
      </c>
      <c r="E39" s="42">
        <v>1</v>
      </c>
      <c r="F39" s="42" t="s">
        <v>50</v>
      </c>
      <c r="G39" s="43" t="s">
        <v>255</v>
      </c>
      <c r="H39" s="42" t="s">
        <v>254</v>
      </c>
      <c r="I39" s="43"/>
      <c r="J39" s="43">
        <v>4</v>
      </c>
      <c r="K39" s="25" t="str">
        <f>VLOOKUP(J39,Key!$E$2:$F$9,2,FALSE)</f>
        <v>Commercial</v>
      </c>
      <c r="L39" s="42" t="s">
        <v>37</v>
      </c>
      <c r="M39" s="43" t="s">
        <v>37</v>
      </c>
      <c r="N39" s="42" t="s">
        <v>254</v>
      </c>
      <c r="O39" s="43"/>
      <c r="P39" s="43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62"/>
      <c r="T39" s="62">
        <v>0</v>
      </c>
      <c r="U39" s="43">
        <v>3</v>
      </c>
      <c r="V39" s="43"/>
      <c r="W39" s="62"/>
      <c r="X39" s="62"/>
      <c r="Y39" s="63"/>
      <c r="Z39" s="73"/>
      <c r="AA39" s="25"/>
      <c r="AB39" s="25"/>
    </row>
    <row r="40" spans="2:28">
      <c r="B40" s="40" t="s">
        <v>397</v>
      </c>
      <c r="C40" s="40"/>
      <c r="D40" s="41">
        <v>12</v>
      </c>
      <c r="E40" s="42">
        <v>2</v>
      </c>
      <c r="F40" s="42" t="s">
        <v>38</v>
      </c>
      <c r="G40" s="43" t="s">
        <v>37</v>
      </c>
      <c r="H40" s="42" t="s">
        <v>254</v>
      </c>
      <c r="I40" s="43"/>
      <c r="J40" s="43">
        <v>2</v>
      </c>
      <c r="K40" s="25" t="str">
        <f>VLOOKUP(J40,Key!$E$2:$F$9,2,FALSE)</f>
        <v>Work</v>
      </c>
      <c r="L40" s="42" t="s">
        <v>37</v>
      </c>
      <c r="M40" s="43" t="s">
        <v>37</v>
      </c>
      <c r="N40" s="42" t="s">
        <v>254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2"/>
      <c r="T40" s="62">
        <v>3</v>
      </c>
      <c r="U40" s="43">
        <v>4</v>
      </c>
      <c r="V40" s="43"/>
      <c r="W40" s="62"/>
      <c r="X40" s="62"/>
      <c r="Y40" s="63"/>
      <c r="Z40" s="73"/>
      <c r="AA40" s="25"/>
      <c r="AB40" s="25"/>
    </row>
    <row r="41" spans="2:28">
      <c r="B41" s="40" t="s">
        <v>398</v>
      </c>
      <c r="C41" s="40"/>
      <c r="D41" s="41">
        <v>2</v>
      </c>
      <c r="E41" s="42">
        <v>1</v>
      </c>
      <c r="F41" s="42" t="s">
        <v>38</v>
      </c>
      <c r="G41" s="43" t="s">
        <v>37</v>
      </c>
      <c r="H41" s="42" t="s">
        <v>254</v>
      </c>
      <c r="I41" s="43"/>
      <c r="J41" s="43">
        <v>1</v>
      </c>
      <c r="K41" s="25" t="str">
        <f>VLOOKUP(J41,Key!$E$2:$F$9,2,FALSE)</f>
        <v>Home</v>
      </c>
      <c r="L41" s="42" t="s">
        <v>37</v>
      </c>
      <c r="M41" s="43" t="s">
        <v>37</v>
      </c>
      <c r="N41" s="42" t="s">
        <v>254</v>
      </c>
      <c r="O41" s="43"/>
      <c r="P41" s="43">
        <v>3</v>
      </c>
      <c r="Q41" s="25" t="str">
        <f>VLOOKUP(P41,Key!$E$2:$F$9,2,FALSE)</f>
        <v>Study</v>
      </c>
      <c r="R41" s="25" t="str">
        <f t="shared" si="1"/>
        <v>Home-Study</v>
      </c>
      <c r="S41" s="62"/>
      <c r="T41" s="62">
        <v>0</v>
      </c>
      <c r="U41" s="43">
        <v>2</v>
      </c>
      <c r="V41" s="43"/>
      <c r="W41" s="62"/>
      <c r="X41" s="62"/>
      <c r="Y41" s="63"/>
      <c r="Z41" s="73"/>
      <c r="AA41" s="25"/>
      <c r="AB41" s="25"/>
    </row>
    <row r="42" spans="2:28">
      <c r="B42" s="40" t="s">
        <v>399</v>
      </c>
      <c r="C42" s="40"/>
      <c r="D42" s="41">
        <v>12</v>
      </c>
      <c r="E42" s="42">
        <v>1</v>
      </c>
      <c r="F42" s="42" t="s">
        <v>256</v>
      </c>
      <c r="G42" s="43" t="s">
        <v>37</v>
      </c>
      <c r="H42" s="42" t="s">
        <v>254</v>
      </c>
      <c r="I42" s="43"/>
      <c r="J42" s="43">
        <v>2</v>
      </c>
      <c r="K42" s="25" t="str">
        <f>VLOOKUP(J42,Key!$E$2:$F$9,2,FALSE)</f>
        <v>Work</v>
      </c>
      <c r="L42" s="42" t="s">
        <v>60</v>
      </c>
      <c r="M42" s="43" t="s">
        <v>240</v>
      </c>
      <c r="N42" s="42" t="s">
        <v>254</v>
      </c>
      <c r="O42" s="43"/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62"/>
      <c r="T42" s="62">
        <v>3</v>
      </c>
      <c r="U42" s="43">
        <v>3</v>
      </c>
      <c r="V42" s="43"/>
      <c r="W42" s="62"/>
      <c r="X42" s="62"/>
      <c r="Y42" s="63"/>
      <c r="Z42" s="73"/>
      <c r="AA42" s="25"/>
      <c r="AB42" s="25"/>
    </row>
    <row r="43" spans="2:28">
      <c r="B43" s="40" t="s">
        <v>400</v>
      </c>
      <c r="C43" s="40"/>
      <c r="D43" s="41">
        <v>3</v>
      </c>
      <c r="E43" s="42">
        <v>2</v>
      </c>
      <c r="F43" s="42" t="s">
        <v>38</v>
      </c>
      <c r="G43" s="43" t="s">
        <v>37</v>
      </c>
      <c r="H43" s="42" t="s">
        <v>254</v>
      </c>
      <c r="I43" s="43"/>
      <c r="J43" s="43">
        <v>3</v>
      </c>
      <c r="K43" s="25" t="str">
        <f>VLOOKUP(J43,Key!$E$2:$F$9,2,FALSE)</f>
        <v>Study</v>
      </c>
      <c r="L43" s="42" t="s">
        <v>249</v>
      </c>
      <c r="M43" s="43" t="s">
        <v>37</v>
      </c>
      <c r="N43" s="42" t="s">
        <v>254</v>
      </c>
      <c r="O43" s="43"/>
      <c r="P43" s="43">
        <v>3</v>
      </c>
      <c r="Q43" s="25" t="str">
        <f>VLOOKUP(P43,Key!$E$2:$F$9,2,FALSE)</f>
        <v>Study</v>
      </c>
      <c r="R43" s="25" t="str">
        <f t="shared" si="1"/>
        <v>Study-Study</v>
      </c>
      <c r="S43" s="62"/>
      <c r="T43" s="62">
        <v>0.83333333333333337</v>
      </c>
      <c r="U43" s="43">
        <v>4</v>
      </c>
      <c r="V43" s="43"/>
      <c r="W43" s="62"/>
      <c r="X43" s="62"/>
      <c r="Y43" s="63"/>
      <c r="Z43" s="73"/>
      <c r="AA43" s="25"/>
      <c r="AB43" s="25"/>
    </row>
    <row r="44" spans="2:28">
      <c r="B44" s="40" t="s">
        <v>401</v>
      </c>
      <c r="C44" s="40"/>
      <c r="D44" s="41">
        <v>8</v>
      </c>
      <c r="E44" s="42">
        <v>1</v>
      </c>
      <c r="F44" s="42" t="s">
        <v>38</v>
      </c>
      <c r="G44" s="43" t="s">
        <v>37</v>
      </c>
      <c r="H44" s="42" t="s">
        <v>254</v>
      </c>
      <c r="I44" s="43"/>
      <c r="J44" s="43">
        <v>1</v>
      </c>
      <c r="K44" s="25" t="str">
        <f>VLOOKUP(J44,Key!$E$2:$F$9,2,FALSE)</f>
        <v>Home</v>
      </c>
      <c r="L44" s="42" t="s">
        <v>60</v>
      </c>
      <c r="M44" s="43" t="s">
        <v>240</v>
      </c>
      <c r="N44" s="42" t="s">
        <v>254</v>
      </c>
      <c r="O44" s="43"/>
      <c r="P44" s="43">
        <v>4</v>
      </c>
      <c r="Q44" s="25" t="str">
        <f>VLOOKUP(P44,Key!$E$2:$F$9,2,FALSE)</f>
        <v>Commercial</v>
      </c>
      <c r="R44" s="25" t="str">
        <f t="shared" si="1"/>
        <v>Home-Commercial</v>
      </c>
      <c r="S44" s="62"/>
      <c r="T44" s="62">
        <v>0</v>
      </c>
      <c r="U44" s="43">
        <v>3</v>
      </c>
      <c r="V44" s="43"/>
      <c r="W44" s="62"/>
      <c r="X44" s="62"/>
      <c r="Y44" s="63"/>
      <c r="Z44" s="73"/>
      <c r="AA44" s="25"/>
      <c r="AB44" s="25"/>
    </row>
    <row r="45" spans="2:28">
      <c r="B45" s="40" t="s">
        <v>290</v>
      </c>
      <c r="C45" s="40"/>
      <c r="D45" s="41">
        <v>3</v>
      </c>
      <c r="E45" s="42">
        <v>2</v>
      </c>
      <c r="F45" s="42" t="s">
        <v>437</v>
      </c>
      <c r="G45" s="43" t="s">
        <v>37</v>
      </c>
      <c r="H45" s="42" t="s">
        <v>254</v>
      </c>
      <c r="I45" s="43"/>
      <c r="J45" s="43">
        <v>2</v>
      </c>
      <c r="K45" s="25" t="str">
        <f>VLOOKUP(J45,Key!$E$2:$F$9,2,FALSE)</f>
        <v>Work</v>
      </c>
      <c r="L45" s="42" t="s">
        <v>37</v>
      </c>
      <c r="M45" s="43" t="s">
        <v>37</v>
      </c>
      <c r="N45" s="42" t="s">
        <v>254</v>
      </c>
      <c r="O45" s="43"/>
      <c r="P45" s="43">
        <v>4</v>
      </c>
      <c r="Q45" s="25" t="str">
        <f>VLOOKUP(P45,Key!$E$2:$F$9,2,FALSE)</f>
        <v>Commercial</v>
      </c>
      <c r="R45" s="25" t="str">
        <f t="shared" si="1"/>
        <v>Work-Commercial</v>
      </c>
      <c r="S45" s="62"/>
      <c r="T45" s="62">
        <v>4</v>
      </c>
      <c r="U45" s="43">
        <v>4</v>
      </c>
      <c r="V45" s="43"/>
      <c r="W45" s="62"/>
      <c r="X45" s="62"/>
      <c r="Y45" s="63"/>
      <c r="Z45" s="73"/>
      <c r="AA45" s="25"/>
      <c r="AB45" s="25"/>
    </row>
    <row r="46" spans="2:28">
      <c r="B46" s="40" t="s">
        <v>291</v>
      </c>
      <c r="C46" s="40"/>
      <c r="D46" s="41">
        <v>3</v>
      </c>
      <c r="E46" s="42">
        <v>1</v>
      </c>
      <c r="F46" s="42" t="s">
        <v>38</v>
      </c>
      <c r="G46" s="43" t="s">
        <v>37</v>
      </c>
      <c r="H46" s="42" t="s">
        <v>254</v>
      </c>
      <c r="I46" s="43"/>
      <c r="J46" s="43">
        <v>1</v>
      </c>
      <c r="K46" s="25" t="str">
        <f>VLOOKUP(J46,Key!$E$2:$F$9,2,FALSE)</f>
        <v>Home</v>
      </c>
      <c r="L46" s="42" t="s">
        <v>241</v>
      </c>
      <c r="M46" s="43" t="s">
        <v>241</v>
      </c>
      <c r="N46" s="42" t="s">
        <v>254</v>
      </c>
      <c r="O46" s="43"/>
      <c r="P46" s="43">
        <v>3</v>
      </c>
      <c r="Q46" s="25" t="str">
        <f>VLOOKUP(P46,Key!$E$2:$F$9,2,FALSE)</f>
        <v>Study</v>
      </c>
      <c r="R46" s="25" t="str">
        <f t="shared" si="1"/>
        <v>Home-Study</v>
      </c>
      <c r="S46" s="62"/>
      <c r="T46" s="62">
        <v>0</v>
      </c>
      <c r="U46" s="43">
        <v>4</v>
      </c>
      <c r="V46" s="43"/>
      <c r="W46" s="62"/>
      <c r="X46" s="62"/>
      <c r="Y46" s="63"/>
      <c r="Z46" s="73"/>
      <c r="AA46" s="25"/>
      <c r="AB46" s="25"/>
    </row>
    <row r="47" spans="2:28">
      <c r="B47" s="40" t="s">
        <v>402</v>
      </c>
      <c r="C47" s="40"/>
      <c r="D47" s="41">
        <v>5</v>
      </c>
      <c r="E47" s="42">
        <v>2</v>
      </c>
      <c r="F47" s="42" t="s">
        <v>256</v>
      </c>
      <c r="G47" s="43" t="s">
        <v>37</v>
      </c>
      <c r="H47" s="42" t="s">
        <v>254</v>
      </c>
      <c r="I47" s="43"/>
      <c r="J47" s="43">
        <v>2</v>
      </c>
      <c r="K47" s="25" t="str">
        <f>VLOOKUP(J47,Key!$E$2:$F$9,2,FALSE)</f>
        <v>Work</v>
      </c>
      <c r="L47" s="42" t="s">
        <v>249</v>
      </c>
      <c r="M47" s="43" t="s">
        <v>37</v>
      </c>
      <c r="N47" s="42" t="s">
        <v>254</v>
      </c>
      <c r="O47" s="43"/>
      <c r="P47" s="43">
        <v>4</v>
      </c>
      <c r="Q47" s="25" t="str">
        <f>VLOOKUP(P47,Key!$E$2:$F$9,2,FALSE)</f>
        <v>Commercial</v>
      </c>
      <c r="R47" s="25" t="str">
        <f t="shared" si="1"/>
        <v>Work-Commercial</v>
      </c>
      <c r="S47" s="62"/>
      <c r="T47" s="62">
        <v>0</v>
      </c>
      <c r="U47" s="43">
        <v>3</v>
      </c>
      <c r="V47" s="43"/>
      <c r="W47" s="62"/>
      <c r="X47" s="62"/>
      <c r="Y47" s="63"/>
      <c r="Z47" s="73"/>
      <c r="AA47" s="25"/>
      <c r="AB47" s="25"/>
    </row>
    <row r="48" spans="2:28">
      <c r="B48" s="40" t="s">
        <v>403</v>
      </c>
      <c r="C48" s="40"/>
      <c r="D48" s="41">
        <v>12</v>
      </c>
      <c r="E48" s="42">
        <v>1</v>
      </c>
      <c r="F48" s="42" t="s">
        <v>38</v>
      </c>
      <c r="G48" s="43" t="s">
        <v>37</v>
      </c>
      <c r="H48" s="42" t="s">
        <v>254</v>
      </c>
      <c r="I48" s="43"/>
      <c r="J48" s="43">
        <v>2</v>
      </c>
      <c r="K48" s="25" t="str">
        <f>VLOOKUP(J48,Key!$E$2:$F$9,2,FALSE)</f>
        <v>Work</v>
      </c>
      <c r="L48" s="42" t="s">
        <v>37</v>
      </c>
      <c r="M48" s="43" t="s">
        <v>37</v>
      </c>
      <c r="N48" s="42" t="s">
        <v>254</v>
      </c>
      <c r="O48" s="43"/>
      <c r="P48" s="43">
        <v>4</v>
      </c>
      <c r="Q48" s="25" t="str">
        <f>VLOOKUP(P48,Key!$E$2:$F$9,2,FALSE)</f>
        <v>Commercial</v>
      </c>
      <c r="R48" s="25" t="str">
        <f t="shared" si="1"/>
        <v>Work-Commercial</v>
      </c>
      <c r="S48" s="62"/>
      <c r="T48" s="62">
        <v>1</v>
      </c>
      <c r="U48" s="43">
        <v>4</v>
      </c>
      <c r="V48" s="43"/>
      <c r="W48" s="62"/>
      <c r="X48" s="62"/>
      <c r="Y48" s="63"/>
      <c r="Z48" s="73"/>
      <c r="AA48" s="25"/>
      <c r="AB48" s="25"/>
    </row>
    <row r="49" spans="2:28">
      <c r="B49" s="40" t="s">
        <v>404</v>
      </c>
      <c r="C49" s="40"/>
      <c r="D49" s="41">
        <v>8</v>
      </c>
      <c r="E49" s="42">
        <v>2</v>
      </c>
      <c r="F49" s="42" t="s">
        <v>436</v>
      </c>
      <c r="G49" s="43" t="s">
        <v>37</v>
      </c>
      <c r="H49" s="42" t="s">
        <v>254</v>
      </c>
      <c r="I49" s="43"/>
      <c r="J49" s="43">
        <v>1</v>
      </c>
      <c r="K49" s="25" t="str">
        <f>VLOOKUP(J49,Key!$E$2:$F$9,2,FALSE)</f>
        <v>Home</v>
      </c>
      <c r="L49" s="42" t="s">
        <v>248</v>
      </c>
      <c r="M49" s="43" t="s">
        <v>248</v>
      </c>
      <c r="N49" s="42" t="s">
        <v>254</v>
      </c>
      <c r="O49" s="43"/>
      <c r="P49" s="43">
        <v>3</v>
      </c>
      <c r="Q49" s="25" t="str">
        <f>VLOOKUP(P49,Key!$E$2:$F$9,2,FALSE)</f>
        <v>Study</v>
      </c>
      <c r="R49" s="25" t="str">
        <f t="shared" si="1"/>
        <v>Home-Study</v>
      </c>
      <c r="S49" s="62"/>
      <c r="T49" s="62">
        <v>3</v>
      </c>
      <c r="U49" s="43">
        <v>4</v>
      </c>
      <c r="V49" s="43"/>
      <c r="W49" s="62"/>
      <c r="X49" s="62"/>
      <c r="Y49" s="63"/>
      <c r="Z49" s="73"/>
      <c r="AA49" s="25"/>
      <c r="AB49" s="25"/>
    </row>
    <row r="50" spans="2:28">
      <c r="B50" s="40" t="s">
        <v>405</v>
      </c>
      <c r="C50" s="40"/>
      <c r="D50" s="41">
        <v>3</v>
      </c>
      <c r="E50" s="42">
        <v>1</v>
      </c>
      <c r="F50" s="42" t="s">
        <v>50</v>
      </c>
      <c r="G50" s="43" t="s">
        <v>255</v>
      </c>
      <c r="H50" s="42" t="s">
        <v>254</v>
      </c>
      <c r="I50" s="43"/>
      <c r="J50" s="43">
        <v>2</v>
      </c>
      <c r="K50" s="25" t="str">
        <f>VLOOKUP(J50,Key!$E$2:$F$9,2,FALSE)</f>
        <v>Work</v>
      </c>
      <c r="L50" s="42" t="s">
        <v>37</v>
      </c>
      <c r="M50" s="43" t="s">
        <v>37</v>
      </c>
      <c r="N50" s="42" t="s">
        <v>254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0</v>
      </c>
      <c r="U50" s="43">
        <v>3</v>
      </c>
      <c r="V50" s="43"/>
      <c r="W50" s="62"/>
      <c r="X50" s="62"/>
      <c r="Y50" s="63"/>
      <c r="Z50" s="73"/>
      <c r="AA50" s="25"/>
      <c r="AB50" s="25"/>
    </row>
    <row r="51" spans="2:28">
      <c r="B51" s="40" t="s">
        <v>406</v>
      </c>
      <c r="C51" s="40"/>
      <c r="D51" s="41">
        <v>1</v>
      </c>
      <c r="E51" s="42">
        <v>1</v>
      </c>
      <c r="F51" s="42" t="s">
        <v>38</v>
      </c>
      <c r="G51" s="43" t="s">
        <v>37</v>
      </c>
      <c r="H51" s="42" t="s">
        <v>254</v>
      </c>
      <c r="I51" s="43"/>
      <c r="J51" s="43">
        <v>2</v>
      </c>
      <c r="K51" s="25" t="str">
        <f>VLOOKUP(J51,Key!$E$2:$F$9,2,FALSE)</f>
        <v>Work</v>
      </c>
      <c r="L51" s="42" t="s">
        <v>69</v>
      </c>
      <c r="M51" s="43" t="s">
        <v>69</v>
      </c>
      <c r="N51" s="42" t="s">
        <v>254</v>
      </c>
      <c r="O51" s="43"/>
      <c r="P51" s="43">
        <v>4</v>
      </c>
      <c r="Q51" s="25" t="str">
        <f>VLOOKUP(P51,Key!$E$2:$F$9,2,FALSE)</f>
        <v>Commercial</v>
      </c>
      <c r="R51" s="25" t="str">
        <f t="shared" si="1"/>
        <v>Work-Commercial</v>
      </c>
      <c r="S51" s="62"/>
      <c r="T51" s="62">
        <v>0</v>
      </c>
      <c r="U51" s="43">
        <v>2</v>
      </c>
      <c r="V51" s="43"/>
      <c r="W51" s="62"/>
      <c r="X51" s="62"/>
      <c r="Y51" s="63"/>
      <c r="Z51" s="73"/>
      <c r="AA51" s="25"/>
      <c r="AB51" s="25"/>
    </row>
    <row r="52" spans="2:28">
      <c r="B52" s="40" t="s">
        <v>407</v>
      </c>
      <c r="C52" s="40"/>
      <c r="D52" s="41">
        <v>8</v>
      </c>
      <c r="E52" s="42">
        <v>1</v>
      </c>
      <c r="F52" s="42" t="s">
        <v>256</v>
      </c>
      <c r="G52" s="43" t="s">
        <v>37</v>
      </c>
      <c r="H52" s="42" t="s">
        <v>254</v>
      </c>
      <c r="I52" s="43"/>
      <c r="J52" s="43">
        <v>2</v>
      </c>
      <c r="K52" s="25" t="str">
        <f>VLOOKUP(J52,Key!$E$2:$F$9,2,FALSE)</f>
        <v>Work</v>
      </c>
      <c r="L52" s="42" t="s">
        <v>37</v>
      </c>
      <c r="M52" s="43" t="s">
        <v>37</v>
      </c>
      <c r="N52" s="42" t="s">
        <v>254</v>
      </c>
      <c r="O52" s="43"/>
      <c r="P52" s="43">
        <v>3</v>
      </c>
      <c r="Q52" s="25" t="str">
        <f>VLOOKUP(P52,Key!$E$2:$F$9,2,FALSE)</f>
        <v>Study</v>
      </c>
      <c r="R52" s="25" t="str">
        <f t="shared" si="1"/>
        <v>Work-Study</v>
      </c>
      <c r="S52" s="62"/>
      <c r="T52" s="62">
        <v>0</v>
      </c>
      <c r="U52" s="43">
        <v>4</v>
      </c>
      <c r="V52" s="43"/>
      <c r="W52" s="62"/>
      <c r="X52" s="62"/>
      <c r="Y52" s="63"/>
      <c r="Z52" s="73"/>
      <c r="AA52" s="25"/>
      <c r="AB52" s="25"/>
    </row>
    <row r="53" spans="2:28">
      <c r="B53" s="40" t="s">
        <v>408</v>
      </c>
      <c r="C53" s="40"/>
      <c r="D53" s="41">
        <v>12</v>
      </c>
      <c r="E53" s="42">
        <v>2</v>
      </c>
      <c r="F53" s="42" t="s">
        <v>436</v>
      </c>
      <c r="G53" s="43" t="s">
        <v>37</v>
      </c>
      <c r="H53" s="42" t="s">
        <v>254</v>
      </c>
      <c r="I53" s="43"/>
      <c r="J53" s="43">
        <v>2</v>
      </c>
      <c r="K53" s="25" t="str">
        <f>VLOOKUP(J53,Key!$E$2:$F$9,2,FALSE)</f>
        <v>Work</v>
      </c>
      <c r="L53" s="42" t="s">
        <v>37</v>
      </c>
      <c r="M53" s="43" t="s">
        <v>37</v>
      </c>
      <c r="N53" s="42" t="s">
        <v>254</v>
      </c>
      <c r="O53" s="43"/>
      <c r="P53" s="43">
        <v>3</v>
      </c>
      <c r="Q53" s="25" t="str">
        <f>VLOOKUP(P53,Key!$E$2:$F$9,2,FALSE)</f>
        <v>Study</v>
      </c>
      <c r="R53" s="25" t="str">
        <f t="shared" si="1"/>
        <v>Work-Study</v>
      </c>
      <c r="S53" s="62"/>
      <c r="T53" s="62">
        <v>3</v>
      </c>
      <c r="U53" s="43">
        <v>2</v>
      </c>
      <c r="V53" s="43"/>
      <c r="W53" s="62"/>
      <c r="X53" s="62"/>
      <c r="Y53" s="63"/>
      <c r="Z53" s="73"/>
      <c r="AA53" s="25"/>
      <c r="AB53" s="25"/>
    </row>
    <row r="54" spans="2:28">
      <c r="B54" s="40" t="s">
        <v>409</v>
      </c>
      <c r="C54" s="40"/>
      <c r="D54" s="41">
        <v>8</v>
      </c>
      <c r="E54" s="42">
        <v>2</v>
      </c>
      <c r="F54" s="42" t="s">
        <v>38</v>
      </c>
      <c r="G54" s="43" t="s">
        <v>37</v>
      </c>
      <c r="H54" s="42" t="s">
        <v>254</v>
      </c>
      <c r="I54" s="43"/>
      <c r="J54" s="43">
        <v>1</v>
      </c>
      <c r="K54" s="25" t="str">
        <f>VLOOKUP(J54,Key!$E$2:$F$9,2,FALSE)</f>
        <v>Home</v>
      </c>
      <c r="L54" s="42" t="s">
        <v>37</v>
      </c>
      <c r="M54" s="43" t="s">
        <v>37</v>
      </c>
      <c r="N54" s="42" t="s">
        <v>254</v>
      </c>
      <c r="O54" s="43"/>
      <c r="P54" s="43">
        <v>4</v>
      </c>
      <c r="Q54" s="25" t="str">
        <f>VLOOKUP(P54,Key!$E$2:$F$9,2,FALSE)</f>
        <v>Commercial</v>
      </c>
      <c r="R54" s="25" t="str">
        <f t="shared" si="1"/>
        <v>Home-Commercial</v>
      </c>
      <c r="S54" s="62"/>
      <c r="T54" s="62">
        <v>0</v>
      </c>
      <c r="U54" s="43">
        <v>3</v>
      </c>
      <c r="V54" s="43"/>
      <c r="W54" s="62"/>
      <c r="X54" s="62"/>
      <c r="Y54" s="63"/>
      <c r="Z54" s="73"/>
      <c r="AA54" s="25"/>
      <c r="AB54" s="25"/>
    </row>
    <row r="55" spans="2:28">
      <c r="B55" s="40" t="s">
        <v>306</v>
      </c>
      <c r="C55" s="40"/>
      <c r="D55" s="41">
        <v>12</v>
      </c>
      <c r="E55" s="42">
        <v>1</v>
      </c>
      <c r="F55" s="42" t="s">
        <v>38</v>
      </c>
      <c r="G55" s="43" t="s">
        <v>37</v>
      </c>
      <c r="H55" s="42" t="s">
        <v>254</v>
      </c>
      <c r="I55" s="43"/>
      <c r="J55" s="43">
        <v>1</v>
      </c>
      <c r="K55" s="25" t="str">
        <f>VLOOKUP(J55,Key!$E$2:$F$9,2,FALSE)</f>
        <v>Home</v>
      </c>
      <c r="L55" s="42" t="s">
        <v>60</v>
      </c>
      <c r="M55" s="43" t="s">
        <v>240</v>
      </c>
      <c r="N55" s="42" t="s">
        <v>254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62"/>
      <c r="T55" s="62">
        <v>0</v>
      </c>
      <c r="U55" s="43">
        <v>4</v>
      </c>
      <c r="V55" s="43"/>
      <c r="W55" s="62"/>
      <c r="X55" s="62"/>
      <c r="Y55" s="63"/>
      <c r="Z55" s="73"/>
      <c r="AA55" s="25"/>
      <c r="AB55" s="25"/>
    </row>
    <row r="56" spans="2:28">
      <c r="B56" s="40" t="s">
        <v>410</v>
      </c>
      <c r="C56" s="40"/>
      <c r="D56" s="41">
        <v>3</v>
      </c>
      <c r="E56" s="42">
        <v>1</v>
      </c>
      <c r="F56" s="42" t="s">
        <v>38</v>
      </c>
      <c r="G56" s="43" t="s">
        <v>37</v>
      </c>
      <c r="H56" s="42" t="s">
        <v>254</v>
      </c>
      <c r="I56" s="43"/>
      <c r="J56" s="43">
        <v>1</v>
      </c>
      <c r="K56" s="25" t="str">
        <f>VLOOKUP(J56,Key!$E$2:$F$9,2,FALSE)</f>
        <v>Home</v>
      </c>
      <c r="L56" s="42" t="s">
        <v>241</v>
      </c>
      <c r="M56" s="43" t="s">
        <v>241</v>
      </c>
      <c r="N56" s="42" t="s">
        <v>254</v>
      </c>
      <c r="O56" s="43"/>
      <c r="P56" s="43">
        <v>3</v>
      </c>
      <c r="Q56" s="25" t="str">
        <f>VLOOKUP(P56,Key!$E$2:$F$9,2,FALSE)</f>
        <v>Study</v>
      </c>
      <c r="R56" s="25" t="str">
        <f t="shared" si="1"/>
        <v>Home-Study</v>
      </c>
      <c r="S56" s="62"/>
      <c r="T56" s="62">
        <v>0</v>
      </c>
      <c r="U56" s="43">
        <v>2</v>
      </c>
      <c r="V56" s="43"/>
      <c r="W56" s="62"/>
      <c r="X56" s="62"/>
      <c r="Y56" s="63"/>
      <c r="Z56" s="73"/>
      <c r="AA56" s="25"/>
      <c r="AB56" s="25"/>
    </row>
    <row r="57" spans="2:28">
      <c r="B57" s="40" t="s">
        <v>411</v>
      </c>
      <c r="C57" s="40"/>
      <c r="D57" s="41">
        <v>12</v>
      </c>
      <c r="E57" s="42">
        <v>1</v>
      </c>
      <c r="F57" s="42" t="s">
        <v>38</v>
      </c>
      <c r="G57" s="43" t="s">
        <v>37</v>
      </c>
      <c r="H57" s="42" t="s">
        <v>254</v>
      </c>
      <c r="I57" s="43"/>
      <c r="J57" s="43">
        <v>2</v>
      </c>
      <c r="K57" s="25" t="str">
        <f>VLOOKUP(J57,Key!$E$2:$F$9,2,FALSE)</f>
        <v>Work</v>
      </c>
      <c r="L57" s="42" t="s">
        <v>37</v>
      </c>
      <c r="M57" s="43" t="s">
        <v>37</v>
      </c>
      <c r="N57" s="42" t="s">
        <v>254</v>
      </c>
      <c r="O57" s="43"/>
      <c r="P57" s="43">
        <v>4</v>
      </c>
      <c r="Q57" s="25" t="str">
        <f>VLOOKUP(P57,Key!$E$2:$F$9,2,FALSE)</f>
        <v>Commercial</v>
      </c>
      <c r="R57" s="25" t="str">
        <f t="shared" si="1"/>
        <v>Work-Commercial</v>
      </c>
      <c r="S57" s="62"/>
      <c r="T57" s="62">
        <v>3</v>
      </c>
      <c r="U57" s="43">
        <v>3</v>
      </c>
      <c r="V57" s="43"/>
      <c r="W57" s="62"/>
      <c r="X57" s="62"/>
      <c r="Y57" s="63"/>
      <c r="Z57" s="73"/>
      <c r="AA57" s="25"/>
      <c r="AB57" s="25"/>
    </row>
    <row r="58" spans="2:28">
      <c r="B58" s="40" t="s">
        <v>412</v>
      </c>
      <c r="C58" s="40"/>
      <c r="D58" s="41">
        <v>8</v>
      </c>
      <c r="E58" s="42">
        <v>2</v>
      </c>
      <c r="F58" s="42" t="s">
        <v>38</v>
      </c>
      <c r="G58" s="43" t="s">
        <v>37</v>
      </c>
      <c r="H58" s="42" t="s">
        <v>254</v>
      </c>
      <c r="I58" s="43"/>
      <c r="J58" s="43">
        <v>2</v>
      </c>
      <c r="K58" s="25" t="str">
        <f>VLOOKUP(J58,Key!$E$2:$F$9,2,FALSE)</f>
        <v>Work</v>
      </c>
      <c r="L58" s="42" t="s">
        <v>37</v>
      </c>
      <c r="M58" s="43" t="s">
        <v>37</v>
      </c>
      <c r="N58" s="42" t="s">
        <v>254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4</v>
      </c>
      <c r="U58" s="43">
        <v>4</v>
      </c>
      <c r="V58" s="43"/>
      <c r="W58" s="62"/>
      <c r="X58" s="62"/>
      <c r="Y58" s="63"/>
      <c r="Z58" s="73"/>
      <c r="AA58" s="25"/>
      <c r="AB58" s="25"/>
    </row>
    <row r="59" spans="2:28">
      <c r="B59" s="40" t="s">
        <v>413</v>
      </c>
      <c r="C59" s="40"/>
      <c r="D59" s="41">
        <v>6</v>
      </c>
      <c r="E59" s="42">
        <v>1</v>
      </c>
      <c r="F59" s="42" t="s">
        <v>38</v>
      </c>
      <c r="G59" s="43" t="s">
        <v>37</v>
      </c>
      <c r="H59" s="42" t="s">
        <v>254</v>
      </c>
      <c r="I59" s="43"/>
      <c r="J59" s="43">
        <v>2</v>
      </c>
      <c r="K59" s="25" t="str">
        <f>VLOOKUP(J59,Key!$E$2:$F$9,2,FALSE)</f>
        <v>Work</v>
      </c>
      <c r="L59" s="42" t="s">
        <v>248</v>
      </c>
      <c r="M59" s="43" t="s">
        <v>248</v>
      </c>
      <c r="N59" s="42" t="s">
        <v>254</v>
      </c>
      <c r="O59" s="43"/>
      <c r="P59" s="43">
        <v>4</v>
      </c>
      <c r="Q59" s="25" t="str">
        <f>VLOOKUP(P59,Key!$E$2:$F$9,2,FALSE)</f>
        <v>Commercial</v>
      </c>
      <c r="R59" s="25" t="str">
        <f t="shared" si="1"/>
        <v>Work-Commercial</v>
      </c>
      <c r="S59" s="62"/>
      <c r="T59" s="62">
        <v>2</v>
      </c>
      <c r="U59" s="43">
        <v>2</v>
      </c>
      <c r="V59" s="43"/>
      <c r="W59" s="62"/>
      <c r="X59" s="62"/>
      <c r="Y59" s="63"/>
      <c r="Z59" s="73"/>
      <c r="AA59" s="25"/>
      <c r="AB59" s="25"/>
    </row>
    <row r="60" spans="2:28">
      <c r="B60" s="40" t="s">
        <v>414</v>
      </c>
      <c r="C60" s="40"/>
      <c r="D60" s="41">
        <v>12</v>
      </c>
      <c r="E60" s="42">
        <v>2</v>
      </c>
      <c r="F60" s="42" t="s">
        <v>38</v>
      </c>
      <c r="G60" s="43" t="s">
        <v>37</v>
      </c>
      <c r="H60" s="42" t="s">
        <v>254</v>
      </c>
      <c r="I60" s="43"/>
      <c r="J60" s="43">
        <v>1</v>
      </c>
      <c r="K60" s="25" t="str">
        <f>VLOOKUP(J60,Key!$E$2:$F$9,2,FALSE)</f>
        <v>Home</v>
      </c>
      <c r="L60" s="42" t="s">
        <v>248</v>
      </c>
      <c r="M60" s="43" t="s">
        <v>248</v>
      </c>
      <c r="N60" s="42" t="s">
        <v>254</v>
      </c>
      <c r="O60" s="43"/>
      <c r="P60" s="43">
        <v>3</v>
      </c>
      <c r="Q60" s="25" t="str">
        <f>VLOOKUP(P60,Key!$E$2:$F$9,2,FALSE)</f>
        <v>Study</v>
      </c>
      <c r="R60" s="25" t="str">
        <f t="shared" si="1"/>
        <v>Home-Study</v>
      </c>
      <c r="S60" s="62"/>
      <c r="T60" s="62">
        <v>2</v>
      </c>
      <c r="U60" s="43">
        <v>4</v>
      </c>
      <c r="V60" s="43"/>
      <c r="W60" s="62"/>
      <c r="X60" s="62"/>
      <c r="Y60" s="63"/>
      <c r="Z60" s="73"/>
      <c r="AA60" s="25"/>
      <c r="AB60" s="25"/>
    </row>
    <row r="61" spans="2:28">
      <c r="B61" s="40" t="s">
        <v>415</v>
      </c>
      <c r="C61" s="40"/>
      <c r="D61" s="41">
        <v>3</v>
      </c>
      <c r="E61" s="42">
        <v>2</v>
      </c>
      <c r="F61" s="42" t="s">
        <v>256</v>
      </c>
      <c r="G61" s="43" t="s">
        <v>37</v>
      </c>
      <c r="H61" s="42" t="s">
        <v>254</v>
      </c>
      <c r="I61" s="43"/>
      <c r="J61" s="43">
        <v>1</v>
      </c>
      <c r="K61" s="25" t="str">
        <f>VLOOKUP(J61,Key!$E$2:$F$9,2,FALSE)</f>
        <v>Home</v>
      </c>
      <c r="L61" s="42" t="s">
        <v>241</v>
      </c>
      <c r="M61" s="43" t="s">
        <v>241</v>
      </c>
      <c r="N61" s="42" t="s">
        <v>254</v>
      </c>
      <c r="O61" s="43"/>
      <c r="P61" s="43">
        <v>3</v>
      </c>
      <c r="Q61" s="25" t="str">
        <f>VLOOKUP(P61,Key!$E$2:$F$9,2,FALSE)</f>
        <v>Study</v>
      </c>
      <c r="R61" s="25" t="str">
        <f t="shared" si="1"/>
        <v>Home-Study</v>
      </c>
      <c r="S61" s="62"/>
      <c r="T61" s="62">
        <v>1</v>
      </c>
      <c r="U61" s="43">
        <v>3</v>
      </c>
      <c r="V61" s="43"/>
      <c r="W61" s="62"/>
      <c r="X61" s="62"/>
      <c r="Y61" s="63"/>
      <c r="Z61" s="73"/>
      <c r="AA61" s="25"/>
      <c r="AB61" s="25"/>
    </row>
    <row r="62" spans="2:28">
      <c r="B62" s="40" t="s">
        <v>416</v>
      </c>
      <c r="C62" s="40"/>
      <c r="D62" s="41">
        <v>2</v>
      </c>
      <c r="E62" s="42">
        <v>1</v>
      </c>
      <c r="F62" s="42" t="s">
        <v>50</v>
      </c>
      <c r="G62" s="43" t="s">
        <v>255</v>
      </c>
      <c r="H62" s="42" t="s">
        <v>254</v>
      </c>
      <c r="I62" s="43"/>
      <c r="J62" s="43">
        <v>1</v>
      </c>
      <c r="K62" s="25" t="str">
        <f>VLOOKUP(J62,Key!$E$2:$F$9,2,FALSE)</f>
        <v>Home</v>
      </c>
      <c r="L62" s="42" t="s">
        <v>249</v>
      </c>
      <c r="M62" s="43" t="s">
        <v>37</v>
      </c>
      <c r="N62" s="42" t="s">
        <v>254</v>
      </c>
      <c r="O62" s="43"/>
      <c r="P62" s="43">
        <v>3</v>
      </c>
      <c r="Q62" s="25" t="str">
        <f>VLOOKUP(P62,Key!$E$2:$F$9,2,FALSE)</f>
        <v>Study</v>
      </c>
      <c r="R62" s="25" t="str">
        <f t="shared" si="1"/>
        <v>Home-Study</v>
      </c>
      <c r="S62" s="62"/>
      <c r="T62" s="62">
        <v>2</v>
      </c>
      <c r="U62" s="43">
        <v>3</v>
      </c>
      <c r="V62" s="43"/>
      <c r="W62" s="62"/>
      <c r="X62" s="62"/>
      <c r="Y62" s="63"/>
      <c r="Z62" s="73"/>
      <c r="AA62" s="25"/>
      <c r="AB62" s="25"/>
    </row>
    <row r="63" spans="2:28">
      <c r="B63" s="40" t="s">
        <v>417</v>
      </c>
      <c r="C63" s="40"/>
      <c r="D63" s="41">
        <v>8</v>
      </c>
      <c r="E63" s="42">
        <v>1</v>
      </c>
      <c r="F63" s="42" t="s">
        <v>50</v>
      </c>
      <c r="G63" s="43" t="s">
        <v>255</v>
      </c>
      <c r="H63" s="42" t="s">
        <v>254</v>
      </c>
      <c r="I63" s="43"/>
      <c r="J63" s="43">
        <v>1</v>
      </c>
      <c r="K63" s="25" t="str">
        <f>VLOOKUP(J63,Key!$E$2:$F$9,2,FALSE)</f>
        <v>Home</v>
      </c>
      <c r="L63" s="42" t="s">
        <v>37</v>
      </c>
      <c r="M63" s="43" t="s">
        <v>37</v>
      </c>
      <c r="N63" s="42" t="s">
        <v>254</v>
      </c>
      <c r="O63" s="43"/>
      <c r="P63" s="43">
        <v>3</v>
      </c>
      <c r="Q63" s="25" t="str">
        <f>VLOOKUP(P63,Key!$E$2:$F$9,2,FALSE)</f>
        <v>Study</v>
      </c>
      <c r="R63" s="25" t="str">
        <f t="shared" si="1"/>
        <v>Home-Study</v>
      </c>
      <c r="S63" s="62"/>
      <c r="T63" s="62">
        <v>4</v>
      </c>
      <c r="U63" s="43">
        <v>3</v>
      </c>
      <c r="V63" s="43"/>
      <c r="W63" s="62"/>
      <c r="X63" s="62"/>
      <c r="Y63" s="63"/>
      <c r="Z63" s="73"/>
      <c r="AA63" s="25"/>
      <c r="AB63" s="25"/>
    </row>
    <row r="64" spans="2:28">
      <c r="B64" s="40" t="s">
        <v>418</v>
      </c>
      <c r="C64" s="40"/>
      <c r="D64" s="41">
        <v>2</v>
      </c>
      <c r="E64" s="42">
        <v>2</v>
      </c>
      <c r="F64" s="42" t="s">
        <v>38</v>
      </c>
      <c r="G64" s="43" t="s">
        <v>37</v>
      </c>
      <c r="H64" s="42" t="s">
        <v>254</v>
      </c>
      <c r="I64" s="43"/>
      <c r="J64" s="43">
        <v>2</v>
      </c>
      <c r="K64" s="25" t="str">
        <f>VLOOKUP(J64,Key!$E$2:$F$9,2,FALSE)</f>
        <v>Work</v>
      </c>
      <c r="L64" s="42" t="s">
        <v>37</v>
      </c>
      <c r="M64" s="43" t="s">
        <v>37</v>
      </c>
      <c r="N64" s="42" t="s">
        <v>254</v>
      </c>
      <c r="O64" s="43"/>
      <c r="P64" s="43">
        <v>4</v>
      </c>
      <c r="Q64" s="25" t="str">
        <f>VLOOKUP(P64,Key!$E$2:$F$9,2,FALSE)</f>
        <v>Commercial</v>
      </c>
      <c r="R64" s="25" t="str">
        <f t="shared" si="1"/>
        <v>Work-Commercial</v>
      </c>
      <c r="S64" s="62"/>
      <c r="T64" s="62">
        <v>0</v>
      </c>
      <c r="U64" s="43">
        <v>3</v>
      </c>
      <c r="V64" s="43"/>
      <c r="W64" s="62"/>
      <c r="X64" s="62"/>
      <c r="Y64" s="63"/>
      <c r="Z64" s="73"/>
      <c r="AA64" s="25"/>
      <c r="AB64" s="25"/>
    </row>
    <row r="65" spans="2:28">
      <c r="B65" s="40" t="s">
        <v>419</v>
      </c>
      <c r="C65" s="40"/>
      <c r="D65" s="41">
        <v>2</v>
      </c>
      <c r="E65" s="42">
        <v>1</v>
      </c>
      <c r="F65" s="42" t="s">
        <v>362</v>
      </c>
      <c r="G65" s="43" t="s">
        <v>37</v>
      </c>
      <c r="H65" s="42" t="s">
        <v>254</v>
      </c>
      <c r="I65" s="43"/>
      <c r="J65" s="43">
        <v>1</v>
      </c>
      <c r="K65" s="25" t="str">
        <f>VLOOKUP(J65,Key!$E$2:$F$9,2,FALSE)</f>
        <v>Home</v>
      </c>
      <c r="L65" s="42" t="s">
        <v>241</v>
      </c>
      <c r="M65" s="43" t="s">
        <v>241</v>
      </c>
      <c r="N65" s="42" t="s">
        <v>254</v>
      </c>
      <c r="O65" s="43"/>
      <c r="P65" s="43">
        <v>3</v>
      </c>
      <c r="Q65" s="25" t="str">
        <f>VLOOKUP(P65,Key!$E$2:$F$9,2,FALSE)</f>
        <v>Study</v>
      </c>
      <c r="R65" s="25" t="str">
        <f t="shared" si="1"/>
        <v>Home-Study</v>
      </c>
      <c r="S65" s="62"/>
      <c r="T65" s="62">
        <v>0</v>
      </c>
      <c r="U65" s="43">
        <v>4</v>
      </c>
      <c r="V65" s="43"/>
      <c r="W65" s="62"/>
      <c r="X65" s="62"/>
      <c r="Y65" s="63"/>
      <c r="Z65" s="73"/>
      <c r="AA65" s="25"/>
      <c r="AB65" s="25"/>
    </row>
    <row r="66" spans="2:28">
      <c r="B66" s="40" t="s">
        <v>420</v>
      </c>
      <c r="C66" s="40"/>
      <c r="D66" s="41">
        <v>2</v>
      </c>
      <c r="E66" s="42">
        <v>1</v>
      </c>
      <c r="F66" s="42" t="s">
        <v>256</v>
      </c>
      <c r="G66" s="43" t="s">
        <v>37</v>
      </c>
      <c r="H66" s="42" t="s">
        <v>254</v>
      </c>
      <c r="I66" s="43"/>
      <c r="J66" s="43">
        <v>2</v>
      </c>
      <c r="K66" s="25" t="str">
        <f>VLOOKUP(J66,Key!$E$2:$F$9,2,FALSE)</f>
        <v>Work</v>
      </c>
      <c r="L66" s="42" t="s">
        <v>37</v>
      </c>
      <c r="M66" s="43" t="s">
        <v>37</v>
      </c>
      <c r="N66" s="42" t="s">
        <v>254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3</v>
      </c>
      <c r="U66" s="43">
        <v>3</v>
      </c>
      <c r="V66" s="43"/>
      <c r="W66" s="62"/>
      <c r="X66" s="62"/>
      <c r="Y66" s="63"/>
      <c r="Z66" s="73"/>
      <c r="AA66" s="25"/>
      <c r="AB66" s="25"/>
    </row>
    <row r="67" spans="2:28">
      <c r="B67" s="40" t="s">
        <v>421</v>
      </c>
      <c r="C67" s="40"/>
      <c r="D67" s="41">
        <v>3</v>
      </c>
      <c r="E67" s="42">
        <v>1</v>
      </c>
      <c r="F67" s="42" t="s">
        <v>38</v>
      </c>
      <c r="G67" s="43" t="s">
        <v>37</v>
      </c>
      <c r="H67" s="42" t="s">
        <v>254</v>
      </c>
      <c r="I67" s="43"/>
      <c r="J67" s="43">
        <v>3</v>
      </c>
      <c r="K67" s="25" t="str">
        <f>VLOOKUP(J67,Key!$E$2:$F$9,2,FALSE)</f>
        <v>Study</v>
      </c>
      <c r="L67" s="42" t="s">
        <v>60</v>
      </c>
      <c r="M67" s="43" t="s">
        <v>240</v>
      </c>
      <c r="N67" s="42" t="s">
        <v>254</v>
      </c>
      <c r="O67" s="43"/>
      <c r="P67" s="43">
        <v>4</v>
      </c>
      <c r="Q67" s="25" t="str">
        <f>VLOOKUP(P67,Key!$E$2:$F$9,2,FALSE)</f>
        <v>Commercial</v>
      </c>
      <c r="R67" s="25" t="str">
        <f t="shared" si="1"/>
        <v>Study-Commercial</v>
      </c>
      <c r="S67" s="62"/>
      <c r="T67" s="62">
        <v>1</v>
      </c>
      <c r="U67" s="43">
        <v>2</v>
      </c>
      <c r="V67" s="43"/>
      <c r="W67" s="62"/>
      <c r="X67" s="62"/>
      <c r="Y67" s="63"/>
      <c r="Z67" s="73"/>
      <c r="AA67" s="25"/>
      <c r="AB67" s="25"/>
    </row>
    <row r="68" spans="2:28">
      <c r="B68" s="40" t="s">
        <v>422</v>
      </c>
      <c r="C68" s="40"/>
      <c r="D68" s="41">
        <v>2</v>
      </c>
      <c r="E68" s="42">
        <v>1</v>
      </c>
      <c r="F68" s="42" t="s">
        <v>38</v>
      </c>
      <c r="G68" s="43" t="s">
        <v>37</v>
      </c>
      <c r="H68" s="42" t="s">
        <v>254</v>
      </c>
      <c r="I68" s="43"/>
      <c r="J68" s="43">
        <v>2</v>
      </c>
      <c r="K68" s="25" t="str">
        <f>VLOOKUP(J68,Key!$E$2:$F$9,2,FALSE)</f>
        <v>Work</v>
      </c>
      <c r="L68" s="42" t="s">
        <v>60</v>
      </c>
      <c r="M68" s="43" t="s">
        <v>240</v>
      </c>
      <c r="N68" s="42" t="s">
        <v>254</v>
      </c>
      <c r="O68" s="43"/>
      <c r="P68" s="43">
        <v>4</v>
      </c>
      <c r="Q68" s="25" t="str">
        <f>VLOOKUP(P68,Key!$E$2:$F$9,2,FALSE)</f>
        <v>Commercial</v>
      </c>
      <c r="R68" s="25" t="str">
        <f t="shared" si="1"/>
        <v>Work-Commercial</v>
      </c>
      <c r="S68" s="62"/>
      <c r="T68" s="62">
        <v>1</v>
      </c>
      <c r="U68" s="43">
        <v>4</v>
      </c>
      <c r="V68" s="43"/>
      <c r="W68" s="62"/>
      <c r="X68" s="62"/>
      <c r="Y68" s="63"/>
      <c r="Z68" s="73"/>
      <c r="AA68" s="25"/>
      <c r="AB68" s="25"/>
    </row>
    <row r="69" spans="2:28">
      <c r="B69" s="40" t="s">
        <v>423</v>
      </c>
      <c r="C69" s="40"/>
      <c r="D69" s="41">
        <v>12</v>
      </c>
      <c r="E69" s="42">
        <v>1</v>
      </c>
      <c r="F69" s="42" t="s">
        <v>38</v>
      </c>
      <c r="G69" s="43" t="s">
        <v>37</v>
      </c>
      <c r="H69" s="42" t="s">
        <v>254</v>
      </c>
      <c r="I69" s="43"/>
      <c r="J69" s="43">
        <v>3</v>
      </c>
      <c r="K69" s="25" t="str">
        <f>VLOOKUP(J69,Key!$E$2:$F$9,2,FALSE)</f>
        <v>Study</v>
      </c>
      <c r="L69" s="42" t="s">
        <v>37</v>
      </c>
      <c r="M69" s="43" t="s">
        <v>37</v>
      </c>
      <c r="N69" s="42" t="s">
        <v>254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Study-Work</v>
      </c>
      <c r="S69" s="62"/>
      <c r="T69" s="62">
        <v>1</v>
      </c>
      <c r="U69" s="43">
        <v>4</v>
      </c>
      <c r="V69" s="43"/>
      <c r="W69" s="62"/>
      <c r="X69" s="62"/>
      <c r="Y69" s="63"/>
      <c r="Z69" s="73"/>
      <c r="AA69" s="25"/>
      <c r="AB69" s="25"/>
    </row>
    <row r="70" spans="2:28">
      <c r="B70" s="40" t="s">
        <v>424</v>
      </c>
      <c r="C70" s="40"/>
      <c r="D70" s="41">
        <v>8</v>
      </c>
      <c r="E70" s="42">
        <v>1</v>
      </c>
      <c r="F70" s="42" t="s">
        <v>438</v>
      </c>
      <c r="G70" s="43" t="s">
        <v>37</v>
      </c>
      <c r="H70" s="42" t="s">
        <v>254</v>
      </c>
      <c r="I70" s="43"/>
      <c r="J70" s="43">
        <v>1</v>
      </c>
      <c r="K70" s="25" t="str">
        <f>VLOOKUP(J70,Key!$E$2:$F$9,2,FALSE)</f>
        <v>Home</v>
      </c>
      <c r="L70" s="42" t="s">
        <v>37</v>
      </c>
      <c r="M70" s="43" t="s">
        <v>37</v>
      </c>
      <c r="N70" s="42" t="s">
        <v>254</v>
      </c>
      <c r="O70" s="43"/>
      <c r="P70" s="43">
        <v>3</v>
      </c>
      <c r="Q70" s="25" t="str">
        <f>VLOOKUP(P70,Key!$E$2:$F$9,2,FALSE)</f>
        <v>Study</v>
      </c>
      <c r="R70" s="25" t="str">
        <f t="shared" si="1"/>
        <v>Home-Study</v>
      </c>
      <c r="S70" s="62"/>
      <c r="T70" s="62">
        <v>3</v>
      </c>
      <c r="U70" s="43">
        <v>2</v>
      </c>
      <c r="V70" s="43"/>
      <c r="W70" s="62"/>
      <c r="X70" s="62"/>
      <c r="Y70" s="63"/>
      <c r="Z70" s="73"/>
      <c r="AA70" s="25"/>
      <c r="AB70" s="25"/>
    </row>
    <row r="71" spans="2:28">
      <c r="B71" s="40" t="s">
        <v>425</v>
      </c>
      <c r="C71" s="40"/>
      <c r="D71" s="41">
        <v>4</v>
      </c>
      <c r="E71" s="42">
        <v>1</v>
      </c>
      <c r="F71" s="42" t="s">
        <v>38</v>
      </c>
      <c r="G71" s="43" t="s">
        <v>37</v>
      </c>
      <c r="H71" s="42" t="s">
        <v>254</v>
      </c>
      <c r="I71" s="43"/>
      <c r="J71" s="43">
        <v>4</v>
      </c>
      <c r="K71" s="25" t="str">
        <f>VLOOKUP(J71,Key!$E$2:$F$9,2,FALSE)</f>
        <v>Commercial</v>
      </c>
      <c r="L71" s="42" t="s">
        <v>37</v>
      </c>
      <c r="M71" s="43" t="s">
        <v>37</v>
      </c>
      <c r="N71" s="42" t="s">
        <v>254</v>
      </c>
      <c r="O71" s="43"/>
      <c r="P71" s="43">
        <v>3</v>
      </c>
      <c r="Q71" s="25" t="str">
        <f>VLOOKUP(P71,Key!$E$2:$F$9,2,FALSE)</f>
        <v>Study</v>
      </c>
      <c r="R71" s="25" t="str">
        <f t="shared" si="1"/>
        <v>Commercial-Study</v>
      </c>
      <c r="S71" s="62"/>
      <c r="T71" s="62">
        <v>3</v>
      </c>
      <c r="U71" s="43">
        <v>3</v>
      </c>
      <c r="V71" s="43"/>
      <c r="W71" s="62"/>
      <c r="X71" s="62"/>
      <c r="Y71" s="63"/>
      <c r="Z71" s="73"/>
      <c r="AA71" s="25"/>
      <c r="AB71" s="25"/>
    </row>
    <row r="72" spans="2:28">
      <c r="B72" s="40" t="s">
        <v>426</v>
      </c>
      <c r="C72" s="40"/>
      <c r="D72" s="41">
        <v>2</v>
      </c>
      <c r="E72" s="42">
        <v>1</v>
      </c>
      <c r="F72" s="42" t="s">
        <v>38</v>
      </c>
      <c r="G72" s="43" t="s">
        <v>37</v>
      </c>
      <c r="H72" s="42" t="s">
        <v>254</v>
      </c>
      <c r="I72" s="43"/>
      <c r="J72" s="43">
        <v>2</v>
      </c>
      <c r="K72" s="25" t="str">
        <f>VLOOKUP(J72,Key!$E$2:$F$9,2,FALSE)</f>
        <v>Work</v>
      </c>
      <c r="L72" s="42" t="s">
        <v>37</v>
      </c>
      <c r="M72" s="43" t="s">
        <v>37</v>
      </c>
      <c r="N72" s="42" t="s">
        <v>254</v>
      </c>
      <c r="O72" s="43"/>
      <c r="P72" s="43">
        <v>3</v>
      </c>
      <c r="Q72" s="25" t="str">
        <f>VLOOKUP(P72,Key!$E$2:$F$9,2,FALSE)</f>
        <v>Study</v>
      </c>
      <c r="R72" s="25" t="str">
        <f t="shared" si="1"/>
        <v>Work-Study</v>
      </c>
      <c r="S72" s="62"/>
      <c r="T72" s="62">
        <v>0</v>
      </c>
      <c r="U72" s="43">
        <v>3</v>
      </c>
      <c r="V72" s="43"/>
      <c r="W72" s="62"/>
      <c r="X72" s="62"/>
      <c r="Y72" s="63"/>
      <c r="Z72" s="73"/>
      <c r="AA72" s="25"/>
      <c r="AB72" s="25"/>
    </row>
    <row r="73" spans="2:28">
      <c r="B73" s="40" t="s">
        <v>427</v>
      </c>
      <c r="C73" s="40"/>
      <c r="D73" s="41">
        <v>1</v>
      </c>
      <c r="E73" s="42">
        <v>1</v>
      </c>
      <c r="F73" s="42" t="s">
        <v>256</v>
      </c>
      <c r="G73" s="43" t="s">
        <v>37</v>
      </c>
      <c r="H73" s="42" t="s">
        <v>254</v>
      </c>
      <c r="I73" s="43"/>
      <c r="J73" s="43">
        <v>2</v>
      </c>
      <c r="K73" s="25" t="str">
        <f>VLOOKUP(J73,Key!$E$2:$F$9,2,FALSE)</f>
        <v>Work</v>
      </c>
      <c r="L73" s="42" t="s">
        <v>37</v>
      </c>
      <c r="M73" s="43" t="s">
        <v>37</v>
      </c>
      <c r="N73" s="42" t="s">
        <v>254</v>
      </c>
      <c r="O73" s="43"/>
      <c r="P73" s="43">
        <v>3</v>
      </c>
      <c r="Q73" s="25" t="str">
        <f>VLOOKUP(P73,Key!$E$2:$F$9,2,FALSE)</f>
        <v>Study</v>
      </c>
      <c r="R73" s="25" t="str">
        <f t="shared" si="1"/>
        <v>Work-Study</v>
      </c>
      <c r="S73" s="62"/>
      <c r="T73" s="62">
        <v>2</v>
      </c>
      <c r="U73" s="43">
        <v>3</v>
      </c>
      <c r="V73" s="43"/>
      <c r="W73" s="62"/>
      <c r="X73" s="62"/>
      <c r="Y73" s="63"/>
      <c r="Z73" s="73"/>
      <c r="AA73" s="25"/>
      <c r="AB73" s="25"/>
    </row>
    <row r="74" spans="2:28">
      <c r="B74" s="40" t="s">
        <v>428</v>
      </c>
      <c r="C74" s="40"/>
      <c r="D74" s="41">
        <v>12</v>
      </c>
      <c r="E74" s="42">
        <v>1</v>
      </c>
      <c r="F74" s="42" t="s">
        <v>256</v>
      </c>
      <c r="G74" s="43" t="s">
        <v>37</v>
      </c>
      <c r="H74" s="42" t="s">
        <v>254</v>
      </c>
      <c r="I74" s="43"/>
      <c r="J74" s="43">
        <v>2</v>
      </c>
      <c r="K74" s="25" t="str">
        <f>VLOOKUP(J74,Key!$E$2:$F$9,2,FALSE)</f>
        <v>Work</v>
      </c>
      <c r="L74" s="42" t="s">
        <v>37</v>
      </c>
      <c r="M74" s="43" t="s">
        <v>37</v>
      </c>
      <c r="N74" s="42" t="s">
        <v>254</v>
      </c>
      <c r="O74" s="43"/>
      <c r="P74" s="43">
        <v>3</v>
      </c>
      <c r="Q74" s="25" t="str">
        <f>VLOOKUP(P74,Key!$E$2:$F$9,2,FALSE)</f>
        <v>Study</v>
      </c>
      <c r="R74" s="25" t="str">
        <f t="shared" si="1"/>
        <v>Work-Study</v>
      </c>
      <c r="S74" s="62"/>
      <c r="T74" s="62">
        <v>1</v>
      </c>
      <c r="U74" s="43">
        <v>3</v>
      </c>
      <c r="V74" s="43"/>
      <c r="W74" s="62"/>
      <c r="X74" s="62"/>
      <c r="Y74" s="63"/>
      <c r="Z74" s="73"/>
      <c r="AA74" s="25"/>
      <c r="AB74" s="25"/>
    </row>
    <row r="75" spans="2:28">
      <c r="B75" s="40" t="s">
        <v>429</v>
      </c>
      <c r="C75" s="40"/>
      <c r="D75" s="41">
        <v>13</v>
      </c>
      <c r="E75" s="42">
        <v>1</v>
      </c>
      <c r="F75" s="42" t="s">
        <v>38</v>
      </c>
      <c r="G75" s="43" t="s">
        <v>37</v>
      </c>
      <c r="H75" s="42" t="s">
        <v>254</v>
      </c>
      <c r="I75" s="43"/>
      <c r="J75" s="43">
        <v>1</v>
      </c>
      <c r="K75" s="25" t="str">
        <f>VLOOKUP(J75,Key!$E$2:$F$9,2,FALSE)</f>
        <v>Home</v>
      </c>
      <c r="L75" s="42" t="s">
        <v>37</v>
      </c>
      <c r="M75" s="43" t="s">
        <v>37</v>
      </c>
      <c r="N75" s="42" t="s">
        <v>254</v>
      </c>
      <c r="O75" s="43"/>
      <c r="P75" s="43">
        <v>3</v>
      </c>
      <c r="Q75" s="25" t="str">
        <f>VLOOKUP(P75,Key!$E$2:$F$9,2,FALSE)</f>
        <v>Study</v>
      </c>
      <c r="R75" s="25" t="str">
        <f t="shared" si="1"/>
        <v>Home-Study</v>
      </c>
      <c r="S75" s="62"/>
      <c r="T75" s="62">
        <v>3</v>
      </c>
      <c r="U75" s="43">
        <v>3</v>
      </c>
      <c r="V75" s="43"/>
      <c r="W75" s="62"/>
      <c r="X75" s="62"/>
      <c r="Y75" s="63"/>
      <c r="Z75" s="73"/>
      <c r="AA75" s="25"/>
      <c r="AB75" s="25"/>
    </row>
    <row r="76" spans="2:28">
      <c r="B76" s="40" t="s">
        <v>329</v>
      </c>
      <c r="C76" s="40"/>
      <c r="D76" s="41">
        <v>3</v>
      </c>
      <c r="E76" s="42">
        <v>2</v>
      </c>
      <c r="F76" s="42" t="s">
        <v>38</v>
      </c>
      <c r="G76" s="43" t="s">
        <v>37</v>
      </c>
      <c r="H76" s="42" t="s">
        <v>254</v>
      </c>
      <c r="I76" s="43"/>
      <c r="J76" s="43">
        <v>2</v>
      </c>
      <c r="K76" s="25" t="str">
        <f>VLOOKUP(J76,Key!$E$2:$F$9,2,FALSE)</f>
        <v>Work</v>
      </c>
      <c r="L76" s="42" t="s">
        <v>40</v>
      </c>
      <c r="M76" s="43" t="s">
        <v>40</v>
      </c>
      <c r="N76" s="42" t="s">
        <v>254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Work-Commercial</v>
      </c>
      <c r="S76" s="62"/>
      <c r="T76" s="62">
        <v>2</v>
      </c>
      <c r="U76" s="43">
        <v>3</v>
      </c>
      <c r="V76" s="43"/>
      <c r="W76" s="62"/>
      <c r="X76" s="62"/>
      <c r="Y76" s="63"/>
      <c r="Z76" s="73"/>
      <c r="AA76" s="25"/>
      <c r="AB76" s="25"/>
    </row>
    <row r="77" spans="2:28">
      <c r="B77" s="40" t="s">
        <v>430</v>
      </c>
      <c r="C77" s="40"/>
      <c r="D77" s="41">
        <v>1</v>
      </c>
      <c r="E77" s="42">
        <v>1</v>
      </c>
      <c r="F77" s="42" t="s">
        <v>38</v>
      </c>
      <c r="G77" s="43" t="s">
        <v>37</v>
      </c>
      <c r="H77" s="42" t="s">
        <v>254</v>
      </c>
      <c r="I77" s="43"/>
      <c r="J77" s="43">
        <v>1</v>
      </c>
      <c r="K77" s="25" t="str">
        <f>VLOOKUP(J77,Key!$E$2:$F$9,2,FALSE)</f>
        <v>Home</v>
      </c>
      <c r="L77" s="42" t="s">
        <v>37</v>
      </c>
      <c r="M77" s="43" t="s">
        <v>37</v>
      </c>
      <c r="N77" s="42" t="s">
        <v>254</v>
      </c>
      <c r="O77" s="43"/>
      <c r="P77" s="43">
        <v>3</v>
      </c>
      <c r="Q77" s="25" t="str">
        <f>VLOOKUP(P77,Key!$E$2:$F$9,2,FALSE)</f>
        <v>Study</v>
      </c>
      <c r="R77" s="25" t="str">
        <f t="shared" si="1"/>
        <v>Home-Study</v>
      </c>
      <c r="S77" s="62"/>
      <c r="T77" s="62">
        <v>1</v>
      </c>
      <c r="U77" s="43">
        <v>4</v>
      </c>
      <c r="V77" s="43"/>
      <c r="W77" s="62"/>
      <c r="X77" s="62"/>
      <c r="Y77" s="63"/>
      <c r="Z77" s="73"/>
      <c r="AA77" s="25"/>
      <c r="AB77" s="25"/>
    </row>
    <row r="78" spans="2:28">
      <c r="B78" s="40" t="s">
        <v>431</v>
      </c>
      <c r="C78" s="40"/>
      <c r="D78" s="41">
        <v>5</v>
      </c>
      <c r="E78" s="42">
        <v>1</v>
      </c>
      <c r="F78" s="42" t="s">
        <v>256</v>
      </c>
      <c r="G78" s="43" t="s">
        <v>37</v>
      </c>
      <c r="H78" s="42" t="s">
        <v>254</v>
      </c>
      <c r="I78" s="43"/>
      <c r="J78" s="43">
        <v>1</v>
      </c>
      <c r="K78" s="25" t="str">
        <f>VLOOKUP(J78,Key!$E$2:$F$9,2,FALSE)</f>
        <v>Home</v>
      </c>
      <c r="L78" s="42" t="s">
        <v>37</v>
      </c>
      <c r="M78" s="43" t="s">
        <v>37</v>
      </c>
      <c r="N78" s="42" t="s">
        <v>254</v>
      </c>
      <c r="O78" s="43"/>
      <c r="P78" s="43">
        <v>4</v>
      </c>
      <c r="Q78" s="25" t="str">
        <f>VLOOKUP(P78,Key!$E$2:$F$9,2,FALSE)</f>
        <v>Commercial</v>
      </c>
      <c r="R78" s="25" t="str">
        <f t="shared" si="1"/>
        <v>Home-Commercial</v>
      </c>
      <c r="S78" s="62"/>
      <c r="T78" s="62">
        <v>2</v>
      </c>
      <c r="U78" s="43">
        <v>3</v>
      </c>
      <c r="V78" s="43"/>
      <c r="W78" s="62"/>
      <c r="X78" s="62"/>
      <c r="Y78" s="63"/>
      <c r="Z78" s="73"/>
      <c r="AA78" s="25"/>
      <c r="AB78" s="25"/>
    </row>
    <row r="79" spans="2:28">
      <c r="B79" s="40" t="s">
        <v>432</v>
      </c>
      <c r="C79" s="40"/>
      <c r="D79" s="41">
        <v>2</v>
      </c>
      <c r="E79" s="42">
        <v>2</v>
      </c>
      <c r="F79" s="42" t="s">
        <v>38</v>
      </c>
      <c r="G79" s="43" t="s">
        <v>37</v>
      </c>
      <c r="H79" s="42" t="s">
        <v>254</v>
      </c>
      <c r="I79" s="43"/>
      <c r="J79" s="43">
        <v>2</v>
      </c>
      <c r="K79" s="25" t="str">
        <f>VLOOKUP(J79,Key!$E$2:$F$9,2,FALSE)</f>
        <v>Work</v>
      </c>
      <c r="L79" s="42" t="s">
        <v>248</v>
      </c>
      <c r="M79" s="43" t="s">
        <v>69</v>
      </c>
      <c r="N79" s="42" t="s">
        <v>254</v>
      </c>
      <c r="O79" s="43"/>
      <c r="P79" s="43">
        <v>3</v>
      </c>
      <c r="Q79" s="25" t="str">
        <f>VLOOKUP(P79,Key!$E$2:$F$9,2,FALSE)</f>
        <v>Study</v>
      </c>
      <c r="R79" s="25" t="str">
        <f t="shared" si="1"/>
        <v>Work-Study</v>
      </c>
      <c r="S79" s="62"/>
      <c r="T79" s="62">
        <v>0</v>
      </c>
      <c r="U79" s="43">
        <v>4</v>
      </c>
      <c r="V79" s="43"/>
      <c r="W79" s="62"/>
      <c r="X79" s="62"/>
      <c r="Y79" s="63"/>
      <c r="Z79" s="73"/>
      <c r="AA79" s="25"/>
      <c r="AB79" s="25"/>
    </row>
    <row r="80" spans="2:28">
      <c r="B80" s="40" t="s">
        <v>433</v>
      </c>
      <c r="C80" s="40"/>
      <c r="D80" s="41">
        <v>3</v>
      </c>
      <c r="E80" s="42">
        <v>0</v>
      </c>
      <c r="F80" s="42" t="s">
        <v>38</v>
      </c>
      <c r="G80" s="43" t="s">
        <v>37</v>
      </c>
      <c r="H80" s="42" t="s">
        <v>254</v>
      </c>
      <c r="I80" s="43"/>
      <c r="J80" s="43">
        <v>1</v>
      </c>
      <c r="K80" s="25" t="str">
        <f>VLOOKUP(J80,Key!$E$2:$F$9,2,FALSE)</f>
        <v>Home</v>
      </c>
      <c r="L80" s="42" t="s">
        <v>441</v>
      </c>
      <c r="M80" s="43" t="s">
        <v>441</v>
      </c>
      <c r="N80" s="42" t="s">
        <v>254</v>
      </c>
      <c r="O80" s="43"/>
      <c r="P80" s="43">
        <v>3</v>
      </c>
      <c r="Q80" s="25" t="str">
        <f>VLOOKUP(P80,Key!$E$2:$F$9,2,FALSE)</f>
        <v>Study</v>
      </c>
      <c r="R80" s="25" t="str">
        <f t="shared" si="1"/>
        <v>Home-Study</v>
      </c>
      <c r="S80" s="62"/>
      <c r="T80" s="62">
        <v>0</v>
      </c>
      <c r="U80" s="43">
        <v>3</v>
      </c>
      <c r="V80" s="43"/>
      <c r="W80" s="62"/>
      <c r="X80" s="62"/>
      <c r="Y80" s="63"/>
      <c r="Z80" s="73"/>
      <c r="AA80" s="25"/>
      <c r="AB80" s="25"/>
    </row>
    <row r="81" spans="2:28">
      <c r="B81" s="40" t="s">
        <v>434</v>
      </c>
      <c r="C81" s="40"/>
      <c r="D81" s="41">
        <v>2</v>
      </c>
      <c r="E81" s="42"/>
      <c r="F81" s="42"/>
      <c r="G81" s="43"/>
      <c r="H81" s="42"/>
      <c r="I81" s="43"/>
      <c r="J81" s="43">
        <v>1</v>
      </c>
      <c r="K81" s="25" t="str">
        <f>VLOOKUP(J81,Key!$E$2:$F$9,2,FALSE)</f>
        <v>Home</v>
      </c>
      <c r="L81" s="42" t="s">
        <v>37</v>
      </c>
      <c r="M81" s="43" t="s">
        <v>37</v>
      </c>
      <c r="N81" s="42" t="s">
        <v>254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0</v>
      </c>
      <c r="U81" s="43">
        <v>3</v>
      </c>
      <c r="V81" s="43"/>
      <c r="W81" s="62"/>
      <c r="X81" s="62"/>
      <c r="Y81" s="63"/>
      <c r="Z81" s="73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>
        <v>1</v>
      </c>
      <c r="K82" s="25" t="str">
        <f>VLOOKUP(J82,Key!$E$2:$F$9,2,FALSE)</f>
        <v>Home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73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>
        <v>1</v>
      </c>
      <c r="K83" s="25" t="str">
        <f>VLOOKUP(J83,Key!$E$2:$F$9,2,FALSE)</f>
        <v>Home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73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>
        <v>1</v>
      </c>
      <c r="K84" s="25" t="str">
        <f>VLOOKUP(J84,Key!$E$2:$F$9,2,FALSE)</f>
        <v>Home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73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>
        <v>1</v>
      </c>
      <c r="K85" s="25" t="str">
        <f>VLOOKUP(J85,Key!$E$2:$F$9,2,FALSE)</f>
        <v>Home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73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>
        <v>1</v>
      </c>
      <c r="K86" s="25" t="str">
        <f>VLOOKUP(J86,Key!$E$2:$F$9,2,FALSE)</f>
        <v>Home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73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>
        <v>1</v>
      </c>
      <c r="K87" s="25" t="str">
        <f>VLOOKUP(J87,Key!$E$2:$F$9,2,FALSE)</f>
        <v>Home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73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>
        <v>1</v>
      </c>
      <c r="K88" s="25" t="str">
        <f>VLOOKUP(J88,Key!$E$2:$F$9,2,FALSE)</f>
        <v>Home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73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>
        <v>1</v>
      </c>
      <c r="K89" s="25" t="str">
        <f>VLOOKUP(J89,Key!$E$2:$F$9,2,FALSE)</f>
        <v>Home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73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>
        <v>1</v>
      </c>
      <c r="K90" s="25" t="str">
        <f>VLOOKUP(J90,Key!$E$2:$F$9,2,FALSE)</f>
        <v>Home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73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>
        <v>1</v>
      </c>
      <c r="K91" s="25" t="str">
        <f>VLOOKUP(J91,Key!$E$2:$F$9,2,FALSE)</f>
        <v>Home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73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>
        <v>1</v>
      </c>
      <c r="K92" s="25" t="str">
        <f>VLOOKUP(J92,Key!$E$2:$F$9,2,FALSE)</f>
        <v>Home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73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>
        <v>1</v>
      </c>
      <c r="K93" s="25" t="str">
        <f>VLOOKUP(J93,Key!$E$2:$F$9,2,FALSE)</f>
        <v>Home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73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>
        <v>1</v>
      </c>
      <c r="K94" s="25" t="str">
        <f>VLOOKUP(J94,Key!$E$2:$F$9,2,FALSE)</f>
        <v>Home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73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>
        <v>1</v>
      </c>
      <c r="K95" s="25" t="str">
        <f>VLOOKUP(J95,Key!$E$2:$F$9,2,FALSE)</f>
        <v>Home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73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>
        <v>2</v>
      </c>
      <c r="K96" s="25" t="str">
        <f>VLOOKUP(J96,Key!$E$2:$F$9,2,FALSE)</f>
        <v>Work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73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>
        <v>2</v>
      </c>
      <c r="K97" s="25" t="str">
        <f>VLOOKUP(J97,Key!$E$2:$F$9,2,FALSE)</f>
        <v>Work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73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>
        <v>2</v>
      </c>
      <c r="K98" s="25" t="str">
        <f>VLOOKUP(J98,Key!$E$2:$F$9,2,FALSE)</f>
        <v>Work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73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>
        <v>2</v>
      </c>
      <c r="K99" s="25" t="str">
        <f>VLOOKUP(J99,Key!$E$2:$F$9,2,FALSE)</f>
        <v>Work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73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>
        <v>2</v>
      </c>
      <c r="K100" s="25" t="str">
        <f>VLOOKUP(J100,Key!$E$2:$F$9,2,FALSE)</f>
        <v>Work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73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>
        <v>2</v>
      </c>
      <c r="K101" s="25" t="str">
        <f>VLOOKUP(J101,Key!$E$2:$F$9,2,FALSE)</f>
        <v>Work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73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>
        <v>2</v>
      </c>
      <c r="K102" s="25" t="str">
        <f>VLOOKUP(J102,Key!$E$2:$F$9,2,FALSE)</f>
        <v>Work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43"/>
      <c r="V102" s="43"/>
      <c r="W102" s="62"/>
      <c r="X102" s="62"/>
      <c r="Y102" s="63"/>
      <c r="Z102" s="73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>
        <v>2</v>
      </c>
      <c r="K103" s="25" t="str">
        <f>VLOOKUP(J103,Key!$E$2:$F$9,2,FALSE)</f>
        <v>Work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43"/>
      <c r="V103" s="43"/>
      <c r="W103" s="62"/>
      <c r="X103" s="62"/>
      <c r="Y103" s="63"/>
      <c r="Z103" s="73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>
        <v>2</v>
      </c>
      <c r="K104" s="25" t="str">
        <f>VLOOKUP(J104,Key!$E$2:$F$9,2,FALSE)</f>
        <v>Work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>
        <v>2</v>
      </c>
      <c r="K105" s="25" t="str">
        <f>VLOOKUP(J105,Key!$E$2:$F$9,2,FALSE)</f>
        <v>Work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73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>
        <v>2</v>
      </c>
      <c r="K106" s="25" t="str">
        <f>VLOOKUP(J106,Key!$E$2:$F$9,2,FALSE)</f>
        <v>Work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73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>
        <v>2</v>
      </c>
      <c r="K107" s="25" t="str">
        <f>VLOOKUP(J107,Key!$E$2:$F$9,2,FALSE)</f>
        <v>Work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>
        <v>2</v>
      </c>
      <c r="K108" s="25" t="str">
        <f>VLOOKUP(J108,Key!$E$2:$F$9,2,FALSE)</f>
        <v>Work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>
        <v>3</v>
      </c>
      <c r="K109" s="25" t="str">
        <f>VLOOKUP(J109,Key!$E$2:$F$9,2,FALSE)</f>
        <v>Study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>
        <v>3</v>
      </c>
      <c r="K110" s="25" t="str">
        <f>VLOOKUP(J110,Key!$E$2:$F$9,2,FALSE)</f>
        <v>Study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>
        <v>3</v>
      </c>
      <c r="K111" s="25" t="str">
        <f>VLOOKUP(J111,Key!$E$2:$F$9,2,FALSE)</f>
        <v>Study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>
        <v>3</v>
      </c>
      <c r="K112" s="25" t="str">
        <f>VLOOKUP(J112,Key!$E$2:$F$9,2,FALSE)</f>
        <v>Study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>
        <v>3</v>
      </c>
      <c r="K113" s="25" t="str">
        <f>VLOOKUP(J113,Key!$E$2:$F$9,2,FALSE)</f>
        <v>Study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>
        <v>3</v>
      </c>
      <c r="K114" s="25" t="str">
        <f>VLOOKUP(J114,Key!$E$2:$F$9,2,FALSE)</f>
        <v>Study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>
        <v>3</v>
      </c>
      <c r="K115" s="25" t="str">
        <f>VLOOKUP(J115,Key!$E$2:$F$9,2,FALSE)</f>
        <v>Study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>
        <v>1</v>
      </c>
      <c r="K116" s="25" t="str">
        <f>VLOOKUP(J116,Key!$E$2:$F$9,2,FALSE)</f>
        <v>Home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>
        <v>3</v>
      </c>
      <c r="K117" s="25" t="str">
        <f>VLOOKUP(J117,Key!$E$2:$F$9,2,FALSE)</f>
        <v>Study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>
        <v>2</v>
      </c>
      <c r="K118" s="25" t="str">
        <f>VLOOKUP(J118,Key!$E$2:$F$9,2,FALSE)</f>
        <v>Work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>
        <v>3</v>
      </c>
      <c r="K119" s="25" t="str">
        <f>VLOOKUP(J119,Key!$E$2:$F$9,2,FALSE)</f>
        <v>Study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>
        <v>3</v>
      </c>
      <c r="K120" s="25" t="str">
        <f>VLOOKUP(J120,Key!$E$2:$F$9,2,FALSE)</f>
        <v>Study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>
        <v>3</v>
      </c>
      <c r="K121" s="25" t="str">
        <f>VLOOKUP(J121,Key!$E$2:$F$9,2,FALSE)</f>
        <v>Study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>
        <v>3</v>
      </c>
      <c r="K122" s="25" t="str">
        <f>VLOOKUP(J122,Key!$E$2:$F$9,2,FALSE)</f>
        <v>Study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>
        <v>3</v>
      </c>
      <c r="K123" s="25" t="str">
        <f>VLOOKUP(J123,Key!$E$2:$F$9,2,FALSE)</f>
        <v>Study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>
        <v>3</v>
      </c>
      <c r="K124" s="25" t="str">
        <f>VLOOKUP(J124,Key!$E$2:$F$9,2,FALSE)</f>
        <v>Study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>
        <v>3</v>
      </c>
      <c r="K125" s="25" t="str">
        <f>VLOOKUP(J125,Key!$E$2:$F$9,2,FALSE)</f>
        <v>Study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>
        <v>3</v>
      </c>
      <c r="K126" s="25" t="str">
        <f>VLOOKUP(J126,Key!$E$2:$F$9,2,FALSE)</f>
        <v>Study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>
        <v>3</v>
      </c>
      <c r="K127" s="25" t="str">
        <f>VLOOKUP(J127,Key!$E$2:$F$9,2,FALSE)</f>
        <v>Study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>
        <v>1</v>
      </c>
      <c r="K128" s="25" t="str">
        <f>VLOOKUP(J128,Key!$E$2:$F$9,2,FALSE)</f>
        <v>Home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>
        <v>1</v>
      </c>
      <c r="K129" s="25" t="str">
        <f>VLOOKUP(J129,Key!$E$2:$F$9,2,FALSE)</f>
        <v>Home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>
        <v>1</v>
      </c>
      <c r="K130" s="25" t="str">
        <f>VLOOKUP(J130,Key!$E$2:$F$9,2,FALSE)</f>
        <v>Home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>
        <v>1</v>
      </c>
      <c r="K131" s="25" t="str">
        <f>VLOOKUP(J131,Key!$E$2:$F$9,2,FALSE)</f>
        <v>Home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>
        <v>1</v>
      </c>
      <c r="K132" s="25" t="str">
        <f>VLOOKUP(J132,Key!$E$2:$F$9,2,FALSE)</f>
        <v>Home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>
        <v>1</v>
      </c>
      <c r="K133" s="25" t="str">
        <f>VLOOKUP(J133,Key!$E$2:$F$9,2,FALSE)</f>
        <v>Home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>
        <v>2</v>
      </c>
      <c r="K134" s="25" t="str">
        <f>VLOOKUP(J134,Key!$E$2:$F$9,2,FALSE)</f>
        <v>Work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>
        <v>1</v>
      </c>
      <c r="K135" s="25" t="str">
        <f>VLOOKUP(J135,Key!$E$2:$F$9,2,FALSE)</f>
        <v>Home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>
        <v>4</v>
      </c>
      <c r="K136" s="25" t="str">
        <f>VLOOKUP(J136,Key!$E$2:$F$9,2,FALSE)</f>
        <v>Commercial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>
        <v>1</v>
      </c>
      <c r="K137" s="25" t="str">
        <f>VLOOKUP(J137,Key!$E$2:$F$9,2,FALSE)</f>
        <v>Home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>
        <v>1</v>
      </c>
      <c r="K138" s="25" t="str">
        <f>VLOOKUP(J138,Key!$E$2:$F$9,2,FALSE)</f>
        <v>Home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>
        <v>7</v>
      </c>
      <c r="K139" s="25" t="str">
        <f>VLOOKUP(J139,Key!$E$2:$F$9,2,FALSE)</f>
        <v>Hospital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>
        <v>3</v>
      </c>
      <c r="K140" s="25" t="str">
        <f>VLOOKUP(J140,Key!$E$2:$F$9,2,FALSE)</f>
        <v>Study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>
        <v>2</v>
      </c>
      <c r="K141" s="25" t="str">
        <f>VLOOKUP(J141,Key!$E$2:$F$9,2,FALSE)</f>
        <v>Work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>
        <v>1</v>
      </c>
      <c r="K142" s="25" t="str">
        <f>VLOOKUP(J142,Key!$E$2:$F$9,2,FALSE)</f>
        <v>Home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>
        <v>4</v>
      </c>
      <c r="K143" s="25" t="str">
        <f>VLOOKUP(J143,Key!$E$2:$F$9,2,FALSE)</f>
        <v>Commercial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>
        <v>1</v>
      </c>
      <c r="K144" s="25" t="str">
        <f>VLOOKUP(J144,Key!$E$2:$F$9,2,FALSE)</f>
        <v>Home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>
        <v>2</v>
      </c>
      <c r="K145" s="25" t="str">
        <f>VLOOKUP(J145,Key!$E$2:$F$9,2,FALSE)</f>
        <v>Work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>
        <v>2</v>
      </c>
      <c r="K146" s="25" t="str">
        <f>VLOOKUP(J146,Key!$E$2:$F$9,2,FALSE)</f>
        <v>Work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>
        <v>1</v>
      </c>
      <c r="K147" s="25" t="str">
        <f>VLOOKUP(J147,Key!$E$2:$F$9,2,FALSE)</f>
        <v>Home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>
        <v>3</v>
      </c>
      <c r="K148" s="25" t="str">
        <f>VLOOKUP(J148,Key!$E$2:$F$9,2,FALSE)</f>
        <v>Study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>
        <v>6</v>
      </c>
      <c r="K149" s="25" t="str">
        <f>VLOOKUP(J149,Key!$E$2:$F$9,2,FALSE)</f>
        <v>Leisure/Social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>
        <v>6</v>
      </c>
      <c r="K150" s="25" t="str">
        <f>VLOOKUP(J150,Key!$E$2:$F$9,2,FALSE)</f>
        <v>Leisure/Social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>
        <v>4</v>
      </c>
      <c r="K151" s="25" t="str">
        <f>VLOOKUP(J151,Key!$E$2:$F$9,2,FALSE)</f>
        <v>Commercial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>
        <v>2</v>
      </c>
      <c r="K152" s="25" t="str">
        <f>VLOOKUP(J152,Key!$E$2:$F$9,2,FALSE)</f>
        <v>Work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>
        <v>1</v>
      </c>
      <c r="K153" s="25" t="str">
        <f>VLOOKUP(J153,Key!$E$2:$F$9,2,FALSE)</f>
        <v>Home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>
        <v>6</v>
      </c>
      <c r="K154" s="25" t="str">
        <f>VLOOKUP(J154,Key!$E$2:$F$9,2,FALSE)</f>
        <v>Leisure/Social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>
        <v>1</v>
      </c>
      <c r="K155" s="25" t="str">
        <f>VLOOKUP(J155,Key!$E$2:$F$9,2,FALSE)</f>
        <v>Home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>
        <v>2</v>
      </c>
      <c r="K156" s="25" t="str">
        <f>VLOOKUP(J156,Key!$E$2:$F$9,2,FALSE)</f>
        <v>Work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>
        <v>1</v>
      </c>
      <c r="K157" s="25" t="str">
        <f>VLOOKUP(J157,Key!$E$2:$F$9,2,FALSE)</f>
        <v>Home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>
        <v>2</v>
      </c>
      <c r="K158" s="25" t="str">
        <f>VLOOKUP(J158,Key!$E$2:$F$9,2,FALSE)</f>
        <v>Work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>
        <v>1</v>
      </c>
      <c r="K159" s="25" t="str">
        <f>VLOOKUP(J159,Key!$E$2:$F$9,2,FALSE)</f>
        <v>Home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>
        <v>1</v>
      </c>
      <c r="K160" s="25" t="str">
        <f>VLOOKUP(J160,Key!$E$2:$F$9,2,FALSE)</f>
        <v>Home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>
        <v>2</v>
      </c>
      <c r="K161" s="25" t="str">
        <f>VLOOKUP(J161,Key!$E$2:$F$9,2,FALSE)</f>
        <v>Work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>
        <v>2</v>
      </c>
      <c r="K162" s="25" t="str">
        <f>VLOOKUP(J162,Key!$E$2:$F$9,2,FALSE)</f>
        <v>Work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>
        <v>1</v>
      </c>
      <c r="K163" s="25" t="str">
        <f>VLOOKUP(J163,Key!$E$2:$F$9,2,FALSE)</f>
        <v>Home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>
        <v>1</v>
      </c>
      <c r="K164" s="25" t="str">
        <f>VLOOKUP(J164,Key!$E$2:$F$9,2,FALSE)</f>
        <v>Home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>
        <v>2</v>
      </c>
      <c r="K165" s="25" t="str">
        <f>VLOOKUP(J165,Key!$E$2:$F$9,2,FALSE)</f>
        <v>Work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>
        <v>1</v>
      </c>
      <c r="K166" s="25" t="str">
        <f>VLOOKUP(J166,Key!$E$2:$F$9,2,FALSE)</f>
        <v>Home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>
        <v>6</v>
      </c>
      <c r="K167" s="25" t="str">
        <f>VLOOKUP(J167,Key!$E$2:$F$9,2,FALSE)</f>
        <v>Leisure/Social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>
        <v>1</v>
      </c>
      <c r="K168" s="25" t="str">
        <f>VLOOKUP(J168,Key!$E$2:$F$9,2,FALSE)</f>
        <v>Home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>
        <v>1</v>
      </c>
      <c r="K169" s="25" t="str">
        <f>VLOOKUP(J169,Key!$E$2:$F$9,2,FALSE)</f>
        <v>Home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>
        <v>2</v>
      </c>
      <c r="K170" s="25" t="str">
        <f>VLOOKUP(J170,Key!$E$2:$F$9,2,FALSE)</f>
        <v>Work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>
        <v>2</v>
      </c>
      <c r="K171" s="25" t="str">
        <f>VLOOKUP(J171,Key!$E$2:$F$9,2,FALSE)</f>
        <v>Work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>
        <v>4</v>
      </c>
      <c r="K172" s="25" t="str">
        <f>VLOOKUP(J172,Key!$E$2:$F$9,2,FALSE)</f>
        <v>Commercial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>
        <v>1</v>
      </c>
      <c r="K173" s="25" t="str">
        <f>VLOOKUP(J173,Key!$E$2:$F$9,2,FALSE)</f>
        <v>Home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>
        <v>2</v>
      </c>
      <c r="K174" s="25" t="str">
        <f>VLOOKUP(J174,Key!$E$2:$F$9,2,FALSE)</f>
        <v>Work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>
        <v>2</v>
      </c>
      <c r="K175" s="25" t="str">
        <f>VLOOKUP(J175,Key!$E$2:$F$9,2,FALSE)</f>
        <v>Work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>
        <v>1</v>
      </c>
      <c r="K176" s="25" t="str">
        <f>VLOOKUP(J176,Key!$E$2:$F$9,2,FALSE)</f>
        <v>Home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>
        <v>2</v>
      </c>
      <c r="K177" s="25" t="str">
        <f>VLOOKUP(J177,Key!$E$2:$F$9,2,FALSE)</f>
        <v>Work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>
        <v>2</v>
      </c>
      <c r="K178" s="25" t="str">
        <f>VLOOKUP(J178,Key!$E$2:$F$9,2,FALSE)</f>
        <v>Work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>
        <v>1</v>
      </c>
      <c r="K179" s="25" t="str">
        <f>VLOOKUP(J179,Key!$E$2:$F$9,2,FALSE)</f>
        <v>Home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>
        <v>1</v>
      </c>
      <c r="K180" s="25" t="str">
        <f>VLOOKUP(J180,Key!$E$2:$F$9,2,FALSE)</f>
        <v>Home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>
        <v>2</v>
      </c>
      <c r="K181" s="25" t="str">
        <f>VLOOKUP(J181,Key!$E$2:$F$9,2,FALSE)</f>
        <v>Work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>
        <v>6</v>
      </c>
      <c r="K182" s="25" t="str">
        <f>VLOOKUP(J182,Key!$E$2:$F$9,2,FALSE)</f>
        <v>Leisure/Social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>
        <v>1</v>
      </c>
      <c r="K183" s="25" t="str">
        <f>VLOOKUP(J183,Key!$E$2:$F$9,2,FALSE)</f>
        <v>Home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>
        <v>1</v>
      </c>
      <c r="K184" s="25" t="str">
        <f>VLOOKUP(J184,Key!$E$2:$F$9,2,FALSE)</f>
        <v>Home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>
        <v>2</v>
      </c>
      <c r="K185" s="25" t="str">
        <f>VLOOKUP(J185,Key!$E$2:$F$9,2,FALSE)</f>
        <v>Work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>
        <v>2</v>
      </c>
      <c r="K186" s="25" t="str">
        <f>VLOOKUP(J186,Key!$E$2:$F$9,2,FALSE)</f>
        <v>Work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>
        <v>6</v>
      </c>
      <c r="K187" s="25" t="str">
        <f>VLOOKUP(J187,Key!$E$2:$F$9,2,FALSE)</f>
        <v>Leisure/Social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>
        <v>2</v>
      </c>
      <c r="K188" s="25" t="str">
        <f>VLOOKUP(J188,Key!$E$2:$F$9,2,FALSE)</f>
        <v>Work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>
        <v>2</v>
      </c>
      <c r="K189" s="25" t="str">
        <f>VLOOKUP(J189,Key!$E$2:$F$9,2,FALSE)</f>
        <v>Work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>
        <v>2</v>
      </c>
      <c r="K190" s="25" t="str">
        <f>VLOOKUP(J190,Key!$E$2:$F$9,2,FALSE)</f>
        <v>Work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>
        <v>2</v>
      </c>
      <c r="K191" s="25" t="str">
        <f>VLOOKUP(J191,Key!$E$2:$F$9,2,FALSE)</f>
        <v>Work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>
        <v>2</v>
      </c>
      <c r="K192" s="25" t="str">
        <f>VLOOKUP(J192,Key!$E$2:$F$9,2,FALSE)</f>
        <v>Work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>
        <v>6</v>
      </c>
      <c r="K193" s="25" t="str">
        <f>VLOOKUP(J193,Key!$E$2:$F$9,2,FALSE)</f>
        <v>Leisure/Social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>
        <v>2</v>
      </c>
      <c r="K194" s="25" t="str">
        <f>VLOOKUP(J194,Key!$E$2:$F$9,2,FALSE)</f>
        <v>Work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>
        <v>2</v>
      </c>
      <c r="K195" s="25" t="str">
        <f>VLOOKUP(J195,Key!$E$2:$F$9,2,FALSE)</f>
        <v>Work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>
        <v>2</v>
      </c>
      <c r="K196" s="25" t="str">
        <f>VLOOKUP(J196,Key!$E$2:$F$9,2,FALSE)</f>
        <v>Work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>
        <v>1</v>
      </c>
      <c r="K197" s="25" t="str">
        <f>VLOOKUP(J197,Key!$E$2:$F$9,2,FALSE)</f>
        <v>Home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>
        <v>1</v>
      </c>
      <c r="K198" s="25" t="str">
        <f>VLOOKUP(J198,Key!$E$2:$F$9,2,FALSE)</f>
        <v>Home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>
        <v>2</v>
      </c>
      <c r="K199" s="25" t="str">
        <f>VLOOKUP(J199,Key!$E$2:$F$9,2,FALSE)</f>
        <v>Work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>
        <v>5</v>
      </c>
      <c r="K200" s="25" t="str">
        <f>VLOOKUP(J200,Key!$E$2:$F$9,2,FALSE)</f>
        <v>Tourism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>
        <v>1</v>
      </c>
      <c r="K201" s="25" t="str">
        <f>VLOOKUP(J201,Key!$E$2:$F$9,2,FALSE)</f>
        <v>Home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>
        <v>2</v>
      </c>
      <c r="K202" s="25" t="str">
        <f>VLOOKUP(J202,Key!$E$2:$F$9,2,FALSE)</f>
        <v>Work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>
        <v>1</v>
      </c>
      <c r="K203" s="25" t="str">
        <f>VLOOKUP(J203,Key!$E$2:$F$9,2,FALSE)</f>
        <v>Home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>
        <v>2</v>
      </c>
      <c r="K204" s="25" t="str">
        <f>VLOOKUP(J204,Key!$E$2:$F$9,2,FALSE)</f>
        <v>Work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>
        <v>2</v>
      </c>
      <c r="K205" s="25" t="str">
        <f>VLOOKUP(J205,Key!$E$2:$F$9,2,FALSE)</f>
        <v>Work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>
        <v>2</v>
      </c>
      <c r="K206" s="25" t="str">
        <f>VLOOKUP(J206,Key!$E$2:$F$9,2,FALSE)</f>
        <v>Work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>
        <v>2</v>
      </c>
      <c r="K207" s="25" t="str">
        <f>VLOOKUP(J207,Key!$E$2:$F$9,2,FALSE)</f>
        <v>Work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>
        <v>2</v>
      </c>
      <c r="K208" s="25" t="str">
        <f>VLOOKUP(J208,Key!$E$2:$F$9,2,FALSE)</f>
        <v>Work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>
        <v>1</v>
      </c>
      <c r="K209" s="25" t="str">
        <f>VLOOKUP(J209,Key!$E$2:$F$9,2,FALSE)</f>
        <v>Home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>
        <v>2</v>
      </c>
      <c r="K210" s="25" t="str">
        <f>VLOOKUP(J210,Key!$E$2:$F$9,2,FALSE)</f>
        <v>Work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>
        <v>7</v>
      </c>
      <c r="K211" s="25" t="str">
        <f>VLOOKUP(J211,Key!$E$2:$F$9,2,FALSE)</f>
        <v>Hospital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>
        <v>1</v>
      </c>
      <c r="K212" s="25" t="str">
        <f>VLOOKUP(J212,Key!$E$2:$F$9,2,FALSE)</f>
        <v>Home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>
        <v>1</v>
      </c>
      <c r="K213" s="25" t="str">
        <f>VLOOKUP(J213,Key!$E$2:$F$9,2,FALSE)</f>
        <v>Home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>
        <v>1</v>
      </c>
      <c r="K214" s="25" t="str">
        <f>VLOOKUP(J214,Key!$E$2:$F$9,2,FALSE)</f>
        <v>Home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>
        <v>1</v>
      </c>
      <c r="K215" s="25" t="str">
        <f>VLOOKUP(J215,Key!$E$2:$F$9,2,FALSE)</f>
        <v>Home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>
        <v>1</v>
      </c>
      <c r="K216" s="25" t="str">
        <f>VLOOKUP(J216,Key!$E$2:$F$9,2,FALSE)</f>
        <v>Home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>
        <v>3</v>
      </c>
      <c r="K217" s="25" t="str">
        <f>VLOOKUP(J217,Key!$E$2:$F$9,2,FALSE)</f>
        <v>Study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>
        <v>1</v>
      </c>
      <c r="K218" s="25" t="str">
        <f>VLOOKUP(J218,Key!$E$2:$F$9,2,FALSE)</f>
        <v>Home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>
        <v>6</v>
      </c>
      <c r="K219" s="25" t="str">
        <f>VLOOKUP(J219,Key!$E$2:$F$9,2,FALSE)</f>
        <v>Leisure/Social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>
        <v>4</v>
      </c>
      <c r="K220" s="25" t="str">
        <f>VLOOKUP(J220,Key!$E$2:$F$9,2,FALSE)</f>
        <v>Commercial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>
        <v>7</v>
      </c>
      <c r="K221" s="25" t="str">
        <f>VLOOKUP(J221,Key!$E$2:$F$9,2,FALSE)</f>
        <v>Hospital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>
        <v>4</v>
      </c>
      <c r="K222" s="25" t="str">
        <f>VLOOKUP(J222,Key!$E$2:$F$9,2,FALSE)</f>
        <v>Commercial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>
        <v>4</v>
      </c>
      <c r="K223" s="25" t="str">
        <f>VLOOKUP(J223,Key!$E$2:$F$9,2,FALSE)</f>
        <v>Commercial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>
        <v>3</v>
      </c>
      <c r="K224" s="25" t="str">
        <f>VLOOKUP(J224,Key!$E$2:$F$9,2,FALSE)</f>
        <v>Study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>
        <v>3</v>
      </c>
      <c r="K225" s="25" t="str">
        <f>VLOOKUP(J225,Key!$E$2:$F$9,2,FALSE)</f>
        <v>Study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>
        <v>5</v>
      </c>
      <c r="K226" s="25" t="str">
        <f>VLOOKUP(J226,Key!$E$2:$F$9,2,FALSE)</f>
        <v>Tourism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>
        <v>3</v>
      </c>
      <c r="K227" s="25" t="str">
        <f>VLOOKUP(J227,Key!$E$2:$F$9,2,FALSE)</f>
        <v>Study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>
        <v>2</v>
      </c>
      <c r="K228" s="25" t="str">
        <f>VLOOKUP(J228,Key!$E$2:$F$9,2,FALSE)</f>
        <v>Work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>
        <v>3</v>
      </c>
      <c r="K229" s="25" t="str">
        <f>VLOOKUP(J229,Key!$E$2:$F$9,2,FALSE)</f>
        <v>Study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>
        <v>3</v>
      </c>
      <c r="K230" s="25" t="str">
        <f>VLOOKUP(J230,Key!$E$2:$F$9,2,FALSE)</f>
        <v>Study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>
        <v>2</v>
      </c>
      <c r="K231" s="25" t="str">
        <f>VLOOKUP(J231,Key!$E$2:$F$9,2,FALSE)</f>
        <v>Work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>
        <v>2</v>
      </c>
      <c r="K232" s="25" t="str">
        <f>VLOOKUP(J232,Key!$E$2:$F$9,2,FALSE)</f>
        <v>Work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>
        <v>2</v>
      </c>
      <c r="K233" s="25" t="str">
        <f>VLOOKUP(J233,Key!$E$2:$F$9,2,FALSE)</f>
        <v>Work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>
        <v>6</v>
      </c>
      <c r="K234" s="25" t="str">
        <f>VLOOKUP(J234,Key!$E$2:$F$9,2,FALSE)</f>
        <v>Leisure/Social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>
        <v>7</v>
      </c>
      <c r="K235" s="25" t="str">
        <f>VLOOKUP(J235,Key!$E$2:$F$9,2,FALSE)</f>
        <v>Hospital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>
        <v>4</v>
      </c>
      <c r="K236" s="25" t="str">
        <f>VLOOKUP(J236,Key!$E$2:$F$9,2,FALSE)</f>
        <v>Commercial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>
        <v>4</v>
      </c>
      <c r="K237" s="25" t="str">
        <f>VLOOKUP(J237,Key!$E$2:$F$9,2,FALSE)</f>
        <v>Commercial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>
        <v>3</v>
      </c>
      <c r="K238" s="25" t="str">
        <f>VLOOKUP(J238,Key!$E$2:$F$9,2,FALSE)</f>
        <v>Study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>
        <v>2</v>
      </c>
      <c r="K239" s="25" t="str">
        <f>VLOOKUP(J239,Key!$E$2:$F$9,2,FALSE)</f>
        <v>Work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>
        <v>6</v>
      </c>
      <c r="K240" s="25" t="str">
        <f>VLOOKUP(J240,Key!$E$2:$F$9,2,FALSE)</f>
        <v>Leisure/Social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>
        <v>7</v>
      </c>
      <c r="K241" s="25" t="str">
        <f>VLOOKUP(J241,Key!$E$2:$F$9,2,FALSE)</f>
        <v>Hospital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>
        <v>3</v>
      </c>
      <c r="K242" s="25" t="str">
        <f>VLOOKUP(J242,Key!$E$2:$F$9,2,FALSE)</f>
        <v>Study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>
        <v>5</v>
      </c>
      <c r="K243" s="25" t="str">
        <f>VLOOKUP(J243,Key!$E$2:$F$9,2,FALSE)</f>
        <v>Tourism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>
        <v>3</v>
      </c>
      <c r="K244" s="25" t="str">
        <f>VLOOKUP(J244,Key!$E$2:$F$9,2,FALSE)</f>
        <v>Study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>
        <v>3</v>
      </c>
      <c r="K245" s="25" t="str">
        <f>VLOOKUP(J245,Key!$E$2:$F$9,2,FALSE)</f>
        <v>Study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>
        <v>4</v>
      </c>
      <c r="K246" s="25" t="str">
        <f>VLOOKUP(J246,Key!$E$2:$F$9,2,FALSE)</f>
        <v>Commercial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>
        <v>5</v>
      </c>
      <c r="K247" s="25" t="str">
        <f>VLOOKUP(J247,Key!$E$2:$F$9,2,FALSE)</f>
        <v>Tourism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>
        <v>6</v>
      </c>
      <c r="K248" s="25" t="str">
        <f>VLOOKUP(J248,Key!$E$2:$F$9,2,FALSE)</f>
        <v>Leisure/Social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>
        <v>3</v>
      </c>
      <c r="K249" s="25" t="str">
        <f>VLOOKUP(J249,Key!$E$2:$F$9,2,FALSE)</f>
        <v>Study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>
        <v>4</v>
      </c>
      <c r="K250" s="25" t="str">
        <f>VLOOKUP(J250,Key!$E$2:$F$9,2,FALSE)</f>
        <v>Commercial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>
        <v>3</v>
      </c>
      <c r="K251" s="25" t="str">
        <f>VLOOKUP(J251,Key!$E$2:$F$9,2,FALSE)</f>
        <v>Study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>
        <v>2</v>
      </c>
      <c r="K252" s="25" t="str">
        <f>VLOOKUP(J252,Key!$E$2:$F$9,2,FALSE)</f>
        <v>Work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>
        <v>2</v>
      </c>
      <c r="K253" s="25" t="str">
        <f>VLOOKUP(J253,Key!$E$2:$F$9,2,FALSE)</f>
        <v>Work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>
        <v>2</v>
      </c>
      <c r="K254" s="25" t="str">
        <f>VLOOKUP(J254,Key!$E$2:$F$9,2,FALSE)</f>
        <v>Work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>
        <v>2</v>
      </c>
      <c r="K255" s="25" t="str">
        <f>VLOOKUP(J255,Key!$E$2:$F$9,2,FALSE)</f>
        <v>Work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>
        <v>4</v>
      </c>
      <c r="K256" s="25" t="str">
        <f>VLOOKUP(J256,Key!$E$2:$F$9,2,FALSE)</f>
        <v>Commercial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>
        <v>4</v>
      </c>
      <c r="K257" s="25" t="str">
        <f>VLOOKUP(J257,Key!$E$2:$F$9,2,FALSE)</f>
        <v>Commercial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>
        <v>5</v>
      </c>
      <c r="K258" s="25" t="str">
        <f>VLOOKUP(J258,Key!$E$2:$F$9,2,FALSE)</f>
        <v>Tourism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>
        <v>5</v>
      </c>
      <c r="K259" s="25" t="str">
        <f>VLOOKUP(J259,Key!$E$2:$F$9,2,FALSE)</f>
        <v>Tourism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>
        <v>6</v>
      </c>
      <c r="K260" s="25" t="str">
        <f>VLOOKUP(J260,Key!$E$2:$F$9,2,FALSE)</f>
        <v>Leisure/Social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>
        <v>5</v>
      </c>
      <c r="K261" s="25" t="str">
        <f>VLOOKUP(J261,Key!$E$2:$F$9,2,FALSE)</f>
        <v>Tourism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>
        <v>4</v>
      </c>
      <c r="K262" s="25" t="str">
        <f>VLOOKUP(J262,Key!$E$2:$F$9,2,FALSE)</f>
        <v>Commercial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>
        <v>2</v>
      </c>
      <c r="K263" s="25" t="str">
        <f>VLOOKUP(J263,Key!$E$2:$F$9,2,FALSE)</f>
        <v>Work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>
        <v>1</v>
      </c>
      <c r="K264" s="25" t="str">
        <f>VLOOKUP(J264,Key!$E$2:$F$9,2,FALSE)</f>
        <v>Home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>
        <v>4</v>
      </c>
      <c r="K265" s="25" t="str">
        <f>VLOOKUP(J265,Key!$E$2:$F$9,2,FALSE)</f>
        <v>Commercial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>
        <v>4</v>
      </c>
      <c r="K266" s="25" t="str">
        <f>VLOOKUP(J266,Key!$E$2:$F$9,2,FALSE)</f>
        <v>Commercial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>
        <v>4</v>
      </c>
      <c r="K267" s="25" t="str">
        <f>VLOOKUP(J267,Key!$E$2:$F$9,2,FALSE)</f>
        <v>Commercial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>
        <v>5</v>
      </c>
      <c r="K268" s="25" t="str">
        <f>VLOOKUP(J268,Key!$E$2:$F$9,2,FALSE)</f>
        <v>Tourism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>
        <v>4</v>
      </c>
      <c r="K269" s="25" t="str">
        <f>VLOOKUP(J269,Key!$E$2:$F$9,2,FALSE)</f>
        <v>Commercial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>
        <v>6</v>
      </c>
      <c r="K270" s="25" t="str">
        <f>VLOOKUP(J270,Key!$E$2:$F$9,2,FALSE)</f>
        <v>Leisure/Social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>
        <v>3</v>
      </c>
      <c r="K271" s="25" t="str">
        <f>VLOOKUP(J271,Key!$E$2:$F$9,2,FALSE)</f>
        <v>Study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>
        <v>4</v>
      </c>
      <c r="K272" s="25" t="str">
        <f>VLOOKUP(J272,Key!$E$2:$F$9,2,FALSE)</f>
        <v>Commercial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>
        <v>6</v>
      </c>
      <c r="K273" s="25" t="str">
        <f>VLOOKUP(J273,Key!$E$2:$F$9,2,FALSE)</f>
        <v>Leisure/Social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>
        <v>5</v>
      </c>
      <c r="K274" s="25" t="str">
        <f>VLOOKUP(J274,Key!$E$2:$F$9,2,FALSE)</f>
        <v>Tourism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>
        <v>5</v>
      </c>
      <c r="K275" s="25" t="str">
        <f>VLOOKUP(J275,Key!$E$2:$F$9,2,FALSE)</f>
        <v>Tourism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>
        <v>4</v>
      </c>
      <c r="K276" s="25" t="str">
        <f>VLOOKUP(J276,Key!$E$2:$F$9,2,FALSE)</f>
        <v>Commercial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>
        <v>3</v>
      </c>
      <c r="K277" s="25" t="str">
        <f>VLOOKUP(J277,Key!$E$2:$F$9,2,FALSE)</f>
        <v>Study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>
        <v>2</v>
      </c>
      <c r="K278" s="25" t="str">
        <f>VLOOKUP(J278,Key!$E$2:$F$9,2,FALSE)</f>
        <v>Work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>
        <v>2</v>
      </c>
      <c r="K279" s="25" t="str">
        <f>VLOOKUP(J279,Key!$E$2:$F$9,2,FALSE)</f>
        <v>Work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>
        <v>2</v>
      </c>
      <c r="K280" s="25" t="str">
        <f>VLOOKUP(J280,Key!$E$2:$F$9,2,FALSE)</f>
        <v>Work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>
        <v>3</v>
      </c>
      <c r="K281" s="25" t="str">
        <f>VLOOKUP(J281,Key!$E$2:$F$9,2,FALSE)</f>
        <v>Study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>
        <v>3</v>
      </c>
      <c r="K282" s="25" t="str">
        <f>VLOOKUP(J282,Key!$E$2:$F$9,2,FALSE)</f>
        <v>Study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>
        <v>3</v>
      </c>
      <c r="K283" s="25" t="str">
        <f>VLOOKUP(J283,Key!$E$2:$F$9,2,FALSE)</f>
        <v>Study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>
        <v>3</v>
      </c>
      <c r="K284" s="25" t="str">
        <f>VLOOKUP(J284,Key!$E$2:$F$9,2,FALSE)</f>
        <v>Study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>
        <v>3</v>
      </c>
      <c r="K285" s="25" t="str">
        <f>VLOOKUP(J285,Key!$E$2:$F$9,2,FALSE)</f>
        <v>Study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>
        <v>3</v>
      </c>
      <c r="K286" s="25" t="str">
        <f>VLOOKUP(J286,Key!$E$2:$F$9,2,FALSE)</f>
        <v>Study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>
        <v>4</v>
      </c>
      <c r="K287" s="25" t="str">
        <f>VLOOKUP(J287,Key!$E$2:$F$9,2,FALSE)</f>
        <v>Commercial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>
        <v>3</v>
      </c>
      <c r="K288" s="25" t="str">
        <f>VLOOKUP(J288,Key!$E$2:$F$9,2,FALSE)</f>
        <v>Study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>
        <v>4</v>
      </c>
      <c r="K289" s="25" t="str">
        <f>VLOOKUP(J289,Key!$E$2:$F$9,2,FALSE)</f>
        <v>Commercial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>
        <v>2</v>
      </c>
      <c r="K290" s="25" t="str">
        <f>VLOOKUP(J290,Key!$E$2:$F$9,2,FALSE)</f>
        <v>Work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>
        <v>1</v>
      </c>
      <c r="K291" s="25" t="str">
        <f>VLOOKUP(J291,Key!$E$2:$F$9,2,FALSE)</f>
        <v>Home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zoomScale="75" zoomScaleNormal="75" zoomScaleSheetLayoutView="80" workbookViewId="0">
      <selection activeCell="B9" sqref="B9:AB8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">
        <v>571</v>
      </c>
      <c r="E4" s="1" t="s">
        <v>153</v>
      </c>
      <c r="F4" s="124" t="s">
        <v>567</v>
      </c>
      <c r="G4" s="125"/>
      <c r="I4" s="27" t="s">
        <v>154</v>
      </c>
      <c r="J4" s="5"/>
      <c r="K4" s="5"/>
      <c r="L4" s="66" t="s">
        <v>569</v>
      </c>
      <c r="M4" s="2"/>
      <c r="N4" s="1" t="s">
        <v>156</v>
      </c>
      <c r="O4" s="126" t="s">
        <v>239</v>
      </c>
      <c r="P4" s="127"/>
      <c r="Q4" s="127"/>
      <c r="R4" s="127"/>
      <c r="S4" s="127"/>
      <c r="T4" s="127"/>
      <c r="V4" s="1" t="s">
        <v>157</v>
      </c>
      <c r="W4" s="69" t="str">
        <f>'9.8 KIKORONGO-BWERA'!W4</f>
        <v>Isaac</v>
      </c>
      <c r="Y4" s="27" t="s">
        <v>6</v>
      </c>
      <c r="Z4" s="39" t="str">
        <f>'9.8 KIKORONGO-BWERA'!Z4</f>
        <v>Sheba N</v>
      </c>
      <c r="AA4" s="32" t="s">
        <v>7</v>
      </c>
      <c r="AB4" s="39" t="str">
        <f>'9.8 KIKORONGO-BWERA'!AB4</f>
        <v>Bakole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84" t="s">
        <v>568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23" t="s">
        <v>158</v>
      </c>
      <c r="G8" s="23" t="s">
        <v>145</v>
      </c>
      <c r="H8" s="24" t="s">
        <v>146</v>
      </c>
      <c r="I8" s="131"/>
      <c r="J8" s="122"/>
      <c r="K8" s="122"/>
      <c r="L8" s="23" t="s">
        <v>158</v>
      </c>
      <c r="M8" s="23" t="s">
        <v>145</v>
      </c>
      <c r="N8" s="23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40" t="s">
        <v>503</v>
      </c>
      <c r="C9" s="40"/>
      <c r="D9" s="41">
        <v>2</v>
      </c>
      <c r="E9" s="42"/>
      <c r="F9" s="42" t="s">
        <v>241</v>
      </c>
      <c r="G9" s="43" t="s">
        <v>241</v>
      </c>
      <c r="H9" s="42" t="s">
        <v>254</v>
      </c>
      <c r="I9" s="43"/>
      <c r="J9" s="43">
        <v>1</v>
      </c>
      <c r="K9" s="25" t="str">
        <f>VLOOKUP(J9,Key!$E$2:$F$9,2,FALSE)</f>
        <v>Home</v>
      </c>
      <c r="L9" s="42" t="s">
        <v>38</v>
      </c>
      <c r="M9" s="43" t="s">
        <v>37</v>
      </c>
      <c r="N9" s="42" t="s">
        <v>254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8</v>
      </c>
      <c r="U9" s="43">
        <v>4</v>
      </c>
      <c r="V9" s="43"/>
      <c r="W9" s="62"/>
      <c r="X9" s="62"/>
      <c r="Y9" s="63"/>
      <c r="Z9" s="73"/>
      <c r="AA9" s="25"/>
      <c r="AB9" s="25"/>
    </row>
    <row r="10" spans="2:35">
      <c r="B10" s="40" t="s">
        <v>442</v>
      </c>
      <c r="C10" s="40"/>
      <c r="D10" s="41"/>
      <c r="E10" s="42">
        <v>3</v>
      </c>
      <c r="F10" s="42" t="s">
        <v>41</v>
      </c>
      <c r="G10" s="43" t="s">
        <v>253</v>
      </c>
      <c r="H10" s="42" t="s">
        <v>254</v>
      </c>
      <c r="I10" s="43"/>
      <c r="J10" s="43">
        <v>1</v>
      </c>
      <c r="K10" s="25" t="str">
        <f>VLOOKUP(J10,Key!$E$2:$F$9,2,FALSE)</f>
        <v>Home</v>
      </c>
      <c r="L10" s="42" t="s">
        <v>256</v>
      </c>
      <c r="M10" s="43" t="s">
        <v>37</v>
      </c>
      <c r="N10" s="42" t="s">
        <v>254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2"/>
      <c r="T10" s="62">
        <v>6</v>
      </c>
      <c r="U10" s="43">
        <v>2</v>
      </c>
      <c r="V10" s="43"/>
      <c r="W10" s="62"/>
      <c r="X10" s="62"/>
      <c r="Y10" s="63"/>
      <c r="Z10" s="73"/>
      <c r="AA10" s="25"/>
      <c r="AB10" s="25"/>
    </row>
    <row r="11" spans="2:35">
      <c r="B11" s="40">
        <v>0.22569444444444445</v>
      </c>
      <c r="C11" s="40"/>
      <c r="D11" s="41"/>
      <c r="E11" s="42">
        <v>3</v>
      </c>
      <c r="F11" s="42" t="s">
        <v>241</v>
      </c>
      <c r="G11" s="43" t="s">
        <v>241</v>
      </c>
      <c r="H11" s="42" t="s">
        <v>254</v>
      </c>
      <c r="I11" s="43"/>
      <c r="J11" s="43">
        <v>1</v>
      </c>
      <c r="K11" s="25" t="str">
        <f>VLOOKUP(J11,Key!$E$2:$F$9,2,FALSE)</f>
        <v>Home</v>
      </c>
      <c r="L11" s="42" t="s">
        <v>256</v>
      </c>
      <c r="M11" s="43" t="s">
        <v>37</v>
      </c>
      <c r="N11" s="42" t="s">
        <v>254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48</v>
      </c>
      <c r="U11" s="43">
        <v>3</v>
      </c>
      <c r="V11" s="43">
        <v>10</v>
      </c>
      <c r="W11" s="62"/>
      <c r="X11" s="62"/>
      <c r="Y11" s="63"/>
      <c r="Z11" s="73"/>
      <c r="AA11" s="25"/>
      <c r="AB11" s="25"/>
    </row>
    <row r="12" spans="2:35">
      <c r="B12" s="40" t="s">
        <v>443</v>
      </c>
      <c r="C12" s="40"/>
      <c r="D12" s="41"/>
      <c r="E12" s="42">
        <v>3</v>
      </c>
      <c r="F12" s="42" t="s">
        <v>441</v>
      </c>
      <c r="G12" s="43" t="s">
        <v>441</v>
      </c>
      <c r="H12" s="42" t="s">
        <v>254</v>
      </c>
      <c r="I12" s="43"/>
      <c r="J12" s="43">
        <v>1</v>
      </c>
      <c r="K12" s="25" t="str">
        <f>VLOOKUP(J12,Key!$E$2:$F$9,2,FALSE)</f>
        <v>Home</v>
      </c>
      <c r="L12" s="42" t="s">
        <v>256</v>
      </c>
      <c r="M12" s="43" t="s">
        <v>37</v>
      </c>
      <c r="N12" s="42" t="s">
        <v>254</v>
      </c>
      <c r="O12" s="43"/>
      <c r="P12" s="43">
        <v>4</v>
      </c>
      <c r="Q12" s="25" t="str">
        <f>VLOOKUP(P12,Key!$E$2:$F$9,2,FALSE)</f>
        <v>Commercial</v>
      </c>
      <c r="R12" s="25" t="str">
        <f t="shared" si="0"/>
        <v>Home-Commercial</v>
      </c>
      <c r="S12" s="62"/>
      <c r="T12" s="62">
        <v>2</v>
      </c>
      <c r="U12" s="43">
        <v>5</v>
      </c>
      <c r="V12" s="43"/>
      <c r="W12" s="62"/>
      <c r="X12" s="62"/>
      <c r="Y12" s="63"/>
      <c r="Z12" s="73"/>
      <c r="AA12" s="25"/>
      <c r="AB12" s="25"/>
    </row>
    <row r="13" spans="2:35">
      <c r="B13" s="40" t="s">
        <v>444</v>
      </c>
      <c r="C13" s="40"/>
      <c r="D13" s="41"/>
      <c r="E13" s="42">
        <v>4</v>
      </c>
      <c r="F13" s="42" t="s">
        <v>37</v>
      </c>
      <c r="G13" s="43" t="s">
        <v>37</v>
      </c>
      <c r="H13" s="42" t="s">
        <v>254</v>
      </c>
      <c r="I13" s="43"/>
      <c r="J13" s="43">
        <v>1</v>
      </c>
      <c r="K13" s="25" t="str">
        <f>VLOOKUP(J13,Key!$E$2:$F$9,2,FALSE)</f>
        <v>Home</v>
      </c>
      <c r="L13" s="42" t="s">
        <v>258</v>
      </c>
      <c r="M13" s="43" t="s">
        <v>37</v>
      </c>
      <c r="N13" s="42" t="s">
        <v>254</v>
      </c>
      <c r="O13" s="43"/>
      <c r="P13" s="43">
        <v>3</v>
      </c>
      <c r="Q13" s="25" t="str">
        <f>VLOOKUP(P13,Key!$E$2:$F$9,2,FALSE)</f>
        <v>Study</v>
      </c>
      <c r="R13" s="25" t="str">
        <f t="shared" si="0"/>
        <v>Home-Study</v>
      </c>
      <c r="S13" s="62"/>
      <c r="T13" s="62">
        <v>2</v>
      </c>
      <c r="U13" s="43">
        <v>5</v>
      </c>
      <c r="V13" s="43"/>
      <c r="W13" s="62"/>
      <c r="X13" s="62"/>
      <c r="Y13" s="63"/>
      <c r="Z13" s="73"/>
      <c r="AA13" s="25"/>
      <c r="AB13" s="25"/>
    </row>
    <row r="14" spans="2:35">
      <c r="B14" s="40" t="s">
        <v>371</v>
      </c>
      <c r="C14" s="40"/>
      <c r="D14" s="41"/>
      <c r="E14" s="42">
        <v>2</v>
      </c>
      <c r="F14" s="42" t="s">
        <v>37</v>
      </c>
      <c r="G14" s="43" t="s">
        <v>37</v>
      </c>
      <c r="H14" s="42" t="s">
        <v>254</v>
      </c>
      <c r="I14" s="43"/>
      <c r="J14" s="43">
        <v>3</v>
      </c>
      <c r="K14" s="25" t="str">
        <f>VLOOKUP(J14,Key!$E$2:$F$9,2,FALSE)</f>
        <v>Study</v>
      </c>
      <c r="L14" s="42" t="s">
        <v>37</v>
      </c>
      <c r="M14" s="43" t="s">
        <v>37</v>
      </c>
      <c r="N14" s="42" t="s">
        <v>254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Study-Home</v>
      </c>
      <c r="S14" s="62"/>
      <c r="T14" s="62">
        <v>1</v>
      </c>
      <c r="U14" s="43">
        <v>1</v>
      </c>
      <c r="V14" s="43"/>
      <c r="W14" s="62"/>
      <c r="X14" s="62"/>
      <c r="Y14" s="63"/>
      <c r="Z14" s="73"/>
      <c r="AA14" s="25"/>
      <c r="AB14" s="25"/>
    </row>
    <row r="15" spans="2:35">
      <c r="B15" s="40" t="s">
        <v>445</v>
      </c>
      <c r="C15" s="40"/>
      <c r="D15" s="41"/>
      <c r="E15" s="42">
        <v>1</v>
      </c>
      <c r="F15" s="42" t="s">
        <v>38</v>
      </c>
      <c r="G15" s="43" t="s">
        <v>37</v>
      </c>
      <c r="H15" s="42" t="s">
        <v>254</v>
      </c>
      <c r="I15" s="43"/>
      <c r="J15" s="43">
        <v>1</v>
      </c>
      <c r="K15" s="25" t="str">
        <f>VLOOKUP(J15,Key!$E$2:$F$9,2,FALSE)</f>
        <v>Home</v>
      </c>
      <c r="L15" s="42" t="s">
        <v>38</v>
      </c>
      <c r="M15" s="43" t="s">
        <v>37</v>
      </c>
      <c r="N15" s="42" t="s">
        <v>254</v>
      </c>
      <c r="O15" s="43"/>
      <c r="P15" s="43">
        <v>6</v>
      </c>
      <c r="Q15" s="25" t="str">
        <f>VLOOKUP(P15,Key!$E$2:$F$9,2,FALSE)</f>
        <v>Leisure/Social</v>
      </c>
      <c r="R15" s="25" t="str">
        <f t="shared" si="0"/>
        <v>Home-Leisure/Social</v>
      </c>
      <c r="S15" s="62"/>
      <c r="T15" s="62">
        <v>3</v>
      </c>
      <c r="U15" s="43">
        <v>5</v>
      </c>
      <c r="V15" s="43">
        <v>3</v>
      </c>
      <c r="W15" s="62"/>
      <c r="X15" s="62"/>
      <c r="Y15" s="63"/>
      <c r="Z15" s="73"/>
      <c r="AA15" s="25"/>
      <c r="AB15" s="25"/>
    </row>
    <row r="16" spans="2:35">
      <c r="B16" s="40" t="s">
        <v>446</v>
      </c>
      <c r="C16" s="40"/>
      <c r="D16" s="41">
        <v>3</v>
      </c>
      <c r="E16" s="42">
        <v>11</v>
      </c>
      <c r="F16" s="42" t="s">
        <v>37</v>
      </c>
      <c r="G16" s="43" t="s">
        <v>37</v>
      </c>
      <c r="H16" s="42" t="s">
        <v>254</v>
      </c>
      <c r="I16" s="43"/>
      <c r="J16" s="43">
        <v>6</v>
      </c>
      <c r="K16" s="25" t="str">
        <f>VLOOKUP(J16,Key!$E$2:$F$9,2,FALSE)</f>
        <v>Leisure/Social</v>
      </c>
      <c r="L16" s="42" t="s">
        <v>38</v>
      </c>
      <c r="M16" s="43" t="s">
        <v>37</v>
      </c>
      <c r="N16" s="42" t="s">
        <v>254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Leisure/Social-Home</v>
      </c>
      <c r="S16" s="62"/>
      <c r="T16" s="62">
        <v>0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 t="s">
        <v>447</v>
      </c>
      <c r="C17" s="40"/>
      <c r="D17" s="41">
        <v>1</v>
      </c>
      <c r="E17" s="42">
        <v>11</v>
      </c>
      <c r="F17" s="42" t="s">
        <v>37</v>
      </c>
      <c r="G17" s="43" t="s">
        <v>37</v>
      </c>
      <c r="H17" s="42" t="s">
        <v>254</v>
      </c>
      <c r="I17" s="43"/>
      <c r="J17" s="43">
        <v>4</v>
      </c>
      <c r="K17" s="25" t="str">
        <f>VLOOKUP(J17,Key!$E$2:$F$9,2,FALSE)</f>
        <v>Commercial</v>
      </c>
      <c r="L17" s="42" t="s">
        <v>38</v>
      </c>
      <c r="M17" s="43" t="s">
        <v>37</v>
      </c>
      <c r="N17" s="42" t="s">
        <v>254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Commercial-Home</v>
      </c>
      <c r="S17" s="62"/>
      <c r="T17" s="62">
        <v>6.6666666666666666E-2</v>
      </c>
      <c r="U17" s="43">
        <v>2</v>
      </c>
      <c r="V17" s="43"/>
      <c r="W17" s="62"/>
      <c r="X17" s="62"/>
      <c r="Y17" s="63"/>
      <c r="Z17" s="73"/>
      <c r="AA17" s="25"/>
      <c r="AB17" s="25"/>
    </row>
    <row r="18" spans="2:28">
      <c r="B18" s="40" t="s">
        <v>448</v>
      </c>
      <c r="C18" s="40"/>
      <c r="D18" s="41">
        <v>1</v>
      </c>
      <c r="E18" s="42">
        <v>1</v>
      </c>
      <c r="F18" s="42" t="s">
        <v>37</v>
      </c>
      <c r="G18" s="43" t="s">
        <v>37</v>
      </c>
      <c r="H18" s="42" t="s">
        <v>254</v>
      </c>
      <c r="I18" s="43"/>
      <c r="J18" s="43">
        <v>7</v>
      </c>
      <c r="K18" s="25" t="str">
        <f>VLOOKUP(J18,Key!$E$2:$F$9,2,FALSE)</f>
        <v>Hospital</v>
      </c>
      <c r="L18" s="42" t="s">
        <v>38</v>
      </c>
      <c r="M18" s="43" t="s">
        <v>37</v>
      </c>
      <c r="N18" s="42" t="s">
        <v>254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Hospital-Home</v>
      </c>
      <c r="S18" s="62"/>
      <c r="T18" s="62">
        <v>0</v>
      </c>
      <c r="U18" s="43">
        <v>4</v>
      </c>
      <c r="V18" s="43"/>
      <c r="W18" s="62"/>
      <c r="X18" s="62"/>
      <c r="Y18" s="63"/>
      <c r="Z18" s="73"/>
      <c r="AA18" s="25"/>
      <c r="AB18" s="25"/>
    </row>
    <row r="19" spans="2:28">
      <c r="B19" s="40" t="s">
        <v>383</v>
      </c>
      <c r="C19" s="40"/>
      <c r="D19" s="41">
        <v>1</v>
      </c>
      <c r="E19" s="42">
        <v>1</v>
      </c>
      <c r="F19" s="42" t="s">
        <v>362</v>
      </c>
      <c r="G19" s="43" t="s">
        <v>37</v>
      </c>
      <c r="H19" s="42" t="s">
        <v>254</v>
      </c>
      <c r="I19" s="43"/>
      <c r="J19" s="43">
        <v>4</v>
      </c>
      <c r="K19" s="25" t="str">
        <f>VLOOKUP(J19,Key!$E$2:$F$9,2,FALSE)</f>
        <v>Commercial</v>
      </c>
      <c r="L19" s="42" t="s">
        <v>38</v>
      </c>
      <c r="M19" s="43" t="s">
        <v>37</v>
      </c>
      <c r="N19" s="42" t="s">
        <v>254</v>
      </c>
      <c r="O19" s="43"/>
      <c r="P19" s="43">
        <v>1</v>
      </c>
      <c r="Q19" s="25" t="str">
        <f>VLOOKUP(P19,Key!$E$2:$F$9,2,FALSE)</f>
        <v>Home</v>
      </c>
      <c r="R19" s="25" t="str">
        <f t="shared" si="0"/>
        <v>Commercial-Home</v>
      </c>
      <c r="S19" s="62"/>
      <c r="T19" s="62">
        <v>0</v>
      </c>
      <c r="U19" s="43">
        <v>3</v>
      </c>
      <c r="V19" s="43"/>
      <c r="W19" s="62"/>
      <c r="X19" s="62"/>
      <c r="Y19" s="63"/>
      <c r="Z19" s="73"/>
      <c r="AA19" s="25"/>
      <c r="AB19" s="25"/>
    </row>
    <row r="20" spans="2:28">
      <c r="B20" s="40" t="s">
        <v>449</v>
      </c>
      <c r="C20" s="40"/>
      <c r="D20" s="41">
        <v>1</v>
      </c>
      <c r="E20" s="42">
        <v>1</v>
      </c>
      <c r="F20" s="42" t="s">
        <v>243</v>
      </c>
      <c r="G20" s="43" t="s">
        <v>243</v>
      </c>
      <c r="H20" s="42" t="s">
        <v>254</v>
      </c>
      <c r="I20" s="43"/>
      <c r="J20" s="43">
        <v>4</v>
      </c>
      <c r="K20" s="25" t="str">
        <f>VLOOKUP(J20,Key!$E$2:$F$9,2,FALSE)</f>
        <v>Commercial</v>
      </c>
      <c r="L20" s="42" t="s">
        <v>67</v>
      </c>
      <c r="M20" s="43" t="s">
        <v>67</v>
      </c>
      <c r="N20" s="42" t="s">
        <v>254</v>
      </c>
      <c r="O20" s="43"/>
      <c r="P20" s="43">
        <v>1</v>
      </c>
      <c r="Q20" s="25" t="str">
        <f>VLOOKUP(P20,Key!$E$2:$F$9,2,FALSE)</f>
        <v>Home</v>
      </c>
      <c r="R20" s="25" t="str">
        <f t="shared" si="0"/>
        <v>Commercial-Home</v>
      </c>
      <c r="S20" s="62"/>
      <c r="T20" s="62">
        <v>4</v>
      </c>
      <c r="U20" s="43">
        <v>2</v>
      </c>
      <c r="V20" s="43">
        <v>6</v>
      </c>
      <c r="W20" s="62"/>
      <c r="X20" s="62"/>
      <c r="Y20" s="63"/>
      <c r="Z20" s="73"/>
      <c r="AA20" s="25"/>
      <c r="AB20" s="25"/>
    </row>
    <row r="21" spans="2:28">
      <c r="B21" s="40" t="s">
        <v>450</v>
      </c>
      <c r="C21" s="40"/>
      <c r="D21" s="41">
        <v>3</v>
      </c>
      <c r="E21" s="42">
        <v>1</v>
      </c>
      <c r="F21" s="42" t="s">
        <v>37</v>
      </c>
      <c r="G21" s="43" t="s">
        <v>37</v>
      </c>
      <c r="H21" s="42" t="s">
        <v>254</v>
      </c>
      <c r="I21" s="43"/>
      <c r="J21" s="43">
        <v>3</v>
      </c>
      <c r="K21" s="25" t="str">
        <f>VLOOKUP(J21,Key!$E$2:$F$9,2,FALSE)</f>
        <v>Study</v>
      </c>
      <c r="L21" s="42" t="s">
        <v>69</v>
      </c>
      <c r="M21" s="43" t="s">
        <v>69</v>
      </c>
      <c r="N21" s="42" t="s">
        <v>254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Study-Home</v>
      </c>
      <c r="S21" s="62"/>
      <c r="T21" s="62">
        <v>0</v>
      </c>
      <c r="U21" s="43">
        <v>3</v>
      </c>
      <c r="V21" s="43"/>
      <c r="W21" s="62"/>
      <c r="X21" s="62"/>
      <c r="Y21" s="63"/>
      <c r="Z21" s="73"/>
      <c r="AA21" s="25"/>
      <c r="AB21" s="25"/>
    </row>
    <row r="22" spans="2:28">
      <c r="B22" s="40" t="s">
        <v>451</v>
      </c>
      <c r="C22" s="40"/>
      <c r="D22" s="41">
        <v>3</v>
      </c>
      <c r="E22" s="42">
        <v>1</v>
      </c>
      <c r="F22" s="42" t="s">
        <v>37</v>
      </c>
      <c r="G22" s="43" t="s">
        <v>37</v>
      </c>
      <c r="H22" s="42" t="s">
        <v>254</v>
      </c>
      <c r="I22" s="43"/>
      <c r="J22" s="43">
        <v>3</v>
      </c>
      <c r="K22" s="25" t="str">
        <f>VLOOKUP(J22,Key!$E$2:$F$9,2,FALSE)</f>
        <v>Study</v>
      </c>
      <c r="L22" s="42" t="s">
        <v>258</v>
      </c>
      <c r="M22" s="43" t="s">
        <v>37</v>
      </c>
      <c r="N22" s="42" t="s">
        <v>254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Study-Home</v>
      </c>
      <c r="S22" s="62"/>
      <c r="T22" s="62">
        <v>0</v>
      </c>
      <c r="U22" s="43">
        <v>4</v>
      </c>
      <c r="V22" s="43"/>
      <c r="W22" s="62"/>
      <c r="X22" s="62"/>
      <c r="Y22" s="63"/>
      <c r="Z22" s="73"/>
      <c r="AA22" s="25"/>
      <c r="AB22" s="25"/>
    </row>
    <row r="23" spans="2:28">
      <c r="B23" s="40" t="s">
        <v>452</v>
      </c>
      <c r="C23" s="40"/>
      <c r="D23" s="41">
        <v>3</v>
      </c>
      <c r="E23" s="42">
        <v>1</v>
      </c>
      <c r="F23" s="42" t="s">
        <v>37</v>
      </c>
      <c r="G23" s="43" t="s">
        <v>37</v>
      </c>
      <c r="H23" s="42" t="s">
        <v>254</v>
      </c>
      <c r="I23" s="43"/>
      <c r="J23" s="43">
        <v>5</v>
      </c>
      <c r="K23" s="25" t="str">
        <f>VLOOKUP(J23,Key!$E$2:$F$9,2,FALSE)</f>
        <v>Tourism</v>
      </c>
      <c r="L23" s="42" t="s">
        <v>37</v>
      </c>
      <c r="M23" s="43" t="s">
        <v>37</v>
      </c>
      <c r="N23" s="42" t="s">
        <v>254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Tourism-Home</v>
      </c>
      <c r="S23" s="62"/>
      <c r="T23" s="62">
        <v>0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 t="s">
        <v>265</v>
      </c>
      <c r="C24" s="40"/>
      <c r="D24" s="41">
        <v>1</v>
      </c>
      <c r="E24" s="42">
        <v>1</v>
      </c>
      <c r="F24" s="42" t="s">
        <v>37</v>
      </c>
      <c r="G24" s="43" t="s">
        <v>37</v>
      </c>
      <c r="H24" s="42" t="s">
        <v>254</v>
      </c>
      <c r="I24" s="43"/>
      <c r="J24" s="43">
        <v>3</v>
      </c>
      <c r="K24" s="25" t="str">
        <f>VLOOKUP(J24,Key!$E$2:$F$9,2,FALSE)</f>
        <v>Study</v>
      </c>
      <c r="L24" s="42" t="s">
        <v>37</v>
      </c>
      <c r="M24" s="43" t="s">
        <v>37</v>
      </c>
      <c r="N24" s="42" t="s">
        <v>254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Study-Home</v>
      </c>
      <c r="S24" s="62"/>
      <c r="T24" s="62">
        <v>3</v>
      </c>
      <c r="U24" s="43">
        <v>3</v>
      </c>
      <c r="V24" s="43"/>
      <c r="W24" s="62"/>
      <c r="X24" s="62"/>
      <c r="Y24" s="63"/>
      <c r="Z24" s="73"/>
      <c r="AA24" s="25"/>
      <c r="AB24" s="25"/>
    </row>
    <row r="25" spans="2:28">
      <c r="B25" s="40" t="s">
        <v>453</v>
      </c>
      <c r="C25" s="40"/>
      <c r="D25" s="41">
        <v>3</v>
      </c>
      <c r="E25" s="42">
        <v>1</v>
      </c>
      <c r="F25" s="42" t="s">
        <v>241</v>
      </c>
      <c r="G25" s="43" t="s">
        <v>241</v>
      </c>
      <c r="H25" s="42" t="s">
        <v>254</v>
      </c>
      <c r="I25" s="43"/>
      <c r="J25" s="43">
        <v>2</v>
      </c>
      <c r="K25" s="25" t="str">
        <f>VLOOKUP(J25,Key!$E$2:$F$9,2,FALSE)</f>
        <v>Work</v>
      </c>
      <c r="L25" s="42" t="s">
        <v>69</v>
      </c>
      <c r="M25" s="43" t="s">
        <v>69</v>
      </c>
      <c r="N25" s="42" t="s">
        <v>254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0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 t="s">
        <v>454</v>
      </c>
      <c r="C26" s="40"/>
      <c r="D26" s="41">
        <v>3</v>
      </c>
      <c r="E26" s="42">
        <v>1</v>
      </c>
      <c r="F26" s="42" t="s">
        <v>37</v>
      </c>
      <c r="G26" s="43" t="s">
        <v>37</v>
      </c>
      <c r="H26" s="42" t="s">
        <v>254</v>
      </c>
      <c r="I26" s="43"/>
      <c r="J26" s="43">
        <v>3</v>
      </c>
      <c r="K26" s="25" t="str">
        <f>VLOOKUP(J26,Key!$E$2:$F$9,2,FALSE)</f>
        <v>Study</v>
      </c>
      <c r="L26" s="42" t="s">
        <v>37</v>
      </c>
      <c r="M26" s="43" t="s">
        <v>37</v>
      </c>
      <c r="N26" s="42" t="s">
        <v>254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Study-Home</v>
      </c>
      <c r="S26" s="62"/>
      <c r="T26" s="62">
        <v>0</v>
      </c>
      <c r="U26" s="43">
        <v>2</v>
      </c>
      <c r="V26" s="43"/>
      <c r="W26" s="62"/>
      <c r="X26" s="62"/>
      <c r="Y26" s="63"/>
      <c r="Z26" s="73"/>
      <c r="AA26" s="25"/>
      <c r="AB26" s="25"/>
    </row>
    <row r="27" spans="2:28">
      <c r="B27" s="40" t="s">
        <v>455</v>
      </c>
      <c r="C27" s="40"/>
      <c r="D27" s="41">
        <v>1</v>
      </c>
      <c r="E27" s="42">
        <v>1</v>
      </c>
      <c r="F27" s="42" t="s">
        <v>362</v>
      </c>
      <c r="G27" s="43" t="s">
        <v>37</v>
      </c>
      <c r="H27" s="42" t="s">
        <v>254</v>
      </c>
      <c r="I27" s="43"/>
      <c r="J27" s="43">
        <v>3</v>
      </c>
      <c r="K27" s="25" t="str">
        <f>VLOOKUP(J27,Key!$E$2:$F$9,2,FALSE)</f>
        <v>Study</v>
      </c>
      <c r="L27" s="42" t="s">
        <v>69</v>
      </c>
      <c r="M27" s="43" t="s">
        <v>69</v>
      </c>
      <c r="N27" s="42" t="s">
        <v>254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Study-Home</v>
      </c>
      <c r="S27" s="62"/>
      <c r="T27" s="62">
        <v>0</v>
      </c>
      <c r="U27" s="43">
        <v>2</v>
      </c>
      <c r="V27" s="43"/>
      <c r="W27" s="62"/>
      <c r="X27" s="62"/>
      <c r="Y27" s="63"/>
      <c r="Z27" s="73"/>
      <c r="AA27" s="25"/>
      <c r="AB27" s="25"/>
    </row>
    <row r="28" spans="2:28">
      <c r="B28" s="40" t="s">
        <v>391</v>
      </c>
      <c r="C28" s="40"/>
      <c r="D28" s="41">
        <v>1</v>
      </c>
      <c r="E28" s="42">
        <v>11</v>
      </c>
      <c r="F28" s="42" t="s">
        <v>37</v>
      </c>
      <c r="G28" s="43" t="s">
        <v>37</v>
      </c>
      <c r="H28" s="42" t="s">
        <v>254</v>
      </c>
      <c r="I28" s="43"/>
      <c r="J28" s="43">
        <v>2</v>
      </c>
      <c r="K28" s="25" t="str">
        <f>VLOOKUP(J28,Key!$E$2:$F$9,2,FALSE)</f>
        <v>Work</v>
      </c>
      <c r="L28" s="42" t="s">
        <v>37</v>
      </c>
      <c r="M28" s="43" t="s">
        <v>37</v>
      </c>
      <c r="N28" s="42" t="s">
        <v>254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0</v>
      </c>
      <c r="U28" s="43">
        <v>2</v>
      </c>
      <c r="V28" s="43"/>
      <c r="W28" s="62"/>
      <c r="X28" s="62"/>
      <c r="Y28" s="63"/>
      <c r="Z28" s="73"/>
      <c r="AA28" s="25"/>
      <c r="AB28" s="25"/>
    </row>
    <row r="29" spans="2:28">
      <c r="B29" s="40" t="s">
        <v>456</v>
      </c>
      <c r="C29" s="40"/>
      <c r="D29" s="41">
        <v>1</v>
      </c>
      <c r="E29" s="42">
        <v>11</v>
      </c>
      <c r="F29" s="42" t="s">
        <v>37</v>
      </c>
      <c r="G29" s="43" t="s">
        <v>37</v>
      </c>
      <c r="H29" s="42" t="s">
        <v>254</v>
      </c>
      <c r="I29" s="43"/>
      <c r="J29" s="43">
        <v>2</v>
      </c>
      <c r="K29" s="25" t="str">
        <f>VLOOKUP(J29,Key!$E$2:$F$9,2,FALSE)</f>
        <v>Work</v>
      </c>
      <c r="L29" s="42" t="s">
        <v>69</v>
      </c>
      <c r="M29" s="43" t="s">
        <v>69</v>
      </c>
      <c r="N29" s="42" t="s">
        <v>254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62"/>
      <c r="T29" s="62">
        <v>0</v>
      </c>
      <c r="U29" s="43">
        <v>2</v>
      </c>
      <c r="V29" s="43"/>
      <c r="W29" s="62"/>
      <c r="X29" s="62"/>
      <c r="Y29" s="63"/>
      <c r="Z29" s="73"/>
      <c r="AA29" s="25"/>
      <c r="AB29" s="25"/>
    </row>
    <row r="30" spans="2:28">
      <c r="B30" s="40" t="s">
        <v>457</v>
      </c>
      <c r="C30" s="40"/>
      <c r="D30" s="41">
        <v>3</v>
      </c>
      <c r="E30" s="42">
        <v>1</v>
      </c>
      <c r="F30" s="42" t="s">
        <v>37</v>
      </c>
      <c r="G30" s="43" t="s">
        <v>37</v>
      </c>
      <c r="H30" s="42" t="s">
        <v>254</v>
      </c>
      <c r="I30" s="43"/>
      <c r="J30" s="43">
        <v>2</v>
      </c>
      <c r="K30" s="25" t="str">
        <f>VLOOKUP(J30,Key!$E$2:$F$9,2,FALSE)</f>
        <v>Work</v>
      </c>
      <c r="L30" s="42" t="s">
        <v>37</v>
      </c>
      <c r="M30" s="43" t="s">
        <v>37</v>
      </c>
      <c r="N30" s="42" t="s">
        <v>254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0.83333333333333337</v>
      </c>
      <c r="U30" s="43">
        <v>2</v>
      </c>
      <c r="V30" s="43"/>
      <c r="W30" s="62"/>
      <c r="X30" s="62"/>
      <c r="Y30" s="63"/>
      <c r="Z30" s="73"/>
      <c r="AA30" s="25"/>
      <c r="AB30" s="25"/>
    </row>
    <row r="31" spans="2:28">
      <c r="B31" s="40" t="s">
        <v>272</v>
      </c>
      <c r="C31" s="40"/>
      <c r="D31" s="41">
        <v>1</v>
      </c>
      <c r="E31" s="42">
        <v>1</v>
      </c>
      <c r="F31" s="42" t="s">
        <v>37</v>
      </c>
      <c r="G31" s="43" t="s">
        <v>37</v>
      </c>
      <c r="H31" s="42" t="s">
        <v>254</v>
      </c>
      <c r="I31" s="43"/>
      <c r="J31" s="43">
        <v>6</v>
      </c>
      <c r="K31" s="25" t="str">
        <f>VLOOKUP(J31,Key!$E$2:$F$9,2,FALSE)</f>
        <v>Leisure/Social</v>
      </c>
      <c r="L31" s="42" t="s">
        <v>37</v>
      </c>
      <c r="M31" s="43" t="s">
        <v>37</v>
      </c>
      <c r="N31" s="42" t="s">
        <v>254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Leisure/Social-Home</v>
      </c>
      <c r="S31" s="62"/>
      <c r="T31" s="62">
        <v>1</v>
      </c>
      <c r="U31" s="43">
        <v>3</v>
      </c>
      <c r="V31" s="43"/>
      <c r="W31" s="62"/>
      <c r="X31" s="62"/>
      <c r="Y31" s="63"/>
      <c r="Z31" s="73"/>
      <c r="AA31" s="25"/>
      <c r="AB31" s="25"/>
    </row>
    <row r="32" spans="2:28">
      <c r="B32" s="40" t="s">
        <v>458</v>
      </c>
      <c r="C32" s="40"/>
      <c r="D32" s="41">
        <v>1</v>
      </c>
      <c r="E32" s="42">
        <v>1</v>
      </c>
      <c r="F32" s="42" t="s">
        <v>37</v>
      </c>
      <c r="G32" s="43" t="s">
        <v>37</v>
      </c>
      <c r="H32" s="42" t="s">
        <v>254</v>
      </c>
      <c r="I32" s="43"/>
      <c r="J32" s="43">
        <v>7</v>
      </c>
      <c r="K32" s="25" t="str">
        <f>VLOOKUP(J32,Key!$E$2:$F$9,2,FALSE)</f>
        <v>Hospital</v>
      </c>
      <c r="L32" s="42" t="s">
        <v>258</v>
      </c>
      <c r="M32" s="43" t="s">
        <v>37</v>
      </c>
      <c r="N32" s="42" t="s">
        <v>254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Hospital-Home</v>
      </c>
      <c r="S32" s="62"/>
      <c r="T32" s="62">
        <v>1</v>
      </c>
      <c r="U32" s="43">
        <v>4</v>
      </c>
      <c r="V32" s="43">
        <v>6</v>
      </c>
      <c r="W32" s="62"/>
      <c r="X32" s="62"/>
      <c r="Y32" s="63"/>
      <c r="Z32" s="73"/>
      <c r="AA32" s="25"/>
      <c r="AB32" s="25"/>
    </row>
    <row r="33" spans="2:28">
      <c r="B33" s="40" t="s">
        <v>274</v>
      </c>
      <c r="C33" s="40"/>
      <c r="D33" s="41">
        <v>3</v>
      </c>
      <c r="E33" s="42">
        <v>1</v>
      </c>
      <c r="F33" s="42" t="s">
        <v>37</v>
      </c>
      <c r="G33" s="43" t="s">
        <v>37</v>
      </c>
      <c r="H33" s="42" t="s">
        <v>254</v>
      </c>
      <c r="I33" s="43"/>
      <c r="J33" s="43">
        <v>4</v>
      </c>
      <c r="K33" s="25" t="str">
        <f>VLOOKUP(J33,Key!$E$2:$F$9,2,FALSE)</f>
        <v>Commercial</v>
      </c>
      <c r="L33" s="42" t="s">
        <v>38</v>
      </c>
      <c r="M33" s="43" t="s">
        <v>37</v>
      </c>
      <c r="N33" s="42" t="s">
        <v>254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Commercial-Home</v>
      </c>
      <c r="S33" s="62"/>
      <c r="T33" s="62">
        <v>0.75</v>
      </c>
      <c r="U33" s="43">
        <v>3</v>
      </c>
      <c r="V33" s="43"/>
      <c r="W33" s="62"/>
      <c r="X33" s="62"/>
      <c r="Y33" s="63"/>
      <c r="Z33" s="73"/>
      <c r="AA33" s="25"/>
      <c r="AB33" s="25"/>
    </row>
    <row r="34" spans="2:28">
      <c r="B34" s="40" t="s">
        <v>459</v>
      </c>
      <c r="C34" s="40"/>
      <c r="D34" s="41">
        <v>1</v>
      </c>
      <c r="E34" s="42">
        <v>1</v>
      </c>
      <c r="F34" s="42" t="s">
        <v>37</v>
      </c>
      <c r="G34" s="43" t="s">
        <v>37</v>
      </c>
      <c r="H34" s="42" t="s">
        <v>254</v>
      </c>
      <c r="I34" s="43"/>
      <c r="J34" s="43">
        <v>4</v>
      </c>
      <c r="K34" s="25" t="str">
        <f>VLOOKUP(J34,Key!$E$2:$F$9,2,FALSE)</f>
        <v>Commercial</v>
      </c>
      <c r="L34" s="42" t="s">
        <v>38</v>
      </c>
      <c r="M34" s="43" t="s">
        <v>37</v>
      </c>
      <c r="N34" s="42" t="s">
        <v>254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Commercial-Home</v>
      </c>
      <c r="S34" s="62"/>
      <c r="T34" s="62">
        <v>0.83333333333333337</v>
      </c>
      <c r="U34" s="43">
        <v>3</v>
      </c>
      <c r="V34" s="43"/>
      <c r="W34" s="62"/>
      <c r="X34" s="62"/>
      <c r="Y34" s="63"/>
      <c r="Z34" s="73"/>
      <c r="AA34" s="25"/>
      <c r="AB34" s="25"/>
    </row>
    <row r="35" spans="2:28">
      <c r="B35" s="40" t="s">
        <v>275</v>
      </c>
      <c r="C35" s="40"/>
      <c r="D35" s="41">
        <v>1</v>
      </c>
      <c r="E35" s="42">
        <v>1</v>
      </c>
      <c r="F35" s="42" t="s">
        <v>362</v>
      </c>
      <c r="G35" s="43" t="s">
        <v>37</v>
      </c>
      <c r="H35" s="42" t="s">
        <v>254</v>
      </c>
      <c r="I35" s="43"/>
      <c r="J35" s="43">
        <v>3</v>
      </c>
      <c r="K35" s="25" t="str">
        <f>VLOOKUP(J35,Key!$E$2:$F$9,2,FALSE)</f>
        <v>Study</v>
      </c>
      <c r="L35" s="42" t="s">
        <v>38</v>
      </c>
      <c r="M35" s="43" t="s">
        <v>37</v>
      </c>
      <c r="N35" s="42" t="s">
        <v>254</v>
      </c>
      <c r="O35" s="43"/>
      <c r="P35" s="43">
        <v>1</v>
      </c>
      <c r="Q35" s="25" t="str">
        <f>VLOOKUP(P35,Key!$E$2:$F$9,2,FALSE)</f>
        <v>Home</v>
      </c>
      <c r="R35" s="25" t="str">
        <f t="shared" si="0"/>
        <v>Study-Home</v>
      </c>
      <c r="S35" s="62"/>
      <c r="T35" s="62">
        <v>1</v>
      </c>
      <c r="U35" s="43">
        <v>3</v>
      </c>
      <c r="V35" s="43"/>
      <c r="W35" s="62"/>
      <c r="X35" s="62"/>
      <c r="Y35" s="63"/>
      <c r="Z35" s="73"/>
      <c r="AA35" s="25"/>
      <c r="AB35" s="25"/>
    </row>
    <row r="36" spans="2:28">
      <c r="B36" s="40" t="s">
        <v>460</v>
      </c>
      <c r="C36" s="40"/>
      <c r="D36" s="41">
        <v>1</v>
      </c>
      <c r="E36" s="42">
        <v>1</v>
      </c>
      <c r="F36" s="42" t="s">
        <v>37</v>
      </c>
      <c r="G36" s="43" t="s">
        <v>37</v>
      </c>
      <c r="H36" s="42" t="s">
        <v>254</v>
      </c>
      <c r="I36" s="43"/>
      <c r="J36" s="43">
        <v>2</v>
      </c>
      <c r="K36" s="25" t="str">
        <f>VLOOKUP(J36,Key!$E$2:$F$9,2,FALSE)</f>
        <v>Work</v>
      </c>
      <c r="L36" s="42" t="s">
        <v>38</v>
      </c>
      <c r="M36" s="43" t="s">
        <v>37</v>
      </c>
      <c r="N36" s="42" t="s">
        <v>254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2"/>
      <c r="T36" s="62">
        <v>0.5</v>
      </c>
      <c r="U36" s="43">
        <v>2</v>
      </c>
      <c r="V36" s="43"/>
      <c r="W36" s="62"/>
      <c r="X36" s="62"/>
      <c r="Y36" s="63"/>
      <c r="Z36" s="73"/>
      <c r="AA36" s="25"/>
      <c r="AB36" s="25"/>
    </row>
    <row r="37" spans="2:28">
      <c r="B37" s="40" t="s">
        <v>461</v>
      </c>
      <c r="C37" s="40"/>
      <c r="D37" s="41">
        <v>1</v>
      </c>
      <c r="E37" s="42">
        <v>11</v>
      </c>
      <c r="F37" s="42" t="s">
        <v>37</v>
      </c>
      <c r="G37" s="43" t="s">
        <v>37</v>
      </c>
      <c r="H37" s="42" t="s">
        <v>254</v>
      </c>
      <c r="I37" s="43"/>
      <c r="J37" s="43">
        <v>6</v>
      </c>
      <c r="K37" s="25" t="str">
        <f>VLOOKUP(J37,Key!$E$2:$F$9,2,FALSE)</f>
        <v>Leisure/Social</v>
      </c>
      <c r="L37" s="42" t="s">
        <v>38</v>
      </c>
      <c r="M37" s="43" t="s">
        <v>37</v>
      </c>
      <c r="N37" s="42" t="s">
        <v>254</v>
      </c>
      <c r="O37" s="43"/>
      <c r="P37" s="43">
        <v>1</v>
      </c>
      <c r="Q37" s="25" t="str">
        <f>VLOOKUP(P37,Key!$E$2:$F$9,2,FALSE)</f>
        <v>Home</v>
      </c>
      <c r="R37" s="25" t="str">
        <f t="shared" si="0"/>
        <v>Leisure/Social-Home</v>
      </c>
      <c r="S37" s="62"/>
      <c r="T37" s="62">
        <v>0</v>
      </c>
      <c r="U37" s="43">
        <v>5</v>
      </c>
      <c r="V37" s="43"/>
      <c r="W37" s="62"/>
      <c r="X37" s="62"/>
      <c r="Y37" s="63"/>
      <c r="Z37" s="73"/>
      <c r="AA37" s="25"/>
      <c r="AB37" s="25"/>
    </row>
    <row r="38" spans="2:28">
      <c r="B38" s="40" t="s">
        <v>462</v>
      </c>
      <c r="C38" s="40"/>
      <c r="D38" s="41">
        <v>3</v>
      </c>
      <c r="E38" s="42">
        <v>1</v>
      </c>
      <c r="F38" s="42" t="s">
        <v>37</v>
      </c>
      <c r="G38" s="43" t="s">
        <v>37</v>
      </c>
      <c r="H38" s="42" t="s">
        <v>254</v>
      </c>
      <c r="I38" s="43"/>
      <c r="J38" s="43">
        <v>7</v>
      </c>
      <c r="K38" s="25" t="str">
        <f>VLOOKUP(J38,Key!$E$2:$F$9,2,FALSE)</f>
        <v>Hospital</v>
      </c>
      <c r="L38" s="42" t="s">
        <v>38</v>
      </c>
      <c r="M38" s="43" t="s">
        <v>37</v>
      </c>
      <c r="N38" s="42" t="s">
        <v>254</v>
      </c>
      <c r="O38" s="43"/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Hospital-Home</v>
      </c>
      <c r="S38" s="62"/>
      <c r="T38" s="62">
        <v>2</v>
      </c>
      <c r="U38" s="43">
        <v>5</v>
      </c>
      <c r="V38" s="43"/>
      <c r="W38" s="62"/>
      <c r="X38" s="62"/>
      <c r="Y38" s="63"/>
      <c r="Z38" s="73"/>
      <c r="AA38" s="25"/>
      <c r="AB38" s="25"/>
    </row>
    <row r="39" spans="2:28">
      <c r="B39" s="40" t="s">
        <v>463</v>
      </c>
      <c r="C39" s="40"/>
      <c r="D39" s="41">
        <v>3</v>
      </c>
      <c r="E39" s="42">
        <v>11</v>
      </c>
      <c r="F39" s="42" t="s">
        <v>37</v>
      </c>
      <c r="G39" s="43" t="s">
        <v>37</v>
      </c>
      <c r="H39" s="42" t="s">
        <v>254</v>
      </c>
      <c r="I39" s="43"/>
      <c r="J39" s="43">
        <v>3</v>
      </c>
      <c r="K39" s="25" t="str">
        <f>VLOOKUP(J39,Key!$E$2:$F$9,2,FALSE)</f>
        <v>Study</v>
      </c>
      <c r="L39" s="42" t="s">
        <v>38</v>
      </c>
      <c r="M39" s="43" t="s">
        <v>37</v>
      </c>
      <c r="N39" s="42" t="s">
        <v>254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Study-Work</v>
      </c>
      <c r="S39" s="62"/>
      <c r="T39" s="62">
        <v>2</v>
      </c>
      <c r="U39" s="43">
        <v>4</v>
      </c>
      <c r="V39" s="43"/>
      <c r="W39" s="62"/>
      <c r="X39" s="62"/>
      <c r="Y39" s="63"/>
      <c r="Z39" s="73"/>
      <c r="AA39" s="25"/>
      <c r="AB39" s="25"/>
    </row>
    <row r="40" spans="2:28">
      <c r="B40" s="40" t="s">
        <v>464</v>
      </c>
      <c r="C40" s="40"/>
      <c r="D40" s="41">
        <v>3</v>
      </c>
      <c r="E40" s="42">
        <v>1</v>
      </c>
      <c r="F40" s="42" t="s">
        <v>37</v>
      </c>
      <c r="G40" s="43" t="s">
        <v>37</v>
      </c>
      <c r="H40" s="42" t="s">
        <v>254</v>
      </c>
      <c r="I40" s="43"/>
      <c r="J40" s="43">
        <v>5</v>
      </c>
      <c r="K40" s="25" t="str">
        <f>VLOOKUP(J40,Key!$E$2:$F$9,2,FALSE)</f>
        <v>Tourism</v>
      </c>
      <c r="L40" s="42" t="s">
        <v>38</v>
      </c>
      <c r="M40" s="43" t="s">
        <v>37</v>
      </c>
      <c r="N40" s="42" t="s">
        <v>254</v>
      </c>
      <c r="O40" s="43"/>
      <c r="P40" s="43">
        <v>1</v>
      </c>
      <c r="Q40" s="25" t="str">
        <f>VLOOKUP(P40,Key!$E$2:$F$9,2,FALSE)</f>
        <v>Home</v>
      </c>
      <c r="R40" s="25" t="str">
        <f t="shared" si="1"/>
        <v>Tourism-Home</v>
      </c>
      <c r="S40" s="62"/>
      <c r="T40" s="62">
        <v>0</v>
      </c>
      <c r="U40" s="43">
        <v>4</v>
      </c>
      <c r="V40" s="43"/>
      <c r="W40" s="62"/>
      <c r="X40" s="62"/>
      <c r="Y40" s="63"/>
      <c r="Z40" s="73"/>
      <c r="AA40" s="25"/>
      <c r="AB40" s="25"/>
    </row>
    <row r="41" spans="2:28">
      <c r="B41" s="40" t="s">
        <v>401</v>
      </c>
      <c r="C41" s="40"/>
      <c r="D41" s="41">
        <v>3</v>
      </c>
      <c r="E41" s="42">
        <v>1</v>
      </c>
      <c r="F41" s="42" t="s">
        <v>37</v>
      </c>
      <c r="G41" s="43" t="s">
        <v>37</v>
      </c>
      <c r="H41" s="42" t="s">
        <v>254</v>
      </c>
      <c r="I41" s="43"/>
      <c r="J41" s="43">
        <v>3</v>
      </c>
      <c r="K41" s="25" t="str">
        <f>VLOOKUP(J41,Key!$E$2:$F$9,2,FALSE)</f>
        <v>Study</v>
      </c>
      <c r="L41" s="42" t="s">
        <v>38</v>
      </c>
      <c r="M41" s="43" t="s">
        <v>37</v>
      </c>
      <c r="N41" s="42" t="s">
        <v>254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Study-Home</v>
      </c>
      <c r="S41" s="62"/>
      <c r="T41" s="62">
        <v>0.83333333333333337</v>
      </c>
      <c r="U41" s="43">
        <v>3</v>
      </c>
      <c r="V41" s="43"/>
      <c r="W41" s="62"/>
      <c r="X41" s="62"/>
      <c r="Y41" s="63"/>
      <c r="Z41" s="73"/>
      <c r="AA41" s="25"/>
      <c r="AB41" s="25"/>
    </row>
    <row r="42" spans="2:28">
      <c r="B42" s="40" t="s">
        <v>290</v>
      </c>
      <c r="C42" s="40"/>
      <c r="D42" s="41">
        <v>3</v>
      </c>
      <c r="E42" s="42">
        <v>11</v>
      </c>
      <c r="F42" s="42" t="s">
        <v>37</v>
      </c>
      <c r="G42" s="43" t="s">
        <v>37</v>
      </c>
      <c r="H42" s="42" t="s">
        <v>254</v>
      </c>
      <c r="I42" s="43"/>
      <c r="J42" s="43">
        <v>3</v>
      </c>
      <c r="K42" s="25" t="str">
        <f>VLOOKUP(J42,Key!$E$2:$F$9,2,FALSE)</f>
        <v>Study</v>
      </c>
      <c r="L42" s="42" t="s">
        <v>38</v>
      </c>
      <c r="M42" s="43" t="s">
        <v>37</v>
      </c>
      <c r="N42" s="42" t="s">
        <v>254</v>
      </c>
      <c r="O42" s="43"/>
      <c r="P42" s="43">
        <v>4</v>
      </c>
      <c r="Q42" s="25" t="str">
        <f>VLOOKUP(P42,Key!$E$2:$F$9,2,FALSE)</f>
        <v>Commercial</v>
      </c>
      <c r="R42" s="25" t="str">
        <f t="shared" si="1"/>
        <v>Study-Commercial</v>
      </c>
      <c r="S42" s="62"/>
      <c r="T42" s="62">
        <v>0</v>
      </c>
      <c r="U42" s="43">
        <v>3</v>
      </c>
      <c r="V42" s="43"/>
      <c r="W42" s="62"/>
      <c r="X42" s="62"/>
      <c r="Y42" s="63"/>
      <c r="Z42" s="73"/>
      <c r="AA42" s="25"/>
      <c r="AB42" s="25"/>
    </row>
    <row r="43" spans="2:28">
      <c r="B43" s="40" t="s">
        <v>465</v>
      </c>
      <c r="C43" s="40"/>
      <c r="D43" s="41">
        <v>1</v>
      </c>
      <c r="E43" s="42">
        <v>1</v>
      </c>
      <c r="F43" s="42" t="s">
        <v>37</v>
      </c>
      <c r="G43" s="43" t="s">
        <v>37</v>
      </c>
      <c r="H43" s="42" t="s">
        <v>254</v>
      </c>
      <c r="I43" s="43"/>
      <c r="J43" s="43">
        <v>4</v>
      </c>
      <c r="K43" s="25" t="str">
        <f>VLOOKUP(J43,Key!$E$2:$F$9,2,FALSE)</f>
        <v>Commercial</v>
      </c>
      <c r="L43" s="42" t="s">
        <v>38</v>
      </c>
      <c r="M43" s="43" t="s">
        <v>37</v>
      </c>
      <c r="N43" s="42" t="s">
        <v>254</v>
      </c>
      <c r="O43" s="43"/>
      <c r="P43" s="43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62"/>
      <c r="T43" s="62">
        <v>0</v>
      </c>
      <c r="U43" s="43">
        <v>2</v>
      </c>
      <c r="V43" s="43"/>
      <c r="W43" s="62"/>
      <c r="X43" s="62"/>
      <c r="Y43" s="63"/>
      <c r="Z43" s="73"/>
      <c r="AA43" s="25"/>
      <c r="AB43" s="25"/>
    </row>
    <row r="44" spans="2:28">
      <c r="B44" s="40" t="s">
        <v>466</v>
      </c>
      <c r="C44" s="40"/>
      <c r="D44" s="41">
        <v>1</v>
      </c>
      <c r="E44" s="42">
        <v>1</v>
      </c>
      <c r="F44" s="42" t="s">
        <v>37</v>
      </c>
      <c r="G44" s="43" t="s">
        <v>37</v>
      </c>
      <c r="H44" s="42" t="s">
        <v>254</v>
      </c>
      <c r="I44" s="43"/>
      <c r="J44" s="43">
        <v>5</v>
      </c>
      <c r="K44" s="25" t="str">
        <f>VLOOKUP(J44,Key!$E$2:$F$9,2,FALSE)</f>
        <v>Tourism</v>
      </c>
      <c r="L44" s="42" t="s">
        <v>38</v>
      </c>
      <c r="M44" s="43" t="s">
        <v>37</v>
      </c>
      <c r="N44" s="42" t="s">
        <v>254</v>
      </c>
      <c r="O44" s="43"/>
      <c r="P44" s="43">
        <v>4</v>
      </c>
      <c r="Q44" s="25" t="str">
        <f>VLOOKUP(P44,Key!$E$2:$F$9,2,FALSE)</f>
        <v>Commercial</v>
      </c>
      <c r="R44" s="25" t="str">
        <f t="shared" si="1"/>
        <v>Tourism-Commercial</v>
      </c>
      <c r="S44" s="62"/>
      <c r="T44" s="62">
        <v>0</v>
      </c>
      <c r="U44" s="43">
        <v>3</v>
      </c>
      <c r="V44" s="43"/>
      <c r="W44" s="62"/>
      <c r="X44" s="62"/>
      <c r="Y44" s="63"/>
      <c r="Z44" s="73"/>
      <c r="AA44" s="25"/>
      <c r="AB44" s="25"/>
    </row>
    <row r="45" spans="2:28">
      <c r="B45" s="40" t="s">
        <v>467</v>
      </c>
      <c r="C45" s="40"/>
      <c r="D45" s="41">
        <v>3</v>
      </c>
      <c r="E45" s="42">
        <v>1</v>
      </c>
      <c r="F45" s="42" t="s">
        <v>37</v>
      </c>
      <c r="G45" s="43" t="s">
        <v>37</v>
      </c>
      <c r="H45" s="42" t="s">
        <v>254</v>
      </c>
      <c r="I45" s="43"/>
      <c r="J45" s="43">
        <v>6</v>
      </c>
      <c r="K45" s="25" t="str">
        <f>VLOOKUP(J45,Key!$E$2:$F$9,2,FALSE)</f>
        <v>Leisure/Social</v>
      </c>
      <c r="L45" s="42" t="s">
        <v>38</v>
      </c>
      <c r="M45" s="43" t="s">
        <v>37</v>
      </c>
      <c r="N45" s="42" t="s">
        <v>254</v>
      </c>
      <c r="O45" s="43"/>
      <c r="P45" s="43">
        <v>5</v>
      </c>
      <c r="Q45" s="25" t="str">
        <f>VLOOKUP(P45,Key!$E$2:$F$9,2,FALSE)</f>
        <v>Tourism</v>
      </c>
      <c r="R45" s="25" t="str">
        <f t="shared" si="1"/>
        <v>Leisure/Social-Tourism</v>
      </c>
      <c r="S45" s="62"/>
      <c r="T45" s="62">
        <v>0</v>
      </c>
      <c r="U45" s="43">
        <v>3</v>
      </c>
      <c r="V45" s="43"/>
      <c r="W45" s="62"/>
      <c r="X45" s="62"/>
      <c r="Y45" s="63"/>
      <c r="Z45" s="73"/>
      <c r="AA45" s="25"/>
      <c r="AB45" s="25"/>
    </row>
    <row r="46" spans="2:28">
      <c r="B46" s="40" t="s">
        <v>468</v>
      </c>
      <c r="C46" s="40"/>
      <c r="D46" s="41">
        <v>1</v>
      </c>
      <c r="E46" s="42">
        <v>1</v>
      </c>
      <c r="F46" s="42" t="s">
        <v>362</v>
      </c>
      <c r="G46" s="43" t="s">
        <v>37</v>
      </c>
      <c r="H46" s="42" t="s">
        <v>254</v>
      </c>
      <c r="I46" s="43"/>
      <c r="J46" s="43">
        <v>3</v>
      </c>
      <c r="K46" s="25" t="str">
        <f>VLOOKUP(J46,Key!$E$2:$F$9,2,FALSE)</f>
        <v>Study</v>
      </c>
      <c r="L46" s="42" t="s">
        <v>38</v>
      </c>
      <c r="M46" s="43" t="s">
        <v>37</v>
      </c>
      <c r="N46" s="42" t="s">
        <v>254</v>
      </c>
      <c r="O46" s="43"/>
      <c r="P46" s="43">
        <v>3</v>
      </c>
      <c r="Q46" s="25" t="str">
        <f>VLOOKUP(P46,Key!$E$2:$F$9,2,FALSE)</f>
        <v>Study</v>
      </c>
      <c r="R46" s="25" t="str">
        <f t="shared" si="1"/>
        <v>Study-Study</v>
      </c>
      <c r="S46" s="62"/>
      <c r="T46" s="62">
        <v>1</v>
      </c>
      <c r="U46" s="43">
        <v>4</v>
      </c>
      <c r="V46" s="43"/>
      <c r="W46" s="62"/>
      <c r="X46" s="62"/>
      <c r="Y46" s="63"/>
      <c r="Z46" s="73"/>
      <c r="AA46" s="25"/>
      <c r="AB46" s="25"/>
    </row>
    <row r="47" spans="2:28">
      <c r="B47" s="40" t="s">
        <v>469</v>
      </c>
      <c r="C47" s="40"/>
      <c r="D47" s="41">
        <v>1</v>
      </c>
      <c r="E47" s="42">
        <v>1</v>
      </c>
      <c r="F47" s="42" t="s">
        <v>37</v>
      </c>
      <c r="G47" s="43" t="s">
        <v>37</v>
      </c>
      <c r="H47" s="42" t="s">
        <v>254</v>
      </c>
      <c r="I47" s="43"/>
      <c r="J47" s="43">
        <v>4</v>
      </c>
      <c r="K47" s="25" t="str">
        <f>VLOOKUP(J47,Key!$E$2:$F$9,2,FALSE)</f>
        <v>Commercial</v>
      </c>
      <c r="L47" s="42" t="s">
        <v>38</v>
      </c>
      <c r="M47" s="43" t="s">
        <v>37</v>
      </c>
      <c r="N47" s="42" t="s">
        <v>254</v>
      </c>
      <c r="O47" s="43"/>
      <c r="P47" s="43">
        <v>3</v>
      </c>
      <c r="Q47" s="25" t="str">
        <f>VLOOKUP(P47,Key!$E$2:$F$9,2,FALSE)</f>
        <v>Study</v>
      </c>
      <c r="R47" s="25" t="str">
        <f t="shared" si="1"/>
        <v>Commercial-Study</v>
      </c>
      <c r="S47" s="62"/>
      <c r="T47" s="62">
        <v>0</v>
      </c>
      <c r="U47" s="43">
        <v>4</v>
      </c>
      <c r="V47" s="43"/>
      <c r="W47" s="62"/>
      <c r="X47" s="62"/>
      <c r="Y47" s="63"/>
      <c r="Z47" s="73"/>
      <c r="AA47" s="25"/>
      <c r="AB47" s="25"/>
    </row>
    <row r="48" spans="2:28">
      <c r="B48" s="40" t="s">
        <v>406</v>
      </c>
      <c r="C48" s="40"/>
      <c r="D48" s="41">
        <v>3</v>
      </c>
      <c r="E48" s="42">
        <v>1</v>
      </c>
      <c r="F48" s="42" t="s">
        <v>37</v>
      </c>
      <c r="G48" s="43" t="s">
        <v>37</v>
      </c>
      <c r="H48" s="42" t="s">
        <v>254</v>
      </c>
      <c r="I48" s="43"/>
      <c r="J48" s="43">
        <v>3</v>
      </c>
      <c r="K48" s="25" t="str">
        <f>VLOOKUP(J48,Key!$E$2:$F$9,2,FALSE)</f>
        <v>Study</v>
      </c>
      <c r="L48" s="42" t="s">
        <v>38</v>
      </c>
      <c r="M48" s="43" t="s">
        <v>37</v>
      </c>
      <c r="N48" s="42" t="s">
        <v>254</v>
      </c>
      <c r="O48" s="43"/>
      <c r="P48" s="43">
        <v>3</v>
      </c>
      <c r="Q48" s="25" t="str">
        <f>VLOOKUP(P48,Key!$E$2:$F$9,2,FALSE)</f>
        <v>Study</v>
      </c>
      <c r="R48" s="25" t="str">
        <f t="shared" si="1"/>
        <v>Study-Study</v>
      </c>
      <c r="S48" s="62"/>
      <c r="T48" s="62">
        <v>1</v>
      </c>
      <c r="U48" s="43">
        <v>2</v>
      </c>
      <c r="V48" s="43"/>
      <c r="W48" s="62"/>
      <c r="X48" s="62"/>
      <c r="Y48" s="63"/>
      <c r="Z48" s="73"/>
      <c r="AA48" s="25"/>
      <c r="AB48" s="25"/>
    </row>
    <row r="49" spans="2:28">
      <c r="B49" s="40" t="s">
        <v>470</v>
      </c>
      <c r="C49" s="40"/>
      <c r="D49" s="41">
        <v>3</v>
      </c>
      <c r="E49" s="42">
        <v>1</v>
      </c>
      <c r="F49" s="42" t="s">
        <v>362</v>
      </c>
      <c r="G49" s="43" t="s">
        <v>37</v>
      </c>
      <c r="H49" s="42" t="s">
        <v>254</v>
      </c>
      <c r="I49" s="43"/>
      <c r="J49" s="43">
        <v>2</v>
      </c>
      <c r="K49" s="25" t="str">
        <f>VLOOKUP(J49,Key!$E$2:$F$9,2,FALSE)</f>
        <v>Work</v>
      </c>
      <c r="L49" s="42" t="s">
        <v>38</v>
      </c>
      <c r="M49" s="43" t="s">
        <v>37</v>
      </c>
      <c r="N49" s="42" t="s">
        <v>254</v>
      </c>
      <c r="O49" s="43"/>
      <c r="P49" s="43">
        <v>3</v>
      </c>
      <c r="Q49" s="25" t="str">
        <f>VLOOKUP(P49,Key!$E$2:$F$9,2,FALSE)</f>
        <v>Study</v>
      </c>
      <c r="R49" s="25" t="str">
        <f t="shared" si="1"/>
        <v>Work-Study</v>
      </c>
      <c r="S49" s="62"/>
      <c r="T49" s="62">
        <v>1</v>
      </c>
      <c r="U49" s="43">
        <v>2</v>
      </c>
      <c r="V49" s="43"/>
      <c r="W49" s="62"/>
      <c r="X49" s="62"/>
      <c r="Y49" s="63"/>
      <c r="Z49" s="73"/>
      <c r="AA49" s="25"/>
      <c r="AB49" s="25"/>
    </row>
    <row r="50" spans="2:28">
      <c r="B50" s="40" t="s">
        <v>471</v>
      </c>
      <c r="C50" s="40"/>
      <c r="D50" s="41">
        <v>1</v>
      </c>
      <c r="E50" s="42">
        <v>2</v>
      </c>
      <c r="F50" s="42" t="s">
        <v>37</v>
      </c>
      <c r="G50" s="43" t="s">
        <v>37</v>
      </c>
      <c r="H50" s="42" t="s">
        <v>254</v>
      </c>
      <c r="I50" s="43"/>
      <c r="J50" s="43">
        <v>2</v>
      </c>
      <c r="K50" s="25" t="str">
        <f>VLOOKUP(J50,Key!$E$2:$F$9,2,FALSE)</f>
        <v>Work</v>
      </c>
      <c r="L50" s="42" t="s">
        <v>38</v>
      </c>
      <c r="M50" s="43" t="s">
        <v>37</v>
      </c>
      <c r="N50" s="42" t="s">
        <v>254</v>
      </c>
      <c r="O50" s="43"/>
      <c r="P50" s="43">
        <v>3</v>
      </c>
      <c r="Q50" s="25" t="str">
        <f>VLOOKUP(P50,Key!$E$2:$F$9,2,FALSE)</f>
        <v>Study</v>
      </c>
      <c r="R50" s="25" t="str">
        <f t="shared" si="1"/>
        <v>Work-Study</v>
      </c>
      <c r="S50" s="62"/>
      <c r="T50" s="62">
        <v>1</v>
      </c>
      <c r="U50" s="43">
        <v>2</v>
      </c>
      <c r="V50" s="43"/>
      <c r="W50" s="62"/>
      <c r="X50" s="62"/>
      <c r="Y50" s="63"/>
      <c r="Z50" s="73"/>
      <c r="AA50" s="25"/>
      <c r="AB50" s="25"/>
    </row>
    <row r="51" spans="2:28">
      <c r="B51" s="40" t="s">
        <v>472</v>
      </c>
      <c r="C51" s="40"/>
      <c r="D51" s="41">
        <v>1</v>
      </c>
      <c r="E51" s="42">
        <v>4</v>
      </c>
      <c r="F51" s="42" t="s">
        <v>37</v>
      </c>
      <c r="G51" s="43" t="s">
        <v>37</v>
      </c>
      <c r="H51" s="42" t="s">
        <v>254</v>
      </c>
      <c r="I51" s="43"/>
      <c r="J51" s="43">
        <v>2</v>
      </c>
      <c r="K51" s="25" t="str">
        <f>VLOOKUP(J51,Key!$E$2:$F$9,2,FALSE)</f>
        <v>Work</v>
      </c>
      <c r="L51" s="42" t="s">
        <v>38</v>
      </c>
      <c r="M51" s="43" t="s">
        <v>37</v>
      </c>
      <c r="N51" s="42" t="s">
        <v>254</v>
      </c>
      <c r="O51" s="43"/>
      <c r="P51" s="43">
        <v>1</v>
      </c>
      <c r="Q51" s="25" t="str">
        <f>VLOOKUP(P51,Key!$E$2:$F$9,2,FALSE)</f>
        <v>Home</v>
      </c>
      <c r="R51" s="25" t="str">
        <f t="shared" si="1"/>
        <v>Work-Home</v>
      </c>
      <c r="S51" s="62"/>
      <c r="T51" s="62">
        <v>1</v>
      </c>
      <c r="U51" s="43">
        <v>2</v>
      </c>
      <c r="V51" s="43"/>
      <c r="W51" s="62"/>
      <c r="X51" s="62"/>
      <c r="Y51" s="63"/>
      <c r="Z51" s="73"/>
      <c r="AA51" s="25"/>
      <c r="AB51" s="25"/>
    </row>
    <row r="52" spans="2:28">
      <c r="B52" s="40" t="s">
        <v>473</v>
      </c>
      <c r="C52" s="40"/>
      <c r="D52" s="41">
        <v>3</v>
      </c>
      <c r="E52" s="42">
        <v>2</v>
      </c>
      <c r="F52" s="42" t="s">
        <v>37</v>
      </c>
      <c r="G52" s="43" t="s">
        <v>37</v>
      </c>
      <c r="H52" s="42" t="s">
        <v>254</v>
      </c>
      <c r="I52" s="43"/>
      <c r="J52" s="43">
        <v>2</v>
      </c>
      <c r="K52" s="25" t="str">
        <f>VLOOKUP(J52,Key!$E$2:$F$9,2,FALSE)</f>
        <v>Work</v>
      </c>
      <c r="L52" s="42" t="s">
        <v>38</v>
      </c>
      <c r="M52" s="43" t="s">
        <v>37</v>
      </c>
      <c r="N52" s="42" t="s">
        <v>254</v>
      </c>
      <c r="O52" s="43"/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62"/>
      <c r="T52" s="62">
        <v>1</v>
      </c>
      <c r="U52" s="43">
        <v>2</v>
      </c>
      <c r="V52" s="43"/>
      <c r="W52" s="62"/>
      <c r="X52" s="62"/>
      <c r="Y52" s="63"/>
      <c r="Z52" s="73"/>
      <c r="AA52" s="25"/>
      <c r="AB52" s="25"/>
    </row>
    <row r="53" spans="2:28">
      <c r="B53" s="40" t="s">
        <v>474</v>
      </c>
      <c r="C53" s="40"/>
      <c r="D53" s="41">
        <v>3</v>
      </c>
      <c r="E53" s="42">
        <v>2</v>
      </c>
      <c r="F53" s="42" t="s">
        <v>37</v>
      </c>
      <c r="G53" s="43" t="s">
        <v>37</v>
      </c>
      <c r="H53" s="42" t="s">
        <v>254</v>
      </c>
      <c r="I53" s="43"/>
      <c r="J53" s="43">
        <v>4</v>
      </c>
      <c r="K53" s="25" t="str">
        <f>VLOOKUP(J53,Key!$E$2:$F$9,2,FALSE)</f>
        <v>Commercial</v>
      </c>
      <c r="L53" s="42" t="s">
        <v>38</v>
      </c>
      <c r="M53" s="43" t="s">
        <v>37</v>
      </c>
      <c r="N53" s="42" t="s">
        <v>254</v>
      </c>
      <c r="O53" s="43"/>
      <c r="P53" s="43">
        <v>1</v>
      </c>
      <c r="Q53" s="25" t="str">
        <f>VLOOKUP(P53,Key!$E$2:$F$9,2,FALSE)</f>
        <v>Home</v>
      </c>
      <c r="R53" s="25" t="str">
        <f t="shared" si="1"/>
        <v>Commercial-Home</v>
      </c>
      <c r="S53" s="62"/>
      <c r="T53" s="62">
        <v>1</v>
      </c>
      <c r="U53" s="43">
        <v>1</v>
      </c>
      <c r="V53" s="43"/>
      <c r="W53" s="62"/>
      <c r="X53" s="62"/>
      <c r="Y53" s="63"/>
      <c r="Z53" s="73"/>
      <c r="AA53" s="25"/>
      <c r="AB53" s="25"/>
    </row>
    <row r="54" spans="2:28">
      <c r="B54" s="40" t="s">
        <v>306</v>
      </c>
      <c r="C54" s="40"/>
      <c r="D54" s="41">
        <v>1</v>
      </c>
      <c r="E54" s="42">
        <v>2</v>
      </c>
      <c r="F54" s="42" t="s">
        <v>243</v>
      </c>
      <c r="G54" s="43" t="s">
        <v>243</v>
      </c>
      <c r="H54" s="42" t="s">
        <v>254</v>
      </c>
      <c r="I54" s="43"/>
      <c r="J54" s="43">
        <v>4</v>
      </c>
      <c r="K54" s="25" t="str">
        <f>VLOOKUP(J54,Key!$E$2:$F$9,2,FALSE)</f>
        <v>Commercial</v>
      </c>
      <c r="L54" s="42" t="s">
        <v>38</v>
      </c>
      <c r="M54" s="43" t="s">
        <v>37</v>
      </c>
      <c r="N54" s="42" t="s">
        <v>254</v>
      </c>
      <c r="O54" s="43"/>
      <c r="P54" s="43">
        <v>1</v>
      </c>
      <c r="Q54" s="25" t="str">
        <f>VLOOKUP(P54,Key!$E$2:$F$9,2,FALSE)</f>
        <v>Home</v>
      </c>
      <c r="R54" s="25" t="str">
        <f t="shared" si="1"/>
        <v>Commercial-Home</v>
      </c>
      <c r="S54" s="62"/>
      <c r="T54" s="62">
        <v>1</v>
      </c>
      <c r="U54" s="43">
        <v>3</v>
      </c>
      <c r="V54" s="43"/>
      <c r="W54" s="62"/>
      <c r="X54" s="62"/>
      <c r="Y54" s="63"/>
      <c r="Z54" s="73"/>
      <c r="AA54" s="25"/>
      <c r="AB54" s="25"/>
    </row>
    <row r="55" spans="2:28">
      <c r="B55" s="40" t="s">
        <v>475</v>
      </c>
      <c r="C55" s="40"/>
      <c r="D55" s="41">
        <v>9</v>
      </c>
      <c r="E55" s="42">
        <v>2</v>
      </c>
      <c r="F55" s="42" t="s">
        <v>362</v>
      </c>
      <c r="G55" s="43" t="s">
        <v>37</v>
      </c>
      <c r="H55" s="42" t="s">
        <v>254</v>
      </c>
      <c r="I55" s="43"/>
      <c r="J55" s="43">
        <v>5</v>
      </c>
      <c r="K55" s="25" t="str">
        <f>VLOOKUP(J55,Key!$E$2:$F$9,2,FALSE)</f>
        <v>Tourism</v>
      </c>
      <c r="L55" s="42" t="s">
        <v>38</v>
      </c>
      <c r="M55" s="43" t="s">
        <v>37</v>
      </c>
      <c r="N55" s="42" t="s">
        <v>254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Tourism-Home</v>
      </c>
      <c r="S55" s="62"/>
      <c r="T55" s="62">
        <v>1</v>
      </c>
      <c r="U55" s="43">
        <v>4</v>
      </c>
      <c r="V55" s="43"/>
      <c r="W55" s="62"/>
      <c r="X55" s="62"/>
      <c r="Y55" s="63"/>
      <c r="Z55" s="73"/>
      <c r="AA55" s="25"/>
      <c r="AB55" s="25"/>
    </row>
    <row r="56" spans="2:28">
      <c r="B56" s="40" t="s">
        <v>476</v>
      </c>
      <c r="C56" s="40"/>
      <c r="D56" s="41">
        <v>9</v>
      </c>
      <c r="E56" s="42">
        <v>3</v>
      </c>
      <c r="F56" s="42" t="s">
        <v>37</v>
      </c>
      <c r="G56" s="43" t="s">
        <v>37</v>
      </c>
      <c r="H56" s="42" t="s">
        <v>254</v>
      </c>
      <c r="I56" s="43"/>
      <c r="J56" s="43">
        <v>5</v>
      </c>
      <c r="K56" s="25" t="str">
        <f>VLOOKUP(J56,Key!$E$2:$F$9,2,FALSE)</f>
        <v>Tourism</v>
      </c>
      <c r="L56" s="42" t="s">
        <v>38</v>
      </c>
      <c r="M56" s="43" t="s">
        <v>37</v>
      </c>
      <c r="N56" s="42" t="s">
        <v>254</v>
      </c>
      <c r="O56" s="43"/>
      <c r="P56" s="43">
        <v>1</v>
      </c>
      <c r="Q56" s="25" t="str">
        <f>VLOOKUP(P56,Key!$E$2:$F$9,2,FALSE)</f>
        <v>Home</v>
      </c>
      <c r="R56" s="25" t="str">
        <f t="shared" si="1"/>
        <v>Tourism-Home</v>
      </c>
      <c r="S56" s="62"/>
      <c r="T56" s="62">
        <v>1</v>
      </c>
      <c r="U56" s="43">
        <v>4</v>
      </c>
      <c r="V56" s="43"/>
      <c r="W56" s="62"/>
      <c r="X56" s="62"/>
      <c r="Y56" s="63"/>
      <c r="Z56" s="73"/>
      <c r="AA56" s="25"/>
      <c r="AB56" s="25"/>
    </row>
    <row r="57" spans="2:28">
      <c r="B57" s="40" t="s">
        <v>477</v>
      </c>
      <c r="C57" s="40"/>
      <c r="D57" s="41">
        <v>3</v>
      </c>
      <c r="E57" s="42">
        <v>2</v>
      </c>
      <c r="F57" s="42" t="s">
        <v>37</v>
      </c>
      <c r="G57" s="43" t="s">
        <v>37</v>
      </c>
      <c r="H57" s="42" t="s">
        <v>254</v>
      </c>
      <c r="I57" s="43"/>
      <c r="J57" s="43">
        <v>6</v>
      </c>
      <c r="K57" s="25" t="str">
        <f>VLOOKUP(J57,Key!$E$2:$F$9,2,FALSE)</f>
        <v>Leisure/Social</v>
      </c>
      <c r="L57" s="42" t="s">
        <v>38</v>
      </c>
      <c r="M57" s="43" t="s">
        <v>37</v>
      </c>
      <c r="N57" s="42" t="s">
        <v>254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Leisure/Social-Home</v>
      </c>
      <c r="S57" s="62"/>
      <c r="T57" s="62">
        <v>0</v>
      </c>
      <c r="U57" s="43">
        <v>3</v>
      </c>
      <c r="V57" s="43"/>
      <c r="W57" s="62"/>
      <c r="X57" s="62"/>
      <c r="Y57" s="63"/>
      <c r="Z57" s="73"/>
      <c r="AA57" s="25"/>
      <c r="AB57" s="25"/>
    </row>
    <row r="58" spans="2:28">
      <c r="B58" s="40" t="s">
        <v>413</v>
      </c>
      <c r="C58" s="40"/>
      <c r="D58" s="41">
        <v>1</v>
      </c>
      <c r="E58" s="42">
        <v>4</v>
      </c>
      <c r="F58" s="42" t="s">
        <v>242</v>
      </c>
      <c r="G58" s="43" t="s">
        <v>242</v>
      </c>
      <c r="H58" s="42" t="s">
        <v>254</v>
      </c>
      <c r="I58" s="43"/>
      <c r="J58" s="43">
        <v>5</v>
      </c>
      <c r="K58" s="25" t="str">
        <f>VLOOKUP(J58,Key!$E$2:$F$9,2,FALSE)</f>
        <v>Tourism</v>
      </c>
      <c r="L58" s="42" t="s">
        <v>38</v>
      </c>
      <c r="M58" s="43" t="s">
        <v>37</v>
      </c>
      <c r="N58" s="42" t="s">
        <v>254</v>
      </c>
      <c r="O58" s="43"/>
      <c r="P58" s="43">
        <v>1</v>
      </c>
      <c r="Q58" s="25" t="str">
        <f>VLOOKUP(P58,Key!$E$2:$F$9,2,FALSE)</f>
        <v>Home</v>
      </c>
      <c r="R58" s="25" t="str">
        <f t="shared" si="1"/>
        <v>Tourism-Home</v>
      </c>
      <c r="S58" s="62"/>
      <c r="T58" s="62">
        <v>0</v>
      </c>
      <c r="U58" s="43">
        <v>2</v>
      </c>
      <c r="V58" s="43"/>
      <c r="W58" s="62"/>
      <c r="X58" s="62"/>
      <c r="Y58" s="63"/>
      <c r="Z58" s="73"/>
      <c r="AA58" s="25"/>
      <c r="AB58" s="25"/>
    </row>
    <row r="59" spans="2:28">
      <c r="B59" s="40" t="s">
        <v>478</v>
      </c>
      <c r="C59" s="40"/>
      <c r="D59" s="41">
        <v>3</v>
      </c>
      <c r="E59" s="42">
        <v>3</v>
      </c>
      <c r="F59" s="42" t="s">
        <v>37</v>
      </c>
      <c r="G59" s="43" t="s">
        <v>37</v>
      </c>
      <c r="H59" s="42" t="s">
        <v>254</v>
      </c>
      <c r="I59" s="43"/>
      <c r="J59" s="43">
        <v>4</v>
      </c>
      <c r="K59" s="25" t="str">
        <f>VLOOKUP(J59,Key!$E$2:$F$9,2,FALSE)</f>
        <v>Commercial</v>
      </c>
      <c r="L59" s="42" t="s">
        <v>38</v>
      </c>
      <c r="M59" s="43" t="s">
        <v>37</v>
      </c>
      <c r="N59" s="42" t="s">
        <v>254</v>
      </c>
      <c r="O59" s="43"/>
      <c r="P59" s="43">
        <v>1</v>
      </c>
      <c r="Q59" s="25" t="str">
        <f>VLOOKUP(P59,Key!$E$2:$F$9,2,FALSE)</f>
        <v>Home</v>
      </c>
      <c r="R59" s="25" t="str">
        <f t="shared" si="1"/>
        <v>Commercial-Home</v>
      </c>
      <c r="S59" s="62"/>
      <c r="T59" s="62">
        <v>0</v>
      </c>
      <c r="U59" s="43">
        <v>3</v>
      </c>
      <c r="V59" s="43"/>
      <c r="W59" s="62"/>
      <c r="X59" s="62"/>
      <c r="Y59" s="63"/>
      <c r="Z59" s="73"/>
      <c r="AA59" s="25"/>
      <c r="AB59" s="25"/>
    </row>
    <row r="60" spans="2:28">
      <c r="B60" s="40" t="s">
        <v>479</v>
      </c>
      <c r="C60" s="40"/>
      <c r="D60" s="41">
        <v>3</v>
      </c>
      <c r="E60" s="42">
        <v>2</v>
      </c>
      <c r="F60" s="42" t="s">
        <v>37</v>
      </c>
      <c r="G60" s="43" t="s">
        <v>37</v>
      </c>
      <c r="H60" s="42" t="s">
        <v>254</v>
      </c>
      <c r="I60" s="43"/>
      <c r="J60" s="43">
        <v>2</v>
      </c>
      <c r="K60" s="25" t="str">
        <f>VLOOKUP(J60,Key!$E$2:$F$9,2,FALSE)</f>
        <v>Work</v>
      </c>
      <c r="L60" s="42" t="s">
        <v>38</v>
      </c>
      <c r="M60" s="43" t="s">
        <v>37</v>
      </c>
      <c r="N60" s="42" t="s">
        <v>254</v>
      </c>
      <c r="O60" s="43"/>
      <c r="P60" s="43">
        <v>4</v>
      </c>
      <c r="Q60" s="25" t="str">
        <f>VLOOKUP(P60,Key!$E$2:$F$9,2,FALSE)</f>
        <v>Commercial</v>
      </c>
      <c r="R60" s="25" t="str">
        <f t="shared" si="1"/>
        <v>Work-Commercial</v>
      </c>
      <c r="S60" s="62"/>
      <c r="T60" s="62">
        <v>0</v>
      </c>
      <c r="U60" s="43">
        <v>4</v>
      </c>
      <c r="V60" s="43"/>
      <c r="W60" s="62"/>
      <c r="X60" s="62"/>
      <c r="Y60" s="63"/>
      <c r="Z60" s="73"/>
      <c r="AA60" s="25"/>
      <c r="AB60" s="25"/>
    </row>
    <row r="61" spans="2:28">
      <c r="B61" s="40" t="s">
        <v>480</v>
      </c>
      <c r="C61" s="40"/>
      <c r="D61" s="41">
        <v>9</v>
      </c>
      <c r="E61" s="42">
        <v>4</v>
      </c>
      <c r="F61" s="42" t="s">
        <v>37</v>
      </c>
      <c r="G61" s="43" t="s">
        <v>37</v>
      </c>
      <c r="H61" s="42" t="s">
        <v>254</v>
      </c>
      <c r="I61" s="43"/>
      <c r="J61" s="43">
        <v>1</v>
      </c>
      <c r="K61" s="25" t="str">
        <f>VLOOKUP(J61,Key!$E$2:$F$9,2,FALSE)</f>
        <v>Home</v>
      </c>
      <c r="L61" s="42" t="s">
        <v>38</v>
      </c>
      <c r="M61" s="43" t="s">
        <v>37</v>
      </c>
      <c r="N61" s="42" t="s">
        <v>254</v>
      </c>
      <c r="O61" s="43"/>
      <c r="P61" s="43">
        <v>5</v>
      </c>
      <c r="Q61" s="25" t="str">
        <f>VLOOKUP(P61,Key!$E$2:$F$9,2,FALSE)</f>
        <v>Tourism</v>
      </c>
      <c r="R61" s="25" t="str">
        <f t="shared" si="1"/>
        <v>Home-Tourism</v>
      </c>
      <c r="S61" s="62"/>
      <c r="T61" s="62">
        <v>3</v>
      </c>
      <c r="U61" s="43">
        <v>5</v>
      </c>
      <c r="V61" s="43"/>
      <c r="W61" s="62"/>
      <c r="X61" s="62"/>
      <c r="Y61" s="63"/>
      <c r="Z61" s="73"/>
      <c r="AA61" s="25"/>
      <c r="AB61" s="25"/>
    </row>
    <row r="62" spans="2:28">
      <c r="B62" s="40" t="s">
        <v>481</v>
      </c>
      <c r="C62" s="40"/>
      <c r="D62" s="41">
        <v>3</v>
      </c>
      <c r="E62" s="42">
        <v>4</v>
      </c>
      <c r="F62" s="42" t="s">
        <v>37</v>
      </c>
      <c r="G62" s="43" t="s">
        <v>37</v>
      </c>
      <c r="H62" s="42" t="s">
        <v>254</v>
      </c>
      <c r="I62" s="43"/>
      <c r="J62" s="43">
        <v>4</v>
      </c>
      <c r="K62" s="25" t="str">
        <f>VLOOKUP(J62,Key!$E$2:$F$9,2,FALSE)</f>
        <v>Commercial</v>
      </c>
      <c r="L62" s="42" t="s">
        <v>38</v>
      </c>
      <c r="M62" s="43" t="s">
        <v>37</v>
      </c>
      <c r="N62" s="42" t="s">
        <v>254</v>
      </c>
      <c r="O62" s="43"/>
      <c r="P62" s="43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62"/>
      <c r="T62" s="62">
        <v>0</v>
      </c>
      <c r="U62" s="43">
        <v>3</v>
      </c>
      <c r="V62" s="43"/>
      <c r="W62" s="62"/>
      <c r="X62" s="62"/>
      <c r="Y62" s="63"/>
      <c r="Z62" s="73"/>
      <c r="AA62" s="25"/>
      <c r="AB62" s="25"/>
    </row>
    <row r="63" spans="2:28">
      <c r="B63" s="40" t="s">
        <v>415</v>
      </c>
      <c r="C63" s="40"/>
      <c r="D63" s="41">
        <v>2</v>
      </c>
      <c r="E63" s="42">
        <v>5</v>
      </c>
      <c r="F63" s="42" t="s">
        <v>248</v>
      </c>
      <c r="G63" s="43" t="s">
        <v>248</v>
      </c>
      <c r="H63" s="42" t="s">
        <v>254</v>
      </c>
      <c r="I63" s="43"/>
      <c r="J63" s="43">
        <v>4</v>
      </c>
      <c r="K63" s="25" t="str">
        <f>VLOOKUP(J63,Key!$E$2:$F$9,2,FALSE)</f>
        <v>Commercial</v>
      </c>
      <c r="L63" s="42" t="s">
        <v>38</v>
      </c>
      <c r="M63" s="43" t="s">
        <v>37</v>
      </c>
      <c r="N63" s="42" t="s">
        <v>254</v>
      </c>
      <c r="O63" s="43"/>
      <c r="P63" s="43">
        <v>7</v>
      </c>
      <c r="Q63" s="25" t="str">
        <f>VLOOKUP(P63,Key!$E$2:$F$9,2,FALSE)</f>
        <v>Hospital</v>
      </c>
      <c r="R63" s="25" t="str">
        <f t="shared" si="1"/>
        <v>Commercial-Hospital</v>
      </c>
      <c r="S63" s="62"/>
      <c r="T63" s="62">
        <v>0</v>
      </c>
      <c r="U63" s="43">
        <v>2</v>
      </c>
      <c r="V63" s="43"/>
      <c r="W63" s="62"/>
      <c r="X63" s="62"/>
      <c r="Y63" s="63"/>
      <c r="Z63" s="73"/>
      <c r="AA63" s="25"/>
      <c r="AB63" s="25"/>
    </row>
    <row r="64" spans="2:28">
      <c r="B64" s="40" t="s">
        <v>482</v>
      </c>
      <c r="C64" s="40"/>
      <c r="D64" s="41">
        <v>3</v>
      </c>
      <c r="E64" s="42">
        <v>2</v>
      </c>
      <c r="F64" s="42" t="s">
        <v>37</v>
      </c>
      <c r="G64" s="43" t="s">
        <v>37</v>
      </c>
      <c r="H64" s="42" t="s">
        <v>254</v>
      </c>
      <c r="I64" s="43"/>
      <c r="J64" s="43">
        <v>4</v>
      </c>
      <c r="K64" s="25" t="str">
        <f>VLOOKUP(J64,Key!$E$2:$F$9,2,FALSE)</f>
        <v>Commercial</v>
      </c>
      <c r="L64" s="42" t="s">
        <v>38</v>
      </c>
      <c r="M64" s="43" t="s">
        <v>37</v>
      </c>
      <c r="N64" s="42" t="s">
        <v>254</v>
      </c>
      <c r="O64" s="43"/>
      <c r="P64" s="43">
        <v>1</v>
      </c>
      <c r="Q64" s="25" t="str">
        <f>VLOOKUP(P64,Key!$E$2:$F$9,2,FALSE)</f>
        <v>Home</v>
      </c>
      <c r="R64" s="25" t="str">
        <f t="shared" si="1"/>
        <v>Commercial-Home</v>
      </c>
      <c r="S64" s="62"/>
      <c r="T64" s="62">
        <v>1.3333333333333333</v>
      </c>
      <c r="U64" s="43">
        <v>4</v>
      </c>
      <c r="V64" s="43"/>
      <c r="W64" s="62"/>
      <c r="X64" s="62"/>
      <c r="Y64" s="63"/>
      <c r="Z64" s="73"/>
      <c r="AA64" s="25"/>
      <c r="AB64" s="25"/>
    </row>
    <row r="65" spans="2:28">
      <c r="B65" s="40" t="s">
        <v>483</v>
      </c>
      <c r="C65" s="40"/>
      <c r="D65" s="41">
        <v>1</v>
      </c>
      <c r="E65" s="42">
        <v>22</v>
      </c>
      <c r="F65" s="42" t="s">
        <v>37</v>
      </c>
      <c r="G65" s="43" t="s">
        <v>37</v>
      </c>
      <c r="H65" s="42" t="s">
        <v>254</v>
      </c>
      <c r="I65" s="43"/>
      <c r="J65" s="43">
        <v>5</v>
      </c>
      <c r="K65" s="25" t="str">
        <f>VLOOKUP(J65,Key!$E$2:$F$9,2,FALSE)</f>
        <v>Tourism</v>
      </c>
      <c r="L65" s="42" t="s">
        <v>38</v>
      </c>
      <c r="M65" s="43" t="s">
        <v>37</v>
      </c>
      <c r="N65" s="42" t="s">
        <v>254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Tourism-Home</v>
      </c>
      <c r="S65" s="62"/>
      <c r="T65" s="62">
        <v>0.83333333333333337</v>
      </c>
      <c r="U65" s="43">
        <v>4</v>
      </c>
      <c r="V65" s="43"/>
      <c r="W65" s="62"/>
      <c r="X65" s="62"/>
      <c r="Y65" s="63"/>
      <c r="Z65" s="73"/>
      <c r="AA65" s="25"/>
      <c r="AB65" s="25"/>
    </row>
    <row r="66" spans="2:28">
      <c r="B66" s="40" t="s">
        <v>484</v>
      </c>
      <c r="C66" s="40"/>
      <c r="D66" s="41">
        <v>2</v>
      </c>
      <c r="E66" s="42">
        <v>2</v>
      </c>
      <c r="F66" s="42" t="s">
        <v>37</v>
      </c>
      <c r="G66" s="43" t="s">
        <v>37</v>
      </c>
      <c r="H66" s="42" t="s">
        <v>254</v>
      </c>
      <c r="I66" s="43"/>
      <c r="J66" s="43">
        <v>4</v>
      </c>
      <c r="K66" s="25" t="str">
        <f>VLOOKUP(J66,Key!$E$2:$F$9,2,FALSE)</f>
        <v>Commercial</v>
      </c>
      <c r="L66" s="42" t="s">
        <v>38</v>
      </c>
      <c r="M66" s="43" t="s">
        <v>37</v>
      </c>
      <c r="N66" s="42" t="s">
        <v>254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Commercial-Home</v>
      </c>
      <c r="S66" s="62"/>
      <c r="T66" s="62">
        <v>0</v>
      </c>
      <c r="U66" s="43">
        <v>4</v>
      </c>
      <c r="V66" s="43"/>
      <c r="W66" s="62"/>
      <c r="X66" s="62"/>
      <c r="Y66" s="63"/>
      <c r="Z66" s="73"/>
      <c r="AA66" s="25"/>
      <c r="AB66" s="25"/>
    </row>
    <row r="67" spans="2:28">
      <c r="B67" s="40" t="s">
        <v>485</v>
      </c>
      <c r="C67" s="40"/>
      <c r="D67" s="41">
        <v>1</v>
      </c>
      <c r="E67" s="42">
        <v>2</v>
      </c>
      <c r="F67" s="42" t="s">
        <v>37</v>
      </c>
      <c r="G67" s="43" t="s">
        <v>37</v>
      </c>
      <c r="H67" s="42" t="s">
        <v>254</v>
      </c>
      <c r="I67" s="43"/>
      <c r="J67" s="43">
        <v>6</v>
      </c>
      <c r="K67" s="25" t="str">
        <f>VLOOKUP(J67,Key!$E$2:$F$9,2,FALSE)</f>
        <v>Leisure/Social</v>
      </c>
      <c r="L67" s="42" t="s">
        <v>38</v>
      </c>
      <c r="M67" s="43" t="s">
        <v>37</v>
      </c>
      <c r="N67" s="42" t="s">
        <v>254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Leisure/Social-Work</v>
      </c>
      <c r="S67" s="62"/>
      <c r="T67" s="62">
        <v>0</v>
      </c>
      <c r="U67" s="43">
        <v>2</v>
      </c>
      <c r="V67" s="43"/>
      <c r="W67" s="62"/>
      <c r="X67" s="62"/>
      <c r="Y67" s="63"/>
      <c r="Z67" s="73"/>
      <c r="AA67" s="25"/>
      <c r="AB67" s="25"/>
    </row>
    <row r="68" spans="2:28">
      <c r="B68" s="40" t="s">
        <v>486</v>
      </c>
      <c r="C68" s="40"/>
      <c r="D68" s="41">
        <v>1</v>
      </c>
      <c r="E68" s="42">
        <v>2</v>
      </c>
      <c r="F68" s="42" t="s">
        <v>37</v>
      </c>
      <c r="G68" s="43" t="s">
        <v>37</v>
      </c>
      <c r="H68" s="42" t="s">
        <v>254</v>
      </c>
      <c r="I68" s="43"/>
      <c r="J68" s="43">
        <v>3</v>
      </c>
      <c r="K68" s="25" t="str">
        <f>VLOOKUP(J68,Key!$E$2:$F$9,2,FALSE)</f>
        <v>Study</v>
      </c>
      <c r="L68" s="42" t="s">
        <v>38</v>
      </c>
      <c r="M68" s="43" t="s">
        <v>37</v>
      </c>
      <c r="N68" s="42" t="s">
        <v>254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Study-Work</v>
      </c>
      <c r="S68" s="62"/>
      <c r="T68" s="62">
        <v>0.5</v>
      </c>
      <c r="U68" s="43">
        <v>2</v>
      </c>
      <c r="V68" s="43"/>
      <c r="W68" s="62"/>
      <c r="X68" s="62"/>
      <c r="Y68" s="63"/>
      <c r="Z68" s="73"/>
      <c r="AA68" s="25"/>
      <c r="AB68" s="25"/>
    </row>
    <row r="69" spans="2:28">
      <c r="B69" s="40" t="s">
        <v>487</v>
      </c>
      <c r="C69" s="40"/>
      <c r="D69" s="41">
        <v>1</v>
      </c>
      <c r="E69" s="42">
        <v>2</v>
      </c>
      <c r="F69" s="42" t="s">
        <v>37</v>
      </c>
      <c r="G69" s="43" t="s">
        <v>37</v>
      </c>
      <c r="H69" s="42" t="s">
        <v>254</v>
      </c>
      <c r="I69" s="43"/>
      <c r="J69" s="43">
        <v>4</v>
      </c>
      <c r="K69" s="25" t="str">
        <f>VLOOKUP(J69,Key!$E$2:$F$9,2,FALSE)</f>
        <v>Commercial</v>
      </c>
      <c r="L69" s="42" t="s">
        <v>38</v>
      </c>
      <c r="M69" s="43" t="s">
        <v>37</v>
      </c>
      <c r="N69" s="42" t="s">
        <v>254</v>
      </c>
      <c r="O69" s="43"/>
      <c r="P69" s="43">
        <v>6</v>
      </c>
      <c r="Q69" s="25" t="str">
        <f>VLOOKUP(P69,Key!$E$2:$F$9,2,FALSE)</f>
        <v>Leisure/Social</v>
      </c>
      <c r="R69" s="25" t="str">
        <f t="shared" si="1"/>
        <v>Commercial-Leisure/Social</v>
      </c>
      <c r="S69" s="62"/>
      <c r="T69" s="62">
        <v>0</v>
      </c>
      <c r="U69" s="43">
        <v>4</v>
      </c>
      <c r="V69" s="43"/>
      <c r="W69" s="62"/>
      <c r="X69" s="62"/>
      <c r="Y69" s="63"/>
      <c r="Z69" s="73"/>
      <c r="AA69" s="25"/>
      <c r="AB69" s="25"/>
    </row>
    <row r="70" spans="2:28">
      <c r="B70" s="40" t="s">
        <v>488</v>
      </c>
      <c r="C70" s="40"/>
      <c r="D70" s="41">
        <v>12</v>
      </c>
      <c r="E70" s="42">
        <v>2</v>
      </c>
      <c r="F70" s="42" t="s">
        <v>37</v>
      </c>
      <c r="G70" s="43" t="s">
        <v>37</v>
      </c>
      <c r="H70" s="42" t="s">
        <v>254</v>
      </c>
      <c r="I70" s="43"/>
      <c r="J70" s="43">
        <v>6</v>
      </c>
      <c r="K70" s="25" t="str">
        <f>VLOOKUP(J70,Key!$E$2:$F$9,2,FALSE)</f>
        <v>Leisure/Social</v>
      </c>
      <c r="L70" s="42" t="s">
        <v>38</v>
      </c>
      <c r="M70" s="43" t="s">
        <v>37</v>
      </c>
      <c r="N70" s="42" t="s">
        <v>254</v>
      </c>
      <c r="O70" s="43"/>
      <c r="P70" s="43">
        <v>4</v>
      </c>
      <c r="Q70" s="25" t="str">
        <f>VLOOKUP(P70,Key!$E$2:$F$9,2,FALSE)</f>
        <v>Commercial</v>
      </c>
      <c r="R70" s="25" t="str">
        <f t="shared" si="1"/>
        <v>Leisure/Social-Commercial</v>
      </c>
      <c r="S70" s="62"/>
      <c r="T70" s="62">
        <v>0</v>
      </c>
      <c r="U70" s="43">
        <v>5</v>
      </c>
      <c r="V70" s="43"/>
      <c r="W70" s="62"/>
      <c r="X70" s="62"/>
      <c r="Y70" s="63"/>
      <c r="Z70" s="73"/>
      <c r="AA70" s="25"/>
      <c r="AB70" s="25"/>
    </row>
    <row r="71" spans="2:28">
      <c r="B71" s="40" t="s">
        <v>489</v>
      </c>
      <c r="C71" s="40"/>
      <c r="D71" s="41">
        <v>12</v>
      </c>
      <c r="E71" s="42">
        <v>1</v>
      </c>
      <c r="F71" s="42" t="s">
        <v>362</v>
      </c>
      <c r="G71" s="43" t="s">
        <v>37</v>
      </c>
      <c r="H71" s="42" t="s">
        <v>254</v>
      </c>
      <c r="I71" s="43"/>
      <c r="J71" s="43">
        <v>5</v>
      </c>
      <c r="K71" s="25" t="str">
        <f>VLOOKUP(J71,Key!$E$2:$F$9,2,FALSE)</f>
        <v>Tourism</v>
      </c>
      <c r="L71" s="42" t="s">
        <v>38</v>
      </c>
      <c r="M71" s="43" t="s">
        <v>37</v>
      </c>
      <c r="N71" s="42" t="s">
        <v>254</v>
      </c>
      <c r="O71" s="43"/>
      <c r="P71" s="43">
        <v>5</v>
      </c>
      <c r="Q71" s="25" t="str">
        <f>VLOOKUP(P71,Key!$E$2:$F$9,2,FALSE)</f>
        <v>Tourism</v>
      </c>
      <c r="R71" s="25" t="str">
        <f t="shared" si="1"/>
        <v>Tourism-Tourism</v>
      </c>
      <c r="S71" s="62"/>
      <c r="T71" s="62">
        <v>0</v>
      </c>
      <c r="U71" s="43">
        <v>5</v>
      </c>
      <c r="V71" s="43"/>
      <c r="W71" s="62"/>
      <c r="X71" s="62"/>
      <c r="Y71" s="63"/>
      <c r="Z71" s="73"/>
      <c r="AA71" s="25"/>
      <c r="AB71" s="25"/>
    </row>
    <row r="72" spans="2:28">
      <c r="B72" s="40" t="s">
        <v>490</v>
      </c>
      <c r="C72" s="40"/>
      <c r="D72" s="41">
        <v>9</v>
      </c>
      <c r="E72" s="42">
        <v>1</v>
      </c>
      <c r="F72" s="42" t="s">
        <v>248</v>
      </c>
      <c r="G72" s="43" t="s">
        <v>248</v>
      </c>
      <c r="H72" s="42" t="s">
        <v>254</v>
      </c>
      <c r="I72" s="43"/>
      <c r="J72" s="43">
        <v>5</v>
      </c>
      <c r="K72" s="25" t="str">
        <f>VLOOKUP(J72,Key!$E$2:$F$9,2,FALSE)</f>
        <v>Tourism</v>
      </c>
      <c r="L72" s="42" t="s">
        <v>38</v>
      </c>
      <c r="M72" s="43" t="s">
        <v>37</v>
      </c>
      <c r="N72" s="42" t="s">
        <v>254</v>
      </c>
      <c r="O72" s="43"/>
      <c r="P72" s="43">
        <v>5</v>
      </c>
      <c r="Q72" s="25" t="str">
        <f>VLOOKUP(P72,Key!$E$2:$F$9,2,FALSE)</f>
        <v>Tourism</v>
      </c>
      <c r="R72" s="25" t="str">
        <f t="shared" si="1"/>
        <v>Tourism-Tourism</v>
      </c>
      <c r="S72" s="62"/>
      <c r="T72" s="62">
        <v>0</v>
      </c>
      <c r="U72" s="43">
        <v>2</v>
      </c>
      <c r="V72" s="43"/>
      <c r="W72" s="62"/>
      <c r="X72" s="62"/>
      <c r="Y72" s="63"/>
      <c r="Z72" s="73"/>
      <c r="AA72" s="25"/>
      <c r="AB72" s="25"/>
    </row>
    <row r="73" spans="2:28">
      <c r="B73" s="40" t="s">
        <v>491</v>
      </c>
      <c r="C73" s="40"/>
      <c r="D73" s="41">
        <v>3</v>
      </c>
      <c r="E73" s="42">
        <v>1</v>
      </c>
      <c r="F73" s="42" t="s">
        <v>37</v>
      </c>
      <c r="G73" s="43" t="s">
        <v>37</v>
      </c>
      <c r="H73" s="42" t="s">
        <v>254</v>
      </c>
      <c r="I73" s="43"/>
      <c r="J73" s="43">
        <v>4</v>
      </c>
      <c r="K73" s="25" t="str">
        <f>VLOOKUP(J73,Key!$E$2:$F$9,2,FALSE)</f>
        <v>Commercial</v>
      </c>
      <c r="L73" s="42" t="s">
        <v>38</v>
      </c>
      <c r="M73" s="43" t="s">
        <v>37</v>
      </c>
      <c r="N73" s="42" t="s">
        <v>254</v>
      </c>
      <c r="O73" s="43"/>
      <c r="P73" s="43">
        <v>3</v>
      </c>
      <c r="Q73" s="25" t="str">
        <f>VLOOKUP(P73,Key!$E$2:$F$9,2,FALSE)</f>
        <v>Study</v>
      </c>
      <c r="R73" s="25" t="str">
        <f t="shared" si="1"/>
        <v>Commercial-Study</v>
      </c>
      <c r="S73" s="62"/>
      <c r="T73" s="62">
        <v>0</v>
      </c>
      <c r="U73" s="43">
        <v>1</v>
      </c>
      <c r="V73" s="43"/>
      <c r="W73" s="62"/>
      <c r="X73" s="62"/>
      <c r="Y73" s="63"/>
      <c r="Z73" s="73"/>
      <c r="AA73" s="25"/>
      <c r="AB73" s="25"/>
    </row>
    <row r="74" spans="2:28">
      <c r="B74" s="40" t="s">
        <v>492</v>
      </c>
      <c r="C74" s="40"/>
      <c r="D74" s="41">
        <v>3</v>
      </c>
      <c r="E74" s="42">
        <v>1</v>
      </c>
      <c r="F74" s="42" t="s">
        <v>37</v>
      </c>
      <c r="G74" s="43" t="s">
        <v>37</v>
      </c>
      <c r="H74" s="42" t="s">
        <v>254</v>
      </c>
      <c r="I74" s="43"/>
      <c r="J74" s="43">
        <v>3</v>
      </c>
      <c r="K74" s="25" t="str">
        <f>VLOOKUP(J74,Key!$E$2:$F$9,2,FALSE)</f>
        <v>Study</v>
      </c>
      <c r="L74" s="42" t="s">
        <v>38</v>
      </c>
      <c r="M74" s="43" t="s">
        <v>37</v>
      </c>
      <c r="N74" s="42" t="s">
        <v>254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Study-Work</v>
      </c>
      <c r="S74" s="62"/>
      <c r="T74" s="62">
        <v>0</v>
      </c>
      <c r="U74" s="43">
        <v>4</v>
      </c>
      <c r="V74" s="43"/>
      <c r="W74" s="62"/>
      <c r="X74" s="62"/>
      <c r="Y74" s="63"/>
      <c r="Z74" s="73"/>
      <c r="AA74" s="25"/>
      <c r="AB74" s="25"/>
    </row>
    <row r="75" spans="2:28">
      <c r="B75" s="40" t="s">
        <v>493</v>
      </c>
      <c r="C75" s="40"/>
      <c r="D75" s="41">
        <v>3</v>
      </c>
      <c r="E75" s="42">
        <v>2</v>
      </c>
      <c r="F75" s="42" t="s">
        <v>37</v>
      </c>
      <c r="G75" s="43" t="s">
        <v>37</v>
      </c>
      <c r="H75" s="42" t="s">
        <v>254</v>
      </c>
      <c r="I75" s="43"/>
      <c r="J75" s="43">
        <v>2</v>
      </c>
      <c r="K75" s="25" t="str">
        <f>VLOOKUP(J75,Key!$E$2:$F$9,2,FALSE)</f>
        <v>Work</v>
      </c>
      <c r="L75" s="42" t="s">
        <v>38</v>
      </c>
      <c r="M75" s="43" t="s">
        <v>37</v>
      </c>
      <c r="N75" s="42" t="s">
        <v>254</v>
      </c>
      <c r="O75" s="43"/>
      <c r="P75" s="43">
        <v>3</v>
      </c>
      <c r="Q75" s="25" t="str">
        <f>VLOOKUP(P75,Key!$E$2:$F$9,2,FALSE)</f>
        <v>Study</v>
      </c>
      <c r="R75" s="25" t="str">
        <f t="shared" si="1"/>
        <v>Work-Study</v>
      </c>
      <c r="S75" s="62"/>
      <c r="T75" s="62">
        <v>0</v>
      </c>
      <c r="U75" s="43">
        <v>2</v>
      </c>
      <c r="V75" s="43"/>
      <c r="W75" s="62"/>
      <c r="X75" s="62"/>
      <c r="Y75" s="63"/>
      <c r="Z75" s="73"/>
      <c r="AA75" s="25"/>
      <c r="AB75" s="25"/>
    </row>
    <row r="76" spans="2:28">
      <c r="B76" s="40" t="s">
        <v>494</v>
      </c>
      <c r="C76" s="40"/>
      <c r="D76" s="41">
        <v>13</v>
      </c>
      <c r="E76" s="42">
        <v>1</v>
      </c>
      <c r="F76" s="42" t="s">
        <v>37</v>
      </c>
      <c r="G76" s="43" t="s">
        <v>37</v>
      </c>
      <c r="H76" s="42" t="s">
        <v>254</v>
      </c>
      <c r="I76" s="43"/>
      <c r="J76" s="43">
        <v>2</v>
      </c>
      <c r="K76" s="25" t="str">
        <f>VLOOKUP(J76,Key!$E$2:$F$9,2,FALSE)</f>
        <v>Work</v>
      </c>
      <c r="L76" s="42" t="s">
        <v>38</v>
      </c>
      <c r="M76" s="43" t="s">
        <v>37</v>
      </c>
      <c r="N76" s="42" t="s">
        <v>254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62"/>
      <c r="T76" s="62">
        <v>0</v>
      </c>
      <c r="U76" s="43">
        <v>3</v>
      </c>
      <c r="V76" s="43"/>
      <c r="W76" s="62"/>
      <c r="X76" s="62"/>
      <c r="Y76" s="63"/>
      <c r="Z76" s="73"/>
      <c r="AA76" s="25"/>
      <c r="AB76" s="25"/>
    </row>
    <row r="77" spans="2:28">
      <c r="B77" s="40" t="s">
        <v>495</v>
      </c>
      <c r="C77" s="40"/>
      <c r="D77" s="41">
        <v>1</v>
      </c>
      <c r="E77" s="42">
        <v>1</v>
      </c>
      <c r="F77" s="42" t="s">
        <v>37</v>
      </c>
      <c r="G77" s="43" t="s">
        <v>37</v>
      </c>
      <c r="H77" s="42" t="s">
        <v>254</v>
      </c>
      <c r="I77" s="43"/>
      <c r="J77" s="43">
        <v>2</v>
      </c>
      <c r="K77" s="25" t="str">
        <f>VLOOKUP(J77,Key!$E$2:$F$9,2,FALSE)</f>
        <v>Work</v>
      </c>
      <c r="L77" s="42" t="s">
        <v>38</v>
      </c>
      <c r="M77" s="43" t="s">
        <v>37</v>
      </c>
      <c r="N77" s="42" t="s">
        <v>254</v>
      </c>
      <c r="O77" s="43"/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62"/>
      <c r="T77" s="62">
        <v>0.25</v>
      </c>
      <c r="U77" s="43">
        <v>2</v>
      </c>
      <c r="V77" s="43"/>
      <c r="W77" s="62"/>
      <c r="X77" s="62"/>
      <c r="Y77" s="63"/>
      <c r="Z77" s="73"/>
      <c r="AA77" s="25"/>
      <c r="AB77" s="25"/>
    </row>
    <row r="78" spans="2:28">
      <c r="B78" s="40" t="s">
        <v>496</v>
      </c>
      <c r="C78" s="40"/>
      <c r="D78" s="41">
        <v>1</v>
      </c>
      <c r="E78" s="42">
        <v>1</v>
      </c>
      <c r="F78" s="42" t="s">
        <v>37</v>
      </c>
      <c r="G78" s="43" t="s">
        <v>37</v>
      </c>
      <c r="H78" s="42" t="s">
        <v>254</v>
      </c>
      <c r="I78" s="43"/>
      <c r="J78" s="43">
        <v>3</v>
      </c>
      <c r="K78" s="25" t="str">
        <f>VLOOKUP(J78,Key!$E$2:$F$9,2,FALSE)</f>
        <v>Study</v>
      </c>
      <c r="L78" s="42" t="s">
        <v>38</v>
      </c>
      <c r="M78" s="43" t="s">
        <v>37</v>
      </c>
      <c r="N78" s="42" t="s">
        <v>254</v>
      </c>
      <c r="O78" s="43"/>
      <c r="P78" s="43">
        <v>1</v>
      </c>
      <c r="Q78" s="25" t="str">
        <f>VLOOKUP(P78,Key!$E$2:$F$9,2,FALSE)</f>
        <v>Home</v>
      </c>
      <c r="R78" s="25" t="str">
        <f t="shared" si="1"/>
        <v>Study-Home</v>
      </c>
      <c r="S78" s="62"/>
      <c r="T78" s="62">
        <v>0</v>
      </c>
      <c r="U78" s="43">
        <v>2</v>
      </c>
      <c r="V78" s="43"/>
      <c r="W78" s="62"/>
      <c r="X78" s="62"/>
      <c r="Y78" s="63"/>
      <c r="Z78" s="73"/>
      <c r="AA78" s="25"/>
      <c r="AB78" s="25"/>
    </row>
    <row r="79" spans="2:28">
      <c r="B79" s="40" t="s">
        <v>497</v>
      </c>
      <c r="C79" s="40"/>
      <c r="D79" s="41">
        <v>1</v>
      </c>
      <c r="E79" s="42">
        <v>11</v>
      </c>
      <c r="F79" s="42" t="s">
        <v>37</v>
      </c>
      <c r="G79" s="43" t="s">
        <v>37</v>
      </c>
      <c r="H79" s="42" t="s">
        <v>254</v>
      </c>
      <c r="I79" s="43"/>
      <c r="J79" s="43">
        <v>3</v>
      </c>
      <c r="K79" s="25" t="str">
        <f>VLOOKUP(J79,Key!$E$2:$F$9,2,FALSE)</f>
        <v>Study</v>
      </c>
      <c r="L79" s="42" t="s">
        <v>258</v>
      </c>
      <c r="M79" s="43" t="s">
        <v>37</v>
      </c>
      <c r="N79" s="42" t="s">
        <v>254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Study-Home</v>
      </c>
      <c r="S79" s="62"/>
      <c r="T79" s="62">
        <v>0</v>
      </c>
      <c r="U79" s="43">
        <v>2</v>
      </c>
      <c r="V79" s="43"/>
      <c r="W79" s="62"/>
      <c r="X79" s="62"/>
      <c r="Y79" s="63"/>
      <c r="Z79" s="73"/>
      <c r="AA79" s="25"/>
      <c r="AB79" s="25"/>
    </row>
    <row r="80" spans="2:28">
      <c r="B80" s="40" t="s">
        <v>498</v>
      </c>
      <c r="C80" s="40"/>
      <c r="D80" s="41">
        <v>12</v>
      </c>
      <c r="E80" s="42">
        <v>1</v>
      </c>
      <c r="F80" s="42" t="s">
        <v>37</v>
      </c>
      <c r="G80" s="43" t="s">
        <v>37</v>
      </c>
      <c r="H80" s="42" t="s">
        <v>254</v>
      </c>
      <c r="I80" s="43"/>
      <c r="J80" s="43">
        <v>3</v>
      </c>
      <c r="K80" s="25" t="str">
        <f>VLOOKUP(J80,Key!$E$2:$F$9,2,FALSE)</f>
        <v>Study</v>
      </c>
      <c r="L80" s="42" t="s">
        <v>258</v>
      </c>
      <c r="M80" s="43" t="s">
        <v>37</v>
      </c>
      <c r="N80" s="42" t="s">
        <v>254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Study-Home</v>
      </c>
      <c r="S80" s="62"/>
      <c r="T80" s="62">
        <v>1</v>
      </c>
      <c r="U80" s="43">
        <v>2</v>
      </c>
      <c r="V80" s="43"/>
      <c r="W80" s="62"/>
      <c r="X80" s="62"/>
      <c r="Y80" s="63"/>
      <c r="Z80" s="73"/>
      <c r="AA80" s="25"/>
      <c r="AB80" s="25"/>
    </row>
    <row r="81" spans="2:28">
      <c r="B81" s="40" t="s">
        <v>430</v>
      </c>
      <c r="C81" s="40"/>
      <c r="D81" s="41">
        <v>2</v>
      </c>
      <c r="E81" s="42">
        <v>1</v>
      </c>
      <c r="F81" s="42" t="s">
        <v>37</v>
      </c>
      <c r="G81" s="43" t="s">
        <v>37</v>
      </c>
      <c r="H81" s="42" t="s">
        <v>254</v>
      </c>
      <c r="I81" s="43"/>
      <c r="J81" s="43">
        <v>3</v>
      </c>
      <c r="K81" s="25" t="str">
        <f>VLOOKUP(J81,Key!$E$2:$F$9,2,FALSE)</f>
        <v>Study</v>
      </c>
      <c r="L81" s="42" t="s">
        <v>258</v>
      </c>
      <c r="M81" s="43" t="s">
        <v>37</v>
      </c>
      <c r="N81" s="42" t="s">
        <v>254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Study-Home</v>
      </c>
      <c r="S81" s="62"/>
      <c r="T81" s="62">
        <v>2</v>
      </c>
      <c r="U81" s="43">
        <v>2</v>
      </c>
      <c r="V81" s="43"/>
      <c r="W81" s="62"/>
      <c r="X81" s="62"/>
      <c r="Y81" s="63"/>
      <c r="Z81" s="73"/>
      <c r="AA81" s="25"/>
      <c r="AB81" s="25"/>
    </row>
    <row r="82" spans="2:28">
      <c r="B82" s="40" t="s">
        <v>499</v>
      </c>
      <c r="C82" s="40"/>
      <c r="D82" s="41">
        <v>1</v>
      </c>
      <c r="E82" s="42">
        <v>1</v>
      </c>
      <c r="F82" s="42" t="s">
        <v>37</v>
      </c>
      <c r="G82" s="43" t="s">
        <v>37</v>
      </c>
      <c r="H82" s="42" t="s">
        <v>254</v>
      </c>
      <c r="I82" s="43"/>
      <c r="J82" s="43">
        <v>3</v>
      </c>
      <c r="K82" s="25" t="str">
        <f>VLOOKUP(J82,Key!$E$2:$F$9,2,FALSE)</f>
        <v>Study</v>
      </c>
      <c r="L82" s="42" t="s">
        <v>258</v>
      </c>
      <c r="M82" s="43" t="s">
        <v>37</v>
      </c>
      <c r="N82" s="42" t="s">
        <v>254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Study-Work</v>
      </c>
      <c r="S82" s="62"/>
      <c r="T82" s="62">
        <v>1</v>
      </c>
      <c r="U82" s="43">
        <v>2</v>
      </c>
      <c r="V82" s="43"/>
      <c r="W82" s="62"/>
      <c r="X82" s="62"/>
      <c r="Y82" s="63"/>
      <c r="Z82" s="73"/>
      <c r="AA82" s="25"/>
      <c r="AB82" s="25"/>
    </row>
    <row r="83" spans="2:28">
      <c r="B83" s="40" t="s">
        <v>500</v>
      </c>
      <c r="C83" s="40"/>
      <c r="D83" s="41">
        <v>1</v>
      </c>
      <c r="E83" s="42">
        <v>1</v>
      </c>
      <c r="F83" s="42" t="s">
        <v>241</v>
      </c>
      <c r="G83" s="43" t="s">
        <v>241</v>
      </c>
      <c r="H83" s="42" t="s">
        <v>254</v>
      </c>
      <c r="I83" s="43"/>
      <c r="J83" s="43">
        <v>3</v>
      </c>
      <c r="K83" s="25" t="str">
        <f>VLOOKUP(J83,Key!$E$2:$F$9,2,FALSE)</f>
        <v>Study</v>
      </c>
      <c r="L83" s="42" t="s">
        <v>258</v>
      </c>
      <c r="M83" s="43" t="s">
        <v>37</v>
      </c>
      <c r="N83" s="42" t="s">
        <v>254</v>
      </c>
      <c r="O83" s="43"/>
      <c r="P83" s="43">
        <v>3</v>
      </c>
      <c r="Q83" s="25" t="str">
        <f>VLOOKUP(P83,Key!$E$2:$F$9,2,FALSE)</f>
        <v>Study</v>
      </c>
      <c r="R83" s="25" t="str">
        <f t="shared" si="1"/>
        <v>Study-Study</v>
      </c>
      <c r="S83" s="62"/>
      <c r="T83" s="62">
        <v>1</v>
      </c>
      <c r="U83" s="43">
        <v>2</v>
      </c>
      <c r="V83" s="43"/>
      <c r="W83" s="62"/>
      <c r="X83" s="62"/>
      <c r="Y83" s="63"/>
      <c r="Z83" s="73"/>
      <c r="AA83" s="25"/>
      <c r="AB83" s="25"/>
    </row>
    <row r="84" spans="2:28">
      <c r="B84" s="40" t="s">
        <v>432</v>
      </c>
      <c r="C84" s="40"/>
      <c r="D84" s="41">
        <v>1</v>
      </c>
      <c r="E84" s="42">
        <v>1</v>
      </c>
      <c r="F84" s="42" t="s">
        <v>37</v>
      </c>
      <c r="G84" s="43" t="s">
        <v>37</v>
      </c>
      <c r="H84" s="42" t="s">
        <v>254</v>
      </c>
      <c r="I84" s="43"/>
      <c r="J84" s="43">
        <v>4</v>
      </c>
      <c r="K84" s="25" t="str">
        <f>VLOOKUP(J84,Key!$E$2:$F$9,2,FALSE)</f>
        <v>Commercial</v>
      </c>
      <c r="L84" s="42" t="s">
        <v>38</v>
      </c>
      <c r="M84" s="43" t="s">
        <v>37</v>
      </c>
      <c r="N84" s="42" t="s">
        <v>254</v>
      </c>
      <c r="O84" s="43"/>
      <c r="P84" s="43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62"/>
      <c r="T84" s="62">
        <v>1</v>
      </c>
      <c r="U84" s="43">
        <v>2</v>
      </c>
      <c r="V84" s="43"/>
      <c r="W84" s="62"/>
      <c r="X84" s="62"/>
      <c r="Y84" s="63"/>
      <c r="Z84" s="73"/>
      <c r="AA84" s="25"/>
      <c r="AB84" s="25"/>
    </row>
    <row r="85" spans="2:28">
      <c r="B85" s="40" t="s">
        <v>501</v>
      </c>
      <c r="C85" s="40"/>
      <c r="D85" s="41">
        <v>3</v>
      </c>
      <c r="E85" s="42">
        <v>1</v>
      </c>
      <c r="F85" s="42" t="s">
        <v>37</v>
      </c>
      <c r="G85" s="43" t="s">
        <v>37</v>
      </c>
      <c r="H85" s="42" t="s">
        <v>254</v>
      </c>
      <c r="I85" s="43"/>
      <c r="J85" s="43">
        <v>3</v>
      </c>
      <c r="K85" s="25" t="str">
        <f>VLOOKUP(J85,Key!$E$2:$F$9,2,FALSE)</f>
        <v>Study</v>
      </c>
      <c r="L85" s="42" t="s">
        <v>38</v>
      </c>
      <c r="M85" s="43" t="s">
        <v>37</v>
      </c>
      <c r="N85" s="42" t="s">
        <v>254</v>
      </c>
      <c r="O85" s="43"/>
      <c r="P85" s="43">
        <v>4</v>
      </c>
      <c r="Q85" s="25" t="str">
        <f>VLOOKUP(P85,Key!$E$2:$F$9,2,FALSE)</f>
        <v>Commercial</v>
      </c>
      <c r="R85" s="25" t="str">
        <f t="shared" si="1"/>
        <v>Study-Commercial</v>
      </c>
      <c r="S85" s="62"/>
      <c r="T85" s="62">
        <v>1</v>
      </c>
      <c r="U85" s="43">
        <v>2</v>
      </c>
      <c r="V85" s="43"/>
      <c r="W85" s="62"/>
      <c r="X85" s="62"/>
      <c r="Y85" s="63"/>
      <c r="Z85" s="73"/>
      <c r="AA85" s="25"/>
      <c r="AB85" s="25"/>
    </row>
    <row r="86" spans="2:28">
      <c r="B86" s="40" t="s">
        <v>433</v>
      </c>
      <c r="C86" s="40"/>
      <c r="D86" s="41">
        <v>1</v>
      </c>
      <c r="E86" s="42">
        <v>1</v>
      </c>
      <c r="F86" s="42" t="s">
        <v>37</v>
      </c>
      <c r="G86" s="43" t="s">
        <v>37</v>
      </c>
      <c r="H86" s="42" t="s">
        <v>254</v>
      </c>
      <c r="I86" s="43"/>
      <c r="J86" s="43">
        <v>4</v>
      </c>
      <c r="K86" s="25" t="str">
        <f>VLOOKUP(J86,Key!$E$2:$F$9,2,FALSE)</f>
        <v>Commercial</v>
      </c>
      <c r="L86" s="42" t="s">
        <v>38</v>
      </c>
      <c r="M86" s="43" t="s">
        <v>37</v>
      </c>
      <c r="N86" s="42" t="s">
        <v>254</v>
      </c>
      <c r="O86" s="43"/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62"/>
      <c r="T86" s="62">
        <v>1</v>
      </c>
      <c r="U86" s="43">
        <v>3</v>
      </c>
      <c r="V86" s="43"/>
      <c r="W86" s="62"/>
      <c r="X86" s="62"/>
      <c r="Y86" s="63"/>
      <c r="Z86" s="73"/>
      <c r="AA86" s="25"/>
      <c r="AB86" s="25"/>
    </row>
    <row r="87" spans="2:28">
      <c r="B87" s="40" t="s">
        <v>502</v>
      </c>
      <c r="C87" s="40"/>
      <c r="D87" s="41">
        <v>1</v>
      </c>
      <c r="E87" s="42">
        <v>1</v>
      </c>
      <c r="F87" s="42" t="s">
        <v>37</v>
      </c>
      <c r="G87" s="43" t="s">
        <v>37</v>
      </c>
      <c r="H87" s="42" t="s">
        <v>254</v>
      </c>
      <c r="I87" s="43"/>
      <c r="J87" s="43">
        <v>2</v>
      </c>
      <c r="K87" s="25" t="str">
        <f>VLOOKUP(J87,Key!$E$2:$F$9,2,FALSE)</f>
        <v>Work</v>
      </c>
      <c r="L87" s="42" t="s">
        <v>38</v>
      </c>
      <c r="M87" s="43" t="s">
        <v>37</v>
      </c>
      <c r="N87" s="42" t="s">
        <v>254</v>
      </c>
      <c r="O87" s="43"/>
      <c r="P87" s="43">
        <v>3</v>
      </c>
      <c r="Q87" s="25" t="str">
        <f>VLOOKUP(P87,Key!$E$2:$F$9,2,FALSE)</f>
        <v>Study</v>
      </c>
      <c r="R87" s="25" t="str">
        <f t="shared" si="1"/>
        <v>Work-Study</v>
      </c>
      <c r="S87" s="62"/>
      <c r="T87" s="62">
        <v>1</v>
      </c>
      <c r="U87" s="43">
        <v>2</v>
      </c>
      <c r="V87" s="43"/>
      <c r="W87" s="62"/>
      <c r="X87" s="62"/>
      <c r="Y87" s="63"/>
      <c r="Z87" s="73"/>
      <c r="AA87" s="25"/>
      <c r="AB87" s="25"/>
    </row>
    <row r="88" spans="2:28">
      <c r="B88" s="40">
        <v>0.77638888888888891</v>
      </c>
      <c r="C88" s="40"/>
      <c r="D88" s="41">
        <v>3</v>
      </c>
      <c r="E88" s="42">
        <v>1</v>
      </c>
      <c r="F88" s="42" t="s">
        <v>37</v>
      </c>
      <c r="G88" s="43" t="s">
        <v>37</v>
      </c>
      <c r="H88" s="42" t="s">
        <v>254</v>
      </c>
      <c r="I88" s="43"/>
      <c r="J88" s="43">
        <v>1</v>
      </c>
      <c r="K88" s="25" t="str">
        <f>VLOOKUP(J88,Key!$E$2:$F$9,2,FALSE)</f>
        <v>Home</v>
      </c>
      <c r="L88" s="42" t="s">
        <v>38</v>
      </c>
      <c r="M88" s="43" t="s">
        <v>37</v>
      </c>
      <c r="N88" s="42" t="s">
        <v>254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62"/>
      <c r="T88" s="62">
        <v>0</v>
      </c>
      <c r="U88" s="43">
        <v>2</v>
      </c>
      <c r="V88" s="43"/>
      <c r="W88" s="62"/>
      <c r="X88" s="62"/>
      <c r="Y88" s="63"/>
      <c r="Z88" s="73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73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73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73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73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73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73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73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73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73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73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73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73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73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43"/>
      <c r="V102" s="43"/>
      <c r="W102" s="62"/>
      <c r="X102" s="62"/>
      <c r="Y102" s="63"/>
      <c r="Z102" s="73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43"/>
      <c r="V103" s="43"/>
      <c r="W103" s="62"/>
      <c r="X103" s="62"/>
      <c r="Y103" s="63"/>
      <c r="Z103" s="73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73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73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73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73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73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73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73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73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270"/>
  <sheetViews>
    <sheetView zoomScale="75" zoomScaleNormal="75" zoomScaleSheetLayoutView="80" workbookViewId="0">
      <selection activeCell="B9" sqref="B9:AB6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2:35" ht="15" customHeight="1">
      <c r="B4" s="26" t="s">
        <v>2</v>
      </c>
      <c r="C4" s="38" t="s">
        <v>572</v>
      </c>
      <c r="E4" s="1" t="s">
        <v>153</v>
      </c>
      <c r="F4" s="124" t="str">
        <f>'8.8 BWERA-KIKORONGO'!F4:G4</f>
        <v>BWERA-MPONDWE</v>
      </c>
      <c r="G4" s="125"/>
      <c r="I4" s="27" t="s">
        <v>154</v>
      </c>
      <c r="J4" s="5"/>
      <c r="K4" s="5"/>
      <c r="L4" s="66" t="s">
        <v>568</v>
      </c>
      <c r="M4" s="80"/>
      <c r="N4" s="1" t="s">
        <v>156</v>
      </c>
      <c r="O4" s="126" t="s">
        <v>237</v>
      </c>
      <c r="P4" s="127"/>
      <c r="Q4" s="127"/>
      <c r="R4" s="127"/>
      <c r="S4" s="127"/>
      <c r="T4" s="127"/>
      <c r="V4" s="1" t="s">
        <v>157</v>
      </c>
      <c r="W4" s="69" t="str">
        <f>'8.8 BWERA-KIKORONGO'!W4</f>
        <v>Isaac</v>
      </c>
      <c r="Y4" s="27" t="s">
        <v>6</v>
      </c>
      <c r="Z4" s="39" t="str">
        <f>'8.8 BWERA-KIKORONGO'!Z4</f>
        <v>Sheba N</v>
      </c>
      <c r="AA4" s="32" t="s">
        <v>7</v>
      </c>
      <c r="AB4" s="39" t="str">
        <f>'8.8 BWERA-KIKORONGO'!AB4</f>
        <v>Bakole</v>
      </c>
      <c r="AE4" s="10"/>
      <c r="AF4" s="5"/>
    </row>
    <row r="5" spans="2:35" ht="15" customHeight="1">
      <c r="B5" s="80"/>
      <c r="C5" s="80"/>
      <c r="D5" s="80"/>
      <c r="E5" s="22"/>
      <c r="F5" s="80"/>
      <c r="G5" s="80"/>
      <c r="I5" s="28" t="s">
        <v>155</v>
      </c>
      <c r="J5" s="80"/>
      <c r="K5" s="80"/>
      <c r="L5" s="67" t="s">
        <v>569</v>
      </c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81" t="s">
        <v>158</v>
      </c>
      <c r="G8" s="81" t="s">
        <v>145</v>
      </c>
      <c r="H8" s="24" t="s">
        <v>146</v>
      </c>
      <c r="I8" s="131"/>
      <c r="J8" s="122"/>
      <c r="K8" s="122"/>
      <c r="L8" s="81" t="s">
        <v>158</v>
      </c>
      <c r="M8" s="81" t="s">
        <v>145</v>
      </c>
      <c r="N8" s="81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40">
        <v>0.31944444444444448</v>
      </c>
      <c r="C9" s="40"/>
      <c r="D9" s="41">
        <v>2</v>
      </c>
      <c r="E9" s="41">
        <v>1</v>
      </c>
      <c r="F9" s="42" t="s">
        <v>38</v>
      </c>
      <c r="G9" s="42" t="s">
        <v>37</v>
      </c>
      <c r="H9" s="42" t="s">
        <v>254</v>
      </c>
      <c r="I9" s="42"/>
      <c r="J9" s="42">
        <v>1</v>
      </c>
      <c r="K9" s="25" t="str">
        <f>VLOOKUP(J9,[2]Key!$E$2:$F$9,2,FALSE)</f>
        <v>Home</v>
      </c>
      <c r="L9" s="42" t="s">
        <v>241</v>
      </c>
      <c r="M9" s="43" t="s">
        <v>241</v>
      </c>
      <c r="N9" s="43" t="s">
        <v>254</v>
      </c>
      <c r="O9" s="43"/>
      <c r="P9" s="43">
        <v>1</v>
      </c>
      <c r="Q9" s="25" t="str">
        <f>VLOOKUP(P9,[2]Key!$E$2:$F$9,2,FALSE)</f>
        <v>Home</v>
      </c>
      <c r="R9" s="25" t="str">
        <f>K9&amp;"-"&amp;Q9</f>
        <v>Home-Home</v>
      </c>
      <c r="S9" s="62"/>
      <c r="T9" s="62">
        <v>2</v>
      </c>
      <c r="U9" s="72">
        <v>1</v>
      </c>
      <c r="V9" s="72"/>
      <c r="W9" s="62"/>
      <c r="X9" s="62"/>
      <c r="Y9" s="63"/>
      <c r="Z9" s="73"/>
      <c r="AA9" s="25"/>
      <c r="AB9" s="25"/>
    </row>
    <row r="10" spans="2:35">
      <c r="B10" s="40" t="s">
        <v>505</v>
      </c>
      <c r="C10" s="40"/>
      <c r="D10" s="41">
        <v>4</v>
      </c>
      <c r="E10" s="41">
        <v>3</v>
      </c>
      <c r="F10" s="42" t="s">
        <v>38</v>
      </c>
      <c r="G10" s="42" t="s">
        <v>37</v>
      </c>
      <c r="H10" s="42" t="s">
        <v>254</v>
      </c>
      <c r="I10" s="42"/>
      <c r="J10" s="42">
        <v>1</v>
      </c>
      <c r="K10" s="25" t="str">
        <f>VLOOKUP(J10,[2]Key!$E$2:$F$9,2,FALSE)</f>
        <v>Home</v>
      </c>
      <c r="L10" s="42" t="s">
        <v>37</v>
      </c>
      <c r="M10" s="43" t="s">
        <v>37</v>
      </c>
      <c r="N10" s="43" t="s">
        <v>254</v>
      </c>
      <c r="O10" s="43"/>
      <c r="P10" s="43">
        <v>1</v>
      </c>
      <c r="Q10" s="25" t="str">
        <f>VLOOKUP(P10,[2]Key!$E$2:$F$9,2,FALSE)</f>
        <v>Home</v>
      </c>
      <c r="R10" s="25" t="str">
        <f t="shared" ref="R10:R62" si="0">K10&amp;"-"&amp;Q10</f>
        <v>Home-Home</v>
      </c>
      <c r="S10" s="62"/>
      <c r="T10" s="62">
        <v>0.83333333333333337</v>
      </c>
      <c r="U10" s="72">
        <v>2</v>
      </c>
      <c r="V10" s="72"/>
      <c r="W10" s="62"/>
      <c r="X10" s="62"/>
      <c r="Y10" s="63"/>
      <c r="Z10" s="73"/>
      <c r="AA10" s="25"/>
      <c r="AB10" s="25"/>
    </row>
    <row r="11" spans="2:35">
      <c r="B11" s="40" t="s">
        <v>506</v>
      </c>
      <c r="C11" s="40"/>
      <c r="D11" s="41">
        <v>3</v>
      </c>
      <c r="E11" s="41">
        <v>5</v>
      </c>
      <c r="F11" s="42" t="s">
        <v>38</v>
      </c>
      <c r="G11" s="42" t="s">
        <v>37</v>
      </c>
      <c r="H11" s="42" t="s">
        <v>254</v>
      </c>
      <c r="I11" s="42"/>
      <c r="J11" s="42">
        <v>1</v>
      </c>
      <c r="K11" s="25" t="str">
        <f>VLOOKUP(J11,[2]Key!$E$2:$F$9,2,FALSE)</f>
        <v>Home</v>
      </c>
      <c r="L11" s="42" t="s">
        <v>37</v>
      </c>
      <c r="M11" s="43" t="s">
        <v>37</v>
      </c>
      <c r="N11" s="43" t="s">
        <v>254</v>
      </c>
      <c r="O11" s="43"/>
      <c r="P11" s="43">
        <v>1</v>
      </c>
      <c r="Q11" s="25" t="str">
        <f>VLOOKUP(P11,[2]Key!$E$2:$F$9,2,FALSE)</f>
        <v>Home</v>
      </c>
      <c r="R11" s="25" t="str">
        <f t="shared" si="0"/>
        <v>Home-Home</v>
      </c>
      <c r="S11" s="62"/>
      <c r="T11" s="62">
        <v>2</v>
      </c>
      <c r="U11" s="72">
        <v>3</v>
      </c>
      <c r="V11" s="72">
        <v>3</v>
      </c>
      <c r="W11" s="62"/>
      <c r="X11" s="62"/>
      <c r="Y11" s="63"/>
      <c r="Z11" s="73"/>
      <c r="AA11" s="25"/>
      <c r="AB11" s="25"/>
    </row>
    <row r="12" spans="2:35">
      <c r="B12" s="40" t="s">
        <v>507</v>
      </c>
      <c r="C12" s="40"/>
      <c r="D12" s="41">
        <v>3</v>
      </c>
      <c r="E12" s="41">
        <v>3</v>
      </c>
      <c r="F12" s="42" t="s">
        <v>256</v>
      </c>
      <c r="G12" s="42" t="s">
        <v>37</v>
      </c>
      <c r="H12" s="42" t="s">
        <v>254</v>
      </c>
      <c r="I12" s="42"/>
      <c r="J12" s="42">
        <v>1</v>
      </c>
      <c r="K12" s="25" t="str">
        <f>VLOOKUP(J12,[2]Key!$E$2:$F$9,2,FALSE)</f>
        <v>Home</v>
      </c>
      <c r="L12" s="42" t="s">
        <v>37</v>
      </c>
      <c r="M12" s="43" t="s">
        <v>37</v>
      </c>
      <c r="N12" s="43" t="s">
        <v>254</v>
      </c>
      <c r="O12" s="43"/>
      <c r="P12" s="43">
        <v>1</v>
      </c>
      <c r="Q12" s="25" t="str">
        <f>VLOOKUP(P12,[2]Key!$E$2:$F$9,2,FALSE)</f>
        <v>Home</v>
      </c>
      <c r="R12" s="25" t="str">
        <f t="shared" si="0"/>
        <v>Home-Home</v>
      </c>
      <c r="S12" s="62"/>
      <c r="T12" s="62">
        <v>1</v>
      </c>
      <c r="U12" s="72">
        <v>4</v>
      </c>
      <c r="V12" s="72">
        <v>6</v>
      </c>
      <c r="W12" s="62"/>
      <c r="X12" s="62"/>
      <c r="Y12" s="63"/>
      <c r="Z12" s="73"/>
      <c r="AA12" s="25"/>
      <c r="AB12" s="25"/>
    </row>
    <row r="13" spans="2:35">
      <c r="B13" s="40" t="s">
        <v>449</v>
      </c>
      <c r="C13" s="40"/>
      <c r="D13" s="41">
        <v>4</v>
      </c>
      <c r="E13" s="41">
        <v>4</v>
      </c>
      <c r="F13" s="42" t="s">
        <v>260</v>
      </c>
      <c r="G13" s="42" t="s">
        <v>37</v>
      </c>
      <c r="H13" s="42" t="s">
        <v>254</v>
      </c>
      <c r="I13" s="42"/>
      <c r="J13" s="42">
        <v>1</v>
      </c>
      <c r="K13" s="25" t="str">
        <f>VLOOKUP(J13,[2]Key!$E$2:$F$9,2,FALSE)</f>
        <v>Home</v>
      </c>
      <c r="L13" s="42" t="s">
        <v>37</v>
      </c>
      <c r="M13" s="43" t="s">
        <v>37</v>
      </c>
      <c r="N13" s="43" t="s">
        <v>254</v>
      </c>
      <c r="O13" s="43"/>
      <c r="P13" s="43">
        <v>1</v>
      </c>
      <c r="Q13" s="25" t="str">
        <f>VLOOKUP(P13,[2]Key!$E$2:$F$9,2,FALSE)</f>
        <v>Home</v>
      </c>
      <c r="R13" s="25" t="str">
        <f t="shared" si="0"/>
        <v>Home-Home</v>
      </c>
      <c r="S13" s="62"/>
      <c r="T13" s="62">
        <v>3</v>
      </c>
      <c r="U13" s="72">
        <v>3</v>
      </c>
      <c r="V13" s="72"/>
      <c r="W13" s="62"/>
      <c r="X13" s="62"/>
      <c r="Y13" s="63"/>
      <c r="Z13" s="73"/>
      <c r="AA13" s="25"/>
      <c r="AB13" s="25"/>
    </row>
    <row r="14" spans="2:35">
      <c r="B14" s="40" t="s">
        <v>508</v>
      </c>
      <c r="C14" s="40"/>
      <c r="D14" s="41">
        <v>2</v>
      </c>
      <c r="E14" s="41">
        <v>4</v>
      </c>
      <c r="F14" s="42" t="s">
        <v>38</v>
      </c>
      <c r="G14" s="42" t="s">
        <v>37</v>
      </c>
      <c r="H14" s="42" t="s">
        <v>254</v>
      </c>
      <c r="I14" s="42"/>
      <c r="J14" s="42">
        <v>1</v>
      </c>
      <c r="K14" s="25" t="str">
        <f>VLOOKUP(J14,[2]Key!$E$2:$F$9,2,FALSE)</f>
        <v>Home</v>
      </c>
      <c r="L14" s="42" t="s">
        <v>241</v>
      </c>
      <c r="M14" s="43" t="s">
        <v>241</v>
      </c>
      <c r="N14" s="43" t="s">
        <v>254</v>
      </c>
      <c r="O14" s="43"/>
      <c r="P14" s="43">
        <v>1</v>
      </c>
      <c r="Q14" s="25" t="str">
        <f>VLOOKUP(P14,[2]Key!$E$2:$F$9,2,FALSE)</f>
        <v>Home</v>
      </c>
      <c r="R14" s="25" t="str">
        <f t="shared" si="0"/>
        <v>Home-Home</v>
      </c>
      <c r="S14" s="62"/>
      <c r="T14" s="62">
        <v>2</v>
      </c>
      <c r="U14" s="72">
        <v>5</v>
      </c>
      <c r="V14" s="72"/>
      <c r="W14" s="62"/>
      <c r="X14" s="62"/>
      <c r="Y14" s="63"/>
      <c r="Z14" s="73"/>
      <c r="AA14" s="25"/>
      <c r="AB14" s="25"/>
    </row>
    <row r="15" spans="2:35">
      <c r="B15" s="40" t="s">
        <v>262</v>
      </c>
      <c r="C15" s="40"/>
      <c r="D15" s="41">
        <v>1</v>
      </c>
      <c r="E15" s="41">
        <v>1</v>
      </c>
      <c r="F15" s="42" t="s">
        <v>509</v>
      </c>
      <c r="G15" s="42" t="s">
        <v>37</v>
      </c>
      <c r="H15" s="42" t="s">
        <v>254</v>
      </c>
      <c r="I15" s="42"/>
      <c r="J15" s="42">
        <v>1</v>
      </c>
      <c r="K15" s="25" t="str">
        <f>VLOOKUP(J15,[2]Key!$E$2:$F$9,2,FALSE)</f>
        <v>Home</v>
      </c>
      <c r="L15" s="42" t="s">
        <v>37</v>
      </c>
      <c r="M15" s="43" t="s">
        <v>37</v>
      </c>
      <c r="N15" s="43" t="s">
        <v>254</v>
      </c>
      <c r="O15" s="43"/>
      <c r="P15" s="43">
        <v>1</v>
      </c>
      <c r="Q15" s="25" t="str">
        <f>VLOOKUP(P15,[2]Key!$E$2:$F$9,2,FALSE)</f>
        <v>Home</v>
      </c>
      <c r="R15" s="25" t="str">
        <f t="shared" si="0"/>
        <v>Home-Home</v>
      </c>
      <c r="S15" s="62"/>
      <c r="T15" s="62">
        <v>0</v>
      </c>
      <c r="U15" s="72">
        <v>3</v>
      </c>
      <c r="V15" s="72"/>
      <c r="W15" s="62"/>
      <c r="X15" s="62"/>
      <c r="Y15" s="63"/>
      <c r="Z15" s="73"/>
      <c r="AA15" s="25"/>
      <c r="AB15" s="25"/>
    </row>
    <row r="16" spans="2:35">
      <c r="B16" s="40" t="s">
        <v>510</v>
      </c>
      <c r="C16" s="40"/>
      <c r="D16" s="41">
        <v>3</v>
      </c>
      <c r="E16" s="41">
        <v>1</v>
      </c>
      <c r="F16" s="42" t="s">
        <v>511</v>
      </c>
      <c r="G16" s="42" t="s">
        <v>37</v>
      </c>
      <c r="H16" s="42" t="s">
        <v>254</v>
      </c>
      <c r="I16" s="42"/>
      <c r="J16" s="42">
        <v>1</v>
      </c>
      <c r="K16" s="25" t="str">
        <f>VLOOKUP(J16,[2]Key!$E$2:$F$9,2,FALSE)</f>
        <v>Home</v>
      </c>
      <c r="L16" s="42" t="s">
        <v>249</v>
      </c>
      <c r="M16" s="43" t="s">
        <v>37</v>
      </c>
      <c r="N16" s="43" t="s">
        <v>254</v>
      </c>
      <c r="O16" s="43"/>
      <c r="P16" s="43">
        <v>1</v>
      </c>
      <c r="Q16" s="25" t="str">
        <f>VLOOKUP(P16,[2]Key!$E$2:$F$9,2,FALSE)</f>
        <v>Home</v>
      </c>
      <c r="R16" s="25" t="str">
        <f t="shared" si="0"/>
        <v>Home-Home</v>
      </c>
      <c r="S16" s="62"/>
      <c r="T16" s="62">
        <v>2</v>
      </c>
      <c r="U16" s="72">
        <v>2</v>
      </c>
      <c r="V16" s="72"/>
      <c r="W16" s="62"/>
      <c r="X16" s="62"/>
      <c r="Y16" s="63"/>
      <c r="Z16" s="73"/>
      <c r="AA16" s="25"/>
      <c r="AB16" s="25"/>
    </row>
    <row r="17" spans="2:28">
      <c r="B17" s="40" t="s">
        <v>264</v>
      </c>
      <c r="C17" s="40"/>
      <c r="D17" s="41">
        <v>2</v>
      </c>
      <c r="E17" s="41">
        <v>1</v>
      </c>
      <c r="F17" s="42" t="s">
        <v>38</v>
      </c>
      <c r="G17" s="42" t="s">
        <v>37</v>
      </c>
      <c r="H17" s="42" t="s">
        <v>254</v>
      </c>
      <c r="I17" s="42"/>
      <c r="J17" s="42">
        <v>1</v>
      </c>
      <c r="K17" s="25" t="str">
        <f>VLOOKUP(J17,[2]Key!$E$2:$F$9,2,FALSE)</f>
        <v>Home</v>
      </c>
      <c r="L17" s="42" t="s">
        <v>37</v>
      </c>
      <c r="M17" s="43" t="s">
        <v>37</v>
      </c>
      <c r="N17" s="43" t="s">
        <v>254</v>
      </c>
      <c r="O17" s="43"/>
      <c r="P17" s="43">
        <v>1</v>
      </c>
      <c r="Q17" s="25" t="str">
        <f>VLOOKUP(P17,[2]Key!$E$2:$F$9,2,FALSE)</f>
        <v>Home</v>
      </c>
      <c r="R17" s="25" t="str">
        <f t="shared" si="0"/>
        <v>Home-Home</v>
      </c>
      <c r="S17" s="62"/>
      <c r="T17" s="62">
        <v>4</v>
      </c>
      <c r="U17" s="72">
        <v>4</v>
      </c>
      <c r="V17" s="72">
        <v>5</v>
      </c>
      <c r="W17" s="62"/>
      <c r="X17" s="62"/>
      <c r="Y17" s="63"/>
      <c r="Z17" s="73"/>
      <c r="AA17" s="25"/>
      <c r="AB17" s="25"/>
    </row>
    <row r="18" spans="2:28">
      <c r="B18" s="40" t="s">
        <v>512</v>
      </c>
      <c r="C18" s="40"/>
      <c r="D18" s="41">
        <v>3</v>
      </c>
      <c r="E18" s="41">
        <v>11</v>
      </c>
      <c r="F18" s="42" t="s">
        <v>38</v>
      </c>
      <c r="G18" s="42" t="s">
        <v>37</v>
      </c>
      <c r="H18" s="42" t="s">
        <v>254</v>
      </c>
      <c r="I18" s="42"/>
      <c r="J18" s="42">
        <v>1</v>
      </c>
      <c r="K18" s="25" t="str">
        <f>VLOOKUP(J18,[2]Key!$E$2:$F$9,2,FALSE)</f>
        <v>Home</v>
      </c>
      <c r="L18" s="42" t="s">
        <v>37</v>
      </c>
      <c r="M18" s="43" t="s">
        <v>37</v>
      </c>
      <c r="N18" s="43" t="s">
        <v>254</v>
      </c>
      <c r="O18" s="43"/>
      <c r="P18" s="43">
        <v>1</v>
      </c>
      <c r="Q18" s="25" t="str">
        <f>VLOOKUP(P18,[2]Key!$E$2:$F$9,2,FALSE)</f>
        <v>Home</v>
      </c>
      <c r="R18" s="25" t="str">
        <f t="shared" si="0"/>
        <v>Home-Home</v>
      </c>
      <c r="S18" s="62"/>
      <c r="T18" s="62">
        <v>0</v>
      </c>
      <c r="U18" s="72">
        <v>3</v>
      </c>
      <c r="V18" s="72"/>
      <c r="W18" s="62"/>
      <c r="X18" s="62"/>
      <c r="Y18" s="63"/>
      <c r="Z18" s="73"/>
      <c r="AA18" s="25"/>
      <c r="AB18" s="25"/>
    </row>
    <row r="19" spans="2:28">
      <c r="B19" s="40" t="s">
        <v>513</v>
      </c>
      <c r="C19" s="40"/>
      <c r="D19" s="41">
        <v>3</v>
      </c>
      <c r="E19" s="41">
        <v>11</v>
      </c>
      <c r="F19" s="42" t="s">
        <v>38</v>
      </c>
      <c r="G19" s="42" t="s">
        <v>37</v>
      </c>
      <c r="H19" s="42" t="s">
        <v>254</v>
      </c>
      <c r="I19" s="42"/>
      <c r="J19" s="42">
        <v>1</v>
      </c>
      <c r="K19" s="25" t="str">
        <f>VLOOKUP(J19,[2]Key!$E$2:$F$9,2,FALSE)</f>
        <v>Home</v>
      </c>
      <c r="L19" s="42" t="s">
        <v>37</v>
      </c>
      <c r="M19" s="43" t="s">
        <v>37</v>
      </c>
      <c r="N19" s="43" t="s">
        <v>254</v>
      </c>
      <c r="O19" s="43"/>
      <c r="P19" s="43">
        <v>1</v>
      </c>
      <c r="Q19" s="25" t="str">
        <f>VLOOKUP(P19,[2]Key!$E$2:$F$9,2,FALSE)</f>
        <v>Home</v>
      </c>
      <c r="R19" s="25" t="str">
        <f t="shared" si="0"/>
        <v>Home-Home</v>
      </c>
      <c r="S19" s="62"/>
      <c r="T19" s="62">
        <v>1</v>
      </c>
      <c r="U19" s="72">
        <v>2</v>
      </c>
      <c r="V19" s="72">
        <v>1</v>
      </c>
      <c r="W19" s="62"/>
      <c r="X19" s="62"/>
      <c r="Y19" s="63"/>
      <c r="Z19" s="73"/>
      <c r="AA19" s="25"/>
      <c r="AB19" s="25"/>
    </row>
    <row r="20" spans="2:28">
      <c r="B20" s="40" t="s">
        <v>514</v>
      </c>
      <c r="C20" s="40"/>
      <c r="D20" s="41">
        <v>2</v>
      </c>
      <c r="E20" s="41">
        <v>1</v>
      </c>
      <c r="F20" s="42" t="s">
        <v>515</v>
      </c>
      <c r="G20" s="42" t="s">
        <v>37</v>
      </c>
      <c r="H20" s="42" t="s">
        <v>254</v>
      </c>
      <c r="I20" s="42"/>
      <c r="J20" s="42">
        <v>1</v>
      </c>
      <c r="K20" s="25" t="str">
        <f>VLOOKUP(J20,[2]Key!$E$2:$F$9,2,FALSE)</f>
        <v>Home</v>
      </c>
      <c r="L20" s="42" t="s">
        <v>37</v>
      </c>
      <c r="M20" s="43" t="s">
        <v>37</v>
      </c>
      <c r="N20" s="43" t="s">
        <v>254</v>
      </c>
      <c r="O20" s="43"/>
      <c r="P20" s="43">
        <v>1</v>
      </c>
      <c r="Q20" s="25" t="str">
        <f>VLOOKUP(P20,[2]Key!$E$2:$F$9,2,FALSE)</f>
        <v>Home</v>
      </c>
      <c r="R20" s="25" t="str">
        <f t="shared" si="0"/>
        <v>Home-Home</v>
      </c>
      <c r="S20" s="62"/>
      <c r="T20" s="62">
        <v>0</v>
      </c>
      <c r="U20" s="72">
        <v>4</v>
      </c>
      <c r="V20" s="72"/>
      <c r="W20" s="62"/>
      <c r="X20" s="62"/>
      <c r="Y20" s="63"/>
      <c r="Z20" s="73"/>
      <c r="AA20" s="25"/>
      <c r="AB20" s="25"/>
    </row>
    <row r="21" spans="2:28">
      <c r="B21" s="40" t="s">
        <v>454</v>
      </c>
      <c r="C21" s="40"/>
      <c r="D21" s="41">
        <v>3</v>
      </c>
      <c r="E21" s="41">
        <v>1</v>
      </c>
      <c r="F21" s="42" t="s">
        <v>509</v>
      </c>
      <c r="G21" s="42" t="s">
        <v>37</v>
      </c>
      <c r="H21" s="42" t="s">
        <v>254</v>
      </c>
      <c r="I21" s="42"/>
      <c r="J21" s="42">
        <v>1</v>
      </c>
      <c r="K21" s="25" t="str">
        <f>VLOOKUP(J21,[2]Key!$E$2:$F$9,2,FALSE)</f>
        <v>Home</v>
      </c>
      <c r="L21" s="42" t="s">
        <v>37</v>
      </c>
      <c r="M21" s="43" t="s">
        <v>37</v>
      </c>
      <c r="N21" s="43" t="s">
        <v>254</v>
      </c>
      <c r="O21" s="43"/>
      <c r="P21" s="43">
        <v>1</v>
      </c>
      <c r="Q21" s="25" t="str">
        <f>VLOOKUP(P21,[2]Key!$E$2:$F$9,2,FALSE)</f>
        <v>Home</v>
      </c>
      <c r="R21" s="25" t="str">
        <f t="shared" si="0"/>
        <v>Home-Home</v>
      </c>
      <c r="S21" s="62"/>
      <c r="T21" s="62">
        <v>0</v>
      </c>
      <c r="U21" s="72">
        <v>3</v>
      </c>
      <c r="V21" s="72"/>
      <c r="W21" s="62"/>
      <c r="X21" s="62"/>
      <c r="Y21" s="63"/>
      <c r="Z21" s="73"/>
      <c r="AA21" s="25"/>
      <c r="AB21" s="25"/>
    </row>
    <row r="22" spans="2:28">
      <c r="B22" s="40" t="s">
        <v>516</v>
      </c>
      <c r="C22" s="40"/>
      <c r="D22" s="41">
        <v>4</v>
      </c>
      <c r="E22" s="41">
        <v>11</v>
      </c>
      <c r="F22" s="42" t="s">
        <v>38</v>
      </c>
      <c r="G22" s="42" t="s">
        <v>37</v>
      </c>
      <c r="H22" s="42" t="s">
        <v>254</v>
      </c>
      <c r="I22" s="42"/>
      <c r="J22" s="42">
        <v>1</v>
      </c>
      <c r="K22" s="25" t="str">
        <f>VLOOKUP(J22,[2]Key!$E$2:$F$9,2,FALSE)</f>
        <v>Home</v>
      </c>
      <c r="L22" s="42" t="s">
        <v>37</v>
      </c>
      <c r="M22" s="43" t="s">
        <v>37</v>
      </c>
      <c r="N22" s="43" t="s">
        <v>254</v>
      </c>
      <c r="O22" s="43"/>
      <c r="P22" s="43">
        <v>1</v>
      </c>
      <c r="Q22" s="25" t="str">
        <f>VLOOKUP(P22,[2]Key!$E$2:$F$9,2,FALSE)</f>
        <v>Home</v>
      </c>
      <c r="R22" s="25" t="str">
        <f t="shared" si="0"/>
        <v>Home-Home</v>
      </c>
      <c r="S22" s="62"/>
      <c r="T22" s="62">
        <v>0</v>
      </c>
      <c r="U22" s="72">
        <v>2</v>
      </c>
      <c r="V22" s="72"/>
      <c r="W22" s="62"/>
      <c r="X22" s="62"/>
      <c r="Y22" s="63"/>
      <c r="Z22" s="73"/>
      <c r="AA22" s="25"/>
      <c r="AB22" s="25"/>
    </row>
    <row r="23" spans="2:28">
      <c r="B23" s="40" t="s">
        <v>269</v>
      </c>
      <c r="C23" s="40"/>
      <c r="D23" s="41">
        <v>2</v>
      </c>
      <c r="E23" s="41">
        <v>1</v>
      </c>
      <c r="F23" s="42" t="s">
        <v>515</v>
      </c>
      <c r="G23" s="42" t="s">
        <v>37</v>
      </c>
      <c r="H23" s="42" t="s">
        <v>254</v>
      </c>
      <c r="I23" s="42"/>
      <c r="J23" s="42">
        <v>1</v>
      </c>
      <c r="K23" s="25" t="str">
        <f>VLOOKUP(J23,[2]Key!$E$2:$F$9,2,FALSE)</f>
        <v>Home</v>
      </c>
      <c r="L23" s="42" t="s">
        <v>37</v>
      </c>
      <c r="M23" s="43" t="s">
        <v>37</v>
      </c>
      <c r="N23" s="43" t="s">
        <v>254</v>
      </c>
      <c r="O23" s="43"/>
      <c r="P23" s="43">
        <v>1</v>
      </c>
      <c r="Q23" s="25" t="str">
        <f>VLOOKUP(P23,[2]Key!$E$2:$F$9,2,FALSE)</f>
        <v>Home</v>
      </c>
      <c r="R23" s="25" t="str">
        <f t="shared" si="0"/>
        <v>Home-Home</v>
      </c>
      <c r="S23" s="62"/>
      <c r="T23" s="62">
        <v>0</v>
      </c>
      <c r="U23" s="72">
        <v>1</v>
      </c>
      <c r="V23" s="72"/>
      <c r="W23" s="62"/>
      <c r="X23" s="62"/>
      <c r="Y23" s="63"/>
      <c r="Z23" s="73"/>
      <c r="AA23" s="25"/>
      <c r="AB23" s="25"/>
    </row>
    <row r="24" spans="2:28">
      <c r="B24" s="40" t="s">
        <v>456</v>
      </c>
      <c r="C24" s="40"/>
      <c r="D24" s="41">
        <v>2</v>
      </c>
      <c r="E24" s="41">
        <v>1</v>
      </c>
      <c r="F24" s="42" t="s">
        <v>38</v>
      </c>
      <c r="G24" s="42" t="s">
        <v>37</v>
      </c>
      <c r="H24" s="42" t="s">
        <v>254</v>
      </c>
      <c r="I24" s="42"/>
      <c r="J24" s="42">
        <v>2</v>
      </c>
      <c r="K24" s="25" t="str">
        <f>VLOOKUP(J24,[2]Key!$E$2:$F$9,2,FALSE)</f>
        <v>Work</v>
      </c>
      <c r="L24" s="42" t="s">
        <v>37</v>
      </c>
      <c r="M24" s="43" t="s">
        <v>37</v>
      </c>
      <c r="N24" s="43" t="s">
        <v>254</v>
      </c>
      <c r="O24" s="43"/>
      <c r="P24" s="43">
        <v>2</v>
      </c>
      <c r="Q24" s="25" t="str">
        <f>VLOOKUP(P24,[2]Key!$E$2:$F$9,2,FALSE)</f>
        <v>Work</v>
      </c>
      <c r="R24" s="25" t="str">
        <f t="shared" si="0"/>
        <v>Work-Work</v>
      </c>
      <c r="S24" s="62"/>
      <c r="T24" s="62">
        <v>0</v>
      </c>
      <c r="U24" s="72">
        <v>1</v>
      </c>
      <c r="V24" s="72">
        <v>2</v>
      </c>
      <c r="W24" s="62"/>
      <c r="X24" s="62"/>
      <c r="Y24" s="63"/>
      <c r="Z24" s="73"/>
      <c r="AA24" s="25"/>
      <c r="AB24" s="25"/>
    </row>
    <row r="25" spans="2:28">
      <c r="B25" s="40" t="s">
        <v>273</v>
      </c>
      <c r="C25" s="40"/>
      <c r="D25" s="41">
        <v>1</v>
      </c>
      <c r="E25" s="41">
        <v>1</v>
      </c>
      <c r="F25" s="42" t="s">
        <v>515</v>
      </c>
      <c r="G25" s="42" t="s">
        <v>37</v>
      </c>
      <c r="H25" s="42" t="s">
        <v>254</v>
      </c>
      <c r="I25" s="42"/>
      <c r="J25" s="42">
        <v>2</v>
      </c>
      <c r="K25" s="25" t="str">
        <f>VLOOKUP(J25,[2]Key!$E$2:$F$9,2,FALSE)</f>
        <v>Work</v>
      </c>
      <c r="L25" s="42" t="s">
        <v>37</v>
      </c>
      <c r="M25" s="43" t="s">
        <v>37</v>
      </c>
      <c r="N25" s="43" t="s">
        <v>254</v>
      </c>
      <c r="O25" s="43"/>
      <c r="P25" s="43">
        <v>2</v>
      </c>
      <c r="Q25" s="25" t="str">
        <f>VLOOKUP(P25,[2]Key!$E$2:$F$9,2,FALSE)</f>
        <v>Work</v>
      </c>
      <c r="R25" s="25" t="str">
        <f t="shared" si="0"/>
        <v>Work-Work</v>
      </c>
      <c r="S25" s="62"/>
      <c r="T25" s="62">
        <v>0</v>
      </c>
      <c r="U25" s="72">
        <v>1</v>
      </c>
      <c r="V25" s="72"/>
      <c r="W25" s="62"/>
      <c r="X25" s="62"/>
      <c r="Y25" s="63"/>
      <c r="Z25" s="73"/>
      <c r="AA25" s="25"/>
      <c r="AB25" s="25"/>
    </row>
    <row r="26" spans="2:28">
      <c r="B26" s="40" t="s">
        <v>274</v>
      </c>
      <c r="C26" s="40"/>
      <c r="D26" s="41">
        <v>3</v>
      </c>
      <c r="E26" s="41">
        <v>11</v>
      </c>
      <c r="F26" s="42" t="s">
        <v>260</v>
      </c>
      <c r="G26" s="42" t="s">
        <v>37</v>
      </c>
      <c r="H26" s="42" t="s">
        <v>254</v>
      </c>
      <c r="I26" s="42"/>
      <c r="J26" s="42">
        <v>2</v>
      </c>
      <c r="K26" s="25" t="str">
        <f>VLOOKUP(J26,[2]Key!$E$2:$F$9,2,FALSE)</f>
        <v>Work</v>
      </c>
      <c r="L26" s="42" t="s">
        <v>37</v>
      </c>
      <c r="M26" s="43" t="s">
        <v>37</v>
      </c>
      <c r="N26" s="43" t="s">
        <v>254</v>
      </c>
      <c r="O26" s="43"/>
      <c r="P26" s="43">
        <v>2</v>
      </c>
      <c r="Q26" s="25" t="str">
        <f>VLOOKUP(P26,[2]Key!$E$2:$F$9,2,FALSE)</f>
        <v>Work</v>
      </c>
      <c r="R26" s="25" t="str">
        <f t="shared" si="0"/>
        <v>Work-Work</v>
      </c>
      <c r="S26" s="62"/>
      <c r="T26" s="62">
        <v>3</v>
      </c>
      <c r="U26" s="72">
        <v>1</v>
      </c>
      <c r="V26" s="72">
        <v>1</v>
      </c>
      <c r="W26" s="62"/>
      <c r="X26" s="62"/>
      <c r="Y26" s="63"/>
      <c r="Z26" s="73"/>
      <c r="AA26" s="25"/>
      <c r="AB26" s="25"/>
    </row>
    <row r="27" spans="2:28">
      <c r="B27" s="40" t="s">
        <v>401</v>
      </c>
      <c r="C27" s="40"/>
      <c r="D27" s="41">
        <v>2</v>
      </c>
      <c r="E27" s="41">
        <v>1</v>
      </c>
      <c r="F27" s="42" t="s">
        <v>517</v>
      </c>
      <c r="G27" s="42" t="s">
        <v>37</v>
      </c>
      <c r="H27" s="42" t="s">
        <v>254</v>
      </c>
      <c r="I27" s="42"/>
      <c r="J27" s="42">
        <v>2</v>
      </c>
      <c r="K27" s="25" t="str">
        <f>VLOOKUP(J27,[2]Key!$E$2:$F$9,2,FALSE)</f>
        <v>Work</v>
      </c>
      <c r="L27" s="42" t="s">
        <v>37</v>
      </c>
      <c r="M27" s="43" t="s">
        <v>37</v>
      </c>
      <c r="N27" s="43" t="s">
        <v>254</v>
      </c>
      <c r="O27" s="43"/>
      <c r="P27" s="43">
        <v>2</v>
      </c>
      <c r="Q27" s="25" t="str">
        <f>VLOOKUP(P27,[2]Key!$E$2:$F$9,2,FALSE)</f>
        <v>Work</v>
      </c>
      <c r="R27" s="25" t="str">
        <f t="shared" si="0"/>
        <v>Work-Work</v>
      </c>
      <c r="S27" s="62"/>
      <c r="T27" s="62">
        <v>0</v>
      </c>
      <c r="U27" s="72">
        <v>1</v>
      </c>
      <c r="V27" s="72">
        <v>6</v>
      </c>
      <c r="W27" s="62"/>
      <c r="X27" s="62"/>
      <c r="Y27" s="63"/>
      <c r="Z27" s="73"/>
      <c r="AA27" s="25"/>
      <c r="AB27" s="25"/>
    </row>
    <row r="28" spans="2:28">
      <c r="B28" s="40" t="s">
        <v>518</v>
      </c>
      <c r="C28" s="40"/>
      <c r="D28" s="41">
        <v>1</v>
      </c>
      <c r="E28" s="41">
        <v>1</v>
      </c>
      <c r="F28" s="42" t="s">
        <v>38</v>
      </c>
      <c r="G28" s="42" t="s">
        <v>37</v>
      </c>
      <c r="H28" s="42" t="s">
        <v>254</v>
      </c>
      <c r="I28" s="42"/>
      <c r="J28" s="42">
        <v>2</v>
      </c>
      <c r="K28" s="25" t="str">
        <f>VLOOKUP(J28,[2]Key!$E$2:$F$9,2,FALSE)</f>
        <v>Work</v>
      </c>
      <c r="L28" s="42" t="s">
        <v>37</v>
      </c>
      <c r="M28" s="43" t="s">
        <v>37</v>
      </c>
      <c r="N28" s="43" t="s">
        <v>254</v>
      </c>
      <c r="O28" s="43"/>
      <c r="P28" s="43">
        <v>2</v>
      </c>
      <c r="Q28" s="25" t="str">
        <f>VLOOKUP(P28,[2]Key!$E$2:$F$9,2,FALSE)</f>
        <v>Work</v>
      </c>
      <c r="R28" s="25" t="str">
        <f t="shared" si="0"/>
        <v>Work-Work</v>
      </c>
      <c r="S28" s="62"/>
      <c r="T28" s="62">
        <v>0</v>
      </c>
      <c r="U28" s="72">
        <v>3</v>
      </c>
      <c r="V28" s="72"/>
      <c r="W28" s="62"/>
      <c r="X28" s="62"/>
      <c r="Y28" s="63"/>
      <c r="Z28" s="73"/>
      <c r="AA28" s="25"/>
      <c r="AB28" s="25"/>
    </row>
    <row r="29" spans="2:28">
      <c r="B29" s="40" t="s">
        <v>519</v>
      </c>
      <c r="C29" s="40"/>
      <c r="D29" s="41">
        <v>3</v>
      </c>
      <c r="E29" s="41">
        <v>1</v>
      </c>
      <c r="F29" s="42" t="s">
        <v>515</v>
      </c>
      <c r="G29" s="42" t="s">
        <v>37</v>
      </c>
      <c r="H29" s="42" t="s">
        <v>254</v>
      </c>
      <c r="I29" s="42"/>
      <c r="J29" s="42">
        <v>2</v>
      </c>
      <c r="K29" s="25" t="str">
        <f>VLOOKUP(J29,[2]Key!$E$2:$F$9,2,FALSE)</f>
        <v>Work</v>
      </c>
      <c r="L29" s="42" t="s">
        <v>37</v>
      </c>
      <c r="M29" s="43" t="s">
        <v>37</v>
      </c>
      <c r="N29" s="43" t="s">
        <v>254</v>
      </c>
      <c r="O29" s="43"/>
      <c r="P29" s="43">
        <v>2</v>
      </c>
      <c r="Q29" s="25" t="str">
        <f>VLOOKUP(P29,[2]Key!$E$2:$F$9,2,FALSE)</f>
        <v>Work</v>
      </c>
      <c r="R29" s="25" t="str">
        <f t="shared" si="0"/>
        <v>Work-Work</v>
      </c>
      <c r="S29" s="62"/>
      <c r="T29" s="62">
        <v>3</v>
      </c>
      <c r="U29" s="72">
        <v>4</v>
      </c>
      <c r="V29" s="72"/>
      <c r="W29" s="62"/>
      <c r="X29" s="62"/>
      <c r="Y29" s="63"/>
      <c r="Z29" s="73"/>
      <c r="AA29" s="25"/>
      <c r="AB29" s="25"/>
    </row>
    <row r="30" spans="2:28">
      <c r="B30" s="40" t="s">
        <v>520</v>
      </c>
      <c r="C30" s="40"/>
      <c r="D30" s="41">
        <v>5</v>
      </c>
      <c r="E30" s="41">
        <v>1</v>
      </c>
      <c r="F30" s="42" t="s">
        <v>38</v>
      </c>
      <c r="G30" s="42" t="s">
        <v>37</v>
      </c>
      <c r="H30" s="42" t="s">
        <v>254</v>
      </c>
      <c r="I30" s="42"/>
      <c r="J30" s="42">
        <v>2</v>
      </c>
      <c r="K30" s="25" t="str">
        <f>VLOOKUP(J30,[2]Key!$E$2:$F$9,2,FALSE)</f>
        <v>Work</v>
      </c>
      <c r="L30" s="42" t="s">
        <v>37</v>
      </c>
      <c r="M30" s="43" t="s">
        <v>37</v>
      </c>
      <c r="N30" s="43" t="s">
        <v>254</v>
      </c>
      <c r="O30" s="43"/>
      <c r="P30" s="43">
        <v>2</v>
      </c>
      <c r="Q30" s="25" t="str">
        <f>VLOOKUP(P30,[2]Key!$E$2:$F$9,2,FALSE)</f>
        <v>Work</v>
      </c>
      <c r="R30" s="25" t="str">
        <f t="shared" si="0"/>
        <v>Work-Work</v>
      </c>
      <c r="S30" s="62"/>
      <c r="T30" s="62">
        <v>0</v>
      </c>
      <c r="U30" s="72">
        <v>2</v>
      </c>
      <c r="V30" s="72"/>
      <c r="W30" s="62"/>
      <c r="X30" s="62"/>
      <c r="Y30" s="63"/>
      <c r="Z30" s="73"/>
      <c r="AA30" s="25"/>
      <c r="AB30" s="25"/>
    </row>
    <row r="31" spans="2:28">
      <c r="B31" s="40" t="s">
        <v>521</v>
      </c>
      <c r="C31" s="40"/>
      <c r="D31" s="41">
        <v>3</v>
      </c>
      <c r="E31" s="41">
        <v>2</v>
      </c>
      <c r="F31" s="42" t="s">
        <v>38</v>
      </c>
      <c r="G31" s="42" t="s">
        <v>37</v>
      </c>
      <c r="H31" s="42" t="s">
        <v>254</v>
      </c>
      <c r="I31" s="42"/>
      <c r="J31" s="42">
        <v>2</v>
      </c>
      <c r="K31" s="25" t="str">
        <f>VLOOKUP(J31,[2]Key!$E$2:$F$9,2,FALSE)</f>
        <v>Work</v>
      </c>
      <c r="L31" s="42" t="s">
        <v>37</v>
      </c>
      <c r="M31" s="43" t="s">
        <v>37</v>
      </c>
      <c r="N31" s="43" t="s">
        <v>254</v>
      </c>
      <c r="O31" s="43"/>
      <c r="P31" s="43">
        <v>2</v>
      </c>
      <c r="Q31" s="25" t="str">
        <f>VLOOKUP(P31,[2]Key!$E$2:$F$9,2,FALSE)</f>
        <v>Work</v>
      </c>
      <c r="R31" s="25" t="str">
        <f t="shared" si="0"/>
        <v>Work-Work</v>
      </c>
      <c r="S31" s="62"/>
      <c r="T31" s="62">
        <v>0</v>
      </c>
      <c r="U31" s="72">
        <v>3</v>
      </c>
      <c r="V31" s="72"/>
      <c r="W31" s="62"/>
      <c r="X31" s="62"/>
      <c r="Y31" s="63"/>
      <c r="Z31" s="73"/>
      <c r="AA31" s="25"/>
      <c r="AB31" s="25"/>
    </row>
    <row r="32" spans="2:28">
      <c r="B32" s="40" t="s">
        <v>522</v>
      </c>
      <c r="C32" s="40"/>
      <c r="D32" s="41">
        <v>2</v>
      </c>
      <c r="E32" s="41">
        <v>2</v>
      </c>
      <c r="F32" s="42" t="s">
        <v>38</v>
      </c>
      <c r="G32" s="42" t="s">
        <v>37</v>
      </c>
      <c r="H32" s="42" t="s">
        <v>254</v>
      </c>
      <c r="I32" s="42"/>
      <c r="J32" s="42">
        <v>2</v>
      </c>
      <c r="K32" s="25" t="str">
        <f>VLOOKUP(J32,[2]Key!$E$2:$F$9,2,FALSE)</f>
        <v>Work</v>
      </c>
      <c r="L32" s="42" t="s">
        <v>241</v>
      </c>
      <c r="M32" s="43" t="s">
        <v>241</v>
      </c>
      <c r="N32" s="43" t="s">
        <v>254</v>
      </c>
      <c r="O32" s="43"/>
      <c r="P32" s="43">
        <v>2</v>
      </c>
      <c r="Q32" s="25" t="str">
        <f>VLOOKUP(P32,[2]Key!$E$2:$F$9,2,FALSE)</f>
        <v>Work</v>
      </c>
      <c r="R32" s="25" t="str">
        <f t="shared" si="0"/>
        <v>Work-Work</v>
      </c>
      <c r="S32" s="62"/>
      <c r="T32" s="62">
        <v>2</v>
      </c>
      <c r="U32" s="72">
        <v>4</v>
      </c>
      <c r="V32" s="72"/>
      <c r="W32" s="62"/>
      <c r="X32" s="62"/>
      <c r="Y32" s="63"/>
      <c r="Z32" s="73"/>
      <c r="AA32" s="25"/>
      <c r="AB32" s="25"/>
    </row>
    <row r="33" spans="2:28">
      <c r="B33" s="40" t="s">
        <v>523</v>
      </c>
      <c r="C33" s="40"/>
      <c r="D33" s="41">
        <v>2</v>
      </c>
      <c r="E33" s="41">
        <v>2</v>
      </c>
      <c r="F33" s="42" t="s">
        <v>524</v>
      </c>
      <c r="G33" s="42" t="s">
        <v>37</v>
      </c>
      <c r="H33" s="42" t="s">
        <v>254</v>
      </c>
      <c r="I33" s="42"/>
      <c r="J33" s="42">
        <v>2</v>
      </c>
      <c r="K33" s="25" t="str">
        <f>VLOOKUP(J33,[2]Key!$E$2:$F$9,2,FALSE)</f>
        <v>Work</v>
      </c>
      <c r="L33" s="42" t="s">
        <v>42</v>
      </c>
      <c r="M33" s="43" t="s">
        <v>42</v>
      </c>
      <c r="N33" s="43" t="s">
        <v>254</v>
      </c>
      <c r="O33" s="43"/>
      <c r="P33" s="43">
        <v>2</v>
      </c>
      <c r="Q33" s="25" t="str">
        <f>VLOOKUP(P33,[2]Key!$E$2:$F$9,2,FALSE)</f>
        <v>Work</v>
      </c>
      <c r="R33" s="25" t="str">
        <f t="shared" si="0"/>
        <v>Work-Work</v>
      </c>
      <c r="S33" s="62"/>
      <c r="T33" s="62">
        <v>2</v>
      </c>
      <c r="U33" s="72">
        <v>3</v>
      </c>
      <c r="V33" s="72"/>
      <c r="W33" s="62"/>
      <c r="X33" s="62"/>
      <c r="Y33" s="63"/>
      <c r="Z33" s="73"/>
      <c r="AA33" s="25"/>
      <c r="AB33" s="25"/>
    </row>
    <row r="34" spans="2:28">
      <c r="B34" s="40" t="s">
        <v>525</v>
      </c>
      <c r="C34" s="40"/>
      <c r="D34" s="41">
        <v>1</v>
      </c>
      <c r="E34" s="41">
        <v>2</v>
      </c>
      <c r="F34" s="42" t="s">
        <v>256</v>
      </c>
      <c r="G34" s="42" t="s">
        <v>37</v>
      </c>
      <c r="H34" s="42" t="s">
        <v>254</v>
      </c>
      <c r="I34" s="42"/>
      <c r="J34" s="42">
        <v>2</v>
      </c>
      <c r="K34" s="25" t="str">
        <f>VLOOKUP(J34,[2]Key!$E$2:$F$9,2,FALSE)</f>
        <v>Work</v>
      </c>
      <c r="L34" s="42" t="s">
        <v>79</v>
      </c>
      <c r="M34" s="43" t="s">
        <v>240</v>
      </c>
      <c r="N34" s="43" t="s">
        <v>254</v>
      </c>
      <c r="O34" s="43"/>
      <c r="P34" s="43">
        <v>2</v>
      </c>
      <c r="Q34" s="25" t="str">
        <f>VLOOKUP(P34,[2]Key!$E$2:$F$9,2,FALSE)</f>
        <v>Work</v>
      </c>
      <c r="R34" s="25" t="str">
        <f t="shared" si="0"/>
        <v>Work-Work</v>
      </c>
      <c r="S34" s="62"/>
      <c r="T34" s="62">
        <v>3</v>
      </c>
      <c r="U34" s="72">
        <v>2</v>
      </c>
      <c r="V34" s="72">
        <v>6</v>
      </c>
      <c r="W34" s="62"/>
      <c r="X34" s="62"/>
      <c r="Y34" s="63"/>
      <c r="Z34" s="73"/>
      <c r="AA34" s="25"/>
      <c r="AB34" s="25"/>
    </row>
    <row r="35" spans="2:28">
      <c r="B35" s="40" t="s">
        <v>300</v>
      </c>
      <c r="C35" s="40"/>
      <c r="D35" s="41">
        <v>2</v>
      </c>
      <c r="E35" s="41">
        <v>2</v>
      </c>
      <c r="F35" s="42" t="s">
        <v>38</v>
      </c>
      <c r="G35" s="42" t="s">
        <v>37</v>
      </c>
      <c r="H35" s="42" t="s">
        <v>254</v>
      </c>
      <c r="I35" s="42"/>
      <c r="J35" s="42">
        <v>2</v>
      </c>
      <c r="K35" s="25" t="str">
        <f>VLOOKUP(J35,[2]Key!$E$2:$F$9,2,FALSE)</f>
        <v>Work</v>
      </c>
      <c r="L35" s="42" t="s">
        <v>37</v>
      </c>
      <c r="M35" s="43" t="s">
        <v>37</v>
      </c>
      <c r="N35" s="43" t="s">
        <v>254</v>
      </c>
      <c r="O35" s="43"/>
      <c r="P35" s="43">
        <v>2</v>
      </c>
      <c r="Q35" s="25" t="str">
        <f>VLOOKUP(P35,[2]Key!$E$2:$F$9,2,FALSE)</f>
        <v>Work</v>
      </c>
      <c r="R35" s="25" t="str">
        <f t="shared" si="0"/>
        <v>Work-Work</v>
      </c>
      <c r="S35" s="62"/>
      <c r="T35" s="62">
        <v>0</v>
      </c>
      <c r="U35" s="72">
        <v>2</v>
      </c>
      <c r="V35" s="72"/>
      <c r="W35" s="62"/>
      <c r="X35" s="62"/>
      <c r="Y35" s="63"/>
      <c r="Z35" s="73"/>
      <c r="AA35" s="25"/>
      <c r="AB35" s="25"/>
    </row>
    <row r="36" spans="2:28">
      <c r="B36" s="40" t="s">
        <v>526</v>
      </c>
      <c r="C36" s="40"/>
      <c r="D36" s="41">
        <v>3</v>
      </c>
      <c r="E36" s="41">
        <v>2</v>
      </c>
      <c r="F36" s="42" t="s">
        <v>38</v>
      </c>
      <c r="G36" s="42" t="s">
        <v>37</v>
      </c>
      <c r="H36" s="42" t="s">
        <v>254</v>
      </c>
      <c r="I36" s="42"/>
      <c r="J36" s="42">
        <v>2</v>
      </c>
      <c r="K36" s="25" t="str">
        <f>VLOOKUP(J36,[2]Key!$E$2:$F$9,2,FALSE)</f>
        <v>Work</v>
      </c>
      <c r="L36" s="42" t="s">
        <v>37</v>
      </c>
      <c r="M36" s="43" t="s">
        <v>37</v>
      </c>
      <c r="N36" s="43" t="s">
        <v>254</v>
      </c>
      <c r="O36" s="43"/>
      <c r="P36" s="43">
        <v>2</v>
      </c>
      <c r="Q36" s="25" t="str">
        <f>VLOOKUP(P36,[2]Key!$E$2:$F$9,2,FALSE)</f>
        <v>Work</v>
      </c>
      <c r="R36" s="25" t="str">
        <f t="shared" si="0"/>
        <v>Work-Work</v>
      </c>
      <c r="S36" s="62"/>
      <c r="T36" s="62">
        <v>0</v>
      </c>
      <c r="U36" s="72">
        <v>2</v>
      </c>
      <c r="V36" s="72"/>
      <c r="W36" s="62"/>
      <c r="X36" s="62"/>
      <c r="Y36" s="63"/>
      <c r="Z36" s="73"/>
      <c r="AA36" s="25"/>
      <c r="AB36" s="25"/>
    </row>
    <row r="37" spans="2:28">
      <c r="B37" s="40" t="s">
        <v>527</v>
      </c>
      <c r="C37" s="40"/>
      <c r="D37" s="41">
        <v>2</v>
      </c>
      <c r="E37" s="41">
        <v>2</v>
      </c>
      <c r="F37" s="42" t="s">
        <v>38</v>
      </c>
      <c r="G37" s="42" t="s">
        <v>37</v>
      </c>
      <c r="H37" s="42" t="s">
        <v>254</v>
      </c>
      <c r="I37" s="42"/>
      <c r="J37" s="42">
        <v>3</v>
      </c>
      <c r="K37" s="25" t="str">
        <f>VLOOKUP(J37,[2]Key!$E$2:$F$9,2,FALSE)</f>
        <v>Study</v>
      </c>
      <c r="L37" s="42" t="s">
        <v>37</v>
      </c>
      <c r="M37" s="43" t="s">
        <v>37</v>
      </c>
      <c r="N37" s="43" t="s">
        <v>254</v>
      </c>
      <c r="O37" s="43"/>
      <c r="P37" s="43">
        <v>3</v>
      </c>
      <c r="Q37" s="25" t="str">
        <f>VLOOKUP(P37,[2]Key!$E$2:$F$9,2,FALSE)</f>
        <v>Study</v>
      </c>
      <c r="R37" s="25" t="str">
        <f t="shared" si="0"/>
        <v>Study-Study</v>
      </c>
      <c r="S37" s="62"/>
      <c r="T37" s="62">
        <v>0</v>
      </c>
      <c r="U37" s="72">
        <v>2</v>
      </c>
      <c r="V37" s="72"/>
      <c r="W37" s="62"/>
      <c r="X37" s="62"/>
      <c r="Y37" s="63"/>
      <c r="Z37" s="73"/>
      <c r="AA37" s="25"/>
      <c r="AB37" s="25"/>
    </row>
    <row r="38" spans="2:28">
      <c r="B38" s="40" t="s">
        <v>528</v>
      </c>
      <c r="C38" s="40"/>
      <c r="D38" s="41">
        <v>2</v>
      </c>
      <c r="E38" s="41">
        <v>2</v>
      </c>
      <c r="F38" s="42" t="s">
        <v>260</v>
      </c>
      <c r="G38" s="42" t="s">
        <v>37</v>
      </c>
      <c r="H38" s="42" t="s">
        <v>254</v>
      </c>
      <c r="I38" s="42"/>
      <c r="J38" s="42">
        <v>3</v>
      </c>
      <c r="K38" s="25" t="str">
        <f>VLOOKUP(J38,[2]Key!$E$2:$F$9,2,FALSE)</f>
        <v>Study</v>
      </c>
      <c r="L38" s="42" t="s">
        <v>37</v>
      </c>
      <c r="M38" s="43" t="s">
        <v>37</v>
      </c>
      <c r="N38" s="43" t="s">
        <v>254</v>
      </c>
      <c r="O38" s="43"/>
      <c r="P38" s="43">
        <v>3</v>
      </c>
      <c r="Q38" s="25" t="str">
        <f>VLOOKUP(P38,[2]Key!$E$2:$F$9,2,FALSE)</f>
        <v>Study</v>
      </c>
      <c r="R38" s="25" t="str">
        <f t="shared" si="0"/>
        <v>Study-Study</v>
      </c>
      <c r="S38" s="62"/>
      <c r="T38" s="62">
        <v>0</v>
      </c>
      <c r="U38" s="72">
        <v>2</v>
      </c>
      <c r="V38" s="72"/>
      <c r="W38" s="62"/>
      <c r="X38" s="62"/>
      <c r="Y38" s="63"/>
      <c r="Z38" s="73"/>
      <c r="AA38" s="25"/>
      <c r="AB38" s="25"/>
    </row>
    <row r="39" spans="2:28">
      <c r="B39" s="40" t="s">
        <v>476</v>
      </c>
      <c r="C39" s="40"/>
      <c r="D39" s="41">
        <v>2</v>
      </c>
      <c r="E39" s="41">
        <v>2</v>
      </c>
      <c r="F39" s="42" t="s">
        <v>256</v>
      </c>
      <c r="G39" s="42" t="s">
        <v>37</v>
      </c>
      <c r="H39" s="42" t="s">
        <v>254</v>
      </c>
      <c r="I39" s="42"/>
      <c r="J39" s="42">
        <v>3</v>
      </c>
      <c r="K39" s="25" t="str">
        <f>VLOOKUP(J39,[2]Key!$E$2:$F$9,2,FALSE)</f>
        <v>Study</v>
      </c>
      <c r="L39" s="42" t="s">
        <v>37</v>
      </c>
      <c r="M39" s="43" t="s">
        <v>37</v>
      </c>
      <c r="N39" s="43" t="s">
        <v>254</v>
      </c>
      <c r="O39" s="43"/>
      <c r="P39" s="43">
        <v>3</v>
      </c>
      <c r="Q39" s="25" t="str">
        <f>VLOOKUP(P39,[2]Key!$E$2:$F$9,2,FALSE)</f>
        <v>Study</v>
      </c>
      <c r="R39" s="25" t="str">
        <f t="shared" si="0"/>
        <v>Study-Study</v>
      </c>
      <c r="S39" s="62"/>
      <c r="T39" s="62">
        <v>0</v>
      </c>
      <c r="U39" s="72">
        <v>1</v>
      </c>
      <c r="V39" s="72"/>
      <c r="W39" s="62"/>
      <c r="X39" s="62"/>
      <c r="Y39" s="63"/>
      <c r="Z39" s="73"/>
      <c r="AA39" s="25"/>
      <c r="AB39" s="25"/>
    </row>
    <row r="40" spans="2:28">
      <c r="B40" s="40" t="s">
        <v>529</v>
      </c>
      <c r="C40" s="40"/>
      <c r="D40" s="41">
        <v>4</v>
      </c>
      <c r="E40" s="41">
        <v>1</v>
      </c>
      <c r="F40" s="42" t="s">
        <v>38</v>
      </c>
      <c r="G40" s="42" t="s">
        <v>37</v>
      </c>
      <c r="H40" s="42" t="s">
        <v>254</v>
      </c>
      <c r="I40" s="42"/>
      <c r="J40" s="42">
        <v>3</v>
      </c>
      <c r="K40" s="25" t="str">
        <f>VLOOKUP(J40,[2]Key!$E$2:$F$9,2,FALSE)</f>
        <v>Study</v>
      </c>
      <c r="L40" s="42" t="s">
        <v>37</v>
      </c>
      <c r="M40" s="43" t="s">
        <v>37</v>
      </c>
      <c r="N40" s="43" t="s">
        <v>254</v>
      </c>
      <c r="O40" s="43"/>
      <c r="P40" s="43">
        <v>3</v>
      </c>
      <c r="Q40" s="25" t="str">
        <f>VLOOKUP(P40,[2]Key!$E$2:$F$9,2,FALSE)</f>
        <v>Study</v>
      </c>
      <c r="R40" s="25" t="str">
        <f t="shared" si="0"/>
        <v>Study-Study</v>
      </c>
      <c r="S40" s="62"/>
      <c r="T40" s="62">
        <v>3</v>
      </c>
      <c r="U40" s="72">
        <v>2</v>
      </c>
      <c r="V40" s="72"/>
      <c r="W40" s="62"/>
      <c r="X40" s="62"/>
      <c r="Y40" s="63"/>
      <c r="Z40" s="73"/>
      <c r="AA40" s="25"/>
      <c r="AB40" s="25"/>
    </row>
    <row r="41" spans="2:28">
      <c r="B41" s="40" t="s">
        <v>480</v>
      </c>
      <c r="C41" s="40"/>
      <c r="D41" s="41">
        <v>3</v>
      </c>
      <c r="E41" s="41">
        <v>2</v>
      </c>
      <c r="F41" s="42" t="s">
        <v>38</v>
      </c>
      <c r="G41" s="42" t="s">
        <v>37</v>
      </c>
      <c r="H41" s="42" t="s">
        <v>254</v>
      </c>
      <c r="I41" s="42"/>
      <c r="J41" s="42">
        <v>3</v>
      </c>
      <c r="K41" s="25" t="str">
        <f>VLOOKUP(J41,[2]Key!$E$2:$F$9,2,FALSE)</f>
        <v>Study</v>
      </c>
      <c r="L41" s="42" t="s">
        <v>241</v>
      </c>
      <c r="M41" s="43" t="s">
        <v>241</v>
      </c>
      <c r="N41" s="43" t="s">
        <v>254</v>
      </c>
      <c r="O41" s="43"/>
      <c r="P41" s="43">
        <v>3</v>
      </c>
      <c r="Q41" s="25" t="str">
        <f>VLOOKUP(P41,[2]Key!$E$2:$F$9,2,FALSE)</f>
        <v>Study</v>
      </c>
      <c r="R41" s="25" t="str">
        <f t="shared" si="0"/>
        <v>Study-Study</v>
      </c>
      <c r="S41" s="62"/>
      <c r="T41" s="62">
        <v>0</v>
      </c>
      <c r="U41" s="72">
        <v>1</v>
      </c>
      <c r="V41" s="72"/>
      <c r="W41" s="62"/>
      <c r="X41" s="62"/>
      <c r="Y41" s="63"/>
      <c r="Z41" s="73"/>
      <c r="AA41" s="25"/>
      <c r="AB41" s="25"/>
    </row>
    <row r="42" spans="2:28">
      <c r="B42" s="40" t="s">
        <v>530</v>
      </c>
      <c r="C42" s="40"/>
      <c r="D42" s="41">
        <v>2</v>
      </c>
      <c r="E42" s="41">
        <v>3</v>
      </c>
      <c r="F42" s="42" t="s">
        <v>38</v>
      </c>
      <c r="G42" s="42" t="s">
        <v>37</v>
      </c>
      <c r="H42" s="42" t="s">
        <v>254</v>
      </c>
      <c r="I42" s="42"/>
      <c r="J42" s="42">
        <v>3</v>
      </c>
      <c r="K42" s="25" t="str">
        <f>VLOOKUP(J42,[2]Key!$E$2:$F$9,2,FALSE)</f>
        <v>Study</v>
      </c>
      <c r="L42" s="42" t="s">
        <v>37</v>
      </c>
      <c r="M42" s="43" t="s">
        <v>37</v>
      </c>
      <c r="N42" s="43" t="s">
        <v>254</v>
      </c>
      <c r="O42" s="43"/>
      <c r="P42" s="43">
        <v>3</v>
      </c>
      <c r="Q42" s="25" t="str">
        <f>VLOOKUP(P42,[2]Key!$E$2:$F$9,2,FALSE)</f>
        <v>Study</v>
      </c>
      <c r="R42" s="25" t="str">
        <f t="shared" si="0"/>
        <v>Study-Study</v>
      </c>
      <c r="S42" s="62"/>
      <c r="T42" s="62">
        <v>0</v>
      </c>
      <c r="U42" s="72">
        <v>3</v>
      </c>
      <c r="V42" s="72"/>
      <c r="W42" s="62"/>
      <c r="X42" s="62"/>
      <c r="Y42" s="63"/>
      <c r="Z42" s="73"/>
      <c r="AA42" s="25"/>
      <c r="AB42" s="25"/>
    </row>
    <row r="43" spans="2:28">
      <c r="B43" s="40" t="s">
        <v>531</v>
      </c>
      <c r="C43" s="40"/>
      <c r="D43" s="41">
        <v>3</v>
      </c>
      <c r="E43" s="41">
        <v>2</v>
      </c>
      <c r="F43" s="42" t="s">
        <v>50</v>
      </c>
      <c r="G43" s="42" t="s">
        <v>255</v>
      </c>
      <c r="H43" s="42" t="s">
        <v>254</v>
      </c>
      <c r="I43" s="42"/>
      <c r="J43" s="42">
        <v>3</v>
      </c>
      <c r="K43" s="25" t="str">
        <f>VLOOKUP(J43,[2]Key!$E$2:$F$9,2,FALSE)</f>
        <v>Study</v>
      </c>
      <c r="L43" s="42" t="s">
        <v>79</v>
      </c>
      <c r="M43" s="43" t="s">
        <v>240</v>
      </c>
      <c r="N43" s="43" t="s">
        <v>254</v>
      </c>
      <c r="O43" s="43"/>
      <c r="P43" s="43">
        <v>3</v>
      </c>
      <c r="Q43" s="25" t="str">
        <f>VLOOKUP(P43,[2]Key!$E$2:$F$9,2,FALSE)</f>
        <v>Study</v>
      </c>
      <c r="R43" s="25" t="str">
        <f t="shared" si="0"/>
        <v>Study-Study</v>
      </c>
      <c r="S43" s="62"/>
      <c r="T43" s="62">
        <v>0</v>
      </c>
      <c r="U43" s="72">
        <v>3</v>
      </c>
      <c r="V43" s="72"/>
      <c r="W43" s="62"/>
      <c r="X43" s="62"/>
      <c r="Y43" s="63"/>
      <c r="Z43" s="73"/>
      <c r="AA43" s="25"/>
      <c r="AB43" s="25"/>
    </row>
    <row r="44" spans="2:28">
      <c r="B44" s="40" t="s">
        <v>415</v>
      </c>
      <c r="C44" s="40"/>
      <c r="D44" s="41">
        <v>2</v>
      </c>
      <c r="E44" s="41">
        <v>1</v>
      </c>
      <c r="F44" s="42" t="s">
        <v>38</v>
      </c>
      <c r="G44" s="42" t="s">
        <v>37</v>
      </c>
      <c r="H44" s="42" t="s">
        <v>254</v>
      </c>
      <c r="I44" s="42"/>
      <c r="J44" s="42">
        <v>1</v>
      </c>
      <c r="K44" s="25" t="str">
        <f>VLOOKUP(J44,[2]Key!$E$2:$F$9,2,FALSE)</f>
        <v>Home</v>
      </c>
      <c r="L44" s="42" t="s">
        <v>37</v>
      </c>
      <c r="M44" s="43" t="s">
        <v>37</v>
      </c>
      <c r="N44" s="43" t="s">
        <v>254</v>
      </c>
      <c r="O44" s="43"/>
      <c r="P44" s="43">
        <v>1</v>
      </c>
      <c r="Q44" s="25" t="str">
        <f>VLOOKUP(P44,[2]Key!$E$2:$F$9,2,FALSE)</f>
        <v>Home</v>
      </c>
      <c r="R44" s="25" t="str">
        <f t="shared" si="0"/>
        <v>Home-Home</v>
      </c>
      <c r="S44" s="62"/>
      <c r="T44" s="62">
        <v>3</v>
      </c>
      <c r="U44" s="72">
        <v>4</v>
      </c>
      <c r="V44" s="72"/>
      <c r="W44" s="62"/>
      <c r="X44" s="62"/>
      <c r="Y44" s="63"/>
      <c r="Z44" s="73"/>
      <c r="AA44" s="25"/>
      <c r="AB44" s="25"/>
    </row>
    <row r="45" spans="2:28">
      <c r="B45" s="40" t="s">
        <v>532</v>
      </c>
      <c r="C45" s="40"/>
      <c r="D45" s="41">
        <v>1</v>
      </c>
      <c r="E45" s="41">
        <v>2</v>
      </c>
      <c r="F45" s="42" t="s">
        <v>38</v>
      </c>
      <c r="G45" s="42" t="s">
        <v>37</v>
      </c>
      <c r="H45" s="42" t="s">
        <v>254</v>
      </c>
      <c r="I45" s="42"/>
      <c r="J45" s="42">
        <v>3</v>
      </c>
      <c r="K45" s="25" t="str">
        <f>VLOOKUP(J45,[2]Key!$E$2:$F$9,2,FALSE)</f>
        <v>Study</v>
      </c>
      <c r="L45" s="42" t="s">
        <v>37</v>
      </c>
      <c r="M45" s="43" t="s">
        <v>37</v>
      </c>
      <c r="N45" s="43" t="s">
        <v>254</v>
      </c>
      <c r="O45" s="43"/>
      <c r="P45" s="43">
        <v>3</v>
      </c>
      <c r="Q45" s="25" t="str">
        <f>VLOOKUP(P45,[2]Key!$E$2:$F$9,2,FALSE)</f>
        <v>Study</v>
      </c>
      <c r="R45" s="25" t="str">
        <f t="shared" si="0"/>
        <v>Study-Study</v>
      </c>
      <c r="S45" s="62"/>
      <c r="T45" s="62">
        <v>0</v>
      </c>
      <c r="U45" s="72">
        <v>1</v>
      </c>
      <c r="V45" s="72"/>
      <c r="W45" s="62"/>
      <c r="X45" s="62"/>
      <c r="Y45" s="63"/>
      <c r="Z45" s="73"/>
      <c r="AA45" s="25"/>
      <c r="AB45" s="25"/>
    </row>
    <row r="46" spans="2:28">
      <c r="B46" s="40" t="s">
        <v>313</v>
      </c>
      <c r="C46" s="40"/>
      <c r="D46" s="41">
        <v>3</v>
      </c>
      <c r="E46" s="41">
        <v>3</v>
      </c>
      <c r="F46" s="42" t="s">
        <v>509</v>
      </c>
      <c r="G46" s="42" t="s">
        <v>37</v>
      </c>
      <c r="H46" s="42" t="s">
        <v>254</v>
      </c>
      <c r="I46" s="42"/>
      <c r="J46" s="42">
        <v>2</v>
      </c>
      <c r="K46" s="25" t="str">
        <f>VLOOKUP(J46,[2]Key!$E$2:$F$9,2,FALSE)</f>
        <v>Work</v>
      </c>
      <c r="L46" s="42" t="s">
        <v>37</v>
      </c>
      <c r="M46" s="43" t="s">
        <v>37</v>
      </c>
      <c r="N46" s="43" t="s">
        <v>254</v>
      </c>
      <c r="O46" s="43"/>
      <c r="P46" s="43">
        <v>2</v>
      </c>
      <c r="Q46" s="25" t="str">
        <f>VLOOKUP(P46,[2]Key!$E$2:$F$9,2,FALSE)</f>
        <v>Work</v>
      </c>
      <c r="R46" s="25" t="str">
        <f t="shared" si="0"/>
        <v>Work-Work</v>
      </c>
      <c r="S46" s="62"/>
      <c r="T46" s="62">
        <v>3</v>
      </c>
      <c r="U46" s="72">
        <v>4</v>
      </c>
      <c r="V46" s="72"/>
      <c r="W46" s="62"/>
      <c r="X46" s="62"/>
      <c r="Y46" s="63"/>
      <c r="Z46" s="73"/>
      <c r="AA46" s="25"/>
      <c r="AB46" s="25"/>
    </row>
    <row r="47" spans="2:28">
      <c r="B47" s="40" t="s">
        <v>533</v>
      </c>
      <c r="C47" s="40"/>
      <c r="D47" s="41">
        <v>3</v>
      </c>
      <c r="E47" s="41">
        <v>4</v>
      </c>
      <c r="F47" s="42" t="s">
        <v>38</v>
      </c>
      <c r="G47" s="42" t="s">
        <v>37</v>
      </c>
      <c r="H47" s="42" t="s">
        <v>254</v>
      </c>
      <c r="I47" s="42"/>
      <c r="J47" s="42">
        <v>3</v>
      </c>
      <c r="K47" s="25" t="str">
        <f>VLOOKUP(J47,[2]Key!$E$2:$F$9,2,FALSE)</f>
        <v>Study</v>
      </c>
      <c r="L47" s="42" t="s">
        <v>241</v>
      </c>
      <c r="M47" s="43" t="s">
        <v>241</v>
      </c>
      <c r="N47" s="43" t="s">
        <v>254</v>
      </c>
      <c r="O47" s="43"/>
      <c r="P47" s="43">
        <v>3</v>
      </c>
      <c r="Q47" s="25" t="str">
        <f>VLOOKUP(P47,[2]Key!$E$2:$F$9,2,FALSE)</f>
        <v>Study</v>
      </c>
      <c r="R47" s="25" t="str">
        <f t="shared" si="0"/>
        <v>Study-Study</v>
      </c>
      <c r="S47" s="62"/>
      <c r="T47" s="62">
        <v>0</v>
      </c>
      <c r="U47" s="72">
        <v>2</v>
      </c>
      <c r="V47" s="72"/>
      <c r="W47" s="62"/>
      <c r="X47" s="62"/>
      <c r="Y47" s="63"/>
      <c r="Z47" s="73"/>
      <c r="AA47" s="25"/>
      <c r="AB47" s="25"/>
    </row>
    <row r="48" spans="2:28">
      <c r="B48" s="40" t="s">
        <v>534</v>
      </c>
      <c r="C48" s="40"/>
      <c r="D48" s="41">
        <v>2</v>
      </c>
      <c r="E48" s="41">
        <v>1</v>
      </c>
      <c r="F48" s="42" t="s">
        <v>256</v>
      </c>
      <c r="G48" s="42" t="s">
        <v>37</v>
      </c>
      <c r="H48" s="42" t="s">
        <v>254</v>
      </c>
      <c r="I48" s="42"/>
      <c r="J48" s="42">
        <v>3</v>
      </c>
      <c r="K48" s="25" t="str">
        <f>VLOOKUP(J48,[2]Key!$E$2:$F$9,2,FALSE)</f>
        <v>Study</v>
      </c>
      <c r="L48" s="42" t="s">
        <v>60</v>
      </c>
      <c r="M48" s="43" t="s">
        <v>240</v>
      </c>
      <c r="N48" s="43" t="s">
        <v>254</v>
      </c>
      <c r="O48" s="43"/>
      <c r="P48" s="43">
        <v>3</v>
      </c>
      <c r="Q48" s="25" t="str">
        <f>VLOOKUP(P48,[2]Key!$E$2:$F$9,2,FALSE)</f>
        <v>Study</v>
      </c>
      <c r="R48" s="25" t="str">
        <f t="shared" si="0"/>
        <v>Study-Study</v>
      </c>
      <c r="S48" s="62"/>
      <c r="T48" s="62">
        <v>0.05</v>
      </c>
      <c r="U48" s="72">
        <v>4</v>
      </c>
      <c r="V48" s="72"/>
      <c r="W48" s="62"/>
      <c r="X48" s="62"/>
      <c r="Y48" s="63"/>
      <c r="Z48" s="73"/>
      <c r="AA48" s="25"/>
      <c r="AB48" s="25"/>
    </row>
    <row r="49" spans="2:28">
      <c r="B49" s="40" t="s">
        <v>317</v>
      </c>
      <c r="C49" s="40"/>
      <c r="D49" s="41">
        <v>4</v>
      </c>
      <c r="E49" s="41">
        <v>2</v>
      </c>
      <c r="F49" s="42" t="s">
        <v>509</v>
      </c>
      <c r="G49" s="42" t="s">
        <v>37</v>
      </c>
      <c r="H49" s="42" t="s">
        <v>254</v>
      </c>
      <c r="I49" s="42"/>
      <c r="J49" s="42">
        <v>3</v>
      </c>
      <c r="K49" s="25" t="str">
        <f>VLOOKUP(J49,[2]Key!$E$2:$F$9,2,FALSE)</f>
        <v>Study</v>
      </c>
      <c r="L49" s="42" t="s">
        <v>249</v>
      </c>
      <c r="M49" s="43" t="s">
        <v>37</v>
      </c>
      <c r="N49" s="43" t="s">
        <v>254</v>
      </c>
      <c r="O49" s="43"/>
      <c r="P49" s="43">
        <v>3</v>
      </c>
      <c r="Q49" s="25" t="str">
        <f>VLOOKUP(P49,[2]Key!$E$2:$F$9,2,FALSE)</f>
        <v>Study</v>
      </c>
      <c r="R49" s="25" t="str">
        <f t="shared" si="0"/>
        <v>Study-Study</v>
      </c>
      <c r="S49" s="62"/>
      <c r="T49" s="62">
        <v>0</v>
      </c>
      <c r="U49" s="72">
        <v>1</v>
      </c>
      <c r="V49" s="72"/>
      <c r="W49" s="62"/>
      <c r="X49" s="62"/>
      <c r="Y49" s="63"/>
      <c r="Z49" s="73"/>
      <c r="AA49" s="25"/>
      <c r="AB49" s="25"/>
    </row>
    <row r="50" spans="2:28">
      <c r="B50" s="40" t="s">
        <v>535</v>
      </c>
      <c r="C50" s="40"/>
      <c r="D50" s="41">
        <v>2</v>
      </c>
      <c r="E50" s="41">
        <v>2</v>
      </c>
      <c r="F50" s="42" t="s">
        <v>38</v>
      </c>
      <c r="G50" s="42" t="s">
        <v>37</v>
      </c>
      <c r="H50" s="42" t="s">
        <v>254</v>
      </c>
      <c r="I50" s="42"/>
      <c r="J50" s="42">
        <v>3</v>
      </c>
      <c r="K50" s="25" t="str">
        <f>VLOOKUP(J50,[2]Key!$E$2:$F$9,2,FALSE)</f>
        <v>Study</v>
      </c>
      <c r="L50" s="42" t="s">
        <v>37</v>
      </c>
      <c r="M50" s="43" t="s">
        <v>37</v>
      </c>
      <c r="N50" s="43" t="s">
        <v>254</v>
      </c>
      <c r="O50" s="43"/>
      <c r="P50" s="43">
        <v>3</v>
      </c>
      <c r="Q50" s="25" t="str">
        <f>VLOOKUP(P50,[2]Key!$E$2:$F$9,2,FALSE)</f>
        <v>Study</v>
      </c>
      <c r="R50" s="25" t="str">
        <f t="shared" si="0"/>
        <v>Study-Study</v>
      </c>
      <c r="S50" s="62"/>
      <c r="T50" s="62">
        <v>3</v>
      </c>
      <c r="U50" s="72">
        <v>3</v>
      </c>
      <c r="V50" s="72"/>
      <c r="W50" s="62"/>
      <c r="X50" s="62"/>
      <c r="Y50" s="63"/>
      <c r="Z50" s="73"/>
      <c r="AA50" s="25"/>
      <c r="AB50" s="25"/>
    </row>
    <row r="51" spans="2:28">
      <c r="B51" s="40" t="s">
        <v>536</v>
      </c>
      <c r="C51" s="40"/>
      <c r="D51" s="41">
        <v>12</v>
      </c>
      <c r="E51" s="41">
        <v>2</v>
      </c>
      <c r="F51" s="42" t="s">
        <v>38</v>
      </c>
      <c r="G51" s="42" t="s">
        <v>37</v>
      </c>
      <c r="H51" s="42" t="s">
        <v>254</v>
      </c>
      <c r="I51" s="42"/>
      <c r="J51" s="42">
        <v>3</v>
      </c>
      <c r="K51" s="25" t="str">
        <f>VLOOKUP(J51,[2]Key!$E$2:$F$9,2,FALSE)</f>
        <v>Study</v>
      </c>
      <c r="L51" s="42" t="s">
        <v>65</v>
      </c>
      <c r="M51" s="43" t="s">
        <v>37</v>
      </c>
      <c r="N51" s="43" t="s">
        <v>254</v>
      </c>
      <c r="O51" s="43"/>
      <c r="P51" s="43">
        <v>3</v>
      </c>
      <c r="Q51" s="25" t="str">
        <f>VLOOKUP(P51,[2]Key!$E$2:$F$9,2,FALSE)</f>
        <v>Study</v>
      </c>
      <c r="R51" s="25" t="str">
        <f t="shared" si="0"/>
        <v>Study-Study</v>
      </c>
      <c r="S51" s="62"/>
      <c r="T51" s="62">
        <v>4</v>
      </c>
      <c r="U51" s="72">
        <v>5</v>
      </c>
      <c r="V51" s="72"/>
      <c r="W51" s="62"/>
      <c r="X51" s="62"/>
      <c r="Y51" s="63"/>
      <c r="Z51" s="73"/>
      <c r="AA51" s="25"/>
      <c r="AB51" s="25"/>
    </row>
    <row r="52" spans="2:28">
      <c r="B52" s="40" t="s">
        <v>537</v>
      </c>
      <c r="C52" s="40"/>
      <c r="D52" s="41">
        <v>13</v>
      </c>
      <c r="E52" s="41">
        <v>2</v>
      </c>
      <c r="F52" s="42" t="s">
        <v>38</v>
      </c>
      <c r="G52" s="42" t="s">
        <v>37</v>
      </c>
      <c r="H52" s="42" t="s">
        <v>254</v>
      </c>
      <c r="I52" s="42"/>
      <c r="J52" s="42">
        <v>3</v>
      </c>
      <c r="K52" s="25" t="str">
        <f>VLOOKUP(J52,[2]Key!$E$2:$F$9,2,FALSE)</f>
        <v>Study</v>
      </c>
      <c r="L52" s="42" t="s">
        <v>65</v>
      </c>
      <c r="M52" s="43" t="s">
        <v>37</v>
      </c>
      <c r="N52" s="43" t="s">
        <v>254</v>
      </c>
      <c r="O52" s="43"/>
      <c r="P52" s="43">
        <v>3</v>
      </c>
      <c r="Q52" s="25" t="str">
        <f>VLOOKUP(P52,[2]Key!$E$2:$F$9,2,FALSE)</f>
        <v>Study</v>
      </c>
      <c r="R52" s="25" t="str">
        <f t="shared" si="0"/>
        <v>Study-Study</v>
      </c>
      <c r="S52" s="62"/>
      <c r="T52" s="62">
        <v>3</v>
      </c>
      <c r="U52" s="72">
        <v>2</v>
      </c>
      <c r="V52" s="72"/>
      <c r="W52" s="62"/>
      <c r="X52" s="62"/>
      <c r="Y52" s="63"/>
      <c r="Z52" s="73"/>
      <c r="AA52" s="25"/>
      <c r="AB52" s="25"/>
    </row>
    <row r="53" spans="2:28">
      <c r="B53" s="40" t="s">
        <v>538</v>
      </c>
      <c r="C53" s="40"/>
      <c r="D53" s="41">
        <v>13</v>
      </c>
      <c r="E53" s="41">
        <v>2</v>
      </c>
      <c r="F53" s="42" t="s">
        <v>38</v>
      </c>
      <c r="G53" s="42" t="s">
        <v>37</v>
      </c>
      <c r="H53" s="42" t="s">
        <v>254</v>
      </c>
      <c r="I53" s="42"/>
      <c r="J53" s="42">
        <v>3</v>
      </c>
      <c r="K53" s="25" t="str">
        <f>VLOOKUP(J53,[2]Key!$E$2:$F$9,2,FALSE)</f>
        <v>Study</v>
      </c>
      <c r="L53" s="42" t="s">
        <v>37</v>
      </c>
      <c r="M53" s="43" t="s">
        <v>37</v>
      </c>
      <c r="N53" s="43" t="s">
        <v>254</v>
      </c>
      <c r="O53" s="43"/>
      <c r="P53" s="43">
        <v>3</v>
      </c>
      <c r="Q53" s="25" t="str">
        <f>VLOOKUP(P53,[2]Key!$E$2:$F$9,2,FALSE)</f>
        <v>Study</v>
      </c>
      <c r="R53" s="25" t="str">
        <f t="shared" si="0"/>
        <v>Study-Study</v>
      </c>
      <c r="S53" s="62"/>
      <c r="T53" s="62">
        <v>0</v>
      </c>
      <c r="U53" s="72">
        <v>3</v>
      </c>
      <c r="V53" s="72"/>
      <c r="W53" s="62"/>
      <c r="X53" s="62"/>
      <c r="Y53" s="63"/>
      <c r="Z53" s="73"/>
      <c r="AA53" s="25"/>
      <c r="AB53" s="25"/>
    </row>
    <row r="54" spans="2:28">
      <c r="B54" s="40" t="s">
        <v>539</v>
      </c>
      <c r="C54" s="40"/>
      <c r="D54" s="41">
        <v>5</v>
      </c>
      <c r="E54" s="41">
        <v>2</v>
      </c>
      <c r="F54" s="42" t="s">
        <v>364</v>
      </c>
      <c r="G54" s="42" t="s">
        <v>37</v>
      </c>
      <c r="H54" s="42" t="s">
        <v>254</v>
      </c>
      <c r="I54" s="42"/>
      <c r="J54" s="42">
        <v>3</v>
      </c>
      <c r="K54" s="25" t="str">
        <f>VLOOKUP(J54,[2]Key!$E$2:$F$9,2,FALSE)</f>
        <v>Study</v>
      </c>
      <c r="L54" s="42" t="s">
        <v>37</v>
      </c>
      <c r="M54" s="43" t="s">
        <v>37</v>
      </c>
      <c r="N54" s="43" t="s">
        <v>254</v>
      </c>
      <c r="O54" s="43"/>
      <c r="P54" s="43">
        <v>3</v>
      </c>
      <c r="Q54" s="25" t="str">
        <f>VLOOKUP(P54,[2]Key!$E$2:$F$9,2,FALSE)</f>
        <v>Study</v>
      </c>
      <c r="R54" s="25" t="str">
        <f t="shared" si="0"/>
        <v>Study-Study</v>
      </c>
      <c r="S54" s="62"/>
      <c r="T54" s="62">
        <v>0</v>
      </c>
      <c r="U54" s="72">
        <v>4</v>
      </c>
      <c r="V54" s="72"/>
      <c r="W54" s="62"/>
      <c r="X54" s="62"/>
      <c r="Y54" s="63"/>
      <c r="Z54" s="73"/>
      <c r="AA54" s="25"/>
      <c r="AB54" s="25"/>
    </row>
    <row r="55" spans="2:28">
      <c r="B55" s="40" t="s">
        <v>540</v>
      </c>
      <c r="C55" s="40"/>
      <c r="D55" s="41">
        <v>13</v>
      </c>
      <c r="E55" s="41">
        <v>1</v>
      </c>
      <c r="F55" s="42" t="s">
        <v>38</v>
      </c>
      <c r="G55" s="42" t="s">
        <v>37</v>
      </c>
      <c r="H55" s="42" t="s">
        <v>254</v>
      </c>
      <c r="I55" s="42"/>
      <c r="J55" s="42">
        <v>3</v>
      </c>
      <c r="K55" s="25" t="str">
        <f>VLOOKUP(J55,[2]Key!$E$2:$F$9,2,FALSE)</f>
        <v>Study</v>
      </c>
      <c r="L55" s="42" t="s">
        <v>37</v>
      </c>
      <c r="M55" s="43" t="s">
        <v>37</v>
      </c>
      <c r="N55" s="43" t="s">
        <v>254</v>
      </c>
      <c r="O55" s="43"/>
      <c r="P55" s="43">
        <v>3</v>
      </c>
      <c r="Q55" s="25" t="str">
        <f>VLOOKUP(P55,[2]Key!$E$2:$F$9,2,FALSE)</f>
        <v>Study</v>
      </c>
      <c r="R55" s="25" t="str">
        <f t="shared" si="0"/>
        <v>Study-Study</v>
      </c>
      <c r="S55" s="62"/>
      <c r="T55" s="62">
        <v>0</v>
      </c>
      <c r="U55" s="72">
        <v>2</v>
      </c>
      <c r="V55" s="72"/>
      <c r="W55" s="62"/>
      <c r="X55" s="62"/>
      <c r="Y55" s="63"/>
      <c r="Z55" s="73"/>
      <c r="AA55" s="25"/>
      <c r="AB55" s="25"/>
    </row>
    <row r="56" spans="2:28">
      <c r="B56" s="40" t="s">
        <v>541</v>
      </c>
      <c r="C56" s="40"/>
      <c r="D56" s="41">
        <v>12</v>
      </c>
      <c r="E56" s="41">
        <v>1</v>
      </c>
      <c r="F56" s="42" t="s">
        <v>38</v>
      </c>
      <c r="G56" s="42" t="s">
        <v>37</v>
      </c>
      <c r="H56" s="42" t="s">
        <v>254</v>
      </c>
      <c r="I56" s="42"/>
      <c r="J56" s="42">
        <v>1</v>
      </c>
      <c r="K56" s="25" t="str">
        <f>VLOOKUP(J56,[2]Key!$E$2:$F$9,2,FALSE)</f>
        <v>Home</v>
      </c>
      <c r="L56" s="42" t="s">
        <v>37</v>
      </c>
      <c r="M56" s="43" t="s">
        <v>37</v>
      </c>
      <c r="N56" s="43" t="s">
        <v>254</v>
      </c>
      <c r="O56" s="43"/>
      <c r="P56" s="43">
        <v>1</v>
      </c>
      <c r="Q56" s="25" t="str">
        <f>VLOOKUP(P56,[2]Key!$E$2:$F$9,2,FALSE)</f>
        <v>Home</v>
      </c>
      <c r="R56" s="25" t="str">
        <f t="shared" si="0"/>
        <v>Home-Home</v>
      </c>
      <c r="S56" s="62"/>
      <c r="T56" s="62">
        <v>0</v>
      </c>
      <c r="U56" s="72">
        <v>4</v>
      </c>
      <c r="V56" s="72"/>
      <c r="W56" s="62"/>
      <c r="X56" s="62"/>
      <c r="Y56" s="63"/>
      <c r="Z56" s="73"/>
      <c r="AA56" s="25"/>
      <c r="AB56" s="25"/>
    </row>
    <row r="57" spans="2:28">
      <c r="B57" s="40" t="s">
        <v>542</v>
      </c>
      <c r="C57" s="40"/>
      <c r="D57" s="41">
        <v>4</v>
      </c>
      <c r="E57" s="41">
        <v>1</v>
      </c>
      <c r="F57" s="42" t="s">
        <v>38</v>
      </c>
      <c r="G57" s="42" t="s">
        <v>37</v>
      </c>
      <c r="H57" s="42" t="s">
        <v>254</v>
      </c>
      <c r="I57" s="42"/>
      <c r="J57" s="42">
        <v>1</v>
      </c>
      <c r="K57" s="25" t="str">
        <f>VLOOKUP(J57,[2]Key!$E$2:$F$9,2,FALSE)</f>
        <v>Home</v>
      </c>
      <c r="L57" s="42" t="s">
        <v>37</v>
      </c>
      <c r="M57" s="43" t="s">
        <v>37</v>
      </c>
      <c r="N57" s="43" t="s">
        <v>254</v>
      </c>
      <c r="O57" s="43"/>
      <c r="P57" s="43">
        <v>1</v>
      </c>
      <c r="Q57" s="25" t="str">
        <f>VLOOKUP(P57,[2]Key!$E$2:$F$9,2,FALSE)</f>
        <v>Home</v>
      </c>
      <c r="R57" s="25" t="str">
        <f t="shared" si="0"/>
        <v>Home-Home</v>
      </c>
      <c r="S57" s="62"/>
      <c r="T57" s="62">
        <v>0.83333333333333337</v>
      </c>
      <c r="U57" s="72">
        <v>2</v>
      </c>
      <c r="V57" s="72"/>
      <c r="W57" s="62"/>
      <c r="X57" s="62"/>
      <c r="Y57" s="63"/>
      <c r="Z57" s="73"/>
      <c r="AA57" s="25"/>
      <c r="AB57" s="25"/>
    </row>
    <row r="58" spans="2:28">
      <c r="B58" s="40" t="s">
        <v>543</v>
      </c>
      <c r="C58" s="40"/>
      <c r="D58" s="41">
        <v>5</v>
      </c>
      <c r="E58" s="41">
        <v>1</v>
      </c>
      <c r="F58" s="42" t="s">
        <v>38</v>
      </c>
      <c r="G58" s="42" t="s">
        <v>37</v>
      </c>
      <c r="H58" s="42" t="s">
        <v>254</v>
      </c>
      <c r="I58" s="42"/>
      <c r="J58" s="42">
        <v>1</v>
      </c>
      <c r="K58" s="25" t="str">
        <f>VLOOKUP(J58,[2]Key!$E$2:$F$9,2,FALSE)</f>
        <v>Home</v>
      </c>
      <c r="L58" s="42" t="s">
        <v>37</v>
      </c>
      <c r="M58" s="43" t="s">
        <v>37</v>
      </c>
      <c r="N58" s="43" t="s">
        <v>254</v>
      </c>
      <c r="O58" s="43"/>
      <c r="P58" s="43">
        <v>1</v>
      </c>
      <c r="Q58" s="25" t="str">
        <f>VLOOKUP(P58,[2]Key!$E$2:$F$9,2,FALSE)</f>
        <v>Home</v>
      </c>
      <c r="R58" s="25" t="str">
        <f t="shared" si="0"/>
        <v>Home-Home</v>
      </c>
      <c r="S58" s="62"/>
      <c r="T58" s="62">
        <v>0.83333333333333337</v>
      </c>
      <c r="U58" s="72">
        <v>4</v>
      </c>
      <c r="V58" s="72"/>
      <c r="W58" s="62"/>
      <c r="X58" s="62"/>
      <c r="Y58" s="63"/>
      <c r="Z58" s="73"/>
      <c r="AA58" s="25"/>
      <c r="AB58" s="25"/>
    </row>
    <row r="59" spans="2:28">
      <c r="B59" s="40" t="s">
        <v>544</v>
      </c>
      <c r="C59" s="40"/>
      <c r="D59" s="41">
        <v>3</v>
      </c>
      <c r="E59" s="41">
        <v>3</v>
      </c>
      <c r="F59" s="42" t="s">
        <v>38</v>
      </c>
      <c r="G59" s="42" t="s">
        <v>37</v>
      </c>
      <c r="H59" s="42" t="s">
        <v>254</v>
      </c>
      <c r="I59" s="42"/>
      <c r="J59" s="42">
        <v>1</v>
      </c>
      <c r="K59" s="25" t="str">
        <f>VLOOKUP(J59,[2]Key!$E$2:$F$9,2,FALSE)</f>
        <v>Home</v>
      </c>
      <c r="L59" s="42" t="s">
        <v>241</v>
      </c>
      <c r="M59" s="43" t="s">
        <v>241</v>
      </c>
      <c r="N59" s="43" t="s">
        <v>254</v>
      </c>
      <c r="O59" s="43"/>
      <c r="P59" s="43">
        <v>1</v>
      </c>
      <c r="Q59" s="25" t="str">
        <f>VLOOKUP(P59,[2]Key!$E$2:$F$9,2,FALSE)</f>
        <v>Home</v>
      </c>
      <c r="R59" s="25" t="str">
        <f t="shared" si="0"/>
        <v>Home-Home</v>
      </c>
      <c r="S59" s="62"/>
      <c r="T59" s="62">
        <v>0</v>
      </c>
      <c r="U59" s="72">
        <v>3</v>
      </c>
      <c r="V59" s="72"/>
      <c r="W59" s="62"/>
      <c r="X59" s="62"/>
      <c r="Y59" s="63"/>
      <c r="Z59" s="73"/>
      <c r="AA59" s="25"/>
      <c r="AB59" s="25"/>
    </row>
    <row r="60" spans="2:28">
      <c r="B60" s="40" t="s">
        <v>545</v>
      </c>
      <c r="C60" s="40"/>
      <c r="D60" s="41">
        <v>4</v>
      </c>
      <c r="E60" s="41">
        <v>4</v>
      </c>
      <c r="F60" s="42" t="s">
        <v>38</v>
      </c>
      <c r="G60" s="42" t="s">
        <v>37</v>
      </c>
      <c r="H60" s="42" t="s">
        <v>254</v>
      </c>
      <c r="I60" s="42"/>
      <c r="J60" s="42">
        <v>1</v>
      </c>
      <c r="K60" s="25" t="str">
        <f>VLOOKUP(J60,[2]Key!$E$2:$F$9,2,FALSE)</f>
        <v>Home</v>
      </c>
      <c r="L60" s="42" t="s">
        <v>79</v>
      </c>
      <c r="M60" s="43" t="s">
        <v>240</v>
      </c>
      <c r="N60" s="43" t="s">
        <v>254</v>
      </c>
      <c r="O60" s="43"/>
      <c r="P60" s="43">
        <v>1</v>
      </c>
      <c r="Q60" s="25" t="str">
        <f>VLOOKUP(P60,[2]Key!$E$2:$F$9,2,FALSE)</f>
        <v>Home</v>
      </c>
      <c r="R60" s="25" t="str">
        <f t="shared" si="0"/>
        <v>Home-Home</v>
      </c>
      <c r="S60" s="62"/>
      <c r="T60" s="62">
        <v>3</v>
      </c>
      <c r="U60" s="72">
        <v>2</v>
      </c>
      <c r="V60" s="72"/>
      <c r="W60" s="62"/>
      <c r="X60" s="62"/>
      <c r="Y60" s="63"/>
      <c r="Z60" s="73"/>
      <c r="AA60" s="25"/>
      <c r="AB60" s="25"/>
    </row>
    <row r="61" spans="2:28">
      <c r="B61" s="40" t="s">
        <v>546</v>
      </c>
      <c r="C61" s="40"/>
      <c r="D61" s="41">
        <v>5</v>
      </c>
      <c r="E61" s="41">
        <v>3</v>
      </c>
      <c r="F61" s="42" t="s">
        <v>38</v>
      </c>
      <c r="G61" s="42" t="s">
        <v>37</v>
      </c>
      <c r="H61" s="42" t="s">
        <v>254</v>
      </c>
      <c r="I61" s="42"/>
      <c r="J61" s="42">
        <v>1</v>
      </c>
      <c r="K61" s="25" t="str">
        <f>VLOOKUP(J61,[2]Key!$E$2:$F$9,2,FALSE)</f>
        <v>Home</v>
      </c>
      <c r="L61" s="42" t="s">
        <v>37</v>
      </c>
      <c r="M61" s="43" t="s">
        <v>37</v>
      </c>
      <c r="N61" s="43" t="s">
        <v>254</v>
      </c>
      <c r="O61" s="43"/>
      <c r="P61" s="43">
        <v>1</v>
      </c>
      <c r="Q61" s="25" t="str">
        <f>VLOOKUP(P61,[2]Key!$E$2:$F$9,2,FALSE)</f>
        <v>Home</v>
      </c>
      <c r="R61" s="25" t="str">
        <f t="shared" si="0"/>
        <v>Home-Home</v>
      </c>
      <c r="S61" s="62"/>
      <c r="T61" s="62">
        <v>0</v>
      </c>
      <c r="U61" s="72">
        <v>1</v>
      </c>
      <c r="V61" s="72"/>
      <c r="W61" s="62"/>
      <c r="X61" s="62"/>
      <c r="Y61" s="63"/>
      <c r="Z61" s="73"/>
      <c r="AA61" s="25"/>
      <c r="AB61" s="25"/>
    </row>
    <row r="62" spans="2:28">
      <c r="B62" s="40" t="s">
        <v>423</v>
      </c>
      <c r="C62" s="40"/>
      <c r="D62" s="41">
        <v>2</v>
      </c>
      <c r="E62" s="41">
        <v>2</v>
      </c>
      <c r="F62" s="42" t="s">
        <v>38</v>
      </c>
      <c r="G62" s="42" t="s">
        <v>37</v>
      </c>
      <c r="H62" s="42" t="s">
        <v>254</v>
      </c>
      <c r="I62" s="42"/>
      <c r="J62" s="42">
        <v>2</v>
      </c>
      <c r="K62" s="25" t="str">
        <f>VLOOKUP(J62,[2]Key!$E$2:$F$9,2,FALSE)</f>
        <v>Work</v>
      </c>
      <c r="L62" s="42" t="s">
        <v>37</v>
      </c>
      <c r="M62" s="43" t="s">
        <v>37</v>
      </c>
      <c r="N62" s="43" t="s">
        <v>254</v>
      </c>
      <c r="O62" s="43"/>
      <c r="P62" s="43">
        <v>2</v>
      </c>
      <c r="Q62" s="25" t="str">
        <f>VLOOKUP(P62,[2]Key!$E$2:$F$9,2,FALSE)</f>
        <v>Work</v>
      </c>
      <c r="R62" s="25" t="str">
        <f t="shared" si="0"/>
        <v>Work-Work</v>
      </c>
      <c r="S62" s="62"/>
      <c r="T62" s="62">
        <v>0</v>
      </c>
      <c r="U62" s="72">
        <v>2</v>
      </c>
      <c r="V62" s="72"/>
      <c r="W62" s="62"/>
      <c r="X62" s="62"/>
      <c r="Y62" s="63"/>
      <c r="Z62" s="73"/>
      <c r="AA62" s="25"/>
      <c r="AB62" s="25"/>
    </row>
    <row r="63" spans="2:28">
      <c r="B63" s="40"/>
      <c r="C63" s="40"/>
      <c r="D63" s="40"/>
      <c r="E63" s="40"/>
      <c r="F63" s="40"/>
      <c r="G63" s="40"/>
      <c r="H63" s="42"/>
      <c r="I63" s="74"/>
      <c r="J63" s="74"/>
      <c r="K63" s="25"/>
      <c r="L63" s="42"/>
      <c r="M63" s="60"/>
      <c r="N63" s="42"/>
      <c r="O63" s="58"/>
      <c r="P63" s="58"/>
      <c r="Q63" s="25"/>
      <c r="R63" s="25"/>
      <c r="S63" s="75"/>
      <c r="T63" s="62"/>
      <c r="U63" s="58"/>
      <c r="V63" s="58"/>
      <c r="W63" s="75"/>
      <c r="X63" s="75"/>
      <c r="Y63" s="60"/>
      <c r="Z63" s="77"/>
      <c r="AA63" s="25"/>
      <c r="AB63" s="25"/>
    </row>
    <row r="64" spans="2:28">
      <c r="B64" s="40"/>
      <c r="C64" s="40"/>
      <c r="D64" s="40"/>
      <c r="E64" s="40"/>
      <c r="F64" s="40"/>
      <c r="G64" s="40"/>
      <c r="H64" s="42"/>
      <c r="I64" s="74"/>
      <c r="J64" s="74"/>
      <c r="K64" s="25"/>
      <c r="L64" s="42"/>
      <c r="M64" s="60"/>
      <c r="N64" s="42"/>
      <c r="O64" s="58"/>
      <c r="P64" s="58"/>
      <c r="Q64" s="25"/>
      <c r="R64" s="25"/>
      <c r="S64" s="75"/>
      <c r="T64" s="62"/>
      <c r="U64" s="58"/>
      <c r="V64" s="58"/>
      <c r="W64" s="75"/>
      <c r="X64" s="75"/>
      <c r="Y64" s="60"/>
      <c r="Z64" s="77"/>
      <c r="AA64" s="25"/>
      <c r="AB64" s="25"/>
    </row>
    <row r="65" spans="2:28">
      <c r="B65" s="40"/>
      <c r="C65" s="40"/>
      <c r="D65" s="40"/>
      <c r="E65" s="40"/>
      <c r="F65" s="40"/>
      <c r="G65" s="40"/>
      <c r="H65" s="42"/>
      <c r="I65" s="74"/>
      <c r="J65" s="74"/>
      <c r="K65" s="25"/>
      <c r="L65" s="42"/>
      <c r="M65" s="60"/>
      <c r="N65" s="42"/>
      <c r="O65" s="58"/>
      <c r="P65" s="58"/>
      <c r="Q65" s="25"/>
      <c r="R65" s="25"/>
      <c r="S65" s="75"/>
      <c r="T65" s="62"/>
      <c r="U65" s="58"/>
      <c r="V65" s="58"/>
      <c r="W65" s="75"/>
      <c r="X65" s="75"/>
      <c r="Y65" s="60"/>
      <c r="Z65" s="77"/>
      <c r="AA65" s="25"/>
      <c r="AB65" s="25"/>
    </row>
    <row r="66" spans="2:28">
      <c r="B66" s="40"/>
      <c r="C66" s="40"/>
      <c r="D66" s="40"/>
      <c r="E66" s="40"/>
      <c r="F66" s="40"/>
      <c r="G66" s="40"/>
      <c r="H66" s="42"/>
      <c r="I66" s="74"/>
      <c r="J66" s="74"/>
      <c r="K66" s="25"/>
      <c r="L66" s="42"/>
      <c r="M66" s="60"/>
      <c r="N66" s="42"/>
      <c r="O66" s="58"/>
      <c r="P66" s="58"/>
      <c r="Q66" s="25"/>
      <c r="R66" s="25"/>
      <c r="S66" s="75"/>
      <c r="T66" s="62"/>
      <c r="U66" s="58"/>
      <c r="V66" s="58"/>
      <c r="W66" s="75"/>
      <c r="X66" s="75"/>
      <c r="Y66" s="60"/>
      <c r="Z66" s="77"/>
      <c r="AA66" s="25"/>
      <c r="AB66" s="25"/>
    </row>
    <row r="67" spans="2:28">
      <c r="B67" s="40"/>
      <c r="C67" s="40"/>
      <c r="D67" s="40"/>
      <c r="E67" s="40"/>
      <c r="F67" s="40"/>
      <c r="G67" s="40"/>
      <c r="H67" s="42"/>
      <c r="I67" s="74"/>
      <c r="J67" s="74"/>
      <c r="K67" s="25"/>
      <c r="L67" s="42"/>
      <c r="M67" s="60"/>
      <c r="N67" s="42"/>
      <c r="O67" s="58"/>
      <c r="P67" s="58"/>
      <c r="Q67" s="25"/>
      <c r="R67" s="25"/>
      <c r="S67" s="75"/>
      <c r="T67" s="62"/>
      <c r="U67" s="58"/>
      <c r="V67" s="58"/>
      <c r="W67" s="75"/>
      <c r="X67" s="75"/>
      <c r="Y67" s="60"/>
      <c r="Z67" s="77"/>
      <c r="AA67" s="25"/>
      <c r="AB67" s="25"/>
    </row>
    <row r="68" spans="2:28">
      <c r="B68" s="40"/>
      <c r="C68" s="40"/>
      <c r="D68" s="40"/>
      <c r="E68" s="40"/>
      <c r="F68" s="40"/>
      <c r="G68" s="40"/>
      <c r="H68" s="42"/>
      <c r="I68" s="74"/>
      <c r="J68" s="74"/>
      <c r="K68" s="25"/>
      <c r="L68" s="42"/>
      <c r="M68" s="60"/>
      <c r="N68" s="42"/>
      <c r="O68" s="58"/>
      <c r="P68" s="58"/>
      <c r="Q68" s="25"/>
      <c r="R68" s="25"/>
      <c r="S68" s="75"/>
      <c r="T68" s="62"/>
      <c r="U68" s="58"/>
      <c r="V68" s="58"/>
      <c r="W68" s="75"/>
      <c r="X68" s="75"/>
      <c r="Y68" s="60"/>
      <c r="Z68" s="77"/>
      <c r="AA68" s="25"/>
      <c r="AB68" s="25"/>
    </row>
    <row r="69" spans="2:28">
      <c r="B69" s="40"/>
      <c r="C69" s="40"/>
      <c r="D69" s="40"/>
      <c r="E69" s="40"/>
      <c r="F69" s="40"/>
      <c r="G69" s="40"/>
      <c r="H69" s="42"/>
      <c r="I69" s="74"/>
      <c r="J69" s="74"/>
      <c r="K69" s="25"/>
      <c r="L69" s="42"/>
      <c r="M69" s="60"/>
      <c r="N69" s="42"/>
      <c r="O69" s="58"/>
      <c r="P69" s="58"/>
      <c r="Q69" s="25"/>
      <c r="R69" s="25"/>
      <c r="S69" s="75"/>
      <c r="T69" s="62"/>
      <c r="U69" s="58"/>
      <c r="V69" s="58"/>
      <c r="W69" s="75"/>
      <c r="X69" s="75"/>
      <c r="Y69" s="60"/>
      <c r="Z69" s="77"/>
      <c r="AA69" s="25"/>
      <c r="AB69" s="25"/>
    </row>
    <row r="70" spans="2:28">
      <c r="B70" s="40"/>
      <c r="C70" s="40"/>
      <c r="D70" s="40"/>
      <c r="E70" s="40"/>
      <c r="F70" s="40"/>
      <c r="G70" s="40"/>
      <c r="H70" s="42"/>
      <c r="I70" s="74"/>
      <c r="J70" s="74"/>
      <c r="K70" s="25"/>
      <c r="L70" s="42"/>
      <c r="M70" s="60"/>
      <c r="N70" s="42"/>
      <c r="O70" s="58"/>
      <c r="P70" s="58"/>
      <c r="Q70" s="25"/>
      <c r="R70" s="25"/>
      <c r="S70" s="75"/>
      <c r="T70" s="62"/>
      <c r="U70" s="58"/>
      <c r="V70" s="58"/>
      <c r="W70" s="75"/>
      <c r="X70" s="75"/>
      <c r="Y70" s="60"/>
      <c r="Z70" s="77"/>
      <c r="AA70" s="25"/>
      <c r="AB70" s="25"/>
    </row>
    <row r="71" spans="2:28">
      <c r="B71" s="40"/>
      <c r="C71" s="40"/>
      <c r="D71" s="40"/>
      <c r="E71" s="40"/>
      <c r="F71" s="40"/>
      <c r="G71" s="40"/>
      <c r="H71" s="42"/>
      <c r="I71" s="43"/>
      <c r="J71" s="43"/>
      <c r="K71" s="25"/>
      <c r="L71" s="42"/>
      <c r="M71" s="43"/>
      <c r="N71" s="42"/>
      <c r="O71" s="42"/>
      <c r="P71" s="42"/>
      <c r="Q71" s="25"/>
      <c r="R71" s="25"/>
      <c r="S71" s="62"/>
      <c r="T71" s="62"/>
      <c r="U71" s="43"/>
      <c r="V71" s="43"/>
      <c r="W71" s="62"/>
      <c r="X71" s="62"/>
      <c r="Y71" s="63"/>
      <c r="Z71" s="76"/>
      <c r="AA71" s="25"/>
      <c r="AB71" s="25"/>
    </row>
    <row r="72" spans="2:28">
      <c r="B72" s="40"/>
      <c r="C72" s="40"/>
      <c r="D72" s="40"/>
      <c r="E72" s="40"/>
      <c r="F72" s="40"/>
      <c r="G72" s="40"/>
      <c r="H72" s="42"/>
      <c r="I72" s="43"/>
      <c r="J72" s="43"/>
      <c r="K72" s="25"/>
      <c r="L72" s="42"/>
      <c r="M72" s="43"/>
      <c r="N72" s="42"/>
      <c r="O72" s="42"/>
      <c r="P72" s="42"/>
      <c r="Q72" s="25"/>
      <c r="R72" s="25"/>
      <c r="S72" s="62"/>
      <c r="T72" s="62"/>
      <c r="U72" s="43"/>
      <c r="V72" s="43"/>
      <c r="W72" s="62"/>
      <c r="X72" s="62"/>
      <c r="Y72" s="63"/>
      <c r="Z72" s="76"/>
      <c r="AA72" s="25"/>
      <c r="AB72" s="25"/>
    </row>
    <row r="73" spans="2:28">
      <c r="B73" s="40"/>
      <c r="C73" s="40"/>
      <c r="D73" s="40"/>
      <c r="E73" s="40"/>
      <c r="F73" s="40"/>
      <c r="G73" s="40"/>
      <c r="H73" s="42"/>
      <c r="I73" s="43"/>
      <c r="J73" s="43"/>
      <c r="K73" s="25"/>
      <c r="L73" s="42"/>
      <c r="M73" s="43"/>
      <c r="N73" s="42"/>
      <c r="O73" s="42"/>
      <c r="P73" s="42"/>
      <c r="Q73" s="25"/>
      <c r="R73" s="25"/>
      <c r="S73" s="62"/>
      <c r="T73" s="62"/>
      <c r="U73" s="43"/>
      <c r="V73" s="43"/>
      <c r="W73" s="62"/>
      <c r="X73" s="62"/>
      <c r="Y73" s="63"/>
      <c r="Z73" s="76"/>
      <c r="AA73" s="25"/>
      <c r="AB73" s="25"/>
    </row>
    <row r="74" spans="2:28">
      <c r="B74" s="40"/>
      <c r="C74" s="40"/>
      <c r="D74" s="40"/>
      <c r="E74" s="40"/>
      <c r="F74" s="40"/>
      <c r="G74" s="40"/>
      <c r="H74" s="42"/>
      <c r="I74" s="43"/>
      <c r="J74" s="43"/>
      <c r="K74" s="25"/>
      <c r="L74" s="42"/>
      <c r="M74" s="43"/>
      <c r="N74" s="42"/>
      <c r="O74" s="42"/>
      <c r="P74" s="42"/>
      <c r="Q74" s="25"/>
      <c r="R74" s="25"/>
      <c r="S74" s="62"/>
      <c r="T74" s="62"/>
      <c r="U74" s="43"/>
      <c r="V74" s="43"/>
      <c r="W74" s="62"/>
      <c r="X74" s="62"/>
      <c r="Y74" s="63"/>
      <c r="Z74" s="76"/>
      <c r="AA74" s="25"/>
      <c r="AB74" s="25"/>
    </row>
    <row r="75" spans="2:28">
      <c r="B75" s="40"/>
      <c r="C75" s="40"/>
      <c r="D75" s="40"/>
      <c r="E75" s="40"/>
      <c r="F75" s="40"/>
      <c r="G75" s="40"/>
      <c r="H75" s="42"/>
      <c r="I75" s="43"/>
      <c r="J75" s="43"/>
      <c r="K75" s="25"/>
      <c r="L75" s="42"/>
      <c r="M75" s="43"/>
      <c r="N75" s="42"/>
      <c r="O75" s="42"/>
      <c r="P75" s="42"/>
      <c r="Q75" s="25"/>
      <c r="R75" s="25"/>
      <c r="S75" s="62"/>
      <c r="T75" s="62"/>
      <c r="U75" s="43"/>
      <c r="V75" s="43"/>
      <c r="W75" s="62"/>
      <c r="X75" s="62"/>
      <c r="Y75" s="63"/>
      <c r="Z75" s="76"/>
      <c r="AA75" s="25"/>
      <c r="AB75" s="25"/>
    </row>
    <row r="76" spans="2:28">
      <c r="B76" s="40"/>
      <c r="C76" s="40"/>
      <c r="D76" s="40"/>
      <c r="E76" s="40"/>
      <c r="F76" s="40"/>
      <c r="G76" s="40"/>
      <c r="H76" s="42"/>
      <c r="I76" s="43"/>
      <c r="J76" s="43"/>
      <c r="K76" s="25"/>
      <c r="L76" s="42"/>
      <c r="M76" s="43"/>
      <c r="N76" s="42"/>
      <c r="O76" s="42"/>
      <c r="P76" s="42"/>
      <c r="Q76" s="25"/>
      <c r="R76" s="25"/>
      <c r="S76" s="62"/>
      <c r="T76" s="62"/>
      <c r="U76" s="43"/>
      <c r="V76" s="43"/>
      <c r="W76" s="62"/>
      <c r="X76" s="62"/>
      <c r="Y76" s="63"/>
      <c r="Z76" s="76"/>
      <c r="AA76" s="25"/>
      <c r="AB76" s="25"/>
    </row>
    <row r="77" spans="2:28">
      <c r="B77" s="40"/>
      <c r="C77" s="40"/>
      <c r="D77" s="40"/>
      <c r="E77" s="40"/>
      <c r="F77" s="40"/>
      <c r="G77" s="40"/>
      <c r="H77" s="42"/>
      <c r="I77" s="43"/>
      <c r="J77" s="43"/>
      <c r="K77" s="25"/>
      <c r="L77" s="42"/>
      <c r="M77" s="43"/>
      <c r="N77" s="42"/>
      <c r="O77" s="42"/>
      <c r="P77" s="42"/>
      <c r="Q77" s="25"/>
      <c r="R77" s="25"/>
      <c r="S77" s="62"/>
      <c r="T77" s="62"/>
      <c r="U77" s="43"/>
      <c r="V77" s="43"/>
      <c r="W77" s="62"/>
      <c r="X77" s="62"/>
      <c r="Y77" s="63"/>
      <c r="Z77" s="76"/>
      <c r="AA77" s="25"/>
      <c r="AB77" s="25"/>
    </row>
    <row r="78" spans="2:28">
      <c r="B78" s="40"/>
      <c r="C78" s="40"/>
      <c r="D78" s="40"/>
      <c r="E78" s="40"/>
      <c r="F78" s="40"/>
      <c r="G78" s="40"/>
      <c r="H78" s="42"/>
      <c r="I78" s="43"/>
      <c r="J78" s="43"/>
      <c r="K78" s="25"/>
      <c r="L78" s="42"/>
      <c r="M78" s="43"/>
      <c r="N78" s="42"/>
      <c r="O78" s="42"/>
      <c r="P78" s="42"/>
      <c r="Q78" s="25"/>
      <c r="R78" s="25"/>
      <c r="S78" s="62"/>
      <c r="T78" s="62"/>
      <c r="U78" s="43"/>
      <c r="V78" s="43"/>
      <c r="W78" s="62"/>
      <c r="X78" s="62"/>
      <c r="Y78" s="63"/>
      <c r="Z78" s="76"/>
      <c r="AA78" s="25"/>
      <c r="AB78" s="25"/>
    </row>
    <row r="79" spans="2:28">
      <c r="B79" s="40"/>
      <c r="C79" s="40"/>
      <c r="D79" s="40"/>
      <c r="E79" s="40"/>
      <c r="F79" s="40"/>
      <c r="G79" s="40"/>
      <c r="H79" s="42"/>
      <c r="I79" s="43"/>
      <c r="J79" s="43"/>
      <c r="K79" s="25"/>
      <c r="L79" s="42"/>
      <c r="M79" s="43"/>
      <c r="N79" s="42"/>
      <c r="O79" s="42"/>
      <c r="P79" s="42"/>
      <c r="Q79" s="25"/>
      <c r="R79" s="25"/>
      <c r="S79" s="62"/>
      <c r="T79" s="62"/>
      <c r="U79" s="43"/>
      <c r="V79" s="43"/>
      <c r="W79" s="62"/>
      <c r="X79" s="62"/>
      <c r="Y79" s="63"/>
      <c r="Z79" s="76"/>
      <c r="AA79" s="25"/>
      <c r="AB79" s="25"/>
    </row>
    <row r="80" spans="2:28">
      <c r="B80" s="40"/>
      <c r="C80" s="40"/>
      <c r="D80" s="40"/>
      <c r="E80" s="40"/>
      <c r="F80" s="40"/>
      <c r="G80" s="40"/>
      <c r="H80" s="42"/>
      <c r="I80" s="43"/>
      <c r="J80" s="43"/>
      <c r="K80" s="25"/>
      <c r="L80" s="42"/>
      <c r="M80" s="43"/>
      <c r="N80" s="42"/>
      <c r="O80" s="42"/>
      <c r="P80" s="42"/>
      <c r="Q80" s="25"/>
      <c r="R80" s="25"/>
      <c r="S80" s="62"/>
      <c r="T80" s="62"/>
      <c r="U80" s="43"/>
      <c r="V80" s="43"/>
      <c r="W80" s="62"/>
      <c r="X80" s="62"/>
      <c r="Y80" s="63"/>
      <c r="Z80" s="76"/>
      <c r="AA80" s="25"/>
      <c r="AB80" s="25"/>
    </row>
    <row r="81" spans="2:28">
      <c r="B81" s="40"/>
      <c r="C81" s="40"/>
      <c r="D81" s="40"/>
      <c r="E81" s="40"/>
      <c r="F81" s="40"/>
      <c r="G81" s="40"/>
      <c r="H81" s="42"/>
      <c r="I81" s="43"/>
      <c r="J81" s="43"/>
      <c r="K81" s="25"/>
      <c r="L81" s="42"/>
      <c r="M81" s="43"/>
      <c r="N81" s="42"/>
      <c r="O81" s="42"/>
      <c r="P81" s="42"/>
      <c r="Q81" s="25"/>
      <c r="R81" s="25"/>
      <c r="S81" s="62"/>
      <c r="T81" s="62"/>
      <c r="U81" s="43"/>
      <c r="V81" s="43"/>
      <c r="W81" s="62"/>
      <c r="X81" s="62"/>
      <c r="Y81" s="63"/>
      <c r="Z81" s="76"/>
      <c r="AA81" s="25"/>
      <c r="AB81" s="25"/>
    </row>
    <row r="82" spans="2:28">
      <c r="B82" s="40"/>
      <c r="C82" s="40"/>
      <c r="D82" s="40"/>
      <c r="E82" s="40"/>
      <c r="F82" s="40"/>
      <c r="G82" s="40"/>
      <c r="H82" s="42"/>
      <c r="I82" s="43"/>
      <c r="J82" s="43"/>
      <c r="K82" s="25"/>
      <c r="L82" s="42"/>
      <c r="M82" s="43"/>
      <c r="N82" s="42"/>
      <c r="O82" s="42"/>
      <c r="P82" s="42"/>
      <c r="Q82" s="25"/>
      <c r="R82" s="25"/>
      <c r="S82" s="62"/>
      <c r="T82" s="62"/>
      <c r="U82" s="43"/>
      <c r="V82" s="43"/>
      <c r="W82" s="62"/>
      <c r="X82" s="62"/>
      <c r="Y82" s="63"/>
      <c r="Z82" s="76"/>
      <c r="AA82" s="25"/>
      <c r="AB82" s="25"/>
    </row>
    <row r="83" spans="2:28">
      <c r="B83" s="40"/>
      <c r="C83" s="40"/>
      <c r="D83" s="40"/>
      <c r="E83" s="40"/>
      <c r="F83" s="40"/>
      <c r="G83" s="40"/>
      <c r="H83" s="42"/>
      <c r="I83" s="43"/>
      <c r="J83" s="43"/>
      <c r="K83" s="25"/>
      <c r="L83" s="42"/>
      <c r="M83" s="43"/>
      <c r="N83" s="42"/>
      <c r="O83" s="42"/>
      <c r="P83" s="42"/>
      <c r="Q83" s="25"/>
      <c r="R83" s="25"/>
      <c r="S83" s="62"/>
      <c r="T83" s="62"/>
      <c r="U83" s="43"/>
      <c r="V83" s="43"/>
      <c r="W83" s="62"/>
      <c r="X83" s="62"/>
      <c r="Y83" s="63"/>
      <c r="Z83" s="76"/>
      <c r="AA83" s="25"/>
      <c r="AB83" s="25"/>
    </row>
    <row r="84" spans="2:28">
      <c r="B84" s="40"/>
      <c r="C84" s="40"/>
      <c r="D84" s="40"/>
      <c r="E84" s="40"/>
      <c r="F84" s="40"/>
      <c r="G84" s="40"/>
      <c r="H84" s="42"/>
      <c r="I84" s="43"/>
      <c r="J84" s="43"/>
      <c r="K84" s="25"/>
      <c r="L84" s="42"/>
      <c r="M84" s="43"/>
      <c r="N84" s="42"/>
      <c r="O84" s="42"/>
      <c r="P84" s="42"/>
      <c r="Q84" s="25"/>
      <c r="R84" s="25"/>
      <c r="S84" s="62"/>
      <c r="T84" s="62"/>
      <c r="U84" s="43"/>
      <c r="V84" s="43"/>
      <c r="W84" s="62"/>
      <c r="X84" s="62"/>
      <c r="Y84" s="63"/>
      <c r="Z84" s="76"/>
      <c r="AA84" s="25"/>
      <c r="AB84" s="25"/>
    </row>
    <row r="85" spans="2:28">
      <c r="B85" s="40"/>
      <c r="C85" s="40"/>
      <c r="D85" s="40"/>
      <c r="E85" s="40"/>
      <c r="F85" s="40"/>
      <c r="G85" s="40"/>
      <c r="H85" s="42"/>
      <c r="I85" s="43"/>
      <c r="J85" s="43"/>
      <c r="K85" s="25"/>
      <c r="L85" s="42"/>
      <c r="M85" s="43"/>
      <c r="N85" s="42"/>
      <c r="O85" s="42"/>
      <c r="P85" s="42"/>
      <c r="Q85" s="25"/>
      <c r="R85" s="25"/>
      <c r="S85" s="62"/>
      <c r="T85" s="62"/>
      <c r="U85" s="43"/>
      <c r="V85" s="43"/>
      <c r="W85" s="62"/>
      <c r="X85" s="62"/>
      <c r="Y85" s="63"/>
      <c r="Z85" s="76"/>
      <c r="AA85" s="25"/>
      <c r="AB85" s="25"/>
    </row>
    <row r="86" spans="2:28">
      <c r="B86" s="40"/>
      <c r="C86" s="40"/>
      <c r="D86" s="40"/>
      <c r="E86" s="40"/>
      <c r="F86" s="40"/>
      <c r="G86" s="40"/>
      <c r="H86" s="42"/>
      <c r="I86" s="43"/>
      <c r="J86" s="43"/>
      <c r="K86" s="25"/>
      <c r="L86" s="42"/>
      <c r="M86" s="43"/>
      <c r="N86" s="42"/>
      <c r="O86" s="42"/>
      <c r="P86" s="42"/>
      <c r="Q86" s="25"/>
      <c r="R86" s="25"/>
      <c r="S86" s="62"/>
      <c r="T86" s="62"/>
      <c r="U86" s="43"/>
      <c r="V86" s="43"/>
      <c r="W86" s="62"/>
      <c r="X86" s="62"/>
      <c r="Y86" s="63"/>
      <c r="Z86" s="76"/>
      <c r="AA86" s="25"/>
      <c r="AB86" s="25"/>
    </row>
    <row r="87" spans="2:28">
      <c r="B87" s="40"/>
      <c r="C87" s="40"/>
      <c r="D87" s="40"/>
      <c r="E87" s="40"/>
      <c r="F87" s="40"/>
      <c r="G87" s="40"/>
      <c r="H87" s="42"/>
      <c r="I87" s="43"/>
      <c r="J87" s="43"/>
      <c r="K87" s="25"/>
      <c r="L87" s="42"/>
      <c r="M87" s="43"/>
      <c r="N87" s="42"/>
      <c r="O87" s="42"/>
      <c r="P87" s="42"/>
      <c r="Q87" s="25"/>
      <c r="R87" s="25"/>
      <c r="S87" s="62"/>
      <c r="T87" s="62"/>
      <c r="U87" s="43"/>
      <c r="V87" s="43"/>
      <c r="W87" s="62"/>
      <c r="X87" s="62"/>
      <c r="Y87" s="63"/>
      <c r="Z87" s="76"/>
      <c r="AA87" s="25"/>
      <c r="AB87" s="25"/>
    </row>
    <row r="88" spans="2:28">
      <c r="B88" s="40"/>
      <c r="C88" s="40"/>
      <c r="D88" s="40"/>
      <c r="E88" s="40"/>
      <c r="F88" s="40"/>
      <c r="G88" s="40"/>
      <c r="H88" s="42"/>
      <c r="I88" s="43"/>
      <c r="J88" s="43"/>
      <c r="K88" s="25"/>
      <c r="L88" s="42"/>
      <c r="M88" s="43"/>
      <c r="N88" s="42"/>
      <c r="O88" s="42"/>
      <c r="P88" s="42"/>
      <c r="Q88" s="25"/>
      <c r="R88" s="25"/>
      <c r="S88" s="62"/>
      <c r="T88" s="62"/>
      <c r="U88" s="43"/>
      <c r="V88" s="43"/>
      <c r="W88" s="62"/>
      <c r="X88" s="62"/>
      <c r="Y88" s="63"/>
      <c r="Z88" s="76"/>
      <c r="AA88" s="25"/>
      <c r="AB88" s="25"/>
    </row>
    <row r="89" spans="2:28">
      <c r="B89" s="40"/>
      <c r="C89" s="40"/>
      <c r="D89" s="40"/>
      <c r="E89" s="40"/>
      <c r="F89" s="40"/>
      <c r="G89" s="40"/>
      <c r="H89" s="42"/>
      <c r="I89" s="43"/>
      <c r="J89" s="43"/>
      <c r="K89" s="25"/>
      <c r="L89" s="42"/>
      <c r="M89" s="43"/>
      <c r="N89" s="42"/>
      <c r="O89" s="42"/>
      <c r="P89" s="42"/>
      <c r="Q89" s="25"/>
      <c r="R89" s="25"/>
      <c r="S89" s="62"/>
      <c r="T89" s="62"/>
      <c r="U89" s="43"/>
      <c r="V89" s="43"/>
      <c r="W89" s="62"/>
      <c r="X89" s="62"/>
      <c r="Y89" s="63"/>
      <c r="Z89" s="76"/>
      <c r="AA89" s="25"/>
      <c r="AB89" s="25"/>
    </row>
    <row r="90" spans="2:28">
      <c r="B90" s="40"/>
      <c r="C90" s="40"/>
      <c r="D90" s="40"/>
      <c r="E90" s="40"/>
      <c r="F90" s="40"/>
      <c r="G90" s="40"/>
      <c r="H90" s="42"/>
      <c r="I90" s="43"/>
      <c r="J90" s="43"/>
      <c r="K90" s="25"/>
      <c r="L90" s="42"/>
      <c r="M90" s="43"/>
      <c r="N90" s="42"/>
      <c r="O90" s="42"/>
      <c r="P90" s="42"/>
      <c r="Q90" s="25"/>
      <c r="R90" s="25"/>
      <c r="S90" s="62"/>
      <c r="T90" s="62"/>
      <c r="U90" s="43"/>
      <c r="V90" s="43"/>
      <c r="W90" s="62"/>
      <c r="X90" s="62"/>
      <c r="Y90" s="63"/>
      <c r="Z90" s="76"/>
      <c r="AA90" s="25"/>
      <c r="AB90" s="25"/>
    </row>
    <row r="91" spans="2:28">
      <c r="B91" s="40"/>
      <c r="C91" s="40"/>
      <c r="D91" s="40"/>
      <c r="E91" s="40"/>
      <c r="F91" s="40"/>
      <c r="G91" s="40"/>
      <c r="H91" s="42"/>
      <c r="I91" s="43"/>
      <c r="J91" s="43"/>
      <c r="K91" s="25"/>
      <c r="L91" s="42"/>
      <c r="M91" s="43"/>
      <c r="N91" s="42"/>
      <c r="O91" s="42"/>
      <c r="P91" s="42"/>
      <c r="Q91" s="25"/>
      <c r="R91" s="25"/>
      <c r="S91" s="62"/>
      <c r="T91" s="62"/>
      <c r="U91" s="43"/>
      <c r="V91" s="43"/>
      <c r="W91" s="62"/>
      <c r="X91" s="62"/>
      <c r="Y91" s="63"/>
      <c r="Z91" s="76"/>
      <c r="AA91" s="25"/>
      <c r="AB91" s="25"/>
    </row>
    <row r="92" spans="2:28">
      <c r="B92" s="40"/>
      <c r="C92" s="40"/>
      <c r="D92" s="40"/>
      <c r="E92" s="40"/>
      <c r="F92" s="40"/>
      <c r="G92" s="40"/>
      <c r="H92" s="42"/>
      <c r="I92" s="43"/>
      <c r="J92" s="43"/>
      <c r="K92" s="25"/>
      <c r="L92" s="42"/>
      <c r="M92" s="43"/>
      <c r="N92" s="42"/>
      <c r="O92" s="42"/>
      <c r="P92" s="42"/>
      <c r="Q92" s="25"/>
      <c r="R92" s="25"/>
      <c r="S92" s="62"/>
      <c r="T92" s="62"/>
      <c r="U92" s="43"/>
      <c r="V92" s="43"/>
      <c r="W92" s="62"/>
      <c r="X92" s="62"/>
      <c r="Y92" s="63"/>
      <c r="Z92" s="76"/>
      <c r="AA92" s="25"/>
      <c r="AB92" s="25"/>
    </row>
    <row r="93" spans="2:28">
      <c r="B93" s="40"/>
      <c r="C93" s="40"/>
      <c r="D93" s="40"/>
      <c r="E93" s="40"/>
      <c r="F93" s="40"/>
      <c r="G93" s="40"/>
      <c r="H93" s="42"/>
      <c r="I93" s="43"/>
      <c r="J93" s="43"/>
      <c r="K93" s="25"/>
      <c r="L93" s="42"/>
      <c r="M93" s="43"/>
      <c r="N93" s="42"/>
      <c r="O93" s="42"/>
      <c r="P93" s="42"/>
      <c r="Q93" s="25"/>
      <c r="R93" s="25"/>
      <c r="S93" s="62"/>
      <c r="T93" s="62"/>
      <c r="U93" s="43"/>
      <c r="V93" s="43"/>
      <c r="W93" s="62"/>
      <c r="X93" s="62"/>
      <c r="Y93" s="63"/>
      <c r="Z93" s="76"/>
      <c r="AA93" s="25"/>
      <c r="AB93" s="25"/>
    </row>
    <row r="94" spans="2:28">
      <c r="B94" s="40"/>
      <c r="C94" s="40"/>
      <c r="D94" s="40"/>
      <c r="E94" s="40"/>
      <c r="F94" s="40"/>
      <c r="G94" s="40"/>
      <c r="H94" s="42"/>
      <c r="I94" s="43"/>
      <c r="J94" s="43"/>
      <c r="K94" s="25"/>
      <c r="L94" s="42"/>
      <c r="M94" s="43"/>
      <c r="N94" s="42"/>
      <c r="O94" s="42"/>
      <c r="P94" s="42"/>
      <c r="Q94" s="25"/>
      <c r="R94" s="25"/>
      <c r="S94" s="62"/>
      <c r="T94" s="62"/>
      <c r="U94" s="43"/>
      <c r="V94" s="43"/>
      <c r="W94" s="62"/>
      <c r="X94" s="62"/>
      <c r="Y94" s="63"/>
      <c r="Z94" s="76"/>
      <c r="AA94" s="25"/>
      <c r="AB94" s="25"/>
    </row>
    <row r="95" spans="2:28">
      <c r="B95" s="40"/>
      <c r="C95" s="40"/>
      <c r="D95" s="40"/>
      <c r="E95" s="40"/>
      <c r="F95" s="40"/>
      <c r="G95" s="40"/>
      <c r="H95" s="42"/>
      <c r="I95" s="43"/>
      <c r="J95" s="43"/>
      <c r="K95" s="25"/>
      <c r="L95" s="42"/>
      <c r="M95" s="43"/>
      <c r="N95" s="42"/>
      <c r="O95" s="42"/>
      <c r="P95" s="42"/>
      <c r="Q95" s="25"/>
      <c r="R95" s="25"/>
      <c r="S95" s="62"/>
      <c r="T95" s="62"/>
      <c r="U95" s="43"/>
      <c r="V95" s="43"/>
      <c r="W95" s="62"/>
      <c r="X95" s="62"/>
      <c r="Y95" s="63"/>
      <c r="Z95" s="76"/>
      <c r="AA95" s="25"/>
      <c r="AB95" s="25"/>
    </row>
    <row r="96" spans="2:28">
      <c r="B96" s="40"/>
      <c r="C96" s="40"/>
      <c r="D96" s="40"/>
      <c r="E96" s="40"/>
      <c r="F96" s="40"/>
      <c r="G96" s="40"/>
      <c r="H96" s="42"/>
      <c r="I96" s="43"/>
      <c r="J96" s="43"/>
      <c r="K96" s="25"/>
      <c r="L96" s="42"/>
      <c r="M96" s="43"/>
      <c r="N96" s="42"/>
      <c r="O96" s="42"/>
      <c r="P96" s="42"/>
      <c r="Q96" s="25"/>
      <c r="R96" s="25"/>
      <c r="S96" s="62"/>
      <c r="T96" s="62"/>
      <c r="U96" s="43"/>
      <c r="V96" s="43"/>
      <c r="W96" s="62"/>
      <c r="X96" s="62"/>
      <c r="Y96" s="63"/>
      <c r="Z96" s="76"/>
      <c r="AA96" s="25"/>
      <c r="AB96" s="25"/>
    </row>
    <row r="97" spans="2:28">
      <c r="B97" s="40"/>
      <c r="C97" s="40"/>
      <c r="D97" s="40"/>
      <c r="E97" s="40"/>
      <c r="F97" s="40"/>
      <c r="G97" s="40"/>
      <c r="H97" s="42"/>
      <c r="I97" s="43"/>
      <c r="J97" s="43"/>
      <c r="K97" s="25"/>
      <c r="L97" s="42"/>
      <c r="M97" s="43"/>
      <c r="N97" s="42"/>
      <c r="O97" s="42"/>
      <c r="P97" s="42"/>
      <c r="Q97" s="25"/>
      <c r="R97" s="25"/>
      <c r="S97" s="62"/>
      <c r="T97" s="62"/>
      <c r="U97" s="43"/>
      <c r="V97" s="43"/>
      <c r="W97" s="62"/>
      <c r="X97" s="62"/>
      <c r="Y97" s="63"/>
      <c r="Z97" s="76"/>
      <c r="AA97" s="25"/>
      <c r="AB97" s="25"/>
    </row>
    <row r="98" spans="2:28">
      <c r="B98" s="40"/>
      <c r="C98" s="40"/>
      <c r="D98" s="40"/>
      <c r="E98" s="40"/>
      <c r="F98" s="40"/>
      <c r="G98" s="40"/>
      <c r="H98" s="42"/>
      <c r="I98" s="43"/>
      <c r="J98" s="43"/>
      <c r="K98" s="25"/>
      <c r="L98" s="42"/>
      <c r="M98" s="43"/>
      <c r="N98" s="42"/>
      <c r="O98" s="42"/>
      <c r="P98" s="42"/>
      <c r="Q98" s="25"/>
      <c r="R98" s="25"/>
      <c r="S98" s="62"/>
      <c r="T98" s="62"/>
      <c r="U98" s="43"/>
      <c r="V98" s="43"/>
      <c r="W98" s="62"/>
      <c r="X98" s="62"/>
      <c r="Y98" s="63"/>
      <c r="Z98" s="76"/>
      <c r="AA98" s="25"/>
      <c r="AB98" s="25"/>
    </row>
    <row r="99" spans="2:28">
      <c r="B99" s="40"/>
      <c r="C99" s="40"/>
      <c r="D99" s="40"/>
      <c r="E99" s="40"/>
      <c r="F99" s="40"/>
      <c r="G99" s="40"/>
      <c r="H99" s="42"/>
      <c r="I99" s="43"/>
      <c r="J99" s="43"/>
      <c r="K99" s="25"/>
      <c r="L99" s="42"/>
      <c r="M99" s="43"/>
      <c r="N99" s="42"/>
      <c r="O99" s="42"/>
      <c r="P99" s="42"/>
      <c r="Q99" s="25"/>
      <c r="R99" s="25"/>
      <c r="S99" s="62"/>
      <c r="T99" s="62"/>
      <c r="U99" s="43"/>
      <c r="V99" s="43"/>
      <c r="W99" s="62"/>
      <c r="X99" s="62"/>
      <c r="Y99" s="63"/>
      <c r="Z99" s="76"/>
      <c r="AA99" s="25"/>
      <c r="AB99" s="25"/>
    </row>
    <row r="100" spans="2:28">
      <c r="B100" s="40"/>
      <c r="C100" s="40"/>
      <c r="D100" s="40"/>
      <c r="E100" s="40"/>
      <c r="F100" s="40"/>
      <c r="G100" s="40"/>
      <c r="H100" s="42"/>
      <c r="I100" s="43"/>
      <c r="J100" s="43"/>
      <c r="K100" s="25"/>
      <c r="L100" s="42"/>
      <c r="M100" s="43"/>
      <c r="N100" s="42"/>
      <c r="O100" s="42"/>
      <c r="P100" s="42"/>
      <c r="Q100" s="25"/>
      <c r="R100" s="25"/>
      <c r="S100" s="62"/>
      <c r="T100" s="62"/>
      <c r="U100" s="43"/>
      <c r="V100" s="43"/>
      <c r="W100" s="62"/>
      <c r="X100" s="62"/>
      <c r="Y100" s="63"/>
      <c r="Z100" s="76"/>
      <c r="AA100" s="25"/>
      <c r="AB100" s="25"/>
    </row>
    <row r="101" spans="2:28">
      <c r="B101" s="40"/>
      <c r="C101" s="40"/>
      <c r="D101" s="40"/>
      <c r="E101" s="40"/>
      <c r="F101" s="40"/>
      <c r="G101" s="40"/>
      <c r="H101" s="42"/>
      <c r="I101" s="43"/>
      <c r="J101" s="43"/>
      <c r="K101" s="25"/>
      <c r="L101" s="42"/>
      <c r="M101" s="43"/>
      <c r="N101" s="42"/>
      <c r="O101" s="42"/>
      <c r="P101" s="42"/>
      <c r="Q101" s="25"/>
      <c r="R101" s="25"/>
      <c r="S101" s="62"/>
      <c r="T101" s="62"/>
      <c r="U101" s="43"/>
      <c r="V101" s="43"/>
      <c r="W101" s="62"/>
      <c r="X101" s="62"/>
      <c r="Y101" s="63"/>
      <c r="Z101" s="76"/>
      <c r="AA101" s="25"/>
      <c r="AB101" s="25"/>
    </row>
    <row r="102" spans="2:28">
      <c r="B102" s="40"/>
      <c r="C102" s="40"/>
      <c r="D102" s="40"/>
      <c r="E102" s="40"/>
      <c r="F102" s="40"/>
      <c r="G102" s="40"/>
      <c r="H102" s="42"/>
      <c r="I102" s="43"/>
      <c r="J102" s="43"/>
      <c r="K102" s="25"/>
      <c r="L102" s="42"/>
      <c r="M102" s="43"/>
      <c r="N102" s="42"/>
      <c r="O102" s="42"/>
      <c r="P102" s="42"/>
      <c r="Q102" s="25"/>
      <c r="R102" s="25"/>
      <c r="S102" s="62"/>
      <c r="T102" s="62"/>
      <c r="U102" s="43"/>
      <c r="V102" s="43"/>
      <c r="W102" s="62"/>
      <c r="X102" s="62"/>
      <c r="Y102" s="63"/>
      <c r="Z102" s="76"/>
      <c r="AA102" s="25"/>
      <c r="AB102" s="25"/>
    </row>
    <row r="103" spans="2:28">
      <c r="B103" s="40"/>
      <c r="C103" s="40"/>
      <c r="D103" s="40"/>
      <c r="E103" s="40"/>
      <c r="F103" s="40"/>
      <c r="G103" s="40"/>
      <c r="H103" s="42"/>
      <c r="I103" s="43"/>
      <c r="J103" s="43"/>
      <c r="K103" s="25"/>
      <c r="L103" s="42"/>
      <c r="M103" s="43"/>
      <c r="N103" s="42"/>
      <c r="O103" s="42"/>
      <c r="P103" s="42"/>
      <c r="Q103" s="25"/>
      <c r="R103" s="25"/>
      <c r="S103" s="62"/>
      <c r="T103" s="62"/>
      <c r="U103" s="43"/>
      <c r="V103" s="43"/>
      <c r="W103" s="62"/>
      <c r="X103" s="62"/>
      <c r="Y103" s="63"/>
      <c r="Z103" s="76"/>
      <c r="AA103" s="25"/>
      <c r="AB103" s="25"/>
    </row>
    <row r="104" spans="2:28">
      <c r="B104" s="40"/>
      <c r="C104" s="40"/>
      <c r="D104" s="40"/>
      <c r="E104" s="40"/>
      <c r="F104" s="40"/>
      <c r="G104" s="40"/>
      <c r="H104" s="42"/>
      <c r="I104" s="43"/>
      <c r="J104" s="43"/>
      <c r="K104" s="25"/>
      <c r="L104" s="42"/>
      <c r="M104" s="43"/>
      <c r="N104" s="42"/>
      <c r="O104" s="42"/>
      <c r="P104" s="42"/>
      <c r="Q104" s="25"/>
      <c r="R104" s="25"/>
      <c r="S104" s="62"/>
      <c r="T104" s="62"/>
      <c r="U104" s="43"/>
      <c r="V104" s="43"/>
      <c r="W104" s="62"/>
      <c r="X104" s="62"/>
      <c r="Y104" s="63"/>
      <c r="Z104" s="76"/>
      <c r="AA104" s="25"/>
      <c r="AB104" s="25"/>
    </row>
    <row r="105" spans="2:28" ht="12" customHeight="1">
      <c r="B105" s="40"/>
      <c r="C105" s="40"/>
      <c r="D105" s="40"/>
      <c r="E105" s="40"/>
      <c r="F105" s="40"/>
      <c r="G105" s="40"/>
      <c r="H105" s="42"/>
      <c r="I105" s="43"/>
      <c r="J105" s="43"/>
      <c r="K105" s="25"/>
      <c r="L105" s="42"/>
      <c r="M105" s="43"/>
      <c r="N105" s="42"/>
      <c r="O105" s="42"/>
      <c r="P105" s="42"/>
      <c r="Q105" s="25"/>
      <c r="R105" s="25"/>
      <c r="S105" s="62"/>
      <c r="T105" s="62"/>
      <c r="U105" s="43"/>
      <c r="V105" s="43"/>
      <c r="W105" s="62"/>
      <c r="X105" s="62"/>
      <c r="Y105" s="63"/>
      <c r="Z105" s="76"/>
      <c r="AA105" s="25"/>
      <c r="AB105" s="25"/>
    </row>
    <row r="106" spans="2:28">
      <c r="B106" s="40"/>
      <c r="C106" s="40"/>
      <c r="D106" s="40"/>
      <c r="E106" s="40"/>
      <c r="F106" s="40"/>
      <c r="G106" s="40"/>
      <c r="H106" s="42"/>
      <c r="I106" s="43"/>
      <c r="J106" s="43"/>
      <c r="K106" s="25"/>
      <c r="L106" s="42"/>
      <c r="M106" s="43"/>
      <c r="N106" s="42"/>
      <c r="O106" s="42"/>
      <c r="P106" s="42"/>
      <c r="Q106" s="25"/>
      <c r="R106" s="25"/>
      <c r="S106" s="62"/>
      <c r="T106" s="62"/>
      <c r="U106" s="43"/>
      <c r="V106" s="43"/>
      <c r="W106" s="62"/>
      <c r="X106" s="62"/>
      <c r="Y106" s="63"/>
      <c r="Z106" s="76"/>
      <c r="AA106" s="25"/>
      <c r="AB106" s="25"/>
    </row>
    <row r="107" spans="2:28">
      <c r="B107" s="40"/>
      <c r="C107" s="40"/>
      <c r="D107" s="40"/>
      <c r="E107" s="40"/>
      <c r="F107" s="40"/>
      <c r="G107" s="40"/>
      <c r="H107" s="42"/>
      <c r="I107" s="43"/>
      <c r="J107" s="43"/>
      <c r="K107" s="25"/>
      <c r="L107" s="42"/>
      <c r="M107" s="43"/>
      <c r="N107" s="42"/>
      <c r="O107" s="42"/>
      <c r="P107" s="42"/>
      <c r="Q107" s="25"/>
      <c r="R107" s="25"/>
      <c r="S107" s="62"/>
      <c r="T107" s="62"/>
      <c r="U107" s="43"/>
      <c r="V107" s="43"/>
      <c r="W107" s="62"/>
      <c r="X107" s="62"/>
      <c r="Y107" s="63"/>
      <c r="Z107" s="76"/>
      <c r="AA107" s="25"/>
      <c r="AB107" s="25"/>
    </row>
    <row r="108" spans="2:28">
      <c r="B108" s="40"/>
      <c r="C108" s="40"/>
      <c r="D108" s="40"/>
      <c r="E108" s="40"/>
      <c r="F108" s="40"/>
      <c r="G108" s="40"/>
      <c r="H108" s="42"/>
      <c r="I108" s="43"/>
      <c r="J108" s="43"/>
      <c r="K108" s="25"/>
      <c r="L108" s="42"/>
      <c r="M108" s="43"/>
      <c r="N108" s="42"/>
      <c r="O108" s="42"/>
      <c r="P108" s="42"/>
      <c r="Q108" s="25"/>
      <c r="R108" s="25"/>
      <c r="S108" s="62"/>
      <c r="T108" s="62"/>
      <c r="U108" s="43"/>
      <c r="V108" s="43"/>
      <c r="W108" s="62"/>
      <c r="X108" s="62"/>
      <c r="Y108" s="63"/>
      <c r="Z108" s="76"/>
      <c r="AA108" s="25"/>
      <c r="AB108" s="25"/>
    </row>
    <row r="109" spans="2:28">
      <c r="B109" s="40"/>
      <c r="C109" s="40"/>
      <c r="D109" s="40"/>
      <c r="E109" s="40"/>
      <c r="F109" s="40"/>
      <c r="G109" s="40"/>
      <c r="H109" s="42"/>
      <c r="I109" s="43"/>
      <c r="J109" s="43"/>
      <c r="K109" s="25"/>
      <c r="L109" s="42"/>
      <c r="M109" s="43"/>
      <c r="N109" s="42"/>
      <c r="O109" s="42"/>
      <c r="P109" s="42"/>
      <c r="Q109" s="25"/>
      <c r="R109" s="25"/>
      <c r="S109" s="62"/>
      <c r="T109" s="62"/>
      <c r="U109" s="43"/>
      <c r="V109" s="43"/>
      <c r="W109" s="62"/>
      <c r="X109" s="62"/>
      <c r="Y109" s="63"/>
      <c r="Z109" s="76"/>
      <c r="AA109" s="25"/>
      <c r="AB109" s="25"/>
    </row>
    <row r="110" spans="2:28">
      <c r="B110" s="40"/>
      <c r="C110" s="40"/>
      <c r="D110" s="40"/>
      <c r="E110" s="40"/>
      <c r="F110" s="40"/>
      <c r="G110" s="40"/>
      <c r="H110" s="42"/>
      <c r="I110" s="43"/>
      <c r="J110" s="43"/>
      <c r="K110" s="25"/>
      <c r="L110" s="42"/>
      <c r="M110" s="43"/>
      <c r="N110" s="42"/>
      <c r="O110" s="42"/>
      <c r="P110" s="42"/>
      <c r="Q110" s="25"/>
      <c r="R110" s="25"/>
      <c r="S110" s="62"/>
      <c r="T110" s="62"/>
      <c r="U110" s="43"/>
      <c r="V110" s="43"/>
      <c r="W110" s="62"/>
      <c r="X110" s="62"/>
      <c r="Y110" s="63"/>
      <c r="Z110" s="76"/>
      <c r="AA110" s="25"/>
      <c r="AB110" s="25"/>
    </row>
    <row r="111" spans="2:28">
      <c r="B111" s="40"/>
      <c r="C111" s="40"/>
      <c r="D111" s="40"/>
      <c r="E111" s="40"/>
      <c r="F111" s="40"/>
      <c r="G111" s="40"/>
      <c r="H111" s="42"/>
      <c r="I111" s="43"/>
      <c r="J111" s="43"/>
      <c r="K111" s="25"/>
      <c r="L111" s="42"/>
      <c r="M111" s="43"/>
      <c r="N111" s="42"/>
      <c r="O111" s="42"/>
      <c r="P111" s="42"/>
      <c r="Q111" s="25"/>
      <c r="R111" s="25"/>
      <c r="S111" s="62"/>
      <c r="T111" s="62"/>
      <c r="U111" s="43"/>
      <c r="V111" s="43"/>
      <c r="W111" s="62"/>
      <c r="X111" s="62"/>
      <c r="Y111" s="63"/>
      <c r="Z111" s="76"/>
      <c r="AA111" s="25"/>
      <c r="AB111" s="25"/>
    </row>
    <row r="112" spans="2:28">
      <c r="B112" s="40"/>
      <c r="C112" s="40"/>
      <c r="D112" s="40"/>
      <c r="E112" s="40"/>
      <c r="F112" s="40"/>
      <c r="G112" s="40"/>
      <c r="H112" s="42"/>
      <c r="I112" s="43"/>
      <c r="J112" s="43"/>
      <c r="K112" s="25"/>
      <c r="L112" s="42"/>
      <c r="M112" s="43"/>
      <c r="N112" s="42"/>
      <c r="O112" s="42"/>
      <c r="P112" s="42"/>
      <c r="Q112" s="25"/>
      <c r="R112" s="25"/>
      <c r="S112" s="62"/>
      <c r="T112" s="62"/>
      <c r="U112" s="43"/>
      <c r="V112" s="43"/>
      <c r="W112" s="62"/>
      <c r="X112" s="62"/>
      <c r="Y112" s="63"/>
      <c r="Z112" s="76"/>
      <c r="AA112" s="25"/>
      <c r="AB112" s="25"/>
    </row>
    <row r="113" spans="2:28">
      <c r="B113" s="40"/>
      <c r="C113" s="40"/>
      <c r="D113" s="40"/>
      <c r="E113" s="40"/>
      <c r="F113" s="40"/>
      <c r="G113" s="40"/>
      <c r="H113" s="42"/>
      <c r="I113" s="43"/>
      <c r="J113" s="43"/>
      <c r="K113" s="25"/>
      <c r="L113" s="42"/>
      <c r="M113" s="43"/>
      <c r="N113" s="42"/>
      <c r="O113" s="63"/>
      <c r="P113" s="63"/>
      <c r="Q113" s="25"/>
      <c r="R113" s="25"/>
      <c r="S113" s="62"/>
      <c r="T113" s="62"/>
      <c r="U113" s="43"/>
      <c r="V113" s="43"/>
      <c r="W113" s="62"/>
      <c r="X113" s="62"/>
      <c r="Y113" s="63"/>
      <c r="Z113" s="76"/>
      <c r="AA113" s="25"/>
      <c r="AB113" s="25"/>
    </row>
    <row r="114" spans="2:28">
      <c r="B114" s="40"/>
      <c r="C114" s="40"/>
      <c r="D114" s="41"/>
      <c r="E114" s="42"/>
      <c r="F114" s="42"/>
      <c r="G114" s="63"/>
      <c r="H114" s="42"/>
      <c r="I114" s="43"/>
      <c r="J114" s="43"/>
      <c r="K114" s="25"/>
      <c r="L114" s="42"/>
      <c r="M114" s="43"/>
      <c r="N114" s="42"/>
      <c r="O114" s="63"/>
      <c r="P114" s="63"/>
      <c r="Q114" s="25"/>
      <c r="R114" s="25"/>
      <c r="S114" s="62"/>
      <c r="T114" s="62"/>
      <c r="U114" s="43"/>
      <c r="V114" s="43"/>
      <c r="W114" s="62"/>
      <c r="X114" s="62"/>
      <c r="Y114" s="63"/>
      <c r="Z114" s="76"/>
      <c r="AA114" s="25"/>
      <c r="AB114" s="25"/>
    </row>
    <row r="115" spans="2:28">
      <c r="B115" s="40"/>
      <c r="C115" s="40"/>
      <c r="D115" s="41"/>
      <c r="E115" s="42"/>
      <c r="F115" s="42"/>
      <c r="G115" s="63"/>
      <c r="H115" s="42"/>
      <c r="I115" s="43"/>
      <c r="J115" s="43"/>
      <c r="K115" s="25"/>
      <c r="L115" s="42"/>
      <c r="M115" s="43"/>
      <c r="N115" s="42"/>
      <c r="O115" s="63"/>
      <c r="P115" s="63"/>
      <c r="Q115" s="25"/>
      <c r="R115" s="25"/>
      <c r="S115" s="62"/>
      <c r="T115" s="62"/>
      <c r="U115" s="43"/>
      <c r="V115" s="43"/>
      <c r="W115" s="62"/>
      <c r="X115" s="62"/>
      <c r="Y115" s="63"/>
      <c r="Z115" s="76"/>
      <c r="AA115" s="25"/>
      <c r="AB115" s="25"/>
    </row>
    <row r="116" spans="2:28">
      <c r="B116" s="40"/>
      <c r="C116" s="40"/>
      <c r="D116" s="41"/>
      <c r="E116" s="42"/>
      <c r="F116" s="42"/>
      <c r="G116" s="63"/>
      <c r="H116" s="42"/>
      <c r="I116" s="43"/>
      <c r="J116" s="43"/>
      <c r="K116" s="25"/>
      <c r="L116" s="42"/>
      <c r="M116" s="43"/>
      <c r="N116" s="42"/>
      <c r="O116" s="63"/>
      <c r="P116" s="63"/>
      <c r="Q116" s="25"/>
      <c r="R116" s="25"/>
      <c r="S116" s="62"/>
      <c r="T116" s="62"/>
      <c r="U116" s="43"/>
      <c r="V116" s="43"/>
      <c r="W116" s="62"/>
      <c r="X116" s="62"/>
      <c r="Y116" s="63"/>
      <c r="Z116" s="76"/>
      <c r="AA116" s="25"/>
      <c r="AB116" s="25"/>
    </row>
    <row r="117" spans="2:28">
      <c r="B117" s="40"/>
      <c r="C117" s="40"/>
      <c r="D117" s="41"/>
      <c r="E117" s="42"/>
      <c r="F117" s="42"/>
      <c r="G117" s="63"/>
      <c r="H117" s="42"/>
      <c r="I117" s="43"/>
      <c r="J117" s="43"/>
      <c r="K117" s="25"/>
      <c r="L117" s="42"/>
      <c r="M117" s="43"/>
      <c r="N117" s="42"/>
      <c r="O117" s="63"/>
      <c r="P117" s="63"/>
      <c r="Q117" s="25"/>
      <c r="R117" s="25"/>
      <c r="S117" s="62"/>
      <c r="T117" s="62"/>
      <c r="U117" s="43"/>
      <c r="V117" s="43"/>
      <c r="W117" s="62"/>
      <c r="X117" s="62"/>
      <c r="Y117" s="63"/>
      <c r="Z117" s="76"/>
      <c r="AA117" s="25"/>
      <c r="AB117" s="25"/>
    </row>
    <row r="118" spans="2:28">
      <c r="B118" s="40"/>
      <c r="C118" s="40"/>
      <c r="D118" s="41"/>
      <c r="E118" s="42"/>
      <c r="F118" s="42"/>
      <c r="G118" s="63"/>
      <c r="H118" s="42"/>
      <c r="I118" s="43"/>
      <c r="J118" s="43"/>
      <c r="K118" s="25"/>
      <c r="L118" s="42"/>
      <c r="M118" s="43"/>
      <c r="N118" s="42"/>
      <c r="O118" s="63"/>
      <c r="P118" s="63"/>
      <c r="Q118" s="25"/>
      <c r="R118" s="25"/>
      <c r="S118" s="62"/>
      <c r="T118" s="62"/>
      <c r="U118" s="43"/>
      <c r="V118" s="43"/>
      <c r="W118" s="62"/>
      <c r="X118" s="62"/>
      <c r="Y118" s="63"/>
      <c r="Z118" s="76"/>
      <c r="AA118" s="25"/>
      <c r="AB118" s="25"/>
    </row>
    <row r="119" spans="2:28">
      <c r="B119" s="40"/>
      <c r="C119" s="40"/>
      <c r="D119" s="41"/>
      <c r="E119" s="42"/>
      <c r="F119" s="42"/>
      <c r="G119" s="63"/>
      <c r="H119" s="42"/>
      <c r="I119" s="43"/>
      <c r="J119" s="43"/>
      <c r="K119" s="25"/>
      <c r="L119" s="42"/>
      <c r="M119" s="43"/>
      <c r="N119" s="42"/>
      <c r="O119" s="63"/>
      <c r="P119" s="63"/>
      <c r="Q119" s="25"/>
      <c r="R119" s="25"/>
      <c r="S119" s="62"/>
      <c r="T119" s="62"/>
      <c r="U119" s="43"/>
      <c r="V119" s="43"/>
      <c r="W119" s="62"/>
      <c r="X119" s="62"/>
      <c r="Y119" s="63"/>
      <c r="Z119" s="76"/>
      <c r="AA119" s="25"/>
      <c r="AB119" s="25"/>
    </row>
    <row r="120" spans="2:28">
      <c r="B120" s="40"/>
      <c r="C120" s="40"/>
      <c r="D120" s="41"/>
      <c r="E120" s="42"/>
      <c r="F120" s="42"/>
      <c r="G120" s="63"/>
      <c r="H120" s="42"/>
      <c r="I120" s="43"/>
      <c r="J120" s="43"/>
      <c r="K120" s="25"/>
      <c r="L120" s="42"/>
      <c r="M120" s="43"/>
      <c r="N120" s="42"/>
      <c r="O120" s="63"/>
      <c r="P120" s="63"/>
      <c r="Q120" s="25"/>
      <c r="R120" s="25"/>
      <c r="S120" s="62"/>
      <c r="T120" s="62"/>
      <c r="U120" s="43"/>
      <c r="V120" s="43"/>
      <c r="W120" s="62"/>
      <c r="X120" s="62"/>
      <c r="Y120" s="63"/>
      <c r="Z120" s="76"/>
      <c r="AA120" s="25"/>
      <c r="AB120" s="25"/>
    </row>
    <row r="121" spans="2:28">
      <c r="B121" s="40"/>
      <c r="C121" s="40"/>
      <c r="D121" s="41"/>
      <c r="E121" s="42"/>
      <c r="F121" s="42"/>
      <c r="G121" s="63"/>
      <c r="H121" s="42"/>
      <c r="I121" s="43"/>
      <c r="J121" s="43"/>
      <c r="K121" s="25"/>
      <c r="L121" s="42"/>
      <c r="M121" s="43"/>
      <c r="N121" s="42"/>
      <c r="O121" s="63"/>
      <c r="P121" s="63"/>
      <c r="Q121" s="25"/>
      <c r="R121" s="25"/>
      <c r="S121" s="62"/>
      <c r="T121" s="62"/>
      <c r="U121" s="43"/>
      <c r="V121" s="43"/>
      <c r="W121" s="62"/>
      <c r="X121" s="62"/>
      <c r="Y121" s="63"/>
      <c r="Z121" s="76"/>
      <c r="AA121" s="25"/>
      <c r="AB121" s="25"/>
    </row>
    <row r="122" spans="2:28">
      <c r="B122" s="40"/>
      <c r="C122" s="40"/>
      <c r="D122" s="41"/>
      <c r="E122" s="42"/>
      <c r="F122" s="42"/>
      <c r="G122" s="63"/>
      <c r="H122" s="42"/>
      <c r="I122" s="43"/>
      <c r="J122" s="43"/>
      <c r="K122" s="25"/>
      <c r="L122" s="42"/>
      <c r="M122" s="43"/>
      <c r="N122" s="42"/>
      <c r="O122" s="63"/>
      <c r="P122" s="63"/>
      <c r="Q122" s="25"/>
      <c r="R122" s="25"/>
      <c r="S122" s="62"/>
      <c r="T122" s="62"/>
      <c r="U122" s="43"/>
      <c r="V122" s="43"/>
      <c r="W122" s="62"/>
      <c r="X122" s="62"/>
      <c r="Y122" s="63"/>
      <c r="Z122" s="7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/>
      <c r="L123" s="42"/>
      <c r="M123" s="43"/>
      <c r="N123" s="42"/>
      <c r="O123" s="42"/>
      <c r="P123" s="42"/>
      <c r="Q123" s="25"/>
      <c r="R123" s="25"/>
      <c r="S123" s="62"/>
      <c r="T123" s="62"/>
      <c r="U123" s="43"/>
      <c r="V123" s="43"/>
      <c r="W123" s="62"/>
      <c r="X123" s="62"/>
      <c r="Y123" s="63"/>
      <c r="Z123" s="7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/>
      <c r="L124" s="42"/>
      <c r="M124" s="43"/>
      <c r="N124" s="42"/>
      <c r="O124" s="42"/>
      <c r="P124" s="42"/>
      <c r="Q124" s="25"/>
      <c r="R124" s="25"/>
      <c r="S124" s="62"/>
      <c r="T124" s="62"/>
      <c r="U124" s="43"/>
      <c r="V124" s="43"/>
      <c r="W124" s="62"/>
      <c r="X124" s="62"/>
      <c r="Y124" s="63"/>
      <c r="Z124" s="7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/>
      <c r="L125" s="42"/>
      <c r="M125" s="43"/>
      <c r="N125" s="42"/>
      <c r="O125" s="42"/>
      <c r="P125" s="42"/>
      <c r="Q125" s="25"/>
      <c r="R125" s="25"/>
      <c r="S125" s="62"/>
      <c r="T125" s="62"/>
      <c r="U125" s="43"/>
      <c r="V125" s="43"/>
      <c r="W125" s="62"/>
      <c r="X125" s="62"/>
      <c r="Y125" s="63"/>
      <c r="Z125" s="76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/>
      <c r="L126" s="42"/>
      <c r="M126" s="43"/>
      <c r="N126" s="42"/>
      <c r="O126" s="42"/>
      <c r="P126" s="42"/>
      <c r="Q126" s="25"/>
      <c r="R126" s="25"/>
      <c r="S126" s="62"/>
      <c r="T126" s="62"/>
      <c r="U126" s="43"/>
      <c r="V126" s="43"/>
      <c r="W126" s="62"/>
      <c r="X126" s="62"/>
      <c r="Y126" s="63"/>
      <c r="Z126" s="76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/>
      <c r="L127" s="42"/>
      <c r="M127" s="43"/>
      <c r="N127" s="42"/>
      <c r="O127" s="42"/>
      <c r="P127" s="42"/>
      <c r="Q127" s="25"/>
      <c r="R127" s="25"/>
      <c r="S127" s="62"/>
      <c r="T127" s="62"/>
      <c r="U127" s="43"/>
      <c r="V127" s="43"/>
      <c r="W127" s="62"/>
      <c r="X127" s="62"/>
      <c r="Y127" s="63"/>
      <c r="Z127" s="76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/>
      <c r="L128" s="42"/>
      <c r="M128" s="43"/>
      <c r="N128" s="42"/>
      <c r="O128" s="42"/>
      <c r="P128" s="42"/>
      <c r="Q128" s="25"/>
      <c r="R128" s="25"/>
      <c r="S128" s="62"/>
      <c r="T128" s="62"/>
      <c r="U128" s="43"/>
      <c r="V128" s="43"/>
      <c r="W128" s="62"/>
      <c r="X128" s="62"/>
      <c r="Y128" s="63"/>
      <c r="Z128" s="76"/>
      <c r="AA128" s="25"/>
      <c r="AB128" s="25"/>
    </row>
    <row r="129" spans="1:28">
      <c r="B129" s="40"/>
      <c r="C129" s="40"/>
      <c r="D129" s="41"/>
      <c r="E129" s="42"/>
      <c r="F129" s="42"/>
      <c r="G129" s="42"/>
      <c r="H129" s="42"/>
      <c r="I129" s="43"/>
      <c r="J129" s="43"/>
      <c r="K129" s="25"/>
      <c r="L129" s="42"/>
      <c r="M129" s="43"/>
      <c r="N129" s="42"/>
      <c r="O129" s="42"/>
      <c r="P129" s="42"/>
      <c r="Q129" s="25"/>
      <c r="R129" s="25"/>
      <c r="S129" s="62"/>
      <c r="T129" s="62"/>
      <c r="U129" s="43"/>
      <c r="V129" s="43"/>
      <c r="W129" s="62"/>
      <c r="X129" s="62"/>
      <c r="Y129" s="63"/>
      <c r="Z129" s="76"/>
      <c r="AA129" s="25"/>
      <c r="AB129" s="25"/>
    </row>
    <row r="130" spans="1:28">
      <c r="B130" s="40"/>
      <c r="C130" s="40"/>
      <c r="D130" s="41"/>
      <c r="E130" s="42"/>
      <c r="F130" s="42"/>
      <c r="G130" s="42"/>
      <c r="H130" s="42"/>
      <c r="I130" s="43"/>
      <c r="J130" s="43"/>
      <c r="K130" s="25"/>
      <c r="L130" s="42"/>
      <c r="M130" s="43"/>
      <c r="N130" s="42"/>
      <c r="O130" s="42"/>
      <c r="P130" s="42"/>
      <c r="Q130" s="25"/>
      <c r="R130" s="25"/>
      <c r="S130" s="62"/>
      <c r="T130" s="62"/>
      <c r="U130" s="43"/>
      <c r="V130" s="43"/>
      <c r="W130" s="62"/>
      <c r="X130" s="62"/>
      <c r="Y130" s="63"/>
      <c r="Z130" s="76"/>
      <c r="AA130" s="25"/>
      <c r="AB130" s="25"/>
    </row>
    <row r="131" spans="1:28">
      <c r="B131" s="40"/>
      <c r="C131" s="40"/>
      <c r="D131" s="41"/>
      <c r="E131" s="42"/>
      <c r="F131" s="42"/>
      <c r="G131" s="42"/>
      <c r="H131" s="42"/>
      <c r="I131" s="43"/>
      <c r="J131" s="43"/>
      <c r="K131" s="25"/>
      <c r="L131" s="42"/>
      <c r="M131" s="43"/>
      <c r="N131" s="42"/>
      <c r="O131" s="42"/>
      <c r="P131" s="42"/>
      <c r="Q131" s="25"/>
      <c r="R131" s="25"/>
      <c r="S131" s="62"/>
      <c r="T131" s="62"/>
      <c r="U131" s="43"/>
      <c r="V131" s="43"/>
      <c r="W131" s="62"/>
      <c r="X131" s="62"/>
      <c r="Y131" s="63"/>
      <c r="Z131" s="76"/>
      <c r="AA131" s="25"/>
      <c r="AB131" s="25"/>
    </row>
    <row r="132" spans="1:28">
      <c r="B132" s="40"/>
      <c r="C132" s="40"/>
      <c r="D132" s="41"/>
      <c r="E132" s="42"/>
      <c r="F132" s="42"/>
      <c r="G132" s="42"/>
      <c r="H132" s="42"/>
      <c r="I132" s="43"/>
      <c r="J132" s="43"/>
      <c r="K132" s="25"/>
      <c r="L132" s="42"/>
      <c r="M132" s="43"/>
      <c r="N132" s="42"/>
      <c r="O132" s="42"/>
      <c r="P132" s="42"/>
      <c r="Q132" s="25"/>
      <c r="R132" s="25"/>
      <c r="S132" s="62"/>
      <c r="T132" s="62"/>
      <c r="U132" s="43"/>
      <c r="V132" s="43"/>
      <c r="W132" s="62"/>
      <c r="X132" s="62"/>
      <c r="Y132" s="63"/>
      <c r="Z132" s="76"/>
      <c r="AA132" s="25"/>
      <c r="AB132" s="25"/>
    </row>
    <row r="133" spans="1:28">
      <c r="B133" s="49"/>
      <c r="C133" s="49"/>
      <c r="D133" s="44"/>
      <c r="E133" s="45"/>
      <c r="F133" s="42"/>
      <c r="G133" s="45"/>
      <c r="H133" s="45"/>
      <c r="I133" s="48"/>
      <c r="J133" s="48"/>
      <c r="K133" s="25"/>
      <c r="L133" s="42"/>
      <c r="M133" s="42"/>
      <c r="N133" s="45"/>
      <c r="O133" s="42"/>
      <c r="P133" s="42"/>
      <c r="Q133" s="25"/>
      <c r="R133" s="25"/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1:28">
      <c r="B134" s="49"/>
      <c r="C134" s="49"/>
      <c r="D134" s="44"/>
      <c r="E134" s="45"/>
      <c r="F134" s="42"/>
      <c r="G134" s="45"/>
      <c r="H134" s="45"/>
      <c r="I134" s="48"/>
      <c r="J134" s="48"/>
      <c r="K134" s="25"/>
      <c r="L134" s="42"/>
      <c r="M134" s="42"/>
      <c r="N134" s="45"/>
      <c r="O134" s="42"/>
      <c r="P134" s="42"/>
      <c r="Q134" s="25"/>
      <c r="R134" s="25"/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1:28">
      <c r="B135" s="49"/>
      <c r="C135" s="49"/>
      <c r="D135" s="44"/>
      <c r="E135" s="47"/>
      <c r="F135" s="42"/>
      <c r="G135" s="45"/>
      <c r="H135" s="45"/>
      <c r="I135" s="48"/>
      <c r="J135" s="48"/>
      <c r="K135" s="25"/>
      <c r="L135" s="42"/>
      <c r="M135" s="42"/>
      <c r="N135" s="45"/>
      <c r="O135" s="42"/>
      <c r="P135" s="42"/>
      <c r="Q135" s="25"/>
      <c r="R135" s="25"/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1:28">
      <c r="B136" s="49"/>
      <c r="C136" s="49"/>
      <c r="D136" s="44"/>
      <c r="E136" s="46"/>
      <c r="F136" s="42"/>
      <c r="G136" s="48"/>
      <c r="H136" s="45"/>
      <c r="I136" s="48"/>
      <c r="J136" s="48"/>
      <c r="K136" s="25"/>
      <c r="L136" s="42"/>
      <c r="M136" s="42"/>
      <c r="N136" s="45"/>
      <c r="O136" s="42"/>
      <c r="P136" s="42"/>
      <c r="Q136" s="25"/>
      <c r="R136" s="25"/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1:28">
      <c r="B137" s="49"/>
      <c r="C137" s="50"/>
      <c r="D137" s="51"/>
      <c r="E137" s="47"/>
      <c r="F137" s="42"/>
      <c r="G137" s="48"/>
      <c r="H137" s="45"/>
      <c r="I137" s="52"/>
      <c r="J137" s="52"/>
      <c r="K137" s="25"/>
      <c r="L137" s="42"/>
      <c r="M137" s="52"/>
      <c r="N137" s="45"/>
      <c r="O137" s="52"/>
      <c r="P137" s="52"/>
      <c r="Q137" s="25"/>
      <c r="R137" s="25"/>
      <c r="S137" s="52"/>
      <c r="T137" s="52"/>
      <c r="U137" s="52"/>
      <c r="V137" s="52"/>
      <c r="W137" s="52"/>
      <c r="X137" s="52"/>
      <c r="Y137" s="52"/>
      <c r="Z137" s="52"/>
      <c r="AA137" s="25"/>
      <c r="AB137" s="25"/>
    </row>
    <row r="138" spans="1:28">
      <c r="B138" s="49"/>
      <c r="C138" s="50"/>
      <c r="D138" s="51"/>
      <c r="E138" s="47"/>
      <c r="F138" s="42"/>
      <c r="G138" s="48"/>
      <c r="H138" s="45"/>
      <c r="I138" s="52"/>
      <c r="J138" s="52"/>
      <c r="K138" s="25"/>
      <c r="L138" s="42"/>
      <c r="M138" s="52"/>
      <c r="N138" s="45"/>
      <c r="O138" s="52"/>
      <c r="P138" s="52"/>
      <c r="Q138" s="25"/>
      <c r="R138" s="25"/>
      <c r="S138" s="52"/>
      <c r="T138" s="52"/>
      <c r="U138" s="52"/>
      <c r="V138" s="52"/>
      <c r="W138" s="52"/>
      <c r="X138" s="52"/>
      <c r="Y138" s="52"/>
      <c r="Z138" s="52"/>
      <c r="AA138" s="25"/>
      <c r="AB138" s="25"/>
    </row>
    <row r="139" spans="1:28">
      <c r="B139" s="49"/>
      <c r="C139" s="50"/>
      <c r="D139" s="51"/>
      <c r="E139" s="47"/>
      <c r="F139" s="42"/>
      <c r="G139" s="48"/>
      <c r="H139" s="45"/>
      <c r="I139" s="52"/>
      <c r="J139" s="52"/>
      <c r="K139" s="25"/>
      <c r="L139" s="42"/>
      <c r="M139" s="52"/>
      <c r="N139" s="45"/>
      <c r="O139" s="52"/>
      <c r="P139" s="52"/>
      <c r="Q139" s="25"/>
      <c r="R139" s="25"/>
      <c r="S139" s="52"/>
      <c r="T139" s="52"/>
      <c r="U139" s="52"/>
      <c r="V139" s="52"/>
      <c r="W139" s="52"/>
      <c r="X139" s="52"/>
      <c r="Y139" s="52"/>
      <c r="Z139" s="52"/>
      <c r="AA139" s="25"/>
      <c r="AB139" s="25"/>
    </row>
    <row r="140" spans="1:28">
      <c r="B140" s="49"/>
      <c r="C140" s="49"/>
      <c r="D140" s="44"/>
      <c r="E140" s="47"/>
      <c r="F140" s="42"/>
      <c r="G140" s="48"/>
      <c r="H140" s="45"/>
      <c r="I140" s="48"/>
      <c r="J140" s="48"/>
      <c r="K140" s="25"/>
      <c r="L140" s="42"/>
      <c r="M140" s="42"/>
      <c r="N140" s="45"/>
      <c r="O140" s="42"/>
      <c r="P140" s="42"/>
      <c r="Q140" s="25"/>
      <c r="R140" s="25"/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9"/>
      <c r="C141" s="49"/>
      <c r="D141" s="44"/>
      <c r="E141" s="47"/>
      <c r="F141" s="42"/>
      <c r="G141" s="48"/>
      <c r="H141" s="45"/>
      <c r="I141" s="48"/>
      <c r="J141" s="48"/>
      <c r="K141" s="25"/>
      <c r="L141" s="42"/>
      <c r="M141" s="42"/>
      <c r="N141" s="42"/>
      <c r="O141" s="42"/>
      <c r="P141" s="42"/>
      <c r="Q141" s="25"/>
      <c r="R141" s="25"/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50"/>
      <c r="C142" s="50"/>
      <c r="D142" s="51"/>
      <c r="E142" s="53"/>
      <c r="F142" s="54"/>
      <c r="G142" s="55"/>
      <c r="H142" s="56"/>
      <c r="I142" s="55"/>
      <c r="J142" s="55"/>
      <c r="K142" s="25"/>
      <c r="L142" s="54"/>
      <c r="M142" s="54"/>
      <c r="N142" s="54"/>
      <c r="O142" s="54"/>
      <c r="P142" s="54"/>
      <c r="Q142" s="25"/>
      <c r="R142" s="25"/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52"/>
      <c r="C143" s="52"/>
      <c r="D143" s="52"/>
      <c r="E143" s="52"/>
      <c r="F143" s="52"/>
      <c r="G143" s="52"/>
      <c r="H143" s="52"/>
      <c r="I143" s="52"/>
      <c r="J143" s="52"/>
      <c r="K143" s="25"/>
      <c r="L143" s="52"/>
      <c r="M143" s="52"/>
      <c r="N143" s="52"/>
      <c r="O143" s="52"/>
      <c r="P143" s="52"/>
      <c r="Q143" s="25"/>
      <c r="R143" s="25"/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52"/>
      <c r="C144" s="52"/>
      <c r="D144" s="52"/>
      <c r="E144" s="52"/>
      <c r="F144" s="52"/>
      <c r="G144" s="52"/>
      <c r="H144" s="52"/>
      <c r="I144" s="52"/>
      <c r="J144" s="52"/>
      <c r="K144" s="25"/>
      <c r="L144" s="52"/>
      <c r="M144" s="52"/>
      <c r="N144" s="52"/>
      <c r="O144" s="52"/>
      <c r="P144" s="52"/>
      <c r="Q144" s="25"/>
      <c r="R144" s="25"/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52"/>
      <c r="C145" s="52"/>
      <c r="D145" s="52"/>
      <c r="E145" s="52"/>
      <c r="F145" s="52"/>
      <c r="G145" s="52"/>
      <c r="H145" s="52"/>
      <c r="I145" s="52"/>
      <c r="J145" s="52"/>
      <c r="K145" s="25"/>
      <c r="L145" s="52"/>
      <c r="M145" s="52"/>
      <c r="N145" s="52"/>
      <c r="O145" s="52"/>
      <c r="P145" s="52"/>
      <c r="Q145" s="25"/>
      <c r="R145" s="25"/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57"/>
      <c r="C146" s="57"/>
      <c r="D146" s="58"/>
      <c r="E146" s="58"/>
      <c r="F146" s="58"/>
      <c r="G146" s="58"/>
      <c r="H146" s="58"/>
      <c r="I146" s="58"/>
      <c r="J146" s="58"/>
      <c r="K146" s="25"/>
      <c r="L146" s="58"/>
      <c r="M146" s="61"/>
      <c r="N146" s="58"/>
      <c r="O146" s="58"/>
      <c r="P146" s="58"/>
      <c r="Q146" s="25"/>
      <c r="R146" s="25"/>
      <c r="S146" s="58"/>
      <c r="T146" s="58"/>
      <c r="U146" s="58"/>
      <c r="V146" s="58"/>
      <c r="W146" s="58"/>
      <c r="X146" s="58"/>
      <c r="Y146" s="58"/>
      <c r="Z146" s="58"/>
      <c r="AA146" s="16"/>
      <c r="AB146" s="16"/>
    </row>
    <row r="147" spans="1:28">
      <c r="B147" s="59"/>
      <c r="C147" s="59"/>
      <c r="D147" s="48"/>
      <c r="E147" s="48"/>
      <c r="F147" s="48"/>
      <c r="G147" s="48"/>
      <c r="H147" s="48"/>
      <c r="I147" s="48"/>
      <c r="J147" s="48"/>
      <c r="K147" s="25"/>
      <c r="L147" s="48"/>
      <c r="M147" s="45"/>
      <c r="N147" s="48"/>
      <c r="O147" s="48"/>
      <c r="P147" s="48"/>
      <c r="Q147" s="25"/>
      <c r="R147" s="25"/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59"/>
      <c r="C148" s="59"/>
      <c r="D148" s="48"/>
      <c r="E148" s="48"/>
      <c r="F148" s="48"/>
      <c r="G148" s="48"/>
      <c r="H148" s="48"/>
      <c r="I148" s="48"/>
      <c r="J148" s="48"/>
      <c r="K148" s="25"/>
      <c r="L148" s="48"/>
      <c r="M148" s="45"/>
      <c r="N148" s="48"/>
      <c r="O148" s="48"/>
      <c r="P148" s="48"/>
      <c r="Q148" s="25"/>
      <c r="R148" s="25"/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59"/>
      <c r="C149" s="59"/>
      <c r="D149" s="48"/>
      <c r="E149" s="48"/>
      <c r="F149" s="48"/>
      <c r="G149" s="48"/>
      <c r="H149" s="48"/>
      <c r="I149" s="48"/>
      <c r="J149" s="48"/>
      <c r="K149" s="25"/>
      <c r="L149" s="48"/>
      <c r="M149" s="45"/>
      <c r="N149" s="48"/>
      <c r="O149" s="48"/>
      <c r="P149" s="48"/>
      <c r="Q149" s="25"/>
      <c r="R149" s="25"/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59"/>
      <c r="C150" s="59"/>
      <c r="D150" s="48"/>
      <c r="E150" s="48"/>
      <c r="F150" s="48"/>
      <c r="G150" s="48"/>
      <c r="H150" s="48"/>
      <c r="I150" s="48"/>
      <c r="J150" s="48"/>
      <c r="K150" s="25"/>
      <c r="L150" s="48"/>
      <c r="M150" s="45"/>
      <c r="N150" s="48"/>
      <c r="O150" s="48"/>
      <c r="P150" s="48"/>
      <c r="Q150" s="25"/>
      <c r="R150" s="25"/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59"/>
      <c r="C151" s="59"/>
      <c r="D151" s="48"/>
      <c r="E151" s="48"/>
      <c r="F151" s="48"/>
      <c r="G151" s="48"/>
      <c r="H151" s="48"/>
      <c r="I151" s="48"/>
      <c r="J151" s="48"/>
      <c r="K151" s="25"/>
      <c r="L151" s="48"/>
      <c r="M151" s="45"/>
      <c r="N151" s="48"/>
      <c r="O151" s="48"/>
      <c r="P151" s="48"/>
      <c r="Q151" s="25"/>
      <c r="R151" s="25"/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59"/>
      <c r="C152" s="59"/>
      <c r="D152" s="48"/>
      <c r="E152" s="48"/>
      <c r="F152" s="48"/>
      <c r="G152" s="48"/>
      <c r="H152" s="48"/>
      <c r="I152" s="48"/>
      <c r="J152" s="48"/>
      <c r="K152" s="25"/>
      <c r="L152" s="48"/>
      <c r="M152" s="45"/>
      <c r="N152" s="48"/>
      <c r="O152" s="48"/>
      <c r="P152" s="48"/>
      <c r="Q152" s="25"/>
      <c r="R152" s="25"/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59"/>
      <c r="C153" s="59"/>
      <c r="D153" s="48"/>
      <c r="E153" s="48"/>
      <c r="F153" s="48"/>
      <c r="G153" s="48"/>
      <c r="H153" s="48"/>
      <c r="I153" s="48"/>
      <c r="J153" s="48"/>
      <c r="K153" s="25"/>
      <c r="L153" s="48"/>
      <c r="M153" s="45"/>
      <c r="N153" s="48"/>
      <c r="O153" s="48"/>
      <c r="P153" s="48"/>
      <c r="Q153" s="25"/>
      <c r="R153" s="25"/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59"/>
      <c r="C154" s="59"/>
      <c r="D154" s="48"/>
      <c r="E154" s="48"/>
      <c r="F154" s="48"/>
      <c r="G154" s="48"/>
      <c r="H154" s="48"/>
      <c r="I154" s="48"/>
      <c r="J154" s="48"/>
      <c r="K154" s="25"/>
      <c r="L154" s="48"/>
      <c r="M154" s="45"/>
      <c r="N154" s="48"/>
      <c r="O154" s="48"/>
      <c r="P154" s="48"/>
      <c r="Q154" s="25"/>
      <c r="R154" s="25"/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59"/>
      <c r="C155" s="59"/>
      <c r="D155" s="48"/>
      <c r="E155" s="48"/>
      <c r="F155" s="48"/>
      <c r="G155" s="48"/>
      <c r="H155" s="48"/>
      <c r="I155" s="48"/>
      <c r="J155" s="48"/>
      <c r="K155" s="25"/>
      <c r="L155" s="48"/>
      <c r="M155" s="45"/>
      <c r="N155" s="48"/>
      <c r="O155" s="48"/>
      <c r="P155" s="48"/>
      <c r="Q155" s="25"/>
      <c r="R155" s="25"/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59"/>
      <c r="C156" s="59"/>
      <c r="D156" s="48"/>
      <c r="E156" s="48"/>
      <c r="F156" s="48"/>
      <c r="G156" s="48"/>
      <c r="H156" s="48"/>
      <c r="I156" s="48"/>
      <c r="J156" s="48"/>
      <c r="K156" s="25"/>
      <c r="L156" s="48"/>
      <c r="M156" s="45"/>
      <c r="N156" s="48"/>
      <c r="O156" s="48"/>
      <c r="P156" s="48"/>
      <c r="Q156" s="25"/>
      <c r="R156" s="25"/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59"/>
      <c r="C157" s="59"/>
      <c r="D157" s="48"/>
      <c r="E157" s="48"/>
      <c r="F157" s="48"/>
      <c r="G157" s="48"/>
      <c r="H157" s="48"/>
      <c r="I157" s="48"/>
      <c r="J157" s="48"/>
      <c r="K157" s="25"/>
      <c r="L157" s="48"/>
      <c r="M157" s="45"/>
      <c r="N157" s="48"/>
      <c r="O157" s="48"/>
      <c r="P157" s="48"/>
      <c r="Q157" s="25"/>
      <c r="R157" s="25"/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59"/>
      <c r="C158" s="59"/>
      <c r="D158" s="48"/>
      <c r="E158" s="48"/>
      <c r="F158" s="48"/>
      <c r="G158" s="48"/>
      <c r="H158" s="48"/>
      <c r="I158" s="48"/>
      <c r="J158" s="48"/>
      <c r="K158" s="25"/>
      <c r="L158" s="48"/>
      <c r="M158" s="45"/>
      <c r="N158" s="48"/>
      <c r="O158" s="48"/>
      <c r="P158" s="48"/>
      <c r="Q158" s="25"/>
      <c r="R158" s="25"/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59"/>
      <c r="C159" s="59"/>
      <c r="D159" s="48"/>
      <c r="E159" s="48"/>
      <c r="F159" s="48"/>
      <c r="G159" s="48"/>
      <c r="H159" s="48"/>
      <c r="I159" s="48"/>
      <c r="J159" s="48"/>
      <c r="K159" s="25"/>
      <c r="L159" s="48"/>
      <c r="M159" s="45"/>
      <c r="N159" s="48"/>
      <c r="O159" s="48"/>
      <c r="P159" s="48"/>
      <c r="Q159" s="25"/>
      <c r="R159" s="25"/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59"/>
      <c r="C160" s="59"/>
      <c r="D160" s="48"/>
      <c r="E160" s="48"/>
      <c r="F160" s="48"/>
      <c r="G160" s="48"/>
      <c r="H160" s="48"/>
      <c r="I160" s="48"/>
      <c r="J160" s="48"/>
      <c r="K160" s="25"/>
      <c r="L160" s="48"/>
      <c r="M160" s="45"/>
      <c r="N160" s="48"/>
      <c r="O160" s="48"/>
      <c r="P160" s="48"/>
      <c r="Q160" s="25"/>
      <c r="R160" s="25"/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59"/>
      <c r="C161" s="59"/>
      <c r="D161" s="48"/>
      <c r="E161" s="48"/>
      <c r="F161" s="48"/>
      <c r="G161" s="48"/>
      <c r="H161" s="48"/>
      <c r="I161" s="48"/>
      <c r="J161" s="48"/>
      <c r="K161" s="25"/>
      <c r="L161" s="48"/>
      <c r="M161" s="45"/>
      <c r="N161" s="48"/>
      <c r="O161" s="48"/>
      <c r="P161" s="48"/>
      <c r="Q161" s="25"/>
      <c r="R161" s="25"/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59"/>
      <c r="C162" s="59"/>
      <c r="D162" s="48"/>
      <c r="E162" s="48"/>
      <c r="F162" s="48"/>
      <c r="G162" s="48"/>
      <c r="H162" s="48"/>
      <c r="I162" s="48"/>
      <c r="J162" s="48"/>
      <c r="K162" s="25"/>
      <c r="L162" s="48"/>
      <c r="M162" s="45"/>
      <c r="N162" s="48"/>
      <c r="O162" s="48"/>
      <c r="P162" s="48"/>
      <c r="Q162" s="25"/>
      <c r="R162" s="25"/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8"/>
      <c r="I163" s="48"/>
      <c r="J163" s="48"/>
      <c r="K163" s="25"/>
      <c r="L163" s="48"/>
      <c r="M163" s="45"/>
      <c r="N163" s="48"/>
      <c r="O163" s="48"/>
      <c r="P163" s="48"/>
      <c r="Q163" s="25"/>
      <c r="R163" s="25"/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8"/>
      <c r="I164" s="48"/>
      <c r="J164" s="48"/>
      <c r="K164" s="25"/>
      <c r="L164" s="48"/>
      <c r="M164" s="45"/>
      <c r="N164" s="48"/>
      <c r="O164" s="48"/>
      <c r="P164" s="48"/>
      <c r="Q164" s="25"/>
      <c r="R164" s="25"/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8"/>
      <c r="I165" s="48"/>
      <c r="J165" s="48"/>
      <c r="K165" s="25"/>
      <c r="L165" s="48"/>
      <c r="M165" s="45"/>
      <c r="N165" s="48"/>
      <c r="O165" s="48"/>
      <c r="P165" s="48"/>
      <c r="Q165" s="25"/>
      <c r="R165" s="25"/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8"/>
      <c r="I166" s="48"/>
      <c r="J166" s="48"/>
      <c r="K166" s="25"/>
      <c r="L166" s="48"/>
      <c r="M166" s="45"/>
      <c r="N166" s="48"/>
      <c r="O166" s="48"/>
      <c r="P166" s="48"/>
      <c r="Q166" s="25"/>
      <c r="R166" s="25"/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8"/>
      <c r="I167" s="48"/>
      <c r="J167" s="48"/>
      <c r="K167" s="25"/>
      <c r="L167" s="48"/>
      <c r="M167" s="45"/>
      <c r="N167" s="48"/>
      <c r="O167" s="48"/>
      <c r="P167" s="48"/>
      <c r="Q167" s="25"/>
      <c r="R167" s="25"/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8"/>
      <c r="I168" s="48"/>
      <c r="J168" s="48"/>
      <c r="K168" s="25"/>
      <c r="L168" s="48"/>
      <c r="M168" s="45"/>
      <c r="N168" s="48"/>
      <c r="O168" s="48"/>
      <c r="P168" s="48"/>
      <c r="Q168" s="25"/>
      <c r="R168" s="25"/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8"/>
      <c r="I169" s="48"/>
      <c r="J169" s="48"/>
      <c r="K169" s="25"/>
      <c r="L169" s="48"/>
      <c r="M169" s="45"/>
      <c r="N169" s="48"/>
      <c r="O169" s="48"/>
      <c r="P169" s="48"/>
      <c r="Q169" s="25"/>
      <c r="R169" s="25"/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8"/>
      <c r="I170" s="48"/>
      <c r="J170" s="48"/>
      <c r="K170" s="25"/>
      <c r="L170" s="48"/>
      <c r="M170" s="45"/>
      <c r="N170" s="48"/>
      <c r="O170" s="48"/>
      <c r="P170" s="48"/>
      <c r="Q170" s="25"/>
      <c r="R170" s="25"/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8"/>
      <c r="I171" s="48"/>
      <c r="J171" s="48"/>
      <c r="K171" s="25"/>
      <c r="L171" s="48"/>
      <c r="M171" s="45"/>
      <c r="N171" s="48"/>
      <c r="O171" s="48"/>
      <c r="P171" s="48"/>
      <c r="Q171" s="25"/>
      <c r="R171" s="25"/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8"/>
      <c r="I172" s="48"/>
      <c r="J172" s="48"/>
      <c r="K172" s="25"/>
      <c r="L172" s="48"/>
      <c r="M172" s="45"/>
      <c r="N172" s="48"/>
      <c r="O172" s="48"/>
      <c r="P172" s="48"/>
      <c r="Q172" s="25"/>
      <c r="R172" s="25"/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8"/>
      <c r="I173" s="48"/>
      <c r="J173" s="48"/>
      <c r="K173" s="25"/>
      <c r="L173" s="48"/>
      <c r="M173" s="45"/>
      <c r="N173" s="48"/>
      <c r="O173" s="48"/>
      <c r="P173" s="48"/>
      <c r="Q173" s="25"/>
      <c r="R173" s="25"/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8"/>
      <c r="I174" s="48"/>
      <c r="J174" s="48"/>
      <c r="K174" s="25"/>
      <c r="L174" s="48"/>
      <c r="M174" s="45"/>
      <c r="N174" s="48"/>
      <c r="O174" s="48"/>
      <c r="P174" s="48"/>
      <c r="Q174" s="25"/>
      <c r="R174" s="25"/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8"/>
      <c r="I175" s="48"/>
      <c r="J175" s="48"/>
      <c r="K175" s="25"/>
      <c r="L175" s="48"/>
      <c r="M175" s="45"/>
      <c r="N175" s="48"/>
      <c r="O175" s="48"/>
      <c r="P175" s="48"/>
      <c r="Q175" s="25"/>
      <c r="R175" s="25"/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8"/>
      <c r="I176" s="48"/>
      <c r="J176" s="48"/>
      <c r="K176" s="25"/>
      <c r="L176" s="48"/>
      <c r="M176" s="45"/>
      <c r="N176" s="48"/>
      <c r="O176" s="48"/>
      <c r="P176" s="48"/>
      <c r="Q176" s="25"/>
      <c r="R176" s="25"/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8"/>
      <c r="I177" s="48"/>
      <c r="J177" s="48"/>
      <c r="K177" s="25"/>
      <c r="L177" s="48"/>
      <c r="M177" s="45"/>
      <c r="N177" s="48"/>
      <c r="O177" s="48"/>
      <c r="P177" s="48"/>
      <c r="Q177" s="25"/>
      <c r="R177" s="25"/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8"/>
      <c r="I178" s="48"/>
      <c r="J178" s="48"/>
      <c r="K178" s="25"/>
      <c r="L178" s="48"/>
      <c r="M178" s="45"/>
      <c r="N178" s="48"/>
      <c r="O178" s="48"/>
      <c r="P178" s="48"/>
      <c r="Q178" s="25"/>
      <c r="R178" s="25"/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8"/>
      <c r="I179" s="48"/>
      <c r="J179" s="48"/>
      <c r="K179" s="25"/>
      <c r="L179" s="48"/>
      <c r="M179" s="45"/>
      <c r="N179" s="48"/>
      <c r="O179" s="48"/>
      <c r="P179" s="48"/>
      <c r="Q179" s="25"/>
      <c r="R179" s="25"/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/>
      <c r="L180" s="48"/>
      <c r="M180" s="45"/>
      <c r="N180" s="48"/>
      <c r="O180" s="48"/>
      <c r="P180" s="48"/>
      <c r="Q180" s="25"/>
      <c r="R180" s="25"/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/>
      <c r="L181" s="48"/>
      <c r="M181" s="45"/>
      <c r="N181" s="48"/>
      <c r="O181" s="48"/>
      <c r="P181" s="48"/>
      <c r="Q181" s="25"/>
      <c r="R181" s="25"/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/>
      <c r="L182" s="48"/>
      <c r="M182" s="45"/>
      <c r="N182" s="48"/>
      <c r="O182" s="48"/>
      <c r="P182" s="48"/>
      <c r="Q182" s="25"/>
      <c r="R182" s="25"/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/>
      <c r="L183" s="48"/>
      <c r="M183" s="45"/>
      <c r="N183" s="48"/>
      <c r="O183" s="48"/>
      <c r="P183" s="48"/>
      <c r="Q183" s="25"/>
      <c r="R183" s="25"/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/>
      <c r="L184" s="48"/>
      <c r="M184" s="45"/>
      <c r="N184" s="48"/>
      <c r="O184" s="48"/>
      <c r="P184" s="48"/>
      <c r="Q184" s="25"/>
      <c r="R184" s="25"/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/>
      <c r="L185" s="48"/>
      <c r="M185" s="45"/>
      <c r="N185" s="48"/>
      <c r="O185" s="48"/>
      <c r="P185" s="48"/>
      <c r="Q185" s="25"/>
      <c r="R185" s="25"/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/>
      <c r="L186" s="48"/>
      <c r="M186" s="45"/>
      <c r="N186" s="48"/>
      <c r="O186" s="48"/>
      <c r="P186" s="48"/>
      <c r="Q186" s="25"/>
      <c r="R186" s="25"/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/>
      <c r="L187" s="48"/>
      <c r="M187" s="45"/>
      <c r="N187" s="48"/>
      <c r="O187" s="48"/>
      <c r="P187" s="48"/>
      <c r="Q187" s="25"/>
      <c r="R187" s="25"/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/>
      <c r="L188" s="48"/>
      <c r="M188" s="45"/>
      <c r="N188" s="48"/>
      <c r="O188" s="48"/>
      <c r="P188" s="48"/>
      <c r="Q188" s="25"/>
      <c r="R188" s="25"/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/>
      <c r="L189" s="48"/>
      <c r="M189" s="45"/>
      <c r="N189" s="48"/>
      <c r="O189" s="48"/>
      <c r="P189" s="48"/>
      <c r="Q189" s="25"/>
      <c r="R189" s="25"/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/>
      <c r="L190" s="48"/>
      <c r="M190" s="45"/>
      <c r="N190" s="48"/>
      <c r="O190" s="48"/>
      <c r="P190" s="48"/>
      <c r="Q190" s="25"/>
      <c r="R190" s="25"/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/>
      <c r="L191" s="48"/>
      <c r="M191" s="45"/>
      <c r="N191" s="48"/>
      <c r="O191" s="48"/>
      <c r="P191" s="48"/>
      <c r="Q191" s="25"/>
      <c r="R191" s="25"/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/>
      <c r="L192" s="48"/>
      <c r="M192" s="45"/>
      <c r="N192" s="48"/>
      <c r="O192" s="48"/>
      <c r="P192" s="48"/>
      <c r="Q192" s="25"/>
      <c r="R192" s="25"/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/>
      <c r="L193" s="48"/>
      <c r="M193" s="45"/>
      <c r="N193" s="48"/>
      <c r="O193" s="48"/>
      <c r="P193" s="48"/>
      <c r="Q193" s="25"/>
      <c r="R193" s="25"/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/>
      <c r="L194" s="48"/>
      <c r="M194" s="45"/>
      <c r="N194" s="48"/>
      <c r="O194" s="48"/>
      <c r="P194" s="48"/>
      <c r="Q194" s="25"/>
      <c r="R194" s="25"/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/>
      <c r="L195" s="48"/>
      <c r="M195" s="45"/>
      <c r="N195" s="48"/>
      <c r="O195" s="48"/>
      <c r="P195" s="48"/>
      <c r="Q195" s="25"/>
      <c r="R195" s="25"/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/>
      <c r="L196" s="48"/>
      <c r="M196" s="45"/>
      <c r="N196" s="48"/>
      <c r="O196" s="48"/>
      <c r="P196" s="48"/>
      <c r="Q196" s="25"/>
      <c r="R196" s="25"/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/>
      <c r="L197" s="48"/>
      <c r="M197" s="45"/>
      <c r="N197" s="48"/>
      <c r="O197" s="48"/>
      <c r="P197" s="48"/>
      <c r="Q197" s="25"/>
      <c r="R197" s="25"/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/>
      <c r="L198" s="48"/>
      <c r="M198" s="45"/>
      <c r="N198" s="48"/>
      <c r="O198" s="48"/>
      <c r="P198" s="48"/>
      <c r="Q198" s="25"/>
      <c r="R198" s="25"/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/>
      <c r="L199" s="48"/>
      <c r="M199" s="45"/>
      <c r="N199" s="48"/>
      <c r="O199" s="48"/>
      <c r="P199" s="48"/>
      <c r="Q199" s="25"/>
      <c r="R199" s="25"/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/>
      <c r="L200" s="48"/>
      <c r="M200" s="45"/>
      <c r="N200" s="48"/>
      <c r="O200" s="48"/>
      <c r="P200" s="48"/>
      <c r="Q200" s="25"/>
      <c r="R200" s="25"/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/>
      <c r="L201" s="48"/>
      <c r="M201" s="45"/>
      <c r="N201" s="48"/>
      <c r="O201" s="48"/>
      <c r="P201" s="48"/>
      <c r="Q201" s="25"/>
      <c r="R201" s="25"/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/>
      <c r="L202" s="48"/>
      <c r="M202" s="45"/>
      <c r="N202" s="48"/>
      <c r="O202" s="48"/>
      <c r="P202" s="48"/>
      <c r="Q202" s="25"/>
      <c r="R202" s="25"/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/>
      <c r="L203" s="48"/>
      <c r="M203" s="45"/>
      <c r="N203" s="48"/>
      <c r="O203" s="48"/>
      <c r="P203" s="48"/>
      <c r="Q203" s="25"/>
      <c r="R203" s="25"/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/>
      <c r="L204" s="48"/>
      <c r="M204" s="45"/>
      <c r="N204" s="48"/>
      <c r="O204" s="48"/>
      <c r="P204" s="48"/>
      <c r="Q204" s="25"/>
      <c r="R204" s="25"/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/>
      <c r="L205" s="48"/>
      <c r="M205" s="45"/>
      <c r="N205" s="48"/>
      <c r="O205" s="48"/>
      <c r="P205" s="48"/>
      <c r="Q205" s="25"/>
      <c r="R205" s="25"/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/>
      <c r="L206" s="48"/>
      <c r="M206" s="45"/>
      <c r="N206" s="48"/>
      <c r="O206" s="48"/>
      <c r="P206" s="48"/>
      <c r="Q206" s="25"/>
      <c r="R206" s="25"/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/>
      <c r="L207" s="48"/>
      <c r="M207" s="45"/>
      <c r="N207" s="48"/>
      <c r="O207" s="48"/>
      <c r="P207" s="48"/>
      <c r="Q207" s="25"/>
      <c r="R207" s="25"/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/>
      <c r="L208" s="48"/>
      <c r="M208" s="45"/>
      <c r="N208" s="48"/>
      <c r="O208" s="48"/>
      <c r="P208" s="48"/>
      <c r="Q208" s="25"/>
      <c r="R208" s="25"/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/>
      <c r="L209" s="48"/>
      <c r="M209" s="45"/>
      <c r="N209" s="48"/>
      <c r="O209" s="48"/>
      <c r="P209" s="48"/>
      <c r="Q209" s="25"/>
      <c r="R209" s="25"/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/>
      <c r="L210" s="48"/>
      <c r="M210" s="45"/>
      <c r="N210" s="48"/>
      <c r="O210" s="48"/>
      <c r="P210" s="48"/>
      <c r="Q210" s="25"/>
      <c r="R210" s="25"/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/>
      <c r="L211" s="48"/>
      <c r="M211" s="45"/>
      <c r="N211" s="48"/>
      <c r="O211" s="48"/>
      <c r="P211" s="48"/>
      <c r="Q211" s="25"/>
      <c r="R211" s="25"/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/>
      <c r="L212" s="48"/>
      <c r="M212" s="45"/>
      <c r="N212" s="48"/>
      <c r="O212" s="48"/>
      <c r="P212" s="48"/>
      <c r="Q212" s="25"/>
      <c r="R212" s="25"/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/>
      <c r="L213" s="48"/>
      <c r="M213" s="48"/>
      <c r="N213" s="48"/>
      <c r="O213" s="48"/>
      <c r="P213" s="48"/>
      <c r="Q213" s="25"/>
      <c r="R213" s="25"/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/>
      <c r="L214" s="48"/>
      <c r="M214" s="48"/>
      <c r="N214" s="48"/>
      <c r="O214" s="48"/>
      <c r="P214" s="48"/>
      <c r="Q214" s="25"/>
      <c r="R214" s="25"/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/>
      <c r="L215" s="48"/>
      <c r="M215" s="48"/>
      <c r="N215" s="48"/>
      <c r="O215" s="48"/>
      <c r="P215" s="48"/>
      <c r="Q215" s="25"/>
      <c r="R215" s="25"/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/>
      <c r="L216" s="48"/>
      <c r="M216" s="48"/>
      <c r="N216" s="48"/>
      <c r="O216" s="48"/>
      <c r="P216" s="48"/>
      <c r="Q216" s="25"/>
      <c r="R216" s="25"/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/>
      <c r="L217" s="48"/>
      <c r="M217" s="48"/>
      <c r="N217" s="48"/>
      <c r="O217" s="48"/>
      <c r="P217" s="48"/>
      <c r="Q217" s="25"/>
      <c r="R217" s="25"/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/>
      <c r="L218" s="48"/>
      <c r="M218" s="48"/>
      <c r="N218" s="48"/>
      <c r="O218" s="48"/>
      <c r="P218" s="48"/>
      <c r="Q218" s="25"/>
      <c r="R218" s="25"/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/>
      <c r="L219" s="48"/>
      <c r="M219" s="48"/>
      <c r="N219" s="48"/>
      <c r="O219" s="48"/>
      <c r="P219" s="48"/>
      <c r="Q219" s="25"/>
      <c r="R219" s="25"/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/>
      <c r="L220" s="48"/>
      <c r="M220" s="48"/>
      <c r="N220" s="48"/>
      <c r="O220" s="48"/>
      <c r="P220" s="48"/>
      <c r="Q220" s="25"/>
      <c r="R220" s="25"/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/>
      <c r="L221" s="48"/>
      <c r="M221" s="48"/>
      <c r="N221" s="48"/>
      <c r="O221" s="48"/>
      <c r="P221" s="48"/>
      <c r="Q221" s="25"/>
      <c r="R221" s="25"/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/>
      <c r="L222" s="48"/>
      <c r="M222" s="48"/>
      <c r="N222" s="48"/>
      <c r="O222" s="48"/>
      <c r="P222" s="48"/>
      <c r="Q222" s="25"/>
      <c r="R222" s="25"/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/>
      <c r="L223" s="48"/>
      <c r="M223" s="48"/>
      <c r="N223" s="48"/>
      <c r="O223" s="48"/>
      <c r="P223" s="48"/>
      <c r="Q223" s="25"/>
      <c r="R223" s="25"/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/>
      <c r="L224" s="48"/>
      <c r="M224" s="48"/>
      <c r="N224" s="48"/>
      <c r="O224" s="48"/>
      <c r="P224" s="48"/>
      <c r="Q224" s="25"/>
      <c r="R224" s="25"/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/>
      <c r="L225" s="48"/>
      <c r="M225" s="48"/>
      <c r="N225" s="48"/>
      <c r="O225" s="48"/>
      <c r="P225" s="48"/>
      <c r="Q225" s="25"/>
      <c r="R225" s="25"/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/>
      <c r="L226" s="48"/>
      <c r="M226" s="48"/>
      <c r="N226" s="48"/>
      <c r="O226" s="48"/>
      <c r="P226" s="48"/>
      <c r="Q226" s="25"/>
      <c r="R226" s="25"/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/>
      <c r="L227" s="48"/>
      <c r="M227" s="48"/>
      <c r="N227" s="48"/>
      <c r="O227" s="48"/>
      <c r="P227" s="48"/>
      <c r="Q227" s="25"/>
      <c r="R227" s="25"/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/>
      <c r="L228" s="48"/>
      <c r="M228" s="48"/>
      <c r="N228" s="48"/>
      <c r="O228" s="48"/>
      <c r="P228" s="48"/>
      <c r="Q228" s="25"/>
      <c r="R228" s="25"/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/>
      <c r="L229" s="48"/>
      <c r="M229" s="48"/>
      <c r="N229" s="48"/>
      <c r="O229" s="48"/>
      <c r="P229" s="48"/>
      <c r="Q229" s="25"/>
      <c r="R229" s="25"/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/>
      <c r="L230" s="48"/>
      <c r="M230" s="48"/>
      <c r="N230" s="48"/>
      <c r="O230" s="48"/>
      <c r="P230" s="48"/>
      <c r="Q230" s="25"/>
      <c r="R230" s="25"/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/>
      <c r="L231" s="48"/>
      <c r="M231" s="48"/>
      <c r="N231" s="48"/>
      <c r="O231" s="48"/>
      <c r="P231" s="48"/>
      <c r="Q231" s="25"/>
      <c r="R231" s="25"/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/>
      <c r="L232" s="48"/>
      <c r="M232" s="48"/>
      <c r="N232" s="48"/>
      <c r="O232" s="48"/>
      <c r="P232" s="48"/>
      <c r="Q232" s="25"/>
      <c r="R232" s="25"/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/>
      <c r="L233" s="48"/>
      <c r="M233" s="48"/>
      <c r="N233" s="48"/>
      <c r="O233" s="48"/>
      <c r="P233" s="48"/>
      <c r="Q233" s="25"/>
      <c r="R233" s="25"/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/>
      <c r="L234" s="48"/>
      <c r="M234" s="48"/>
      <c r="N234" s="48"/>
      <c r="O234" s="48"/>
      <c r="P234" s="48"/>
      <c r="Q234" s="25"/>
      <c r="R234" s="25"/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/>
      <c r="L235" s="48"/>
      <c r="M235" s="48"/>
      <c r="N235" s="48"/>
      <c r="O235" s="48"/>
      <c r="P235" s="48"/>
      <c r="Q235" s="25"/>
      <c r="R235" s="25"/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/>
      <c r="L236" s="48"/>
      <c r="M236" s="48"/>
      <c r="N236" s="48"/>
      <c r="O236" s="48"/>
      <c r="P236" s="48"/>
      <c r="Q236" s="25"/>
      <c r="R236" s="25"/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/>
      <c r="L237" s="48"/>
      <c r="M237" s="48"/>
      <c r="N237" s="48"/>
      <c r="O237" s="48"/>
      <c r="P237" s="48"/>
      <c r="Q237" s="25"/>
      <c r="R237" s="25"/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/>
      <c r="L238" s="48"/>
      <c r="M238" s="48"/>
      <c r="N238" s="48"/>
      <c r="O238" s="48"/>
      <c r="P238" s="48"/>
      <c r="Q238" s="25"/>
      <c r="R238" s="25"/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/>
      <c r="L239" s="48"/>
      <c r="M239" s="48"/>
      <c r="N239" s="48"/>
      <c r="O239" s="48"/>
      <c r="P239" s="48"/>
      <c r="Q239" s="25"/>
      <c r="R239" s="25"/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/>
      <c r="L240" s="48"/>
      <c r="M240" s="48"/>
      <c r="N240" s="48"/>
      <c r="O240" s="48"/>
      <c r="P240" s="48"/>
      <c r="Q240" s="25"/>
      <c r="R240" s="25"/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/>
      <c r="L241" s="48"/>
      <c r="M241" s="48"/>
      <c r="N241" s="48"/>
      <c r="O241" s="48"/>
      <c r="P241" s="48"/>
      <c r="Q241" s="25"/>
      <c r="R241" s="25"/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/>
      <c r="L242" s="48"/>
      <c r="M242" s="48"/>
      <c r="N242" s="48"/>
      <c r="O242" s="48"/>
      <c r="P242" s="48"/>
      <c r="Q242" s="25"/>
      <c r="R242" s="25"/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/>
      <c r="L243" s="48"/>
      <c r="M243" s="48"/>
      <c r="N243" s="48"/>
      <c r="O243" s="48"/>
      <c r="P243" s="48"/>
      <c r="Q243" s="25"/>
      <c r="R243" s="25"/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/>
      <c r="L244" s="48"/>
      <c r="M244" s="48"/>
      <c r="N244" s="48"/>
      <c r="O244" s="48"/>
      <c r="P244" s="48"/>
      <c r="Q244" s="25"/>
      <c r="R244" s="25"/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/>
      <c r="L245" s="48"/>
      <c r="M245" s="48"/>
      <c r="N245" s="48"/>
      <c r="O245" s="48"/>
      <c r="P245" s="48"/>
      <c r="Q245" s="25"/>
      <c r="R245" s="25"/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/>
      <c r="L246" s="48"/>
      <c r="M246" s="48"/>
      <c r="N246" s="48"/>
      <c r="O246" s="48"/>
      <c r="P246" s="48"/>
      <c r="Q246" s="25"/>
      <c r="R246" s="25"/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/>
      <c r="L247" s="48"/>
      <c r="M247" s="48"/>
      <c r="N247" s="48"/>
      <c r="O247" s="48"/>
      <c r="P247" s="48"/>
      <c r="Q247" s="25"/>
      <c r="R247" s="25"/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/>
      <c r="L248" s="48"/>
      <c r="M248" s="48"/>
      <c r="N248" s="48"/>
      <c r="O248" s="48"/>
      <c r="P248" s="48"/>
      <c r="Q248" s="25"/>
      <c r="R248" s="25"/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/>
      <c r="L249" s="48"/>
      <c r="M249" s="48"/>
      <c r="N249" s="48"/>
      <c r="O249" s="48"/>
      <c r="P249" s="48"/>
      <c r="Q249" s="25"/>
      <c r="R249" s="25"/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/>
      <c r="L250" s="48"/>
      <c r="M250" s="48"/>
      <c r="N250" s="48"/>
      <c r="O250" s="48"/>
      <c r="P250" s="48"/>
      <c r="Q250" s="25"/>
      <c r="R250" s="25"/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/>
      <c r="L251" s="48"/>
      <c r="M251" s="48"/>
      <c r="N251" s="48"/>
      <c r="O251" s="48"/>
      <c r="P251" s="48"/>
      <c r="Q251" s="25"/>
      <c r="R251" s="25"/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/>
      <c r="L252" s="48"/>
      <c r="M252" s="48"/>
      <c r="N252" s="48"/>
      <c r="O252" s="48"/>
      <c r="P252" s="48"/>
      <c r="Q252" s="25"/>
      <c r="R252" s="25"/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/>
      <c r="L253" s="48"/>
      <c r="M253" s="48"/>
      <c r="N253" s="48"/>
      <c r="O253" s="48"/>
      <c r="P253" s="48"/>
      <c r="Q253" s="25"/>
      <c r="R253" s="25"/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/>
      <c r="L254" s="48"/>
      <c r="M254" s="48"/>
      <c r="N254" s="48"/>
      <c r="O254" s="48"/>
      <c r="P254" s="48"/>
      <c r="Q254" s="25"/>
      <c r="R254" s="25"/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/>
      <c r="L255" s="48"/>
      <c r="M255" s="48"/>
      <c r="N255" s="48"/>
      <c r="O255" s="48"/>
      <c r="P255" s="48"/>
      <c r="Q255" s="25"/>
      <c r="R255" s="25"/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/>
      <c r="L256" s="48"/>
      <c r="M256" s="48"/>
      <c r="N256" s="48"/>
      <c r="O256" s="48"/>
      <c r="P256" s="48"/>
      <c r="Q256" s="25"/>
      <c r="R256" s="25"/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/>
      <c r="L257" s="48"/>
      <c r="M257" s="48"/>
      <c r="N257" s="48"/>
      <c r="O257" s="48"/>
      <c r="P257" s="48"/>
      <c r="Q257" s="25"/>
      <c r="R257" s="25"/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/>
      <c r="L258" s="48"/>
      <c r="M258" s="48"/>
      <c r="N258" s="48"/>
      <c r="O258" s="48"/>
      <c r="P258" s="48"/>
      <c r="Q258" s="25"/>
      <c r="R258" s="25"/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/>
      <c r="L259" s="48"/>
      <c r="M259" s="48"/>
      <c r="N259" s="48"/>
      <c r="O259" s="48"/>
      <c r="P259" s="48"/>
      <c r="Q259" s="25"/>
      <c r="R259" s="25"/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/>
      <c r="L260" s="48"/>
      <c r="M260" s="48"/>
      <c r="N260" s="48"/>
      <c r="O260" s="48"/>
      <c r="P260" s="48"/>
      <c r="Q260" s="25"/>
      <c r="R260" s="25"/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/>
      <c r="L261" s="48"/>
      <c r="M261" s="48"/>
      <c r="N261" s="48"/>
      <c r="O261" s="48"/>
      <c r="P261" s="48"/>
      <c r="Q261" s="25"/>
      <c r="R261" s="25"/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/>
      <c r="L262" s="48"/>
      <c r="M262" s="48"/>
      <c r="N262" s="48"/>
      <c r="O262" s="48"/>
      <c r="P262" s="48"/>
      <c r="Q262" s="25"/>
      <c r="R262" s="25"/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/>
      <c r="L263" s="48"/>
      <c r="M263" s="48"/>
      <c r="N263" s="48"/>
      <c r="O263" s="48"/>
      <c r="P263" s="48"/>
      <c r="Q263" s="25"/>
      <c r="R263" s="25"/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/>
      <c r="L264" s="48"/>
      <c r="M264" s="48"/>
      <c r="N264" s="48"/>
      <c r="O264" s="48"/>
      <c r="P264" s="48"/>
      <c r="Q264" s="25"/>
      <c r="R264" s="25"/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/>
      <c r="L265" s="48"/>
      <c r="M265" s="48"/>
      <c r="N265" s="48"/>
      <c r="O265" s="48"/>
      <c r="P265" s="48"/>
      <c r="Q265" s="25"/>
      <c r="R265" s="25"/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/>
      <c r="L266" s="48"/>
      <c r="M266" s="48"/>
      <c r="N266" s="48"/>
      <c r="O266" s="48"/>
      <c r="P266" s="48"/>
      <c r="Q266" s="25"/>
      <c r="R266" s="25"/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/>
      <c r="L267" s="48"/>
      <c r="M267" s="48"/>
      <c r="N267" s="48"/>
      <c r="O267" s="48"/>
      <c r="P267" s="48"/>
      <c r="Q267" s="25"/>
      <c r="R267" s="25"/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/>
      <c r="L268" s="48"/>
      <c r="M268" s="48"/>
      <c r="N268" s="48"/>
      <c r="O268" s="48"/>
      <c r="P268" s="48"/>
      <c r="Q268" s="25"/>
      <c r="R268" s="25"/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/>
      <c r="L269" s="48"/>
      <c r="M269" s="48"/>
      <c r="N269" s="48"/>
      <c r="O269" s="48"/>
      <c r="P269" s="48"/>
      <c r="Q269" s="25"/>
      <c r="R269" s="25"/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/>
      <c r="L270" s="48"/>
      <c r="M270" s="48"/>
      <c r="N270" s="48"/>
      <c r="O270" s="48"/>
      <c r="P270" s="48"/>
      <c r="Q270" s="25"/>
      <c r="R270" s="25"/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/>
      <c r="L271" s="48"/>
      <c r="M271" s="48"/>
      <c r="N271" s="48"/>
      <c r="O271" s="48"/>
      <c r="P271" s="48"/>
      <c r="Q271" s="25"/>
      <c r="R271" s="25"/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/>
      <c r="L272" s="48"/>
      <c r="M272" s="48"/>
      <c r="N272" s="48"/>
      <c r="O272" s="48"/>
      <c r="P272" s="48"/>
      <c r="Q272" s="25"/>
      <c r="R272" s="25"/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/>
      <c r="L273" s="48"/>
      <c r="M273" s="48"/>
      <c r="N273" s="48"/>
      <c r="O273" s="48"/>
      <c r="P273" s="48"/>
      <c r="Q273" s="25"/>
      <c r="R273" s="25"/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/>
      <c r="L274" s="48"/>
      <c r="M274" s="48"/>
      <c r="N274" s="48"/>
      <c r="O274" s="48"/>
      <c r="P274" s="48"/>
      <c r="Q274" s="25"/>
      <c r="R274" s="25"/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/>
      <c r="L275" s="48"/>
      <c r="M275" s="48"/>
      <c r="N275" s="48"/>
      <c r="O275" s="48"/>
      <c r="P275" s="48"/>
      <c r="Q275" s="25"/>
      <c r="R275" s="25"/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/>
      <c r="L276" s="48"/>
      <c r="M276" s="48"/>
      <c r="N276" s="48"/>
      <c r="O276" s="48"/>
      <c r="P276" s="48"/>
      <c r="Q276" s="25"/>
      <c r="R276" s="25"/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/>
      <c r="L277" s="48"/>
      <c r="M277" s="48"/>
      <c r="N277" s="48"/>
      <c r="O277" s="48"/>
      <c r="P277" s="48"/>
      <c r="Q277" s="25"/>
      <c r="R277" s="25"/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/>
      <c r="L278" s="48"/>
      <c r="M278" s="48"/>
      <c r="N278" s="48"/>
      <c r="O278" s="48"/>
      <c r="P278" s="48"/>
      <c r="Q278" s="25"/>
      <c r="R278" s="25"/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/>
      <c r="L279" s="48"/>
      <c r="M279" s="48"/>
      <c r="N279" s="48"/>
      <c r="O279" s="48"/>
      <c r="P279" s="48"/>
      <c r="Q279" s="25"/>
      <c r="R279" s="25"/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/>
      <c r="L280" s="48"/>
      <c r="M280" s="48"/>
      <c r="N280" s="48"/>
      <c r="O280" s="48"/>
      <c r="P280" s="48"/>
      <c r="Q280" s="25"/>
      <c r="R280" s="25"/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/>
      <c r="L281" s="48"/>
      <c r="M281" s="48"/>
      <c r="N281" s="48"/>
      <c r="O281" s="48"/>
      <c r="P281" s="48"/>
      <c r="Q281" s="25"/>
      <c r="R281" s="25"/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/>
      <c r="L282" s="48"/>
      <c r="M282" s="48"/>
      <c r="N282" s="48"/>
      <c r="O282" s="48"/>
      <c r="P282" s="48"/>
      <c r="Q282" s="25"/>
      <c r="R282" s="25"/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/>
      <c r="L283" s="48"/>
      <c r="M283" s="48"/>
      <c r="N283" s="48"/>
      <c r="O283" s="48"/>
      <c r="P283" s="48"/>
      <c r="Q283" s="25"/>
      <c r="R283" s="25"/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/>
      <c r="L284" s="48"/>
      <c r="M284" s="48"/>
      <c r="N284" s="48"/>
      <c r="O284" s="48"/>
      <c r="P284" s="48"/>
      <c r="Q284" s="25"/>
      <c r="R284" s="25"/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/>
      <c r="L285" s="48"/>
      <c r="M285" s="48"/>
      <c r="N285" s="48"/>
      <c r="O285" s="48"/>
      <c r="P285" s="48"/>
      <c r="Q285" s="25"/>
      <c r="R285" s="25"/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/>
      <c r="L286" s="48"/>
      <c r="M286" s="48"/>
      <c r="N286" s="48"/>
      <c r="O286" s="48"/>
      <c r="P286" s="48"/>
      <c r="Q286" s="25"/>
      <c r="R286" s="25"/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/>
      <c r="L287" s="48"/>
      <c r="M287" s="48"/>
      <c r="N287" s="48"/>
      <c r="O287" s="48"/>
      <c r="P287" s="48"/>
      <c r="Q287" s="25"/>
      <c r="R287" s="25"/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/>
      <c r="L288" s="48"/>
      <c r="M288" s="48"/>
      <c r="N288" s="48"/>
      <c r="O288" s="48"/>
      <c r="P288" s="48"/>
      <c r="Q288" s="25"/>
      <c r="R288" s="25"/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/>
      <c r="L289" s="48"/>
      <c r="M289" s="48"/>
      <c r="N289" s="48"/>
      <c r="O289" s="48"/>
      <c r="P289" s="48"/>
      <c r="Q289" s="25"/>
      <c r="R289" s="25"/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/>
      <c r="L290" s="48"/>
      <c r="M290" s="48"/>
      <c r="N290" s="48"/>
      <c r="O290" s="48"/>
      <c r="P290" s="48"/>
      <c r="Q290" s="25"/>
      <c r="R290" s="25"/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/>
      <c r="L291" s="48"/>
      <c r="M291" s="48"/>
      <c r="N291" s="48"/>
      <c r="O291" s="48"/>
      <c r="P291" s="48"/>
      <c r="Q291" s="25"/>
      <c r="R291" s="25"/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/>
      <c r="L292" s="48"/>
      <c r="M292" s="48"/>
      <c r="N292" s="48"/>
      <c r="O292" s="48"/>
      <c r="P292" s="48"/>
      <c r="Q292" s="25"/>
      <c r="R292" s="25"/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/>
      <c r="L293" s="48"/>
      <c r="M293" s="48"/>
      <c r="N293" s="48"/>
      <c r="O293" s="48"/>
      <c r="P293" s="48"/>
      <c r="Q293" s="25"/>
      <c r="R293" s="25"/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/>
      <c r="L294" s="48"/>
      <c r="M294" s="48"/>
      <c r="N294" s="48"/>
      <c r="O294" s="48"/>
      <c r="P294" s="48"/>
      <c r="Q294" s="25"/>
      <c r="R294" s="25"/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/>
      <c r="L295" s="48"/>
      <c r="M295" s="48"/>
      <c r="N295" s="48"/>
      <c r="O295" s="48"/>
      <c r="P295" s="48"/>
      <c r="Q295" s="25"/>
      <c r="R295" s="25"/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/>
      <c r="L296" s="48"/>
      <c r="M296" s="48"/>
      <c r="N296" s="48"/>
      <c r="O296" s="48"/>
      <c r="P296" s="48"/>
      <c r="Q296" s="25"/>
      <c r="R296" s="25"/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/>
      <c r="L297" s="48"/>
      <c r="M297" s="48"/>
      <c r="N297" s="48"/>
      <c r="O297" s="48"/>
      <c r="P297" s="48"/>
      <c r="Q297" s="25"/>
      <c r="R297" s="25"/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/>
      <c r="L298" s="48"/>
      <c r="M298" s="48"/>
      <c r="N298" s="48"/>
      <c r="O298" s="48"/>
      <c r="P298" s="48"/>
      <c r="Q298" s="25"/>
      <c r="R298" s="25"/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/>
      <c r="L299" s="48"/>
      <c r="M299" s="48"/>
      <c r="N299" s="48"/>
      <c r="O299" s="48"/>
      <c r="P299" s="48"/>
      <c r="Q299" s="25"/>
      <c r="R299" s="25"/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/>
      <c r="L300" s="48"/>
      <c r="M300" s="48"/>
      <c r="N300" s="48"/>
      <c r="O300" s="48"/>
      <c r="P300" s="48"/>
      <c r="Q300" s="25"/>
      <c r="R300" s="25"/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/>
      <c r="L301" s="48"/>
      <c r="M301" s="48"/>
      <c r="N301" s="48"/>
      <c r="O301" s="48"/>
      <c r="P301" s="48"/>
      <c r="Q301" s="25"/>
      <c r="R301" s="25"/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/>
      <c r="L302" s="48"/>
      <c r="M302" s="48"/>
      <c r="N302" s="48"/>
      <c r="O302" s="48"/>
      <c r="P302" s="48"/>
      <c r="Q302" s="25"/>
      <c r="R302" s="25"/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/>
      <c r="L303" s="48"/>
      <c r="M303" s="48"/>
      <c r="N303" s="48"/>
      <c r="O303" s="48"/>
      <c r="P303" s="48"/>
      <c r="Q303" s="25"/>
      <c r="R303" s="25"/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/>
      <c r="L304" s="48"/>
      <c r="M304" s="48"/>
      <c r="N304" s="48"/>
      <c r="O304" s="48"/>
      <c r="P304" s="48"/>
      <c r="Q304" s="25"/>
      <c r="R304" s="25"/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/>
      <c r="L305" s="48"/>
      <c r="M305" s="48"/>
      <c r="N305" s="48"/>
      <c r="O305" s="48"/>
      <c r="P305" s="48"/>
      <c r="Q305" s="25"/>
      <c r="R305" s="25"/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/>
      <c r="L306" s="48"/>
      <c r="M306" s="48"/>
      <c r="N306" s="48"/>
      <c r="O306" s="48"/>
      <c r="P306" s="48"/>
      <c r="Q306" s="25"/>
      <c r="R306" s="25"/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/>
      <c r="L307" s="48"/>
      <c r="M307" s="48"/>
      <c r="N307" s="48"/>
      <c r="O307" s="48"/>
      <c r="P307" s="48"/>
      <c r="Q307" s="25"/>
      <c r="R307" s="25"/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/>
      <c r="L308" s="48"/>
      <c r="M308" s="48"/>
      <c r="N308" s="48"/>
      <c r="O308" s="48"/>
      <c r="P308" s="48"/>
      <c r="Q308" s="25"/>
      <c r="R308" s="25"/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/>
      <c r="L309" s="48"/>
      <c r="M309" s="48"/>
      <c r="N309" s="48"/>
      <c r="O309" s="48"/>
      <c r="P309" s="48"/>
      <c r="Q309" s="25"/>
      <c r="R309" s="25"/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/>
      <c r="L310" s="48"/>
      <c r="M310" s="48"/>
      <c r="N310" s="48"/>
      <c r="O310" s="48"/>
      <c r="P310" s="48"/>
      <c r="Q310" s="25"/>
      <c r="R310" s="25"/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/>
      <c r="L311" s="48"/>
      <c r="M311" s="48"/>
      <c r="N311" s="48"/>
      <c r="O311" s="48"/>
      <c r="P311" s="48"/>
      <c r="Q311" s="25"/>
      <c r="R311" s="25"/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/>
      <c r="L312" s="48"/>
      <c r="M312" s="48"/>
      <c r="N312" s="48"/>
      <c r="O312" s="48"/>
      <c r="P312" s="48"/>
      <c r="Q312" s="25"/>
      <c r="R312" s="25"/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/>
      <c r="L313" s="48"/>
      <c r="M313" s="48"/>
      <c r="N313" s="48"/>
      <c r="O313" s="48"/>
      <c r="P313" s="48"/>
      <c r="Q313" s="25"/>
      <c r="R313" s="25"/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/>
      <c r="L314" s="48"/>
      <c r="M314" s="48"/>
      <c r="N314" s="48"/>
      <c r="O314" s="48"/>
      <c r="P314" s="48"/>
      <c r="Q314" s="25"/>
      <c r="R314" s="25"/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/>
      <c r="L315" s="48"/>
      <c r="M315" s="48"/>
      <c r="N315" s="48"/>
      <c r="O315" s="48"/>
      <c r="P315" s="48"/>
      <c r="Q315" s="25"/>
      <c r="R315" s="25"/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/>
      <c r="L316" s="48"/>
      <c r="M316" s="48"/>
      <c r="N316" s="48"/>
      <c r="O316" s="48"/>
      <c r="P316" s="48"/>
      <c r="Q316" s="25"/>
      <c r="R316" s="25"/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/>
      <c r="L317" s="48"/>
      <c r="M317" s="48"/>
      <c r="N317" s="48"/>
      <c r="O317" s="48"/>
      <c r="P317" s="48"/>
      <c r="Q317" s="25"/>
      <c r="R317" s="25"/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/>
      <c r="L318" s="48"/>
      <c r="M318" s="48"/>
      <c r="N318" s="48"/>
      <c r="O318" s="48"/>
      <c r="P318" s="48"/>
      <c r="Q318" s="25"/>
      <c r="R318" s="25"/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/>
      <c r="L319" s="48"/>
      <c r="M319" s="48"/>
      <c r="N319" s="48"/>
      <c r="O319" s="48"/>
      <c r="P319" s="48"/>
      <c r="Q319" s="25"/>
      <c r="R319" s="25"/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/>
      <c r="L320" s="48"/>
      <c r="M320" s="48"/>
      <c r="N320" s="48"/>
      <c r="O320" s="48"/>
      <c r="P320" s="48"/>
      <c r="Q320" s="25"/>
      <c r="R320" s="25"/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/>
      <c r="L321" s="48"/>
      <c r="M321" s="48"/>
      <c r="N321" s="48"/>
      <c r="O321" s="48"/>
      <c r="P321" s="48"/>
      <c r="Q321" s="25"/>
      <c r="R321" s="25"/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/>
      <c r="L322" s="48"/>
      <c r="M322" s="48"/>
      <c r="N322" s="48"/>
      <c r="O322" s="48"/>
      <c r="P322" s="48"/>
      <c r="Q322" s="25"/>
      <c r="R322" s="25"/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/>
      <c r="L323" s="48"/>
      <c r="M323" s="48"/>
      <c r="N323" s="48"/>
      <c r="O323" s="48"/>
      <c r="P323" s="48"/>
      <c r="Q323" s="25"/>
      <c r="R323" s="25"/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/>
      <c r="L324" s="48"/>
      <c r="M324" s="48"/>
      <c r="N324" s="48"/>
      <c r="O324" s="48"/>
      <c r="P324" s="48"/>
      <c r="Q324" s="25"/>
      <c r="R324" s="25"/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/>
      <c r="L325" s="48"/>
      <c r="M325" s="48"/>
      <c r="N325" s="48"/>
      <c r="O325" s="48"/>
      <c r="P325" s="48"/>
      <c r="Q325" s="25"/>
      <c r="R325" s="25"/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/>
      <c r="L326" s="48"/>
      <c r="M326" s="48"/>
      <c r="N326" s="48"/>
      <c r="O326" s="48"/>
      <c r="P326" s="48"/>
      <c r="Q326" s="25"/>
      <c r="R326" s="25"/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/>
      <c r="L327" s="48"/>
      <c r="M327" s="48"/>
      <c r="N327" s="48"/>
      <c r="O327" s="48"/>
      <c r="P327" s="48"/>
      <c r="Q327" s="25"/>
      <c r="R327" s="25"/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/>
      <c r="L328" s="48"/>
      <c r="M328" s="48"/>
      <c r="N328" s="48"/>
      <c r="O328" s="48"/>
      <c r="P328" s="48"/>
      <c r="Q328" s="25"/>
      <c r="R328" s="25"/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/>
      <c r="L329" s="48"/>
      <c r="M329" s="48"/>
      <c r="N329" s="48"/>
      <c r="O329" s="48"/>
      <c r="P329" s="48"/>
      <c r="Q329" s="25"/>
      <c r="R329" s="25"/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/>
      <c r="L330" s="48"/>
      <c r="M330" s="48"/>
      <c r="N330" s="48"/>
      <c r="O330" s="48"/>
      <c r="P330" s="48"/>
      <c r="Q330" s="25"/>
      <c r="R330" s="25"/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/>
      <c r="L331" s="48"/>
      <c r="M331" s="48"/>
      <c r="N331" s="48"/>
      <c r="O331" s="48"/>
      <c r="P331" s="48"/>
      <c r="Q331" s="25"/>
      <c r="R331" s="25"/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/>
      <c r="L332" s="48"/>
      <c r="M332" s="48"/>
      <c r="N332" s="48"/>
      <c r="O332" s="48"/>
      <c r="P332" s="48"/>
      <c r="Q332" s="25"/>
      <c r="R332" s="25"/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/>
      <c r="L333" s="48"/>
      <c r="M333" s="48"/>
      <c r="N333" s="48"/>
      <c r="O333" s="48"/>
      <c r="P333" s="48"/>
      <c r="Q333" s="25"/>
      <c r="R333" s="25"/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/>
      <c r="L334" s="48"/>
      <c r="M334" s="48"/>
      <c r="N334" s="48"/>
      <c r="O334" s="48"/>
      <c r="P334" s="48"/>
      <c r="Q334" s="25"/>
      <c r="R334" s="25"/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/>
      <c r="L335" s="48"/>
      <c r="M335" s="48"/>
      <c r="N335" s="48"/>
      <c r="O335" s="48"/>
      <c r="P335" s="48"/>
      <c r="Q335" s="25"/>
      <c r="R335" s="25"/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/>
      <c r="L336" s="48"/>
      <c r="M336" s="48"/>
      <c r="N336" s="48"/>
      <c r="O336" s="48"/>
      <c r="P336" s="48"/>
      <c r="Q336" s="25"/>
      <c r="R336" s="25"/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/>
      <c r="L337" s="48"/>
      <c r="M337" s="48"/>
      <c r="N337" s="48"/>
      <c r="O337" s="48"/>
      <c r="P337" s="48"/>
      <c r="Q337" s="25"/>
      <c r="R337" s="25"/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/>
      <c r="L338" s="48"/>
      <c r="M338" s="48"/>
      <c r="N338" s="48"/>
      <c r="O338" s="48"/>
      <c r="P338" s="48"/>
      <c r="Q338" s="25"/>
      <c r="R338" s="25"/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/>
      <c r="L339" s="48"/>
      <c r="M339" s="48"/>
      <c r="N339" s="48"/>
      <c r="O339" s="48"/>
      <c r="P339" s="48"/>
      <c r="Q339" s="25"/>
      <c r="R339" s="25"/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/>
      <c r="L340" s="48"/>
      <c r="M340" s="48"/>
      <c r="N340" s="48"/>
      <c r="O340" s="48"/>
      <c r="P340" s="48"/>
      <c r="Q340" s="25"/>
      <c r="R340" s="25"/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/>
      <c r="L341" s="48"/>
      <c r="M341" s="48"/>
      <c r="N341" s="48"/>
      <c r="O341" s="48"/>
      <c r="P341" s="48"/>
      <c r="Q341" s="25"/>
      <c r="R341" s="25"/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/>
      <c r="L342" s="48"/>
      <c r="M342" s="48"/>
      <c r="N342" s="48"/>
      <c r="O342" s="48"/>
      <c r="P342" s="48"/>
      <c r="Q342" s="25"/>
      <c r="R342" s="25"/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/>
      <c r="L343" s="48"/>
      <c r="M343" s="48"/>
      <c r="N343" s="48"/>
      <c r="O343" s="48"/>
      <c r="P343" s="48"/>
      <c r="Q343" s="25"/>
      <c r="R343" s="25"/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/>
      <c r="L344" s="48"/>
      <c r="M344" s="48"/>
      <c r="N344" s="48"/>
      <c r="O344" s="48"/>
      <c r="P344" s="48"/>
      <c r="Q344" s="25"/>
      <c r="R344" s="25"/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/>
      <c r="L345" s="48"/>
      <c r="M345" s="48"/>
      <c r="N345" s="48"/>
      <c r="O345" s="48"/>
      <c r="P345" s="48"/>
      <c r="Q345" s="25"/>
      <c r="R345" s="25"/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/>
      <c r="L346" s="48"/>
      <c r="M346" s="48"/>
      <c r="N346" s="48"/>
      <c r="O346" s="48"/>
      <c r="P346" s="48"/>
      <c r="Q346" s="25"/>
      <c r="R346" s="25"/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/>
      <c r="L347" s="48"/>
      <c r="M347" s="48"/>
      <c r="N347" s="48"/>
      <c r="O347" s="48"/>
      <c r="P347" s="48"/>
      <c r="Q347" s="25"/>
      <c r="R347" s="25"/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/>
      <c r="L348" s="48"/>
      <c r="M348" s="48"/>
      <c r="N348" s="48"/>
      <c r="O348" s="48"/>
      <c r="P348" s="48"/>
      <c r="Q348" s="25"/>
      <c r="R348" s="25"/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/>
      <c r="L349" s="48"/>
      <c r="M349" s="48"/>
      <c r="N349" s="48"/>
      <c r="O349" s="48"/>
      <c r="P349" s="48"/>
      <c r="Q349" s="25"/>
      <c r="R349" s="25"/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/>
      <c r="L350" s="48"/>
      <c r="M350" s="48"/>
      <c r="N350" s="48"/>
      <c r="O350" s="48"/>
      <c r="P350" s="48"/>
      <c r="Q350" s="25"/>
      <c r="R350" s="25"/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/>
      <c r="L351" s="48"/>
      <c r="M351" s="48"/>
      <c r="N351" s="48"/>
      <c r="O351" s="48"/>
      <c r="P351" s="48"/>
      <c r="Q351" s="25"/>
      <c r="R351" s="25"/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/>
      <c r="L352" s="48"/>
      <c r="M352" s="48"/>
      <c r="N352" s="48"/>
      <c r="O352" s="48"/>
      <c r="P352" s="48"/>
      <c r="Q352" s="25"/>
      <c r="R352" s="25"/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/>
      <c r="L353" s="48"/>
      <c r="M353" s="48"/>
      <c r="N353" s="48"/>
      <c r="O353" s="48"/>
      <c r="P353" s="48"/>
      <c r="Q353" s="25"/>
      <c r="R353" s="25"/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/>
      <c r="L354" s="48"/>
      <c r="M354" s="48"/>
      <c r="N354" s="48"/>
      <c r="O354" s="48"/>
      <c r="P354" s="48"/>
      <c r="Q354" s="25"/>
      <c r="R354" s="25"/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/>
      <c r="L355" s="48"/>
      <c r="M355" s="48"/>
      <c r="N355" s="48"/>
      <c r="O355" s="48"/>
      <c r="P355" s="48"/>
      <c r="Q355" s="25"/>
      <c r="R355" s="25"/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/>
      <c r="L356" s="48"/>
      <c r="M356" s="48"/>
      <c r="N356" s="48"/>
      <c r="O356" s="48"/>
      <c r="P356" s="48"/>
      <c r="Q356" s="25"/>
      <c r="R356" s="25"/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/>
      <c r="L357" s="48"/>
      <c r="M357" s="48"/>
      <c r="N357" s="48"/>
      <c r="O357" s="48"/>
      <c r="P357" s="48"/>
      <c r="Q357" s="25"/>
      <c r="R357" s="25"/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/>
      <c r="L358" s="48"/>
      <c r="M358" s="48"/>
      <c r="N358" s="48"/>
      <c r="O358" s="48"/>
      <c r="P358" s="48"/>
      <c r="Q358" s="25"/>
      <c r="R358" s="25"/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/>
      <c r="L359" s="48"/>
      <c r="M359" s="48"/>
      <c r="N359" s="48"/>
      <c r="O359" s="48"/>
      <c r="P359" s="48"/>
      <c r="Q359" s="25"/>
      <c r="R359" s="25"/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/>
      <c r="L360" s="48"/>
      <c r="M360" s="48"/>
      <c r="N360" s="48"/>
      <c r="O360" s="48"/>
      <c r="P360" s="48"/>
      <c r="Q360" s="25"/>
      <c r="R360" s="25"/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/>
      <c r="L361" s="48"/>
      <c r="M361" s="48"/>
      <c r="N361" s="48"/>
      <c r="O361" s="48"/>
      <c r="P361" s="48"/>
      <c r="Q361" s="25"/>
      <c r="R361" s="25"/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/>
      <c r="L362" s="48"/>
      <c r="M362" s="48"/>
      <c r="N362" s="48"/>
      <c r="O362" s="48"/>
      <c r="P362" s="48"/>
      <c r="Q362" s="25"/>
      <c r="R362" s="25"/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/>
      <c r="L363" s="48"/>
      <c r="M363" s="48"/>
      <c r="N363" s="48"/>
      <c r="O363" s="48"/>
      <c r="P363" s="48"/>
      <c r="Q363" s="25"/>
      <c r="R363" s="25"/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/>
      <c r="L364" s="48"/>
      <c r="M364" s="48"/>
      <c r="N364" s="48"/>
      <c r="O364" s="48"/>
      <c r="P364" s="48"/>
      <c r="Q364" s="25"/>
      <c r="R364" s="25"/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/>
      <c r="L365" s="48"/>
      <c r="M365" s="48"/>
      <c r="N365" s="48"/>
      <c r="O365" s="48"/>
      <c r="P365" s="48"/>
      <c r="Q365" s="25"/>
      <c r="R365" s="25"/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/>
      <c r="L366" s="48"/>
      <c r="M366" s="48"/>
      <c r="N366" s="48"/>
      <c r="O366" s="48"/>
      <c r="P366" s="48"/>
      <c r="Q366" s="25"/>
      <c r="R366" s="25"/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/>
      <c r="L367" s="48"/>
      <c r="M367" s="48"/>
      <c r="N367" s="48"/>
      <c r="O367" s="48"/>
      <c r="P367" s="48"/>
      <c r="Q367" s="25"/>
      <c r="R367" s="25"/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/>
      <c r="L368" s="48"/>
      <c r="M368" s="48"/>
      <c r="N368" s="48"/>
      <c r="O368" s="48"/>
      <c r="P368" s="48"/>
      <c r="Q368" s="25"/>
      <c r="R368" s="25"/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/>
      <c r="L369" s="48"/>
      <c r="M369" s="48"/>
      <c r="N369" s="48"/>
      <c r="O369" s="48"/>
      <c r="P369" s="48"/>
      <c r="Q369" s="25"/>
      <c r="R369" s="25"/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/>
      <c r="L370" s="48"/>
      <c r="M370" s="48"/>
      <c r="N370" s="48"/>
      <c r="O370" s="48"/>
      <c r="P370" s="48"/>
      <c r="Q370" s="25"/>
      <c r="R370" s="25"/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/>
      <c r="L371" s="48"/>
      <c r="M371" s="48"/>
      <c r="N371" s="48"/>
      <c r="O371" s="48"/>
      <c r="P371" s="48"/>
      <c r="Q371" s="25"/>
      <c r="R371" s="25"/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/>
      <c r="L372" s="48"/>
      <c r="M372" s="48"/>
      <c r="N372" s="48"/>
      <c r="O372" s="48"/>
      <c r="P372" s="48"/>
      <c r="Q372" s="25"/>
      <c r="R372" s="25"/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/>
      <c r="L373" s="48"/>
      <c r="M373" s="48"/>
      <c r="N373" s="48"/>
      <c r="O373" s="48"/>
      <c r="P373" s="48"/>
      <c r="Q373" s="25"/>
      <c r="R373" s="25"/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/>
      <c r="L374" s="48"/>
      <c r="M374" s="48"/>
      <c r="N374" s="48"/>
      <c r="O374" s="48"/>
      <c r="P374" s="48"/>
      <c r="Q374" s="25"/>
      <c r="R374" s="25"/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/>
      <c r="L375" s="48"/>
      <c r="M375" s="48"/>
      <c r="N375" s="48"/>
      <c r="O375" s="48"/>
      <c r="P375" s="48"/>
      <c r="Q375" s="25"/>
      <c r="R375" s="25"/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/>
      <c r="L376" s="48"/>
      <c r="M376" s="48"/>
      <c r="N376" s="48"/>
      <c r="O376" s="48"/>
      <c r="P376" s="48"/>
      <c r="Q376" s="25"/>
      <c r="R376" s="25"/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/>
      <c r="L377" s="48"/>
      <c r="M377" s="48"/>
      <c r="N377" s="48"/>
      <c r="O377" s="48"/>
      <c r="P377" s="48"/>
      <c r="Q377" s="25"/>
      <c r="R377" s="25"/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/>
      <c r="L378" s="48"/>
      <c r="M378" s="48"/>
      <c r="N378" s="48"/>
      <c r="O378" s="48"/>
      <c r="P378" s="48"/>
      <c r="Q378" s="25"/>
      <c r="R378" s="25"/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/>
      <c r="L379" s="48"/>
      <c r="M379" s="48"/>
      <c r="N379" s="48"/>
      <c r="O379" s="48"/>
      <c r="P379" s="48"/>
      <c r="Q379" s="25"/>
      <c r="R379" s="25"/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/>
      <c r="L380" s="48"/>
      <c r="M380" s="48"/>
      <c r="N380" s="48"/>
      <c r="O380" s="48"/>
      <c r="P380" s="48"/>
      <c r="Q380" s="25"/>
      <c r="R380" s="25"/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/>
      <c r="L381" s="48"/>
      <c r="M381" s="48"/>
      <c r="N381" s="48"/>
      <c r="O381" s="48"/>
      <c r="P381" s="48"/>
      <c r="Q381" s="25"/>
      <c r="R381" s="25"/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/>
      <c r="L382" s="48"/>
      <c r="M382" s="48"/>
      <c r="N382" s="48"/>
      <c r="O382" s="48"/>
      <c r="P382" s="48"/>
      <c r="Q382" s="25"/>
      <c r="R382" s="25"/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/>
      <c r="L383" s="48"/>
      <c r="M383" s="48"/>
      <c r="N383" s="48"/>
      <c r="O383" s="48"/>
      <c r="P383" s="48"/>
      <c r="Q383" s="25"/>
      <c r="R383" s="25"/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/>
      <c r="L384" s="48"/>
      <c r="M384" s="48"/>
      <c r="N384" s="48"/>
      <c r="O384" s="48"/>
      <c r="P384" s="48"/>
      <c r="Q384" s="25"/>
      <c r="R384" s="25"/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/>
      <c r="L385" s="48"/>
      <c r="M385" s="48"/>
      <c r="N385" s="48"/>
      <c r="O385" s="48"/>
      <c r="P385" s="48"/>
      <c r="Q385" s="25"/>
      <c r="R385" s="25"/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/>
      <c r="L386" s="48"/>
      <c r="M386" s="48"/>
      <c r="N386" s="48"/>
      <c r="O386" s="48"/>
      <c r="P386" s="48"/>
      <c r="Q386" s="25"/>
      <c r="R386" s="25"/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/>
      <c r="L387" s="48"/>
      <c r="M387" s="48"/>
      <c r="N387" s="48"/>
      <c r="O387" s="48"/>
      <c r="P387" s="48"/>
      <c r="Q387" s="25"/>
      <c r="R387" s="25"/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/>
      <c r="L388" s="48"/>
      <c r="M388" s="48"/>
      <c r="N388" s="48"/>
      <c r="O388" s="48"/>
      <c r="P388" s="48"/>
      <c r="Q388" s="25"/>
      <c r="R388" s="25"/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/>
      <c r="L389" s="48"/>
      <c r="M389" s="48"/>
      <c r="N389" s="48"/>
      <c r="O389" s="48"/>
      <c r="P389" s="48"/>
      <c r="Q389" s="25"/>
      <c r="R389" s="25"/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/>
      <c r="L390" s="48"/>
      <c r="M390" s="48"/>
      <c r="N390" s="48"/>
      <c r="O390" s="48"/>
      <c r="P390" s="48"/>
      <c r="Q390" s="25"/>
      <c r="R390" s="25"/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/>
      <c r="L391" s="48"/>
      <c r="M391" s="48"/>
      <c r="N391" s="48"/>
      <c r="O391" s="48"/>
      <c r="P391" s="48"/>
      <c r="Q391" s="25"/>
      <c r="R391" s="25"/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/>
      <c r="L392" s="48"/>
      <c r="M392" s="48"/>
      <c r="N392" s="48"/>
      <c r="O392" s="48"/>
      <c r="P392" s="48"/>
      <c r="Q392" s="25"/>
      <c r="R392" s="25"/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/>
      <c r="L393" s="48"/>
      <c r="M393" s="48"/>
      <c r="N393" s="48"/>
      <c r="O393" s="48"/>
      <c r="P393" s="48"/>
      <c r="Q393" s="25"/>
      <c r="R393" s="25"/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/>
      <c r="L394" s="48"/>
      <c r="M394" s="48"/>
      <c r="N394" s="48"/>
      <c r="O394" s="48"/>
      <c r="P394" s="48"/>
      <c r="Q394" s="25"/>
      <c r="R394" s="25"/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/>
      <c r="L395" s="48"/>
      <c r="M395" s="48"/>
      <c r="N395" s="48"/>
      <c r="O395" s="48"/>
      <c r="P395" s="48"/>
      <c r="Q395" s="25"/>
      <c r="R395" s="25"/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/>
      <c r="L396" s="48"/>
      <c r="M396" s="48"/>
      <c r="N396" s="48"/>
      <c r="O396" s="48"/>
      <c r="P396" s="48"/>
      <c r="Q396" s="25"/>
      <c r="R396" s="25"/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/>
      <c r="L397" s="48"/>
      <c r="M397" s="48"/>
      <c r="N397" s="48"/>
      <c r="O397" s="48"/>
      <c r="P397" s="48"/>
      <c r="Q397" s="25"/>
      <c r="R397" s="25"/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/>
      <c r="L398" s="48"/>
      <c r="M398" s="48"/>
      <c r="N398" s="48"/>
      <c r="O398" s="48"/>
      <c r="P398" s="48"/>
      <c r="Q398" s="25"/>
      <c r="R398" s="25"/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/>
      <c r="L399" s="48"/>
      <c r="M399" s="48"/>
      <c r="N399" s="48"/>
      <c r="O399" s="48"/>
      <c r="P399" s="48"/>
      <c r="Q399" s="25"/>
      <c r="R399" s="25"/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/>
      <c r="L400" s="48"/>
      <c r="M400" s="48"/>
      <c r="N400" s="48"/>
      <c r="O400" s="48"/>
      <c r="P400" s="48"/>
      <c r="Q400" s="25"/>
      <c r="R400" s="25"/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/>
      <c r="L401" s="48"/>
      <c r="M401" s="48"/>
      <c r="N401" s="48"/>
      <c r="O401" s="48"/>
      <c r="P401" s="48"/>
      <c r="Q401" s="25"/>
      <c r="R401" s="25"/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/>
      <c r="L402" s="48"/>
      <c r="M402" s="48"/>
      <c r="N402" s="48"/>
      <c r="O402" s="48"/>
      <c r="P402" s="48"/>
      <c r="Q402" s="25"/>
      <c r="R402" s="25"/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/>
      <c r="L403" s="48"/>
      <c r="M403" s="48"/>
      <c r="N403" s="48"/>
      <c r="O403" s="48"/>
      <c r="P403" s="48"/>
      <c r="Q403" s="25"/>
      <c r="R403" s="25"/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/>
      <c r="L404" s="48"/>
      <c r="M404" s="48"/>
      <c r="N404" s="48"/>
      <c r="O404" s="48"/>
      <c r="P404" s="48"/>
      <c r="Q404" s="25"/>
      <c r="R404" s="25"/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/>
      <c r="L405" s="48"/>
      <c r="M405" s="48"/>
      <c r="N405" s="48"/>
      <c r="O405" s="48"/>
      <c r="P405" s="48"/>
      <c r="Q405" s="25"/>
      <c r="R405" s="25"/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/>
      <c r="L406" s="48"/>
      <c r="M406" s="48"/>
      <c r="N406" s="48"/>
      <c r="O406" s="48"/>
      <c r="P406" s="48"/>
      <c r="Q406" s="25"/>
      <c r="R406" s="25"/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/>
      <c r="L407" s="48"/>
      <c r="M407" s="48"/>
      <c r="N407" s="48"/>
      <c r="O407" s="48"/>
      <c r="P407" s="48"/>
      <c r="Q407" s="25"/>
      <c r="R407" s="25"/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/>
      <c r="L408" s="48"/>
      <c r="M408" s="48"/>
      <c r="N408" s="48"/>
      <c r="O408" s="48"/>
      <c r="P408" s="48"/>
      <c r="Q408" s="25"/>
      <c r="R408" s="25"/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/>
      <c r="L409" s="48"/>
      <c r="M409" s="48"/>
      <c r="N409" s="48"/>
      <c r="O409" s="48"/>
      <c r="P409" s="48"/>
      <c r="Q409" s="25"/>
      <c r="R409" s="25"/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/>
      <c r="L410" s="48"/>
      <c r="M410" s="48"/>
      <c r="N410" s="48"/>
      <c r="O410" s="48"/>
      <c r="P410" s="48"/>
      <c r="Q410" s="25"/>
      <c r="R410" s="25"/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/>
      <c r="L411" s="48"/>
      <c r="M411" s="48"/>
      <c r="N411" s="48"/>
      <c r="O411" s="48"/>
      <c r="P411" s="48"/>
      <c r="Q411" s="25"/>
      <c r="R411" s="25"/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/>
      <c r="L412" s="48"/>
      <c r="M412" s="48"/>
      <c r="N412" s="48"/>
      <c r="O412" s="48"/>
      <c r="P412" s="48"/>
      <c r="Q412" s="25"/>
      <c r="R412" s="25"/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/>
      <c r="L413" s="48"/>
      <c r="M413" s="48"/>
      <c r="N413" s="48"/>
      <c r="O413" s="48"/>
      <c r="P413" s="48"/>
      <c r="Q413" s="25"/>
      <c r="R413" s="25"/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/>
      <c r="L414" s="48"/>
      <c r="M414" s="48"/>
      <c r="N414" s="48"/>
      <c r="O414" s="48"/>
      <c r="P414" s="48"/>
      <c r="Q414" s="25"/>
      <c r="R414" s="25"/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/>
      <c r="L415" s="48"/>
      <c r="M415" s="48"/>
      <c r="N415" s="48"/>
      <c r="O415" s="48"/>
      <c r="P415" s="48"/>
      <c r="Q415" s="25"/>
      <c r="R415" s="25"/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/>
      <c r="L416" s="48"/>
      <c r="M416" s="48"/>
      <c r="N416" s="48"/>
      <c r="O416" s="48"/>
      <c r="P416" s="48"/>
      <c r="Q416" s="25"/>
      <c r="R416" s="25"/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/>
      <c r="L417" s="48"/>
      <c r="M417" s="48"/>
      <c r="N417" s="48"/>
      <c r="O417" s="48"/>
      <c r="P417" s="48"/>
      <c r="Q417" s="25"/>
      <c r="R417" s="25"/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/>
      <c r="L418" s="48"/>
      <c r="M418" s="48"/>
      <c r="N418" s="48"/>
      <c r="O418" s="48"/>
      <c r="P418" s="48"/>
      <c r="Q418" s="25"/>
      <c r="R418" s="25"/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/>
      <c r="L419" s="48"/>
      <c r="M419" s="48"/>
      <c r="N419" s="48"/>
      <c r="O419" s="48"/>
      <c r="P419" s="48"/>
      <c r="Q419" s="25"/>
      <c r="R419" s="25"/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/>
      <c r="L420" s="48"/>
      <c r="M420" s="48"/>
      <c r="N420" s="48"/>
      <c r="O420" s="48"/>
      <c r="P420" s="48"/>
      <c r="Q420" s="25"/>
      <c r="R420" s="25"/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/>
      <c r="L421" s="48"/>
      <c r="M421" s="48"/>
      <c r="N421" s="48"/>
      <c r="O421" s="48"/>
      <c r="P421" s="48"/>
      <c r="Q421" s="25"/>
      <c r="R421" s="25"/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/>
      <c r="L422" s="48"/>
      <c r="M422" s="48"/>
      <c r="N422" s="48"/>
      <c r="O422" s="48"/>
      <c r="P422" s="48"/>
      <c r="Q422" s="25"/>
      <c r="R422" s="25"/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/>
      <c r="L423" s="48"/>
      <c r="M423" s="48"/>
      <c r="N423" s="48"/>
      <c r="O423" s="48"/>
      <c r="P423" s="48"/>
      <c r="Q423" s="25"/>
      <c r="R423" s="25"/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/>
      <c r="L424" s="48"/>
      <c r="M424" s="48"/>
      <c r="N424" s="48"/>
      <c r="O424" s="48"/>
      <c r="P424" s="48"/>
      <c r="Q424" s="25"/>
      <c r="R424" s="25"/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/>
      <c r="L425" s="48"/>
      <c r="M425" s="48"/>
      <c r="N425" s="48"/>
      <c r="O425" s="48"/>
      <c r="P425" s="48"/>
      <c r="Q425" s="25"/>
      <c r="R425" s="25"/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/>
      <c r="L426" s="48"/>
      <c r="M426" s="48"/>
      <c r="N426" s="48"/>
      <c r="O426" s="48"/>
      <c r="P426" s="48"/>
      <c r="Q426" s="25"/>
      <c r="R426" s="25"/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/>
      <c r="L427" s="48"/>
      <c r="M427" s="48"/>
      <c r="N427" s="48"/>
      <c r="O427" s="48"/>
      <c r="P427" s="48"/>
      <c r="Q427" s="25"/>
      <c r="R427" s="25"/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/>
      <c r="L428" s="48"/>
      <c r="M428" s="48"/>
      <c r="N428" s="48"/>
      <c r="O428" s="48"/>
      <c r="P428" s="48"/>
      <c r="Q428" s="25"/>
      <c r="R428" s="25"/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/>
      <c r="L429" s="48"/>
      <c r="M429" s="48"/>
      <c r="N429" s="48"/>
      <c r="O429" s="48"/>
      <c r="P429" s="48"/>
      <c r="Q429" s="25"/>
      <c r="R429" s="25"/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/>
      <c r="L430" s="48"/>
      <c r="M430" s="48"/>
      <c r="N430" s="48"/>
      <c r="O430" s="48"/>
      <c r="P430" s="48"/>
      <c r="Q430" s="25"/>
      <c r="R430" s="25"/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/>
      <c r="L431" s="48"/>
      <c r="M431" s="48"/>
      <c r="N431" s="48"/>
      <c r="O431" s="48"/>
      <c r="P431" s="48"/>
      <c r="Q431" s="25"/>
      <c r="R431" s="25"/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/>
      <c r="L432" s="48"/>
      <c r="M432" s="48"/>
      <c r="N432" s="48"/>
      <c r="O432" s="48"/>
      <c r="P432" s="48"/>
      <c r="Q432" s="25"/>
      <c r="R432" s="25"/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/>
      <c r="L433" s="48"/>
      <c r="M433" s="48"/>
      <c r="N433" s="48"/>
      <c r="O433" s="48"/>
      <c r="P433" s="48"/>
      <c r="Q433" s="25"/>
      <c r="R433" s="25"/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/>
      <c r="L434" s="48"/>
      <c r="M434" s="48"/>
      <c r="N434" s="48"/>
      <c r="O434" s="48"/>
      <c r="P434" s="48"/>
      <c r="Q434" s="25"/>
      <c r="R434" s="25"/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/>
      <c r="L435" s="48"/>
      <c r="M435" s="48"/>
      <c r="N435" s="48"/>
      <c r="O435" s="48"/>
      <c r="P435" s="48"/>
      <c r="Q435" s="25"/>
      <c r="R435" s="25"/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/>
      <c r="L436" s="48"/>
      <c r="M436" s="48"/>
      <c r="N436" s="48"/>
      <c r="O436" s="48"/>
      <c r="P436" s="48"/>
      <c r="Q436" s="25"/>
      <c r="R436" s="25"/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/>
      <c r="L437" s="48"/>
      <c r="M437" s="48"/>
      <c r="N437" s="48"/>
      <c r="O437" s="48"/>
      <c r="P437" s="48"/>
      <c r="Q437" s="25"/>
      <c r="R437" s="25"/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/>
      <c r="L438" s="48"/>
      <c r="M438" s="48"/>
      <c r="N438" s="48"/>
      <c r="O438" s="48"/>
      <c r="P438" s="48"/>
      <c r="Q438" s="25"/>
      <c r="R438" s="25"/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/>
      <c r="L439" s="48"/>
      <c r="M439" s="48"/>
      <c r="N439" s="48"/>
      <c r="O439" s="48"/>
      <c r="P439" s="48"/>
      <c r="Q439" s="25"/>
      <c r="R439" s="25"/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/>
      <c r="L440" s="48"/>
      <c r="M440" s="48"/>
      <c r="N440" s="48"/>
      <c r="O440" s="48"/>
      <c r="P440" s="48"/>
      <c r="Q440" s="25"/>
      <c r="R440" s="25"/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/>
      <c r="L441" s="48"/>
      <c r="M441" s="48"/>
      <c r="N441" s="48"/>
      <c r="O441" s="48"/>
      <c r="P441" s="48"/>
      <c r="Q441" s="25"/>
      <c r="R441" s="25"/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/>
      <c r="L442" s="48"/>
      <c r="M442" s="48"/>
      <c r="N442" s="48"/>
      <c r="O442" s="48"/>
      <c r="P442" s="48"/>
      <c r="Q442" s="25"/>
      <c r="R442" s="25"/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/>
      <c r="L443" s="48"/>
      <c r="M443" s="48"/>
      <c r="N443" s="48"/>
      <c r="O443" s="48"/>
      <c r="P443" s="48"/>
      <c r="Q443" s="25"/>
      <c r="R443" s="25"/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/>
      <c r="L444" s="48"/>
      <c r="M444" s="48"/>
      <c r="N444" s="48"/>
      <c r="O444" s="48"/>
      <c r="P444" s="48"/>
      <c r="Q444" s="25"/>
      <c r="R444" s="25"/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/>
      <c r="L445" s="48"/>
      <c r="M445" s="48"/>
      <c r="N445" s="48"/>
      <c r="O445" s="48"/>
      <c r="P445" s="48"/>
      <c r="Q445" s="25"/>
      <c r="R445" s="25"/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/>
      <c r="L446" s="48"/>
      <c r="M446" s="48"/>
      <c r="N446" s="48"/>
      <c r="O446" s="48"/>
      <c r="P446" s="48"/>
      <c r="Q446" s="25"/>
      <c r="R446" s="25"/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/>
      <c r="L447" s="48"/>
      <c r="M447" s="48"/>
      <c r="N447" s="48"/>
      <c r="O447" s="48"/>
      <c r="P447" s="48"/>
      <c r="Q447" s="25"/>
      <c r="R447" s="25"/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/>
      <c r="L448" s="48"/>
      <c r="M448" s="48"/>
      <c r="N448" s="48"/>
      <c r="O448" s="48"/>
      <c r="P448" s="48"/>
      <c r="Q448" s="25"/>
      <c r="R448" s="25"/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/>
      <c r="L449" s="48"/>
      <c r="M449" s="48"/>
      <c r="N449" s="48"/>
      <c r="O449" s="48"/>
      <c r="P449" s="48"/>
      <c r="Q449" s="25"/>
      <c r="R449" s="25"/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/>
      <c r="L450" s="48"/>
      <c r="M450" s="48"/>
      <c r="N450" s="48"/>
      <c r="O450" s="48"/>
      <c r="P450" s="48"/>
      <c r="Q450" s="25"/>
      <c r="R450" s="25"/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/>
      <c r="L451" s="48"/>
      <c r="M451" s="48"/>
      <c r="N451" s="48"/>
      <c r="O451" s="48"/>
      <c r="P451" s="48"/>
      <c r="Q451" s="25"/>
      <c r="R451" s="25"/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/>
      <c r="L452" s="48"/>
      <c r="M452" s="48"/>
      <c r="N452" s="48"/>
      <c r="O452" s="48"/>
      <c r="P452" s="48"/>
      <c r="Q452" s="25"/>
      <c r="R452" s="25"/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/>
      <c r="L453" s="48"/>
      <c r="M453" s="48"/>
      <c r="N453" s="48"/>
      <c r="O453" s="48"/>
      <c r="P453" s="48"/>
      <c r="Q453" s="25"/>
      <c r="R453" s="25"/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/>
      <c r="L454" s="48"/>
      <c r="M454" s="48"/>
      <c r="N454" s="48"/>
      <c r="O454" s="48"/>
      <c r="P454" s="48"/>
      <c r="Q454" s="25"/>
      <c r="R454" s="25"/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/>
      <c r="L455" s="48"/>
      <c r="M455" s="48"/>
      <c r="N455" s="48"/>
      <c r="O455" s="48"/>
      <c r="P455" s="48"/>
      <c r="Q455" s="25"/>
      <c r="R455" s="25"/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/>
      <c r="L456" s="48"/>
      <c r="M456" s="48"/>
      <c r="N456" s="48"/>
      <c r="O456" s="48"/>
      <c r="P456" s="48"/>
      <c r="Q456" s="25"/>
      <c r="R456" s="25"/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/>
      <c r="L457" s="48"/>
      <c r="M457" s="48"/>
      <c r="N457" s="48"/>
      <c r="O457" s="48"/>
      <c r="P457" s="48"/>
      <c r="Q457" s="25"/>
      <c r="R457" s="25"/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/>
      <c r="L458" s="48"/>
      <c r="M458" s="48"/>
      <c r="N458" s="48"/>
      <c r="O458" s="48"/>
      <c r="P458" s="48"/>
      <c r="Q458" s="25"/>
      <c r="R458" s="25"/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/>
      <c r="L459" s="48"/>
      <c r="M459" s="48"/>
      <c r="N459" s="48"/>
      <c r="O459" s="48"/>
      <c r="P459" s="48"/>
      <c r="Q459" s="25"/>
      <c r="R459" s="25"/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/>
      <c r="L460" s="48"/>
      <c r="M460" s="48"/>
      <c r="N460" s="48"/>
      <c r="O460" s="48"/>
      <c r="P460" s="48"/>
      <c r="Q460" s="25"/>
      <c r="R460" s="25"/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/>
      <c r="L461" s="48"/>
      <c r="M461" s="48"/>
      <c r="N461" s="48"/>
      <c r="O461" s="48"/>
      <c r="P461" s="48"/>
      <c r="Q461" s="25"/>
      <c r="R461" s="25"/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/>
      <c r="L462" s="48"/>
      <c r="M462" s="48"/>
      <c r="N462" s="48"/>
      <c r="O462" s="48"/>
      <c r="P462" s="48"/>
      <c r="Q462" s="25"/>
      <c r="R462" s="25"/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/>
      <c r="L463" s="48"/>
      <c r="M463" s="48"/>
      <c r="N463" s="48"/>
      <c r="O463" s="48"/>
      <c r="P463" s="48"/>
      <c r="Q463" s="25"/>
      <c r="R463" s="25"/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/>
      <c r="L464" s="48"/>
      <c r="M464" s="48"/>
      <c r="N464" s="48"/>
      <c r="O464" s="48"/>
      <c r="P464" s="48"/>
      <c r="Q464" s="25"/>
      <c r="R464" s="25"/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/>
      <c r="L465" s="48"/>
      <c r="M465" s="48"/>
      <c r="N465" s="48"/>
      <c r="O465" s="48"/>
      <c r="P465" s="48"/>
      <c r="Q465" s="25"/>
      <c r="R465" s="25"/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/>
      <c r="L466" s="48"/>
      <c r="M466" s="48"/>
      <c r="N466" s="48"/>
      <c r="O466" s="48"/>
      <c r="P466" s="48"/>
      <c r="Q466" s="25"/>
      <c r="R466" s="25"/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/>
      <c r="L467" s="48"/>
      <c r="M467" s="48"/>
      <c r="N467" s="48"/>
      <c r="O467" s="48"/>
      <c r="P467" s="48"/>
      <c r="Q467" s="25"/>
      <c r="R467" s="25"/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/>
      <c r="L468" s="48"/>
      <c r="M468" s="48"/>
      <c r="N468" s="48"/>
      <c r="O468" s="48"/>
      <c r="P468" s="48"/>
      <c r="Q468" s="25"/>
      <c r="R468" s="25"/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/>
      <c r="L469" s="48"/>
      <c r="M469" s="48"/>
      <c r="N469" s="48"/>
      <c r="O469" s="48"/>
      <c r="P469" s="48"/>
      <c r="Q469" s="25"/>
      <c r="R469" s="25"/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/>
      <c r="L470" s="48"/>
      <c r="M470" s="48"/>
      <c r="N470" s="48"/>
      <c r="O470" s="48"/>
      <c r="P470" s="48"/>
      <c r="Q470" s="25"/>
      <c r="R470" s="25"/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/>
      <c r="L471" s="48"/>
      <c r="M471" s="48"/>
      <c r="N471" s="48"/>
      <c r="O471" s="48"/>
      <c r="P471" s="48"/>
      <c r="Q471" s="25"/>
      <c r="R471" s="25"/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/>
      <c r="L472" s="48"/>
      <c r="M472" s="48"/>
      <c r="N472" s="48"/>
      <c r="O472" s="48"/>
      <c r="P472" s="48"/>
      <c r="Q472" s="25"/>
      <c r="R472" s="25"/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/>
      <c r="L473" s="48"/>
      <c r="M473" s="48"/>
      <c r="N473" s="48"/>
      <c r="O473" s="48"/>
      <c r="P473" s="48"/>
      <c r="Q473" s="25"/>
      <c r="R473" s="25"/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/>
      <c r="L474" s="48"/>
      <c r="M474" s="48"/>
      <c r="N474" s="48"/>
      <c r="O474" s="48"/>
      <c r="P474" s="48"/>
      <c r="Q474" s="25"/>
      <c r="R474" s="25"/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/>
      <c r="L475" s="48"/>
      <c r="M475" s="48"/>
      <c r="N475" s="48"/>
      <c r="O475" s="48"/>
      <c r="P475" s="48"/>
      <c r="Q475" s="25"/>
      <c r="R475" s="25"/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/>
      <c r="L476" s="48"/>
      <c r="M476" s="48"/>
      <c r="N476" s="48"/>
      <c r="O476" s="48"/>
      <c r="P476" s="48"/>
      <c r="Q476" s="25"/>
      <c r="R476" s="25"/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/>
      <c r="L477" s="48"/>
      <c r="M477" s="48"/>
      <c r="N477" s="48"/>
      <c r="O477" s="48"/>
      <c r="P477" s="48"/>
      <c r="Q477" s="25"/>
      <c r="R477" s="25"/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/>
      <c r="L478" s="48"/>
      <c r="M478" s="48"/>
      <c r="N478" s="48"/>
      <c r="O478" s="48"/>
      <c r="P478" s="48"/>
      <c r="Q478" s="25"/>
      <c r="R478" s="25"/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/>
      <c r="L479" s="48"/>
      <c r="M479" s="48"/>
      <c r="N479" s="48"/>
      <c r="O479" s="48"/>
      <c r="P479" s="48"/>
      <c r="Q479" s="25"/>
      <c r="R479" s="25"/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/>
      <c r="L480" s="48"/>
      <c r="M480" s="48"/>
      <c r="N480" s="48"/>
      <c r="O480" s="48"/>
      <c r="P480" s="48"/>
      <c r="Q480" s="25"/>
      <c r="R480" s="25"/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/>
      <c r="L481" s="48"/>
      <c r="M481" s="48"/>
      <c r="N481" s="48"/>
      <c r="O481" s="48"/>
      <c r="P481" s="48"/>
      <c r="Q481" s="25"/>
      <c r="R481" s="25"/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/>
      <c r="L482" s="48"/>
      <c r="M482" s="48"/>
      <c r="N482" s="48"/>
      <c r="O482" s="48"/>
      <c r="P482" s="48"/>
      <c r="Q482" s="25"/>
      <c r="R482" s="25"/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/>
      <c r="L483" s="48"/>
      <c r="M483" s="48"/>
      <c r="N483" s="48"/>
      <c r="O483" s="48"/>
      <c r="P483" s="48"/>
      <c r="Q483" s="25"/>
      <c r="R483" s="25"/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/>
      <c r="L484" s="48"/>
      <c r="M484" s="48"/>
      <c r="N484" s="48"/>
      <c r="O484" s="48"/>
      <c r="P484" s="48"/>
      <c r="Q484" s="25"/>
      <c r="R484" s="25"/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/>
      <c r="L485" s="48"/>
      <c r="M485" s="48"/>
      <c r="N485" s="48"/>
      <c r="O485" s="48"/>
      <c r="P485" s="48"/>
      <c r="Q485" s="25"/>
      <c r="R485" s="25"/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/>
      <c r="L486" s="48"/>
      <c r="M486" s="48"/>
      <c r="N486" s="48"/>
      <c r="O486" s="48"/>
      <c r="P486" s="48"/>
      <c r="Q486" s="25"/>
      <c r="R486" s="25"/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/>
      <c r="L487" s="48"/>
      <c r="M487" s="48"/>
      <c r="N487" s="48"/>
      <c r="O487" s="48"/>
      <c r="P487" s="48"/>
      <c r="Q487" s="25"/>
      <c r="R487" s="25"/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/>
      <c r="L488" s="48"/>
      <c r="M488" s="48"/>
      <c r="N488" s="48"/>
      <c r="O488" s="48"/>
      <c r="P488" s="48"/>
      <c r="Q488" s="25"/>
      <c r="R488" s="25"/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/>
      <c r="L489" s="48"/>
      <c r="M489" s="48"/>
      <c r="N489" s="48"/>
      <c r="O489" s="48"/>
      <c r="P489" s="48"/>
      <c r="Q489" s="25"/>
      <c r="R489" s="25"/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/>
      <c r="L490" s="48"/>
      <c r="M490" s="48"/>
      <c r="N490" s="48"/>
      <c r="O490" s="48"/>
      <c r="P490" s="48"/>
      <c r="Q490" s="25"/>
      <c r="R490" s="25"/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/>
      <c r="L491" s="48"/>
      <c r="M491" s="48"/>
      <c r="N491" s="48"/>
      <c r="O491" s="48"/>
      <c r="P491" s="48"/>
      <c r="Q491" s="25"/>
      <c r="R491" s="25"/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/>
      <c r="L492" s="48"/>
      <c r="M492" s="48"/>
      <c r="N492" s="48"/>
      <c r="O492" s="48"/>
      <c r="P492" s="48"/>
      <c r="Q492" s="25"/>
      <c r="R492" s="25"/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/>
      <c r="L493" s="48"/>
      <c r="M493" s="48"/>
      <c r="N493" s="48"/>
      <c r="O493" s="48"/>
      <c r="P493" s="48"/>
      <c r="Q493" s="25"/>
      <c r="R493" s="25"/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/>
      <c r="L494" s="48"/>
      <c r="M494" s="48"/>
      <c r="N494" s="48"/>
      <c r="O494" s="48"/>
      <c r="P494" s="48"/>
      <c r="Q494" s="25"/>
      <c r="R494" s="25"/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/>
      <c r="L495" s="48"/>
      <c r="M495" s="48"/>
      <c r="N495" s="48"/>
      <c r="O495" s="48"/>
      <c r="P495" s="48"/>
      <c r="Q495" s="25"/>
      <c r="R495" s="25"/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/>
      <c r="L496" s="48"/>
      <c r="M496" s="48"/>
      <c r="N496" s="48"/>
      <c r="O496" s="48"/>
      <c r="P496" s="48"/>
      <c r="Q496" s="25"/>
      <c r="R496" s="25"/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/>
      <c r="L497" s="48"/>
      <c r="M497" s="48"/>
      <c r="N497" s="48"/>
      <c r="O497" s="48"/>
      <c r="P497" s="48"/>
      <c r="Q497" s="25"/>
      <c r="R497" s="25"/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/>
      <c r="L498" s="48"/>
      <c r="M498" s="48"/>
      <c r="N498" s="48"/>
      <c r="O498" s="48"/>
      <c r="P498" s="48"/>
      <c r="Q498" s="25"/>
      <c r="R498" s="25"/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/>
      <c r="L499" s="48"/>
      <c r="M499" s="48"/>
      <c r="N499" s="48"/>
      <c r="O499" s="48"/>
      <c r="P499" s="48"/>
      <c r="Q499" s="25"/>
      <c r="R499" s="25"/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/>
      <c r="L500" s="48"/>
      <c r="M500" s="48"/>
      <c r="N500" s="48"/>
      <c r="O500" s="48"/>
      <c r="P500" s="48"/>
      <c r="Q500" s="25"/>
      <c r="R500" s="25"/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/>
      <c r="L501" s="48"/>
      <c r="M501" s="48"/>
      <c r="N501" s="48"/>
      <c r="O501" s="48"/>
      <c r="P501" s="48"/>
      <c r="Q501" s="25"/>
      <c r="R501" s="25"/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/>
      <c r="L502" s="48"/>
      <c r="M502" s="48"/>
      <c r="N502" s="48"/>
      <c r="O502" s="48"/>
      <c r="P502" s="48"/>
      <c r="Q502" s="25"/>
      <c r="R502" s="25"/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/>
      <c r="L503" s="48"/>
      <c r="M503" s="48"/>
      <c r="N503" s="48"/>
      <c r="O503" s="48"/>
      <c r="P503" s="48"/>
      <c r="Q503" s="25"/>
      <c r="R503" s="25"/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/>
      <c r="L504" s="48"/>
      <c r="M504" s="48"/>
      <c r="N504" s="48"/>
      <c r="O504" s="48"/>
      <c r="P504" s="48"/>
      <c r="Q504" s="25"/>
      <c r="R504" s="25"/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/>
      <c r="L505" s="48"/>
      <c r="M505" s="48"/>
      <c r="N505" s="48"/>
      <c r="O505" s="48"/>
      <c r="P505" s="48"/>
      <c r="Q505" s="25"/>
      <c r="R505" s="25"/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/>
      <c r="L506" s="48"/>
      <c r="M506" s="48"/>
      <c r="N506" s="48"/>
      <c r="O506" s="48"/>
      <c r="P506" s="48"/>
      <c r="Q506" s="25"/>
      <c r="R506" s="25"/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/>
      <c r="L507" s="48"/>
      <c r="M507" s="48"/>
      <c r="N507" s="48"/>
      <c r="O507" s="48"/>
      <c r="P507" s="48"/>
      <c r="Q507" s="25"/>
      <c r="R507" s="25"/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/>
      <c r="L508" s="48"/>
      <c r="M508" s="48"/>
      <c r="N508" s="48"/>
      <c r="O508" s="48"/>
      <c r="P508" s="48"/>
      <c r="Q508" s="25"/>
      <c r="R508" s="25"/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/>
      <c r="L509" s="48"/>
      <c r="M509" s="48"/>
      <c r="N509" s="48"/>
      <c r="O509" s="48"/>
      <c r="P509" s="48"/>
      <c r="Q509" s="25"/>
      <c r="R509" s="25"/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/>
      <c r="L510" s="48"/>
      <c r="M510" s="48"/>
      <c r="N510" s="48"/>
      <c r="O510" s="48"/>
      <c r="P510" s="48"/>
      <c r="Q510" s="25"/>
      <c r="R510" s="25"/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/>
      <c r="L511" s="48"/>
      <c r="M511" s="48"/>
      <c r="N511" s="48"/>
      <c r="O511" s="48"/>
      <c r="P511" s="48"/>
      <c r="Q511" s="25"/>
      <c r="R511" s="25"/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/>
      <c r="L512" s="48"/>
      <c r="M512" s="48"/>
      <c r="N512" s="48"/>
      <c r="O512" s="48"/>
      <c r="P512" s="48"/>
      <c r="Q512" s="25"/>
      <c r="R512" s="25"/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/>
      <c r="L513" s="48"/>
      <c r="M513" s="48"/>
      <c r="N513" s="48"/>
      <c r="O513" s="48"/>
      <c r="P513" s="48"/>
      <c r="Q513" s="25"/>
      <c r="R513" s="25"/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/>
      <c r="L514" s="48"/>
      <c r="M514" s="48"/>
      <c r="N514" s="48"/>
      <c r="O514" s="48"/>
      <c r="P514" s="48"/>
      <c r="Q514" s="25"/>
      <c r="R514" s="25"/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/>
      <c r="L515" s="48"/>
      <c r="M515" s="48"/>
      <c r="N515" s="48"/>
      <c r="O515" s="48"/>
      <c r="P515" s="48"/>
      <c r="Q515" s="25"/>
      <c r="R515" s="25"/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/>
      <c r="L516" s="48"/>
      <c r="M516" s="48"/>
      <c r="N516" s="48"/>
      <c r="O516" s="48"/>
      <c r="P516" s="48"/>
      <c r="Q516" s="25"/>
      <c r="R516" s="25"/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/>
      <c r="L517" s="48"/>
      <c r="M517" s="48"/>
      <c r="N517" s="48"/>
      <c r="O517" s="48"/>
      <c r="P517" s="48"/>
      <c r="Q517" s="25"/>
      <c r="R517" s="25"/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/>
      <c r="L518" s="48"/>
      <c r="M518" s="48"/>
      <c r="N518" s="48"/>
      <c r="O518" s="48"/>
      <c r="P518" s="48"/>
      <c r="Q518" s="25"/>
      <c r="R518" s="25"/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/>
      <c r="L519" s="48"/>
      <c r="M519" s="48"/>
      <c r="N519" s="48"/>
      <c r="O519" s="48"/>
      <c r="P519" s="48"/>
      <c r="Q519" s="25"/>
      <c r="R519" s="25"/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/>
      <c r="L520" s="48"/>
      <c r="M520" s="48"/>
      <c r="N520" s="48"/>
      <c r="O520" s="48"/>
      <c r="P520" s="48"/>
      <c r="Q520" s="25"/>
      <c r="R520" s="25"/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/>
      <c r="L521" s="48"/>
      <c r="M521" s="48"/>
      <c r="N521" s="48"/>
      <c r="O521" s="48"/>
      <c r="P521" s="48"/>
      <c r="Q521" s="25"/>
      <c r="R521" s="25"/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/>
      <c r="L522" s="48"/>
      <c r="M522" s="48"/>
      <c r="N522" s="48"/>
      <c r="O522" s="48"/>
      <c r="P522" s="48"/>
      <c r="Q522" s="25"/>
      <c r="R522" s="25"/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/>
      <c r="L523" s="48"/>
      <c r="M523" s="48"/>
      <c r="N523" s="48"/>
      <c r="O523" s="48"/>
      <c r="P523" s="48"/>
      <c r="Q523" s="25"/>
      <c r="R523" s="25"/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/>
      <c r="L524" s="48"/>
      <c r="M524" s="48"/>
      <c r="N524" s="48"/>
      <c r="O524" s="48"/>
      <c r="P524" s="48"/>
      <c r="Q524" s="25"/>
      <c r="R524" s="25"/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/>
      <c r="L525" s="48"/>
      <c r="M525" s="48"/>
      <c r="N525" s="48"/>
      <c r="O525" s="48"/>
      <c r="P525" s="48"/>
      <c r="Q525" s="25"/>
      <c r="R525" s="25"/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/>
      <c r="L526" s="48"/>
      <c r="M526" s="48"/>
      <c r="N526" s="48"/>
      <c r="O526" s="48"/>
      <c r="P526" s="48"/>
      <c r="Q526" s="25"/>
      <c r="R526" s="25"/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/>
      <c r="L527" s="48"/>
      <c r="M527" s="48"/>
      <c r="N527" s="48"/>
      <c r="O527" s="48"/>
      <c r="P527" s="48"/>
      <c r="Q527" s="25"/>
      <c r="R527" s="25"/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/>
      <c r="L528" s="48"/>
      <c r="M528" s="48"/>
      <c r="N528" s="48"/>
      <c r="O528" s="48"/>
      <c r="P528" s="48"/>
      <c r="Q528" s="25"/>
      <c r="R528" s="25"/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/>
      <c r="L529" s="48"/>
      <c r="M529" s="48"/>
      <c r="N529" s="48"/>
      <c r="O529" s="48"/>
      <c r="P529" s="48"/>
      <c r="Q529" s="25"/>
      <c r="R529" s="25"/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/>
      <c r="L530" s="48"/>
      <c r="M530" s="48"/>
      <c r="N530" s="48"/>
      <c r="O530" s="48"/>
      <c r="P530" s="48"/>
      <c r="Q530" s="25"/>
      <c r="R530" s="25"/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/>
      <c r="L531" s="48"/>
      <c r="M531" s="48"/>
      <c r="N531" s="48"/>
      <c r="O531" s="48"/>
      <c r="P531" s="48"/>
      <c r="Q531" s="25"/>
      <c r="R531" s="25"/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/>
      <c r="L532" s="48"/>
      <c r="M532" s="48"/>
      <c r="N532" s="48"/>
      <c r="O532" s="48"/>
      <c r="P532" s="48"/>
      <c r="Q532" s="25"/>
      <c r="R532" s="25"/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/>
      <c r="L533" s="48"/>
      <c r="M533" s="48"/>
      <c r="N533" s="48"/>
      <c r="O533" s="48"/>
      <c r="P533" s="48"/>
      <c r="Q533" s="25"/>
      <c r="R533" s="25"/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/>
      <c r="L534" s="48"/>
      <c r="M534" s="48"/>
      <c r="N534" s="48"/>
      <c r="O534" s="48"/>
      <c r="P534" s="48"/>
      <c r="Q534" s="25"/>
      <c r="R534" s="25"/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/>
      <c r="L535" s="48"/>
      <c r="M535" s="48"/>
      <c r="N535" s="48"/>
      <c r="O535" s="48"/>
      <c r="P535" s="48"/>
      <c r="Q535" s="25"/>
      <c r="R535" s="25"/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/>
      <c r="L536" s="48"/>
      <c r="M536" s="48"/>
      <c r="N536" s="48"/>
      <c r="O536" s="48"/>
      <c r="P536" s="48"/>
      <c r="Q536" s="25"/>
      <c r="R536" s="25"/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/>
      <c r="L537" s="48"/>
      <c r="M537" s="48"/>
      <c r="N537" s="48"/>
      <c r="O537" s="48"/>
      <c r="P537" s="48"/>
      <c r="Q537" s="25"/>
      <c r="R537" s="25"/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/>
      <c r="L538" s="48"/>
      <c r="M538" s="48"/>
      <c r="N538" s="48"/>
      <c r="O538" s="48"/>
      <c r="P538" s="48"/>
      <c r="Q538" s="25"/>
      <c r="R538" s="25"/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/>
      <c r="L539" s="48"/>
      <c r="M539" s="48"/>
      <c r="N539" s="48"/>
      <c r="O539" s="48"/>
      <c r="P539" s="48"/>
      <c r="Q539" s="25"/>
      <c r="R539" s="25"/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/>
      <c r="L540" s="48"/>
      <c r="M540" s="48"/>
      <c r="N540" s="48"/>
      <c r="O540" s="48"/>
      <c r="P540" s="48"/>
      <c r="Q540" s="25"/>
      <c r="R540" s="25"/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/>
      <c r="L541" s="48"/>
      <c r="M541" s="48"/>
      <c r="N541" s="48"/>
      <c r="O541" s="48"/>
      <c r="P541" s="48"/>
      <c r="Q541" s="25"/>
      <c r="R541" s="25"/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/>
      <c r="L542" s="48"/>
      <c r="M542" s="48"/>
      <c r="N542" s="48"/>
      <c r="O542" s="48"/>
      <c r="P542" s="48"/>
      <c r="Q542" s="25"/>
      <c r="R542" s="25"/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/>
      <c r="L543" s="48"/>
      <c r="M543" s="48"/>
      <c r="N543" s="48"/>
      <c r="O543" s="48"/>
      <c r="P543" s="48"/>
      <c r="Q543" s="25"/>
      <c r="R543" s="25"/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/>
      <c r="L544" s="48"/>
      <c r="M544" s="48"/>
      <c r="N544" s="48"/>
      <c r="O544" s="48"/>
      <c r="P544" s="48"/>
      <c r="Q544" s="25"/>
      <c r="R544" s="25"/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/>
      <c r="L545" s="48"/>
      <c r="M545" s="48"/>
      <c r="N545" s="48"/>
      <c r="O545" s="48"/>
      <c r="P545" s="48"/>
      <c r="Q545" s="25"/>
      <c r="R545" s="25"/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/>
      <c r="L546" s="48"/>
      <c r="M546" s="48"/>
      <c r="N546" s="48"/>
      <c r="O546" s="48"/>
      <c r="P546" s="48"/>
      <c r="Q546" s="25"/>
      <c r="R546" s="25"/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/>
      <c r="L547" s="48"/>
      <c r="M547" s="48"/>
      <c r="N547" s="48"/>
      <c r="O547" s="48"/>
      <c r="P547" s="48"/>
      <c r="Q547" s="25"/>
      <c r="R547" s="25"/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/>
      <c r="L548" s="48"/>
      <c r="M548" s="48"/>
      <c r="N548" s="48"/>
      <c r="O548" s="48"/>
      <c r="P548" s="48"/>
      <c r="Q548" s="25"/>
      <c r="R548" s="25"/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/>
      <c r="L549" s="48"/>
      <c r="M549" s="48"/>
      <c r="N549" s="48"/>
      <c r="O549" s="48"/>
      <c r="P549" s="48"/>
      <c r="Q549" s="25"/>
      <c r="R549" s="25"/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/>
      <c r="L550" s="48"/>
      <c r="M550" s="48"/>
      <c r="N550" s="48"/>
      <c r="O550" s="48"/>
      <c r="P550" s="48"/>
      <c r="Q550" s="25"/>
      <c r="R550" s="25"/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/>
      <c r="L551" s="48"/>
      <c r="M551" s="48"/>
      <c r="N551" s="48"/>
      <c r="O551" s="48"/>
      <c r="P551" s="48"/>
      <c r="Q551" s="25"/>
      <c r="R551" s="25"/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/>
      <c r="L552" s="48"/>
      <c r="M552" s="48"/>
      <c r="N552" s="48"/>
      <c r="O552" s="48"/>
      <c r="P552" s="48"/>
      <c r="Q552" s="25"/>
      <c r="R552" s="25"/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/>
      <c r="L553" s="48"/>
      <c r="M553" s="48"/>
      <c r="N553" s="48"/>
      <c r="O553" s="48"/>
      <c r="P553" s="48"/>
      <c r="Q553" s="25"/>
      <c r="R553" s="25"/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/>
      <c r="L554" s="48"/>
      <c r="M554" s="48"/>
      <c r="N554" s="48"/>
      <c r="O554" s="48"/>
      <c r="P554" s="48"/>
      <c r="Q554" s="25"/>
      <c r="R554" s="25"/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/>
      <c r="L555" s="48"/>
      <c r="M555" s="48"/>
      <c r="N555" s="48"/>
      <c r="O555" s="48"/>
      <c r="P555" s="48"/>
      <c r="Q555" s="25"/>
      <c r="R555" s="25"/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/>
      <c r="L556" s="48"/>
      <c r="M556" s="48"/>
      <c r="N556" s="48"/>
      <c r="O556" s="48"/>
      <c r="P556" s="48"/>
      <c r="Q556" s="25"/>
      <c r="R556" s="25"/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/>
      <c r="L557" s="48"/>
      <c r="M557" s="48"/>
      <c r="N557" s="48"/>
      <c r="O557" s="48"/>
      <c r="P557" s="48"/>
      <c r="Q557" s="25"/>
      <c r="R557" s="25"/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/>
      <c r="L558" s="48"/>
      <c r="M558" s="48"/>
      <c r="N558" s="48"/>
      <c r="O558" s="48"/>
      <c r="P558" s="48"/>
      <c r="Q558" s="25"/>
      <c r="R558" s="25"/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/>
      <c r="L559" s="48"/>
      <c r="M559" s="48"/>
      <c r="N559" s="48"/>
      <c r="O559" s="48"/>
      <c r="P559" s="48"/>
      <c r="Q559" s="25"/>
      <c r="R559" s="25"/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/>
      <c r="L560" s="48"/>
      <c r="M560" s="48"/>
      <c r="N560" s="48"/>
      <c r="O560" s="48"/>
      <c r="P560" s="48"/>
      <c r="Q560" s="25"/>
      <c r="R560" s="25"/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/>
      <c r="L561" s="48"/>
      <c r="M561" s="48"/>
      <c r="N561" s="48"/>
      <c r="O561" s="48"/>
      <c r="P561" s="48"/>
      <c r="Q561" s="25"/>
      <c r="R561" s="25"/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/>
      <c r="L562" s="48"/>
      <c r="M562" s="48"/>
      <c r="N562" s="48"/>
      <c r="O562" s="48"/>
      <c r="P562" s="48"/>
      <c r="Q562" s="25"/>
      <c r="R562" s="25"/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/>
      <c r="L563" s="48"/>
      <c r="M563" s="48"/>
      <c r="N563" s="48"/>
      <c r="O563" s="48"/>
      <c r="P563" s="48"/>
      <c r="Q563" s="25"/>
      <c r="R563" s="25"/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/>
      <c r="L564" s="48"/>
      <c r="M564" s="48"/>
      <c r="N564" s="48"/>
      <c r="O564" s="48"/>
      <c r="P564" s="48"/>
      <c r="Q564" s="25"/>
      <c r="R564" s="25"/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/>
      <c r="L565" s="48"/>
      <c r="M565" s="48"/>
      <c r="N565" s="48"/>
      <c r="O565" s="48"/>
      <c r="P565" s="48"/>
      <c r="Q565" s="25"/>
      <c r="R565" s="25"/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/>
      <c r="L566" s="48"/>
      <c r="M566" s="48"/>
      <c r="N566" s="48"/>
      <c r="O566" s="48"/>
      <c r="P566" s="48"/>
      <c r="Q566" s="25"/>
      <c r="R566" s="25"/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/>
      <c r="L567" s="48"/>
      <c r="M567" s="48"/>
      <c r="N567" s="48"/>
      <c r="O567" s="48"/>
      <c r="P567" s="48"/>
      <c r="Q567" s="25"/>
      <c r="R567" s="25"/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/>
      <c r="L568" s="48"/>
      <c r="M568" s="48"/>
      <c r="N568" s="48"/>
      <c r="O568" s="48"/>
      <c r="P568" s="48"/>
      <c r="Q568" s="25"/>
      <c r="R568" s="25"/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/>
      <c r="L569" s="48"/>
      <c r="M569" s="48"/>
      <c r="N569" s="48"/>
      <c r="O569" s="48"/>
      <c r="P569" s="48"/>
      <c r="Q569" s="25"/>
      <c r="R569" s="25"/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/>
      <c r="L570" s="48"/>
      <c r="M570" s="48"/>
      <c r="N570" s="48"/>
      <c r="O570" s="48"/>
      <c r="P570" s="48"/>
      <c r="Q570" s="25"/>
      <c r="R570" s="25"/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/>
      <c r="L571" s="48"/>
      <c r="M571" s="48"/>
      <c r="N571" s="48"/>
      <c r="O571" s="48"/>
      <c r="P571" s="48"/>
      <c r="Q571" s="25"/>
      <c r="R571" s="25"/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/>
      <c r="L572" s="48"/>
      <c r="M572" s="48"/>
      <c r="N572" s="48"/>
      <c r="O572" s="48"/>
      <c r="P572" s="48"/>
      <c r="Q572" s="25"/>
      <c r="R572" s="25"/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/>
      <c r="L573" s="48"/>
      <c r="M573" s="48"/>
      <c r="N573" s="48"/>
      <c r="O573" s="48"/>
      <c r="P573" s="48"/>
      <c r="Q573" s="25"/>
      <c r="R573" s="25"/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/>
      <c r="L574" s="48"/>
      <c r="M574" s="48"/>
      <c r="N574" s="48"/>
      <c r="O574" s="48"/>
      <c r="P574" s="48"/>
      <c r="Q574" s="25"/>
      <c r="R574" s="25"/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/>
      <c r="L575" s="48"/>
      <c r="M575" s="48"/>
      <c r="N575" s="48"/>
      <c r="O575" s="48"/>
      <c r="P575" s="48"/>
      <c r="Q575" s="25"/>
      <c r="R575" s="25"/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/>
      <c r="L576" s="48"/>
      <c r="M576" s="48"/>
      <c r="N576" s="48"/>
      <c r="O576" s="48"/>
      <c r="P576" s="48"/>
      <c r="Q576" s="25"/>
      <c r="R576" s="25"/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/>
      <c r="L577" s="48"/>
      <c r="M577" s="48"/>
      <c r="N577" s="48"/>
      <c r="O577" s="48"/>
      <c r="P577" s="48"/>
      <c r="Q577" s="25"/>
      <c r="R577" s="25"/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/>
      <c r="L578" s="48"/>
      <c r="M578" s="48"/>
      <c r="N578" s="48"/>
      <c r="O578" s="48"/>
      <c r="P578" s="48"/>
      <c r="Q578" s="25"/>
      <c r="R578" s="25"/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/>
      <c r="L579" s="48"/>
      <c r="M579" s="48"/>
      <c r="N579" s="48"/>
      <c r="O579" s="48"/>
      <c r="P579" s="48"/>
      <c r="Q579" s="25"/>
      <c r="R579" s="25"/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/>
      <c r="L580" s="48"/>
      <c r="M580" s="48"/>
      <c r="N580" s="48"/>
      <c r="O580" s="48"/>
      <c r="P580" s="48"/>
      <c r="Q580" s="25"/>
      <c r="R580" s="25"/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/>
      <c r="L581" s="48"/>
      <c r="M581" s="48"/>
      <c r="N581" s="48"/>
      <c r="O581" s="48"/>
      <c r="P581" s="48"/>
      <c r="Q581" s="25"/>
      <c r="R581" s="25"/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/>
      <c r="L582" s="48"/>
      <c r="M582" s="48"/>
      <c r="N582" s="48"/>
      <c r="O582" s="48"/>
      <c r="P582" s="48"/>
      <c r="Q582" s="25"/>
      <c r="R582" s="25"/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/>
      <c r="L583" s="48"/>
      <c r="M583" s="48"/>
      <c r="N583" s="48"/>
      <c r="O583" s="48"/>
      <c r="P583" s="48"/>
      <c r="Q583" s="25"/>
      <c r="R583" s="25"/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/>
      <c r="L584" s="48"/>
      <c r="M584" s="48"/>
      <c r="N584" s="48"/>
      <c r="O584" s="48"/>
      <c r="P584" s="48"/>
      <c r="Q584" s="25"/>
      <c r="R584" s="25"/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/>
      <c r="L585" s="48"/>
      <c r="M585" s="48"/>
      <c r="N585" s="48"/>
      <c r="O585" s="48"/>
      <c r="P585" s="48"/>
      <c r="Q585" s="25"/>
      <c r="R585" s="25"/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/>
      <c r="L586" s="48"/>
      <c r="M586" s="48"/>
      <c r="N586" s="48"/>
      <c r="O586" s="48"/>
      <c r="P586" s="48"/>
      <c r="Q586" s="25"/>
      <c r="R586" s="25"/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/>
      <c r="L587" s="48"/>
      <c r="M587" s="48"/>
      <c r="N587" s="48"/>
      <c r="O587" s="48"/>
      <c r="P587" s="48"/>
      <c r="Q587" s="25"/>
      <c r="R587" s="25"/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/>
      <c r="L588" s="48"/>
      <c r="M588" s="48"/>
      <c r="N588" s="48"/>
      <c r="O588" s="48"/>
      <c r="P588" s="48"/>
      <c r="Q588" s="25"/>
      <c r="R588" s="25"/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/>
      <c r="L589" s="48"/>
      <c r="M589" s="48"/>
      <c r="N589" s="48"/>
      <c r="O589" s="48"/>
      <c r="P589" s="48"/>
      <c r="Q589" s="25"/>
      <c r="R589" s="25"/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/>
      <c r="L590" s="48"/>
      <c r="M590" s="48"/>
      <c r="N590" s="48"/>
      <c r="O590" s="48"/>
      <c r="P590" s="48"/>
      <c r="Q590" s="25"/>
      <c r="R590" s="25"/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/>
      <c r="L591" s="48"/>
      <c r="M591" s="48"/>
      <c r="N591" s="48"/>
      <c r="O591" s="48"/>
      <c r="P591" s="48"/>
      <c r="Q591" s="25"/>
      <c r="R591" s="25"/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/>
      <c r="L592" s="48"/>
      <c r="M592" s="48"/>
      <c r="N592" s="48"/>
      <c r="O592" s="48"/>
      <c r="P592" s="48"/>
      <c r="Q592" s="25"/>
      <c r="R592" s="25"/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/>
      <c r="L593" s="48"/>
      <c r="M593" s="48"/>
      <c r="N593" s="48"/>
      <c r="O593" s="48"/>
      <c r="P593" s="48"/>
      <c r="Q593" s="25"/>
      <c r="R593" s="25"/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/>
      <c r="L594" s="48"/>
      <c r="M594" s="48"/>
      <c r="N594" s="48"/>
      <c r="O594" s="48"/>
      <c r="P594" s="48"/>
      <c r="Q594" s="25"/>
      <c r="R594" s="25"/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/>
      <c r="L595" s="48"/>
      <c r="M595" s="48"/>
      <c r="N595" s="48"/>
      <c r="O595" s="48"/>
      <c r="P595" s="48"/>
      <c r="Q595" s="25"/>
      <c r="R595" s="25"/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/>
      <c r="L596" s="48"/>
      <c r="M596" s="48"/>
      <c r="N596" s="48"/>
      <c r="O596" s="48"/>
      <c r="P596" s="48"/>
      <c r="Q596" s="25"/>
      <c r="R596" s="25"/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/>
      <c r="L597" s="48"/>
      <c r="M597" s="48"/>
      <c r="N597" s="48"/>
      <c r="O597" s="48"/>
      <c r="P597" s="48"/>
      <c r="Q597" s="25"/>
      <c r="R597" s="25"/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/>
      <c r="L598" s="48"/>
      <c r="M598" s="48"/>
      <c r="N598" s="48"/>
      <c r="O598" s="48"/>
      <c r="P598" s="48"/>
      <c r="Q598" s="25"/>
      <c r="R598" s="25"/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/>
      <c r="L599" s="48"/>
      <c r="M599" s="48"/>
      <c r="N599" s="48"/>
      <c r="O599" s="48"/>
      <c r="P599" s="48"/>
      <c r="Q599" s="25"/>
      <c r="R599" s="25"/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/>
      <c r="L600" s="48"/>
      <c r="M600" s="48"/>
      <c r="N600" s="48"/>
      <c r="O600" s="48"/>
      <c r="P600" s="48"/>
      <c r="Q600" s="25"/>
      <c r="R600" s="25"/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/>
      <c r="L601" s="48"/>
      <c r="M601" s="48"/>
      <c r="N601" s="48"/>
      <c r="O601" s="48"/>
      <c r="P601" s="48"/>
      <c r="Q601" s="25"/>
      <c r="R601" s="25"/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/>
      <c r="L602" s="48"/>
      <c r="M602" s="48"/>
      <c r="N602" s="48"/>
      <c r="O602" s="48"/>
      <c r="P602" s="48"/>
      <c r="Q602" s="25"/>
      <c r="R602" s="25"/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/>
      <c r="L603" s="48"/>
      <c r="M603" s="48"/>
      <c r="N603" s="48"/>
      <c r="O603" s="48"/>
      <c r="P603" s="48"/>
      <c r="Q603" s="25"/>
      <c r="R603" s="25"/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/>
      <c r="L604" s="48"/>
      <c r="M604" s="48"/>
      <c r="N604" s="48"/>
      <c r="O604" s="48"/>
      <c r="P604" s="48"/>
      <c r="Q604" s="25"/>
      <c r="R604" s="25"/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/>
      <c r="L605" s="48"/>
      <c r="M605" s="48"/>
      <c r="N605" s="48"/>
      <c r="O605" s="48"/>
      <c r="P605" s="48"/>
      <c r="Q605" s="25"/>
      <c r="R605" s="25"/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/>
      <c r="L606" s="48"/>
      <c r="M606" s="48"/>
      <c r="N606" s="48"/>
      <c r="O606" s="48"/>
      <c r="P606" s="48"/>
      <c r="Q606" s="25"/>
      <c r="R606" s="25"/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/>
      <c r="L607" s="48"/>
      <c r="M607" s="48"/>
      <c r="N607" s="48"/>
      <c r="O607" s="48"/>
      <c r="P607" s="48"/>
      <c r="Q607" s="25"/>
      <c r="R607" s="25"/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/>
      <c r="L608" s="48"/>
      <c r="M608" s="48"/>
      <c r="N608" s="48"/>
      <c r="O608" s="48"/>
      <c r="P608" s="48"/>
      <c r="Q608" s="25"/>
      <c r="R608" s="25"/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/>
      <c r="L609" s="48"/>
      <c r="M609" s="48"/>
      <c r="N609" s="48"/>
      <c r="O609" s="48"/>
      <c r="P609" s="48"/>
      <c r="Q609" s="25"/>
      <c r="R609" s="25"/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/>
      <c r="L610" s="48"/>
      <c r="M610" s="48"/>
      <c r="N610" s="48"/>
      <c r="O610" s="48"/>
      <c r="P610" s="48"/>
      <c r="Q610" s="25"/>
      <c r="R610" s="25"/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/>
      <c r="L611" s="48"/>
      <c r="M611" s="48"/>
      <c r="N611" s="48"/>
      <c r="O611" s="48"/>
      <c r="P611" s="48"/>
      <c r="Q611" s="25"/>
      <c r="R611" s="25"/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/>
      <c r="L612" s="48"/>
      <c r="M612" s="48"/>
      <c r="N612" s="48"/>
      <c r="O612" s="48"/>
      <c r="P612" s="48"/>
      <c r="Q612" s="25"/>
      <c r="R612" s="25"/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/>
      <c r="L613" s="48"/>
      <c r="M613" s="48"/>
      <c r="N613" s="48"/>
      <c r="O613" s="48"/>
      <c r="P613" s="48"/>
      <c r="Q613" s="25"/>
      <c r="R613" s="25"/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/>
      <c r="L614" s="48"/>
      <c r="M614" s="48"/>
      <c r="N614" s="48"/>
      <c r="O614" s="48"/>
      <c r="P614" s="48"/>
      <c r="Q614" s="25"/>
      <c r="R614" s="25"/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/>
      <c r="L615" s="48"/>
      <c r="M615" s="48"/>
      <c r="N615" s="48"/>
      <c r="O615" s="48"/>
      <c r="P615" s="48"/>
      <c r="Q615" s="25"/>
      <c r="R615" s="25"/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/>
      <c r="L616" s="48"/>
      <c r="M616" s="48"/>
      <c r="N616" s="48"/>
      <c r="O616" s="48"/>
      <c r="P616" s="48"/>
      <c r="Q616" s="25"/>
      <c r="R616" s="25"/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/>
      <c r="L617" s="48"/>
      <c r="M617" s="48"/>
      <c r="N617" s="48"/>
      <c r="O617" s="48"/>
      <c r="P617" s="48"/>
      <c r="Q617" s="25"/>
      <c r="R617" s="25"/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/>
      <c r="L618" s="48"/>
      <c r="M618" s="48"/>
      <c r="N618" s="48"/>
      <c r="O618" s="48"/>
      <c r="P618" s="48"/>
      <c r="Q618" s="25"/>
      <c r="R618" s="25"/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/>
      <c r="L619" s="48"/>
      <c r="M619" s="48"/>
      <c r="N619" s="48"/>
      <c r="O619" s="48"/>
      <c r="P619" s="48"/>
      <c r="Q619" s="25"/>
      <c r="R619" s="25"/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/>
      <c r="L620" s="48"/>
      <c r="M620" s="48"/>
      <c r="N620" s="48"/>
      <c r="O620" s="48"/>
      <c r="P620" s="48"/>
      <c r="Q620" s="25"/>
      <c r="R620" s="25"/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/>
      <c r="L621" s="48"/>
      <c r="M621" s="48"/>
      <c r="N621" s="48"/>
      <c r="O621" s="48"/>
      <c r="P621" s="48"/>
      <c r="Q621" s="25"/>
      <c r="R621" s="25"/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/>
      <c r="L622" s="48"/>
      <c r="M622" s="48"/>
      <c r="N622" s="48"/>
      <c r="O622" s="48"/>
      <c r="P622" s="48"/>
      <c r="Q622" s="25"/>
      <c r="R622" s="25"/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/>
      <c r="L623" s="48"/>
      <c r="M623" s="48"/>
      <c r="N623" s="48"/>
      <c r="O623" s="48"/>
      <c r="P623" s="48"/>
      <c r="Q623" s="25"/>
      <c r="R623" s="25"/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/>
      <c r="L624" s="48"/>
      <c r="M624" s="48"/>
      <c r="N624" s="48"/>
      <c r="O624" s="48"/>
      <c r="P624" s="48"/>
      <c r="Q624" s="25"/>
      <c r="R624" s="25"/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/>
      <c r="L625" s="48"/>
      <c r="M625" s="48"/>
      <c r="N625" s="48"/>
      <c r="O625" s="48"/>
      <c r="P625" s="48"/>
      <c r="Q625" s="25"/>
      <c r="R625" s="25"/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/>
      <c r="L626" s="48"/>
      <c r="M626" s="48"/>
      <c r="N626" s="48"/>
      <c r="O626" s="48"/>
      <c r="P626" s="48"/>
      <c r="Q626" s="25"/>
      <c r="R626" s="25"/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/>
      <c r="L627" s="48"/>
      <c r="M627" s="48"/>
      <c r="N627" s="48"/>
      <c r="O627" s="48"/>
      <c r="P627" s="48"/>
      <c r="Q627" s="25"/>
      <c r="R627" s="25"/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/>
      <c r="L628" s="48"/>
      <c r="M628" s="48"/>
      <c r="N628" s="48"/>
      <c r="O628" s="48"/>
      <c r="P628" s="48"/>
      <c r="Q628" s="25"/>
      <c r="R628" s="25"/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/>
      <c r="L629" s="48"/>
      <c r="M629" s="48"/>
      <c r="N629" s="48"/>
      <c r="O629" s="48"/>
      <c r="P629" s="48"/>
      <c r="Q629" s="25"/>
      <c r="R629" s="25"/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/>
      <c r="L630" s="48"/>
      <c r="M630" s="48"/>
      <c r="N630" s="48"/>
      <c r="O630" s="48"/>
      <c r="P630" s="48"/>
      <c r="Q630" s="25"/>
      <c r="R630" s="25"/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/>
      <c r="L631" s="48"/>
      <c r="M631" s="48"/>
      <c r="N631" s="48"/>
      <c r="O631" s="48"/>
      <c r="P631" s="48"/>
      <c r="Q631" s="25"/>
      <c r="R631" s="25"/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/>
      <c r="L632" s="48"/>
      <c r="M632" s="48"/>
      <c r="N632" s="48"/>
      <c r="O632" s="48"/>
      <c r="P632" s="48"/>
      <c r="Q632" s="25"/>
      <c r="R632" s="25"/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/>
      <c r="L633" s="48"/>
      <c r="M633" s="48"/>
      <c r="N633" s="48"/>
      <c r="O633" s="48"/>
      <c r="P633" s="48"/>
      <c r="Q633" s="25"/>
      <c r="R633" s="25"/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/>
      <c r="L634" s="48"/>
      <c r="M634" s="48"/>
      <c r="N634" s="48"/>
      <c r="O634" s="48"/>
      <c r="P634" s="48"/>
      <c r="Q634" s="25"/>
      <c r="R634" s="25"/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/>
      <c r="L635" s="48"/>
      <c r="M635" s="48"/>
      <c r="N635" s="48"/>
      <c r="O635" s="48"/>
      <c r="P635" s="48"/>
      <c r="Q635" s="25"/>
      <c r="R635" s="25"/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/>
      <c r="L636" s="48"/>
      <c r="M636" s="48"/>
      <c r="N636" s="48"/>
      <c r="O636" s="48"/>
      <c r="P636" s="48"/>
      <c r="Q636" s="25"/>
      <c r="R636" s="25"/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/>
      <c r="L637" s="48"/>
      <c r="M637" s="48"/>
      <c r="N637" s="48"/>
      <c r="O637" s="48"/>
      <c r="P637" s="48"/>
      <c r="Q637" s="25"/>
      <c r="R637" s="25"/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/>
      <c r="L638" s="48"/>
      <c r="M638" s="48"/>
      <c r="N638" s="48"/>
      <c r="O638" s="48"/>
      <c r="P638" s="48"/>
      <c r="Q638" s="25"/>
      <c r="R638" s="25"/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/>
      <c r="L639" s="48"/>
      <c r="M639" s="48"/>
      <c r="N639" s="48"/>
      <c r="O639" s="48"/>
      <c r="P639" s="48"/>
      <c r="Q639" s="25"/>
      <c r="R639" s="25"/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/>
      <c r="L640" s="48"/>
      <c r="M640" s="48"/>
      <c r="N640" s="48"/>
      <c r="O640" s="48"/>
      <c r="P640" s="48"/>
      <c r="Q640" s="25"/>
      <c r="R640" s="25"/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/>
      <c r="L641" s="48"/>
      <c r="M641" s="48"/>
      <c r="N641" s="48"/>
      <c r="O641" s="48"/>
      <c r="P641" s="48"/>
      <c r="Q641" s="25"/>
      <c r="R641" s="25"/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/>
      <c r="L642" s="48"/>
      <c r="M642" s="48"/>
      <c r="N642" s="48"/>
      <c r="O642" s="48"/>
      <c r="P642" s="48"/>
      <c r="Q642" s="25"/>
      <c r="R642" s="25"/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/>
      <c r="L643" s="48"/>
      <c r="M643" s="48"/>
      <c r="N643" s="48"/>
      <c r="O643" s="48"/>
      <c r="P643" s="48"/>
      <c r="Q643" s="25"/>
      <c r="R643" s="25"/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/>
      <c r="L644" s="48"/>
      <c r="M644" s="48"/>
      <c r="N644" s="48"/>
      <c r="O644" s="48"/>
      <c r="P644" s="48"/>
      <c r="Q644" s="25"/>
      <c r="R644" s="25"/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/>
      <c r="L645" s="48"/>
      <c r="M645" s="48"/>
      <c r="N645" s="48"/>
      <c r="O645" s="48"/>
      <c r="P645" s="48"/>
      <c r="Q645" s="25"/>
      <c r="R645" s="25"/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/>
      <c r="L646" s="48"/>
      <c r="M646" s="48"/>
      <c r="N646" s="48"/>
      <c r="O646" s="48"/>
      <c r="P646" s="48"/>
      <c r="Q646" s="25"/>
      <c r="R646" s="25"/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/>
      <c r="L647" s="48"/>
      <c r="M647" s="48"/>
      <c r="N647" s="48"/>
      <c r="O647" s="48"/>
      <c r="P647" s="48"/>
      <c r="Q647" s="25"/>
      <c r="R647" s="25"/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/>
      <c r="L648" s="48"/>
      <c r="M648" s="48"/>
      <c r="N648" s="48"/>
      <c r="O648" s="48"/>
      <c r="P648" s="48"/>
      <c r="Q648" s="25"/>
      <c r="R648" s="25"/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/>
      <c r="L649" s="48"/>
      <c r="M649" s="48"/>
      <c r="N649" s="48"/>
      <c r="O649" s="48"/>
      <c r="P649" s="48"/>
      <c r="Q649" s="25"/>
      <c r="R649" s="25"/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/>
      <c r="L650" s="48"/>
      <c r="M650" s="48"/>
      <c r="N650" s="48"/>
      <c r="O650" s="48"/>
      <c r="P650" s="48"/>
      <c r="Q650" s="25"/>
      <c r="R650" s="25"/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/>
      <c r="L651" s="48"/>
      <c r="M651" s="48"/>
      <c r="N651" s="48"/>
      <c r="O651" s="48"/>
      <c r="P651" s="48"/>
      <c r="Q651" s="25"/>
      <c r="R651" s="25"/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/>
      <c r="L652" s="48"/>
      <c r="M652" s="48"/>
      <c r="N652" s="48"/>
      <c r="O652" s="48"/>
      <c r="P652" s="48"/>
      <c r="Q652" s="25"/>
      <c r="R652" s="25"/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/>
      <c r="L653" s="48"/>
      <c r="M653" s="48"/>
      <c r="N653" s="48"/>
      <c r="O653" s="48"/>
      <c r="P653" s="48"/>
      <c r="Q653" s="25"/>
      <c r="R653" s="25"/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/>
      <c r="L654" s="48"/>
      <c r="M654" s="48"/>
      <c r="N654" s="48"/>
      <c r="O654" s="48"/>
      <c r="P654" s="48"/>
      <c r="Q654" s="25"/>
      <c r="R654" s="25"/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/>
      <c r="L655" s="48"/>
      <c r="M655" s="48"/>
      <c r="N655" s="48"/>
      <c r="O655" s="48"/>
      <c r="P655" s="48"/>
      <c r="Q655" s="25"/>
      <c r="R655" s="25"/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/>
      <c r="L656" s="48"/>
      <c r="M656" s="48"/>
      <c r="N656" s="48"/>
      <c r="O656" s="48"/>
      <c r="P656" s="48"/>
      <c r="Q656" s="25"/>
      <c r="R656" s="25"/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/>
      <c r="L657" s="48"/>
      <c r="M657" s="48"/>
      <c r="N657" s="48"/>
      <c r="O657" s="48"/>
      <c r="P657" s="48"/>
      <c r="Q657" s="25"/>
      <c r="R657" s="25"/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/>
      <c r="L658" s="48"/>
      <c r="M658" s="48"/>
      <c r="N658" s="48"/>
      <c r="O658" s="48"/>
      <c r="P658" s="48"/>
      <c r="Q658" s="25"/>
      <c r="R658" s="25"/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/>
      <c r="L659" s="48"/>
      <c r="M659" s="48"/>
      <c r="N659" s="48"/>
      <c r="O659" s="48"/>
      <c r="P659" s="48"/>
      <c r="Q659" s="25"/>
      <c r="R659" s="25"/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/>
      <c r="L660" s="48"/>
      <c r="M660" s="48"/>
      <c r="N660" s="48"/>
      <c r="O660" s="48"/>
      <c r="P660" s="48"/>
      <c r="Q660" s="25"/>
      <c r="R660" s="25"/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/>
      <c r="L661" s="48"/>
      <c r="M661" s="48"/>
      <c r="N661" s="48"/>
      <c r="O661" s="48"/>
      <c r="P661" s="48"/>
      <c r="Q661" s="25"/>
      <c r="R661" s="25"/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/>
      <c r="L662" s="48"/>
      <c r="M662" s="48"/>
      <c r="N662" s="48"/>
      <c r="O662" s="48"/>
      <c r="P662" s="48"/>
      <c r="Q662" s="25"/>
      <c r="R662" s="25"/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/>
      <c r="L663" s="48"/>
      <c r="M663" s="48"/>
      <c r="N663" s="48"/>
      <c r="O663" s="48"/>
      <c r="P663" s="48"/>
      <c r="Q663" s="25"/>
      <c r="R663" s="25"/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/>
      <c r="L664" s="48"/>
      <c r="M664" s="48"/>
      <c r="N664" s="48"/>
      <c r="O664" s="48"/>
      <c r="P664" s="48"/>
      <c r="Q664" s="25"/>
      <c r="R664" s="25"/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/>
      <c r="L665" s="48"/>
      <c r="M665" s="48"/>
      <c r="N665" s="48"/>
      <c r="O665" s="48"/>
      <c r="P665" s="48"/>
      <c r="Q665" s="25"/>
      <c r="R665" s="25"/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/>
      <c r="L666" s="48"/>
      <c r="M666" s="48"/>
      <c r="N666" s="48"/>
      <c r="O666" s="48"/>
      <c r="P666" s="48"/>
      <c r="Q666" s="25"/>
      <c r="R666" s="25"/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/>
      <c r="L667" s="48"/>
      <c r="M667" s="48"/>
      <c r="N667" s="48"/>
      <c r="O667" s="48"/>
      <c r="P667" s="48"/>
      <c r="Q667" s="25"/>
      <c r="R667" s="25"/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/>
      <c r="L668" s="48"/>
      <c r="M668" s="48"/>
      <c r="N668" s="48"/>
      <c r="O668" s="48"/>
      <c r="P668" s="48"/>
      <c r="Q668" s="25"/>
      <c r="R668" s="25"/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/>
      <c r="L669" s="48"/>
      <c r="M669" s="48"/>
      <c r="N669" s="48"/>
      <c r="O669" s="48"/>
      <c r="P669" s="48"/>
      <c r="Q669" s="25"/>
      <c r="R669" s="25"/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/>
      <c r="L670" s="48"/>
      <c r="M670" s="48"/>
      <c r="N670" s="48"/>
      <c r="O670" s="48"/>
      <c r="P670" s="48"/>
      <c r="Q670" s="25"/>
      <c r="R670" s="25"/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/>
      <c r="L671" s="48"/>
      <c r="M671" s="48"/>
      <c r="N671" s="48"/>
      <c r="O671" s="48"/>
      <c r="P671" s="48"/>
      <c r="Q671" s="25"/>
      <c r="R671" s="25"/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/>
      <c r="L672" s="48"/>
      <c r="M672" s="48"/>
      <c r="N672" s="48"/>
      <c r="O672" s="48"/>
      <c r="P672" s="48"/>
      <c r="Q672" s="25"/>
      <c r="R672" s="25"/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/>
      <c r="L673" s="48"/>
      <c r="M673" s="48"/>
      <c r="N673" s="48"/>
      <c r="O673" s="48"/>
      <c r="P673" s="48"/>
      <c r="Q673" s="25"/>
      <c r="R673" s="25"/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/>
      <c r="L674" s="48"/>
      <c r="M674" s="48"/>
      <c r="N674" s="48"/>
      <c r="O674" s="48"/>
      <c r="P674" s="48"/>
      <c r="Q674" s="25"/>
      <c r="R674" s="25"/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/>
      <c r="L675" s="48"/>
      <c r="M675" s="48"/>
      <c r="N675" s="48"/>
      <c r="O675" s="48"/>
      <c r="P675" s="48"/>
      <c r="Q675" s="25"/>
      <c r="R675" s="25"/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/>
      <c r="L676" s="48"/>
      <c r="M676" s="48"/>
      <c r="N676" s="48"/>
      <c r="O676" s="48"/>
      <c r="P676" s="48"/>
      <c r="Q676" s="25"/>
      <c r="R676" s="25"/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/>
      <c r="L677" s="48"/>
      <c r="M677" s="48"/>
      <c r="N677" s="48"/>
      <c r="O677" s="48"/>
      <c r="P677" s="48"/>
      <c r="Q677" s="25"/>
      <c r="R677" s="25"/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/>
      <c r="L678" s="48"/>
      <c r="M678" s="48"/>
      <c r="N678" s="48"/>
      <c r="O678" s="48"/>
      <c r="P678" s="48"/>
      <c r="Q678" s="25"/>
      <c r="R678" s="25"/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/>
      <c r="L679" s="48"/>
      <c r="M679" s="48"/>
      <c r="N679" s="48"/>
      <c r="O679" s="48"/>
      <c r="P679" s="48"/>
      <c r="Q679" s="25"/>
      <c r="R679" s="25"/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/>
      <c r="L680" s="48"/>
      <c r="M680" s="48"/>
      <c r="N680" s="48"/>
      <c r="O680" s="48"/>
      <c r="P680" s="48"/>
      <c r="Q680" s="25"/>
      <c r="R680" s="25"/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/>
      <c r="L681" s="48"/>
      <c r="M681" s="48"/>
      <c r="N681" s="48"/>
      <c r="O681" s="48"/>
      <c r="P681" s="48"/>
      <c r="Q681" s="25"/>
      <c r="R681" s="25"/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/>
      <c r="L682" s="48"/>
      <c r="M682" s="48"/>
      <c r="N682" s="48"/>
      <c r="O682" s="48"/>
      <c r="P682" s="48"/>
      <c r="Q682" s="25"/>
      <c r="R682" s="25"/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/>
      <c r="L683" s="48"/>
      <c r="M683" s="48"/>
      <c r="N683" s="48"/>
      <c r="O683" s="48"/>
      <c r="P683" s="48"/>
      <c r="Q683" s="25"/>
      <c r="R683" s="25"/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/>
      <c r="L684" s="48"/>
      <c r="M684" s="48"/>
      <c r="N684" s="48"/>
      <c r="O684" s="48"/>
      <c r="P684" s="48"/>
      <c r="Q684" s="25"/>
      <c r="R684" s="25"/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/>
      <c r="L685" s="48"/>
      <c r="M685" s="48"/>
      <c r="N685" s="48"/>
      <c r="O685" s="48"/>
      <c r="P685" s="48"/>
      <c r="Q685" s="25"/>
      <c r="R685" s="25"/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/>
      <c r="L686" s="48"/>
      <c r="M686" s="48"/>
      <c r="N686" s="48"/>
      <c r="O686" s="48"/>
      <c r="P686" s="48"/>
      <c r="Q686" s="25"/>
      <c r="R686" s="25"/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/>
      <c r="L687" s="48"/>
      <c r="M687" s="48"/>
      <c r="N687" s="48"/>
      <c r="O687" s="48"/>
      <c r="P687" s="48"/>
      <c r="Q687" s="25"/>
      <c r="R687" s="25"/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/>
      <c r="L688" s="48"/>
      <c r="M688" s="48"/>
      <c r="N688" s="48"/>
      <c r="O688" s="48"/>
      <c r="P688" s="48"/>
      <c r="Q688" s="25"/>
      <c r="R688" s="25"/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/>
      <c r="L689" s="48"/>
      <c r="M689" s="48"/>
      <c r="N689" s="48"/>
      <c r="O689" s="48"/>
      <c r="P689" s="48"/>
      <c r="Q689" s="25"/>
      <c r="R689" s="25"/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/>
      <c r="L690" s="48"/>
      <c r="M690" s="48"/>
      <c r="N690" s="48"/>
      <c r="O690" s="48"/>
      <c r="P690" s="48"/>
      <c r="Q690" s="25"/>
      <c r="R690" s="25"/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/>
      <c r="L691" s="48"/>
      <c r="M691" s="48"/>
      <c r="N691" s="48"/>
      <c r="O691" s="48"/>
      <c r="P691" s="48"/>
      <c r="Q691" s="25"/>
      <c r="R691" s="25"/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/>
      <c r="L692" s="48"/>
      <c r="M692" s="48"/>
      <c r="N692" s="48"/>
      <c r="O692" s="48"/>
      <c r="P692" s="48"/>
      <c r="Q692" s="25"/>
      <c r="R692" s="25"/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/>
      <c r="L693" s="48"/>
      <c r="M693" s="48"/>
      <c r="N693" s="48"/>
      <c r="O693" s="48"/>
      <c r="P693" s="48"/>
      <c r="Q693" s="25"/>
      <c r="R693" s="25"/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/>
      <c r="L694" s="48"/>
      <c r="M694" s="48"/>
      <c r="N694" s="48"/>
      <c r="O694" s="48"/>
      <c r="P694" s="48"/>
      <c r="Q694" s="25"/>
      <c r="R694" s="25"/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/>
      <c r="L695" s="48"/>
      <c r="M695" s="48"/>
      <c r="N695" s="48"/>
      <c r="O695" s="48"/>
      <c r="P695" s="48"/>
      <c r="Q695" s="25"/>
      <c r="R695" s="25"/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/>
      <c r="L696" s="48"/>
      <c r="M696" s="48"/>
      <c r="N696" s="48"/>
      <c r="O696" s="48"/>
      <c r="P696" s="48"/>
      <c r="Q696" s="25"/>
      <c r="R696" s="25"/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/>
      <c r="L697" s="48"/>
      <c r="M697" s="48"/>
      <c r="N697" s="48"/>
      <c r="O697" s="48"/>
      <c r="P697" s="48"/>
      <c r="Q697" s="25"/>
      <c r="R697" s="25"/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/>
      <c r="L698" s="48"/>
      <c r="M698" s="48"/>
      <c r="N698" s="48"/>
      <c r="O698" s="48"/>
      <c r="P698" s="48"/>
      <c r="Q698" s="25"/>
      <c r="R698" s="25"/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/>
      <c r="L699" s="48"/>
      <c r="M699" s="48"/>
      <c r="N699" s="48"/>
      <c r="O699" s="48"/>
      <c r="P699" s="48"/>
      <c r="Q699" s="25"/>
      <c r="R699" s="25"/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/>
      <c r="L700" s="48"/>
      <c r="M700" s="48"/>
      <c r="N700" s="48"/>
      <c r="O700" s="48"/>
      <c r="P700" s="48"/>
      <c r="Q700" s="25"/>
      <c r="R700" s="25"/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/>
      <c r="L701" s="48"/>
      <c r="M701" s="48"/>
      <c r="N701" s="48"/>
      <c r="O701" s="48"/>
      <c r="P701" s="48"/>
      <c r="Q701" s="25"/>
      <c r="R701" s="25"/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/>
      <c r="L702" s="48"/>
      <c r="M702" s="48"/>
      <c r="N702" s="48"/>
      <c r="O702" s="48"/>
      <c r="P702" s="48"/>
      <c r="Q702" s="25"/>
      <c r="R702" s="25"/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/>
      <c r="L703" s="48"/>
      <c r="M703" s="48"/>
      <c r="N703" s="48"/>
      <c r="O703" s="48"/>
      <c r="P703" s="48"/>
      <c r="Q703" s="25"/>
      <c r="R703" s="25"/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/>
      <c r="L704" s="48"/>
      <c r="M704" s="48"/>
      <c r="N704" s="48"/>
      <c r="O704" s="48"/>
      <c r="P704" s="48"/>
      <c r="Q704" s="25"/>
      <c r="R704" s="25"/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/>
      <c r="L705" s="48"/>
      <c r="M705" s="48"/>
      <c r="N705" s="48"/>
      <c r="O705" s="48"/>
      <c r="P705" s="48"/>
      <c r="Q705" s="25"/>
      <c r="R705" s="25"/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/>
      <c r="L706" s="48"/>
      <c r="M706" s="48"/>
      <c r="N706" s="48"/>
      <c r="O706" s="48"/>
      <c r="P706" s="48"/>
      <c r="Q706" s="25"/>
      <c r="R706" s="25"/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/>
      <c r="L707" s="48"/>
      <c r="M707" s="48"/>
      <c r="N707" s="48"/>
      <c r="O707" s="48"/>
      <c r="P707" s="48"/>
      <c r="Q707" s="25"/>
      <c r="R707" s="25"/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/>
      <c r="L708" s="48"/>
      <c r="M708" s="48"/>
      <c r="N708" s="48"/>
      <c r="O708" s="48"/>
      <c r="P708" s="48"/>
      <c r="Q708" s="25"/>
      <c r="R708" s="25"/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/>
      <c r="L709" s="48"/>
      <c r="M709" s="48"/>
      <c r="N709" s="48"/>
      <c r="O709" s="48"/>
      <c r="P709" s="48"/>
      <c r="Q709" s="25"/>
      <c r="R709" s="25"/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/>
      <c r="L710" s="48"/>
      <c r="M710" s="48"/>
      <c r="N710" s="48"/>
      <c r="O710" s="48"/>
      <c r="P710" s="48"/>
      <c r="Q710" s="25"/>
      <c r="R710" s="25"/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/>
      <c r="L711" s="48"/>
      <c r="M711" s="48"/>
      <c r="N711" s="48"/>
      <c r="O711" s="48"/>
      <c r="P711" s="48"/>
      <c r="Q711" s="25"/>
      <c r="R711" s="25"/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/>
      <c r="L712" s="48"/>
      <c r="M712" s="48"/>
      <c r="N712" s="48"/>
      <c r="O712" s="48"/>
      <c r="P712" s="48"/>
      <c r="Q712" s="25"/>
      <c r="R712" s="25"/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/>
      <c r="L713" s="48"/>
      <c r="M713" s="48"/>
      <c r="N713" s="48"/>
      <c r="O713" s="48"/>
      <c r="P713" s="48"/>
      <c r="Q713" s="25"/>
      <c r="R713" s="25"/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/>
      <c r="L714" s="48"/>
      <c r="M714" s="48"/>
      <c r="N714" s="48"/>
      <c r="O714" s="48"/>
      <c r="P714" s="48"/>
      <c r="Q714" s="25"/>
      <c r="R714" s="25"/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/>
      <c r="L715" s="48"/>
      <c r="M715" s="48"/>
      <c r="N715" s="48"/>
      <c r="O715" s="48"/>
      <c r="P715" s="48"/>
      <c r="Q715" s="25"/>
      <c r="R715" s="25"/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/>
      <c r="L716" s="48"/>
      <c r="M716" s="48"/>
      <c r="N716" s="48"/>
      <c r="O716" s="48"/>
      <c r="P716" s="48"/>
      <c r="Q716" s="25"/>
      <c r="R716" s="25"/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/>
      <c r="L717" s="48"/>
      <c r="M717" s="48"/>
      <c r="N717" s="48"/>
      <c r="O717" s="48"/>
      <c r="P717" s="48"/>
      <c r="Q717" s="25"/>
      <c r="R717" s="25"/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/>
      <c r="L718" s="48"/>
      <c r="M718" s="48"/>
      <c r="N718" s="48"/>
      <c r="O718" s="48"/>
      <c r="P718" s="48"/>
      <c r="Q718" s="25"/>
      <c r="R718" s="25"/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/>
      <c r="L719" s="48"/>
      <c r="M719" s="48"/>
      <c r="N719" s="48"/>
      <c r="O719" s="48"/>
      <c r="P719" s="48"/>
      <c r="Q719" s="25"/>
      <c r="R719" s="25"/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/>
      <c r="L720" s="48"/>
      <c r="M720" s="48"/>
      <c r="N720" s="48"/>
      <c r="O720" s="48"/>
      <c r="P720" s="48"/>
      <c r="Q720" s="25"/>
      <c r="R720" s="25"/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/>
      <c r="L721" s="48"/>
      <c r="M721" s="48"/>
      <c r="N721" s="48"/>
      <c r="O721" s="48"/>
      <c r="P721" s="48"/>
      <c r="Q721" s="25"/>
      <c r="R721" s="25"/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/>
      <c r="L722" s="48"/>
      <c r="M722" s="48"/>
      <c r="N722" s="48"/>
      <c r="O722" s="48"/>
      <c r="P722" s="48"/>
      <c r="Q722" s="25"/>
      <c r="R722" s="25"/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/>
      <c r="L723" s="48"/>
      <c r="M723" s="48"/>
      <c r="N723" s="48"/>
      <c r="O723" s="48"/>
      <c r="P723" s="48"/>
      <c r="Q723" s="25"/>
      <c r="R723" s="25"/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/>
      <c r="L724" s="48"/>
      <c r="M724" s="48"/>
      <c r="N724" s="48"/>
      <c r="O724" s="48"/>
      <c r="P724" s="48"/>
      <c r="Q724" s="25"/>
      <c r="R724" s="25"/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/>
      <c r="L725" s="48"/>
      <c r="M725" s="48"/>
      <c r="N725" s="48"/>
      <c r="O725" s="48"/>
      <c r="P725" s="48"/>
      <c r="Q725" s="25"/>
      <c r="R725" s="25"/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/>
      <c r="L726" s="48"/>
      <c r="M726" s="48"/>
      <c r="N726" s="48"/>
      <c r="O726" s="48"/>
      <c r="P726" s="48"/>
      <c r="Q726" s="25"/>
      <c r="R726" s="25"/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/>
      <c r="L727" s="48"/>
      <c r="M727" s="48"/>
      <c r="N727" s="48"/>
      <c r="O727" s="48"/>
      <c r="P727" s="48"/>
      <c r="Q727" s="25"/>
      <c r="R727" s="25"/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/>
      <c r="L728" s="48"/>
      <c r="M728" s="48"/>
      <c r="N728" s="48"/>
      <c r="O728" s="48"/>
      <c r="P728" s="48"/>
      <c r="Q728" s="25"/>
      <c r="R728" s="25"/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/>
      <c r="L729" s="48"/>
      <c r="M729" s="48"/>
      <c r="N729" s="48"/>
      <c r="O729" s="48"/>
      <c r="P729" s="48"/>
      <c r="Q729" s="25"/>
      <c r="R729" s="25"/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/>
      <c r="L730" s="48"/>
      <c r="M730" s="48"/>
      <c r="N730" s="48"/>
      <c r="O730" s="48"/>
      <c r="P730" s="48"/>
      <c r="Q730" s="25"/>
      <c r="R730" s="25"/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/>
      <c r="L731" s="48"/>
      <c r="M731" s="48"/>
      <c r="N731" s="48"/>
      <c r="O731" s="48"/>
      <c r="P731" s="48"/>
      <c r="Q731" s="25"/>
      <c r="R731" s="25"/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/>
      <c r="L732" s="48"/>
      <c r="M732" s="48"/>
      <c r="N732" s="48"/>
      <c r="O732" s="48"/>
      <c r="P732" s="48"/>
      <c r="Q732" s="25"/>
      <c r="R732" s="25"/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/>
      <c r="L733" s="48"/>
      <c r="M733" s="48"/>
      <c r="N733" s="48"/>
      <c r="O733" s="48"/>
      <c r="P733" s="48"/>
      <c r="Q733" s="25"/>
      <c r="R733" s="25"/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/>
      <c r="L734" s="48"/>
      <c r="M734" s="48"/>
      <c r="N734" s="48"/>
      <c r="O734" s="48"/>
      <c r="P734" s="48"/>
      <c r="Q734" s="25"/>
      <c r="R734" s="25"/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/>
      <c r="L735" s="48"/>
      <c r="M735" s="48"/>
      <c r="N735" s="48"/>
      <c r="O735" s="48"/>
      <c r="P735" s="48"/>
      <c r="Q735" s="25"/>
      <c r="R735" s="25"/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/>
      <c r="L736" s="48"/>
      <c r="M736" s="48"/>
      <c r="N736" s="48"/>
      <c r="O736" s="48"/>
      <c r="P736" s="48"/>
      <c r="Q736" s="25"/>
      <c r="R736" s="25"/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/>
      <c r="L737" s="48"/>
      <c r="M737" s="48"/>
      <c r="N737" s="48"/>
      <c r="O737" s="48"/>
      <c r="P737" s="48"/>
      <c r="Q737" s="25"/>
      <c r="R737" s="25"/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/>
      <c r="L738" s="48"/>
      <c r="M738" s="48"/>
      <c r="N738" s="48"/>
      <c r="O738" s="48"/>
      <c r="P738" s="48"/>
      <c r="Q738" s="25"/>
      <c r="R738" s="25"/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/>
      <c r="L739" s="48"/>
      <c r="M739" s="48"/>
      <c r="N739" s="48"/>
      <c r="O739" s="48"/>
      <c r="P739" s="48"/>
      <c r="Q739" s="25"/>
      <c r="R739" s="25"/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/>
      <c r="L740" s="48"/>
      <c r="M740" s="48"/>
      <c r="N740" s="48"/>
      <c r="O740" s="48"/>
      <c r="P740" s="48"/>
      <c r="Q740" s="25"/>
      <c r="R740" s="25"/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/>
      <c r="L741" s="48"/>
      <c r="M741" s="48"/>
      <c r="N741" s="48"/>
      <c r="O741" s="48"/>
      <c r="P741" s="48"/>
      <c r="Q741" s="25"/>
      <c r="R741" s="25"/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/>
      <c r="L742" s="48"/>
      <c r="M742" s="48"/>
      <c r="N742" s="48"/>
      <c r="O742" s="48"/>
      <c r="P742" s="48"/>
      <c r="Q742" s="25"/>
      <c r="R742" s="25"/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/>
      <c r="L743" s="48"/>
      <c r="M743" s="48"/>
      <c r="N743" s="48"/>
      <c r="O743" s="48"/>
      <c r="P743" s="48"/>
      <c r="Q743" s="25"/>
      <c r="R743" s="25"/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/>
      <c r="L744" s="48"/>
      <c r="M744" s="48"/>
      <c r="N744" s="48"/>
      <c r="O744" s="48"/>
      <c r="P744" s="48"/>
      <c r="Q744" s="25"/>
      <c r="R744" s="25"/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/>
      <c r="L745" s="48"/>
      <c r="M745" s="48"/>
      <c r="N745" s="48"/>
      <c r="O745" s="48"/>
      <c r="P745" s="48"/>
      <c r="Q745" s="25"/>
      <c r="R745" s="25"/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/>
      <c r="L746" s="48"/>
      <c r="M746" s="48"/>
      <c r="N746" s="48"/>
      <c r="O746" s="48"/>
      <c r="P746" s="48"/>
      <c r="Q746" s="25"/>
      <c r="R746" s="25"/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/>
      <c r="L747" s="48"/>
      <c r="M747" s="48"/>
      <c r="N747" s="48"/>
      <c r="O747" s="48"/>
      <c r="P747" s="48"/>
      <c r="Q747" s="25"/>
      <c r="R747" s="25"/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/>
      <c r="L748" s="48"/>
      <c r="M748" s="48"/>
      <c r="N748" s="48"/>
      <c r="O748" s="48"/>
      <c r="P748" s="48"/>
      <c r="Q748" s="25"/>
      <c r="R748" s="25"/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/>
      <c r="L749" s="48"/>
      <c r="M749" s="48"/>
      <c r="N749" s="48"/>
      <c r="O749" s="48"/>
      <c r="P749" s="48"/>
      <c r="Q749" s="25"/>
      <c r="R749" s="25"/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/>
      <c r="L750" s="48"/>
      <c r="M750" s="48"/>
      <c r="N750" s="48"/>
      <c r="O750" s="48"/>
      <c r="P750" s="48"/>
      <c r="Q750" s="25"/>
      <c r="R750" s="25"/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/>
      <c r="L751" s="48"/>
      <c r="M751" s="48"/>
      <c r="N751" s="48"/>
      <c r="O751" s="48"/>
      <c r="P751" s="48"/>
      <c r="Q751" s="25"/>
      <c r="R751" s="25"/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/>
      <c r="L752" s="48"/>
      <c r="M752" s="48"/>
      <c r="N752" s="48"/>
      <c r="O752" s="48"/>
      <c r="P752" s="48"/>
      <c r="Q752" s="25"/>
      <c r="R752" s="25"/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/>
      <c r="L753" s="48"/>
      <c r="M753" s="48"/>
      <c r="N753" s="48"/>
      <c r="O753" s="48"/>
      <c r="P753" s="48"/>
      <c r="Q753" s="25"/>
      <c r="R753" s="25"/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/>
      <c r="L754" s="48"/>
      <c r="M754" s="48"/>
      <c r="N754" s="48"/>
      <c r="O754" s="48"/>
      <c r="P754" s="48"/>
      <c r="Q754" s="25"/>
      <c r="R754" s="25"/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/>
      <c r="L755" s="48"/>
      <c r="M755" s="48"/>
      <c r="N755" s="48"/>
      <c r="O755" s="48"/>
      <c r="P755" s="48"/>
      <c r="Q755" s="25"/>
      <c r="R755" s="25"/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/>
      <c r="L756" s="48"/>
      <c r="M756" s="48"/>
      <c r="N756" s="48"/>
      <c r="O756" s="48"/>
      <c r="P756" s="48"/>
      <c r="Q756" s="25"/>
      <c r="R756" s="25"/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/>
      <c r="L757" s="48"/>
      <c r="M757" s="48"/>
      <c r="N757" s="48"/>
      <c r="O757" s="48"/>
      <c r="P757" s="48"/>
      <c r="Q757" s="25"/>
      <c r="R757" s="25"/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/>
      <c r="L758" s="48"/>
      <c r="M758" s="48"/>
      <c r="N758" s="48"/>
      <c r="O758" s="48"/>
      <c r="P758" s="48"/>
      <c r="Q758" s="25"/>
      <c r="R758" s="25"/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/>
      <c r="L759" s="48"/>
      <c r="M759" s="48"/>
      <c r="N759" s="48"/>
      <c r="O759" s="48"/>
      <c r="P759" s="48"/>
      <c r="Q759" s="25"/>
      <c r="R759" s="25"/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/>
      <c r="L760" s="48"/>
      <c r="M760" s="48"/>
      <c r="N760" s="48"/>
      <c r="O760" s="48"/>
      <c r="P760" s="48"/>
      <c r="Q760" s="25"/>
      <c r="R760" s="25"/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/>
      <c r="L761" s="48"/>
      <c r="M761" s="48"/>
      <c r="N761" s="48"/>
      <c r="O761" s="48"/>
      <c r="P761" s="48"/>
      <c r="Q761" s="25"/>
      <c r="R761" s="25"/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/>
      <c r="L762" s="48"/>
      <c r="M762" s="48"/>
      <c r="N762" s="48"/>
      <c r="O762" s="48"/>
      <c r="P762" s="48"/>
      <c r="Q762" s="25"/>
      <c r="R762" s="25"/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/>
      <c r="L763" s="48"/>
      <c r="M763" s="48"/>
      <c r="N763" s="48"/>
      <c r="O763" s="48"/>
      <c r="P763" s="48"/>
      <c r="Q763" s="25"/>
      <c r="R763" s="25"/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/>
      <c r="L764" s="48"/>
      <c r="M764" s="48"/>
      <c r="N764" s="48"/>
      <c r="O764" s="48"/>
      <c r="P764" s="48"/>
      <c r="Q764" s="25"/>
      <c r="R764" s="25"/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/>
      <c r="L765" s="48"/>
      <c r="M765" s="48"/>
      <c r="N765" s="48"/>
      <c r="O765" s="48"/>
      <c r="P765" s="48"/>
      <c r="Q765" s="25"/>
      <c r="R765" s="25"/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/>
      <c r="L766" s="48"/>
      <c r="M766" s="48"/>
      <c r="N766" s="48"/>
      <c r="O766" s="48"/>
      <c r="P766" s="48"/>
      <c r="Q766" s="25"/>
      <c r="R766" s="25"/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/>
      <c r="L767" s="48"/>
      <c r="M767" s="48"/>
      <c r="N767" s="48"/>
      <c r="O767" s="48"/>
      <c r="P767" s="48"/>
      <c r="Q767" s="25"/>
      <c r="R767" s="25"/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/>
      <c r="L768" s="48"/>
      <c r="M768" s="48"/>
      <c r="N768" s="48"/>
      <c r="O768" s="48"/>
      <c r="P768" s="48"/>
      <c r="Q768" s="25"/>
      <c r="R768" s="25"/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/>
      <c r="L769" s="48"/>
      <c r="M769" s="48"/>
      <c r="N769" s="48"/>
      <c r="O769" s="48"/>
      <c r="P769" s="48"/>
      <c r="Q769" s="25"/>
      <c r="R769" s="25"/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/>
      <c r="L770" s="48"/>
      <c r="M770" s="48"/>
      <c r="N770" s="48"/>
      <c r="O770" s="48"/>
      <c r="P770" s="48"/>
      <c r="Q770" s="25"/>
      <c r="R770" s="25"/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/>
      <c r="L771" s="48"/>
      <c r="M771" s="48"/>
      <c r="N771" s="48"/>
      <c r="O771" s="48"/>
      <c r="P771" s="48"/>
      <c r="Q771" s="25"/>
      <c r="R771" s="25"/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/>
      <c r="L772" s="48"/>
      <c r="M772" s="48"/>
      <c r="N772" s="48"/>
      <c r="O772" s="48"/>
      <c r="P772" s="48"/>
      <c r="Q772" s="25"/>
      <c r="R772" s="25"/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/>
      <c r="L773" s="48"/>
      <c r="M773" s="48"/>
      <c r="N773" s="48"/>
      <c r="O773" s="48"/>
      <c r="P773" s="48"/>
      <c r="Q773" s="25"/>
      <c r="R773" s="25"/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/>
      <c r="L774" s="48"/>
      <c r="M774" s="48"/>
      <c r="N774" s="48"/>
      <c r="O774" s="48"/>
      <c r="P774" s="48"/>
      <c r="Q774" s="25"/>
      <c r="R774" s="25"/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/>
      <c r="L775" s="48"/>
      <c r="M775" s="48"/>
      <c r="N775" s="48"/>
      <c r="O775" s="48"/>
      <c r="P775" s="48"/>
      <c r="Q775" s="25"/>
      <c r="R775" s="25"/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/>
      <c r="L776" s="48"/>
      <c r="M776" s="48"/>
      <c r="N776" s="48"/>
      <c r="O776" s="48"/>
      <c r="P776" s="48"/>
      <c r="Q776" s="25"/>
      <c r="R776" s="25"/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/>
      <c r="L777" s="48"/>
      <c r="M777" s="48"/>
      <c r="N777" s="48"/>
      <c r="O777" s="48"/>
      <c r="P777" s="48"/>
      <c r="Q777" s="25"/>
      <c r="R777" s="25"/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/>
      <c r="L778" s="48"/>
      <c r="M778" s="48"/>
      <c r="N778" s="48"/>
      <c r="O778" s="48"/>
      <c r="P778" s="48"/>
      <c r="Q778" s="25"/>
      <c r="R778" s="25"/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/>
      <c r="L779" s="48"/>
      <c r="M779" s="48"/>
      <c r="N779" s="48"/>
      <c r="O779" s="48"/>
      <c r="P779" s="48"/>
      <c r="Q779" s="25"/>
      <c r="R779" s="25"/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/>
      <c r="L780" s="48"/>
      <c r="M780" s="48"/>
      <c r="N780" s="48"/>
      <c r="O780" s="48"/>
      <c r="P780" s="48"/>
      <c r="Q780" s="25"/>
      <c r="R780" s="25"/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/>
      <c r="L781" s="48"/>
      <c r="M781" s="48"/>
      <c r="N781" s="48"/>
      <c r="O781" s="48"/>
      <c r="P781" s="48"/>
      <c r="Q781" s="25"/>
      <c r="R781" s="25"/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/>
      <c r="L782" s="48"/>
      <c r="M782" s="48"/>
      <c r="N782" s="48"/>
      <c r="O782" s="48"/>
      <c r="P782" s="48"/>
      <c r="Q782" s="25"/>
      <c r="R782" s="25"/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/>
      <c r="L783" s="48"/>
      <c r="M783" s="48"/>
      <c r="N783" s="48"/>
      <c r="O783" s="48"/>
      <c r="P783" s="48"/>
      <c r="Q783" s="25"/>
      <c r="R783" s="25"/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/>
      <c r="L784" s="48"/>
      <c r="M784" s="48"/>
      <c r="N784" s="48"/>
      <c r="O784" s="48"/>
      <c r="P784" s="48"/>
      <c r="Q784" s="25"/>
      <c r="R784" s="25"/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/>
      <c r="L785" s="48"/>
      <c r="M785" s="48"/>
      <c r="N785" s="48"/>
      <c r="O785" s="48"/>
      <c r="P785" s="48"/>
      <c r="Q785" s="25"/>
      <c r="R785" s="25"/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/>
      <c r="L786" s="48"/>
      <c r="M786" s="48"/>
      <c r="N786" s="48"/>
      <c r="O786" s="48"/>
      <c r="P786" s="48"/>
      <c r="Q786" s="25"/>
      <c r="R786" s="25"/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/>
      <c r="L787" s="48"/>
      <c r="M787" s="48"/>
      <c r="N787" s="48"/>
      <c r="O787" s="48"/>
      <c r="P787" s="48"/>
      <c r="Q787" s="25"/>
      <c r="R787" s="25"/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/>
      <c r="L788" s="48"/>
      <c r="M788" s="48"/>
      <c r="N788" s="48"/>
      <c r="O788" s="48"/>
      <c r="P788" s="48"/>
      <c r="Q788" s="25"/>
      <c r="R788" s="25"/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/>
      <c r="L789" s="48"/>
      <c r="M789" s="48"/>
      <c r="N789" s="48"/>
      <c r="O789" s="48"/>
      <c r="P789" s="48"/>
      <c r="Q789" s="25"/>
      <c r="R789" s="25"/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/>
      <c r="L790" s="48"/>
      <c r="M790" s="48"/>
      <c r="N790" s="48"/>
      <c r="O790" s="48"/>
      <c r="P790" s="48"/>
      <c r="Q790" s="25"/>
      <c r="R790" s="25"/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/>
      <c r="L791" s="48"/>
      <c r="M791" s="48"/>
      <c r="N791" s="48"/>
      <c r="O791" s="48"/>
      <c r="P791" s="48"/>
      <c r="Q791" s="25"/>
      <c r="R791" s="25"/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/>
      <c r="L792" s="48"/>
      <c r="M792" s="48"/>
      <c r="N792" s="48"/>
      <c r="O792" s="48"/>
      <c r="P792" s="48"/>
      <c r="Q792" s="25"/>
      <c r="R792" s="25"/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/>
      <c r="L793" s="48"/>
      <c r="M793" s="48"/>
      <c r="N793" s="48"/>
      <c r="O793" s="48"/>
      <c r="P793" s="48"/>
      <c r="Q793" s="25"/>
      <c r="R793" s="25"/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/>
      <c r="L794" s="48"/>
      <c r="M794" s="48"/>
      <c r="N794" s="48"/>
      <c r="O794" s="48"/>
      <c r="P794" s="48"/>
      <c r="Q794" s="25"/>
      <c r="R794" s="25"/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/>
      <c r="L795" s="48"/>
      <c r="M795" s="48"/>
      <c r="N795" s="48"/>
      <c r="O795" s="48"/>
      <c r="P795" s="48"/>
      <c r="Q795" s="25"/>
      <c r="R795" s="25"/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/>
      <c r="L796" s="48"/>
      <c r="M796" s="48"/>
      <c r="N796" s="48"/>
      <c r="O796" s="48"/>
      <c r="P796" s="48"/>
      <c r="Q796" s="25"/>
      <c r="R796" s="25"/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/>
      <c r="L797" s="48"/>
      <c r="M797" s="48"/>
      <c r="N797" s="48"/>
      <c r="O797" s="48"/>
      <c r="P797" s="48"/>
      <c r="Q797" s="25"/>
      <c r="R797" s="25"/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/>
      <c r="L798" s="48"/>
      <c r="M798" s="48"/>
      <c r="N798" s="48"/>
      <c r="O798" s="48"/>
      <c r="P798" s="48"/>
      <c r="Q798" s="25"/>
      <c r="R798" s="25"/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/>
      <c r="L799" s="48"/>
      <c r="M799" s="48"/>
      <c r="N799" s="48"/>
      <c r="O799" s="48"/>
      <c r="P799" s="48"/>
      <c r="Q799" s="25"/>
      <c r="R799" s="25"/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/>
      <c r="L800" s="48"/>
      <c r="M800" s="48"/>
      <c r="N800" s="48"/>
      <c r="O800" s="48"/>
      <c r="P800" s="48"/>
      <c r="Q800" s="25"/>
      <c r="R800" s="25"/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/>
      <c r="L801" s="48"/>
      <c r="M801" s="48"/>
      <c r="N801" s="48"/>
      <c r="O801" s="48"/>
      <c r="P801" s="48"/>
      <c r="Q801" s="25"/>
      <c r="R801" s="25"/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/>
      <c r="L802" s="48"/>
      <c r="M802" s="48"/>
      <c r="N802" s="48"/>
      <c r="O802" s="48"/>
      <c r="P802" s="48"/>
      <c r="Q802" s="25"/>
      <c r="R802" s="25"/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/>
      <c r="L803" s="48"/>
      <c r="M803" s="48"/>
      <c r="N803" s="48"/>
      <c r="O803" s="48"/>
      <c r="P803" s="48"/>
      <c r="Q803" s="25"/>
      <c r="R803" s="25"/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/>
      <c r="L804" s="48"/>
      <c r="M804" s="48"/>
      <c r="N804" s="48"/>
      <c r="O804" s="48"/>
      <c r="P804" s="48"/>
      <c r="Q804" s="25"/>
      <c r="R804" s="25"/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/>
      <c r="L805" s="48"/>
      <c r="M805" s="48"/>
      <c r="N805" s="48"/>
      <c r="O805" s="48"/>
      <c r="P805" s="48"/>
      <c r="Q805" s="25"/>
      <c r="R805" s="25"/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/>
      <c r="L806" s="48"/>
      <c r="M806" s="48"/>
      <c r="N806" s="48"/>
      <c r="O806" s="48"/>
      <c r="P806" s="48"/>
      <c r="Q806" s="25"/>
      <c r="R806" s="25"/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/>
      <c r="L807" s="48"/>
      <c r="M807" s="48"/>
      <c r="N807" s="48"/>
      <c r="O807" s="48"/>
      <c r="P807" s="48"/>
      <c r="Q807" s="25"/>
      <c r="R807" s="25"/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/>
      <c r="L808" s="48"/>
      <c r="M808" s="48"/>
      <c r="N808" s="48"/>
      <c r="O808" s="48"/>
      <c r="P808" s="48"/>
      <c r="Q808" s="25"/>
      <c r="R808" s="25"/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/>
      <c r="L809" s="48"/>
      <c r="M809" s="48"/>
      <c r="N809" s="48"/>
      <c r="O809" s="48"/>
      <c r="P809" s="48"/>
      <c r="Q809" s="25"/>
      <c r="R809" s="25"/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/>
      <c r="L810" s="48"/>
      <c r="M810" s="48"/>
      <c r="N810" s="48"/>
      <c r="O810" s="48"/>
      <c r="P810" s="48"/>
      <c r="Q810" s="25"/>
      <c r="R810" s="25"/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/>
      <c r="L811" s="48"/>
      <c r="M811" s="48"/>
      <c r="N811" s="48"/>
      <c r="O811" s="48"/>
      <c r="P811" s="48"/>
      <c r="Q811" s="25"/>
      <c r="R811" s="25"/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/>
      <c r="L812" s="48"/>
      <c r="M812" s="48"/>
      <c r="N812" s="48"/>
      <c r="O812" s="48"/>
      <c r="P812" s="48"/>
      <c r="Q812" s="25"/>
      <c r="R812" s="25"/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/>
      <c r="L813" s="48"/>
      <c r="M813" s="48"/>
      <c r="N813" s="48"/>
      <c r="O813" s="48"/>
      <c r="P813" s="48"/>
      <c r="Q813" s="25"/>
      <c r="R813" s="25"/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/>
      <c r="L814" s="48"/>
      <c r="M814" s="48"/>
      <c r="N814" s="48"/>
      <c r="O814" s="48"/>
      <c r="P814" s="48"/>
      <c r="Q814" s="25"/>
      <c r="R814" s="25"/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/>
      <c r="L815" s="48"/>
      <c r="M815" s="48"/>
      <c r="N815" s="48"/>
      <c r="O815" s="48"/>
      <c r="P815" s="48"/>
      <c r="Q815" s="25"/>
      <c r="R815" s="25"/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/>
      <c r="L816" s="48"/>
      <c r="M816" s="48"/>
      <c r="N816" s="48"/>
      <c r="O816" s="48"/>
      <c r="P816" s="48"/>
      <c r="Q816" s="25"/>
      <c r="R816" s="25"/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/>
      <c r="L817" s="48"/>
      <c r="M817" s="48"/>
      <c r="N817" s="48"/>
      <c r="O817" s="48"/>
      <c r="P817" s="48"/>
      <c r="Q817" s="25"/>
      <c r="R817" s="25"/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/>
      <c r="L818" s="48"/>
      <c r="M818" s="48"/>
      <c r="N818" s="48"/>
      <c r="O818" s="48"/>
      <c r="P818" s="48"/>
      <c r="Q818" s="25"/>
      <c r="R818" s="25"/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/>
      <c r="L819" s="48"/>
      <c r="M819" s="48"/>
      <c r="N819" s="48"/>
      <c r="O819" s="48"/>
      <c r="P819" s="48"/>
      <c r="Q819" s="25"/>
      <c r="R819" s="25"/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/>
      <c r="L820" s="48"/>
      <c r="M820" s="48"/>
      <c r="N820" s="48"/>
      <c r="O820" s="48"/>
      <c r="P820" s="48"/>
      <c r="Q820" s="25"/>
      <c r="R820" s="25"/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/>
      <c r="L821" s="48"/>
      <c r="M821" s="48"/>
      <c r="N821" s="48"/>
      <c r="O821" s="48"/>
      <c r="P821" s="48"/>
      <c r="Q821" s="25"/>
      <c r="R821" s="25"/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/>
      <c r="L822" s="48"/>
      <c r="M822" s="48"/>
      <c r="N822" s="48"/>
      <c r="O822" s="48"/>
      <c r="P822" s="48"/>
      <c r="Q822" s="25"/>
      <c r="R822" s="25"/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/>
      <c r="L823" s="48"/>
      <c r="M823" s="48"/>
      <c r="N823" s="48"/>
      <c r="O823" s="48"/>
      <c r="P823" s="48"/>
      <c r="Q823" s="25"/>
      <c r="R823" s="25"/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/>
      <c r="L824" s="48"/>
      <c r="M824" s="48"/>
      <c r="N824" s="48"/>
      <c r="O824" s="48"/>
      <c r="P824" s="48"/>
      <c r="Q824" s="25"/>
      <c r="R824" s="25"/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/>
      <c r="L825" s="48"/>
      <c r="M825" s="48"/>
      <c r="N825" s="48"/>
      <c r="O825" s="48"/>
      <c r="P825" s="48"/>
      <c r="Q825" s="25"/>
      <c r="R825" s="25"/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/>
      <c r="L826" s="48"/>
      <c r="M826" s="48"/>
      <c r="N826" s="48"/>
      <c r="O826" s="48"/>
      <c r="P826" s="48"/>
      <c r="Q826" s="25"/>
      <c r="R826" s="25"/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/>
      <c r="L827" s="48"/>
      <c r="M827" s="48"/>
      <c r="N827" s="48"/>
      <c r="O827" s="48"/>
      <c r="P827" s="48"/>
      <c r="Q827" s="25"/>
      <c r="R827" s="25"/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/>
      <c r="L828" s="48"/>
      <c r="M828" s="48"/>
      <c r="N828" s="48"/>
      <c r="O828" s="48"/>
      <c r="P828" s="48"/>
      <c r="Q828" s="25"/>
      <c r="R828" s="25"/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/>
      <c r="L829" s="48"/>
      <c r="M829" s="48"/>
      <c r="N829" s="48"/>
      <c r="O829" s="48"/>
      <c r="P829" s="48"/>
      <c r="Q829" s="25"/>
      <c r="R829" s="25"/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/>
      <c r="L830" s="48"/>
      <c r="M830" s="48"/>
      <c r="N830" s="48"/>
      <c r="O830" s="48"/>
      <c r="P830" s="48"/>
      <c r="Q830" s="25"/>
      <c r="R830" s="25"/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/>
      <c r="L831" s="48"/>
      <c r="M831" s="48"/>
      <c r="N831" s="48"/>
      <c r="O831" s="48"/>
      <c r="P831" s="48"/>
      <c r="Q831" s="25"/>
      <c r="R831" s="25"/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/>
      <c r="L832" s="48"/>
      <c r="M832" s="48"/>
      <c r="N832" s="48"/>
      <c r="O832" s="48"/>
      <c r="P832" s="48"/>
      <c r="Q832" s="25"/>
      <c r="R832" s="25"/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/>
      <c r="L833" s="48"/>
      <c r="M833" s="48"/>
      <c r="N833" s="48"/>
      <c r="O833" s="48"/>
      <c r="P833" s="48"/>
      <c r="Q833" s="25"/>
      <c r="R833" s="25"/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/>
      <c r="L834" s="48"/>
      <c r="M834" s="48"/>
      <c r="N834" s="48"/>
      <c r="O834" s="48"/>
      <c r="P834" s="48"/>
      <c r="Q834" s="25"/>
      <c r="R834" s="25"/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/>
      <c r="L835" s="48"/>
      <c r="M835" s="48"/>
      <c r="N835" s="48"/>
      <c r="O835" s="48"/>
      <c r="P835" s="48"/>
      <c r="Q835" s="25"/>
      <c r="R835" s="25"/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/>
      <c r="L836" s="48"/>
      <c r="M836" s="48"/>
      <c r="N836" s="48"/>
      <c r="O836" s="48"/>
      <c r="P836" s="48"/>
      <c r="Q836" s="25"/>
      <c r="R836" s="25"/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/>
      <c r="L837" s="48"/>
      <c r="M837" s="48"/>
      <c r="N837" s="48"/>
      <c r="O837" s="48"/>
      <c r="P837" s="48"/>
      <c r="Q837" s="25"/>
      <c r="R837" s="25"/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/>
      <c r="L838" s="48"/>
      <c r="M838" s="48"/>
      <c r="N838" s="48"/>
      <c r="O838" s="48"/>
      <c r="P838" s="48"/>
      <c r="Q838" s="25"/>
      <c r="R838" s="25"/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/>
      <c r="L839" s="48"/>
      <c r="M839" s="48"/>
      <c r="N839" s="48"/>
      <c r="O839" s="48"/>
      <c r="P839" s="48"/>
      <c r="Q839" s="25"/>
      <c r="R839" s="25"/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/>
      <c r="L840" s="48"/>
      <c r="M840" s="48"/>
      <c r="N840" s="48"/>
      <c r="O840" s="48"/>
      <c r="P840" s="48"/>
      <c r="Q840" s="25"/>
      <c r="R840" s="25"/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/>
      <c r="L841" s="48"/>
      <c r="M841" s="48"/>
      <c r="N841" s="48"/>
      <c r="O841" s="48"/>
      <c r="P841" s="48"/>
      <c r="Q841" s="25"/>
      <c r="R841" s="25"/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/>
      <c r="L842" s="48"/>
      <c r="M842" s="48"/>
      <c r="N842" s="48"/>
      <c r="O842" s="48"/>
      <c r="P842" s="48"/>
      <c r="Q842" s="25"/>
      <c r="R842" s="25"/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/>
      <c r="L843" s="48"/>
      <c r="M843" s="48"/>
      <c r="N843" s="48"/>
      <c r="O843" s="48"/>
      <c r="P843" s="48"/>
      <c r="Q843" s="25"/>
      <c r="R843" s="25"/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/>
      <c r="L844" s="48"/>
      <c r="M844" s="48"/>
      <c r="N844" s="48"/>
      <c r="O844" s="48"/>
      <c r="P844" s="48"/>
      <c r="Q844" s="25"/>
      <c r="R844" s="25"/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/>
      <c r="L845" s="48"/>
      <c r="M845" s="48"/>
      <c r="N845" s="48"/>
      <c r="O845" s="48"/>
      <c r="P845" s="48"/>
      <c r="Q845" s="25"/>
      <c r="R845" s="25"/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/>
      <c r="L846" s="48"/>
      <c r="M846" s="48"/>
      <c r="N846" s="48"/>
      <c r="O846" s="48"/>
      <c r="P846" s="48"/>
      <c r="Q846" s="25"/>
      <c r="R846" s="25"/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/>
      <c r="L847" s="48"/>
      <c r="M847" s="48"/>
      <c r="N847" s="48"/>
      <c r="O847" s="48"/>
      <c r="P847" s="48"/>
      <c r="Q847" s="25"/>
      <c r="R847" s="25"/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/>
      <c r="L848" s="48"/>
      <c r="M848" s="48"/>
      <c r="N848" s="48"/>
      <c r="O848" s="48"/>
      <c r="P848" s="48"/>
      <c r="Q848" s="25"/>
      <c r="R848" s="25"/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/>
      <c r="L849" s="48"/>
      <c r="M849" s="48"/>
      <c r="N849" s="48"/>
      <c r="O849" s="48"/>
      <c r="P849" s="48"/>
      <c r="Q849" s="25"/>
      <c r="R849" s="25"/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/>
      <c r="L850" s="48"/>
      <c r="M850" s="48"/>
      <c r="N850" s="48"/>
      <c r="O850" s="48"/>
      <c r="P850" s="48"/>
      <c r="Q850" s="25"/>
      <c r="R850" s="25"/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/>
      <c r="L851" s="48"/>
      <c r="M851" s="48"/>
      <c r="N851" s="48"/>
      <c r="O851" s="48"/>
      <c r="P851" s="48"/>
      <c r="Q851" s="25"/>
      <c r="R851" s="25"/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/>
      <c r="L852" s="48"/>
      <c r="M852" s="48"/>
      <c r="N852" s="48"/>
      <c r="O852" s="48"/>
      <c r="P852" s="48"/>
      <c r="Q852" s="25"/>
      <c r="R852" s="25"/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/>
      <c r="L853" s="48"/>
      <c r="M853" s="48"/>
      <c r="N853" s="48"/>
      <c r="O853" s="48"/>
      <c r="P853" s="48"/>
      <c r="Q853" s="25"/>
      <c r="R853" s="25"/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/>
      <c r="L854" s="48"/>
      <c r="M854" s="48"/>
      <c r="N854" s="48"/>
      <c r="O854" s="48"/>
      <c r="P854" s="48"/>
      <c r="Q854" s="25"/>
      <c r="R854" s="25"/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/>
      <c r="L855" s="48"/>
      <c r="M855" s="48"/>
      <c r="N855" s="48"/>
      <c r="O855" s="48"/>
      <c r="P855" s="48"/>
      <c r="Q855" s="25"/>
      <c r="R855" s="25"/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/>
      <c r="L856" s="48"/>
      <c r="M856" s="48"/>
      <c r="N856" s="48"/>
      <c r="O856" s="48"/>
      <c r="P856" s="48"/>
      <c r="Q856" s="25"/>
      <c r="R856" s="25"/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/>
      <c r="L857" s="48"/>
      <c r="M857" s="48"/>
      <c r="N857" s="48"/>
      <c r="O857" s="48"/>
      <c r="P857" s="48"/>
      <c r="Q857" s="25"/>
      <c r="R857" s="25"/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/>
      <c r="L858" s="48"/>
      <c r="M858" s="48"/>
      <c r="N858" s="48"/>
      <c r="O858" s="48"/>
      <c r="P858" s="48"/>
      <c r="Q858" s="25"/>
      <c r="R858" s="25"/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/>
      <c r="L859" s="48"/>
      <c r="M859" s="48"/>
      <c r="N859" s="48"/>
      <c r="O859" s="48"/>
      <c r="P859" s="48"/>
      <c r="Q859" s="25"/>
      <c r="R859" s="25"/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/>
      <c r="L860" s="48"/>
      <c r="M860" s="48"/>
      <c r="N860" s="48"/>
      <c r="O860" s="48"/>
      <c r="P860" s="48"/>
      <c r="Q860" s="25"/>
      <c r="R860" s="25"/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/>
      <c r="L861" s="48"/>
      <c r="M861" s="48"/>
      <c r="N861" s="48"/>
      <c r="O861" s="48"/>
      <c r="P861" s="48"/>
      <c r="Q861" s="25"/>
      <c r="R861" s="25"/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/>
      <c r="L862" s="48"/>
      <c r="M862" s="48"/>
      <c r="N862" s="48"/>
      <c r="O862" s="48"/>
      <c r="P862" s="48"/>
      <c r="Q862" s="25"/>
      <c r="R862" s="25"/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/>
      <c r="L863" s="48"/>
      <c r="M863" s="48"/>
      <c r="N863" s="48"/>
      <c r="O863" s="48"/>
      <c r="P863" s="48"/>
      <c r="Q863" s="25"/>
      <c r="R863" s="25"/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/>
      <c r="L864" s="48"/>
      <c r="M864" s="48"/>
      <c r="N864" s="48"/>
      <c r="O864" s="48"/>
      <c r="P864" s="48"/>
      <c r="Q864" s="25"/>
      <c r="R864" s="25"/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/>
      <c r="L865" s="48"/>
      <c r="M865" s="48"/>
      <c r="N865" s="48"/>
      <c r="O865" s="48"/>
      <c r="P865" s="48"/>
      <c r="Q865" s="25"/>
      <c r="R865" s="25"/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/>
      <c r="L866" s="48"/>
      <c r="M866" s="48"/>
      <c r="N866" s="48"/>
      <c r="O866" s="48"/>
      <c r="P866" s="48"/>
      <c r="Q866" s="25"/>
      <c r="R866" s="25"/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/>
      <c r="L867" s="48"/>
      <c r="M867" s="48"/>
      <c r="N867" s="48"/>
      <c r="O867" s="48"/>
      <c r="P867" s="48"/>
      <c r="Q867" s="25"/>
      <c r="R867" s="25"/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/>
      <c r="L868" s="48"/>
      <c r="M868" s="48"/>
      <c r="N868" s="48"/>
      <c r="O868" s="48"/>
      <c r="P868" s="48"/>
      <c r="Q868" s="25"/>
      <c r="R868" s="25"/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/>
      <c r="L869" s="48"/>
      <c r="M869" s="48"/>
      <c r="N869" s="48"/>
      <c r="O869" s="48"/>
      <c r="P869" s="48"/>
      <c r="Q869" s="25"/>
      <c r="R869" s="25"/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/>
      <c r="L870" s="48"/>
      <c r="M870" s="48"/>
      <c r="N870" s="48"/>
      <c r="O870" s="48"/>
      <c r="P870" s="48"/>
      <c r="Q870" s="25"/>
      <c r="R870" s="25"/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/>
      <c r="L871" s="48"/>
      <c r="M871" s="48"/>
      <c r="N871" s="48"/>
      <c r="O871" s="48"/>
      <c r="P871" s="48"/>
      <c r="Q871" s="25"/>
      <c r="R871" s="25"/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/>
      <c r="L872" s="48"/>
      <c r="M872" s="48"/>
      <c r="N872" s="48"/>
      <c r="O872" s="48"/>
      <c r="P872" s="48"/>
      <c r="Q872" s="25"/>
      <c r="R872" s="25"/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/>
      <c r="L873" s="48"/>
      <c r="M873" s="48"/>
      <c r="N873" s="48"/>
      <c r="O873" s="48"/>
      <c r="P873" s="48"/>
      <c r="Q873" s="25"/>
      <c r="R873" s="25"/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/>
      <c r="L874" s="48"/>
      <c r="M874" s="48"/>
      <c r="N874" s="48"/>
      <c r="O874" s="48"/>
      <c r="P874" s="48"/>
      <c r="Q874" s="25"/>
      <c r="R874" s="25"/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/>
      <c r="L875" s="48"/>
      <c r="M875" s="48"/>
      <c r="N875" s="48"/>
      <c r="O875" s="48"/>
      <c r="P875" s="48"/>
      <c r="Q875" s="25"/>
      <c r="R875" s="25"/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/>
      <c r="L876" s="48"/>
      <c r="M876" s="48"/>
      <c r="N876" s="48"/>
      <c r="O876" s="48"/>
      <c r="P876" s="48"/>
      <c r="Q876" s="25"/>
      <c r="R876" s="25"/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/>
      <c r="L877" s="48"/>
      <c r="M877" s="48"/>
      <c r="N877" s="48"/>
      <c r="O877" s="48"/>
      <c r="P877" s="48"/>
      <c r="Q877" s="25"/>
      <c r="R877" s="25"/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/>
      <c r="L878" s="48"/>
      <c r="M878" s="48"/>
      <c r="N878" s="48"/>
      <c r="O878" s="48"/>
      <c r="P878" s="48"/>
      <c r="Q878" s="25"/>
      <c r="R878" s="25"/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/>
      <c r="L879" s="48"/>
      <c r="M879" s="48"/>
      <c r="N879" s="48"/>
      <c r="O879" s="48"/>
      <c r="P879" s="48"/>
      <c r="Q879" s="25"/>
      <c r="R879" s="25"/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/>
      <c r="L880" s="48"/>
      <c r="M880" s="48"/>
      <c r="N880" s="48"/>
      <c r="O880" s="48"/>
      <c r="P880" s="48"/>
      <c r="Q880" s="25"/>
      <c r="R880" s="25"/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/>
      <c r="L881" s="48"/>
      <c r="M881" s="48"/>
      <c r="N881" s="48"/>
      <c r="O881" s="48"/>
      <c r="P881" s="48"/>
      <c r="Q881" s="25"/>
      <c r="R881" s="25"/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/>
      <c r="L882" s="48"/>
      <c r="M882" s="48"/>
      <c r="N882" s="48"/>
      <c r="O882" s="48"/>
      <c r="P882" s="48"/>
      <c r="Q882" s="25"/>
      <c r="R882" s="25"/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/>
      <c r="L883" s="48"/>
      <c r="M883" s="48"/>
      <c r="N883" s="48"/>
      <c r="O883" s="48"/>
      <c r="P883" s="48"/>
      <c r="Q883" s="25"/>
      <c r="R883" s="25"/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/>
      <c r="L884" s="48"/>
      <c r="M884" s="48"/>
      <c r="N884" s="48"/>
      <c r="O884" s="48"/>
      <c r="P884" s="48"/>
      <c r="Q884" s="25"/>
      <c r="R884" s="25"/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/>
      <c r="L885" s="48"/>
      <c r="M885" s="48"/>
      <c r="N885" s="48"/>
      <c r="O885" s="48"/>
      <c r="P885" s="48"/>
      <c r="Q885" s="25"/>
      <c r="R885" s="25"/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/>
      <c r="L886" s="48"/>
      <c r="M886" s="48"/>
      <c r="N886" s="48"/>
      <c r="O886" s="48"/>
      <c r="P886" s="48"/>
      <c r="Q886" s="25"/>
      <c r="R886" s="25"/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/>
      <c r="L887" s="48"/>
      <c r="M887" s="48"/>
      <c r="N887" s="48"/>
      <c r="O887" s="48"/>
      <c r="P887" s="48"/>
      <c r="Q887" s="25"/>
      <c r="R887" s="25"/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/>
      <c r="L888" s="48"/>
      <c r="M888" s="48"/>
      <c r="N888" s="48"/>
      <c r="O888" s="48"/>
      <c r="P888" s="48"/>
      <c r="Q888" s="25"/>
      <c r="R888" s="25"/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/>
      <c r="L889" s="48"/>
      <c r="M889" s="48"/>
      <c r="N889" s="48"/>
      <c r="O889" s="48"/>
      <c r="P889" s="48"/>
      <c r="Q889" s="25"/>
      <c r="R889" s="25"/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/>
      <c r="L890" s="48"/>
      <c r="M890" s="48"/>
      <c r="N890" s="48"/>
      <c r="O890" s="48"/>
      <c r="P890" s="48"/>
      <c r="Q890" s="25"/>
      <c r="R890" s="25"/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/>
      <c r="L891" s="48"/>
      <c r="M891" s="48"/>
      <c r="N891" s="48"/>
      <c r="O891" s="48"/>
      <c r="P891" s="48"/>
      <c r="Q891" s="25"/>
      <c r="R891" s="25"/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/>
      <c r="L892" s="48"/>
      <c r="M892" s="48"/>
      <c r="N892" s="48"/>
      <c r="O892" s="48"/>
      <c r="P892" s="48"/>
      <c r="Q892" s="25"/>
      <c r="R892" s="25"/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/>
      <c r="L893" s="48"/>
      <c r="M893" s="48"/>
      <c r="N893" s="48"/>
      <c r="O893" s="48"/>
      <c r="P893" s="48"/>
      <c r="Q893" s="25"/>
      <c r="R893" s="25"/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/>
      <c r="L894" s="48"/>
      <c r="M894" s="48"/>
      <c r="N894" s="48"/>
      <c r="O894" s="48"/>
      <c r="P894" s="48"/>
      <c r="Q894" s="25"/>
      <c r="R894" s="25"/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/>
      <c r="L895" s="48"/>
      <c r="M895" s="48"/>
      <c r="N895" s="48"/>
      <c r="O895" s="48"/>
      <c r="P895" s="48"/>
      <c r="Q895" s="25"/>
      <c r="R895" s="25"/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/>
      <c r="L896" s="48"/>
      <c r="M896" s="48"/>
      <c r="N896" s="48"/>
      <c r="O896" s="48"/>
      <c r="P896" s="48"/>
      <c r="Q896" s="25"/>
      <c r="R896" s="25"/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/>
      <c r="L897" s="48"/>
      <c r="M897" s="48"/>
      <c r="N897" s="48"/>
      <c r="O897" s="48"/>
      <c r="P897" s="48"/>
      <c r="Q897" s="25"/>
      <c r="R897" s="25"/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/>
      <c r="L898" s="48"/>
      <c r="M898" s="48"/>
      <c r="N898" s="48"/>
      <c r="O898" s="48"/>
      <c r="P898" s="48"/>
      <c r="Q898" s="25"/>
      <c r="R898" s="25"/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/>
      <c r="L899" s="48"/>
      <c r="M899" s="48"/>
      <c r="N899" s="48"/>
      <c r="O899" s="48"/>
      <c r="P899" s="48"/>
      <c r="Q899" s="25"/>
      <c r="R899" s="25"/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/>
      <c r="L900" s="48"/>
      <c r="M900" s="48"/>
      <c r="N900" s="48"/>
      <c r="O900" s="48"/>
      <c r="P900" s="48"/>
      <c r="Q900" s="25"/>
      <c r="R900" s="25"/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/>
      <c r="L901" s="48"/>
      <c r="M901" s="48"/>
      <c r="N901" s="48"/>
      <c r="O901" s="48"/>
      <c r="P901" s="48"/>
      <c r="Q901" s="25"/>
      <c r="R901" s="25"/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/>
      <c r="L902" s="48"/>
      <c r="M902" s="48"/>
      <c r="N902" s="48"/>
      <c r="O902" s="48"/>
      <c r="P902" s="48"/>
      <c r="Q902" s="25"/>
      <c r="R902" s="25"/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/>
      <c r="L903" s="48"/>
      <c r="M903" s="48"/>
      <c r="N903" s="48"/>
      <c r="O903" s="48"/>
      <c r="P903" s="48"/>
      <c r="Q903" s="25"/>
      <c r="R903" s="25"/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/>
      <c r="L904" s="48"/>
      <c r="M904" s="48"/>
      <c r="N904" s="48"/>
      <c r="O904" s="48"/>
      <c r="P904" s="48"/>
      <c r="Q904" s="25"/>
      <c r="R904" s="25"/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/>
      <c r="L905" s="48"/>
      <c r="M905" s="48"/>
      <c r="N905" s="48"/>
      <c r="O905" s="48"/>
      <c r="P905" s="48"/>
      <c r="Q905" s="25"/>
      <c r="R905" s="25"/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/>
      <c r="L906" s="48"/>
      <c r="M906" s="48"/>
      <c r="N906" s="48"/>
      <c r="O906" s="48"/>
      <c r="P906" s="48"/>
      <c r="Q906" s="25"/>
      <c r="R906" s="25"/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/>
      <c r="L907" s="48"/>
      <c r="M907" s="48"/>
      <c r="N907" s="48"/>
      <c r="O907" s="48"/>
      <c r="P907" s="48"/>
      <c r="Q907" s="25"/>
      <c r="R907" s="25"/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/>
      <c r="L908" s="48"/>
      <c r="M908" s="48"/>
      <c r="N908" s="48"/>
      <c r="O908" s="48"/>
      <c r="P908" s="48"/>
      <c r="Q908" s="25"/>
      <c r="R908" s="25"/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/>
      <c r="L909" s="48"/>
      <c r="M909" s="48"/>
      <c r="N909" s="48"/>
      <c r="O909" s="48"/>
      <c r="P909" s="48"/>
      <c r="Q909" s="25"/>
      <c r="R909" s="25"/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/>
      <c r="L910" s="48"/>
      <c r="M910" s="48"/>
      <c r="N910" s="48"/>
      <c r="O910" s="48"/>
      <c r="P910" s="48"/>
      <c r="Q910" s="25"/>
      <c r="R910" s="25"/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/>
      <c r="L911" s="48"/>
      <c r="M911" s="48"/>
      <c r="N911" s="48"/>
      <c r="O911" s="48"/>
      <c r="P911" s="48"/>
      <c r="Q911" s="25"/>
      <c r="R911" s="25"/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/>
      <c r="L912" s="48"/>
      <c r="M912" s="48"/>
      <c r="N912" s="48"/>
      <c r="O912" s="48"/>
      <c r="P912" s="48"/>
      <c r="Q912" s="25"/>
      <c r="R912" s="25"/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/>
      <c r="L913" s="48"/>
      <c r="M913" s="48"/>
      <c r="N913" s="48"/>
      <c r="O913" s="48"/>
      <c r="P913" s="48"/>
      <c r="Q913" s="25"/>
      <c r="R913" s="25"/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/>
      <c r="L914" s="48"/>
      <c r="M914" s="48"/>
      <c r="N914" s="48"/>
      <c r="O914" s="48"/>
      <c r="P914" s="48"/>
      <c r="Q914" s="25"/>
      <c r="R914" s="25"/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/>
      <c r="L915" s="48"/>
      <c r="M915" s="48"/>
      <c r="N915" s="48"/>
      <c r="O915" s="48"/>
      <c r="P915" s="48"/>
      <c r="Q915" s="25"/>
      <c r="R915" s="25"/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/>
      <c r="L916" s="48"/>
      <c r="M916" s="48"/>
      <c r="N916" s="48"/>
      <c r="O916" s="48"/>
      <c r="P916" s="48"/>
      <c r="Q916" s="25"/>
      <c r="R916" s="25"/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/>
      <c r="L917" s="48"/>
      <c r="M917" s="48"/>
      <c r="N917" s="48"/>
      <c r="O917" s="48"/>
      <c r="P917" s="48"/>
      <c r="Q917" s="25"/>
      <c r="R917" s="25"/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/>
      <c r="L918" s="48"/>
      <c r="M918" s="48"/>
      <c r="N918" s="48"/>
      <c r="O918" s="48"/>
      <c r="P918" s="48"/>
      <c r="Q918" s="25"/>
      <c r="R918" s="25"/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/>
      <c r="L919" s="48"/>
      <c r="M919" s="48"/>
      <c r="N919" s="48"/>
      <c r="O919" s="48"/>
      <c r="P919" s="48"/>
      <c r="Q919" s="25"/>
      <c r="R919" s="25"/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/>
      <c r="L920" s="48"/>
      <c r="M920" s="48"/>
      <c r="N920" s="48"/>
      <c r="O920" s="48"/>
      <c r="P920" s="48"/>
      <c r="Q920" s="25"/>
      <c r="R920" s="25"/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/>
      <c r="L921" s="48"/>
      <c r="M921" s="48"/>
      <c r="N921" s="48"/>
      <c r="O921" s="48"/>
      <c r="P921" s="48"/>
      <c r="Q921" s="25"/>
      <c r="R921" s="25"/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/>
      <c r="L922" s="48"/>
      <c r="M922" s="48"/>
      <c r="N922" s="48"/>
      <c r="O922" s="48"/>
      <c r="P922" s="48"/>
      <c r="Q922" s="25"/>
      <c r="R922" s="25"/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/>
      <c r="L923" s="48"/>
      <c r="M923" s="48"/>
      <c r="N923" s="48"/>
      <c r="O923" s="48"/>
      <c r="P923" s="48"/>
      <c r="Q923" s="25"/>
      <c r="R923" s="25"/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/>
      <c r="L924" s="48"/>
      <c r="M924" s="48"/>
      <c r="N924" s="48"/>
      <c r="O924" s="48"/>
      <c r="P924" s="48"/>
      <c r="Q924" s="25"/>
      <c r="R924" s="25"/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/>
      <c r="L925" s="48"/>
      <c r="M925" s="48"/>
      <c r="N925" s="48"/>
      <c r="O925" s="48"/>
      <c r="P925" s="48"/>
      <c r="Q925" s="25"/>
      <c r="R925" s="25"/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/>
      <c r="L926" s="48"/>
      <c r="M926" s="48"/>
      <c r="N926" s="48"/>
      <c r="O926" s="48"/>
      <c r="P926" s="48"/>
      <c r="Q926" s="25"/>
      <c r="R926" s="25"/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/>
      <c r="L927" s="48"/>
      <c r="M927" s="48"/>
      <c r="N927" s="48"/>
      <c r="O927" s="48"/>
      <c r="P927" s="48"/>
      <c r="Q927" s="25"/>
      <c r="R927" s="25"/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/>
      <c r="L928" s="48"/>
      <c r="M928" s="48"/>
      <c r="N928" s="48"/>
      <c r="O928" s="48"/>
      <c r="P928" s="48"/>
      <c r="Q928" s="25"/>
      <c r="R928" s="25"/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/>
      <c r="L929" s="48"/>
      <c r="M929" s="48"/>
      <c r="N929" s="48"/>
      <c r="O929" s="48"/>
      <c r="P929" s="48"/>
      <c r="Q929" s="25"/>
      <c r="R929" s="25"/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/>
      <c r="L930" s="48"/>
      <c r="M930" s="48"/>
      <c r="N930" s="48"/>
      <c r="O930" s="48"/>
      <c r="P930" s="48"/>
      <c r="Q930" s="25"/>
      <c r="R930" s="25"/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/>
      <c r="L931" s="48"/>
      <c r="M931" s="48"/>
      <c r="N931" s="48"/>
      <c r="O931" s="48"/>
      <c r="P931" s="48"/>
      <c r="Q931" s="25"/>
      <c r="R931" s="25"/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/>
      <c r="L932" s="48"/>
      <c r="M932" s="48"/>
      <c r="N932" s="48"/>
      <c r="O932" s="48"/>
      <c r="P932" s="48"/>
      <c r="Q932" s="25"/>
      <c r="R932" s="25"/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/>
      <c r="L933" s="48"/>
      <c r="M933" s="48"/>
      <c r="N933" s="48"/>
      <c r="O933" s="48"/>
      <c r="P933" s="48"/>
      <c r="Q933" s="25"/>
      <c r="R933" s="25"/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/>
      <c r="L934" s="48"/>
      <c r="M934" s="48"/>
      <c r="N934" s="48"/>
      <c r="O934" s="48"/>
      <c r="P934" s="48"/>
      <c r="Q934" s="25"/>
      <c r="R934" s="25"/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/>
      <c r="L935" s="48"/>
      <c r="M935" s="48"/>
      <c r="N935" s="48"/>
      <c r="O935" s="48"/>
      <c r="P935" s="48"/>
      <c r="Q935" s="25"/>
      <c r="R935" s="25"/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/>
      <c r="L936" s="48"/>
      <c r="M936" s="48"/>
      <c r="N936" s="48"/>
      <c r="O936" s="48"/>
      <c r="P936" s="48"/>
      <c r="Q936" s="25"/>
      <c r="R936" s="25"/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/>
      <c r="L937" s="48"/>
      <c r="M937" s="48"/>
      <c r="N937" s="48"/>
      <c r="O937" s="48"/>
      <c r="P937" s="48"/>
      <c r="Q937" s="25"/>
      <c r="R937" s="25"/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/>
      <c r="L938" s="48"/>
      <c r="M938" s="48"/>
      <c r="N938" s="48"/>
      <c r="O938" s="48"/>
      <c r="P938" s="48"/>
      <c r="Q938" s="25"/>
      <c r="R938" s="25"/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/>
      <c r="L939" s="48"/>
      <c r="M939" s="48"/>
      <c r="N939" s="48"/>
      <c r="O939" s="48"/>
      <c r="P939" s="48"/>
      <c r="Q939" s="25"/>
      <c r="R939" s="25"/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/>
      <c r="L940" s="48"/>
      <c r="M940" s="48"/>
      <c r="N940" s="48"/>
      <c r="O940" s="48"/>
      <c r="P940" s="48"/>
      <c r="Q940" s="25"/>
      <c r="R940" s="25"/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/>
      <c r="L941" s="48"/>
      <c r="M941" s="48"/>
      <c r="N941" s="48"/>
      <c r="O941" s="48"/>
      <c r="P941" s="48"/>
      <c r="Q941" s="25"/>
      <c r="R941" s="25"/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/>
      <c r="L942" s="48"/>
      <c r="M942" s="48"/>
      <c r="N942" s="48"/>
      <c r="O942" s="48"/>
      <c r="P942" s="48"/>
      <c r="Q942" s="25"/>
      <c r="R942" s="25"/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/>
      <c r="L943" s="48"/>
      <c r="M943" s="48"/>
      <c r="N943" s="48"/>
      <c r="O943" s="48"/>
      <c r="P943" s="48"/>
      <c r="Q943" s="25"/>
      <c r="R943" s="25"/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/>
      <c r="L944" s="48"/>
      <c r="M944" s="48"/>
      <c r="N944" s="48"/>
      <c r="O944" s="48"/>
      <c r="P944" s="48"/>
      <c r="Q944" s="25"/>
      <c r="R944" s="25"/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/>
      <c r="L945" s="48"/>
      <c r="M945" s="48"/>
      <c r="N945" s="48"/>
      <c r="O945" s="48"/>
      <c r="P945" s="48"/>
      <c r="Q945" s="25"/>
      <c r="R945" s="25"/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/>
      <c r="L946" s="48"/>
      <c r="M946" s="48"/>
      <c r="N946" s="48"/>
      <c r="O946" s="48"/>
      <c r="P946" s="48"/>
      <c r="Q946" s="25"/>
      <c r="R946" s="25"/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/>
      <c r="L947" s="48"/>
      <c r="M947" s="48"/>
      <c r="N947" s="48"/>
      <c r="O947" s="48"/>
      <c r="P947" s="48"/>
      <c r="Q947" s="25"/>
      <c r="R947" s="25"/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/>
      <c r="L948" s="48"/>
      <c r="M948" s="48"/>
      <c r="N948" s="48"/>
      <c r="O948" s="48"/>
      <c r="P948" s="48"/>
      <c r="Q948" s="25"/>
      <c r="R948" s="25"/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/>
      <c r="L949" s="48"/>
      <c r="M949" s="48"/>
      <c r="N949" s="48"/>
      <c r="O949" s="48"/>
      <c r="P949" s="48"/>
      <c r="Q949" s="25"/>
      <c r="R949" s="25"/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/>
      <c r="L950" s="48"/>
      <c r="M950" s="48"/>
      <c r="N950" s="48"/>
      <c r="O950" s="48"/>
      <c r="P950" s="48"/>
      <c r="Q950" s="25"/>
      <c r="R950" s="25"/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/>
      <c r="L951" s="48"/>
      <c r="M951" s="48"/>
      <c r="N951" s="48"/>
      <c r="O951" s="48"/>
      <c r="P951" s="48"/>
      <c r="Q951" s="25"/>
      <c r="R951" s="25"/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/>
      <c r="L952" s="48"/>
      <c r="M952" s="48"/>
      <c r="N952" s="48"/>
      <c r="O952" s="48"/>
      <c r="P952" s="48"/>
      <c r="Q952" s="25"/>
      <c r="R952" s="25"/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/>
      <c r="L953" s="48"/>
      <c r="M953" s="48"/>
      <c r="N953" s="48"/>
      <c r="O953" s="48"/>
      <c r="P953" s="48"/>
      <c r="Q953" s="25"/>
      <c r="R953" s="25"/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/>
      <c r="L954" s="48"/>
      <c r="M954" s="48"/>
      <c r="N954" s="48"/>
      <c r="O954" s="48"/>
      <c r="P954" s="48"/>
      <c r="Q954" s="25"/>
      <c r="R954" s="25"/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/>
      <c r="L955" s="48"/>
      <c r="M955" s="48"/>
      <c r="N955" s="48"/>
      <c r="O955" s="48"/>
      <c r="P955" s="48"/>
      <c r="Q955" s="25"/>
      <c r="R955" s="25"/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/>
      <c r="L956" s="48"/>
      <c r="M956" s="48"/>
      <c r="N956" s="48"/>
      <c r="O956" s="48"/>
      <c r="P956" s="48"/>
      <c r="Q956" s="25"/>
      <c r="R956" s="25"/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/>
      <c r="L957" s="48"/>
      <c r="M957" s="48"/>
      <c r="N957" s="48"/>
      <c r="O957" s="48"/>
      <c r="P957" s="48"/>
      <c r="Q957" s="25"/>
      <c r="R957" s="25"/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/>
      <c r="L958" s="48"/>
      <c r="M958" s="48"/>
      <c r="N958" s="48"/>
      <c r="O958" s="48"/>
      <c r="P958" s="48"/>
      <c r="Q958" s="25"/>
      <c r="R958" s="25"/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/>
      <c r="L959" s="48"/>
      <c r="M959" s="48"/>
      <c r="N959" s="48"/>
      <c r="O959" s="48"/>
      <c r="P959" s="48"/>
      <c r="Q959" s="25"/>
      <c r="R959" s="25"/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/>
      <c r="L960" s="48"/>
      <c r="M960" s="48"/>
      <c r="N960" s="48"/>
      <c r="O960" s="48"/>
      <c r="P960" s="48"/>
      <c r="Q960" s="25"/>
      <c r="R960" s="25"/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/>
      <c r="L961" s="48"/>
      <c r="M961" s="48"/>
      <c r="N961" s="48"/>
      <c r="O961" s="48"/>
      <c r="P961" s="48"/>
      <c r="Q961" s="25"/>
      <c r="R961" s="25"/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/>
      <c r="L962" s="48"/>
      <c r="M962" s="48"/>
      <c r="N962" s="48"/>
      <c r="O962" s="48"/>
      <c r="P962" s="48"/>
      <c r="Q962" s="25"/>
      <c r="R962" s="25"/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/>
      <c r="L963" s="48"/>
      <c r="M963" s="48"/>
      <c r="N963" s="48"/>
      <c r="O963" s="48"/>
      <c r="P963" s="48"/>
      <c r="Q963" s="25"/>
      <c r="R963" s="25"/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/>
      <c r="L964" s="48"/>
      <c r="M964" s="48"/>
      <c r="N964" s="48"/>
      <c r="O964" s="48"/>
      <c r="P964" s="48"/>
      <c r="Q964" s="25"/>
      <c r="R964" s="25"/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/>
      <c r="L965" s="48"/>
      <c r="M965" s="48"/>
      <c r="N965" s="48"/>
      <c r="O965" s="48"/>
      <c r="P965" s="48"/>
      <c r="Q965" s="25"/>
      <c r="R965" s="25"/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/>
      <c r="L966" s="48"/>
      <c r="M966" s="48"/>
      <c r="N966" s="48"/>
      <c r="O966" s="48"/>
      <c r="P966" s="48"/>
      <c r="Q966" s="25"/>
      <c r="R966" s="25"/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/>
      <c r="L967" s="48"/>
      <c r="M967" s="48"/>
      <c r="N967" s="48"/>
      <c r="O967" s="48"/>
      <c r="P967" s="48"/>
      <c r="Q967" s="25"/>
      <c r="R967" s="25"/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/>
      <c r="L968" s="48"/>
      <c r="M968" s="48"/>
      <c r="N968" s="48"/>
      <c r="O968" s="48"/>
      <c r="P968" s="48"/>
      <c r="Q968" s="25"/>
      <c r="R968" s="25"/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/>
      <c r="L969" s="48"/>
      <c r="M969" s="48"/>
      <c r="N969" s="48"/>
      <c r="O969" s="48"/>
      <c r="P969" s="48"/>
      <c r="Q969" s="25"/>
      <c r="R969" s="25"/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/>
      <c r="L970" s="48"/>
      <c r="M970" s="48"/>
      <c r="N970" s="48"/>
      <c r="O970" s="48"/>
      <c r="P970" s="48"/>
      <c r="Q970" s="25"/>
      <c r="R970" s="25"/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/>
      <c r="L971" s="48"/>
      <c r="M971" s="48"/>
      <c r="N971" s="48"/>
      <c r="O971" s="48"/>
      <c r="P971" s="48"/>
      <c r="Q971" s="25"/>
      <c r="R971" s="25"/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/>
      <c r="L972" s="48"/>
      <c r="M972" s="48"/>
      <c r="N972" s="48"/>
      <c r="O972" s="48"/>
      <c r="P972" s="48"/>
      <c r="Q972" s="25"/>
      <c r="R972" s="25"/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/>
      <c r="L973" s="48"/>
      <c r="M973" s="48"/>
      <c r="N973" s="48"/>
      <c r="O973" s="48"/>
      <c r="P973" s="48"/>
      <c r="Q973" s="25"/>
      <c r="R973" s="25"/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/>
      <c r="L974" s="48"/>
      <c r="M974" s="48"/>
      <c r="N974" s="48"/>
      <c r="O974" s="48"/>
      <c r="P974" s="48"/>
      <c r="Q974" s="25"/>
      <c r="R974" s="25"/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/>
      <c r="L975" s="48"/>
      <c r="M975" s="48"/>
      <c r="N975" s="48"/>
      <c r="O975" s="48"/>
      <c r="P975" s="48"/>
      <c r="Q975" s="25"/>
      <c r="R975" s="25"/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/>
      <c r="L976" s="48"/>
      <c r="M976" s="48"/>
      <c r="N976" s="48"/>
      <c r="O976" s="48"/>
      <c r="P976" s="48"/>
      <c r="Q976" s="25"/>
      <c r="R976" s="25"/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/>
      <c r="L977" s="48"/>
      <c r="M977" s="48"/>
      <c r="N977" s="48"/>
      <c r="O977" s="48"/>
      <c r="P977" s="48"/>
      <c r="Q977" s="25"/>
      <c r="R977" s="25"/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/>
      <c r="L978" s="48"/>
      <c r="M978" s="48"/>
      <c r="N978" s="48"/>
      <c r="O978" s="48"/>
      <c r="P978" s="48"/>
      <c r="Q978" s="25"/>
      <c r="R978" s="25"/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/>
      <c r="L979" s="48"/>
      <c r="M979" s="48"/>
      <c r="N979" s="48"/>
      <c r="O979" s="48"/>
      <c r="P979" s="48"/>
      <c r="Q979" s="25"/>
      <c r="R979" s="25"/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/>
      <c r="L980" s="48"/>
      <c r="M980" s="48"/>
      <c r="N980" s="48"/>
      <c r="O980" s="48"/>
      <c r="P980" s="48"/>
      <c r="Q980" s="25"/>
      <c r="R980" s="25"/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/>
      <c r="L981" s="48"/>
      <c r="M981" s="48"/>
      <c r="N981" s="48"/>
      <c r="O981" s="48"/>
      <c r="P981" s="48"/>
      <c r="Q981" s="25"/>
      <c r="R981" s="25"/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/>
      <c r="L982" s="48"/>
      <c r="M982" s="48"/>
      <c r="N982" s="48"/>
      <c r="O982" s="48"/>
      <c r="P982" s="48"/>
      <c r="Q982" s="25"/>
      <c r="R982" s="25"/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/>
      <c r="L983" s="48"/>
      <c r="M983" s="48"/>
      <c r="N983" s="48"/>
      <c r="O983" s="48"/>
      <c r="P983" s="48"/>
      <c r="Q983" s="25"/>
      <c r="R983" s="25"/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/>
      <c r="L984" s="48"/>
      <c r="M984" s="48"/>
      <c r="N984" s="48"/>
      <c r="O984" s="48"/>
      <c r="P984" s="48"/>
      <c r="Q984" s="25"/>
      <c r="R984" s="25"/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/>
      <c r="L985" s="48"/>
      <c r="M985" s="48"/>
      <c r="N985" s="48"/>
      <c r="O985" s="48"/>
      <c r="P985" s="48"/>
      <c r="Q985" s="25"/>
      <c r="R985" s="25"/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/>
      <c r="L986" s="48"/>
      <c r="M986" s="48"/>
      <c r="N986" s="48"/>
      <c r="O986" s="48"/>
      <c r="P986" s="48"/>
      <c r="Q986" s="25"/>
      <c r="R986" s="25"/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/>
      <c r="L987" s="48"/>
      <c r="M987" s="48"/>
      <c r="N987" s="48"/>
      <c r="O987" s="48"/>
      <c r="P987" s="48"/>
      <c r="Q987" s="25"/>
      <c r="R987" s="25"/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/>
      <c r="L988" s="48"/>
      <c r="M988" s="48"/>
      <c r="N988" s="48"/>
      <c r="O988" s="48"/>
      <c r="P988" s="48"/>
      <c r="Q988" s="25"/>
      <c r="R988" s="25"/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/>
      <c r="L989" s="48"/>
      <c r="M989" s="48"/>
      <c r="N989" s="48"/>
      <c r="O989" s="48"/>
      <c r="P989" s="48"/>
      <c r="Q989" s="25"/>
      <c r="R989" s="25"/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/>
      <c r="L990" s="48"/>
      <c r="M990" s="48"/>
      <c r="N990" s="48"/>
      <c r="O990" s="48"/>
      <c r="P990" s="48"/>
      <c r="Q990" s="25"/>
      <c r="R990" s="25"/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/>
      <c r="L991" s="48"/>
      <c r="M991" s="48"/>
      <c r="N991" s="48"/>
      <c r="O991" s="48"/>
      <c r="P991" s="48"/>
      <c r="Q991" s="25"/>
      <c r="R991" s="25"/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/>
      <c r="L992" s="48"/>
      <c r="M992" s="48"/>
      <c r="N992" s="48"/>
      <c r="O992" s="48"/>
      <c r="P992" s="48"/>
      <c r="Q992" s="25"/>
      <c r="R992" s="25"/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/>
      <c r="L993" s="48"/>
      <c r="M993" s="48"/>
      <c r="N993" s="48"/>
      <c r="O993" s="48"/>
      <c r="P993" s="48"/>
      <c r="Q993" s="25"/>
      <c r="R993" s="25"/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/>
      <c r="L994" s="48"/>
      <c r="M994" s="48"/>
      <c r="N994" s="48"/>
      <c r="O994" s="48"/>
      <c r="P994" s="48"/>
      <c r="Q994" s="25"/>
      <c r="R994" s="25"/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/>
      <c r="L995" s="48"/>
      <c r="M995" s="48"/>
      <c r="N995" s="48"/>
      <c r="O995" s="48"/>
      <c r="P995" s="48"/>
      <c r="Q995" s="25"/>
      <c r="R995" s="25"/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/>
      <c r="L996" s="48"/>
      <c r="M996" s="48"/>
      <c r="N996" s="48"/>
      <c r="O996" s="48"/>
      <c r="P996" s="48"/>
      <c r="Q996" s="25"/>
      <c r="R996" s="25"/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/>
      <c r="L997" s="48"/>
      <c r="M997" s="48"/>
      <c r="N997" s="48"/>
      <c r="O997" s="48"/>
      <c r="P997" s="48"/>
      <c r="Q997" s="25"/>
      <c r="R997" s="25"/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/>
      <c r="L998" s="48"/>
      <c r="M998" s="48"/>
      <c r="N998" s="48"/>
      <c r="O998" s="48"/>
      <c r="P998" s="48"/>
      <c r="Q998" s="25"/>
      <c r="R998" s="25"/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/>
      <c r="L999" s="48"/>
      <c r="M999" s="48"/>
      <c r="N999" s="48"/>
      <c r="O999" s="48"/>
      <c r="P999" s="48"/>
      <c r="Q999" s="25"/>
      <c r="R999" s="25"/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/>
      <c r="L1000" s="48"/>
      <c r="M1000" s="48"/>
      <c r="N1000" s="48"/>
      <c r="O1000" s="48"/>
      <c r="P1000" s="48"/>
      <c r="Q1000" s="25"/>
      <c r="R1000" s="25"/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/>
      <c r="L1001" s="48"/>
      <c r="M1001" s="48"/>
      <c r="N1001" s="48"/>
      <c r="O1001" s="48"/>
      <c r="P1001" s="48"/>
      <c r="Q1001" s="25"/>
      <c r="R1001" s="25"/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/>
      <c r="L1002" s="48"/>
      <c r="M1002" s="48"/>
      <c r="N1002" s="48"/>
      <c r="O1002" s="48"/>
      <c r="P1002" s="48"/>
      <c r="Q1002" s="25"/>
      <c r="R1002" s="25"/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/>
      <c r="L1003" s="48"/>
      <c r="M1003" s="48"/>
      <c r="N1003" s="48"/>
      <c r="O1003" s="48"/>
      <c r="P1003" s="48"/>
      <c r="Q1003" s="25"/>
      <c r="R1003" s="25"/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/>
      <c r="L1004" s="48"/>
      <c r="M1004" s="48"/>
      <c r="N1004" s="48"/>
      <c r="O1004" s="48"/>
      <c r="P1004" s="48"/>
      <c r="Q1004" s="25"/>
      <c r="R1004" s="25"/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/>
      <c r="L1005" s="48"/>
      <c r="M1005" s="48"/>
      <c r="N1005" s="48"/>
      <c r="O1005" s="48"/>
      <c r="P1005" s="48"/>
      <c r="Q1005" s="25"/>
      <c r="R1005" s="25"/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/>
      <c r="L1006" s="48"/>
      <c r="M1006" s="48"/>
      <c r="N1006" s="48"/>
      <c r="O1006" s="48"/>
      <c r="P1006" s="48"/>
      <c r="Q1006" s="25"/>
      <c r="R1006" s="25"/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/>
      <c r="L1007" s="48"/>
      <c r="M1007" s="48"/>
      <c r="N1007" s="48"/>
      <c r="O1007" s="48"/>
      <c r="P1007" s="48"/>
      <c r="Q1007" s="25"/>
      <c r="R1007" s="25"/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/>
      <c r="L1008" s="48"/>
      <c r="M1008" s="48"/>
      <c r="N1008" s="48"/>
      <c r="O1008" s="48"/>
      <c r="P1008" s="48"/>
      <c r="Q1008" s="25"/>
      <c r="R1008" s="25"/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/>
      <c r="L1009" s="48"/>
      <c r="M1009" s="48"/>
      <c r="N1009" s="48"/>
      <c r="O1009" s="48"/>
      <c r="P1009" s="48"/>
      <c r="Q1009" s="25"/>
      <c r="R1009" s="25"/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/>
      <c r="L1010" s="48"/>
      <c r="M1010" s="48"/>
      <c r="N1010" s="48"/>
      <c r="O1010" s="48"/>
      <c r="P1010" s="48"/>
      <c r="Q1010" s="25"/>
      <c r="R1010" s="25"/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/>
      <c r="L1011" s="48"/>
      <c r="M1011" s="48"/>
      <c r="N1011" s="48"/>
      <c r="O1011" s="48"/>
      <c r="P1011" s="48"/>
      <c r="Q1011" s="25"/>
      <c r="R1011" s="25"/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/>
      <c r="L1012" s="48"/>
      <c r="M1012" s="48"/>
      <c r="N1012" s="48"/>
      <c r="O1012" s="48"/>
      <c r="P1012" s="48"/>
      <c r="Q1012" s="25"/>
      <c r="R1012" s="25"/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/>
      <c r="L1013" s="48"/>
      <c r="M1013" s="48"/>
      <c r="N1013" s="48"/>
      <c r="O1013" s="48"/>
      <c r="P1013" s="48"/>
      <c r="Q1013" s="25"/>
      <c r="R1013" s="25"/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/>
      <c r="L1014" s="48"/>
      <c r="M1014" s="48"/>
      <c r="N1014" s="48"/>
      <c r="O1014" s="48"/>
      <c r="P1014" s="48"/>
      <c r="Q1014" s="25"/>
      <c r="R1014" s="25"/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/>
      <c r="L1015" s="48"/>
      <c r="M1015" s="48"/>
      <c r="N1015" s="48"/>
      <c r="O1015" s="48"/>
      <c r="P1015" s="48"/>
      <c r="Q1015" s="25"/>
      <c r="R1015" s="25"/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/>
      <c r="L1016" s="48"/>
      <c r="M1016" s="48"/>
      <c r="N1016" s="48"/>
      <c r="O1016" s="48"/>
      <c r="P1016" s="48"/>
      <c r="Q1016" s="25"/>
      <c r="R1016" s="25"/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/>
      <c r="L1017" s="48"/>
      <c r="M1017" s="48"/>
      <c r="N1017" s="48"/>
      <c r="O1017" s="48"/>
      <c r="P1017" s="48"/>
      <c r="Q1017" s="25"/>
      <c r="R1017" s="25"/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/>
      <c r="L1018" s="48"/>
      <c r="M1018" s="48"/>
      <c r="N1018" s="48"/>
      <c r="O1018" s="48"/>
      <c r="P1018" s="48"/>
      <c r="Q1018" s="25"/>
      <c r="R1018" s="25"/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/>
      <c r="L1019" s="48"/>
      <c r="M1019" s="48"/>
      <c r="N1019" s="48"/>
      <c r="O1019" s="48"/>
      <c r="P1019" s="48"/>
      <c r="Q1019" s="25"/>
      <c r="R1019" s="25"/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/>
      <c r="L1020" s="48"/>
      <c r="M1020" s="48"/>
      <c r="N1020" s="48"/>
      <c r="O1020" s="48"/>
      <c r="P1020" s="48"/>
      <c r="Q1020" s="25"/>
      <c r="R1020" s="25"/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/>
      <c r="L1021" s="48"/>
      <c r="M1021" s="48"/>
      <c r="N1021" s="48"/>
      <c r="O1021" s="48"/>
      <c r="P1021" s="48"/>
      <c r="Q1021" s="25"/>
      <c r="R1021" s="25"/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/>
      <c r="L1022" s="48"/>
      <c r="M1022" s="48"/>
      <c r="N1022" s="48"/>
      <c r="O1022" s="48"/>
      <c r="P1022" s="48"/>
      <c r="Q1022" s="25"/>
      <c r="R1022" s="25"/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/>
      <c r="L1023" s="48"/>
      <c r="M1023" s="48"/>
      <c r="N1023" s="48"/>
      <c r="O1023" s="48"/>
      <c r="P1023" s="48"/>
      <c r="Q1023" s="25"/>
      <c r="R1023" s="25"/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/>
      <c r="L1024" s="48"/>
      <c r="M1024" s="48"/>
      <c r="N1024" s="48"/>
      <c r="O1024" s="48"/>
      <c r="P1024" s="48"/>
      <c r="Q1024" s="25"/>
      <c r="R1024" s="25"/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/>
      <c r="L1025" s="48"/>
      <c r="M1025" s="48"/>
      <c r="N1025" s="48"/>
      <c r="O1025" s="48"/>
      <c r="P1025" s="48"/>
      <c r="Q1025" s="25"/>
      <c r="R1025" s="25"/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/>
      <c r="L1026" s="48"/>
      <c r="M1026" s="48"/>
      <c r="N1026" s="48"/>
      <c r="O1026" s="48"/>
      <c r="P1026" s="48"/>
      <c r="Q1026" s="25"/>
      <c r="R1026" s="25"/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/>
      <c r="L1027" s="48"/>
      <c r="M1027" s="48"/>
      <c r="N1027" s="48"/>
      <c r="O1027" s="48"/>
      <c r="P1027" s="48"/>
      <c r="Q1027" s="25"/>
      <c r="R1027" s="25"/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/>
      <c r="L1028" s="48"/>
      <c r="M1028" s="48"/>
      <c r="N1028" s="48"/>
      <c r="O1028" s="48"/>
      <c r="P1028" s="48"/>
      <c r="Q1028" s="25"/>
      <c r="R1028" s="25"/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/>
      <c r="L1029" s="48"/>
      <c r="M1029" s="48"/>
      <c r="N1029" s="48"/>
      <c r="O1029" s="48"/>
      <c r="P1029" s="48"/>
      <c r="Q1029" s="25"/>
      <c r="R1029" s="25"/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/>
      <c r="L1030" s="48"/>
      <c r="M1030" s="48"/>
      <c r="N1030" s="48"/>
      <c r="O1030" s="48"/>
      <c r="P1030" s="48"/>
      <c r="Q1030" s="25"/>
      <c r="R1030" s="25"/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/>
      <c r="L1031" s="48"/>
      <c r="M1031" s="48"/>
      <c r="N1031" s="48"/>
      <c r="O1031" s="48"/>
      <c r="P1031" s="48"/>
      <c r="Q1031" s="25"/>
      <c r="R1031" s="25"/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/>
      <c r="L1032" s="48"/>
      <c r="M1032" s="48"/>
      <c r="N1032" s="48"/>
      <c r="O1032" s="48"/>
      <c r="P1032" s="48"/>
      <c r="Q1032" s="25"/>
      <c r="R1032" s="25"/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/>
      <c r="L1033" s="48"/>
      <c r="M1033" s="48"/>
      <c r="N1033" s="48"/>
      <c r="O1033" s="48"/>
      <c r="P1033" s="48"/>
      <c r="Q1033" s="25"/>
      <c r="R1033" s="25"/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/>
      <c r="L1034" s="48"/>
      <c r="M1034" s="48"/>
      <c r="N1034" s="48"/>
      <c r="O1034" s="48"/>
      <c r="P1034" s="48"/>
      <c r="Q1034" s="25"/>
      <c r="R1034" s="25"/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/>
      <c r="L1035" s="48"/>
      <c r="M1035" s="48"/>
      <c r="N1035" s="48"/>
      <c r="O1035" s="48"/>
      <c r="P1035" s="48"/>
      <c r="Q1035" s="25"/>
      <c r="R1035" s="25"/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/>
      <c r="L1036" s="48"/>
      <c r="M1036" s="48"/>
      <c r="N1036" s="48"/>
      <c r="O1036" s="48"/>
      <c r="P1036" s="48"/>
      <c r="Q1036" s="25"/>
      <c r="R1036" s="25"/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/>
      <c r="L1037" s="48"/>
      <c r="M1037" s="48"/>
      <c r="N1037" s="48"/>
      <c r="O1037" s="48"/>
      <c r="P1037" s="48"/>
      <c r="Q1037" s="25"/>
      <c r="R1037" s="25"/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/>
      <c r="L1038" s="48"/>
      <c r="M1038" s="48"/>
      <c r="N1038" s="48"/>
      <c r="O1038" s="48"/>
      <c r="P1038" s="48"/>
      <c r="Q1038" s="25"/>
      <c r="R1038" s="25"/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/>
      <c r="L1039" s="48"/>
      <c r="M1039" s="48"/>
      <c r="N1039" s="48"/>
      <c r="O1039" s="48"/>
      <c r="P1039" s="48"/>
      <c r="Q1039" s="25"/>
      <c r="R1039" s="25"/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/>
      <c r="L1040" s="48"/>
      <c r="M1040" s="48"/>
      <c r="N1040" s="48"/>
      <c r="O1040" s="48"/>
      <c r="P1040" s="48"/>
      <c r="Q1040" s="25"/>
      <c r="R1040" s="25"/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/>
      <c r="L1041" s="48"/>
      <c r="M1041" s="48"/>
      <c r="N1041" s="48"/>
      <c r="O1041" s="48"/>
      <c r="P1041" s="48"/>
      <c r="Q1041" s="25"/>
      <c r="R1041" s="25"/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/>
      <c r="L1042" s="48"/>
      <c r="M1042" s="48"/>
      <c r="N1042" s="48"/>
      <c r="O1042" s="48"/>
      <c r="P1042" s="48"/>
      <c r="Q1042" s="25"/>
      <c r="R1042" s="25"/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/>
      <c r="L1043" s="48"/>
      <c r="M1043" s="48"/>
      <c r="N1043" s="48"/>
      <c r="O1043" s="48"/>
      <c r="P1043" s="48"/>
      <c r="Q1043" s="25"/>
      <c r="R1043" s="25"/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/>
      <c r="L1044" s="52"/>
      <c r="M1044" s="52"/>
      <c r="N1044" s="52"/>
      <c r="O1044" s="52"/>
      <c r="P1044" s="52"/>
      <c r="Q1044" s="25"/>
      <c r="R1044" s="25"/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/>
      <c r="L1045" s="52"/>
      <c r="M1045" s="52"/>
      <c r="N1045" s="52"/>
      <c r="O1045" s="52"/>
      <c r="P1045" s="52"/>
      <c r="Q1045" s="25"/>
      <c r="R1045" s="25"/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/>
      <c r="L1046" s="52"/>
      <c r="M1046" s="52"/>
      <c r="N1046" s="52"/>
      <c r="O1046" s="52"/>
      <c r="P1046" s="52"/>
      <c r="Q1046" s="25"/>
      <c r="R1046" s="25"/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/>
      <c r="L1047" s="52"/>
      <c r="M1047" s="52"/>
      <c r="N1047" s="52"/>
      <c r="O1047" s="52"/>
      <c r="P1047" s="52"/>
      <c r="Q1047" s="25"/>
      <c r="R1047" s="25"/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/>
      <c r="L1048" s="52"/>
      <c r="M1048" s="52"/>
      <c r="N1048" s="52"/>
      <c r="O1048" s="52"/>
      <c r="P1048" s="52"/>
      <c r="Q1048" s="25"/>
      <c r="R1048" s="25"/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/>
      <c r="L1049" s="52"/>
      <c r="M1049" s="52"/>
      <c r="N1049" s="52"/>
      <c r="O1049" s="52"/>
      <c r="P1049" s="52"/>
      <c r="Q1049" s="25"/>
      <c r="R1049" s="25"/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/>
      <c r="L1050" s="52"/>
      <c r="M1050" s="52"/>
      <c r="N1050" s="52"/>
      <c r="O1050" s="52"/>
      <c r="P1050" s="52"/>
      <c r="Q1050" s="25"/>
      <c r="R1050" s="25"/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/>
      <c r="L1051" s="52"/>
      <c r="M1051" s="52"/>
      <c r="N1051" s="52"/>
      <c r="O1051" s="52"/>
      <c r="P1051" s="52"/>
      <c r="Q1051" s="25"/>
      <c r="R1051" s="25"/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/>
      <c r="L1052" s="52"/>
      <c r="M1052" s="52"/>
      <c r="N1052" s="52"/>
      <c r="O1052" s="52"/>
      <c r="P1052" s="52"/>
      <c r="Q1052" s="25"/>
      <c r="R1052" s="25"/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/>
      <c r="L1053" s="52"/>
      <c r="M1053" s="52"/>
      <c r="N1053" s="52"/>
      <c r="O1053" s="52"/>
      <c r="P1053" s="52"/>
      <c r="Q1053" s="25"/>
      <c r="R1053" s="25"/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/>
      <c r="L1054" s="52"/>
      <c r="M1054" s="52"/>
      <c r="N1054" s="52"/>
      <c r="O1054" s="52"/>
      <c r="P1054" s="52"/>
      <c r="Q1054" s="25"/>
      <c r="R1054" s="25"/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/>
      <c r="L1055" s="52"/>
      <c r="M1055" s="52"/>
      <c r="N1055" s="52"/>
      <c r="O1055" s="52"/>
      <c r="P1055" s="52"/>
      <c r="Q1055" s="25"/>
      <c r="R1055" s="25"/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/>
      <c r="L1056" s="52"/>
      <c r="M1056" s="52"/>
      <c r="N1056" s="52"/>
      <c r="O1056" s="52"/>
      <c r="P1056" s="52"/>
      <c r="Q1056" s="25"/>
      <c r="R1056" s="25"/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/>
      <c r="L1057" s="52"/>
      <c r="M1057" s="52"/>
      <c r="N1057" s="52"/>
      <c r="O1057" s="52"/>
      <c r="P1057" s="52"/>
      <c r="Q1057" s="25"/>
      <c r="R1057" s="25"/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/>
      <c r="L1058" s="52"/>
      <c r="M1058" s="52"/>
      <c r="N1058" s="52"/>
      <c r="O1058" s="52"/>
      <c r="P1058" s="52"/>
      <c r="Q1058" s="25"/>
      <c r="R1058" s="25"/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/>
      <c r="L1059" s="52"/>
      <c r="M1059" s="52"/>
      <c r="N1059" s="52"/>
      <c r="O1059" s="52"/>
      <c r="P1059" s="52"/>
      <c r="Q1059" s="25"/>
      <c r="R1059" s="25"/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/>
      <c r="L1060" s="52"/>
      <c r="M1060" s="52"/>
      <c r="N1060" s="52"/>
      <c r="O1060" s="52"/>
      <c r="P1060" s="52"/>
      <c r="Q1060" s="25"/>
      <c r="R1060" s="25"/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/>
      <c r="L1061" s="52"/>
      <c r="M1061" s="52"/>
      <c r="N1061" s="52"/>
      <c r="O1061" s="52"/>
      <c r="P1061" s="52"/>
      <c r="Q1061" s="25"/>
      <c r="R1061" s="25"/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/>
      <c r="L1062" s="52"/>
      <c r="M1062" s="52"/>
      <c r="N1062" s="52"/>
      <c r="O1062" s="52"/>
      <c r="P1062" s="52"/>
      <c r="Q1062" s="25"/>
      <c r="R1062" s="25"/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/>
      <c r="L1063" s="52"/>
      <c r="M1063" s="52"/>
      <c r="N1063" s="52"/>
      <c r="O1063" s="52"/>
      <c r="P1063" s="52"/>
      <c r="Q1063" s="25"/>
      <c r="R1063" s="25"/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/>
      <c r="L1064" s="52"/>
      <c r="M1064" s="52"/>
      <c r="N1064" s="52"/>
      <c r="O1064" s="52"/>
      <c r="P1064" s="52"/>
      <c r="Q1064" s="25"/>
      <c r="R1064" s="25"/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/>
      <c r="L1065" s="52"/>
      <c r="M1065" s="52"/>
      <c r="N1065" s="52"/>
      <c r="O1065" s="52"/>
      <c r="P1065" s="52"/>
      <c r="Q1065" s="25"/>
      <c r="R1065" s="25"/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/>
      <c r="L1066" s="52"/>
      <c r="M1066" s="52"/>
      <c r="N1066" s="52"/>
      <c r="O1066" s="52"/>
      <c r="P1066" s="52"/>
      <c r="Q1066" s="25"/>
      <c r="R1066" s="25"/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/>
      <c r="L1067" s="52"/>
      <c r="M1067" s="52"/>
      <c r="N1067" s="52"/>
      <c r="O1067" s="52"/>
      <c r="P1067" s="52"/>
      <c r="Q1067" s="25"/>
      <c r="R1067" s="25"/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/>
      <c r="L1068" s="52"/>
      <c r="M1068" s="52"/>
      <c r="N1068" s="52"/>
      <c r="O1068" s="52"/>
      <c r="P1068" s="52"/>
      <c r="Q1068" s="25"/>
      <c r="R1068" s="25"/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/>
      <c r="L1069" s="52"/>
      <c r="M1069" s="52"/>
      <c r="N1069" s="52"/>
      <c r="O1069" s="52"/>
      <c r="P1069" s="52"/>
      <c r="Q1069" s="25"/>
      <c r="R1069" s="25"/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/>
      <c r="L1070" s="52"/>
      <c r="M1070" s="52"/>
      <c r="N1070" s="52"/>
      <c r="O1070" s="52"/>
      <c r="P1070" s="52"/>
      <c r="Q1070" s="25"/>
      <c r="R1070" s="25"/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/>
      <c r="L1071" s="52"/>
      <c r="M1071" s="52"/>
      <c r="N1071" s="52"/>
      <c r="O1071" s="52"/>
      <c r="P1071" s="52"/>
      <c r="Q1071" s="25"/>
      <c r="R1071" s="25"/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/>
      <c r="L1072" s="52"/>
      <c r="M1072" s="52"/>
      <c r="N1072" s="52"/>
      <c r="O1072" s="52"/>
      <c r="P1072" s="52"/>
      <c r="Q1072" s="25"/>
      <c r="R1072" s="25"/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/>
      <c r="L1073" s="52"/>
      <c r="M1073" s="52"/>
      <c r="N1073" s="52"/>
      <c r="O1073" s="52"/>
      <c r="P1073" s="52"/>
      <c r="Q1073" s="25"/>
      <c r="R1073" s="25"/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/>
      <c r="L1074" s="52"/>
      <c r="M1074" s="52"/>
      <c r="N1074" s="52"/>
      <c r="O1074" s="52"/>
      <c r="P1074" s="52"/>
      <c r="Q1074" s="25"/>
      <c r="R1074" s="25"/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/>
      <c r="L1075" s="52"/>
      <c r="M1075" s="52"/>
      <c r="N1075" s="52"/>
      <c r="O1075" s="52"/>
      <c r="P1075" s="52"/>
      <c r="Q1075" s="25"/>
      <c r="R1075" s="25"/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/>
      <c r="L1076" s="52"/>
      <c r="M1076" s="52"/>
      <c r="N1076" s="52"/>
      <c r="O1076" s="52"/>
      <c r="P1076" s="52"/>
      <c r="Q1076" s="25"/>
      <c r="R1076" s="25"/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/>
      <c r="L1077" s="52"/>
      <c r="M1077" s="52"/>
      <c r="N1077" s="52"/>
      <c r="O1077" s="52"/>
      <c r="P1077" s="52"/>
      <c r="Q1077" s="25"/>
      <c r="R1077" s="25"/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/>
      <c r="L1078" s="52"/>
      <c r="M1078" s="52"/>
      <c r="N1078" s="52"/>
      <c r="O1078" s="52"/>
      <c r="P1078" s="52"/>
      <c r="Q1078" s="25"/>
      <c r="R1078" s="25"/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/>
      <c r="L1079" s="52"/>
      <c r="M1079" s="52"/>
      <c r="N1079" s="52"/>
      <c r="O1079" s="52"/>
      <c r="P1079" s="52"/>
      <c r="Q1079" s="25"/>
      <c r="R1079" s="25"/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/>
      <c r="L1080" s="52"/>
      <c r="M1080" s="52"/>
      <c r="N1080" s="52"/>
      <c r="O1080" s="52"/>
      <c r="P1080" s="52"/>
      <c r="Q1080" s="25"/>
      <c r="R1080" s="25"/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/>
      <c r="L1081" s="52"/>
      <c r="M1081" s="52"/>
      <c r="N1081" s="52"/>
      <c r="O1081" s="52"/>
      <c r="P1081" s="52"/>
      <c r="Q1081" s="25"/>
      <c r="R1081" s="25"/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/>
      <c r="L1082" s="52"/>
      <c r="M1082" s="52"/>
      <c r="N1082" s="52"/>
      <c r="O1082" s="52"/>
      <c r="P1082" s="52"/>
      <c r="Q1082" s="25"/>
      <c r="R1082" s="25"/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/>
      <c r="L1083" s="52"/>
      <c r="M1083" s="52"/>
      <c r="N1083" s="52"/>
      <c r="O1083" s="52"/>
      <c r="P1083" s="52"/>
      <c r="Q1083" s="25"/>
      <c r="R1083" s="25"/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/>
      <c r="L1084" s="52"/>
      <c r="M1084" s="52"/>
      <c r="N1084" s="52"/>
      <c r="O1084" s="52"/>
      <c r="P1084" s="52"/>
      <c r="Q1084" s="25"/>
      <c r="R1084" s="25"/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/>
      <c r="L1085" s="52"/>
      <c r="M1085" s="52"/>
      <c r="N1085" s="52"/>
      <c r="O1085" s="52"/>
      <c r="P1085" s="52"/>
      <c r="Q1085" s="25"/>
      <c r="R1085" s="25"/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/>
      <c r="L1086" s="52"/>
      <c r="M1086" s="52"/>
      <c r="N1086" s="52"/>
      <c r="O1086" s="52"/>
      <c r="P1086" s="52"/>
      <c r="Q1086" s="25"/>
      <c r="R1086" s="25"/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/>
      <c r="L1087" s="52"/>
      <c r="M1087" s="52"/>
      <c r="N1087" s="52"/>
      <c r="O1087" s="52"/>
      <c r="P1087" s="52"/>
      <c r="Q1087" s="25"/>
      <c r="R1087" s="25"/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/>
      <c r="L1088" s="52"/>
      <c r="M1088" s="52"/>
      <c r="N1088" s="52"/>
      <c r="O1088" s="52"/>
      <c r="P1088" s="52"/>
      <c r="Q1088" s="25"/>
      <c r="R1088" s="25"/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/>
      <c r="L1089" s="52"/>
      <c r="M1089" s="52"/>
      <c r="N1089" s="52"/>
      <c r="O1089" s="52"/>
      <c r="P1089" s="52"/>
      <c r="Q1089" s="25"/>
      <c r="R1089" s="25"/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/>
      <c r="L1090" s="52"/>
      <c r="M1090" s="52"/>
      <c r="N1090" s="52"/>
      <c r="O1090" s="52"/>
      <c r="P1090" s="52"/>
      <c r="Q1090" s="25"/>
      <c r="R1090" s="25"/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/>
      <c r="L1091" s="52"/>
      <c r="M1091" s="52"/>
      <c r="N1091" s="52"/>
      <c r="O1091" s="52"/>
      <c r="P1091" s="52"/>
      <c r="Q1091" s="25"/>
      <c r="R1091" s="25"/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/>
      <c r="L1092" s="52"/>
      <c r="M1092" s="52"/>
      <c r="N1092" s="52"/>
      <c r="O1092" s="52"/>
      <c r="P1092" s="52"/>
      <c r="Q1092" s="25"/>
      <c r="R1092" s="25"/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/>
      <c r="L1093" s="52"/>
      <c r="M1093" s="52"/>
      <c r="N1093" s="52"/>
      <c r="O1093" s="52"/>
      <c r="P1093" s="52"/>
      <c r="Q1093" s="25"/>
      <c r="R1093" s="25"/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/>
      <c r="L1094" s="52"/>
      <c r="M1094" s="52"/>
      <c r="N1094" s="52"/>
      <c r="O1094" s="52"/>
      <c r="P1094" s="52"/>
      <c r="Q1094" s="25"/>
      <c r="R1094" s="25"/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/>
      <c r="L1095" s="52"/>
      <c r="M1095" s="52"/>
      <c r="N1095" s="52"/>
      <c r="O1095" s="52"/>
      <c r="P1095" s="52"/>
      <c r="Q1095" s="25"/>
      <c r="R1095" s="25"/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/>
      <c r="L1096" s="52"/>
      <c r="M1096" s="52"/>
      <c r="N1096" s="52"/>
      <c r="O1096" s="52"/>
      <c r="P1096" s="52"/>
      <c r="Q1096" s="25"/>
      <c r="R1096" s="25"/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/>
      <c r="L1097" s="52"/>
      <c r="M1097" s="52"/>
      <c r="N1097" s="52"/>
      <c r="O1097" s="52"/>
      <c r="P1097" s="52"/>
      <c r="Q1097" s="25"/>
      <c r="R1097" s="25"/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/>
      <c r="L1098" s="52"/>
      <c r="M1098" s="52"/>
      <c r="N1098" s="52"/>
      <c r="O1098" s="52"/>
      <c r="P1098" s="52"/>
      <c r="Q1098" s="25"/>
      <c r="R1098" s="25"/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/>
      <c r="L1099" s="52"/>
      <c r="M1099" s="52"/>
      <c r="N1099" s="52"/>
      <c r="O1099" s="52"/>
      <c r="P1099" s="52"/>
      <c r="Q1099" s="25"/>
      <c r="R1099" s="25"/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/>
      <c r="L1100" s="52"/>
      <c r="M1100" s="52"/>
      <c r="N1100" s="52"/>
      <c r="O1100" s="52"/>
      <c r="P1100" s="52"/>
      <c r="Q1100" s="25"/>
      <c r="R1100" s="25"/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/>
      <c r="L1101" s="52"/>
      <c r="M1101" s="52"/>
      <c r="N1101" s="52"/>
      <c r="O1101" s="52"/>
      <c r="P1101" s="52"/>
      <c r="Q1101" s="25"/>
      <c r="R1101" s="25"/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/>
      <c r="L1102" s="52"/>
      <c r="M1102" s="52"/>
      <c r="N1102" s="52"/>
      <c r="O1102" s="52"/>
      <c r="P1102" s="52"/>
      <c r="Q1102" s="25"/>
      <c r="R1102" s="25"/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/>
      <c r="L1103" s="52"/>
      <c r="M1103" s="52"/>
      <c r="N1103" s="52"/>
      <c r="O1103" s="52"/>
      <c r="P1103" s="52"/>
      <c r="Q1103" s="25"/>
      <c r="R1103" s="25"/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/>
      <c r="L1104" s="52"/>
      <c r="M1104" s="52"/>
      <c r="N1104" s="52"/>
      <c r="O1104" s="52"/>
      <c r="P1104" s="52"/>
      <c r="Q1104" s="25"/>
      <c r="R1104" s="25"/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/>
      <c r="L1105" s="52"/>
      <c r="M1105" s="52"/>
      <c r="N1105" s="52"/>
      <c r="O1105" s="52"/>
      <c r="P1105" s="52"/>
      <c r="Q1105" s="25"/>
      <c r="R1105" s="25"/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/>
      <c r="L1106" s="52"/>
      <c r="M1106" s="52"/>
      <c r="N1106" s="52"/>
      <c r="O1106" s="52"/>
      <c r="P1106" s="52"/>
      <c r="Q1106" s="25"/>
      <c r="R1106" s="25"/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/>
      <c r="L1107" s="52"/>
      <c r="M1107" s="52"/>
      <c r="N1107" s="52"/>
      <c r="O1107" s="52"/>
      <c r="P1107" s="52"/>
      <c r="Q1107" s="25"/>
      <c r="R1107" s="25"/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/>
      <c r="L1108" s="52"/>
      <c r="M1108" s="52"/>
      <c r="N1108" s="52"/>
      <c r="O1108" s="52"/>
      <c r="P1108" s="52"/>
      <c r="Q1108" s="25"/>
      <c r="R1108" s="25"/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/>
      <c r="L1109" s="52"/>
      <c r="M1109" s="52"/>
      <c r="N1109" s="52"/>
      <c r="O1109" s="52"/>
      <c r="P1109" s="52"/>
      <c r="Q1109" s="25"/>
      <c r="R1109" s="25"/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/>
      <c r="L1110" s="52"/>
      <c r="M1110" s="52"/>
      <c r="N1110" s="52"/>
      <c r="O1110" s="52"/>
      <c r="P1110" s="52"/>
      <c r="Q1110" s="25"/>
      <c r="R1110" s="25"/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/>
      <c r="L1111" s="52"/>
      <c r="M1111" s="52"/>
      <c r="N1111" s="52"/>
      <c r="O1111" s="52"/>
      <c r="P1111" s="52"/>
      <c r="Q1111" s="25"/>
      <c r="R1111" s="25"/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/>
      <c r="L1112" s="52"/>
      <c r="M1112" s="52"/>
      <c r="N1112" s="52"/>
      <c r="O1112" s="52"/>
      <c r="P1112" s="52"/>
      <c r="Q1112" s="25"/>
      <c r="R1112" s="25"/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/>
      <c r="L1113" s="52"/>
      <c r="M1113" s="52"/>
      <c r="N1113" s="52"/>
      <c r="O1113" s="52"/>
      <c r="P1113" s="52"/>
      <c r="Q1113" s="25"/>
      <c r="R1113" s="25"/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/>
      <c r="L1114" s="52"/>
      <c r="M1114" s="52"/>
      <c r="N1114" s="52"/>
      <c r="O1114" s="52"/>
      <c r="P1114" s="52"/>
      <c r="Q1114" s="25"/>
      <c r="R1114" s="25"/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/>
      <c r="L1115" s="52"/>
      <c r="M1115" s="52"/>
      <c r="N1115" s="52"/>
      <c r="O1115" s="52"/>
      <c r="P1115" s="52"/>
      <c r="Q1115" s="25"/>
      <c r="R1115" s="25"/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/>
      <c r="L1116" s="52"/>
      <c r="M1116" s="52"/>
      <c r="N1116" s="52"/>
      <c r="O1116" s="52"/>
      <c r="P1116" s="52"/>
      <c r="Q1116" s="25"/>
      <c r="R1116" s="25"/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/>
      <c r="L1117" s="52"/>
      <c r="M1117" s="52"/>
      <c r="N1117" s="52"/>
      <c r="O1117" s="52"/>
      <c r="P1117" s="52"/>
      <c r="Q1117" s="25"/>
      <c r="R1117" s="25"/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/>
      <c r="L1118" s="52"/>
      <c r="M1118" s="52"/>
      <c r="N1118" s="52"/>
      <c r="O1118" s="52"/>
      <c r="P1118" s="52"/>
      <c r="Q1118" s="25"/>
      <c r="R1118" s="25"/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/>
      <c r="L1119" s="52"/>
      <c r="M1119" s="52"/>
      <c r="N1119" s="52"/>
      <c r="O1119" s="52"/>
      <c r="P1119" s="52"/>
      <c r="Q1119" s="25"/>
      <c r="R1119" s="25"/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/>
      <c r="L1120" s="52"/>
      <c r="M1120" s="52"/>
      <c r="N1120" s="52"/>
      <c r="O1120" s="52"/>
      <c r="P1120" s="52"/>
      <c r="Q1120" s="25"/>
      <c r="R1120" s="25"/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/>
      <c r="L1121" s="52"/>
      <c r="M1121" s="52"/>
      <c r="N1121" s="52"/>
      <c r="O1121" s="52"/>
      <c r="P1121" s="52"/>
      <c r="Q1121" s="25"/>
      <c r="R1121" s="25"/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/>
      <c r="L1122" s="52"/>
      <c r="M1122" s="52"/>
      <c r="N1122" s="52"/>
      <c r="O1122" s="52"/>
      <c r="P1122" s="52"/>
      <c r="Q1122" s="25"/>
      <c r="R1122" s="25"/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/>
      <c r="L1123" s="52"/>
      <c r="M1123" s="52"/>
      <c r="N1123" s="52"/>
      <c r="O1123" s="52"/>
      <c r="P1123" s="52"/>
      <c r="Q1123" s="25"/>
      <c r="R1123" s="25"/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/>
      <c r="L1124" s="52"/>
      <c r="M1124" s="52"/>
      <c r="N1124" s="52"/>
      <c r="O1124" s="52"/>
      <c r="P1124" s="52"/>
      <c r="Q1124" s="25"/>
      <c r="R1124" s="25"/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/>
      <c r="L1125" s="52"/>
      <c r="M1125" s="52"/>
      <c r="N1125" s="52"/>
      <c r="O1125" s="52"/>
      <c r="P1125" s="52"/>
      <c r="Q1125" s="25"/>
      <c r="R1125" s="25"/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/>
      <c r="L1126" s="52"/>
      <c r="M1126" s="52"/>
      <c r="N1126" s="52"/>
      <c r="O1126" s="52"/>
      <c r="P1126" s="52"/>
      <c r="Q1126" s="25"/>
      <c r="R1126" s="25"/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/>
      <c r="L1127" s="52"/>
      <c r="M1127" s="52"/>
      <c r="N1127" s="52"/>
      <c r="O1127" s="52"/>
      <c r="P1127" s="52"/>
      <c r="Q1127" s="25"/>
      <c r="R1127" s="25"/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/>
      <c r="L1128" s="52"/>
      <c r="M1128" s="52"/>
      <c r="N1128" s="52"/>
      <c r="O1128" s="52"/>
      <c r="P1128" s="52"/>
      <c r="Q1128" s="25"/>
      <c r="R1128" s="25"/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/>
      <c r="L1129" s="52"/>
      <c r="M1129" s="52"/>
      <c r="N1129" s="52"/>
      <c r="O1129" s="52"/>
      <c r="P1129" s="52"/>
      <c r="Q1129" s="25"/>
      <c r="R1129" s="25"/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/>
      <c r="L1130" s="52"/>
      <c r="M1130" s="52"/>
      <c r="N1130" s="52"/>
      <c r="O1130" s="52"/>
      <c r="P1130" s="52"/>
      <c r="Q1130" s="25"/>
      <c r="R1130" s="25"/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/>
      <c r="L1131" s="52"/>
      <c r="M1131" s="52"/>
      <c r="N1131" s="52"/>
      <c r="O1131" s="52"/>
      <c r="P1131" s="52"/>
      <c r="Q1131" s="25"/>
      <c r="R1131" s="25"/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/>
      <c r="L1132" s="52"/>
      <c r="M1132" s="52"/>
      <c r="N1132" s="52"/>
      <c r="O1132" s="52"/>
      <c r="P1132" s="52"/>
      <c r="Q1132" s="25"/>
      <c r="R1132" s="25"/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/>
      <c r="L1133" s="52"/>
      <c r="M1133" s="52"/>
      <c r="N1133" s="52"/>
      <c r="O1133" s="52"/>
      <c r="P1133" s="52"/>
      <c r="Q1133" s="25"/>
      <c r="R1133" s="25"/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/>
      <c r="L1134" s="52"/>
      <c r="M1134" s="52"/>
      <c r="N1134" s="52"/>
      <c r="O1134" s="52"/>
      <c r="P1134" s="52"/>
      <c r="Q1134" s="25"/>
      <c r="R1134" s="25"/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/>
      <c r="L1135" s="52"/>
      <c r="M1135" s="52"/>
      <c r="N1135" s="52"/>
      <c r="O1135" s="52"/>
      <c r="P1135" s="52"/>
      <c r="Q1135" s="25"/>
      <c r="R1135" s="25"/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/>
      <c r="L1136" s="52"/>
      <c r="M1136" s="52"/>
      <c r="N1136" s="52"/>
      <c r="O1136" s="52"/>
      <c r="P1136" s="52"/>
      <c r="Q1136" s="25"/>
      <c r="R1136" s="25"/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/>
      <c r="L1137" s="52"/>
      <c r="M1137" s="52"/>
      <c r="N1137" s="52"/>
      <c r="O1137" s="52"/>
      <c r="P1137" s="52"/>
      <c r="Q1137" s="25"/>
      <c r="R1137" s="25"/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/>
      <c r="L1138" s="52"/>
      <c r="M1138" s="52"/>
      <c r="N1138" s="52"/>
      <c r="O1138" s="52"/>
      <c r="P1138" s="52"/>
      <c r="Q1138" s="25"/>
      <c r="R1138" s="25"/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/>
      <c r="L1139" s="52"/>
      <c r="M1139" s="52"/>
      <c r="N1139" s="52"/>
      <c r="O1139" s="52"/>
      <c r="P1139" s="52"/>
      <c r="Q1139" s="25"/>
      <c r="R1139" s="25"/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/>
      <c r="L1140" s="52"/>
      <c r="M1140" s="52"/>
      <c r="N1140" s="52"/>
      <c r="O1140" s="52"/>
      <c r="P1140" s="52"/>
      <c r="Q1140" s="25"/>
      <c r="R1140" s="25"/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/>
      <c r="L1141" s="52"/>
      <c r="M1141" s="52"/>
      <c r="N1141" s="52"/>
      <c r="O1141" s="52"/>
      <c r="P1141" s="52"/>
      <c r="Q1141" s="25"/>
      <c r="R1141" s="25"/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/>
      <c r="L1142" s="52"/>
      <c r="M1142" s="52"/>
      <c r="N1142" s="52"/>
      <c r="O1142" s="52"/>
      <c r="P1142" s="52"/>
      <c r="Q1142" s="25"/>
      <c r="R1142" s="25"/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/>
      <c r="L1143" s="52"/>
      <c r="M1143" s="52"/>
      <c r="N1143" s="52"/>
      <c r="O1143" s="52"/>
      <c r="P1143" s="52"/>
      <c r="Q1143" s="25"/>
      <c r="R1143" s="25"/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/>
      <c r="L1144" s="52"/>
      <c r="M1144" s="52"/>
      <c r="N1144" s="52"/>
      <c r="O1144" s="52"/>
      <c r="P1144" s="52"/>
      <c r="Q1144" s="25"/>
      <c r="R1144" s="25"/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/>
      <c r="L1145" s="52"/>
      <c r="M1145" s="52"/>
      <c r="N1145" s="52"/>
      <c r="O1145" s="52"/>
      <c r="P1145" s="52"/>
      <c r="Q1145" s="25"/>
      <c r="R1145" s="25"/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/>
      <c r="L1146" s="52"/>
      <c r="M1146" s="52"/>
      <c r="N1146" s="52"/>
      <c r="O1146" s="52"/>
      <c r="P1146" s="52"/>
      <c r="Q1146" s="25"/>
      <c r="R1146" s="25"/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/>
      <c r="L1147" s="52"/>
      <c r="M1147" s="52"/>
      <c r="N1147" s="52"/>
      <c r="O1147" s="52"/>
      <c r="P1147" s="52"/>
      <c r="Q1147" s="25"/>
      <c r="R1147" s="25"/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/>
      <c r="L1148" s="52"/>
      <c r="M1148" s="52"/>
      <c r="N1148" s="52"/>
      <c r="O1148" s="52"/>
      <c r="P1148" s="52"/>
      <c r="Q1148" s="25"/>
      <c r="R1148" s="25"/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/>
      <c r="L1149" s="52"/>
      <c r="M1149" s="52"/>
      <c r="N1149" s="52"/>
      <c r="O1149" s="52"/>
      <c r="P1149" s="52"/>
      <c r="Q1149" s="25"/>
      <c r="R1149" s="25"/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/>
      <c r="L1150" s="52"/>
      <c r="M1150" s="52"/>
      <c r="N1150" s="52"/>
      <c r="O1150" s="52"/>
      <c r="P1150" s="52"/>
      <c r="Q1150" s="25"/>
      <c r="R1150" s="25"/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/>
      <c r="L1151" s="52"/>
      <c r="M1151" s="52"/>
      <c r="N1151" s="52"/>
      <c r="O1151" s="52"/>
      <c r="P1151" s="52"/>
      <c r="Q1151" s="25"/>
      <c r="R1151" s="25"/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/>
      <c r="L1152" s="52"/>
      <c r="M1152" s="52"/>
      <c r="N1152" s="52"/>
      <c r="O1152" s="52"/>
      <c r="P1152" s="52"/>
      <c r="Q1152" s="25"/>
      <c r="R1152" s="25"/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/>
      <c r="L1153" s="52"/>
      <c r="M1153" s="52"/>
      <c r="N1153" s="52"/>
      <c r="O1153" s="52"/>
      <c r="P1153" s="52"/>
      <c r="Q1153" s="25"/>
      <c r="R1153" s="25"/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/>
      <c r="L1154" s="52"/>
      <c r="M1154" s="52"/>
      <c r="N1154" s="52"/>
      <c r="O1154" s="52"/>
      <c r="P1154" s="52"/>
      <c r="Q1154" s="25"/>
      <c r="R1154" s="25"/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/>
      <c r="L1155" s="52"/>
      <c r="M1155" s="52"/>
      <c r="N1155" s="52"/>
      <c r="O1155" s="52"/>
      <c r="P1155" s="52"/>
      <c r="Q1155" s="25"/>
      <c r="R1155" s="25"/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/>
      <c r="L1156" s="52"/>
      <c r="M1156" s="52"/>
      <c r="N1156" s="52"/>
      <c r="O1156" s="52"/>
      <c r="P1156" s="52"/>
      <c r="Q1156" s="25"/>
      <c r="R1156" s="25"/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/>
      <c r="L1157" s="52"/>
      <c r="M1157" s="52"/>
      <c r="N1157" s="52"/>
      <c r="O1157" s="52"/>
      <c r="P1157" s="52"/>
      <c r="Q1157" s="25"/>
      <c r="R1157" s="25"/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/>
      <c r="L1158" s="52"/>
      <c r="M1158" s="52"/>
      <c r="N1158" s="52"/>
      <c r="O1158" s="52"/>
      <c r="P1158" s="52"/>
      <c r="Q1158" s="25"/>
      <c r="R1158" s="25"/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/>
      <c r="L1159" s="52"/>
      <c r="M1159" s="52"/>
      <c r="N1159" s="52"/>
      <c r="O1159" s="52"/>
      <c r="P1159" s="52"/>
      <c r="Q1159" s="25"/>
      <c r="R1159" s="25"/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/>
      <c r="L1160" s="52"/>
      <c r="M1160" s="52"/>
      <c r="N1160" s="52"/>
      <c r="O1160" s="52"/>
      <c r="P1160" s="52"/>
      <c r="Q1160" s="25"/>
      <c r="R1160" s="25"/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/>
      <c r="L1161" s="52"/>
      <c r="M1161" s="52"/>
      <c r="N1161" s="52"/>
      <c r="O1161" s="52"/>
      <c r="P1161" s="52"/>
      <c r="Q1161" s="25"/>
      <c r="R1161" s="25"/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/>
      <c r="L1162" s="52"/>
      <c r="M1162" s="52"/>
      <c r="N1162" s="52"/>
      <c r="O1162" s="52"/>
      <c r="P1162" s="52"/>
      <c r="Q1162" s="25"/>
      <c r="R1162" s="25"/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/>
      <c r="L1163" s="52"/>
      <c r="M1163" s="52"/>
      <c r="N1163" s="52"/>
      <c r="O1163" s="52"/>
      <c r="P1163" s="52"/>
      <c r="Q1163" s="25"/>
      <c r="R1163" s="25"/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/>
      <c r="L1164" s="52"/>
      <c r="M1164" s="52"/>
      <c r="N1164" s="52"/>
      <c r="O1164" s="52"/>
      <c r="P1164" s="52"/>
      <c r="Q1164" s="25"/>
      <c r="R1164" s="25"/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/>
      <c r="L1165" s="52"/>
      <c r="M1165" s="52"/>
      <c r="N1165" s="52"/>
      <c r="O1165" s="52"/>
      <c r="P1165" s="52"/>
      <c r="Q1165" s="25"/>
      <c r="R1165" s="25"/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/>
      <c r="L1166" s="52"/>
      <c r="M1166" s="52"/>
      <c r="N1166" s="52"/>
      <c r="O1166" s="52"/>
      <c r="P1166" s="52"/>
      <c r="Q1166" s="25"/>
      <c r="R1166" s="25"/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/>
      <c r="L1167" s="52"/>
      <c r="M1167" s="52"/>
      <c r="N1167" s="52"/>
      <c r="O1167" s="52"/>
      <c r="P1167" s="52"/>
      <c r="Q1167" s="25"/>
      <c r="R1167" s="25"/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/>
      <c r="L1168" s="52"/>
      <c r="M1168" s="52"/>
      <c r="N1168" s="52"/>
      <c r="O1168" s="52"/>
      <c r="P1168" s="52"/>
      <c r="Q1168" s="25"/>
      <c r="R1168" s="25"/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/>
      <c r="L1169" s="52"/>
      <c r="M1169" s="52"/>
      <c r="N1169" s="52"/>
      <c r="O1169" s="52"/>
      <c r="P1169" s="52"/>
      <c r="Q1169" s="25"/>
      <c r="R1169" s="25"/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/>
      <c r="L1170" s="52"/>
      <c r="M1170" s="52"/>
      <c r="N1170" s="52"/>
      <c r="O1170" s="52"/>
      <c r="P1170" s="52"/>
      <c r="Q1170" s="25"/>
      <c r="R1170" s="25"/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/>
      <c r="L1171" s="52"/>
      <c r="M1171" s="52"/>
      <c r="N1171" s="52"/>
      <c r="O1171" s="52"/>
      <c r="P1171" s="52"/>
      <c r="Q1171" s="25"/>
      <c r="R1171" s="25"/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/>
      <c r="L1172" s="52"/>
      <c r="M1172" s="52"/>
      <c r="N1172" s="52"/>
      <c r="O1172" s="52"/>
      <c r="P1172" s="52"/>
      <c r="Q1172" s="25"/>
      <c r="R1172" s="25"/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/>
      <c r="L1173" s="52"/>
      <c r="M1173" s="52"/>
      <c r="N1173" s="52"/>
      <c r="O1173" s="52"/>
      <c r="P1173" s="52"/>
      <c r="Q1173" s="25"/>
      <c r="R1173" s="25"/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/>
      <c r="L1174" s="52"/>
      <c r="M1174" s="52"/>
      <c r="N1174" s="52"/>
      <c r="O1174" s="52"/>
      <c r="P1174" s="52"/>
      <c r="Q1174" s="25"/>
      <c r="R1174" s="25"/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/>
      <c r="L1175" s="52"/>
      <c r="M1175" s="52"/>
      <c r="N1175" s="52"/>
      <c r="O1175" s="52"/>
      <c r="P1175" s="52"/>
      <c r="Q1175" s="25"/>
      <c r="R1175" s="25"/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/>
      <c r="L1176" s="52"/>
      <c r="M1176" s="52"/>
      <c r="N1176" s="52"/>
      <c r="O1176" s="52"/>
      <c r="P1176" s="52"/>
      <c r="Q1176" s="25"/>
      <c r="R1176" s="25"/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/>
      <c r="L1177" s="52"/>
      <c r="M1177" s="52"/>
      <c r="N1177" s="52"/>
      <c r="O1177" s="52"/>
      <c r="P1177" s="52"/>
      <c r="Q1177" s="25"/>
      <c r="R1177" s="25"/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/>
      <c r="L1178" s="52"/>
      <c r="M1178" s="52"/>
      <c r="N1178" s="52"/>
      <c r="O1178" s="52"/>
      <c r="P1178" s="52"/>
      <c r="Q1178" s="25"/>
      <c r="R1178" s="25"/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/>
      <c r="L1179" s="52"/>
      <c r="M1179" s="52"/>
      <c r="N1179" s="52"/>
      <c r="O1179" s="52"/>
      <c r="P1179" s="52"/>
      <c r="Q1179" s="25"/>
      <c r="R1179" s="25"/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/>
      <c r="L1180" s="52"/>
      <c r="M1180" s="52"/>
      <c r="N1180" s="52"/>
      <c r="O1180" s="52"/>
      <c r="P1180" s="52"/>
      <c r="Q1180" s="25"/>
      <c r="R1180" s="25"/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/>
      <c r="L1181" s="52"/>
      <c r="M1181" s="52"/>
      <c r="N1181" s="52"/>
      <c r="O1181" s="52"/>
      <c r="P1181" s="52"/>
      <c r="Q1181" s="25"/>
      <c r="R1181" s="25"/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/>
      <c r="L1182" s="52"/>
      <c r="M1182" s="52"/>
      <c r="N1182" s="52"/>
      <c r="O1182" s="52"/>
      <c r="P1182" s="52"/>
      <c r="Q1182" s="25"/>
      <c r="R1182" s="25"/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/>
      <c r="L1183" s="52"/>
      <c r="M1183" s="52"/>
      <c r="N1183" s="52"/>
      <c r="O1183" s="52"/>
      <c r="P1183" s="52"/>
      <c r="Q1183" s="25"/>
      <c r="R1183" s="25"/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/>
      <c r="L1184" s="52"/>
      <c r="M1184" s="52"/>
      <c r="N1184" s="52"/>
      <c r="O1184" s="52"/>
      <c r="P1184" s="52"/>
      <c r="Q1184" s="25"/>
      <c r="R1184" s="25"/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/>
      <c r="L1185" s="52"/>
      <c r="M1185" s="52"/>
      <c r="N1185" s="52"/>
      <c r="O1185" s="52"/>
      <c r="P1185" s="52"/>
      <c r="Q1185" s="25"/>
      <c r="R1185" s="25"/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/>
      <c r="L1186" s="52"/>
      <c r="M1186" s="52"/>
      <c r="N1186" s="52"/>
      <c r="O1186" s="52"/>
      <c r="P1186" s="52"/>
      <c r="Q1186" s="25"/>
      <c r="R1186" s="25"/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/>
      <c r="L1187" s="52"/>
      <c r="M1187" s="52"/>
      <c r="N1187" s="52"/>
      <c r="O1187" s="52"/>
      <c r="P1187" s="52"/>
      <c r="Q1187" s="25"/>
      <c r="R1187" s="25"/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/>
      <c r="L1188" s="52"/>
      <c r="M1188" s="52"/>
      <c r="N1188" s="52"/>
      <c r="O1188" s="52"/>
      <c r="P1188" s="52"/>
      <c r="Q1188" s="25"/>
      <c r="R1188" s="25"/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/>
      <c r="L1189" s="52"/>
      <c r="M1189" s="52"/>
      <c r="N1189" s="52"/>
      <c r="O1189" s="52"/>
      <c r="P1189" s="52"/>
      <c r="Q1189" s="25"/>
      <c r="R1189" s="25"/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/>
      <c r="L1190" s="52"/>
      <c r="M1190" s="52"/>
      <c r="N1190" s="52"/>
      <c r="O1190" s="52"/>
      <c r="P1190" s="52"/>
      <c r="Q1190" s="25"/>
      <c r="R1190" s="25"/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/>
      <c r="L1191" s="52"/>
      <c r="M1191" s="52"/>
      <c r="N1191" s="52"/>
      <c r="O1191" s="52"/>
      <c r="P1191" s="52"/>
      <c r="Q1191" s="25"/>
      <c r="R1191" s="25"/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/>
      <c r="L1192" s="52"/>
      <c r="M1192" s="52"/>
      <c r="N1192" s="52"/>
      <c r="O1192" s="52"/>
      <c r="P1192" s="52"/>
      <c r="Q1192" s="25"/>
      <c r="R1192" s="25"/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/>
      <c r="L1193" s="52"/>
      <c r="M1193" s="52"/>
      <c r="N1193" s="52"/>
      <c r="O1193" s="52"/>
      <c r="P1193" s="52"/>
      <c r="Q1193" s="25"/>
      <c r="R1193" s="25"/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/>
      <c r="L1194" s="52"/>
      <c r="M1194" s="52"/>
      <c r="N1194" s="52"/>
      <c r="O1194" s="52"/>
      <c r="P1194" s="52"/>
      <c r="Q1194" s="25"/>
      <c r="R1194" s="25"/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/>
      <c r="L1195" s="52"/>
      <c r="M1195" s="52"/>
      <c r="N1195" s="52"/>
      <c r="O1195" s="52"/>
      <c r="P1195" s="52"/>
      <c r="Q1195" s="25"/>
      <c r="R1195" s="25"/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/>
      <c r="L1196" s="52"/>
      <c r="M1196" s="52"/>
      <c r="N1196" s="52"/>
      <c r="O1196" s="52"/>
      <c r="P1196" s="52"/>
      <c r="Q1196" s="25"/>
      <c r="R1196" s="25"/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/>
      <c r="L1197" s="52"/>
      <c r="M1197" s="52"/>
      <c r="N1197" s="52"/>
      <c r="O1197" s="52"/>
      <c r="P1197" s="52"/>
      <c r="Q1197" s="25"/>
      <c r="R1197" s="25"/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/>
      <c r="L1198" s="52"/>
      <c r="M1198" s="52"/>
      <c r="N1198" s="52"/>
      <c r="O1198" s="52"/>
      <c r="P1198" s="52"/>
      <c r="Q1198" s="25"/>
      <c r="R1198" s="25"/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/>
      <c r="L1199" s="52"/>
      <c r="M1199" s="52"/>
      <c r="N1199" s="52"/>
      <c r="O1199" s="52"/>
      <c r="P1199" s="52"/>
      <c r="Q1199" s="25"/>
      <c r="R1199" s="25"/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/>
      <c r="L1200" s="52"/>
      <c r="M1200" s="52"/>
      <c r="N1200" s="52"/>
      <c r="O1200" s="52"/>
      <c r="P1200" s="52"/>
      <c r="Q1200" s="25"/>
      <c r="R1200" s="25"/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/>
      <c r="L1201" s="52"/>
      <c r="M1201" s="52"/>
      <c r="N1201" s="52"/>
      <c r="O1201" s="52"/>
      <c r="P1201" s="52"/>
      <c r="Q1201" s="25"/>
      <c r="R1201" s="25"/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/>
      <c r="L1202" s="52"/>
      <c r="M1202" s="52"/>
      <c r="N1202" s="52"/>
      <c r="O1202" s="52"/>
      <c r="P1202" s="52"/>
      <c r="Q1202" s="25"/>
      <c r="R1202" s="25"/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/>
      <c r="L1203" s="52"/>
      <c r="M1203" s="52"/>
      <c r="N1203" s="52"/>
      <c r="O1203" s="52"/>
      <c r="P1203" s="52"/>
      <c r="Q1203" s="25"/>
      <c r="R1203" s="25"/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/>
      <c r="L1204" s="52"/>
      <c r="M1204" s="52"/>
      <c r="N1204" s="52"/>
      <c r="O1204" s="52"/>
      <c r="P1204" s="52"/>
      <c r="Q1204" s="25"/>
      <c r="R1204" s="25"/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/>
      <c r="L1205" s="52"/>
      <c r="M1205" s="52"/>
      <c r="N1205" s="52"/>
      <c r="O1205" s="52"/>
      <c r="P1205" s="52"/>
      <c r="Q1205" s="25"/>
      <c r="R1205" s="25"/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/>
      <c r="L1206" s="52"/>
      <c r="M1206" s="52"/>
      <c r="N1206" s="52"/>
      <c r="O1206" s="52"/>
      <c r="P1206" s="52"/>
      <c r="Q1206" s="25"/>
      <c r="R1206" s="25"/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/>
      <c r="L1207" s="52"/>
      <c r="M1207" s="52"/>
      <c r="N1207" s="52"/>
      <c r="O1207" s="52"/>
      <c r="P1207" s="52"/>
      <c r="Q1207" s="25"/>
      <c r="R1207" s="25"/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/>
      <c r="L1208" s="52"/>
      <c r="M1208" s="52"/>
      <c r="N1208" s="52"/>
      <c r="O1208" s="52"/>
      <c r="P1208" s="52"/>
      <c r="Q1208" s="25"/>
      <c r="R1208" s="25"/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/>
      <c r="L1209" s="52"/>
      <c r="M1209" s="52"/>
      <c r="N1209" s="52"/>
      <c r="O1209" s="52"/>
      <c r="P1209" s="52"/>
      <c r="Q1209" s="25"/>
      <c r="R1209" s="25"/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/>
      <c r="L1210" s="52"/>
      <c r="M1210" s="52"/>
      <c r="N1210" s="52"/>
      <c r="O1210" s="52"/>
      <c r="P1210" s="52"/>
      <c r="Q1210" s="25"/>
      <c r="R1210" s="25"/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/>
      <c r="L1211" s="52"/>
      <c r="M1211" s="52"/>
      <c r="N1211" s="52"/>
      <c r="O1211" s="52"/>
      <c r="P1211" s="52"/>
      <c r="Q1211" s="25"/>
      <c r="R1211" s="25"/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/>
      <c r="L1212" s="52"/>
      <c r="M1212" s="52"/>
      <c r="N1212" s="52"/>
      <c r="O1212" s="52"/>
      <c r="P1212" s="52"/>
      <c r="Q1212" s="25"/>
      <c r="R1212" s="25"/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/>
      <c r="L1213" s="52"/>
      <c r="M1213" s="52"/>
      <c r="N1213" s="52"/>
      <c r="O1213" s="52"/>
      <c r="P1213" s="52"/>
      <c r="Q1213" s="25"/>
      <c r="R1213" s="25"/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/>
      <c r="L1214" s="52"/>
      <c r="M1214" s="52"/>
      <c r="N1214" s="52"/>
      <c r="O1214" s="52"/>
      <c r="P1214" s="52"/>
      <c r="Q1214" s="25"/>
      <c r="R1214" s="25"/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/>
      <c r="L1215" s="52"/>
      <c r="M1215" s="52"/>
      <c r="N1215" s="52"/>
      <c r="O1215" s="52"/>
      <c r="P1215" s="52"/>
      <c r="Q1215" s="25"/>
      <c r="R1215" s="25"/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/>
      <c r="L1216" s="52"/>
      <c r="M1216" s="52"/>
      <c r="N1216" s="52"/>
      <c r="O1216" s="52"/>
      <c r="P1216" s="52"/>
      <c r="Q1216" s="25"/>
      <c r="R1216" s="25"/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/>
      <c r="L1217" s="52"/>
      <c r="M1217" s="52"/>
      <c r="N1217" s="52"/>
      <c r="O1217" s="52"/>
      <c r="P1217" s="52"/>
      <c r="Q1217" s="25"/>
      <c r="R1217" s="25"/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/>
      <c r="L1218" s="52"/>
      <c r="M1218" s="52"/>
      <c r="N1218" s="52"/>
      <c r="O1218" s="52"/>
      <c r="P1218" s="52"/>
      <c r="Q1218" s="25"/>
      <c r="R1218" s="25"/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/>
      <c r="L1219" s="52"/>
      <c r="M1219" s="52"/>
      <c r="N1219" s="52"/>
      <c r="O1219" s="52"/>
      <c r="P1219" s="52"/>
      <c r="Q1219" s="25"/>
      <c r="R1219" s="25"/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/>
      <c r="L1220" s="52"/>
      <c r="M1220" s="52"/>
      <c r="N1220" s="52"/>
      <c r="O1220" s="52"/>
      <c r="P1220" s="52"/>
      <c r="Q1220" s="25"/>
      <c r="R1220" s="25"/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/>
      <c r="L1221" s="52"/>
      <c r="M1221" s="52"/>
      <c r="N1221" s="52"/>
      <c r="O1221" s="52"/>
      <c r="P1221" s="52"/>
      <c r="Q1221" s="25"/>
      <c r="R1221" s="25"/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/>
      <c r="L1222" s="52"/>
      <c r="M1222" s="52"/>
      <c r="N1222" s="52"/>
      <c r="O1222" s="52"/>
      <c r="P1222" s="52"/>
      <c r="Q1222" s="25"/>
      <c r="R1222" s="25"/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/>
      <c r="L1223" s="52"/>
      <c r="M1223" s="52"/>
      <c r="N1223" s="52"/>
      <c r="O1223" s="52"/>
      <c r="P1223" s="52"/>
      <c r="Q1223" s="25"/>
      <c r="R1223" s="25"/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/>
      <c r="L1224" s="52"/>
      <c r="M1224" s="52"/>
      <c r="N1224" s="52"/>
      <c r="O1224" s="52"/>
      <c r="P1224" s="52"/>
      <c r="Q1224" s="25"/>
      <c r="R1224" s="25"/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/>
      <c r="L1225" s="52"/>
      <c r="M1225" s="52"/>
      <c r="N1225" s="52"/>
      <c r="O1225" s="52"/>
      <c r="P1225" s="52"/>
      <c r="Q1225" s="25"/>
      <c r="R1225" s="25"/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/>
      <c r="L1226" s="52"/>
      <c r="M1226" s="52"/>
      <c r="N1226" s="52"/>
      <c r="O1226" s="52"/>
      <c r="P1226" s="52"/>
      <c r="Q1226" s="25"/>
      <c r="R1226" s="25"/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/>
      <c r="L1227" s="52"/>
      <c r="M1227" s="52"/>
      <c r="N1227" s="52"/>
      <c r="O1227" s="52"/>
      <c r="P1227" s="52"/>
      <c r="Q1227" s="25"/>
      <c r="R1227" s="25"/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/>
      <c r="L1228" s="52"/>
      <c r="M1228" s="52"/>
      <c r="N1228" s="52"/>
      <c r="O1228" s="52"/>
      <c r="P1228" s="52"/>
      <c r="Q1228" s="25"/>
      <c r="R1228" s="25"/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/>
      <c r="L1229" s="52"/>
      <c r="M1229" s="52"/>
      <c r="N1229" s="52"/>
      <c r="O1229" s="52"/>
      <c r="P1229" s="52"/>
      <c r="Q1229" s="25"/>
      <c r="R1229" s="25"/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/>
      <c r="L1230" s="52"/>
      <c r="M1230" s="52"/>
      <c r="N1230" s="52"/>
      <c r="O1230" s="52"/>
      <c r="P1230" s="52"/>
      <c r="Q1230" s="25"/>
      <c r="R1230" s="25"/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/>
      <c r="L1231" s="52"/>
      <c r="M1231" s="52"/>
      <c r="N1231" s="52"/>
      <c r="O1231" s="52"/>
      <c r="P1231" s="52"/>
      <c r="Q1231" s="25"/>
      <c r="R1231" s="25"/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/>
      <c r="L1232" s="52"/>
      <c r="M1232" s="52"/>
      <c r="N1232" s="52"/>
      <c r="O1232" s="52"/>
      <c r="P1232" s="52"/>
      <c r="Q1232" s="25"/>
      <c r="R1232" s="25"/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/>
      <c r="L1233" s="52"/>
      <c r="M1233" s="52"/>
      <c r="N1233" s="52"/>
      <c r="O1233" s="52"/>
      <c r="P1233" s="52"/>
      <c r="Q1233" s="25"/>
      <c r="R1233" s="25"/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/>
      <c r="L1234" s="52"/>
      <c r="M1234" s="52"/>
      <c r="N1234" s="52"/>
      <c r="O1234" s="52"/>
      <c r="P1234" s="52"/>
      <c r="Q1234" s="25"/>
      <c r="R1234" s="25"/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/>
      <c r="L1235" s="52"/>
      <c r="M1235" s="52"/>
      <c r="N1235" s="52"/>
      <c r="O1235" s="52"/>
      <c r="P1235" s="52"/>
      <c r="Q1235" s="25"/>
      <c r="R1235" s="25"/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/>
      <c r="L1236" s="52"/>
      <c r="M1236" s="52"/>
      <c r="N1236" s="52"/>
      <c r="O1236" s="52"/>
      <c r="P1236" s="52"/>
      <c r="Q1236" s="25"/>
      <c r="R1236" s="25"/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/>
      <c r="L1237" s="52"/>
      <c r="M1237" s="52"/>
      <c r="N1237" s="52"/>
      <c r="O1237" s="52"/>
      <c r="P1237" s="52"/>
      <c r="Q1237" s="25"/>
      <c r="R1237" s="25"/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/>
      <c r="L1238" s="52"/>
      <c r="M1238" s="52"/>
      <c r="N1238" s="52"/>
      <c r="O1238" s="52"/>
      <c r="P1238" s="52"/>
      <c r="Q1238" s="25"/>
      <c r="R1238" s="25"/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/>
      <c r="L1239" s="52"/>
      <c r="M1239" s="52"/>
      <c r="N1239" s="52"/>
      <c r="O1239" s="52"/>
      <c r="P1239" s="52"/>
      <c r="Q1239" s="25"/>
      <c r="R1239" s="25"/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/>
      <c r="L1240" s="52"/>
      <c r="M1240" s="52"/>
      <c r="N1240" s="52"/>
      <c r="O1240" s="52"/>
      <c r="P1240" s="52"/>
      <c r="Q1240" s="25"/>
      <c r="R1240" s="25"/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/>
      <c r="L1241" s="52"/>
      <c r="M1241" s="52"/>
      <c r="N1241" s="52"/>
      <c r="O1241" s="52"/>
      <c r="P1241" s="52"/>
      <c r="Q1241" s="25"/>
      <c r="R1241" s="25"/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/>
      <c r="L1242" s="52"/>
      <c r="M1242" s="52"/>
      <c r="N1242" s="52"/>
      <c r="O1242" s="52"/>
      <c r="P1242" s="52"/>
      <c r="Q1242" s="25"/>
      <c r="R1242" s="25"/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/>
      <c r="L1243" s="52"/>
      <c r="M1243" s="52"/>
      <c r="N1243" s="52"/>
      <c r="O1243" s="52"/>
      <c r="P1243" s="52"/>
      <c r="Q1243" s="25"/>
      <c r="R1243" s="25"/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/>
      <c r="L1244" s="52"/>
      <c r="M1244" s="52"/>
      <c r="N1244" s="52"/>
      <c r="O1244" s="52"/>
      <c r="P1244" s="52"/>
      <c r="Q1244" s="25"/>
      <c r="R1244" s="25"/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/>
      <c r="L1245" s="52"/>
      <c r="M1245" s="52"/>
      <c r="N1245" s="52"/>
      <c r="O1245" s="52"/>
      <c r="P1245" s="52"/>
      <c r="Q1245" s="25"/>
      <c r="R1245" s="25"/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/>
      <c r="L1246" s="52"/>
      <c r="M1246" s="52"/>
      <c r="N1246" s="52"/>
      <c r="O1246" s="52"/>
      <c r="P1246" s="52"/>
      <c r="Q1246" s="25"/>
      <c r="R1246" s="25"/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/>
      <c r="L1247" s="52"/>
      <c r="M1247" s="52"/>
      <c r="N1247" s="52"/>
      <c r="O1247" s="52"/>
      <c r="P1247" s="52"/>
      <c r="Q1247" s="25"/>
      <c r="R1247" s="25"/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/>
      <c r="L1248" s="52"/>
      <c r="M1248" s="52"/>
      <c r="N1248" s="52"/>
      <c r="O1248" s="52"/>
      <c r="P1248" s="52"/>
      <c r="Q1248" s="25"/>
      <c r="R1248" s="25"/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/>
      <c r="L1249" s="52"/>
      <c r="M1249" s="52"/>
      <c r="N1249" s="52"/>
      <c r="O1249" s="52"/>
      <c r="P1249" s="52"/>
      <c r="Q1249" s="25"/>
      <c r="R1249" s="25"/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/>
      <c r="L1250" s="52"/>
      <c r="M1250" s="52"/>
      <c r="N1250" s="52"/>
      <c r="O1250" s="52"/>
      <c r="P1250" s="52"/>
      <c r="Q1250" s="25"/>
      <c r="R1250" s="25"/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/>
      <c r="L1251" s="52"/>
      <c r="M1251" s="52"/>
      <c r="N1251" s="52"/>
      <c r="O1251" s="52"/>
      <c r="P1251" s="52"/>
      <c r="Q1251" s="25"/>
      <c r="R1251" s="25"/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/>
      <c r="L1252" s="52"/>
      <c r="M1252" s="52"/>
      <c r="N1252" s="52"/>
      <c r="O1252" s="52"/>
      <c r="P1252" s="52"/>
      <c r="Q1252" s="25"/>
      <c r="R1252" s="25"/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/>
      <c r="L1253" s="52"/>
      <c r="M1253" s="52"/>
      <c r="N1253" s="52"/>
      <c r="O1253" s="52"/>
      <c r="P1253" s="52"/>
      <c r="Q1253" s="25"/>
      <c r="R1253" s="25"/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/>
      <c r="L1254" s="52"/>
      <c r="M1254" s="52"/>
      <c r="N1254" s="52"/>
      <c r="O1254" s="52"/>
      <c r="P1254" s="52"/>
      <c r="Q1254" s="25"/>
      <c r="R1254" s="25"/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/>
      <c r="L1255" s="52"/>
      <c r="M1255" s="52"/>
      <c r="N1255" s="52"/>
      <c r="O1255" s="52"/>
      <c r="P1255" s="52"/>
      <c r="Q1255" s="25"/>
      <c r="R1255" s="25"/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/>
      <c r="L1256" s="52"/>
      <c r="M1256" s="52"/>
      <c r="N1256" s="52"/>
      <c r="O1256" s="52"/>
      <c r="P1256" s="52"/>
      <c r="Q1256" s="25"/>
      <c r="R1256" s="25"/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/>
      <c r="L1257" s="52"/>
      <c r="M1257" s="52"/>
      <c r="N1257" s="52"/>
      <c r="O1257" s="52"/>
      <c r="P1257" s="52"/>
      <c r="Q1257" s="25"/>
      <c r="R1257" s="25"/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/>
      <c r="L1258" s="52"/>
      <c r="M1258" s="52"/>
      <c r="N1258" s="52"/>
      <c r="O1258" s="52"/>
      <c r="P1258" s="52"/>
      <c r="Q1258" s="25"/>
      <c r="R1258" s="25"/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/>
      <c r="L1259" s="52"/>
      <c r="M1259" s="52"/>
      <c r="N1259" s="52"/>
      <c r="O1259" s="52"/>
      <c r="P1259" s="52"/>
      <c r="Q1259" s="25"/>
      <c r="R1259" s="25"/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/>
      <c r="L1260" s="52"/>
      <c r="M1260" s="52"/>
      <c r="N1260" s="52"/>
      <c r="O1260" s="52"/>
      <c r="P1260" s="52"/>
      <c r="Q1260" s="25"/>
      <c r="R1260" s="25"/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/>
      <c r="L1261" s="52"/>
      <c r="M1261" s="52"/>
      <c r="N1261" s="52"/>
      <c r="O1261" s="52"/>
      <c r="P1261" s="52"/>
      <c r="Q1261" s="25"/>
      <c r="R1261" s="25"/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/>
      <c r="L1262" s="52"/>
      <c r="M1262" s="52"/>
      <c r="N1262" s="52"/>
      <c r="O1262" s="52"/>
      <c r="P1262" s="52"/>
      <c r="Q1262" s="25"/>
      <c r="R1262" s="25"/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/>
      <c r="L1263" s="52"/>
      <c r="M1263" s="52"/>
      <c r="N1263" s="52"/>
      <c r="O1263" s="52"/>
      <c r="P1263" s="52"/>
      <c r="Q1263" s="25"/>
      <c r="R1263" s="25"/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/>
      <c r="L1264" s="52"/>
      <c r="M1264" s="52"/>
      <c r="N1264" s="52"/>
      <c r="O1264" s="52"/>
      <c r="P1264" s="52"/>
      <c r="Q1264" s="25"/>
      <c r="R1264" s="25"/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/>
      <c r="L1265" s="52"/>
      <c r="M1265" s="52"/>
      <c r="N1265" s="52"/>
      <c r="O1265" s="52"/>
      <c r="P1265" s="52"/>
      <c r="Q1265" s="25"/>
      <c r="R1265" s="25"/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/>
      <c r="L1266" s="52"/>
      <c r="M1266" s="52"/>
      <c r="N1266" s="52"/>
      <c r="O1266" s="52"/>
      <c r="P1266" s="52"/>
      <c r="Q1266" s="25"/>
      <c r="R1266" s="25"/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/>
      <c r="L1267" s="52"/>
      <c r="M1267" s="52"/>
      <c r="N1267" s="52"/>
      <c r="O1267" s="52"/>
      <c r="P1267" s="52"/>
      <c r="Q1267" s="25"/>
      <c r="R1267" s="25"/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/>
      <c r="L1268" s="52"/>
      <c r="M1268" s="52"/>
      <c r="N1268" s="52"/>
      <c r="O1268" s="52"/>
      <c r="P1268" s="52"/>
      <c r="Q1268" s="25"/>
      <c r="R1268" s="25"/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/>
      <c r="L1269" s="52"/>
      <c r="M1269" s="52"/>
      <c r="N1269" s="52"/>
      <c r="O1269" s="52"/>
      <c r="P1269" s="52"/>
      <c r="Q1269" s="25"/>
      <c r="R1269" s="25"/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/>
      <c r="L1270" s="52"/>
      <c r="M1270" s="52"/>
      <c r="N1270" s="52"/>
      <c r="O1270" s="52"/>
      <c r="P1270" s="52"/>
      <c r="Q1270" s="25"/>
      <c r="R1270" s="25"/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zoomScale="75" zoomScaleNormal="75" zoomScaleSheetLayoutView="80" workbookViewId="0">
      <selection activeCell="B9" sqref="B9:AB4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3" t="s">
        <v>216</v>
      </c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6"/>
      <c r="AD1" s="6"/>
      <c r="AE1" s="6"/>
      <c r="AF1" s="6"/>
      <c r="AG1" s="6"/>
      <c r="AH1" s="6"/>
      <c r="AI1" s="6"/>
    </row>
    <row r="2" spans="2:35" ht="15">
      <c r="B2" s="123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7"/>
      <c r="AD2" s="7"/>
      <c r="AE2" s="7"/>
      <c r="AF2" s="7"/>
      <c r="AG2" s="7"/>
      <c r="AH2" s="7"/>
      <c r="AI2" s="7"/>
    </row>
    <row r="3" spans="2:35" ht="15"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2:35" ht="15" customHeight="1">
      <c r="B4" s="26" t="s">
        <v>2</v>
      </c>
      <c r="C4" s="65" t="s">
        <v>572</v>
      </c>
      <c r="E4" s="1" t="s">
        <v>153</v>
      </c>
      <c r="F4" s="141" t="s">
        <v>567</v>
      </c>
      <c r="G4" s="142"/>
      <c r="I4" s="27" t="s">
        <v>154</v>
      </c>
      <c r="J4" s="5"/>
      <c r="K4" s="5"/>
      <c r="L4" s="66" t="s">
        <v>569</v>
      </c>
      <c r="M4" s="80"/>
      <c r="N4" s="1" t="s">
        <v>156</v>
      </c>
      <c r="O4" s="126" t="s">
        <v>235</v>
      </c>
      <c r="P4" s="127"/>
      <c r="Q4" s="127"/>
      <c r="R4" s="127"/>
      <c r="S4" s="127"/>
      <c r="T4" s="127"/>
      <c r="V4" s="1" t="s">
        <v>157</v>
      </c>
      <c r="W4" s="43" t="s">
        <v>236</v>
      </c>
      <c r="Y4" s="27" t="s">
        <v>6</v>
      </c>
      <c r="Z4" s="68" t="s">
        <v>234</v>
      </c>
      <c r="AA4" s="32" t="s">
        <v>7</v>
      </c>
      <c r="AB4" s="68" t="s">
        <v>504</v>
      </c>
      <c r="AE4" s="10"/>
      <c r="AF4" s="5"/>
    </row>
    <row r="5" spans="2:35" ht="15" customHeight="1">
      <c r="B5" s="80"/>
      <c r="C5" s="80"/>
      <c r="D5" s="80"/>
      <c r="E5" s="22"/>
      <c r="F5" s="80"/>
      <c r="G5" s="80"/>
      <c r="I5" s="28" t="s">
        <v>155</v>
      </c>
      <c r="J5" s="80"/>
      <c r="K5" s="80"/>
      <c r="L5" s="67" t="s">
        <v>568</v>
      </c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</row>
    <row r="6" spans="2:35" ht="13.5" thickBot="1"/>
    <row r="7" spans="2:35" ht="30.75" customHeight="1">
      <c r="B7" s="128" t="s">
        <v>34</v>
      </c>
      <c r="C7" s="121" t="s">
        <v>144</v>
      </c>
      <c r="D7" s="130" t="s">
        <v>9</v>
      </c>
      <c r="E7" s="121" t="s">
        <v>35</v>
      </c>
      <c r="F7" s="133" t="s">
        <v>12</v>
      </c>
      <c r="G7" s="134"/>
      <c r="H7" s="135"/>
      <c r="I7" s="130" t="s">
        <v>147</v>
      </c>
      <c r="J7" s="121" t="s">
        <v>15</v>
      </c>
      <c r="K7" s="121" t="s">
        <v>217</v>
      </c>
      <c r="L7" s="133" t="s">
        <v>17</v>
      </c>
      <c r="M7" s="134"/>
      <c r="N7" s="135"/>
      <c r="O7" s="130" t="s">
        <v>148</v>
      </c>
      <c r="P7" s="121" t="s">
        <v>18</v>
      </c>
      <c r="Q7" s="121" t="s">
        <v>218</v>
      </c>
      <c r="R7" s="121" t="s">
        <v>219</v>
      </c>
      <c r="S7" s="121" t="s">
        <v>221</v>
      </c>
      <c r="T7" s="121" t="s">
        <v>220</v>
      </c>
      <c r="U7" s="121" t="s">
        <v>149</v>
      </c>
      <c r="V7" s="138" t="s">
        <v>152</v>
      </c>
      <c r="W7" s="139"/>
      <c r="X7" s="140"/>
      <c r="Y7" s="121" t="s">
        <v>151</v>
      </c>
      <c r="Z7" s="121" t="s">
        <v>224</v>
      </c>
      <c r="AA7" s="130" t="s">
        <v>20</v>
      </c>
      <c r="AB7" s="136" t="s">
        <v>21</v>
      </c>
      <c r="AD7" s="19"/>
    </row>
    <row r="8" spans="2:35" ht="38.25" customHeight="1">
      <c r="B8" s="129"/>
      <c r="C8" s="122"/>
      <c r="D8" s="131"/>
      <c r="E8" s="132"/>
      <c r="F8" s="81" t="s">
        <v>158</v>
      </c>
      <c r="G8" s="81" t="s">
        <v>145</v>
      </c>
      <c r="H8" s="24" t="s">
        <v>146</v>
      </c>
      <c r="I8" s="131"/>
      <c r="J8" s="122"/>
      <c r="K8" s="122"/>
      <c r="L8" s="81" t="s">
        <v>158</v>
      </c>
      <c r="M8" s="81" t="s">
        <v>145</v>
      </c>
      <c r="N8" s="81" t="s">
        <v>146</v>
      </c>
      <c r="O8" s="131"/>
      <c r="P8" s="122"/>
      <c r="Q8" s="122"/>
      <c r="R8" s="122"/>
      <c r="S8" s="122"/>
      <c r="T8" s="122"/>
      <c r="U8" s="122"/>
      <c r="V8" s="29" t="s">
        <v>150</v>
      </c>
      <c r="W8" s="30" t="s">
        <v>222</v>
      </c>
      <c r="X8" s="30" t="s">
        <v>223</v>
      </c>
      <c r="Y8" s="122"/>
      <c r="Z8" s="122"/>
      <c r="AA8" s="131"/>
      <c r="AB8" s="137"/>
    </row>
    <row r="9" spans="2:35" s="19" customFormat="1">
      <c r="B9" s="40" t="s">
        <v>547</v>
      </c>
      <c r="C9" s="40"/>
      <c r="D9" s="41">
        <v>3</v>
      </c>
      <c r="E9" s="42">
        <v>1</v>
      </c>
      <c r="F9" s="42" t="s">
        <v>37</v>
      </c>
      <c r="G9" s="43" t="s">
        <v>37</v>
      </c>
      <c r="H9" s="42" t="s">
        <v>254</v>
      </c>
      <c r="I9" s="43"/>
      <c r="J9" s="43">
        <v>1</v>
      </c>
      <c r="K9" s="25" t="str">
        <f>VLOOKUP(J9,[2]Key!$E$2:$F$9,2,FALSE)</f>
        <v>Home</v>
      </c>
      <c r="L9" s="42" t="s">
        <v>261</v>
      </c>
      <c r="M9" s="43" t="s">
        <v>37</v>
      </c>
      <c r="N9" s="42" t="s">
        <v>254</v>
      </c>
      <c r="O9" s="43"/>
      <c r="P9" s="43">
        <v>2</v>
      </c>
      <c r="Q9" s="25" t="str">
        <f>VLOOKUP(P9,[2]Key!$E$2:$F$9,2,FALSE)</f>
        <v>Work</v>
      </c>
      <c r="R9" s="25" t="str">
        <f>K9&amp;"-"&amp;Q9</f>
        <v>Home-Work</v>
      </c>
      <c r="S9" s="62"/>
      <c r="T9" s="62" t="s">
        <v>548</v>
      </c>
      <c r="U9" s="43">
        <v>2</v>
      </c>
      <c r="V9" s="43"/>
      <c r="W9" s="62"/>
      <c r="X9" s="62"/>
      <c r="Y9" s="63"/>
      <c r="Z9" s="76"/>
      <c r="AA9" s="25"/>
      <c r="AB9" s="25"/>
    </row>
    <row r="10" spans="2:35">
      <c r="B10" s="40" t="s">
        <v>549</v>
      </c>
      <c r="C10" s="40"/>
      <c r="D10" s="41">
        <v>4</v>
      </c>
      <c r="E10" s="42">
        <v>2</v>
      </c>
      <c r="F10" s="42" t="s">
        <v>37</v>
      </c>
      <c r="G10" s="43" t="s">
        <v>37</v>
      </c>
      <c r="H10" s="42" t="s">
        <v>254</v>
      </c>
      <c r="I10" s="43"/>
      <c r="J10" s="43">
        <v>7</v>
      </c>
      <c r="K10" s="25" t="str">
        <f>VLOOKUP(J10,[2]Key!$E$2:$F$9,2,FALSE)</f>
        <v>Hospital</v>
      </c>
      <c r="L10" s="42" t="s">
        <v>38</v>
      </c>
      <c r="M10" s="43" t="s">
        <v>37</v>
      </c>
      <c r="N10" s="42" t="s">
        <v>254</v>
      </c>
      <c r="O10" s="43"/>
      <c r="P10" s="43">
        <v>1</v>
      </c>
      <c r="Q10" s="25" t="str">
        <f>VLOOKUP(P10,[2]Key!$E$2:$F$9,2,FALSE)</f>
        <v>Home</v>
      </c>
      <c r="R10" s="25" t="str">
        <f t="shared" ref="R10:R73" si="0">K10&amp;"-"&amp;Q10</f>
        <v>Hospital-Home</v>
      </c>
      <c r="S10" s="62"/>
      <c r="T10" s="62" t="s">
        <v>548</v>
      </c>
      <c r="U10" s="43">
        <v>4</v>
      </c>
      <c r="V10" s="43"/>
      <c r="W10" s="62"/>
      <c r="X10" s="62"/>
      <c r="Y10" s="63"/>
      <c r="Z10" s="76"/>
      <c r="AA10" s="25"/>
      <c r="AB10" s="25"/>
    </row>
    <row r="11" spans="2:35">
      <c r="B11" s="40" t="s">
        <v>263</v>
      </c>
      <c r="C11" s="40"/>
      <c r="D11" s="41">
        <v>3</v>
      </c>
      <c r="E11" s="42">
        <v>2</v>
      </c>
      <c r="F11" s="42" t="s">
        <v>241</v>
      </c>
      <c r="G11" s="43" t="s">
        <v>67</v>
      </c>
      <c r="H11" s="42" t="s">
        <v>254</v>
      </c>
      <c r="I11" s="43"/>
      <c r="J11" s="43">
        <v>1</v>
      </c>
      <c r="K11" s="25" t="str">
        <f>VLOOKUP(J11,[2]Key!$E$2:$F$9,2,FALSE)</f>
        <v>Home</v>
      </c>
      <c r="L11" s="42" t="s">
        <v>38</v>
      </c>
      <c r="M11" s="43" t="s">
        <v>37</v>
      </c>
      <c r="N11" s="42" t="s">
        <v>254</v>
      </c>
      <c r="O11" s="43"/>
      <c r="P11" s="43">
        <v>2</v>
      </c>
      <c r="Q11" s="25" t="str">
        <f>VLOOKUP(P11,[2]Key!$E$2:$F$9,2,FALSE)</f>
        <v>Work</v>
      </c>
      <c r="R11" s="25" t="str">
        <f t="shared" si="0"/>
        <v>Home-Work</v>
      </c>
      <c r="S11" s="62"/>
      <c r="T11" s="62">
        <v>1</v>
      </c>
      <c r="U11" s="43">
        <v>4</v>
      </c>
      <c r="V11" s="43"/>
      <c r="W11" s="62"/>
      <c r="X11" s="62"/>
      <c r="Y11" s="63"/>
      <c r="Z11" s="76"/>
      <c r="AA11" s="25"/>
      <c r="AB11" s="25"/>
    </row>
    <row r="12" spans="2:35">
      <c r="B12" s="40" t="s">
        <v>510</v>
      </c>
      <c r="C12" s="40"/>
      <c r="D12" s="41">
        <v>2</v>
      </c>
      <c r="E12" s="42">
        <v>2</v>
      </c>
      <c r="F12" s="42" t="s">
        <v>37</v>
      </c>
      <c r="G12" s="43" t="s">
        <v>37</v>
      </c>
      <c r="H12" s="42" t="s">
        <v>254</v>
      </c>
      <c r="I12" s="43"/>
      <c r="J12" s="43">
        <v>2</v>
      </c>
      <c r="K12" s="25" t="str">
        <f>VLOOKUP(J12,[2]Key!$E$2:$F$9,2,FALSE)</f>
        <v>Work</v>
      </c>
      <c r="L12" s="42" t="s">
        <v>258</v>
      </c>
      <c r="M12" s="43" t="s">
        <v>37</v>
      </c>
      <c r="N12" s="42" t="s">
        <v>254</v>
      </c>
      <c r="O12" s="43"/>
      <c r="P12" s="43">
        <v>4</v>
      </c>
      <c r="Q12" s="25" t="str">
        <f>VLOOKUP(P12,[2]Key!$E$2:$F$9,2,FALSE)</f>
        <v>Commercial</v>
      </c>
      <c r="R12" s="25" t="str">
        <f t="shared" si="0"/>
        <v>Work-Commercial</v>
      </c>
      <c r="S12" s="62"/>
      <c r="T12" s="62">
        <v>0.75</v>
      </c>
      <c r="U12" s="43">
        <v>3</v>
      </c>
      <c r="V12" s="43"/>
      <c r="W12" s="62"/>
      <c r="X12" s="62"/>
      <c r="Y12" s="63"/>
      <c r="Z12" s="76"/>
      <c r="AA12" s="25"/>
      <c r="AB12" s="25"/>
    </row>
    <row r="13" spans="2:35">
      <c r="B13" s="40" t="s">
        <v>452</v>
      </c>
      <c r="C13" s="40"/>
      <c r="D13" s="41">
        <v>3</v>
      </c>
      <c r="E13" s="42">
        <v>1</v>
      </c>
      <c r="F13" s="42" t="s">
        <v>37</v>
      </c>
      <c r="G13" s="43" t="s">
        <v>37</v>
      </c>
      <c r="H13" s="42" t="s">
        <v>254</v>
      </c>
      <c r="I13" s="43"/>
      <c r="J13" s="43">
        <v>3</v>
      </c>
      <c r="K13" s="25" t="str">
        <f>VLOOKUP(J13,[2]Key!$E$2:$F$9,2,FALSE)</f>
        <v>Study</v>
      </c>
      <c r="L13" s="42" t="s">
        <v>258</v>
      </c>
      <c r="M13" s="43" t="s">
        <v>37</v>
      </c>
      <c r="N13" s="42" t="s">
        <v>254</v>
      </c>
      <c r="O13" s="43"/>
      <c r="P13" s="43">
        <v>2</v>
      </c>
      <c r="Q13" s="25" t="str">
        <f>VLOOKUP(P13,[2]Key!$E$2:$F$9,2,FALSE)</f>
        <v>Work</v>
      </c>
      <c r="R13" s="25" t="str">
        <f t="shared" si="0"/>
        <v>Study-Work</v>
      </c>
      <c r="S13" s="62"/>
      <c r="T13" s="62" t="s">
        <v>548</v>
      </c>
      <c r="U13" s="43">
        <v>3</v>
      </c>
      <c r="V13" s="43"/>
      <c r="W13" s="62"/>
      <c r="X13" s="62"/>
      <c r="Y13" s="63"/>
      <c r="Z13" s="76"/>
      <c r="AA13" s="25"/>
      <c r="AB13" s="25"/>
    </row>
    <row r="14" spans="2:35">
      <c r="B14" s="40" t="s">
        <v>513</v>
      </c>
      <c r="C14" s="40"/>
      <c r="D14" s="41">
        <v>3</v>
      </c>
      <c r="E14" s="42">
        <v>2</v>
      </c>
      <c r="F14" s="42" t="s">
        <v>241</v>
      </c>
      <c r="G14" s="43" t="s">
        <v>67</v>
      </c>
      <c r="H14" s="42" t="s">
        <v>254</v>
      </c>
      <c r="I14" s="43"/>
      <c r="J14" s="43">
        <v>2</v>
      </c>
      <c r="K14" s="25" t="str">
        <f>VLOOKUP(J14,[2]Key!$E$2:$F$9,2,FALSE)</f>
        <v>Work</v>
      </c>
      <c r="L14" s="42" t="s">
        <v>38</v>
      </c>
      <c r="M14" s="43" t="s">
        <v>37</v>
      </c>
      <c r="N14" s="42" t="s">
        <v>254</v>
      </c>
      <c r="O14" s="43"/>
      <c r="P14" s="43">
        <v>1</v>
      </c>
      <c r="Q14" s="25" t="str">
        <f>VLOOKUP(P14,[2]Key!$E$2:$F$9,2,FALSE)</f>
        <v>Home</v>
      </c>
      <c r="R14" s="25" t="str">
        <f t="shared" si="0"/>
        <v>Work-Home</v>
      </c>
      <c r="S14" s="62"/>
      <c r="T14" s="62">
        <v>1</v>
      </c>
      <c r="U14" s="43">
        <v>3</v>
      </c>
      <c r="V14" s="43"/>
      <c r="W14" s="62"/>
      <c r="X14" s="62"/>
      <c r="Y14" s="63"/>
      <c r="Z14" s="76"/>
      <c r="AA14" s="25"/>
      <c r="AB14" s="25"/>
    </row>
    <row r="15" spans="2:35">
      <c r="B15" s="40" t="s">
        <v>390</v>
      </c>
      <c r="C15" s="40"/>
      <c r="D15" s="41">
        <v>2</v>
      </c>
      <c r="E15" s="42">
        <v>2</v>
      </c>
      <c r="F15" s="42" t="s">
        <v>244</v>
      </c>
      <c r="G15" s="43" t="s">
        <v>242</v>
      </c>
      <c r="H15" s="42" t="s">
        <v>254</v>
      </c>
      <c r="I15" s="43"/>
      <c r="J15" s="43">
        <v>1</v>
      </c>
      <c r="K15" s="25" t="str">
        <f>VLOOKUP(J15,[2]Key!$E$2:$F$9,2,FALSE)</f>
        <v>Home</v>
      </c>
      <c r="L15" s="42" t="s">
        <v>38</v>
      </c>
      <c r="M15" s="43" t="s">
        <v>37</v>
      </c>
      <c r="N15" s="42" t="s">
        <v>254</v>
      </c>
      <c r="O15" s="43"/>
      <c r="P15" s="43">
        <v>2</v>
      </c>
      <c r="Q15" s="25" t="str">
        <f>VLOOKUP(P15,[2]Key!$E$2:$F$9,2,FALSE)</f>
        <v>Work</v>
      </c>
      <c r="R15" s="25" t="str">
        <f t="shared" si="0"/>
        <v>Home-Work</v>
      </c>
      <c r="S15" s="62"/>
      <c r="T15" s="62" t="s">
        <v>548</v>
      </c>
      <c r="U15" s="43">
        <v>3</v>
      </c>
      <c r="V15" s="43"/>
      <c r="W15" s="62"/>
      <c r="X15" s="62"/>
      <c r="Y15" s="63"/>
      <c r="Z15" s="76"/>
      <c r="AA15" s="25"/>
      <c r="AB15" s="25"/>
    </row>
    <row r="16" spans="2:35">
      <c r="B16" s="40" t="s">
        <v>267</v>
      </c>
      <c r="C16" s="40"/>
      <c r="D16" s="41">
        <v>3</v>
      </c>
      <c r="E16" s="42">
        <v>2</v>
      </c>
      <c r="F16" s="42" t="s">
        <v>249</v>
      </c>
      <c r="G16" s="43" t="s">
        <v>37</v>
      </c>
      <c r="H16" s="42" t="s">
        <v>254</v>
      </c>
      <c r="I16" s="43"/>
      <c r="J16" s="43">
        <v>2</v>
      </c>
      <c r="K16" s="25" t="str">
        <f>VLOOKUP(J16,[2]Key!$E$2:$F$9,2,FALSE)</f>
        <v>Work</v>
      </c>
      <c r="L16" s="42" t="s">
        <v>38</v>
      </c>
      <c r="M16" s="43" t="s">
        <v>37</v>
      </c>
      <c r="N16" s="42" t="s">
        <v>254</v>
      </c>
      <c r="O16" s="43"/>
      <c r="P16" s="43">
        <v>2</v>
      </c>
      <c r="Q16" s="25" t="str">
        <f>VLOOKUP(P16,[2]Key!$E$2:$F$9,2,FALSE)</f>
        <v>Work</v>
      </c>
      <c r="R16" s="25" t="str">
        <f t="shared" si="0"/>
        <v>Work-Work</v>
      </c>
      <c r="S16" s="62"/>
      <c r="T16" s="62">
        <v>0.75</v>
      </c>
      <c r="U16" s="43">
        <v>3</v>
      </c>
      <c r="V16" s="43"/>
      <c r="W16" s="62"/>
      <c r="X16" s="62"/>
      <c r="Y16" s="63"/>
      <c r="Z16" s="76"/>
      <c r="AA16" s="25"/>
      <c r="AB16" s="25"/>
    </row>
    <row r="17" spans="2:28">
      <c r="B17" s="40" t="s">
        <v>393</v>
      </c>
      <c r="C17" s="40"/>
      <c r="D17" s="41">
        <v>3</v>
      </c>
      <c r="E17" s="42">
        <v>1</v>
      </c>
      <c r="F17" s="42" t="s">
        <v>37</v>
      </c>
      <c r="G17" s="43" t="s">
        <v>37</v>
      </c>
      <c r="H17" s="42" t="s">
        <v>254</v>
      </c>
      <c r="I17" s="43"/>
      <c r="J17" s="43">
        <v>3</v>
      </c>
      <c r="K17" s="25" t="str">
        <f>VLOOKUP(J17,[2]Key!$E$2:$F$9,2,FALSE)</f>
        <v>Study</v>
      </c>
      <c r="L17" s="42" t="s">
        <v>258</v>
      </c>
      <c r="M17" s="43" t="s">
        <v>37</v>
      </c>
      <c r="N17" s="42" t="s">
        <v>254</v>
      </c>
      <c r="O17" s="43"/>
      <c r="P17" s="43">
        <v>2</v>
      </c>
      <c r="Q17" s="25" t="str">
        <f>VLOOKUP(P17,[2]Key!$E$2:$F$9,2,FALSE)</f>
        <v>Work</v>
      </c>
      <c r="R17" s="25" t="str">
        <f t="shared" si="0"/>
        <v>Study-Work</v>
      </c>
      <c r="S17" s="62"/>
      <c r="T17" s="62">
        <v>0.58333333333333337</v>
      </c>
      <c r="U17" s="43">
        <v>2</v>
      </c>
      <c r="V17" s="43"/>
      <c r="W17" s="62"/>
      <c r="X17" s="62"/>
      <c r="Y17" s="63"/>
      <c r="Z17" s="76"/>
      <c r="AA17" s="25"/>
      <c r="AB17" s="25"/>
    </row>
    <row r="18" spans="2:28">
      <c r="B18" s="40" t="s">
        <v>274</v>
      </c>
      <c r="C18" s="40"/>
      <c r="D18" s="41">
        <v>3</v>
      </c>
      <c r="E18" s="42">
        <v>3</v>
      </c>
      <c r="F18" s="42" t="s">
        <v>37</v>
      </c>
      <c r="G18" s="43" t="s">
        <v>37</v>
      </c>
      <c r="H18" s="42" t="s">
        <v>254</v>
      </c>
      <c r="I18" s="43"/>
      <c r="J18" s="43">
        <v>1</v>
      </c>
      <c r="K18" s="25" t="str">
        <f>VLOOKUP(J18,[2]Key!$E$2:$F$9,2,FALSE)</f>
        <v>Home</v>
      </c>
      <c r="L18" s="42" t="s">
        <v>550</v>
      </c>
      <c r="M18" s="43" t="s">
        <v>37</v>
      </c>
      <c r="N18" s="42" t="s">
        <v>254</v>
      </c>
      <c r="O18" s="43"/>
      <c r="P18" s="43">
        <v>2</v>
      </c>
      <c r="Q18" s="25" t="str">
        <f>VLOOKUP(P18,[2]Key!$E$2:$F$9,2,FALSE)</f>
        <v>Work</v>
      </c>
      <c r="R18" s="25" t="str">
        <f t="shared" si="0"/>
        <v>Home-Work</v>
      </c>
      <c r="S18" s="62"/>
      <c r="T18" s="62">
        <v>1</v>
      </c>
      <c r="U18" s="43">
        <v>2</v>
      </c>
      <c r="V18" s="43"/>
      <c r="W18" s="62"/>
      <c r="X18" s="62"/>
      <c r="Y18" s="63"/>
      <c r="Z18" s="76"/>
      <c r="AA18" s="25"/>
      <c r="AB18" s="25"/>
    </row>
    <row r="19" spans="2:28">
      <c r="B19" s="40" t="s">
        <v>275</v>
      </c>
      <c r="C19" s="40"/>
      <c r="D19" s="41">
        <v>3</v>
      </c>
      <c r="E19" s="42">
        <v>2</v>
      </c>
      <c r="F19" s="42" t="s">
        <v>37</v>
      </c>
      <c r="G19" s="43" t="s">
        <v>37</v>
      </c>
      <c r="H19" s="42" t="s">
        <v>254</v>
      </c>
      <c r="I19" s="43"/>
      <c r="J19" s="43">
        <v>1</v>
      </c>
      <c r="K19" s="25" t="str">
        <f>VLOOKUP(J19,[2]Key!$E$2:$F$9,2,FALSE)</f>
        <v>Home</v>
      </c>
      <c r="L19" s="42" t="s">
        <v>37</v>
      </c>
      <c r="M19" s="43" t="s">
        <v>37</v>
      </c>
      <c r="N19" s="42" t="s">
        <v>254</v>
      </c>
      <c r="O19" s="43"/>
      <c r="P19" s="43">
        <v>2</v>
      </c>
      <c r="Q19" s="25" t="str">
        <f>VLOOKUP(P19,[2]Key!$E$2:$F$9,2,FALSE)</f>
        <v>Work</v>
      </c>
      <c r="R19" s="25" t="str">
        <f t="shared" si="0"/>
        <v>Home-Work</v>
      </c>
      <c r="S19" s="62"/>
      <c r="T19" s="62">
        <v>0.16666666666666666</v>
      </c>
      <c r="U19" s="43">
        <v>3</v>
      </c>
      <c r="V19" s="43"/>
      <c r="W19" s="62"/>
      <c r="X19" s="62"/>
      <c r="Y19" s="63"/>
      <c r="Z19" s="76"/>
      <c r="AA19" s="25"/>
      <c r="AB19" s="25"/>
    </row>
    <row r="20" spans="2:28">
      <c r="B20" s="40" t="s">
        <v>551</v>
      </c>
      <c r="C20" s="40"/>
      <c r="D20" s="41">
        <v>3</v>
      </c>
      <c r="E20" s="42">
        <v>1</v>
      </c>
      <c r="F20" s="42" t="s">
        <v>37</v>
      </c>
      <c r="G20" s="43" t="s">
        <v>37</v>
      </c>
      <c r="H20" s="42" t="s">
        <v>254</v>
      </c>
      <c r="I20" s="43"/>
      <c r="J20" s="43">
        <v>1</v>
      </c>
      <c r="K20" s="25" t="str">
        <f>VLOOKUP(J20,[2]Key!$E$2:$F$9,2,FALSE)</f>
        <v>Home</v>
      </c>
      <c r="L20" s="42" t="s">
        <v>261</v>
      </c>
      <c r="M20" s="43" t="s">
        <v>37</v>
      </c>
      <c r="N20" s="42" t="s">
        <v>254</v>
      </c>
      <c r="O20" s="43"/>
      <c r="P20" s="43">
        <v>2</v>
      </c>
      <c r="Q20" s="25" t="str">
        <f>VLOOKUP(P20,[2]Key!$E$2:$F$9,2,FALSE)</f>
        <v>Work</v>
      </c>
      <c r="R20" s="25" t="str">
        <f t="shared" si="0"/>
        <v>Home-Work</v>
      </c>
      <c r="S20" s="62"/>
      <c r="T20" s="62">
        <v>3</v>
      </c>
      <c r="U20" s="43">
        <v>3</v>
      </c>
      <c r="V20" s="43"/>
      <c r="W20" s="62"/>
      <c r="X20" s="62"/>
      <c r="Y20" s="63"/>
      <c r="Z20" s="76"/>
      <c r="AA20" s="25"/>
      <c r="AB20" s="25"/>
    </row>
    <row r="21" spans="2:28">
      <c r="B21" s="40" t="s">
        <v>290</v>
      </c>
      <c r="C21" s="40"/>
      <c r="D21" s="41">
        <v>3</v>
      </c>
      <c r="E21" s="42">
        <v>2</v>
      </c>
      <c r="F21" s="42" t="s">
        <v>37</v>
      </c>
      <c r="G21" s="43" t="s">
        <v>37</v>
      </c>
      <c r="H21" s="42" t="s">
        <v>254</v>
      </c>
      <c r="I21" s="43"/>
      <c r="J21" s="43">
        <v>3</v>
      </c>
      <c r="K21" s="25" t="str">
        <f>VLOOKUP(J21,[2]Key!$E$2:$F$9,2,FALSE)</f>
        <v>Study</v>
      </c>
      <c r="L21" s="42" t="s">
        <v>38</v>
      </c>
      <c r="M21" s="43" t="s">
        <v>37</v>
      </c>
      <c r="N21" s="42" t="s">
        <v>254</v>
      </c>
      <c r="O21" s="43"/>
      <c r="P21" s="43">
        <v>1</v>
      </c>
      <c r="Q21" s="25" t="str">
        <f>VLOOKUP(P21,[2]Key!$E$2:$F$9,2,FALSE)</f>
        <v>Home</v>
      </c>
      <c r="R21" s="25" t="str">
        <f t="shared" si="0"/>
        <v>Study-Home</v>
      </c>
      <c r="S21" s="62"/>
      <c r="T21" s="62">
        <v>24</v>
      </c>
      <c r="U21" s="43">
        <v>4</v>
      </c>
      <c r="V21" s="43"/>
      <c r="W21" s="62"/>
      <c r="X21" s="62"/>
      <c r="Y21" s="63"/>
      <c r="Z21" s="76"/>
      <c r="AA21" s="25"/>
      <c r="AB21" s="25"/>
    </row>
    <row r="22" spans="2:28">
      <c r="B22" s="40" t="s">
        <v>522</v>
      </c>
      <c r="C22" s="40"/>
      <c r="D22" s="41">
        <v>4</v>
      </c>
      <c r="E22" s="42">
        <v>1</v>
      </c>
      <c r="F22" s="42" t="s">
        <v>40</v>
      </c>
      <c r="G22" s="43" t="s">
        <v>40</v>
      </c>
      <c r="H22" s="42" t="s">
        <v>254</v>
      </c>
      <c r="I22" s="43"/>
      <c r="J22" s="43">
        <v>2</v>
      </c>
      <c r="K22" s="25" t="str">
        <f>VLOOKUP(J22,[2]Key!$E$2:$F$9,2,FALSE)</f>
        <v>Work</v>
      </c>
      <c r="L22" s="42" t="s">
        <v>258</v>
      </c>
      <c r="M22" s="43" t="s">
        <v>37</v>
      </c>
      <c r="N22" s="42" t="s">
        <v>254</v>
      </c>
      <c r="O22" s="43"/>
      <c r="P22" s="43">
        <v>4</v>
      </c>
      <c r="Q22" s="25" t="str">
        <f>VLOOKUP(P22,[2]Key!$E$2:$F$9,2,FALSE)</f>
        <v>Commercial</v>
      </c>
      <c r="R22" s="25" t="str">
        <f t="shared" si="0"/>
        <v>Work-Commercial</v>
      </c>
      <c r="S22" s="62"/>
      <c r="T22" s="62" t="s">
        <v>548</v>
      </c>
      <c r="U22" s="43">
        <v>3</v>
      </c>
      <c r="V22" s="43"/>
      <c r="W22" s="62"/>
      <c r="X22" s="62"/>
      <c r="Y22" s="63"/>
      <c r="Z22" s="76"/>
      <c r="AA22" s="25"/>
      <c r="AB22" s="25"/>
    </row>
    <row r="23" spans="2:28">
      <c r="B23" s="40" t="s">
        <v>292</v>
      </c>
      <c r="C23" s="40"/>
      <c r="D23" s="41">
        <v>2</v>
      </c>
      <c r="E23" s="42">
        <v>2</v>
      </c>
      <c r="F23" s="42" t="s">
        <v>60</v>
      </c>
      <c r="G23" s="43" t="s">
        <v>240</v>
      </c>
      <c r="H23" s="42" t="s">
        <v>254</v>
      </c>
      <c r="I23" s="43"/>
      <c r="J23" s="43">
        <v>1</v>
      </c>
      <c r="K23" s="25" t="str">
        <f>VLOOKUP(J23,[2]Key!$E$2:$F$9,2,FALSE)</f>
        <v>Home</v>
      </c>
      <c r="L23" s="42" t="s">
        <v>50</v>
      </c>
      <c r="M23" s="43" t="s">
        <v>255</v>
      </c>
      <c r="N23" s="42" t="s">
        <v>254</v>
      </c>
      <c r="O23" s="43"/>
      <c r="P23" s="43">
        <v>2</v>
      </c>
      <c r="Q23" s="25" t="str">
        <f>VLOOKUP(P23,[2]Key!$E$2:$F$9,2,FALSE)</f>
        <v>Work</v>
      </c>
      <c r="R23" s="25" t="str">
        <f t="shared" si="0"/>
        <v>Home-Work</v>
      </c>
      <c r="S23" s="62"/>
      <c r="T23" s="62" t="s">
        <v>548</v>
      </c>
      <c r="U23" s="43">
        <v>2</v>
      </c>
      <c r="V23" s="43"/>
      <c r="W23" s="62"/>
      <c r="X23" s="62"/>
      <c r="Y23" s="63"/>
      <c r="Z23" s="76"/>
      <c r="AA23" s="25"/>
      <c r="AB23" s="25"/>
    </row>
    <row r="24" spans="2:28">
      <c r="B24" s="40" t="s">
        <v>293</v>
      </c>
      <c r="C24" s="40"/>
      <c r="D24" s="41">
        <v>1</v>
      </c>
      <c r="E24" s="42">
        <v>2</v>
      </c>
      <c r="F24" s="42" t="s">
        <v>37</v>
      </c>
      <c r="G24" s="43" t="s">
        <v>37</v>
      </c>
      <c r="H24" s="42" t="s">
        <v>254</v>
      </c>
      <c r="I24" s="43"/>
      <c r="J24" s="43">
        <v>4</v>
      </c>
      <c r="K24" s="25" t="str">
        <f>VLOOKUP(J24,[2]Key!$E$2:$F$9,2,FALSE)</f>
        <v>Commercial</v>
      </c>
      <c r="L24" s="42" t="s">
        <v>256</v>
      </c>
      <c r="M24" s="43" t="s">
        <v>37</v>
      </c>
      <c r="N24" s="42" t="s">
        <v>254</v>
      </c>
      <c r="O24" s="43"/>
      <c r="P24" s="43">
        <v>1</v>
      </c>
      <c r="Q24" s="25" t="str">
        <f>VLOOKUP(P24,[2]Key!$E$2:$F$9,2,FALSE)</f>
        <v>Home</v>
      </c>
      <c r="R24" s="25" t="str">
        <f t="shared" si="0"/>
        <v>Commercial-Home</v>
      </c>
      <c r="S24" s="62"/>
      <c r="T24" s="62" t="s">
        <v>548</v>
      </c>
      <c r="U24" s="43">
        <v>3</v>
      </c>
      <c r="V24" s="43"/>
      <c r="W24" s="62"/>
      <c r="X24" s="62"/>
      <c r="Y24" s="63"/>
      <c r="Z24" s="76"/>
      <c r="AA24" s="25"/>
      <c r="AB24" s="25"/>
    </row>
    <row r="25" spans="2:28">
      <c r="B25" s="40" t="s">
        <v>552</v>
      </c>
      <c r="C25" s="40"/>
      <c r="D25" s="41">
        <v>1</v>
      </c>
      <c r="E25" s="42">
        <v>2</v>
      </c>
      <c r="F25" s="42" t="s">
        <v>37</v>
      </c>
      <c r="G25" s="43" t="s">
        <v>37</v>
      </c>
      <c r="H25" s="42" t="s">
        <v>254</v>
      </c>
      <c r="I25" s="43"/>
      <c r="J25" s="43">
        <v>2</v>
      </c>
      <c r="K25" s="25" t="str">
        <f>VLOOKUP(J25,[2]Key!$E$2:$F$9,2,FALSE)</f>
        <v>Work</v>
      </c>
      <c r="L25" s="42" t="s">
        <v>256</v>
      </c>
      <c r="M25" s="43" t="s">
        <v>37</v>
      </c>
      <c r="N25" s="42" t="s">
        <v>254</v>
      </c>
      <c r="O25" s="43"/>
      <c r="P25" s="43">
        <v>2</v>
      </c>
      <c r="Q25" s="25" t="str">
        <f>VLOOKUP(P25,[2]Key!$E$2:$F$9,2,FALSE)</f>
        <v>Work</v>
      </c>
      <c r="R25" s="25" t="str">
        <f t="shared" si="0"/>
        <v>Work-Work</v>
      </c>
      <c r="S25" s="62"/>
      <c r="T25" s="62">
        <v>0.16666666666666666</v>
      </c>
      <c r="U25" s="43">
        <v>3</v>
      </c>
      <c r="V25" s="43">
        <v>10</v>
      </c>
      <c r="W25" s="62"/>
      <c r="X25" s="62"/>
      <c r="Y25" s="63"/>
      <c r="Z25" s="76"/>
      <c r="AA25" s="25"/>
      <c r="AB25" s="25"/>
    </row>
    <row r="26" spans="2:28">
      <c r="B26" s="40" t="s">
        <v>300</v>
      </c>
      <c r="C26" s="40"/>
      <c r="D26" s="41">
        <v>1</v>
      </c>
      <c r="E26" s="42">
        <v>1</v>
      </c>
      <c r="F26" s="42" t="s">
        <v>37</v>
      </c>
      <c r="G26" s="43" t="s">
        <v>37</v>
      </c>
      <c r="H26" s="42" t="s">
        <v>254</v>
      </c>
      <c r="I26" s="43"/>
      <c r="J26" s="43">
        <v>2</v>
      </c>
      <c r="K26" s="25" t="str">
        <f>VLOOKUP(J26,[2]Key!$E$2:$F$9,2,FALSE)</f>
        <v>Work</v>
      </c>
      <c r="L26" s="42" t="s">
        <v>261</v>
      </c>
      <c r="M26" s="43" t="s">
        <v>37</v>
      </c>
      <c r="N26" s="42" t="s">
        <v>254</v>
      </c>
      <c r="O26" s="43"/>
      <c r="P26" s="43">
        <v>1</v>
      </c>
      <c r="Q26" s="25" t="str">
        <f>VLOOKUP(P26,[2]Key!$E$2:$F$9,2,FALSE)</f>
        <v>Home</v>
      </c>
      <c r="R26" s="25" t="str">
        <f t="shared" si="0"/>
        <v>Work-Home</v>
      </c>
      <c r="S26" s="62"/>
      <c r="T26" s="62">
        <v>7</v>
      </c>
      <c r="U26" s="43">
        <v>4</v>
      </c>
      <c r="V26" s="43">
        <v>3</v>
      </c>
      <c r="W26" s="62"/>
      <c r="X26" s="62"/>
      <c r="Y26" s="63"/>
      <c r="Z26" s="76"/>
      <c r="AA26" s="25"/>
      <c r="AB26" s="25"/>
    </row>
    <row r="27" spans="2:28">
      <c r="B27" s="40" t="s">
        <v>553</v>
      </c>
      <c r="C27" s="40"/>
      <c r="D27" s="41">
        <v>1</v>
      </c>
      <c r="E27" s="42">
        <v>4</v>
      </c>
      <c r="F27" s="42" t="s">
        <v>37</v>
      </c>
      <c r="G27" s="43" t="s">
        <v>37</v>
      </c>
      <c r="H27" s="42" t="s">
        <v>254</v>
      </c>
      <c r="I27" s="43"/>
      <c r="J27" s="43">
        <v>1</v>
      </c>
      <c r="K27" s="25" t="str">
        <f>VLOOKUP(J27,[2]Key!$E$2:$F$9,2,FALSE)</f>
        <v>Home</v>
      </c>
      <c r="L27" s="42" t="s">
        <v>261</v>
      </c>
      <c r="M27" s="43" t="s">
        <v>37</v>
      </c>
      <c r="N27" s="42" t="s">
        <v>254</v>
      </c>
      <c r="O27" s="43"/>
      <c r="P27" s="43">
        <v>4</v>
      </c>
      <c r="Q27" s="25" t="str">
        <f>VLOOKUP(P27,[2]Key!$E$2:$F$9,2,FALSE)</f>
        <v>Commercial</v>
      </c>
      <c r="R27" s="25" t="str">
        <f t="shared" si="0"/>
        <v>Home-Commercial</v>
      </c>
      <c r="S27" s="62"/>
      <c r="T27" s="62">
        <v>0.16666666666666666</v>
      </c>
      <c r="U27" s="43">
        <v>3</v>
      </c>
      <c r="V27" s="43">
        <v>6</v>
      </c>
      <c r="W27" s="62"/>
      <c r="X27" s="62"/>
      <c r="Y27" s="63"/>
      <c r="Z27" s="76"/>
      <c r="AA27" s="25"/>
      <c r="AB27" s="25"/>
    </row>
    <row r="28" spans="2:28">
      <c r="B28" s="40" t="s">
        <v>470</v>
      </c>
      <c r="C28" s="40"/>
      <c r="D28" s="41">
        <v>1</v>
      </c>
      <c r="E28" s="42">
        <v>2</v>
      </c>
      <c r="F28" s="42" t="s">
        <v>241</v>
      </c>
      <c r="G28" s="43" t="s">
        <v>67</v>
      </c>
      <c r="H28" s="42" t="s">
        <v>254</v>
      </c>
      <c r="I28" s="43"/>
      <c r="J28" s="43">
        <v>1</v>
      </c>
      <c r="K28" s="25" t="str">
        <f>VLOOKUP(J28,[2]Key!$E$2:$F$9,2,FALSE)</f>
        <v>Home</v>
      </c>
      <c r="L28" s="42" t="s">
        <v>38</v>
      </c>
      <c r="M28" s="43" t="s">
        <v>37</v>
      </c>
      <c r="N28" s="42" t="s">
        <v>254</v>
      </c>
      <c r="O28" s="43"/>
      <c r="P28" s="43">
        <v>2</v>
      </c>
      <c r="Q28" s="25" t="str">
        <f>VLOOKUP(P28,[2]Key!$E$2:$F$9,2,FALSE)</f>
        <v>Work</v>
      </c>
      <c r="R28" s="25" t="str">
        <f t="shared" si="0"/>
        <v>Home-Work</v>
      </c>
      <c r="S28" s="62"/>
      <c r="T28" s="62" t="s">
        <v>548</v>
      </c>
      <c r="U28" s="43">
        <v>3</v>
      </c>
      <c r="V28" s="43">
        <v>10</v>
      </c>
      <c r="W28" s="62"/>
      <c r="X28" s="62"/>
      <c r="Y28" s="63"/>
      <c r="Z28" s="76"/>
      <c r="AA28" s="25"/>
      <c r="AB28" s="25"/>
    </row>
    <row r="29" spans="2:28">
      <c r="B29" s="40" t="s">
        <v>554</v>
      </c>
      <c r="C29" s="40"/>
      <c r="D29" s="41">
        <v>1</v>
      </c>
      <c r="E29" s="42">
        <v>2</v>
      </c>
      <c r="F29" s="42" t="s">
        <v>37</v>
      </c>
      <c r="G29" s="43" t="s">
        <v>37</v>
      </c>
      <c r="H29" s="42" t="s">
        <v>254</v>
      </c>
      <c r="I29" s="43"/>
      <c r="J29" s="43">
        <v>2</v>
      </c>
      <c r="K29" s="25" t="str">
        <f>VLOOKUP(J29,[2]Key!$E$2:$F$9,2,FALSE)</f>
        <v>Work</v>
      </c>
      <c r="L29" s="42" t="s">
        <v>38</v>
      </c>
      <c r="M29" s="43" t="s">
        <v>37</v>
      </c>
      <c r="N29" s="42" t="s">
        <v>254</v>
      </c>
      <c r="O29" s="43"/>
      <c r="P29" s="43">
        <v>4</v>
      </c>
      <c r="Q29" s="25" t="str">
        <f>VLOOKUP(P29,[2]Key!$E$2:$F$9,2,FALSE)</f>
        <v>Commercial</v>
      </c>
      <c r="R29" s="25" t="str">
        <f t="shared" si="0"/>
        <v>Work-Commercial</v>
      </c>
      <c r="S29" s="62"/>
      <c r="T29" s="62" t="s">
        <v>548</v>
      </c>
      <c r="U29" s="43">
        <v>3</v>
      </c>
      <c r="V29" s="43">
        <v>10</v>
      </c>
      <c r="W29" s="62"/>
      <c r="X29" s="62"/>
      <c r="Y29" s="63"/>
      <c r="Z29" s="76"/>
      <c r="AA29" s="25"/>
      <c r="AB29" s="25"/>
    </row>
    <row r="30" spans="2:28">
      <c r="B30" s="40" t="s">
        <v>555</v>
      </c>
      <c r="C30" s="40"/>
      <c r="D30" s="41">
        <v>3</v>
      </c>
      <c r="E30" s="42">
        <v>1</v>
      </c>
      <c r="F30" s="42" t="s">
        <v>37</v>
      </c>
      <c r="G30" s="43" t="s">
        <v>37</v>
      </c>
      <c r="H30" s="42" t="s">
        <v>254</v>
      </c>
      <c r="I30" s="43"/>
      <c r="J30" s="43">
        <v>2</v>
      </c>
      <c r="K30" s="25" t="str">
        <f>VLOOKUP(J30,[2]Key!$E$2:$F$9,2,FALSE)</f>
        <v>Work</v>
      </c>
      <c r="L30" s="42" t="s">
        <v>258</v>
      </c>
      <c r="M30" s="43" t="s">
        <v>37</v>
      </c>
      <c r="N30" s="42" t="s">
        <v>254</v>
      </c>
      <c r="O30" s="43"/>
      <c r="P30" s="43">
        <v>1</v>
      </c>
      <c r="Q30" s="25" t="str">
        <f>VLOOKUP(P30,[2]Key!$E$2:$F$9,2,FALSE)</f>
        <v>Home</v>
      </c>
      <c r="R30" s="25" t="str">
        <f t="shared" si="0"/>
        <v>Work-Home</v>
      </c>
      <c r="S30" s="62"/>
      <c r="T30" s="62" t="s">
        <v>548</v>
      </c>
      <c r="U30" s="43">
        <v>4</v>
      </c>
      <c r="V30" s="43">
        <v>8</v>
      </c>
      <c r="W30" s="62"/>
      <c r="X30" s="62"/>
      <c r="Y30" s="63"/>
      <c r="Z30" s="76"/>
      <c r="AA30" s="25"/>
      <c r="AB30" s="25"/>
    </row>
    <row r="31" spans="2:28">
      <c r="B31" s="40" t="s">
        <v>409</v>
      </c>
      <c r="C31" s="40"/>
      <c r="D31" s="41">
        <v>3</v>
      </c>
      <c r="E31" s="42">
        <v>2</v>
      </c>
      <c r="F31" s="42" t="s">
        <v>37</v>
      </c>
      <c r="G31" s="43" t="s">
        <v>37</v>
      </c>
      <c r="H31" s="42" t="s">
        <v>254</v>
      </c>
      <c r="I31" s="43"/>
      <c r="J31" s="43">
        <v>1</v>
      </c>
      <c r="K31" s="25" t="str">
        <f>VLOOKUP(J31,[2]Key!$E$2:$F$9,2,FALSE)</f>
        <v>Home</v>
      </c>
      <c r="L31" s="42" t="s">
        <v>256</v>
      </c>
      <c r="M31" s="43" t="s">
        <v>37</v>
      </c>
      <c r="N31" s="42" t="s">
        <v>254</v>
      </c>
      <c r="O31" s="43"/>
      <c r="P31" s="43">
        <v>2</v>
      </c>
      <c r="Q31" s="25" t="str">
        <f>VLOOKUP(P31,[2]Key!$E$2:$F$9,2,FALSE)</f>
        <v>Work</v>
      </c>
      <c r="R31" s="25" t="str">
        <f t="shared" si="0"/>
        <v>Home-Work</v>
      </c>
      <c r="S31" s="62"/>
      <c r="T31" s="62">
        <v>3</v>
      </c>
      <c r="U31" s="43">
        <v>3</v>
      </c>
      <c r="V31" s="43">
        <v>10</v>
      </c>
      <c r="W31" s="62"/>
      <c r="X31" s="62"/>
      <c r="Y31" s="63"/>
      <c r="Z31" s="76"/>
      <c r="AA31" s="25"/>
      <c r="AB31" s="25"/>
    </row>
    <row r="32" spans="2:28">
      <c r="B32" s="40" t="s">
        <v>556</v>
      </c>
      <c r="C32" s="40"/>
      <c r="D32" s="41">
        <v>3</v>
      </c>
      <c r="E32" s="42">
        <v>1</v>
      </c>
      <c r="F32" s="42" t="s">
        <v>249</v>
      </c>
      <c r="G32" s="43" t="s">
        <v>37</v>
      </c>
      <c r="H32" s="42" t="s">
        <v>254</v>
      </c>
      <c r="I32" s="43"/>
      <c r="J32" s="43">
        <v>4</v>
      </c>
      <c r="K32" s="25" t="str">
        <f>VLOOKUP(J32,[2]Key!$E$2:$F$9,2,FALSE)</f>
        <v>Commercial</v>
      </c>
      <c r="L32" s="42" t="s">
        <v>38</v>
      </c>
      <c r="M32" s="43" t="s">
        <v>37</v>
      </c>
      <c r="N32" s="42" t="s">
        <v>254</v>
      </c>
      <c r="O32" s="43"/>
      <c r="P32" s="43">
        <v>1</v>
      </c>
      <c r="Q32" s="25" t="str">
        <f>VLOOKUP(P32,[2]Key!$E$2:$F$9,2,FALSE)</f>
        <v>Home</v>
      </c>
      <c r="R32" s="25" t="str">
        <f t="shared" si="0"/>
        <v>Commercial-Home</v>
      </c>
      <c r="S32" s="62"/>
      <c r="T32" s="62" t="s">
        <v>548</v>
      </c>
      <c r="U32" s="43">
        <v>2</v>
      </c>
      <c r="V32" s="43">
        <v>5</v>
      </c>
      <c r="W32" s="62"/>
      <c r="X32" s="62"/>
      <c r="Y32" s="63"/>
      <c r="Z32" s="76"/>
      <c r="AA32" s="25"/>
      <c r="AB32" s="25"/>
    </row>
    <row r="33" spans="2:28">
      <c r="B33" s="40" t="s">
        <v>557</v>
      </c>
      <c r="C33" s="40"/>
      <c r="D33" s="41">
        <v>4</v>
      </c>
      <c r="E33" s="42">
        <v>3</v>
      </c>
      <c r="F33" s="42" t="s">
        <v>40</v>
      </c>
      <c r="G33" s="43" t="s">
        <v>40</v>
      </c>
      <c r="H33" s="42" t="s">
        <v>254</v>
      </c>
      <c r="I33" s="43"/>
      <c r="J33" s="43">
        <v>1</v>
      </c>
      <c r="K33" s="25" t="str">
        <f>VLOOKUP(J33,[2]Key!$E$2:$F$9,2,FALSE)</f>
        <v>Home</v>
      </c>
      <c r="L33" s="42" t="s">
        <v>550</v>
      </c>
      <c r="M33" s="43" t="s">
        <v>37</v>
      </c>
      <c r="N33" s="42" t="s">
        <v>254</v>
      </c>
      <c r="O33" s="43"/>
      <c r="P33" s="43">
        <v>2</v>
      </c>
      <c r="Q33" s="25" t="str">
        <f>VLOOKUP(P33,[2]Key!$E$2:$F$9,2,FALSE)</f>
        <v>Work</v>
      </c>
      <c r="R33" s="25" t="str">
        <f t="shared" si="0"/>
        <v>Home-Work</v>
      </c>
      <c r="S33" s="62"/>
      <c r="T33" s="62">
        <v>0.16666666666666666</v>
      </c>
      <c r="U33" s="43">
        <v>3</v>
      </c>
      <c r="V33" s="43">
        <v>10</v>
      </c>
      <c r="W33" s="62"/>
      <c r="X33" s="62"/>
      <c r="Y33" s="63"/>
      <c r="Z33" s="76"/>
      <c r="AA33" s="25"/>
      <c r="AB33" s="25"/>
    </row>
    <row r="34" spans="2:28">
      <c r="B34" s="40" t="s">
        <v>308</v>
      </c>
      <c r="C34" s="40"/>
      <c r="D34" s="41">
        <v>4</v>
      </c>
      <c r="E34" s="42">
        <v>1</v>
      </c>
      <c r="F34" s="42" t="s">
        <v>37</v>
      </c>
      <c r="G34" s="43" t="s">
        <v>37</v>
      </c>
      <c r="H34" s="42" t="s">
        <v>254</v>
      </c>
      <c r="I34" s="43"/>
      <c r="J34" s="43">
        <v>2</v>
      </c>
      <c r="K34" s="25" t="str">
        <f>VLOOKUP(J34,[2]Key!$E$2:$F$9,2,FALSE)</f>
        <v>Work</v>
      </c>
      <c r="L34" s="42" t="s">
        <v>249</v>
      </c>
      <c r="M34" s="43" t="s">
        <v>37</v>
      </c>
      <c r="N34" s="42" t="s">
        <v>254</v>
      </c>
      <c r="O34" s="43"/>
      <c r="P34" s="43">
        <v>1</v>
      </c>
      <c r="Q34" s="25" t="str">
        <f>VLOOKUP(P34,[2]Key!$E$2:$F$9,2,FALSE)</f>
        <v>Home</v>
      </c>
      <c r="R34" s="25" t="str">
        <f t="shared" si="0"/>
        <v>Work-Home</v>
      </c>
      <c r="S34" s="62"/>
      <c r="T34" s="62" t="s">
        <v>548</v>
      </c>
      <c r="U34" s="43">
        <v>3</v>
      </c>
      <c r="V34" s="43">
        <v>10</v>
      </c>
      <c r="W34" s="62"/>
      <c r="X34" s="62"/>
      <c r="Y34" s="63"/>
      <c r="Z34" s="76"/>
      <c r="AA34" s="25"/>
      <c r="AB34" s="25"/>
    </row>
    <row r="35" spans="2:28">
      <c r="B35" s="40" t="s">
        <v>308</v>
      </c>
      <c r="C35" s="40"/>
      <c r="D35" s="41">
        <v>4</v>
      </c>
      <c r="E35" s="42">
        <v>2</v>
      </c>
      <c r="F35" s="42" t="s">
        <v>249</v>
      </c>
      <c r="G35" s="43" t="s">
        <v>37</v>
      </c>
      <c r="H35" s="42" t="s">
        <v>254</v>
      </c>
      <c r="I35" s="43"/>
      <c r="J35" s="43">
        <v>2</v>
      </c>
      <c r="K35" s="25" t="str">
        <f>VLOOKUP(J35,[2]Key!$E$2:$F$9,2,FALSE)</f>
        <v>Work</v>
      </c>
      <c r="L35" s="42" t="s">
        <v>38</v>
      </c>
      <c r="M35" s="43" t="s">
        <v>37</v>
      </c>
      <c r="N35" s="42" t="s">
        <v>254</v>
      </c>
      <c r="O35" s="43"/>
      <c r="P35" s="43">
        <v>1</v>
      </c>
      <c r="Q35" s="25" t="str">
        <f>VLOOKUP(P35,[2]Key!$E$2:$F$9,2,FALSE)</f>
        <v>Home</v>
      </c>
      <c r="R35" s="25" t="str">
        <f t="shared" si="0"/>
        <v>Work-Home</v>
      </c>
      <c r="S35" s="62"/>
      <c r="T35" s="62">
        <v>0.16666666666666666</v>
      </c>
      <c r="U35" s="43">
        <v>3</v>
      </c>
      <c r="V35" s="43">
        <v>10</v>
      </c>
      <c r="W35" s="62"/>
      <c r="X35" s="62"/>
      <c r="Y35" s="63"/>
      <c r="Z35" s="76"/>
      <c r="AA35" s="25"/>
      <c r="AB35" s="25"/>
    </row>
    <row r="36" spans="2:28">
      <c r="B36" s="40" t="s">
        <v>310</v>
      </c>
      <c r="C36" s="40"/>
      <c r="D36" s="41">
        <v>4</v>
      </c>
      <c r="E36" s="42">
        <v>2</v>
      </c>
      <c r="F36" s="42" t="s">
        <v>37</v>
      </c>
      <c r="G36" s="43" t="s">
        <v>37</v>
      </c>
      <c r="H36" s="42" t="s">
        <v>254</v>
      </c>
      <c r="I36" s="43"/>
      <c r="J36" s="43">
        <v>2</v>
      </c>
      <c r="K36" s="25" t="str">
        <f>VLOOKUP(J36,[2]Key!$E$2:$F$9,2,FALSE)</f>
        <v>Work</v>
      </c>
      <c r="L36" s="42" t="s">
        <v>38</v>
      </c>
      <c r="M36" s="43" t="s">
        <v>37</v>
      </c>
      <c r="N36" s="42" t="s">
        <v>254</v>
      </c>
      <c r="O36" s="43"/>
      <c r="P36" s="43">
        <v>2</v>
      </c>
      <c r="Q36" s="25" t="str">
        <f>VLOOKUP(P36,[2]Key!$E$2:$F$9,2,FALSE)</f>
        <v>Work</v>
      </c>
      <c r="R36" s="25" t="str">
        <f t="shared" si="0"/>
        <v>Work-Work</v>
      </c>
      <c r="S36" s="62"/>
      <c r="T36" s="62">
        <v>0.16666666666666666</v>
      </c>
      <c r="U36" s="43">
        <v>3</v>
      </c>
      <c r="V36" s="43">
        <v>3</v>
      </c>
      <c r="W36" s="62"/>
      <c r="X36" s="62"/>
      <c r="Y36" s="63"/>
      <c r="Z36" s="76"/>
      <c r="AA36" s="25"/>
      <c r="AB36" s="25"/>
    </row>
    <row r="37" spans="2:28">
      <c r="B37" s="40" t="s">
        <v>558</v>
      </c>
      <c r="C37" s="40"/>
      <c r="D37" s="41">
        <v>4</v>
      </c>
      <c r="E37" s="42">
        <v>1</v>
      </c>
      <c r="F37" s="42" t="s">
        <v>37</v>
      </c>
      <c r="G37" s="43" t="s">
        <v>37</v>
      </c>
      <c r="H37" s="42" t="s">
        <v>254</v>
      </c>
      <c r="I37" s="43"/>
      <c r="J37" s="43">
        <v>1</v>
      </c>
      <c r="K37" s="25" t="str">
        <f>VLOOKUP(J37,[2]Key!$E$2:$F$9,2,FALSE)</f>
        <v>Home</v>
      </c>
      <c r="L37" s="42" t="s">
        <v>38</v>
      </c>
      <c r="M37" s="43" t="s">
        <v>37</v>
      </c>
      <c r="N37" s="42" t="s">
        <v>254</v>
      </c>
      <c r="O37" s="43"/>
      <c r="P37" s="43">
        <v>7</v>
      </c>
      <c r="Q37" s="25" t="str">
        <f>VLOOKUP(P37,[2]Key!$E$2:$F$9,2,FALSE)</f>
        <v>Hospital</v>
      </c>
      <c r="R37" s="25" t="str">
        <f t="shared" si="0"/>
        <v>Home-Hospital</v>
      </c>
      <c r="S37" s="62"/>
      <c r="T37" s="62" t="s">
        <v>548</v>
      </c>
      <c r="U37" s="43">
        <v>4</v>
      </c>
      <c r="V37" s="43">
        <v>3</v>
      </c>
      <c r="W37" s="62"/>
      <c r="X37" s="62"/>
      <c r="Y37" s="63"/>
      <c r="Z37" s="76"/>
      <c r="AA37" s="25"/>
      <c r="AB37" s="25"/>
    </row>
    <row r="38" spans="2:28">
      <c r="B38" s="40" t="s">
        <v>559</v>
      </c>
      <c r="C38" s="40"/>
      <c r="D38" s="44">
        <v>4</v>
      </c>
      <c r="E38" s="42">
        <v>2</v>
      </c>
      <c r="F38" s="42" t="s">
        <v>249</v>
      </c>
      <c r="G38" s="42" t="s">
        <v>37</v>
      </c>
      <c r="H38" s="42" t="s">
        <v>254</v>
      </c>
      <c r="I38" s="74"/>
      <c r="J38" s="74">
        <v>4</v>
      </c>
      <c r="K38" s="25" t="str">
        <f>VLOOKUP(J38,[2]Key!$E$2:$F$9,2,FALSE)</f>
        <v>Commercial</v>
      </c>
      <c r="L38" s="42" t="s">
        <v>259</v>
      </c>
      <c r="M38" s="60" t="s">
        <v>37</v>
      </c>
      <c r="N38" s="42" t="s">
        <v>254</v>
      </c>
      <c r="O38" s="58"/>
      <c r="P38" s="58">
        <v>1</v>
      </c>
      <c r="Q38" s="25" t="str">
        <f>VLOOKUP(P38,[2]Key!$E$2:$F$9,2,FALSE)</f>
        <v>Home</v>
      </c>
      <c r="R38" s="25" t="str">
        <f t="shared" si="0"/>
        <v>Commercial-Home</v>
      </c>
      <c r="S38" s="75"/>
      <c r="T38" s="62">
        <v>3</v>
      </c>
      <c r="U38" s="58">
        <v>6</v>
      </c>
      <c r="V38" s="58">
        <v>10</v>
      </c>
      <c r="W38" s="75"/>
      <c r="X38" s="75"/>
      <c r="Y38" s="61"/>
      <c r="Z38" s="77"/>
      <c r="AA38" s="25"/>
      <c r="AB38" s="25"/>
    </row>
    <row r="39" spans="2:28">
      <c r="B39" s="40" t="s">
        <v>533</v>
      </c>
      <c r="C39" s="40"/>
      <c r="D39" s="45">
        <v>2</v>
      </c>
      <c r="E39" s="42">
        <v>1</v>
      </c>
      <c r="F39" s="42" t="s">
        <v>37</v>
      </c>
      <c r="G39" s="42" t="s">
        <v>37</v>
      </c>
      <c r="H39" s="42" t="s">
        <v>254</v>
      </c>
      <c r="I39" s="74"/>
      <c r="J39" s="74">
        <v>2</v>
      </c>
      <c r="K39" s="25" t="str">
        <f>VLOOKUP(J39,[2]Key!$E$2:$F$9,2,FALSE)</f>
        <v>Work</v>
      </c>
      <c r="L39" s="42" t="s">
        <v>256</v>
      </c>
      <c r="M39" s="60" t="s">
        <v>37</v>
      </c>
      <c r="N39" s="42" t="s">
        <v>254</v>
      </c>
      <c r="O39" s="58"/>
      <c r="P39" s="58">
        <v>7</v>
      </c>
      <c r="Q39" s="25" t="str">
        <f>VLOOKUP(P39,[2]Key!$E$2:$F$9,2,FALSE)</f>
        <v>Hospital</v>
      </c>
      <c r="R39" s="25" t="str">
        <f t="shared" si="0"/>
        <v>Work-Hospital</v>
      </c>
      <c r="S39" s="75"/>
      <c r="T39" s="62" t="s">
        <v>548</v>
      </c>
      <c r="U39" s="58">
        <v>2</v>
      </c>
      <c r="V39" s="58">
        <v>10</v>
      </c>
      <c r="W39" s="75"/>
      <c r="X39" s="75"/>
      <c r="Y39" s="61"/>
      <c r="Z39" s="77"/>
      <c r="AA39" s="25"/>
      <c r="AB39" s="25"/>
    </row>
    <row r="40" spans="2:28">
      <c r="B40" s="40" t="s">
        <v>316</v>
      </c>
      <c r="C40" s="40"/>
      <c r="D40" s="45">
        <v>3</v>
      </c>
      <c r="E40" s="42">
        <v>4</v>
      </c>
      <c r="F40" s="42" t="s">
        <v>37</v>
      </c>
      <c r="G40" s="42" t="s">
        <v>37</v>
      </c>
      <c r="H40" s="42" t="s">
        <v>254</v>
      </c>
      <c r="I40" s="74"/>
      <c r="J40" s="74">
        <v>2</v>
      </c>
      <c r="K40" s="25" t="str">
        <f>VLOOKUP(J40,[2]Key!$E$2:$F$9,2,FALSE)</f>
        <v>Work</v>
      </c>
      <c r="L40" s="42" t="s">
        <v>38</v>
      </c>
      <c r="M40" s="60" t="s">
        <v>37</v>
      </c>
      <c r="N40" s="42" t="s">
        <v>254</v>
      </c>
      <c r="O40" s="58"/>
      <c r="P40" s="58">
        <v>1</v>
      </c>
      <c r="Q40" s="25" t="str">
        <f>VLOOKUP(P40,[2]Key!$E$2:$F$9,2,FALSE)</f>
        <v>Home</v>
      </c>
      <c r="R40" s="25" t="str">
        <f t="shared" si="0"/>
        <v>Work-Home</v>
      </c>
      <c r="S40" s="75"/>
      <c r="T40" s="62" t="s">
        <v>548</v>
      </c>
      <c r="U40" s="58">
        <v>3</v>
      </c>
      <c r="V40" s="58">
        <v>8</v>
      </c>
      <c r="W40" s="75"/>
      <c r="X40" s="75"/>
      <c r="Y40" s="61"/>
      <c r="Z40" s="77"/>
      <c r="AA40" s="25"/>
      <c r="AB40" s="25"/>
    </row>
    <row r="41" spans="2:28">
      <c r="B41" s="40" t="s">
        <v>560</v>
      </c>
      <c r="C41" s="40"/>
      <c r="D41" s="44">
        <v>3</v>
      </c>
      <c r="E41" s="45">
        <v>1</v>
      </c>
      <c r="F41" s="42" t="s">
        <v>37</v>
      </c>
      <c r="G41" s="42" t="s">
        <v>37</v>
      </c>
      <c r="H41" s="42" t="s">
        <v>254</v>
      </c>
      <c r="I41" s="74"/>
      <c r="J41" s="74">
        <v>2</v>
      </c>
      <c r="K41" s="25" t="str">
        <f>VLOOKUP(J41,[2]Key!$E$2:$F$9,2,FALSE)</f>
        <v>Work</v>
      </c>
      <c r="L41" s="42" t="s">
        <v>38</v>
      </c>
      <c r="M41" s="60" t="s">
        <v>37</v>
      </c>
      <c r="N41" s="42" t="s">
        <v>254</v>
      </c>
      <c r="O41" s="58"/>
      <c r="P41" s="58">
        <v>2</v>
      </c>
      <c r="Q41" s="25" t="str">
        <f>VLOOKUP(P41,[2]Key!$E$2:$F$9,2,FALSE)</f>
        <v>Work</v>
      </c>
      <c r="R41" s="25" t="str">
        <f t="shared" si="0"/>
        <v>Work-Work</v>
      </c>
      <c r="S41" s="75"/>
      <c r="T41" s="62">
        <v>3</v>
      </c>
      <c r="U41" s="58">
        <v>1</v>
      </c>
      <c r="V41" s="58">
        <v>10</v>
      </c>
      <c r="W41" s="75"/>
      <c r="X41" s="75"/>
      <c r="Y41" s="61"/>
      <c r="Z41" s="77"/>
      <c r="AA41" s="25"/>
      <c r="AB41" s="25"/>
    </row>
    <row r="42" spans="2:28">
      <c r="B42" s="40" t="s">
        <v>561</v>
      </c>
      <c r="C42" s="40"/>
      <c r="D42" s="44">
        <v>1</v>
      </c>
      <c r="E42" s="45">
        <v>2</v>
      </c>
      <c r="F42" s="42" t="s">
        <v>249</v>
      </c>
      <c r="G42" s="42" t="s">
        <v>37</v>
      </c>
      <c r="H42" s="42" t="s">
        <v>254</v>
      </c>
      <c r="I42" s="74"/>
      <c r="J42" s="74">
        <v>2</v>
      </c>
      <c r="K42" s="25" t="str">
        <f>VLOOKUP(J42,[2]Key!$E$2:$F$9,2,FALSE)</f>
        <v>Work</v>
      </c>
      <c r="L42" s="42" t="s">
        <v>258</v>
      </c>
      <c r="M42" s="60" t="s">
        <v>37</v>
      </c>
      <c r="N42" s="42" t="s">
        <v>254</v>
      </c>
      <c r="O42" s="58"/>
      <c r="P42" s="58">
        <v>2</v>
      </c>
      <c r="Q42" s="25" t="str">
        <f>VLOOKUP(P42,[2]Key!$E$2:$F$9,2,FALSE)</f>
        <v>Work</v>
      </c>
      <c r="R42" s="25" t="str">
        <f t="shared" si="0"/>
        <v>Work-Work</v>
      </c>
      <c r="S42" s="75"/>
      <c r="T42" s="62" t="s">
        <v>548</v>
      </c>
      <c r="U42" s="58">
        <v>2</v>
      </c>
      <c r="V42" s="58">
        <v>10</v>
      </c>
      <c r="W42" s="75"/>
      <c r="X42" s="75"/>
      <c r="Y42" s="61"/>
      <c r="Z42" s="77"/>
      <c r="AA42" s="25"/>
      <c r="AB42" s="25"/>
    </row>
    <row r="43" spans="2:28">
      <c r="B43" s="40" t="s">
        <v>421</v>
      </c>
      <c r="C43" s="40"/>
      <c r="D43" s="45">
        <v>2</v>
      </c>
      <c r="E43" s="45">
        <v>1</v>
      </c>
      <c r="F43" s="42" t="s">
        <v>37</v>
      </c>
      <c r="G43" s="42" t="s">
        <v>37</v>
      </c>
      <c r="H43" s="42" t="s">
        <v>254</v>
      </c>
      <c r="I43" s="74"/>
      <c r="J43" s="74">
        <v>1</v>
      </c>
      <c r="K43" s="25" t="str">
        <f>VLOOKUP(J43,[2]Key!$E$2:$F$9,2,FALSE)</f>
        <v>Home</v>
      </c>
      <c r="L43" s="42" t="s">
        <v>38</v>
      </c>
      <c r="M43" s="60" t="s">
        <v>37</v>
      </c>
      <c r="N43" s="42" t="s">
        <v>254</v>
      </c>
      <c r="O43" s="58"/>
      <c r="P43" s="58">
        <v>1</v>
      </c>
      <c r="Q43" s="25" t="str">
        <f>VLOOKUP(P43,[2]Key!$E$2:$F$9,2,FALSE)</f>
        <v>Home</v>
      </c>
      <c r="R43" s="25" t="str">
        <f t="shared" si="0"/>
        <v>Home-Home</v>
      </c>
      <c r="S43" s="75"/>
      <c r="T43" s="62" t="s">
        <v>548</v>
      </c>
      <c r="U43" s="58">
        <v>2</v>
      </c>
      <c r="V43" s="58">
        <v>8</v>
      </c>
      <c r="W43" s="75"/>
      <c r="X43" s="75"/>
      <c r="Y43" s="61"/>
      <c r="Z43" s="77"/>
      <c r="AA43" s="25"/>
      <c r="AB43" s="25"/>
    </row>
    <row r="44" spans="2:28">
      <c r="B44" s="40" t="s">
        <v>562</v>
      </c>
      <c r="C44" s="40"/>
      <c r="D44" s="44">
        <v>2</v>
      </c>
      <c r="E44" s="45">
        <v>2</v>
      </c>
      <c r="F44" s="42" t="s">
        <v>37</v>
      </c>
      <c r="G44" s="42" t="s">
        <v>37</v>
      </c>
      <c r="H44" s="42" t="s">
        <v>254</v>
      </c>
      <c r="I44" s="74"/>
      <c r="J44" s="74">
        <v>2</v>
      </c>
      <c r="K44" s="25" t="str">
        <f>VLOOKUP(J44,[2]Key!$E$2:$F$9,2,FALSE)</f>
        <v>Work</v>
      </c>
      <c r="L44" s="42" t="s">
        <v>38</v>
      </c>
      <c r="M44" s="60" t="s">
        <v>37</v>
      </c>
      <c r="N44" s="42" t="s">
        <v>254</v>
      </c>
      <c r="O44" s="58"/>
      <c r="P44" s="58">
        <v>2</v>
      </c>
      <c r="Q44" s="25" t="str">
        <f>VLOOKUP(P44,[2]Key!$E$2:$F$9,2,FALSE)</f>
        <v>Work</v>
      </c>
      <c r="R44" s="25" t="str">
        <f t="shared" si="0"/>
        <v>Work-Work</v>
      </c>
      <c r="S44" s="75"/>
      <c r="T44" s="62" t="s">
        <v>548</v>
      </c>
      <c r="U44" s="58">
        <v>3</v>
      </c>
      <c r="V44" s="58">
        <v>8</v>
      </c>
      <c r="W44" s="75"/>
      <c r="X44" s="75"/>
      <c r="Y44" s="61"/>
      <c r="Z44" s="77"/>
      <c r="AA44" s="25"/>
      <c r="AB44" s="25"/>
    </row>
    <row r="45" spans="2:28">
      <c r="B45" s="40" t="s">
        <v>563</v>
      </c>
      <c r="C45" s="40"/>
      <c r="D45" s="45">
        <v>1</v>
      </c>
      <c r="E45" s="42">
        <v>2</v>
      </c>
      <c r="F45" s="42" t="s">
        <v>564</v>
      </c>
      <c r="G45" s="42" t="s">
        <v>564</v>
      </c>
      <c r="H45" s="42" t="s">
        <v>254</v>
      </c>
      <c r="I45" s="74"/>
      <c r="J45" s="74">
        <v>5</v>
      </c>
      <c r="K45" s="25" t="str">
        <f>VLOOKUP(J45,[2]Key!$E$2:$F$9,2,FALSE)</f>
        <v>Tourism</v>
      </c>
      <c r="L45" s="41" t="s">
        <v>37</v>
      </c>
      <c r="M45" s="60" t="s">
        <v>37</v>
      </c>
      <c r="N45" s="42" t="s">
        <v>254</v>
      </c>
      <c r="O45" s="58"/>
      <c r="P45" s="58">
        <v>1</v>
      </c>
      <c r="Q45" s="25" t="str">
        <f>VLOOKUP(P45,[2]Key!$E$2:$F$9,2,FALSE)</f>
        <v>Home</v>
      </c>
      <c r="R45" s="25" t="str">
        <f t="shared" si="0"/>
        <v>Tourism-Home</v>
      </c>
      <c r="S45" s="75"/>
      <c r="T45" s="62">
        <v>1</v>
      </c>
      <c r="U45" s="58">
        <v>4</v>
      </c>
      <c r="V45" s="58">
        <v>10</v>
      </c>
      <c r="W45" s="75"/>
      <c r="X45" s="75"/>
      <c r="Y45" s="60"/>
      <c r="Z45" s="77"/>
      <c r="AA45" s="25"/>
      <c r="AB45" s="25"/>
    </row>
    <row r="46" spans="2:28">
      <c r="B46" s="40" t="s">
        <v>320</v>
      </c>
      <c r="C46" s="40"/>
      <c r="D46" s="44">
        <v>2</v>
      </c>
      <c r="E46" s="45">
        <v>2</v>
      </c>
      <c r="F46" s="42" t="s">
        <v>37</v>
      </c>
      <c r="G46" s="42" t="s">
        <v>37</v>
      </c>
      <c r="H46" s="42" t="s">
        <v>254</v>
      </c>
      <c r="I46" s="74"/>
      <c r="J46" s="74">
        <v>4</v>
      </c>
      <c r="K46" s="25" t="str">
        <f>VLOOKUP(J46,[2]Key!$E$2:$F$9,2,FALSE)</f>
        <v>Commercial</v>
      </c>
      <c r="L46" s="42" t="s">
        <v>38</v>
      </c>
      <c r="M46" s="60" t="s">
        <v>37</v>
      </c>
      <c r="N46" s="42" t="s">
        <v>254</v>
      </c>
      <c r="O46" s="58"/>
      <c r="P46" s="58">
        <v>4</v>
      </c>
      <c r="Q46" s="25" t="str">
        <f>VLOOKUP(P46,[2]Key!$E$2:$F$9,2,FALSE)</f>
        <v>Commercial</v>
      </c>
      <c r="R46" s="25" t="str">
        <f t="shared" si="0"/>
        <v>Commercial-Commercial</v>
      </c>
      <c r="S46" s="75"/>
      <c r="T46" s="62">
        <v>1</v>
      </c>
      <c r="U46" s="58">
        <v>3</v>
      </c>
      <c r="V46" s="58">
        <v>8</v>
      </c>
      <c r="W46" s="75"/>
      <c r="X46" s="75"/>
      <c r="Y46" s="60"/>
      <c r="Z46" s="77"/>
      <c r="AA46" s="25"/>
      <c r="AB46" s="25"/>
    </row>
    <row r="47" spans="2:28">
      <c r="B47" s="40" t="s">
        <v>544</v>
      </c>
      <c r="C47" s="40"/>
      <c r="D47" s="45">
        <v>2</v>
      </c>
      <c r="E47" s="45">
        <v>3</v>
      </c>
      <c r="F47" s="42" t="s">
        <v>37</v>
      </c>
      <c r="G47" s="42" t="s">
        <v>37</v>
      </c>
      <c r="H47" s="42" t="s">
        <v>254</v>
      </c>
      <c r="I47" s="74"/>
      <c r="J47" s="74">
        <v>2</v>
      </c>
      <c r="K47" s="25" t="str">
        <f>VLOOKUP(J47,[2]Key!$E$2:$F$9,2,FALSE)</f>
        <v>Work</v>
      </c>
      <c r="L47" s="42" t="s">
        <v>258</v>
      </c>
      <c r="M47" s="60" t="s">
        <v>37</v>
      </c>
      <c r="N47" s="42" t="s">
        <v>254</v>
      </c>
      <c r="O47" s="58"/>
      <c r="P47" s="58">
        <v>1</v>
      </c>
      <c r="Q47" s="25" t="str">
        <f>VLOOKUP(P47,[2]Key!$E$2:$F$9,2,FALSE)</f>
        <v>Home</v>
      </c>
      <c r="R47" s="25" t="str">
        <f t="shared" si="0"/>
        <v>Work-Home</v>
      </c>
      <c r="S47" s="75"/>
      <c r="T47" s="62">
        <v>2</v>
      </c>
      <c r="U47" s="58">
        <v>1</v>
      </c>
      <c r="V47" s="58">
        <v>10</v>
      </c>
      <c r="W47" s="75"/>
      <c r="X47" s="75"/>
      <c r="Y47" s="60"/>
      <c r="Z47" s="77"/>
      <c r="AA47" s="25"/>
      <c r="AB47" s="25"/>
    </row>
    <row r="48" spans="2:28">
      <c r="B48" s="40" t="s">
        <v>565</v>
      </c>
      <c r="C48" s="40"/>
      <c r="D48" s="44">
        <v>2</v>
      </c>
      <c r="E48" s="42">
        <v>1</v>
      </c>
      <c r="F48" s="42" t="s">
        <v>246</v>
      </c>
      <c r="G48" s="42" t="s">
        <v>246</v>
      </c>
      <c r="H48" s="42" t="s">
        <v>254</v>
      </c>
      <c r="I48" s="74"/>
      <c r="J48" s="74">
        <v>2</v>
      </c>
      <c r="K48" s="25" t="str">
        <f>VLOOKUP(J48,[2]Key!$E$2:$F$9,2,FALSE)</f>
        <v>Work</v>
      </c>
      <c r="L48" s="42" t="s">
        <v>38</v>
      </c>
      <c r="M48" s="60" t="s">
        <v>37</v>
      </c>
      <c r="N48" s="42" t="s">
        <v>254</v>
      </c>
      <c r="O48" s="58"/>
      <c r="P48" s="58">
        <v>2</v>
      </c>
      <c r="Q48" s="25" t="str">
        <f>VLOOKUP(P48,[2]Key!$E$2:$F$9,2,FALSE)</f>
        <v>Work</v>
      </c>
      <c r="R48" s="25" t="str">
        <f t="shared" si="0"/>
        <v>Work-Work</v>
      </c>
      <c r="S48" s="75"/>
      <c r="T48" s="62">
        <v>1</v>
      </c>
      <c r="U48" s="58">
        <v>6</v>
      </c>
      <c r="V48" s="58">
        <v>10</v>
      </c>
      <c r="W48" s="75"/>
      <c r="X48" s="75"/>
      <c r="Y48" s="60"/>
      <c r="Z48" s="77"/>
      <c r="AA48" s="25"/>
      <c r="AB48" s="25"/>
    </row>
    <row r="49" spans="2:28">
      <c r="B49" s="40" t="s">
        <v>566</v>
      </c>
      <c r="C49" s="40"/>
      <c r="D49" s="45">
        <v>2</v>
      </c>
      <c r="E49" s="45">
        <v>3</v>
      </c>
      <c r="F49" s="42" t="s">
        <v>37</v>
      </c>
      <c r="G49" s="42" t="s">
        <v>37</v>
      </c>
      <c r="H49" s="42" t="s">
        <v>254</v>
      </c>
      <c r="I49" s="74"/>
      <c r="J49" s="74">
        <v>1</v>
      </c>
      <c r="K49" s="25" t="str">
        <f>VLOOKUP(J49,[2]Key!$E$2:$F$9,2,FALSE)</f>
        <v>Home</v>
      </c>
      <c r="L49" s="42" t="s">
        <v>256</v>
      </c>
      <c r="M49" s="60" t="s">
        <v>37</v>
      </c>
      <c r="N49" s="42" t="s">
        <v>254</v>
      </c>
      <c r="O49" s="58"/>
      <c r="P49" s="58">
        <v>1</v>
      </c>
      <c r="Q49" s="25" t="str">
        <f>VLOOKUP(P49,[2]Key!$E$2:$F$9,2,FALSE)</f>
        <v>Home</v>
      </c>
      <c r="R49" s="25" t="str">
        <f t="shared" si="0"/>
        <v>Home-Home</v>
      </c>
      <c r="S49" s="75"/>
      <c r="T49" s="62">
        <v>3</v>
      </c>
      <c r="U49" s="58">
        <v>1</v>
      </c>
      <c r="V49" s="58">
        <v>7</v>
      </c>
      <c r="W49" s="75"/>
      <c r="X49" s="75"/>
      <c r="Y49" s="60"/>
      <c r="Z49" s="77"/>
      <c r="AA49" s="25"/>
      <c r="AB49" s="25"/>
    </row>
    <row r="53" spans="2:28">
      <c r="B53" s="40"/>
      <c r="C53" s="40"/>
      <c r="D53" s="45"/>
      <c r="E53" s="45"/>
      <c r="F53" s="42"/>
      <c r="G53" s="42"/>
      <c r="H53" s="42"/>
      <c r="I53" s="74"/>
      <c r="J53" s="74"/>
      <c r="K53" s="25" t="e">
        <f>VLOOKUP(J53,[2]Key!$E$2:$F$9,2,FALSE)</f>
        <v>#N/A</v>
      </c>
      <c r="L53" s="42"/>
      <c r="M53" s="60"/>
      <c r="N53" s="42"/>
      <c r="O53" s="58"/>
      <c r="P53" s="58"/>
      <c r="Q53" s="25" t="e">
        <f>VLOOKUP(P53,[2]Key!$E$2:$F$9,2,FALSE)</f>
        <v>#N/A</v>
      </c>
      <c r="R53" s="25" t="e">
        <f t="shared" si="0"/>
        <v>#N/A</v>
      </c>
      <c r="S53" s="75"/>
      <c r="T53" s="75"/>
      <c r="U53" s="58"/>
      <c r="V53" s="58"/>
      <c r="W53" s="75"/>
      <c r="X53" s="75"/>
      <c r="Y53" s="60"/>
      <c r="Z53" s="77"/>
      <c r="AA53" s="25"/>
      <c r="AB53" s="25"/>
    </row>
    <row r="54" spans="2:28">
      <c r="B54" s="40"/>
      <c r="C54" s="40"/>
      <c r="D54" s="44"/>
      <c r="E54" s="45"/>
      <c r="F54" s="42"/>
      <c r="G54" s="42"/>
      <c r="H54" s="42"/>
      <c r="I54" s="74"/>
      <c r="J54" s="74"/>
      <c r="K54" s="25" t="e">
        <f>VLOOKUP(J54,[2]Key!$E$2:$F$9,2,FALSE)</f>
        <v>#N/A</v>
      </c>
      <c r="L54" s="42"/>
      <c r="M54" s="60"/>
      <c r="N54" s="42"/>
      <c r="O54" s="58"/>
      <c r="P54" s="58"/>
      <c r="Q54" s="25" t="e">
        <f>VLOOKUP(P54,[2]Key!$E$2:$F$9,2,FALSE)</f>
        <v>#N/A</v>
      </c>
      <c r="R54" s="25" t="e">
        <f t="shared" si="0"/>
        <v>#N/A</v>
      </c>
      <c r="S54" s="75"/>
      <c r="T54" s="75"/>
      <c r="U54" s="58"/>
      <c r="V54" s="58"/>
      <c r="W54" s="75"/>
      <c r="X54" s="75"/>
      <c r="Y54" s="60"/>
      <c r="Z54" s="77"/>
      <c r="AA54" s="25"/>
      <c r="AB54" s="25"/>
    </row>
    <row r="55" spans="2:28">
      <c r="B55" s="40"/>
      <c r="C55" s="40"/>
      <c r="D55" s="45"/>
      <c r="E55" s="45"/>
      <c r="F55" s="42"/>
      <c r="G55" s="42"/>
      <c r="H55" s="42"/>
      <c r="I55" s="74"/>
      <c r="J55" s="74"/>
      <c r="K55" s="25" t="e">
        <f>VLOOKUP(J55,[2]Key!$E$2:$F$9,2,FALSE)</f>
        <v>#N/A</v>
      </c>
      <c r="L55" s="42"/>
      <c r="M55" s="60"/>
      <c r="N55" s="42"/>
      <c r="O55" s="58"/>
      <c r="P55" s="58"/>
      <c r="Q55" s="25" t="e">
        <f>VLOOKUP(P55,[2]Key!$E$2:$F$9,2,FALSE)</f>
        <v>#N/A</v>
      </c>
      <c r="R55" s="25" t="e">
        <f t="shared" si="0"/>
        <v>#N/A</v>
      </c>
      <c r="S55" s="75"/>
      <c r="T55" s="75"/>
      <c r="U55" s="58"/>
      <c r="V55" s="58"/>
      <c r="W55" s="75"/>
      <c r="X55" s="75"/>
      <c r="Y55" s="60"/>
      <c r="Z55" s="77"/>
      <c r="AA55" s="25"/>
      <c r="AB55" s="25"/>
    </row>
    <row r="56" spans="2:28">
      <c r="B56" s="40"/>
      <c r="C56" s="40"/>
      <c r="D56" s="45"/>
      <c r="E56" s="45"/>
      <c r="F56" s="42"/>
      <c r="G56" s="42"/>
      <c r="H56" s="42"/>
      <c r="I56" s="74"/>
      <c r="J56" s="74"/>
      <c r="K56" s="25" t="e">
        <f>VLOOKUP(J56,[2]Key!$E$2:$F$9,2,FALSE)</f>
        <v>#N/A</v>
      </c>
      <c r="L56" s="42"/>
      <c r="M56" s="60"/>
      <c r="N56" s="42"/>
      <c r="O56" s="58"/>
      <c r="P56" s="58"/>
      <c r="Q56" s="25" t="e">
        <f>VLOOKUP(P56,[2]Key!$E$2:$F$9,2,FALSE)</f>
        <v>#N/A</v>
      </c>
      <c r="R56" s="25" t="e">
        <f t="shared" si="0"/>
        <v>#N/A</v>
      </c>
      <c r="S56" s="75"/>
      <c r="T56" s="75"/>
      <c r="U56" s="58"/>
      <c r="V56" s="58"/>
      <c r="W56" s="75"/>
      <c r="X56" s="75"/>
      <c r="Y56" s="60"/>
      <c r="Z56" s="77"/>
      <c r="AA56" s="25"/>
      <c r="AB56" s="25"/>
    </row>
    <row r="57" spans="2:28">
      <c r="B57" s="40"/>
      <c r="C57" s="40"/>
      <c r="D57" s="45"/>
      <c r="E57" s="45"/>
      <c r="F57" s="42"/>
      <c r="G57" s="42"/>
      <c r="H57" s="42"/>
      <c r="I57" s="74"/>
      <c r="J57" s="74"/>
      <c r="K57" s="25" t="e">
        <f>VLOOKUP(J57,[2]Key!$E$2:$F$9,2,FALSE)</f>
        <v>#N/A</v>
      </c>
      <c r="L57" s="42"/>
      <c r="M57" s="60"/>
      <c r="N57" s="42"/>
      <c r="O57" s="58"/>
      <c r="P57" s="58"/>
      <c r="Q57" s="25" t="e">
        <f>VLOOKUP(P57,[2]Key!$E$2:$F$9,2,FALSE)</f>
        <v>#N/A</v>
      </c>
      <c r="R57" s="25" t="e">
        <f t="shared" si="0"/>
        <v>#N/A</v>
      </c>
      <c r="S57" s="75"/>
      <c r="T57" s="75"/>
      <c r="U57" s="58"/>
      <c r="V57" s="58"/>
      <c r="W57" s="75"/>
      <c r="X57" s="75"/>
      <c r="Y57" s="60"/>
      <c r="Z57" s="77"/>
      <c r="AA57" s="25"/>
      <c r="AB57" s="25"/>
    </row>
    <row r="58" spans="2:28">
      <c r="B58" s="40"/>
      <c r="C58" s="40"/>
      <c r="D58" s="45"/>
      <c r="E58" s="45"/>
      <c r="F58" s="42"/>
      <c r="G58" s="42"/>
      <c r="H58" s="42"/>
      <c r="I58" s="74"/>
      <c r="J58" s="74"/>
      <c r="K58" s="25" t="e">
        <f>VLOOKUP(J58,[2]Key!$E$2:$F$9,2,FALSE)</f>
        <v>#N/A</v>
      </c>
      <c r="L58" s="42"/>
      <c r="M58" s="60"/>
      <c r="N58" s="42"/>
      <c r="O58" s="58"/>
      <c r="P58" s="58"/>
      <c r="Q58" s="25" t="e">
        <f>VLOOKUP(P58,[2]Key!$E$2:$F$9,2,FALSE)</f>
        <v>#N/A</v>
      </c>
      <c r="R58" s="25" t="e">
        <f t="shared" si="0"/>
        <v>#N/A</v>
      </c>
      <c r="S58" s="75"/>
      <c r="T58" s="75"/>
      <c r="U58" s="58"/>
      <c r="V58" s="58"/>
      <c r="W58" s="75"/>
      <c r="X58" s="75"/>
      <c r="Y58" s="60"/>
      <c r="Z58" s="77"/>
      <c r="AA58" s="25"/>
      <c r="AB58" s="25"/>
    </row>
    <row r="59" spans="2:28">
      <c r="B59" s="40"/>
      <c r="C59" s="40"/>
      <c r="D59" s="44"/>
      <c r="E59" s="45"/>
      <c r="F59" s="42"/>
      <c r="G59" s="42"/>
      <c r="H59" s="42"/>
      <c r="I59" s="74"/>
      <c r="J59" s="74"/>
      <c r="K59" s="25" t="e">
        <f>VLOOKUP(J59,[2]Key!$E$2:$F$9,2,FALSE)</f>
        <v>#N/A</v>
      </c>
      <c r="L59" s="42"/>
      <c r="M59" s="60"/>
      <c r="N59" s="42"/>
      <c r="O59" s="58"/>
      <c r="P59" s="58"/>
      <c r="Q59" s="25" t="e">
        <f>VLOOKUP(P59,[2]Key!$E$2:$F$9,2,FALSE)</f>
        <v>#N/A</v>
      </c>
      <c r="R59" s="25" t="e">
        <f t="shared" si="0"/>
        <v>#N/A</v>
      </c>
      <c r="S59" s="75"/>
      <c r="T59" s="75"/>
      <c r="U59" s="58"/>
      <c r="V59" s="58"/>
      <c r="W59" s="75"/>
      <c r="X59" s="75"/>
      <c r="Y59" s="60"/>
      <c r="Z59" s="77"/>
      <c r="AA59" s="25"/>
      <c r="AB59" s="25"/>
    </row>
    <row r="60" spans="2:28">
      <c r="B60" s="40"/>
      <c r="C60" s="40"/>
      <c r="D60" s="44"/>
      <c r="E60" s="45"/>
      <c r="F60" s="42"/>
      <c r="G60" s="42"/>
      <c r="H60" s="42"/>
      <c r="I60" s="74"/>
      <c r="J60" s="74"/>
      <c r="K60" s="25" t="e">
        <f>VLOOKUP(J60,[2]Key!$E$2:$F$9,2,FALSE)</f>
        <v>#N/A</v>
      </c>
      <c r="L60" s="42"/>
      <c r="M60" s="60"/>
      <c r="N60" s="42"/>
      <c r="O60" s="58"/>
      <c r="P60" s="58"/>
      <c r="Q60" s="25" t="e">
        <f>VLOOKUP(P60,[2]Key!$E$2:$F$9,2,FALSE)</f>
        <v>#N/A</v>
      </c>
      <c r="R60" s="25" t="e">
        <f t="shared" si="0"/>
        <v>#N/A</v>
      </c>
      <c r="S60" s="75"/>
      <c r="T60" s="75"/>
      <c r="U60" s="58"/>
      <c r="V60" s="58"/>
      <c r="W60" s="75"/>
      <c r="X60" s="75"/>
      <c r="Y60" s="60"/>
      <c r="Z60" s="77"/>
      <c r="AA60" s="25"/>
      <c r="AB60" s="25"/>
    </row>
    <row r="61" spans="2:28">
      <c r="B61" s="40"/>
      <c r="C61" s="40"/>
      <c r="D61" s="44"/>
      <c r="E61" s="45"/>
      <c r="F61" s="42"/>
      <c r="G61" s="42"/>
      <c r="H61" s="42"/>
      <c r="I61" s="74"/>
      <c r="J61" s="74"/>
      <c r="K61" s="25" t="e">
        <f>VLOOKUP(J61,[2]Key!$E$2:$F$9,2,FALSE)</f>
        <v>#N/A</v>
      </c>
      <c r="L61" s="42"/>
      <c r="M61" s="60"/>
      <c r="N61" s="42"/>
      <c r="O61" s="58"/>
      <c r="P61" s="58"/>
      <c r="Q61" s="25" t="e">
        <f>VLOOKUP(P61,[2]Key!$E$2:$F$9,2,FALSE)</f>
        <v>#N/A</v>
      </c>
      <c r="R61" s="25" t="e">
        <f t="shared" si="0"/>
        <v>#N/A</v>
      </c>
      <c r="S61" s="75"/>
      <c r="T61" s="75"/>
      <c r="U61" s="58"/>
      <c r="V61" s="58"/>
      <c r="W61" s="75"/>
      <c r="X61" s="75"/>
      <c r="Y61" s="60"/>
      <c r="Z61" s="77"/>
      <c r="AA61" s="25"/>
      <c r="AB61" s="25"/>
    </row>
    <row r="62" spans="2:28">
      <c r="B62" s="40"/>
      <c r="C62" s="40"/>
      <c r="D62" s="44"/>
      <c r="E62" s="45"/>
      <c r="F62" s="42"/>
      <c r="G62" s="42"/>
      <c r="H62" s="42"/>
      <c r="I62" s="74"/>
      <c r="J62" s="74"/>
      <c r="K62" s="25" t="e">
        <f>VLOOKUP(J62,[2]Key!$E$2:$F$9,2,FALSE)</f>
        <v>#N/A</v>
      </c>
      <c r="L62" s="42"/>
      <c r="M62" s="60"/>
      <c r="N62" s="42"/>
      <c r="O62" s="58"/>
      <c r="P62" s="58"/>
      <c r="Q62" s="25" t="e">
        <f>VLOOKUP(P62,[2]Key!$E$2:$F$9,2,FALSE)</f>
        <v>#N/A</v>
      </c>
      <c r="R62" s="25" t="e">
        <f t="shared" si="0"/>
        <v>#N/A</v>
      </c>
      <c r="S62" s="75"/>
      <c r="T62" s="75"/>
      <c r="U62" s="58"/>
      <c r="V62" s="58"/>
      <c r="W62" s="75"/>
      <c r="X62" s="75"/>
      <c r="Y62" s="60"/>
      <c r="Z62" s="77"/>
      <c r="AA62" s="25"/>
      <c r="AB62" s="25"/>
    </row>
    <row r="63" spans="2:28">
      <c r="B63" s="40"/>
      <c r="C63" s="40"/>
      <c r="D63" s="44"/>
      <c r="E63" s="42"/>
      <c r="F63" s="42"/>
      <c r="G63" s="42"/>
      <c r="H63" s="42"/>
      <c r="I63" s="74"/>
      <c r="J63" s="74"/>
      <c r="K63" s="25" t="e">
        <f>VLOOKUP(J63,[2]Key!$E$2:$F$9,2,FALSE)</f>
        <v>#N/A</v>
      </c>
      <c r="L63" s="42"/>
      <c r="M63" s="60"/>
      <c r="N63" s="42"/>
      <c r="O63" s="58"/>
      <c r="P63" s="58"/>
      <c r="Q63" s="25" t="e">
        <f>VLOOKUP(P63,[2]Key!$E$2:$F$9,2,FALSE)</f>
        <v>#N/A</v>
      </c>
      <c r="R63" s="25" t="e">
        <f t="shared" si="0"/>
        <v>#N/A</v>
      </c>
      <c r="S63" s="75"/>
      <c r="T63" s="75"/>
      <c r="U63" s="58"/>
      <c r="V63" s="58"/>
      <c r="W63" s="75"/>
      <c r="X63" s="75"/>
      <c r="Y63" s="60"/>
      <c r="Z63" s="77"/>
      <c r="AA63" s="25"/>
      <c r="AB63" s="25"/>
    </row>
    <row r="64" spans="2:28">
      <c r="B64" s="40"/>
      <c r="C64" s="40"/>
      <c r="D64" s="44"/>
      <c r="E64" s="42"/>
      <c r="F64" s="42"/>
      <c r="G64" s="42"/>
      <c r="H64" s="42"/>
      <c r="I64" s="74"/>
      <c r="J64" s="74"/>
      <c r="K64" s="25" t="e">
        <f>VLOOKUP(J64,[2]Key!$E$2:$F$9,2,FALSE)</f>
        <v>#N/A</v>
      </c>
      <c r="L64" s="42"/>
      <c r="M64" s="60"/>
      <c r="N64" s="42"/>
      <c r="O64" s="58"/>
      <c r="P64" s="58"/>
      <c r="Q64" s="25" t="e">
        <f>VLOOKUP(P64,[2]Key!$E$2:$F$9,2,FALSE)</f>
        <v>#N/A</v>
      </c>
      <c r="R64" s="25" t="e">
        <f t="shared" si="0"/>
        <v>#N/A</v>
      </c>
      <c r="S64" s="75"/>
      <c r="T64" s="75"/>
      <c r="U64" s="58"/>
      <c r="V64" s="58"/>
      <c r="W64" s="75"/>
      <c r="X64" s="75"/>
      <c r="Y64" s="60"/>
      <c r="Z64" s="77"/>
      <c r="AA64" s="25"/>
      <c r="AB64" s="25"/>
    </row>
    <row r="65" spans="2:28">
      <c r="B65" s="40"/>
      <c r="C65" s="40"/>
      <c r="D65" s="45"/>
      <c r="E65" s="45"/>
      <c r="F65" s="42"/>
      <c r="G65" s="42"/>
      <c r="H65" s="42"/>
      <c r="I65" s="74"/>
      <c r="J65" s="74"/>
      <c r="K65" s="25" t="e">
        <f>VLOOKUP(J65,[2]Key!$E$2:$F$9,2,FALSE)</f>
        <v>#N/A</v>
      </c>
      <c r="L65" s="42"/>
      <c r="M65" s="60"/>
      <c r="N65" s="42"/>
      <c r="O65" s="58"/>
      <c r="P65" s="58"/>
      <c r="Q65" s="25" t="e">
        <f>VLOOKUP(P65,[2]Key!$E$2:$F$9,2,FALSE)</f>
        <v>#N/A</v>
      </c>
      <c r="R65" s="25" t="e">
        <f t="shared" si="0"/>
        <v>#N/A</v>
      </c>
      <c r="S65" s="75"/>
      <c r="T65" s="75"/>
      <c r="U65" s="58"/>
      <c r="V65" s="58"/>
      <c r="W65" s="75"/>
      <c r="X65" s="75"/>
      <c r="Y65" s="60"/>
      <c r="Z65" s="77"/>
      <c r="AA65" s="25"/>
      <c r="AB65" s="25"/>
    </row>
    <row r="66" spans="2:28">
      <c r="B66" s="40"/>
      <c r="C66" s="40"/>
      <c r="D66" s="45"/>
      <c r="E66" s="45"/>
      <c r="F66" s="42"/>
      <c r="G66" s="42"/>
      <c r="H66" s="42"/>
      <c r="I66" s="74"/>
      <c r="J66" s="74"/>
      <c r="K66" s="25" t="e">
        <f>VLOOKUP(J66,[2]Key!$E$2:$F$9,2,FALSE)</f>
        <v>#N/A</v>
      </c>
      <c r="L66" s="42"/>
      <c r="M66" s="60"/>
      <c r="N66" s="42"/>
      <c r="O66" s="58"/>
      <c r="P66" s="58"/>
      <c r="Q66" s="25" t="e">
        <f>VLOOKUP(P66,[2]Key!$E$2:$F$9,2,FALSE)</f>
        <v>#N/A</v>
      </c>
      <c r="R66" s="25" t="e">
        <f t="shared" si="0"/>
        <v>#N/A</v>
      </c>
      <c r="S66" s="75"/>
      <c r="T66" s="75"/>
      <c r="U66" s="58"/>
      <c r="V66" s="58"/>
      <c r="W66" s="75"/>
      <c r="X66" s="75"/>
      <c r="Y66" s="60"/>
      <c r="Z66" s="77"/>
      <c r="AA66" s="25"/>
      <c r="AB66" s="25"/>
    </row>
    <row r="67" spans="2:28">
      <c r="B67" s="40"/>
      <c r="C67" s="40"/>
      <c r="D67" s="45"/>
      <c r="E67" s="45"/>
      <c r="F67" s="42"/>
      <c r="G67" s="42"/>
      <c r="H67" s="42"/>
      <c r="I67" s="74"/>
      <c r="J67" s="74"/>
      <c r="K67" s="25" t="e">
        <f>VLOOKUP(J67,[2]Key!$E$2:$F$9,2,FALSE)</f>
        <v>#N/A</v>
      </c>
      <c r="L67" s="42"/>
      <c r="M67" s="60"/>
      <c r="N67" s="42"/>
      <c r="O67" s="58"/>
      <c r="P67" s="58"/>
      <c r="Q67" s="25" t="e">
        <f>VLOOKUP(P67,[2]Key!$E$2:$F$9,2,FALSE)</f>
        <v>#N/A</v>
      </c>
      <c r="R67" s="25" t="e">
        <f t="shared" si="0"/>
        <v>#N/A</v>
      </c>
      <c r="S67" s="75"/>
      <c r="T67" s="75"/>
      <c r="U67" s="58"/>
      <c r="V67" s="58"/>
      <c r="W67" s="75"/>
      <c r="X67" s="75"/>
      <c r="Y67" s="60"/>
      <c r="Z67" s="77"/>
      <c r="AA67" s="25"/>
      <c r="AB67" s="25"/>
    </row>
    <row r="68" spans="2:28">
      <c r="B68" s="40"/>
      <c r="C68" s="40"/>
      <c r="D68" s="44"/>
      <c r="E68" s="45"/>
      <c r="F68" s="42"/>
      <c r="G68" s="42"/>
      <c r="H68" s="42"/>
      <c r="I68" s="74"/>
      <c r="J68" s="74"/>
      <c r="K68" s="25" t="e">
        <f>VLOOKUP(J68,[2]Key!$E$2:$F$9,2,FALSE)</f>
        <v>#N/A</v>
      </c>
      <c r="L68" s="42"/>
      <c r="M68" s="60"/>
      <c r="N68" s="42"/>
      <c r="O68" s="58"/>
      <c r="P68" s="58"/>
      <c r="Q68" s="25" t="e">
        <f>VLOOKUP(P68,[2]Key!$E$2:$F$9,2,FALSE)</f>
        <v>#N/A</v>
      </c>
      <c r="R68" s="25" t="e">
        <f t="shared" si="0"/>
        <v>#N/A</v>
      </c>
      <c r="S68" s="75"/>
      <c r="T68" s="75"/>
      <c r="U68" s="58"/>
      <c r="V68" s="58"/>
      <c r="W68" s="75"/>
      <c r="X68" s="75"/>
      <c r="Y68" s="60"/>
      <c r="Z68" s="77"/>
      <c r="AA68" s="25"/>
      <c r="AB68" s="25"/>
    </row>
    <row r="69" spans="2:28">
      <c r="B69" s="40"/>
      <c r="C69" s="40"/>
      <c r="D69" s="44"/>
      <c r="E69" s="45"/>
      <c r="F69" s="42"/>
      <c r="G69" s="42"/>
      <c r="H69" s="42"/>
      <c r="I69" s="74"/>
      <c r="J69" s="74"/>
      <c r="K69" s="25" t="e">
        <f>VLOOKUP(J69,[2]Key!$E$2:$F$9,2,FALSE)</f>
        <v>#N/A</v>
      </c>
      <c r="L69" s="42"/>
      <c r="M69" s="60"/>
      <c r="N69" s="42"/>
      <c r="O69" s="58"/>
      <c r="P69" s="58"/>
      <c r="Q69" s="25" t="e">
        <f>VLOOKUP(P69,[2]Key!$E$2:$F$9,2,FALSE)</f>
        <v>#N/A</v>
      </c>
      <c r="R69" s="25" t="e">
        <f t="shared" si="0"/>
        <v>#N/A</v>
      </c>
      <c r="S69" s="75"/>
      <c r="T69" s="75"/>
      <c r="U69" s="58"/>
      <c r="V69" s="58"/>
      <c r="W69" s="75"/>
      <c r="X69" s="75"/>
      <c r="Y69" s="60"/>
      <c r="Z69" s="77"/>
      <c r="AA69" s="25"/>
      <c r="AB69" s="25"/>
    </row>
    <row r="70" spans="2:28">
      <c r="B70" s="40"/>
      <c r="C70" s="40"/>
      <c r="D70" s="45"/>
      <c r="E70" s="42"/>
      <c r="F70" s="42"/>
      <c r="G70" s="42"/>
      <c r="H70" s="42"/>
      <c r="I70" s="74"/>
      <c r="J70" s="74"/>
      <c r="K70" s="25" t="e">
        <f>VLOOKUP(J70,[2]Key!$E$2:$F$9,2,FALSE)</f>
        <v>#N/A</v>
      </c>
      <c r="L70" s="42"/>
      <c r="M70" s="60"/>
      <c r="N70" s="42"/>
      <c r="O70" s="58"/>
      <c r="P70" s="58"/>
      <c r="Q70" s="25" t="e">
        <f>VLOOKUP(P70,[2]Key!$E$2:$F$9,2,FALSE)</f>
        <v>#N/A</v>
      </c>
      <c r="R70" s="25" t="e">
        <f t="shared" si="0"/>
        <v>#N/A</v>
      </c>
      <c r="S70" s="75"/>
      <c r="T70" s="75"/>
      <c r="U70" s="58"/>
      <c r="V70" s="58"/>
      <c r="W70" s="75"/>
      <c r="X70" s="75"/>
      <c r="Y70" s="60"/>
      <c r="Z70" s="77"/>
      <c r="AA70" s="25"/>
      <c r="AB70" s="25"/>
    </row>
    <row r="71" spans="2:28">
      <c r="B71" s="40"/>
      <c r="C71" s="40"/>
      <c r="D71" s="41"/>
      <c r="E71" s="42"/>
      <c r="F71" s="42"/>
      <c r="G71" s="42"/>
      <c r="H71" s="42"/>
      <c r="I71" s="43"/>
      <c r="J71" s="43"/>
      <c r="K71" s="25" t="e">
        <f>VLOOKUP(J71,[2]Key!$E$2:$F$9,2,FALSE)</f>
        <v>#N/A</v>
      </c>
      <c r="L71" s="42"/>
      <c r="M71" s="43"/>
      <c r="N71" s="42"/>
      <c r="O71" s="42"/>
      <c r="P71" s="42"/>
      <c r="Q71" s="25" t="e">
        <f>VLOOKUP(P71,[2]Key!$E$2:$F$9,2,FALSE)</f>
        <v>#N/A</v>
      </c>
      <c r="R71" s="25" t="e">
        <f t="shared" si="0"/>
        <v>#N/A</v>
      </c>
      <c r="S71" s="62"/>
      <c r="T71" s="62"/>
      <c r="U71" s="43"/>
      <c r="V71" s="43"/>
      <c r="W71" s="62"/>
      <c r="X71" s="62"/>
      <c r="Y71" s="63"/>
      <c r="Z71" s="76"/>
      <c r="AA71" s="25"/>
      <c r="AB71" s="25"/>
    </row>
    <row r="72" spans="2:28">
      <c r="B72" s="40"/>
      <c r="C72" s="40"/>
      <c r="D72" s="41"/>
      <c r="E72" s="42"/>
      <c r="F72" s="42"/>
      <c r="G72" s="42"/>
      <c r="H72" s="42"/>
      <c r="I72" s="43"/>
      <c r="J72" s="43"/>
      <c r="K72" s="25" t="e">
        <f>VLOOKUP(J72,[2]Key!$E$2:$F$9,2,FALSE)</f>
        <v>#N/A</v>
      </c>
      <c r="L72" s="42"/>
      <c r="M72" s="43"/>
      <c r="N72" s="42"/>
      <c r="O72" s="42"/>
      <c r="P72" s="42"/>
      <c r="Q72" s="25" t="e">
        <f>VLOOKUP(P72,[2]Key!$E$2:$F$9,2,FALSE)</f>
        <v>#N/A</v>
      </c>
      <c r="R72" s="25" t="e">
        <f t="shared" si="0"/>
        <v>#N/A</v>
      </c>
      <c r="S72" s="62"/>
      <c r="T72" s="62"/>
      <c r="U72" s="43"/>
      <c r="V72" s="43"/>
      <c r="W72" s="62"/>
      <c r="X72" s="62"/>
      <c r="Y72" s="63"/>
      <c r="Z72" s="76"/>
      <c r="AA72" s="25"/>
      <c r="AB72" s="25"/>
    </row>
    <row r="73" spans="2:28">
      <c r="B73" s="40"/>
      <c r="C73" s="40"/>
      <c r="D73" s="41"/>
      <c r="E73" s="42"/>
      <c r="F73" s="42"/>
      <c r="G73" s="42"/>
      <c r="H73" s="42"/>
      <c r="I73" s="43"/>
      <c r="J73" s="43"/>
      <c r="K73" s="25" t="e">
        <f>VLOOKUP(J73,[2]Key!$E$2:$F$9,2,FALSE)</f>
        <v>#N/A</v>
      </c>
      <c r="L73" s="42"/>
      <c r="M73" s="43"/>
      <c r="N73" s="42"/>
      <c r="O73" s="42"/>
      <c r="P73" s="42"/>
      <c r="Q73" s="25" t="e">
        <f>VLOOKUP(P73,[2]Key!$E$2:$F$9,2,FALSE)</f>
        <v>#N/A</v>
      </c>
      <c r="R73" s="25" t="e">
        <f t="shared" si="0"/>
        <v>#N/A</v>
      </c>
      <c r="S73" s="62"/>
      <c r="T73" s="62"/>
      <c r="U73" s="43"/>
      <c r="V73" s="43"/>
      <c r="W73" s="62"/>
      <c r="X73" s="62"/>
      <c r="Y73" s="63"/>
      <c r="Z73" s="76"/>
      <c r="AA73" s="25"/>
      <c r="AB73" s="25"/>
    </row>
    <row r="74" spans="2:28">
      <c r="B74" s="40"/>
      <c r="C74" s="40"/>
      <c r="D74" s="41"/>
      <c r="E74" s="42"/>
      <c r="F74" s="42"/>
      <c r="G74" s="42"/>
      <c r="H74" s="42"/>
      <c r="I74" s="43"/>
      <c r="J74" s="43"/>
      <c r="K74" s="25" t="e">
        <f>VLOOKUP(J74,[2]Key!$E$2:$F$9,2,FALSE)</f>
        <v>#N/A</v>
      </c>
      <c r="L74" s="42"/>
      <c r="M74" s="43"/>
      <c r="N74" s="42"/>
      <c r="O74" s="42"/>
      <c r="P74" s="42"/>
      <c r="Q74" s="25" t="e">
        <f>VLOOKUP(P74,[2]Key!$E$2:$F$9,2,FALSE)</f>
        <v>#N/A</v>
      </c>
      <c r="R74" s="25" t="e">
        <f t="shared" ref="R74:R125" si="1">K74&amp;"-"&amp;Q74</f>
        <v>#N/A</v>
      </c>
      <c r="S74" s="62"/>
      <c r="T74" s="62"/>
      <c r="U74" s="43"/>
      <c r="V74" s="43"/>
      <c r="W74" s="62"/>
      <c r="X74" s="62"/>
      <c r="Y74" s="63"/>
      <c r="Z74" s="76"/>
      <c r="AA74" s="25"/>
      <c r="AB74" s="25"/>
    </row>
    <row r="75" spans="2:28">
      <c r="B75" s="40"/>
      <c r="C75" s="40"/>
      <c r="D75" s="41"/>
      <c r="E75" s="42"/>
      <c r="F75" s="42"/>
      <c r="G75" s="42"/>
      <c r="H75" s="42"/>
      <c r="I75" s="43"/>
      <c r="J75" s="43"/>
      <c r="K75" s="25" t="e">
        <f>VLOOKUP(J75,[2]Key!$E$2:$F$9,2,FALSE)</f>
        <v>#N/A</v>
      </c>
      <c r="L75" s="42"/>
      <c r="M75" s="43"/>
      <c r="N75" s="42"/>
      <c r="O75" s="42"/>
      <c r="P75" s="42"/>
      <c r="Q75" s="25" t="e">
        <f>VLOOKUP(P75,[2]Key!$E$2:$F$9,2,FALSE)</f>
        <v>#N/A</v>
      </c>
      <c r="R75" s="25" t="e">
        <f t="shared" si="1"/>
        <v>#N/A</v>
      </c>
      <c r="S75" s="62"/>
      <c r="T75" s="62"/>
      <c r="U75" s="43"/>
      <c r="V75" s="43"/>
      <c r="W75" s="62"/>
      <c r="X75" s="62"/>
      <c r="Y75" s="63"/>
      <c r="Z75" s="76"/>
      <c r="AA75" s="25"/>
      <c r="AB75" s="25"/>
    </row>
    <row r="76" spans="2:28">
      <c r="B76" s="40"/>
      <c r="C76" s="40"/>
      <c r="D76" s="41"/>
      <c r="E76" s="42"/>
      <c r="F76" s="42"/>
      <c r="G76" s="42"/>
      <c r="H76" s="42"/>
      <c r="I76" s="43"/>
      <c r="J76" s="43"/>
      <c r="K76" s="25" t="e">
        <f>VLOOKUP(J76,[2]Key!$E$2:$F$9,2,FALSE)</f>
        <v>#N/A</v>
      </c>
      <c r="L76" s="42"/>
      <c r="M76" s="43"/>
      <c r="N76" s="42"/>
      <c r="O76" s="42"/>
      <c r="P76" s="42"/>
      <c r="Q76" s="25" t="e">
        <f>VLOOKUP(P76,[2]Key!$E$2:$F$9,2,FALSE)</f>
        <v>#N/A</v>
      </c>
      <c r="R76" s="25" t="e">
        <f t="shared" si="1"/>
        <v>#N/A</v>
      </c>
      <c r="S76" s="62"/>
      <c r="T76" s="62"/>
      <c r="U76" s="43"/>
      <c r="V76" s="43"/>
      <c r="W76" s="62"/>
      <c r="X76" s="62"/>
      <c r="Y76" s="63"/>
      <c r="Z76" s="76"/>
      <c r="AA76" s="25"/>
      <c r="AB76" s="25"/>
    </row>
    <row r="77" spans="2:28">
      <c r="B77" s="40"/>
      <c r="C77" s="40"/>
      <c r="D77" s="41"/>
      <c r="E77" s="42"/>
      <c r="F77" s="42"/>
      <c r="G77" s="42"/>
      <c r="H77" s="42"/>
      <c r="I77" s="43"/>
      <c r="J77" s="43"/>
      <c r="K77" s="25" t="e">
        <f>VLOOKUP(J77,[2]Key!$E$2:$F$9,2,FALSE)</f>
        <v>#N/A</v>
      </c>
      <c r="L77" s="42"/>
      <c r="M77" s="43"/>
      <c r="N77" s="42"/>
      <c r="O77" s="42"/>
      <c r="P77" s="42"/>
      <c r="Q77" s="25" t="e">
        <f>VLOOKUP(P77,[2]Key!$E$2:$F$9,2,FALSE)</f>
        <v>#N/A</v>
      </c>
      <c r="R77" s="25" t="e">
        <f t="shared" si="1"/>
        <v>#N/A</v>
      </c>
      <c r="S77" s="62"/>
      <c r="T77" s="62"/>
      <c r="U77" s="43"/>
      <c r="V77" s="43"/>
      <c r="W77" s="62"/>
      <c r="X77" s="62"/>
      <c r="Y77" s="63"/>
      <c r="Z77" s="76"/>
      <c r="AA77" s="25"/>
      <c r="AB77" s="25"/>
    </row>
    <row r="78" spans="2:28">
      <c r="B78" s="40"/>
      <c r="C78" s="40"/>
      <c r="D78" s="41"/>
      <c r="E78" s="42"/>
      <c r="F78" s="42"/>
      <c r="G78" s="42"/>
      <c r="H78" s="42"/>
      <c r="I78" s="43"/>
      <c r="J78" s="43"/>
      <c r="K78" s="25" t="e">
        <f>VLOOKUP(J78,[2]Key!$E$2:$F$9,2,FALSE)</f>
        <v>#N/A</v>
      </c>
      <c r="L78" s="42"/>
      <c r="M78" s="43"/>
      <c r="N78" s="42"/>
      <c r="O78" s="42"/>
      <c r="P78" s="42"/>
      <c r="Q78" s="25" t="e">
        <f>VLOOKUP(P78,[2]Key!$E$2:$F$9,2,FALSE)</f>
        <v>#N/A</v>
      </c>
      <c r="R78" s="25" t="e">
        <f t="shared" si="1"/>
        <v>#N/A</v>
      </c>
      <c r="S78" s="62"/>
      <c r="T78" s="62"/>
      <c r="U78" s="43"/>
      <c r="V78" s="43"/>
      <c r="W78" s="62"/>
      <c r="X78" s="62"/>
      <c r="Y78" s="63"/>
      <c r="Z78" s="76"/>
      <c r="AA78" s="25"/>
      <c r="AB78" s="25"/>
    </row>
    <row r="79" spans="2:28">
      <c r="B79" s="40"/>
      <c r="C79" s="40"/>
      <c r="D79" s="41"/>
      <c r="E79" s="42"/>
      <c r="F79" s="42"/>
      <c r="G79" s="42"/>
      <c r="H79" s="42"/>
      <c r="I79" s="43"/>
      <c r="J79" s="43"/>
      <c r="K79" s="25" t="e">
        <f>VLOOKUP(J79,[2]Key!$E$2:$F$9,2,FALSE)</f>
        <v>#N/A</v>
      </c>
      <c r="L79" s="42"/>
      <c r="M79" s="43"/>
      <c r="N79" s="42"/>
      <c r="O79" s="42"/>
      <c r="P79" s="42"/>
      <c r="Q79" s="25" t="e">
        <f>VLOOKUP(P79,[2]Key!$E$2:$F$9,2,FALSE)</f>
        <v>#N/A</v>
      </c>
      <c r="R79" s="25" t="e">
        <f t="shared" si="1"/>
        <v>#N/A</v>
      </c>
      <c r="S79" s="62"/>
      <c r="T79" s="62"/>
      <c r="U79" s="43"/>
      <c r="V79" s="43"/>
      <c r="W79" s="62"/>
      <c r="X79" s="62"/>
      <c r="Y79" s="63"/>
      <c r="Z79" s="76"/>
      <c r="AA79" s="25"/>
      <c r="AB79" s="25"/>
    </row>
    <row r="80" spans="2:28">
      <c r="B80" s="40"/>
      <c r="C80" s="40"/>
      <c r="D80" s="41"/>
      <c r="E80" s="42"/>
      <c r="F80" s="42"/>
      <c r="G80" s="42"/>
      <c r="H80" s="42"/>
      <c r="I80" s="43"/>
      <c r="J80" s="43"/>
      <c r="K80" s="25" t="e">
        <f>VLOOKUP(J80,[2]Key!$E$2:$F$9,2,FALSE)</f>
        <v>#N/A</v>
      </c>
      <c r="L80" s="42"/>
      <c r="M80" s="43"/>
      <c r="N80" s="42"/>
      <c r="O80" s="42"/>
      <c r="P80" s="42"/>
      <c r="Q80" s="25" t="e">
        <f>VLOOKUP(P80,[2]Key!$E$2:$F$9,2,FALSE)</f>
        <v>#N/A</v>
      </c>
      <c r="R80" s="25" t="e">
        <f t="shared" si="1"/>
        <v>#N/A</v>
      </c>
      <c r="S80" s="62"/>
      <c r="T80" s="62"/>
      <c r="U80" s="43"/>
      <c r="V80" s="43"/>
      <c r="W80" s="62"/>
      <c r="X80" s="62"/>
      <c r="Y80" s="63"/>
      <c r="Z80" s="76"/>
      <c r="AA80" s="25"/>
      <c r="AB80" s="25"/>
    </row>
    <row r="81" spans="2:28">
      <c r="B81" s="40"/>
      <c r="C81" s="40"/>
      <c r="D81" s="41"/>
      <c r="E81" s="42"/>
      <c r="F81" s="42"/>
      <c r="G81" s="42"/>
      <c r="H81" s="42"/>
      <c r="I81" s="43"/>
      <c r="J81" s="43"/>
      <c r="K81" s="25" t="e">
        <f>VLOOKUP(J81,[2]Key!$E$2:$F$9,2,FALSE)</f>
        <v>#N/A</v>
      </c>
      <c r="L81" s="42"/>
      <c r="M81" s="43"/>
      <c r="N81" s="42"/>
      <c r="O81" s="42"/>
      <c r="P81" s="42"/>
      <c r="Q81" s="25" t="e">
        <f>VLOOKUP(P81,[2]Key!$E$2:$F$9,2,FALSE)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2"/>
      <c r="Y81" s="63"/>
      <c r="Z81" s="76"/>
      <c r="AA81" s="25"/>
      <c r="AB81" s="25"/>
    </row>
    <row r="82" spans="2:28">
      <c r="B82" s="40"/>
      <c r="C82" s="40"/>
      <c r="D82" s="41"/>
      <c r="E82" s="42"/>
      <c r="F82" s="42"/>
      <c r="G82" s="42"/>
      <c r="H82" s="42"/>
      <c r="I82" s="43"/>
      <c r="J82" s="43"/>
      <c r="K82" s="25" t="e">
        <f>VLOOKUP(J82,[2]Key!$E$2:$F$9,2,FALSE)</f>
        <v>#N/A</v>
      </c>
      <c r="L82" s="42"/>
      <c r="M82" s="43"/>
      <c r="N82" s="42"/>
      <c r="O82" s="42"/>
      <c r="P82" s="42"/>
      <c r="Q82" s="25" t="e">
        <f>VLOOKUP(P82,[2]Key!$E$2:$F$9,2,FALSE)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76"/>
      <c r="AA82" s="25"/>
      <c r="AB82" s="25"/>
    </row>
    <row r="83" spans="2:28">
      <c r="B83" s="40"/>
      <c r="C83" s="40"/>
      <c r="D83" s="41"/>
      <c r="E83" s="42"/>
      <c r="F83" s="42"/>
      <c r="G83" s="42"/>
      <c r="H83" s="42"/>
      <c r="I83" s="43"/>
      <c r="J83" s="43"/>
      <c r="K83" s="25" t="e">
        <f>VLOOKUP(J83,[2]Key!$E$2:$F$9,2,FALSE)</f>
        <v>#N/A</v>
      </c>
      <c r="L83" s="42"/>
      <c r="M83" s="43"/>
      <c r="N83" s="42"/>
      <c r="O83" s="42"/>
      <c r="P83" s="42"/>
      <c r="Q83" s="25" t="e">
        <f>VLOOKUP(P83,[2]Key!$E$2:$F$9,2,FALSE)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76"/>
      <c r="AA83" s="25"/>
      <c r="AB83" s="25"/>
    </row>
    <row r="84" spans="2:28">
      <c r="B84" s="40"/>
      <c r="C84" s="40"/>
      <c r="D84" s="41"/>
      <c r="E84" s="42"/>
      <c r="F84" s="42"/>
      <c r="G84" s="42"/>
      <c r="H84" s="42"/>
      <c r="I84" s="43"/>
      <c r="J84" s="43"/>
      <c r="K84" s="25" t="e">
        <f>VLOOKUP(J84,[2]Key!$E$2:$F$9,2,FALSE)</f>
        <v>#N/A</v>
      </c>
      <c r="L84" s="42"/>
      <c r="M84" s="43"/>
      <c r="N84" s="42"/>
      <c r="O84" s="42"/>
      <c r="P84" s="42"/>
      <c r="Q84" s="25" t="e">
        <f>VLOOKUP(P84,[2]Key!$E$2:$F$9,2,FALSE)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76"/>
      <c r="AA84" s="25"/>
      <c r="AB84" s="25"/>
    </row>
    <row r="85" spans="2:28">
      <c r="B85" s="40"/>
      <c r="C85" s="40"/>
      <c r="D85" s="41"/>
      <c r="E85" s="42"/>
      <c r="F85" s="42"/>
      <c r="G85" s="42"/>
      <c r="H85" s="42"/>
      <c r="I85" s="43"/>
      <c r="J85" s="43"/>
      <c r="K85" s="25" t="e">
        <f>VLOOKUP(J85,[2]Key!$E$2:$F$9,2,FALSE)</f>
        <v>#N/A</v>
      </c>
      <c r="L85" s="42"/>
      <c r="M85" s="43"/>
      <c r="N85" s="42"/>
      <c r="O85" s="42"/>
      <c r="P85" s="42"/>
      <c r="Q85" s="25" t="e">
        <f>VLOOKUP(P85,[2]Key!$E$2:$F$9,2,FALSE)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76"/>
      <c r="AA85" s="25"/>
      <c r="AB85" s="25"/>
    </row>
    <row r="86" spans="2:28">
      <c r="B86" s="40"/>
      <c r="C86" s="40"/>
      <c r="D86" s="41"/>
      <c r="E86" s="42"/>
      <c r="F86" s="42"/>
      <c r="G86" s="42"/>
      <c r="H86" s="42"/>
      <c r="I86" s="43"/>
      <c r="J86" s="43"/>
      <c r="K86" s="25" t="e">
        <f>VLOOKUP(J86,[2]Key!$E$2:$F$9,2,FALSE)</f>
        <v>#N/A</v>
      </c>
      <c r="L86" s="42"/>
      <c r="M86" s="43"/>
      <c r="N86" s="42"/>
      <c r="O86" s="42"/>
      <c r="P86" s="42"/>
      <c r="Q86" s="25" t="e">
        <f>VLOOKUP(P86,[2]Key!$E$2:$F$9,2,FALSE)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76"/>
      <c r="AA86" s="25"/>
      <c r="AB86" s="25"/>
    </row>
    <row r="87" spans="2:28">
      <c r="B87" s="40"/>
      <c r="C87" s="40"/>
      <c r="D87" s="41"/>
      <c r="E87" s="42"/>
      <c r="F87" s="42"/>
      <c r="G87" s="42"/>
      <c r="H87" s="42"/>
      <c r="I87" s="43"/>
      <c r="J87" s="43"/>
      <c r="K87" s="25" t="e">
        <f>VLOOKUP(J87,[2]Key!$E$2:$F$9,2,FALSE)</f>
        <v>#N/A</v>
      </c>
      <c r="L87" s="42"/>
      <c r="M87" s="43"/>
      <c r="N87" s="42"/>
      <c r="O87" s="42"/>
      <c r="P87" s="42"/>
      <c r="Q87" s="25" t="e">
        <f>VLOOKUP(P87,[2]Key!$E$2:$F$9,2,FALSE)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76"/>
      <c r="AA87" s="25"/>
      <c r="AB87" s="25"/>
    </row>
    <row r="88" spans="2:28">
      <c r="B88" s="40"/>
      <c r="C88" s="40"/>
      <c r="D88" s="41"/>
      <c r="E88" s="42"/>
      <c r="F88" s="42"/>
      <c r="G88" s="42"/>
      <c r="H88" s="42"/>
      <c r="I88" s="43"/>
      <c r="J88" s="43"/>
      <c r="K88" s="25" t="e">
        <f>VLOOKUP(J88,[2]Key!$E$2:$F$9,2,FALSE)</f>
        <v>#N/A</v>
      </c>
      <c r="L88" s="42"/>
      <c r="M88" s="43"/>
      <c r="N88" s="42"/>
      <c r="O88" s="42"/>
      <c r="P88" s="42"/>
      <c r="Q88" s="25" t="e">
        <f>VLOOKUP(P88,[2]Key!$E$2:$F$9,2,FALSE)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76"/>
      <c r="AA88" s="25"/>
      <c r="AB88" s="25"/>
    </row>
    <row r="89" spans="2:28">
      <c r="B89" s="40"/>
      <c r="C89" s="40"/>
      <c r="D89" s="41"/>
      <c r="E89" s="42"/>
      <c r="F89" s="42"/>
      <c r="G89" s="42"/>
      <c r="H89" s="42"/>
      <c r="I89" s="43"/>
      <c r="J89" s="43"/>
      <c r="K89" s="25" t="e">
        <f>VLOOKUP(J89,[2]Key!$E$2:$F$9,2,FALSE)</f>
        <v>#N/A</v>
      </c>
      <c r="L89" s="42"/>
      <c r="M89" s="43"/>
      <c r="N89" s="42"/>
      <c r="O89" s="42"/>
      <c r="P89" s="42"/>
      <c r="Q89" s="25" t="e">
        <f>VLOOKUP(P89,[2]Key!$E$2:$F$9,2,FALSE)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76"/>
      <c r="AA89" s="25"/>
      <c r="AB89" s="25"/>
    </row>
    <row r="90" spans="2:28">
      <c r="B90" s="40"/>
      <c r="C90" s="40"/>
      <c r="D90" s="41"/>
      <c r="E90" s="42"/>
      <c r="F90" s="42"/>
      <c r="G90" s="42"/>
      <c r="H90" s="42"/>
      <c r="I90" s="43"/>
      <c r="J90" s="43"/>
      <c r="K90" s="25" t="e">
        <f>VLOOKUP(J90,[2]Key!$E$2:$F$9,2,FALSE)</f>
        <v>#N/A</v>
      </c>
      <c r="L90" s="42"/>
      <c r="M90" s="43"/>
      <c r="N90" s="42"/>
      <c r="O90" s="42"/>
      <c r="P90" s="42"/>
      <c r="Q90" s="25" t="e">
        <f>VLOOKUP(P90,[2]Key!$E$2:$F$9,2,FALSE)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76"/>
      <c r="AA90" s="25"/>
      <c r="AB90" s="25"/>
    </row>
    <row r="91" spans="2:28">
      <c r="B91" s="40"/>
      <c r="C91" s="40"/>
      <c r="D91" s="41"/>
      <c r="E91" s="42"/>
      <c r="F91" s="42"/>
      <c r="G91" s="42"/>
      <c r="H91" s="42"/>
      <c r="I91" s="43"/>
      <c r="J91" s="43"/>
      <c r="K91" s="25" t="e">
        <f>VLOOKUP(J91,[2]Key!$E$2:$F$9,2,FALSE)</f>
        <v>#N/A</v>
      </c>
      <c r="L91" s="42"/>
      <c r="M91" s="43"/>
      <c r="N91" s="42"/>
      <c r="O91" s="42"/>
      <c r="P91" s="42"/>
      <c r="Q91" s="25" t="e">
        <f>VLOOKUP(P91,[2]Key!$E$2:$F$9,2,FALSE)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76"/>
      <c r="AA91" s="25"/>
      <c r="AB91" s="25"/>
    </row>
    <row r="92" spans="2:28">
      <c r="B92" s="40"/>
      <c r="C92" s="40"/>
      <c r="D92" s="41"/>
      <c r="E92" s="42"/>
      <c r="F92" s="42"/>
      <c r="G92" s="42"/>
      <c r="H92" s="42"/>
      <c r="I92" s="43"/>
      <c r="J92" s="43"/>
      <c r="K92" s="25" t="e">
        <f>VLOOKUP(J92,[2]Key!$E$2:$F$9,2,FALSE)</f>
        <v>#N/A</v>
      </c>
      <c r="L92" s="42"/>
      <c r="M92" s="43"/>
      <c r="N92" s="42"/>
      <c r="O92" s="42"/>
      <c r="P92" s="42"/>
      <c r="Q92" s="25" t="e">
        <f>VLOOKUP(P92,[2]Key!$E$2:$F$9,2,FALSE)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76"/>
      <c r="AA92" s="25"/>
      <c r="AB92" s="25"/>
    </row>
    <row r="93" spans="2:28">
      <c r="B93" s="40"/>
      <c r="C93" s="40"/>
      <c r="D93" s="41"/>
      <c r="E93" s="42"/>
      <c r="F93" s="42"/>
      <c r="G93" s="42"/>
      <c r="H93" s="42"/>
      <c r="I93" s="43"/>
      <c r="J93" s="43"/>
      <c r="K93" s="25" t="e">
        <f>VLOOKUP(J93,[2]Key!$E$2:$F$9,2,FALSE)</f>
        <v>#N/A</v>
      </c>
      <c r="L93" s="42"/>
      <c r="M93" s="43"/>
      <c r="N93" s="42"/>
      <c r="O93" s="42"/>
      <c r="P93" s="42"/>
      <c r="Q93" s="25" t="e">
        <f>VLOOKUP(P93,[2]Key!$E$2:$F$9,2,FALSE)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76"/>
      <c r="AA93" s="25"/>
      <c r="AB93" s="25"/>
    </row>
    <row r="94" spans="2:28">
      <c r="B94" s="40"/>
      <c r="C94" s="40"/>
      <c r="D94" s="41"/>
      <c r="E94" s="42"/>
      <c r="F94" s="42"/>
      <c r="G94" s="42"/>
      <c r="H94" s="42"/>
      <c r="I94" s="43"/>
      <c r="J94" s="43"/>
      <c r="K94" s="25" t="e">
        <f>VLOOKUP(J94,[2]Key!$E$2:$F$9,2,FALSE)</f>
        <v>#N/A</v>
      </c>
      <c r="L94" s="42"/>
      <c r="M94" s="43"/>
      <c r="N94" s="42"/>
      <c r="O94" s="42"/>
      <c r="P94" s="42"/>
      <c r="Q94" s="25" t="e">
        <f>VLOOKUP(P94,[2]Key!$E$2:$F$9,2,FALSE)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76"/>
      <c r="AA94" s="25"/>
      <c r="AB94" s="25"/>
    </row>
    <row r="95" spans="2:28">
      <c r="B95" s="40"/>
      <c r="C95" s="40"/>
      <c r="D95" s="41"/>
      <c r="E95" s="42"/>
      <c r="F95" s="42"/>
      <c r="G95" s="42"/>
      <c r="H95" s="42"/>
      <c r="I95" s="43"/>
      <c r="J95" s="43"/>
      <c r="K95" s="25" t="e">
        <f>VLOOKUP(J95,[2]Key!$E$2:$F$9,2,FALSE)</f>
        <v>#N/A</v>
      </c>
      <c r="L95" s="42"/>
      <c r="M95" s="43"/>
      <c r="N95" s="42"/>
      <c r="O95" s="42"/>
      <c r="P95" s="42"/>
      <c r="Q95" s="25" t="e">
        <f>VLOOKUP(P95,[2]Key!$E$2:$F$9,2,FALSE)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76"/>
      <c r="AA95" s="25"/>
      <c r="AB95" s="25"/>
    </row>
    <row r="96" spans="2:28">
      <c r="B96" s="40"/>
      <c r="C96" s="40"/>
      <c r="D96" s="41"/>
      <c r="E96" s="42"/>
      <c r="F96" s="42"/>
      <c r="G96" s="42"/>
      <c r="H96" s="42"/>
      <c r="I96" s="43"/>
      <c r="J96" s="43"/>
      <c r="K96" s="25" t="e">
        <f>VLOOKUP(J96,[2]Key!$E$2:$F$9,2,FALSE)</f>
        <v>#N/A</v>
      </c>
      <c r="L96" s="42"/>
      <c r="M96" s="43"/>
      <c r="N96" s="42"/>
      <c r="O96" s="42"/>
      <c r="P96" s="42"/>
      <c r="Q96" s="25" t="e">
        <f>VLOOKUP(P96,[2]Key!$E$2:$F$9,2,FALSE)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76"/>
      <c r="AA96" s="25"/>
      <c r="AB96" s="25"/>
    </row>
    <row r="97" spans="2:28">
      <c r="B97" s="40"/>
      <c r="C97" s="40"/>
      <c r="D97" s="41"/>
      <c r="E97" s="42"/>
      <c r="F97" s="42"/>
      <c r="G97" s="42"/>
      <c r="H97" s="42"/>
      <c r="I97" s="43"/>
      <c r="J97" s="43"/>
      <c r="K97" s="25" t="e">
        <f>VLOOKUP(J97,[2]Key!$E$2:$F$9,2,FALSE)</f>
        <v>#N/A</v>
      </c>
      <c r="L97" s="42"/>
      <c r="M97" s="43"/>
      <c r="N97" s="42"/>
      <c r="O97" s="42"/>
      <c r="P97" s="42"/>
      <c r="Q97" s="25" t="e">
        <f>VLOOKUP(P97,[2]Key!$E$2:$F$9,2,FALSE)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76"/>
      <c r="AA97" s="25"/>
      <c r="AB97" s="25"/>
    </row>
    <row r="98" spans="2:28">
      <c r="B98" s="40"/>
      <c r="C98" s="40"/>
      <c r="D98" s="41"/>
      <c r="E98" s="42"/>
      <c r="F98" s="42"/>
      <c r="G98" s="42"/>
      <c r="H98" s="42"/>
      <c r="I98" s="43"/>
      <c r="J98" s="43"/>
      <c r="K98" s="25" t="e">
        <f>VLOOKUP(J98,[2]Key!$E$2:$F$9,2,FALSE)</f>
        <v>#N/A</v>
      </c>
      <c r="L98" s="42"/>
      <c r="M98" s="43"/>
      <c r="N98" s="42"/>
      <c r="O98" s="42"/>
      <c r="P98" s="42"/>
      <c r="Q98" s="25" t="e">
        <f>VLOOKUP(P98,[2]Key!$E$2:$F$9,2,FALSE)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76"/>
      <c r="AA98" s="25"/>
      <c r="AB98" s="25"/>
    </row>
    <row r="99" spans="2:28">
      <c r="B99" s="40"/>
      <c r="C99" s="40"/>
      <c r="D99" s="41"/>
      <c r="E99" s="42"/>
      <c r="F99" s="42"/>
      <c r="G99" s="42"/>
      <c r="H99" s="42"/>
      <c r="I99" s="43"/>
      <c r="J99" s="43"/>
      <c r="K99" s="25" t="e">
        <f>VLOOKUP(J99,[2]Key!$E$2:$F$9,2,FALSE)</f>
        <v>#N/A</v>
      </c>
      <c r="L99" s="42"/>
      <c r="M99" s="43"/>
      <c r="N99" s="42"/>
      <c r="O99" s="42"/>
      <c r="P99" s="42"/>
      <c r="Q99" s="25" t="e">
        <f>VLOOKUP(P99,[2]Key!$E$2:$F$9,2,FALSE)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76"/>
      <c r="AA99" s="25"/>
      <c r="AB99" s="25"/>
    </row>
    <row r="100" spans="2:28">
      <c r="B100" s="40"/>
      <c r="C100" s="40"/>
      <c r="D100" s="41"/>
      <c r="E100" s="42"/>
      <c r="F100" s="42"/>
      <c r="G100" s="42"/>
      <c r="H100" s="42"/>
      <c r="I100" s="43"/>
      <c r="J100" s="43"/>
      <c r="K100" s="25" t="e">
        <f>VLOOKUP(J100,[2]Key!$E$2:$F$9,2,FALSE)</f>
        <v>#N/A</v>
      </c>
      <c r="L100" s="42"/>
      <c r="M100" s="43"/>
      <c r="N100" s="42"/>
      <c r="O100" s="42"/>
      <c r="P100" s="42"/>
      <c r="Q100" s="25" t="e">
        <f>VLOOKUP(P100,[2]Key!$E$2:$F$9,2,FALSE)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76"/>
      <c r="AA100" s="25"/>
      <c r="AB100" s="25"/>
    </row>
    <row r="101" spans="2:28">
      <c r="B101" s="40"/>
      <c r="C101" s="40"/>
      <c r="D101" s="41"/>
      <c r="E101" s="42"/>
      <c r="F101" s="42"/>
      <c r="G101" s="42"/>
      <c r="H101" s="42"/>
      <c r="I101" s="43"/>
      <c r="J101" s="43"/>
      <c r="K101" s="25" t="e">
        <f>VLOOKUP(J101,[2]Key!$E$2:$F$9,2,FALSE)</f>
        <v>#N/A</v>
      </c>
      <c r="L101" s="42"/>
      <c r="M101" s="43"/>
      <c r="N101" s="42"/>
      <c r="O101" s="42"/>
      <c r="P101" s="42"/>
      <c r="Q101" s="25" t="e">
        <f>VLOOKUP(P101,[2]Key!$E$2:$F$9,2,FALSE)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76"/>
      <c r="AA101" s="25"/>
      <c r="AB101" s="25"/>
    </row>
    <row r="102" spans="2:28">
      <c r="B102" s="40"/>
      <c r="C102" s="40"/>
      <c r="D102" s="41"/>
      <c r="E102" s="42"/>
      <c r="F102" s="42"/>
      <c r="G102" s="42"/>
      <c r="H102" s="42"/>
      <c r="I102" s="43"/>
      <c r="J102" s="43"/>
      <c r="K102" s="25" t="e">
        <f>VLOOKUP(J102,[2]Key!$E$2:$F$9,2,FALSE)</f>
        <v>#N/A</v>
      </c>
      <c r="L102" s="42"/>
      <c r="M102" s="43"/>
      <c r="N102" s="42"/>
      <c r="O102" s="42"/>
      <c r="P102" s="42"/>
      <c r="Q102" s="25" t="e">
        <f>VLOOKUP(P102,[2]Key!$E$2:$F$9,2,FALSE)</f>
        <v>#N/A</v>
      </c>
      <c r="R102" s="25" t="e">
        <f t="shared" si="1"/>
        <v>#N/A</v>
      </c>
      <c r="S102" s="62"/>
      <c r="T102" s="62"/>
      <c r="U102" s="43"/>
      <c r="V102" s="43"/>
      <c r="W102" s="62"/>
      <c r="X102" s="62"/>
      <c r="Y102" s="63"/>
      <c r="Z102" s="76"/>
      <c r="AA102" s="25"/>
      <c r="AB102" s="25"/>
    </row>
    <row r="103" spans="2:28">
      <c r="B103" s="40"/>
      <c r="C103" s="40"/>
      <c r="D103" s="41"/>
      <c r="E103" s="42"/>
      <c r="F103" s="42"/>
      <c r="G103" s="42"/>
      <c r="H103" s="42"/>
      <c r="I103" s="43"/>
      <c r="J103" s="43"/>
      <c r="K103" s="25" t="e">
        <f>VLOOKUP(J103,[2]Key!$E$2:$F$9,2,FALSE)</f>
        <v>#N/A</v>
      </c>
      <c r="L103" s="42"/>
      <c r="M103" s="43"/>
      <c r="N103" s="42"/>
      <c r="O103" s="42"/>
      <c r="P103" s="42"/>
      <c r="Q103" s="25" t="e">
        <f>VLOOKUP(P103,[2]Key!$E$2:$F$9,2,FALSE)</f>
        <v>#N/A</v>
      </c>
      <c r="R103" s="25" t="e">
        <f t="shared" si="1"/>
        <v>#N/A</v>
      </c>
      <c r="S103" s="62"/>
      <c r="T103" s="62"/>
      <c r="U103" s="43"/>
      <c r="V103" s="43"/>
      <c r="W103" s="62"/>
      <c r="X103" s="62"/>
      <c r="Y103" s="63"/>
      <c r="Z103" s="76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VLOOKUP(J104,[2]Key!$E$2:$F$9,2,FALSE)</f>
        <v>#N/A</v>
      </c>
      <c r="L104" s="42"/>
      <c r="M104" s="43"/>
      <c r="N104" s="42"/>
      <c r="O104" s="42"/>
      <c r="P104" s="42"/>
      <c r="Q104" s="25" t="e">
        <f>VLOOKUP(P104,[2]Key!$E$2:$F$9,2,FALSE)</f>
        <v>#N/A</v>
      </c>
      <c r="R104" s="25" t="e">
        <f t="shared" si="1"/>
        <v>#N/A</v>
      </c>
      <c r="S104" s="62"/>
      <c r="T104" s="62"/>
      <c r="U104" s="43"/>
      <c r="V104" s="43"/>
      <c r="W104" s="62"/>
      <c r="X104" s="62"/>
      <c r="Y104" s="63"/>
      <c r="Z104" s="76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VLOOKUP(J105,[2]Key!$E$2:$F$9,2,FALSE)</f>
        <v>#N/A</v>
      </c>
      <c r="L105" s="42"/>
      <c r="M105" s="43"/>
      <c r="N105" s="42"/>
      <c r="O105" s="42"/>
      <c r="P105" s="42"/>
      <c r="Q105" s="25" t="e">
        <f>VLOOKUP(P105,[2]Key!$E$2:$F$9,2,FALSE)</f>
        <v>#N/A</v>
      </c>
      <c r="R105" s="25" t="e">
        <f t="shared" si="1"/>
        <v>#N/A</v>
      </c>
      <c r="S105" s="62"/>
      <c r="T105" s="62"/>
      <c r="U105" s="43"/>
      <c r="V105" s="43"/>
      <c r="W105" s="62"/>
      <c r="X105" s="62"/>
      <c r="Y105" s="63"/>
      <c r="Z105" s="76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VLOOKUP(J106,[2]Key!$E$2:$F$9,2,FALSE)</f>
        <v>#N/A</v>
      </c>
      <c r="L106" s="42"/>
      <c r="M106" s="43"/>
      <c r="N106" s="42"/>
      <c r="O106" s="42"/>
      <c r="P106" s="42"/>
      <c r="Q106" s="25" t="e">
        <f>VLOOKUP(P106,[2]Key!$E$2:$F$9,2,FALSE)</f>
        <v>#N/A</v>
      </c>
      <c r="R106" s="25" t="e">
        <f t="shared" si="1"/>
        <v>#N/A</v>
      </c>
      <c r="S106" s="62"/>
      <c r="T106" s="62"/>
      <c r="U106" s="43"/>
      <c r="V106" s="43"/>
      <c r="W106" s="62"/>
      <c r="X106" s="62"/>
      <c r="Y106" s="63"/>
      <c r="Z106" s="76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VLOOKUP(J107,[2]Key!$E$2:$F$9,2,FALSE)</f>
        <v>#N/A</v>
      </c>
      <c r="L107" s="42"/>
      <c r="M107" s="43"/>
      <c r="N107" s="42"/>
      <c r="O107" s="42"/>
      <c r="P107" s="42"/>
      <c r="Q107" s="25" t="e">
        <f>VLOOKUP(P107,[2]Key!$E$2:$F$9,2,FALSE)</f>
        <v>#N/A</v>
      </c>
      <c r="R107" s="25" t="e">
        <f t="shared" si="1"/>
        <v>#N/A</v>
      </c>
      <c r="S107" s="62"/>
      <c r="T107" s="62"/>
      <c r="U107" s="43"/>
      <c r="V107" s="43"/>
      <c r="W107" s="62"/>
      <c r="X107" s="62"/>
      <c r="Y107" s="63"/>
      <c r="Z107" s="76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VLOOKUP(J108,[2]Key!$E$2:$F$9,2,FALSE)</f>
        <v>#N/A</v>
      </c>
      <c r="L108" s="42"/>
      <c r="M108" s="43"/>
      <c r="N108" s="42"/>
      <c r="O108" s="42"/>
      <c r="P108" s="42"/>
      <c r="Q108" s="25" t="e">
        <f>VLOOKUP(P108,[2]Key!$E$2:$F$9,2,FALSE)</f>
        <v>#N/A</v>
      </c>
      <c r="R108" s="25" t="e">
        <f t="shared" si="1"/>
        <v>#N/A</v>
      </c>
      <c r="S108" s="62"/>
      <c r="T108" s="62"/>
      <c r="U108" s="43"/>
      <c r="V108" s="43"/>
      <c r="W108" s="62"/>
      <c r="X108" s="62"/>
      <c r="Y108" s="63"/>
      <c r="Z108" s="76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VLOOKUP(J109,[2]Key!$E$2:$F$9,2,FALSE)</f>
        <v>#N/A</v>
      </c>
      <c r="L109" s="42"/>
      <c r="M109" s="43"/>
      <c r="N109" s="42"/>
      <c r="O109" s="42"/>
      <c r="P109" s="42"/>
      <c r="Q109" s="25" t="e">
        <f>VLOOKUP(P109,[2]Key!$E$2:$F$9,2,FALSE)</f>
        <v>#N/A</v>
      </c>
      <c r="R109" s="25" t="e">
        <f t="shared" si="1"/>
        <v>#N/A</v>
      </c>
      <c r="S109" s="62"/>
      <c r="T109" s="62"/>
      <c r="U109" s="43"/>
      <c r="V109" s="43"/>
      <c r="W109" s="62"/>
      <c r="X109" s="62"/>
      <c r="Y109" s="63"/>
      <c r="Z109" s="76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VLOOKUP(J110,[2]Key!$E$2:$F$9,2,FALSE)</f>
        <v>#N/A</v>
      </c>
      <c r="L110" s="42"/>
      <c r="M110" s="43"/>
      <c r="N110" s="42"/>
      <c r="O110" s="42"/>
      <c r="P110" s="42"/>
      <c r="Q110" s="25" t="e">
        <f>VLOOKUP(P110,[2]Key!$E$2:$F$9,2,FALSE)</f>
        <v>#N/A</v>
      </c>
      <c r="R110" s="25" t="e">
        <f t="shared" si="1"/>
        <v>#N/A</v>
      </c>
      <c r="S110" s="62"/>
      <c r="T110" s="62"/>
      <c r="U110" s="43"/>
      <c r="V110" s="43"/>
      <c r="W110" s="62"/>
      <c r="X110" s="62"/>
      <c r="Y110" s="63"/>
      <c r="Z110" s="76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VLOOKUP(J111,[2]Key!$E$2:$F$9,2,FALSE)</f>
        <v>#N/A</v>
      </c>
      <c r="L111" s="42"/>
      <c r="M111" s="43"/>
      <c r="N111" s="42"/>
      <c r="O111" s="42"/>
      <c r="P111" s="42"/>
      <c r="Q111" s="25" t="e">
        <f>VLOOKUP(P111,[2]Key!$E$2:$F$9,2,FALSE)</f>
        <v>#N/A</v>
      </c>
      <c r="R111" s="25" t="e">
        <f t="shared" si="1"/>
        <v>#N/A</v>
      </c>
      <c r="S111" s="62"/>
      <c r="T111" s="62"/>
      <c r="U111" s="43"/>
      <c r="V111" s="43"/>
      <c r="W111" s="62"/>
      <c r="X111" s="62"/>
      <c r="Y111" s="63"/>
      <c r="Z111" s="76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VLOOKUP(J112,[2]Key!$E$2:$F$9,2,FALSE)</f>
        <v>#N/A</v>
      </c>
      <c r="L112" s="42"/>
      <c r="M112" s="43"/>
      <c r="N112" s="42"/>
      <c r="O112" s="42"/>
      <c r="P112" s="42"/>
      <c r="Q112" s="25" t="e">
        <f>VLOOKUP(P112,[2]Key!$E$2:$F$9,2,FALSE)</f>
        <v>#N/A</v>
      </c>
      <c r="R112" s="25" t="e">
        <f t="shared" si="1"/>
        <v>#N/A</v>
      </c>
      <c r="S112" s="62"/>
      <c r="T112" s="62"/>
      <c r="U112" s="43"/>
      <c r="V112" s="43"/>
      <c r="W112" s="62"/>
      <c r="X112" s="62"/>
      <c r="Y112" s="63"/>
      <c r="Z112" s="76"/>
      <c r="AA112" s="25"/>
      <c r="AB112" s="25"/>
    </row>
    <row r="113" spans="2:28">
      <c r="B113" s="40"/>
      <c r="C113" s="40"/>
      <c r="D113" s="41"/>
      <c r="E113" s="42"/>
      <c r="F113" s="42"/>
      <c r="G113" s="63"/>
      <c r="H113" s="42"/>
      <c r="I113" s="43"/>
      <c r="J113" s="43"/>
      <c r="K113" s="25" t="e">
        <f>VLOOKUP(J113,[2]Key!$E$2:$F$9,2,FALSE)</f>
        <v>#N/A</v>
      </c>
      <c r="L113" s="42"/>
      <c r="M113" s="43"/>
      <c r="N113" s="42"/>
      <c r="O113" s="63"/>
      <c r="P113" s="63"/>
      <c r="Q113" s="25" t="e">
        <f>VLOOKUP(P113,[2]Key!$E$2:$F$9,2,FALSE)</f>
        <v>#N/A</v>
      </c>
      <c r="R113" s="25" t="e">
        <f t="shared" si="1"/>
        <v>#N/A</v>
      </c>
      <c r="S113" s="62"/>
      <c r="T113" s="62"/>
      <c r="U113" s="43"/>
      <c r="V113" s="43"/>
      <c r="W113" s="62"/>
      <c r="X113" s="62"/>
      <c r="Y113" s="63"/>
      <c r="Z113" s="76"/>
      <c r="AA113" s="25"/>
      <c r="AB113" s="25"/>
    </row>
    <row r="114" spans="2:28">
      <c r="B114" s="40"/>
      <c r="C114" s="40"/>
      <c r="D114" s="41"/>
      <c r="E114" s="42"/>
      <c r="F114" s="42"/>
      <c r="G114" s="63"/>
      <c r="H114" s="42"/>
      <c r="I114" s="43"/>
      <c r="J114" s="43"/>
      <c r="K114" s="25" t="e">
        <f>VLOOKUP(J114,[2]Key!$E$2:$F$9,2,FALSE)</f>
        <v>#N/A</v>
      </c>
      <c r="L114" s="42"/>
      <c r="M114" s="43"/>
      <c r="N114" s="42"/>
      <c r="O114" s="63"/>
      <c r="P114" s="63"/>
      <c r="Q114" s="25" t="e">
        <f>VLOOKUP(P114,[2]Key!$E$2:$F$9,2,FALSE)</f>
        <v>#N/A</v>
      </c>
      <c r="R114" s="25" t="e">
        <f t="shared" si="1"/>
        <v>#N/A</v>
      </c>
      <c r="S114" s="62"/>
      <c r="T114" s="62"/>
      <c r="U114" s="43"/>
      <c r="V114" s="43"/>
      <c r="W114" s="62"/>
      <c r="X114" s="62"/>
      <c r="Y114" s="63"/>
      <c r="Z114" s="76"/>
      <c r="AA114" s="25"/>
      <c r="AB114" s="25"/>
    </row>
    <row r="115" spans="2:28">
      <c r="B115" s="40"/>
      <c r="C115" s="40"/>
      <c r="D115" s="41"/>
      <c r="E115" s="42"/>
      <c r="F115" s="42"/>
      <c r="G115" s="63"/>
      <c r="H115" s="42"/>
      <c r="I115" s="43"/>
      <c r="J115" s="43"/>
      <c r="K115" s="25" t="e">
        <f>VLOOKUP(J115,[2]Key!$E$2:$F$9,2,FALSE)</f>
        <v>#N/A</v>
      </c>
      <c r="L115" s="42"/>
      <c r="M115" s="43"/>
      <c r="N115" s="42"/>
      <c r="O115" s="63"/>
      <c r="P115" s="63"/>
      <c r="Q115" s="25" t="e">
        <f>VLOOKUP(P115,[2]Key!$E$2:$F$9,2,FALSE)</f>
        <v>#N/A</v>
      </c>
      <c r="R115" s="25" t="e">
        <f t="shared" si="1"/>
        <v>#N/A</v>
      </c>
      <c r="S115" s="62"/>
      <c r="T115" s="62"/>
      <c r="U115" s="43"/>
      <c r="V115" s="43"/>
      <c r="W115" s="62"/>
      <c r="X115" s="62"/>
      <c r="Y115" s="63"/>
      <c r="Z115" s="76"/>
      <c r="AA115" s="25"/>
      <c r="AB115" s="25"/>
    </row>
    <row r="116" spans="2:28">
      <c r="B116" s="40"/>
      <c r="C116" s="40"/>
      <c r="D116" s="41"/>
      <c r="E116" s="42"/>
      <c r="F116" s="42"/>
      <c r="G116" s="63"/>
      <c r="H116" s="42"/>
      <c r="I116" s="43"/>
      <c r="J116" s="43"/>
      <c r="K116" s="25" t="e">
        <f>VLOOKUP(J116,[2]Key!$E$2:$F$9,2,FALSE)</f>
        <v>#N/A</v>
      </c>
      <c r="L116" s="42"/>
      <c r="M116" s="43"/>
      <c r="N116" s="42"/>
      <c r="O116" s="63"/>
      <c r="P116" s="63"/>
      <c r="Q116" s="25" t="e">
        <f>VLOOKUP(P116,[2]Key!$E$2:$F$9,2,FALSE)</f>
        <v>#N/A</v>
      </c>
      <c r="R116" s="25" t="e">
        <f t="shared" si="1"/>
        <v>#N/A</v>
      </c>
      <c r="S116" s="62"/>
      <c r="T116" s="62"/>
      <c r="U116" s="43"/>
      <c r="V116" s="43"/>
      <c r="W116" s="62"/>
      <c r="X116" s="62"/>
      <c r="Y116" s="63"/>
      <c r="Z116" s="76"/>
      <c r="AA116" s="25"/>
      <c r="AB116" s="25"/>
    </row>
    <row r="117" spans="2:28">
      <c r="B117" s="40"/>
      <c r="C117" s="40"/>
      <c r="D117" s="41"/>
      <c r="E117" s="42"/>
      <c r="F117" s="42"/>
      <c r="G117" s="63"/>
      <c r="H117" s="42"/>
      <c r="I117" s="43"/>
      <c r="J117" s="43"/>
      <c r="K117" s="25" t="e">
        <f>VLOOKUP(J117,[2]Key!$E$2:$F$9,2,FALSE)</f>
        <v>#N/A</v>
      </c>
      <c r="L117" s="42"/>
      <c r="M117" s="43"/>
      <c r="N117" s="42"/>
      <c r="O117" s="63"/>
      <c r="P117" s="63"/>
      <c r="Q117" s="25" t="e">
        <f>VLOOKUP(P117,[2]Key!$E$2:$F$9,2,FALSE)</f>
        <v>#N/A</v>
      </c>
      <c r="R117" s="25" t="e">
        <f t="shared" si="1"/>
        <v>#N/A</v>
      </c>
      <c r="S117" s="62"/>
      <c r="T117" s="62"/>
      <c r="U117" s="43"/>
      <c r="V117" s="43"/>
      <c r="W117" s="62"/>
      <c r="X117" s="62"/>
      <c r="Y117" s="63"/>
      <c r="Z117" s="76"/>
      <c r="AA117" s="25"/>
      <c r="AB117" s="25"/>
    </row>
    <row r="118" spans="2:28">
      <c r="B118" s="40"/>
      <c r="C118" s="40"/>
      <c r="D118" s="41"/>
      <c r="E118" s="42"/>
      <c r="F118" s="42"/>
      <c r="G118" s="63"/>
      <c r="H118" s="42"/>
      <c r="I118" s="43"/>
      <c r="J118" s="43"/>
      <c r="K118" s="25" t="e">
        <f>VLOOKUP(J118,[2]Key!$E$2:$F$9,2,FALSE)</f>
        <v>#N/A</v>
      </c>
      <c r="L118" s="42"/>
      <c r="M118" s="43"/>
      <c r="N118" s="42"/>
      <c r="O118" s="63"/>
      <c r="P118" s="63"/>
      <c r="Q118" s="25" t="e">
        <f>VLOOKUP(P118,[2]Key!$E$2:$F$9,2,FALSE)</f>
        <v>#N/A</v>
      </c>
      <c r="R118" s="25" t="e">
        <f t="shared" si="1"/>
        <v>#N/A</v>
      </c>
      <c r="S118" s="62"/>
      <c r="T118" s="62"/>
      <c r="U118" s="43"/>
      <c r="V118" s="43"/>
      <c r="W118" s="62"/>
      <c r="X118" s="62"/>
      <c r="Y118" s="63"/>
      <c r="Z118" s="76"/>
      <c r="AA118" s="25"/>
      <c r="AB118" s="25"/>
    </row>
    <row r="119" spans="2:28">
      <c r="B119" s="40"/>
      <c r="C119" s="40"/>
      <c r="D119" s="41"/>
      <c r="E119" s="42"/>
      <c r="F119" s="42"/>
      <c r="G119" s="63"/>
      <c r="H119" s="42"/>
      <c r="I119" s="43"/>
      <c r="J119" s="43"/>
      <c r="K119" s="25" t="e">
        <f>VLOOKUP(J119,[2]Key!$E$2:$F$9,2,FALSE)</f>
        <v>#N/A</v>
      </c>
      <c r="L119" s="42"/>
      <c r="M119" s="43"/>
      <c r="N119" s="42"/>
      <c r="O119" s="63"/>
      <c r="P119" s="63"/>
      <c r="Q119" s="25" t="e">
        <f>VLOOKUP(P119,[2]Key!$E$2:$F$9,2,FALSE)</f>
        <v>#N/A</v>
      </c>
      <c r="R119" s="25" t="e">
        <f t="shared" si="1"/>
        <v>#N/A</v>
      </c>
      <c r="S119" s="62"/>
      <c r="T119" s="62"/>
      <c r="U119" s="43"/>
      <c r="V119" s="43"/>
      <c r="W119" s="62"/>
      <c r="X119" s="62"/>
      <c r="Y119" s="63"/>
      <c r="Z119" s="76"/>
      <c r="AA119" s="25"/>
      <c r="AB119" s="25"/>
    </row>
    <row r="120" spans="2:28">
      <c r="B120" s="40"/>
      <c r="C120" s="40"/>
      <c r="D120" s="41"/>
      <c r="E120" s="42"/>
      <c r="F120" s="42"/>
      <c r="G120" s="63"/>
      <c r="H120" s="42"/>
      <c r="I120" s="43"/>
      <c r="J120" s="43"/>
      <c r="K120" s="25" t="e">
        <f>VLOOKUP(J120,[2]Key!$E$2:$F$9,2,FALSE)</f>
        <v>#N/A</v>
      </c>
      <c r="L120" s="42"/>
      <c r="M120" s="43"/>
      <c r="N120" s="42"/>
      <c r="O120" s="63"/>
      <c r="P120" s="63"/>
      <c r="Q120" s="25" t="e">
        <f>VLOOKUP(P120,[2]Key!$E$2:$F$9,2,FALSE)</f>
        <v>#N/A</v>
      </c>
      <c r="R120" s="25" t="e">
        <f t="shared" si="1"/>
        <v>#N/A</v>
      </c>
      <c r="S120" s="62"/>
      <c r="T120" s="62"/>
      <c r="U120" s="43"/>
      <c r="V120" s="43"/>
      <c r="W120" s="62"/>
      <c r="X120" s="62"/>
      <c r="Y120" s="63"/>
      <c r="Z120" s="76"/>
      <c r="AA120" s="25"/>
      <c r="AB120" s="25"/>
    </row>
    <row r="121" spans="2:28">
      <c r="B121" s="40"/>
      <c r="C121" s="40"/>
      <c r="D121" s="41"/>
      <c r="E121" s="42"/>
      <c r="F121" s="42"/>
      <c r="G121" s="63"/>
      <c r="H121" s="42"/>
      <c r="I121" s="43"/>
      <c r="J121" s="43"/>
      <c r="K121" s="25" t="e">
        <f>VLOOKUP(J121,[2]Key!$E$2:$F$9,2,FALSE)</f>
        <v>#N/A</v>
      </c>
      <c r="L121" s="42"/>
      <c r="M121" s="43"/>
      <c r="N121" s="42"/>
      <c r="O121" s="63"/>
      <c r="P121" s="63"/>
      <c r="Q121" s="25" t="e">
        <f>VLOOKUP(P121,[2]Key!$E$2:$F$9,2,FALSE)</f>
        <v>#N/A</v>
      </c>
      <c r="R121" s="25" t="e">
        <f t="shared" si="1"/>
        <v>#N/A</v>
      </c>
      <c r="S121" s="62"/>
      <c r="T121" s="62"/>
      <c r="U121" s="43"/>
      <c r="V121" s="43"/>
      <c r="W121" s="62"/>
      <c r="X121" s="62"/>
      <c r="Y121" s="63"/>
      <c r="Z121" s="76"/>
      <c r="AA121" s="25"/>
      <c r="AB121" s="25"/>
    </row>
    <row r="122" spans="2:28">
      <c r="B122" s="40"/>
      <c r="C122" s="40"/>
      <c r="D122" s="41"/>
      <c r="E122" s="42"/>
      <c r="F122" s="42"/>
      <c r="G122" s="63"/>
      <c r="H122" s="42"/>
      <c r="I122" s="43"/>
      <c r="J122" s="43"/>
      <c r="K122" s="25" t="e">
        <f>VLOOKUP(J122,[2]Key!$E$2:$F$9,2,FALSE)</f>
        <v>#N/A</v>
      </c>
      <c r="L122" s="42"/>
      <c r="M122" s="43"/>
      <c r="N122" s="42"/>
      <c r="O122" s="63"/>
      <c r="P122" s="63"/>
      <c r="Q122" s="25" t="e">
        <f>VLOOKUP(P122,[2]Key!$E$2:$F$9,2,FALSE)</f>
        <v>#N/A</v>
      </c>
      <c r="R122" s="25" t="e">
        <f t="shared" si="1"/>
        <v>#N/A</v>
      </c>
      <c r="S122" s="62"/>
      <c r="T122" s="62"/>
      <c r="U122" s="43"/>
      <c r="V122" s="43"/>
      <c r="W122" s="62"/>
      <c r="X122" s="62"/>
      <c r="Y122" s="63"/>
      <c r="Z122" s="7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VLOOKUP(J123,[2]Key!$E$2:$F$9,2,FALSE)</f>
        <v>#N/A</v>
      </c>
      <c r="L123" s="42"/>
      <c r="M123" s="43"/>
      <c r="N123" s="42"/>
      <c r="O123" s="42"/>
      <c r="P123" s="42"/>
      <c r="Q123" s="25" t="e">
        <f>VLOOKUP(P123,[2]Key!$E$2:$F$9,2,FALSE)</f>
        <v>#N/A</v>
      </c>
      <c r="R123" s="25" t="e">
        <f t="shared" si="1"/>
        <v>#N/A</v>
      </c>
      <c r="S123" s="62"/>
      <c r="T123" s="62"/>
      <c r="U123" s="43"/>
      <c r="V123" s="43"/>
      <c r="W123" s="62"/>
      <c r="X123" s="62"/>
      <c r="Y123" s="63"/>
      <c r="Z123" s="7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VLOOKUP(J124,[2]Key!$E$2:$F$9,2,FALSE)</f>
        <v>#N/A</v>
      </c>
      <c r="L124" s="42"/>
      <c r="M124" s="43"/>
      <c r="N124" s="42"/>
      <c r="O124" s="42"/>
      <c r="P124" s="42"/>
      <c r="Q124" s="25" t="e">
        <f>VLOOKUP(P124,[2]Key!$E$2:$F$9,2,FALSE)</f>
        <v>#N/A</v>
      </c>
      <c r="R124" s="25" t="e">
        <f t="shared" si="1"/>
        <v>#N/A</v>
      </c>
      <c r="S124" s="62"/>
      <c r="T124" s="62"/>
      <c r="U124" s="43"/>
      <c r="V124" s="43"/>
      <c r="W124" s="62"/>
      <c r="X124" s="62"/>
      <c r="Y124" s="63"/>
      <c r="Z124" s="7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VLOOKUP(J125,[2]Key!$E$2:$F$9,2,FALSE)</f>
        <v>#N/A</v>
      </c>
      <c r="L125" s="42"/>
      <c r="M125" s="43"/>
      <c r="N125" s="42"/>
      <c r="O125" s="42"/>
      <c r="P125" s="42"/>
      <c r="Q125" s="25" t="e">
        <f>VLOOKUP(P125,[2]Key!$E$2:$F$9,2,FALSE)</f>
        <v>#N/A</v>
      </c>
      <c r="R125" s="25" t="e">
        <f t="shared" si="1"/>
        <v>#N/A</v>
      </c>
      <c r="S125" s="62"/>
      <c r="T125" s="62"/>
      <c r="U125" s="43"/>
      <c r="V125" s="43"/>
      <c r="W125" s="62"/>
      <c r="X125" s="62"/>
      <c r="Y125" s="63"/>
      <c r="Z125" s="76"/>
      <c r="AA125" s="25"/>
      <c r="AB125" s="25"/>
    </row>
    <row r="126" spans="2:28">
      <c r="B126" s="40"/>
      <c r="C126" s="40"/>
      <c r="D126" s="41"/>
      <c r="E126" s="41"/>
      <c r="F126" s="42"/>
      <c r="G126" s="42"/>
      <c r="H126" s="42"/>
      <c r="I126" s="42"/>
      <c r="J126" s="42"/>
      <c r="K126" s="25" t="e">
        <f>VLOOKUP(J126,Key!$E$2:$F$9,2,FALSE)</f>
        <v>#N/A</v>
      </c>
      <c r="L126" s="42"/>
      <c r="M126" s="43"/>
      <c r="N126" s="43"/>
      <c r="O126" s="43"/>
      <c r="P126" s="43"/>
      <c r="Q126" s="25" t="e">
        <f>VLOOKUP(P126,Key!$E$2:$F$9,2,FALSE)</f>
        <v>#N/A</v>
      </c>
      <c r="R126" s="25" t="e">
        <f t="shared" ref="R126:R137" si="2">K126&amp;"-"&amp;Q126</f>
        <v>#N/A</v>
      </c>
      <c r="S126" s="62"/>
      <c r="T126" s="62"/>
      <c r="U126" s="72"/>
      <c r="V126" s="72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1"/>
      <c r="F127" s="42"/>
      <c r="G127" s="42"/>
      <c r="H127" s="42"/>
      <c r="I127" s="42"/>
      <c r="J127" s="42"/>
      <c r="K127" s="25" t="e">
        <f>VLOOKUP(J127,Key!$E$2:$F$9,2,FALSE)</f>
        <v>#N/A</v>
      </c>
      <c r="L127" s="42"/>
      <c r="M127" s="43"/>
      <c r="N127" s="43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72"/>
      <c r="V127" s="72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1"/>
      <c r="F128" s="42"/>
      <c r="G128" s="42"/>
      <c r="H128" s="42"/>
      <c r="I128" s="42"/>
      <c r="J128" s="42"/>
      <c r="K128" s="25" t="e">
        <f>VLOOKUP(J128,Key!$E$2:$F$9,2,FALSE)</f>
        <v>#N/A</v>
      </c>
      <c r="L128" s="42"/>
      <c r="M128" s="43"/>
      <c r="N128" s="43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72"/>
      <c r="V128" s="72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1"/>
      <c r="F129" s="42"/>
      <c r="G129" s="42"/>
      <c r="H129" s="42"/>
      <c r="I129" s="42"/>
      <c r="J129" s="42"/>
      <c r="K129" s="25" t="e">
        <f>VLOOKUP(J129,Key!$E$2:$F$9,2,FALSE)</f>
        <v>#N/A</v>
      </c>
      <c r="L129" s="42"/>
      <c r="M129" s="43"/>
      <c r="N129" s="43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72"/>
      <c r="V129" s="72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1"/>
      <c r="F130" s="42"/>
      <c r="G130" s="42"/>
      <c r="H130" s="42"/>
      <c r="I130" s="42"/>
      <c r="J130" s="42"/>
      <c r="K130" s="25" t="e">
        <f>VLOOKUP(J130,Key!$E$2:$F$9,2,FALSE)</f>
        <v>#N/A</v>
      </c>
      <c r="L130" s="42"/>
      <c r="M130" s="43"/>
      <c r="N130" s="43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72"/>
      <c r="V130" s="72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1"/>
      <c r="F131" s="42"/>
      <c r="G131" s="42"/>
      <c r="H131" s="42"/>
      <c r="I131" s="42"/>
      <c r="J131" s="42"/>
      <c r="K131" s="25" t="e">
        <f>VLOOKUP(J131,Key!$E$2:$F$9,2,FALSE)</f>
        <v>#N/A</v>
      </c>
      <c r="L131" s="42"/>
      <c r="M131" s="43"/>
      <c r="N131" s="43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72"/>
      <c r="V131" s="72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1"/>
      <c r="F132" s="42"/>
      <c r="G132" s="42"/>
      <c r="H132" s="42"/>
      <c r="I132" s="42"/>
      <c r="J132" s="42"/>
      <c r="K132" s="25" t="e">
        <f>VLOOKUP(J132,Key!$E$2:$F$9,2,FALSE)</f>
        <v>#N/A</v>
      </c>
      <c r="L132" s="42"/>
      <c r="M132" s="43"/>
      <c r="N132" s="43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72"/>
      <c r="V132" s="72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1"/>
      <c r="F133" s="42"/>
      <c r="G133" s="42"/>
      <c r="H133" s="42"/>
      <c r="I133" s="42"/>
      <c r="J133" s="42"/>
      <c r="K133" s="25" t="e">
        <f>VLOOKUP(J133,Key!$E$2:$F$9,2,FALSE)</f>
        <v>#N/A</v>
      </c>
      <c r="L133" s="42"/>
      <c r="M133" s="43"/>
      <c r="N133" s="43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72"/>
      <c r="V133" s="72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1"/>
      <c r="F134" s="42"/>
      <c r="G134" s="42"/>
      <c r="H134" s="42"/>
      <c r="I134" s="42"/>
      <c r="J134" s="42"/>
      <c r="K134" s="25" t="e">
        <f>VLOOKUP(J134,Key!$E$2:$F$9,2,FALSE)</f>
        <v>#N/A</v>
      </c>
      <c r="L134" s="42"/>
      <c r="M134" s="43"/>
      <c r="N134" s="43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72"/>
      <c r="V134" s="72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64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64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64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3">K138&amp;"-"&amp;Q138</f>
        <v>#N/A</v>
      </c>
      <c r="S138" s="62"/>
      <c r="T138" s="62"/>
      <c r="U138" s="43"/>
      <c r="V138" s="43"/>
      <c r="W138" s="62"/>
      <c r="X138" s="62"/>
      <c r="Y138" s="63"/>
      <c r="Z138" s="64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3"/>
        <v>#N/A</v>
      </c>
      <c r="S139" s="62"/>
      <c r="T139" s="62"/>
      <c r="U139" s="43"/>
      <c r="V139" s="43"/>
      <c r="W139" s="62"/>
      <c r="X139" s="62"/>
      <c r="Y139" s="63"/>
      <c r="Z139" s="64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3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3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3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3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3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3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3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3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3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3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3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3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3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3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3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3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3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3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3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3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3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3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3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3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3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3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3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4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4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4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4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4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4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4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4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4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4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4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4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4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4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4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4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4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4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4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4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4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4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4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4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4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4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4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4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4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5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5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5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5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5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5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5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5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5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5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5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5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5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5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5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5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5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5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5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5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5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5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5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5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5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5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5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5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5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6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6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6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6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6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6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6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6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6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6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6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6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6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6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6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6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6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6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6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6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6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6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6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6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6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6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6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6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6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7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7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7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7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7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7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7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7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7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7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7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7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7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7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7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7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7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7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7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7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7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7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7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7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7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7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7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7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7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8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8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8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8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8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8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8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8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8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8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8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8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8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8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8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8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8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8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8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8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8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8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8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8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8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8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8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8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8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9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9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9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9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9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9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9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9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9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9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9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9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9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9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9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9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9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9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9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9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9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9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9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9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9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9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9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9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9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10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10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10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10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10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10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10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10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10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10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10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10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10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10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10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10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10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10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10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10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10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10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10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10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10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10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10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10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10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1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1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1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1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1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1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1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1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1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1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1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1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1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1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1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1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1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1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1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1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1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1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1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1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1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1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1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1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1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2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2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2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2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2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2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2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2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2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2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2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2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2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2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2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2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2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2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2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2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2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2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2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2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2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2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2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2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2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3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3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3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3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3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3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3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3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3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3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3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3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3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3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3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3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3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3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3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3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3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3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3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3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3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3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3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3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3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4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4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4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4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4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4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4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4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4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4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4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4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4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4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4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4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4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4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4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4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4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4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4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4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4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4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4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4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4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5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5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5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5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5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5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5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5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5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5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5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5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5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5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5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5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5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5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5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5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5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5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5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5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5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5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5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5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5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6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6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6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6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6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6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6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6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6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6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6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6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6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6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6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6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6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6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6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6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6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6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6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6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6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6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6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6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6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7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7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7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7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7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7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7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7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7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7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7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7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7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7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7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7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7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7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7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7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7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7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7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7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7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7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7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7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7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8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8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8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8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8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8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8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8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8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8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8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8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8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8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8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8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8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8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8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8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8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8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8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8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8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8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8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8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8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9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9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9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9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9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9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9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9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9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9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9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9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9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9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9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9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9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9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9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9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9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9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9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9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9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9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9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9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9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70" si="20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20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20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20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20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20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20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20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20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20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20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20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20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20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20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20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20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20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20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20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20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20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20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20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20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20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20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20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20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171</v>
      </c>
      <c r="E1" s="34"/>
      <c r="F1" s="35" t="s">
        <v>188</v>
      </c>
      <c r="G1" s="36"/>
      <c r="H1" s="36" t="s">
        <v>196</v>
      </c>
      <c r="I1" s="36"/>
      <c r="J1" s="36" t="s">
        <v>203</v>
      </c>
      <c r="K1" s="36"/>
      <c r="L1" s="36"/>
      <c r="M1" s="36"/>
      <c r="N1" s="36"/>
      <c r="O1" s="36"/>
    </row>
    <row r="2" spans="1:15">
      <c r="A2">
        <v>1</v>
      </c>
      <c r="B2" s="33" t="s">
        <v>159</v>
      </c>
      <c r="C2" s="10">
        <v>1</v>
      </c>
      <c r="D2" s="33" t="s">
        <v>172</v>
      </c>
      <c r="E2" s="10">
        <v>1</v>
      </c>
      <c r="F2" t="s">
        <v>189</v>
      </c>
      <c r="G2">
        <v>1</v>
      </c>
      <c r="H2" s="19" t="s">
        <v>197</v>
      </c>
      <c r="I2">
        <v>1</v>
      </c>
      <c r="J2" s="19" t="s">
        <v>204</v>
      </c>
    </row>
    <row r="3" spans="1:15">
      <c r="A3">
        <v>2</v>
      </c>
      <c r="B3" s="33" t="s">
        <v>160</v>
      </c>
      <c r="C3" s="10">
        <v>2</v>
      </c>
      <c r="D3" s="33" t="s">
        <v>173</v>
      </c>
      <c r="E3" s="10">
        <v>2</v>
      </c>
      <c r="F3" t="s">
        <v>190</v>
      </c>
      <c r="G3">
        <v>2</v>
      </c>
      <c r="H3" s="19" t="s">
        <v>198</v>
      </c>
      <c r="I3">
        <v>2</v>
      </c>
      <c r="J3" s="19" t="s">
        <v>205</v>
      </c>
    </row>
    <row r="4" spans="1:15">
      <c r="A4">
        <v>3</v>
      </c>
      <c r="B4" s="33" t="s">
        <v>161</v>
      </c>
      <c r="C4" s="10">
        <v>3</v>
      </c>
      <c r="D4" s="33" t="s">
        <v>174</v>
      </c>
      <c r="E4" s="10">
        <v>3</v>
      </c>
      <c r="F4" t="s">
        <v>191</v>
      </c>
      <c r="G4">
        <v>3</v>
      </c>
      <c r="H4" s="19" t="s">
        <v>199</v>
      </c>
      <c r="I4">
        <v>3</v>
      </c>
      <c r="J4" s="19" t="s">
        <v>206</v>
      </c>
    </row>
    <row r="5" spans="1:15">
      <c r="A5">
        <v>4</v>
      </c>
      <c r="B5" s="33" t="s">
        <v>162</v>
      </c>
      <c r="C5" s="10">
        <v>4</v>
      </c>
      <c r="D5" s="33" t="s">
        <v>175</v>
      </c>
      <c r="E5" s="10">
        <v>4</v>
      </c>
      <c r="F5" t="s">
        <v>192</v>
      </c>
      <c r="G5">
        <v>4</v>
      </c>
      <c r="H5" s="19" t="s">
        <v>200</v>
      </c>
      <c r="I5">
        <v>4</v>
      </c>
      <c r="J5" s="37" t="s">
        <v>207</v>
      </c>
    </row>
    <row r="6" spans="1:15">
      <c r="A6">
        <v>5</v>
      </c>
      <c r="B6" s="33" t="s">
        <v>163</v>
      </c>
      <c r="C6" s="10">
        <v>5</v>
      </c>
      <c r="D6" s="33" t="s">
        <v>176</v>
      </c>
      <c r="E6" s="10">
        <v>5</v>
      </c>
      <c r="F6" t="s">
        <v>193</v>
      </c>
      <c r="G6">
        <v>5</v>
      </c>
      <c r="H6" s="19" t="s">
        <v>201</v>
      </c>
      <c r="I6">
        <v>5</v>
      </c>
      <c r="J6" s="19" t="s">
        <v>208</v>
      </c>
    </row>
    <row r="7" spans="1:15">
      <c r="A7">
        <v>6</v>
      </c>
      <c r="B7" s="33" t="s">
        <v>164</v>
      </c>
      <c r="C7" s="10">
        <v>6</v>
      </c>
      <c r="D7" s="33" t="s">
        <v>177</v>
      </c>
      <c r="E7" s="10">
        <v>6</v>
      </c>
      <c r="F7" t="s">
        <v>194</v>
      </c>
      <c r="G7">
        <v>6</v>
      </c>
      <c r="H7" s="19" t="s">
        <v>202</v>
      </c>
      <c r="I7">
        <v>6</v>
      </c>
      <c r="J7" s="19" t="s">
        <v>209</v>
      </c>
    </row>
    <row r="8" spans="1:15">
      <c r="A8">
        <v>7</v>
      </c>
      <c r="B8" s="33" t="s">
        <v>165</v>
      </c>
      <c r="C8" s="10">
        <v>7</v>
      </c>
      <c r="D8" s="33" t="s">
        <v>178</v>
      </c>
      <c r="E8" s="10">
        <v>7</v>
      </c>
      <c r="F8" t="s">
        <v>176</v>
      </c>
      <c r="I8">
        <v>7</v>
      </c>
      <c r="J8" s="19" t="s">
        <v>210</v>
      </c>
    </row>
    <row r="9" spans="1:15">
      <c r="A9">
        <v>8</v>
      </c>
      <c r="B9" s="33" t="s">
        <v>166</v>
      </c>
      <c r="C9" s="10">
        <v>8</v>
      </c>
      <c r="D9" s="33" t="s">
        <v>179</v>
      </c>
      <c r="E9" s="10">
        <v>8</v>
      </c>
      <c r="F9" t="s">
        <v>195</v>
      </c>
      <c r="I9">
        <v>8</v>
      </c>
      <c r="J9" s="19" t="s">
        <v>211</v>
      </c>
    </row>
    <row r="10" spans="1:15">
      <c r="A10">
        <v>9</v>
      </c>
      <c r="B10" s="33" t="s">
        <v>167</v>
      </c>
      <c r="C10" s="10">
        <v>9</v>
      </c>
      <c r="D10" s="33" t="s">
        <v>180</v>
      </c>
      <c r="E10" s="10"/>
      <c r="I10">
        <v>9</v>
      </c>
      <c r="J10" s="19" t="s">
        <v>212</v>
      </c>
    </row>
    <row r="11" spans="1:15">
      <c r="A11">
        <v>10</v>
      </c>
      <c r="B11" s="33" t="s">
        <v>168</v>
      </c>
      <c r="C11" s="10">
        <v>10</v>
      </c>
      <c r="D11" s="33" t="s">
        <v>181</v>
      </c>
      <c r="E11" s="10"/>
      <c r="I11">
        <v>10</v>
      </c>
      <c r="J11" s="37" t="s">
        <v>213</v>
      </c>
    </row>
    <row r="12" spans="1:15">
      <c r="A12">
        <v>11</v>
      </c>
      <c r="B12" s="33" t="s">
        <v>170</v>
      </c>
      <c r="C12" s="10">
        <v>11</v>
      </c>
      <c r="D12" s="33" t="s">
        <v>182</v>
      </c>
      <c r="E12" s="10"/>
      <c r="I12">
        <v>11</v>
      </c>
      <c r="J12" s="19" t="s">
        <v>214</v>
      </c>
    </row>
    <row r="13" spans="1:15">
      <c r="A13">
        <v>12</v>
      </c>
      <c r="B13" s="33" t="s">
        <v>169</v>
      </c>
      <c r="C13" s="10">
        <v>12</v>
      </c>
      <c r="D13" s="33" t="s">
        <v>183</v>
      </c>
      <c r="E13" s="10"/>
      <c r="I13">
        <v>12</v>
      </c>
      <c r="J13" s="19" t="s">
        <v>215</v>
      </c>
    </row>
    <row r="14" spans="1:15">
      <c r="C14" s="10">
        <v>13</v>
      </c>
      <c r="D14" s="19" t="s">
        <v>184</v>
      </c>
    </row>
    <row r="15" spans="1:15">
      <c r="B15" s="1"/>
      <c r="C15" s="10">
        <v>14</v>
      </c>
      <c r="D15" s="19" t="s">
        <v>185</v>
      </c>
    </row>
    <row r="16" spans="1:15">
      <c r="C16" s="10">
        <v>15</v>
      </c>
      <c r="D16" s="19" t="s">
        <v>186</v>
      </c>
    </row>
    <row r="17" spans="3:4">
      <c r="C17" s="10">
        <v>16</v>
      </c>
      <c r="D17" s="19" t="s">
        <v>187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96"/>
  <sheetViews>
    <sheetView topLeftCell="A74" workbookViewId="0">
      <selection activeCell="C97" sqref="C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Analysis</vt:lpstr>
      <vt:lpstr>ALL DATA</vt:lpstr>
      <vt:lpstr>8.8 KIKORONGO-BWERA</vt:lpstr>
      <vt:lpstr>8.8 BWERA-KIKORONGO</vt:lpstr>
      <vt:lpstr>RSI FORM</vt:lpstr>
      <vt:lpstr>9.8 KIKORONGO-BWERA</vt:lpstr>
      <vt:lpstr>9.8 BWERA-KIKORONGO</vt:lpstr>
      <vt:lpstr>10.8 KIKORONGO-BWERA</vt:lpstr>
      <vt:lpstr>10.8 BWERA-KIKORONGO</vt:lpstr>
      <vt:lpstr>Key</vt:lpstr>
      <vt:lpstr>Zones</vt:lpstr>
      <vt:lpstr>Dist</vt:lpstr>
      <vt:lpstr>Jtime</vt:lpstr>
      <vt:lpstr>Pay</vt:lpstr>
      <vt:lpstr>Tripfreq</vt:lpstr>
      <vt:lpstr>Veh</vt:lpstr>
      <vt:lpstr>'10.8 BWERA-KIKORONGO'!Veh_Type</vt:lpstr>
      <vt:lpstr>'10.8 KIKORONGO-BWERA'!Veh_Type</vt:lpstr>
      <vt:lpstr>'8.8 KIKORONGO-BWERA'!Veh_Type</vt:lpstr>
      <vt:lpstr>'9.8 BWERA-KIKORONGO'!Veh_Type</vt:lpstr>
      <vt:lpstr>'ALL DATA'!Veh_Type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2020-04-10T00:49:38Z</dcterms:modified>
</cp:coreProperties>
</file>