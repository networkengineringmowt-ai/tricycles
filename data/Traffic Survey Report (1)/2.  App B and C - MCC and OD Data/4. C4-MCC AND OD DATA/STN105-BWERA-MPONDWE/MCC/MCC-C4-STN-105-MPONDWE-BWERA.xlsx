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drawings/drawing7.xml" ContentType="application/vnd.openxmlformats-officedocument.drawing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drawings/drawing8.xml" ContentType="application/vnd.openxmlformats-officedocument.drawing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drawings/drawing9.xml" ContentType="application/vnd.openxmlformats-officedocument.drawing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drawings/drawing10.xml" ContentType="application/vnd.openxmlformats-officedocument.drawing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drawings/drawing11.xml" ContentType="application/vnd.openxmlformats-officedocument.drawing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drawings/drawing12.xml" ContentType="application/vnd.openxmlformats-officedocument.drawing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drawings/drawing13.xml" ContentType="application/vnd.openxmlformats-officedocument.drawing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drawings/drawing14.xml" ContentType="application/vnd.openxmlformats-officedocument.drawing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drawings/drawing15.xml" ContentType="application/vnd.openxmlformats-officedocument.drawing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drawings/drawing16.xml" ContentType="application/vnd.openxmlformats-officedocument.drawing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drawings/drawing17.xml" ContentType="application/vnd.openxmlformats-officedocument.drawing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6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ing Folder\EDMP\Analysed Data\MCC-OD\C-4 Analysis Complete\STN105-BWERA-MPONDWE\MCC\"/>
    </mc:Choice>
  </mc:AlternateContent>
  <xr:revisionPtr revIDLastSave="0" documentId="13_ncr:1_{4339C33F-B5F8-441D-AC76-3F6FD227E820}" xr6:coauthVersionLast="45" xr6:coauthVersionMax="45" xr10:uidLastSave="{00000000-0000-0000-0000-000000000000}"/>
  <bookViews>
    <workbookView xWindow="-120" yWindow="-120" windowWidth="20730" windowHeight="11160" tabRatio="879" firstSheet="14" activeTab="16" xr2:uid="{00000000-000D-0000-FFFF-FFFF00000000}"/>
  </bookViews>
  <sheets>
    <sheet name="5.8 KIKORONGO-BWERA" sheetId="93" r:id="rId1"/>
    <sheet name="5.8 BWERA-KIKORONGO" sheetId="94" r:id="rId2"/>
    <sheet name="6.8 KIKORONGO-BWERA" sheetId="95" r:id="rId3"/>
    <sheet name="6.8 BWERA-KIKORONGO" sheetId="96" r:id="rId4"/>
    <sheet name="7.8 KIKORONGO-BWERA" sheetId="97" r:id="rId5"/>
    <sheet name="7.8 BWERA-KIKORONGO" sheetId="98" r:id="rId6"/>
    <sheet name="8.8 KIKORONGO-BWERA-24hr" sheetId="101" r:id="rId7"/>
    <sheet name="8.8 BWERA-KIKORONGO-24h" sheetId="109" r:id="rId8"/>
    <sheet name="9.8 KIKORONGO-BWERA" sheetId="99" r:id="rId9"/>
    <sheet name="9.8 BWERA-KIKORONGO" sheetId="100" r:id="rId10"/>
    <sheet name="10.8 KIKORONGO-BWERA-24HRS" sheetId="105" r:id="rId11"/>
    <sheet name="10.8 BWERA-KIKORONGO 24HRS" sheetId="110" r:id="rId12"/>
    <sheet name="11.8 BWERA-KIKORONGO" sheetId="103" r:id="rId13"/>
    <sheet name="11.8 KIKORONGO-BWERA" sheetId="104" r:id="rId14"/>
    <sheet name="Avg Week KIKORONGO-BWERA" sheetId="107" r:id="rId15"/>
    <sheet name="Avg Week BWERA-KIKORONGO" sheetId="108" r:id="rId16"/>
    <sheet name="Avg Week KIKORONGO-BWERA-2Dir" sheetId="111" r:id="rId17"/>
  </sheets>
  <definedNames>
    <definedName name="_xlnm.Print_Area" localSheetId="11">'10.8 BWERA-KIKORONGO 24HRS'!$A$1:$AF$108</definedName>
    <definedName name="_xlnm.Print_Area" localSheetId="10">'10.8 KIKORONGO-BWERA-24HRS'!$A$1:$AF$108</definedName>
    <definedName name="_xlnm.Print_Area" localSheetId="12">'11.8 BWERA-KIKORONGO'!$A$1:$AF$60</definedName>
    <definedName name="_xlnm.Print_Area" localSheetId="13">'11.8 KIKORONGO-BWERA'!$A$1:$AF$60</definedName>
    <definedName name="_xlnm.Print_Area" localSheetId="1">'5.8 BWERA-KIKORONGO'!$A$1:$AF$60</definedName>
    <definedName name="_xlnm.Print_Area" localSheetId="0">'5.8 KIKORONGO-BWERA'!$A$1:$AF$60</definedName>
    <definedName name="_xlnm.Print_Area" localSheetId="3">'6.8 BWERA-KIKORONGO'!$A$1:$AF$60</definedName>
    <definedName name="_xlnm.Print_Area" localSheetId="2">'6.8 KIKORONGO-BWERA'!$A$1:$AF$60</definedName>
    <definedName name="_xlnm.Print_Area" localSheetId="5">'7.8 BWERA-KIKORONGO'!$A$1:$AF$60</definedName>
    <definedName name="_xlnm.Print_Area" localSheetId="4">'7.8 KIKORONGO-BWERA'!$A$1:$AF$60</definedName>
    <definedName name="_xlnm.Print_Area" localSheetId="7">'8.8 BWERA-KIKORONGO-24h'!$A$1:$AF$108</definedName>
    <definedName name="_xlnm.Print_Area" localSheetId="6">'8.8 KIKORONGO-BWERA-24hr'!$A$1:$AF$108</definedName>
    <definedName name="_xlnm.Print_Area" localSheetId="9">'9.8 BWERA-KIKORONGO'!$A$1:$AF$60</definedName>
    <definedName name="_xlnm.Print_Area" localSheetId="8">'9.8 KIKORONGO-BWERA'!$A$1:$AF$60</definedName>
    <definedName name="_xlnm.Print_Area" localSheetId="15">'Avg Week BWERA-KIKORONGO'!$A$1:$AF$108</definedName>
    <definedName name="_xlnm.Print_Area" localSheetId="14">'Avg Week KIKORONGO-BWERA'!$A$1:$AF$108</definedName>
    <definedName name="_xlnm.Print_Area" localSheetId="16">'Avg Week KIKORONGO-BWERA-2Dir'!$A$1:$AF$108</definedName>
    <definedName name="_xlnm.Print_Titles" localSheetId="11">'10.8 BWERA-KIKORONGO 24HRS'!$1:$8</definedName>
    <definedName name="_xlnm.Print_Titles" localSheetId="10">'10.8 KIKORONGO-BWERA-24HRS'!$1:$8</definedName>
    <definedName name="_xlnm.Print_Titles" localSheetId="12">'11.8 BWERA-KIKORONGO'!$1:$8</definedName>
    <definedName name="_xlnm.Print_Titles" localSheetId="13">'11.8 KIKORONGO-BWERA'!$1:$8</definedName>
    <definedName name="_xlnm.Print_Titles" localSheetId="1">'5.8 BWERA-KIKORONGO'!$1:$8</definedName>
    <definedName name="_xlnm.Print_Titles" localSheetId="0">'5.8 KIKORONGO-BWERA'!$1:$8</definedName>
    <definedName name="_xlnm.Print_Titles" localSheetId="3">'6.8 BWERA-KIKORONGO'!$1:$8</definedName>
    <definedName name="_xlnm.Print_Titles" localSheetId="2">'6.8 KIKORONGO-BWERA'!$1:$8</definedName>
    <definedName name="_xlnm.Print_Titles" localSheetId="5">'7.8 BWERA-KIKORONGO'!$1:$8</definedName>
    <definedName name="_xlnm.Print_Titles" localSheetId="4">'7.8 KIKORONGO-BWERA'!$1:$8</definedName>
    <definedName name="_xlnm.Print_Titles" localSheetId="7">'8.8 BWERA-KIKORONGO-24h'!$1:$8</definedName>
    <definedName name="_xlnm.Print_Titles" localSheetId="6">'8.8 KIKORONGO-BWERA-24hr'!$1:$8</definedName>
    <definedName name="_xlnm.Print_Titles" localSheetId="9">'9.8 BWERA-KIKORONGO'!$1:$8</definedName>
    <definedName name="_xlnm.Print_Titles" localSheetId="8">'9.8 KIKORONGO-BWERA'!$1:$8</definedName>
    <definedName name="_xlnm.Print_Titles" localSheetId="15">'Avg Week BWERA-KIKORONGO'!$1:$8</definedName>
    <definedName name="_xlnm.Print_Titles" localSheetId="14">'Avg Week KIKORONGO-BWERA'!$1:$8</definedName>
    <definedName name="_xlnm.Print_Titles" localSheetId="16">'Avg Week KIKORONGO-BWERA-2Dir'!$1:$8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11" i="111" l="1"/>
  <c r="E11" i="111"/>
  <c r="D12" i="111"/>
  <c r="E12" i="111"/>
  <c r="D13" i="111"/>
  <c r="E13" i="111"/>
  <c r="D14" i="111"/>
  <c r="E14" i="111"/>
  <c r="D15" i="111"/>
  <c r="E15" i="111"/>
  <c r="D16" i="111"/>
  <c r="E16" i="111"/>
  <c r="D17" i="111"/>
  <c r="E17" i="111"/>
  <c r="D18" i="111"/>
  <c r="E18" i="111"/>
  <c r="D19" i="111"/>
  <c r="E19" i="111"/>
  <c r="D20" i="111"/>
  <c r="E20" i="111"/>
  <c r="D21" i="111"/>
  <c r="E21" i="111"/>
  <c r="D22" i="111"/>
  <c r="E22" i="111"/>
  <c r="D23" i="111"/>
  <c r="E23" i="111"/>
  <c r="D24" i="111"/>
  <c r="E24" i="111"/>
  <c r="D25" i="111"/>
  <c r="E25" i="111"/>
  <c r="D26" i="111"/>
  <c r="E26" i="111"/>
  <c r="D27" i="111"/>
  <c r="E27" i="111"/>
  <c r="D28" i="111"/>
  <c r="E28" i="111"/>
  <c r="D29" i="111"/>
  <c r="E29" i="111"/>
  <c r="D30" i="111"/>
  <c r="E30" i="111"/>
  <c r="D31" i="111"/>
  <c r="E31" i="111"/>
  <c r="D32" i="111"/>
  <c r="E32" i="111"/>
  <c r="D33" i="111"/>
  <c r="E33" i="111"/>
  <c r="D34" i="111"/>
  <c r="E34" i="111"/>
  <c r="D35" i="111"/>
  <c r="E35" i="111"/>
  <c r="D36" i="111"/>
  <c r="E36" i="111"/>
  <c r="D37" i="111"/>
  <c r="E37" i="111"/>
  <c r="D38" i="111"/>
  <c r="E38" i="111"/>
  <c r="D39" i="111"/>
  <c r="E39" i="111"/>
  <c r="D40" i="111"/>
  <c r="E40" i="111"/>
  <c r="D41" i="111"/>
  <c r="E41" i="111"/>
  <c r="D42" i="111"/>
  <c r="E42" i="111"/>
  <c r="D43" i="111"/>
  <c r="E43" i="111"/>
  <c r="D44" i="111"/>
  <c r="E44" i="111"/>
  <c r="D45" i="111"/>
  <c r="E45" i="111"/>
  <c r="D46" i="111"/>
  <c r="E46" i="111"/>
  <c r="D47" i="111"/>
  <c r="E47" i="111"/>
  <c r="D48" i="111"/>
  <c r="E48" i="111"/>
  <c r="D49" i="111"/>
  <c r="E49" i="111"/>
  <c r="D50" i="111"/>
  <c r="E50" i="111"/>
  <c r="D51" i="111"/>
  <c r="E51" i="111"/>
  <c r="D52" i="111"/>
  <c r="E52" i="111"/>
  <c r="D53" i="111"/>
  <c r="E53" i="111"/>
  <c r="D54" i="111"/>
  <c r="E54" i="111"/>
  <c r="D55" i="111"/>
  <c r="E55" i="111"/>
  <c r="D56" i="111"/>
  <c r="E56" i="111"/>
  <c r="D57" i="111"/>
  <c r="E57" i="111"/>
  <c r="D58" i="111"/>
  <c r="E58" i="111"/>
  <c r="D59" i="111"/>
  <c r="E59" i="111"/>
  <c r="D60" i="111"/>
  <c r="E60" i="111"/>
  <c r="D61" i="111"/>
  <c r="E61" i="111"/>
  <c r="D62" i="111"/>
  <c r="E62" i="111"/>
  <c r="D63" i="111"/>
  <c r="E63" i="111"/>
  <c r="D64" i="111"/>
  <c r="E64" i="111"/>
  <c r="D65" i="111"/>
  <c r="E65" i="111"/>
  <c r="D66" i="111"/>
  <c r="E66" i="111"/>
  <c r="D67" i="111"/>
  <c r="E67" i="111"/>
  <c r="D68" i="111"/>
  <c r="E68" i="111"/>
  <c r="D69" i="111"/>
  <c r="E69" i="111"/>
  <c r="D70" i="111"/>
  <c r="E70" i="111"/>
  <c r="D71" i="111"/>
  <c r="E71" i="111"/>
  <c r="D72" i="111"/>
  <c r="E72" i="111"/>
  <c r="D73" i="111"/>
  <c r="E73" i="111"/>
  <c r="D74" i="111"/>
  <c r="E74" i="111"/>
  <c r="D75" i="111"/>
  <c r="E75" i="111"/>
  <c r="D76" i="111"/>
  <c r="E76" i="111"/>
  <c r="D77" i="111"/>
  <c r="E77" i="111"/>
  <c r="D78" i="111"/>
  <c r="E78" i="111"/>
  <c r="D79" i="111"/>
  <c r="E79" i="111"/>
  <c r="D80" i="111"/>
  <c r="E80" i="111"/>
  <c r="D81" i="111"/>
  <c r="E81" i="111"/>
  <c r="D82" i="111"/>
  <c r="E82" i="111"/>
  <c r="D83" i="111"/>
  <c r="E83" i="111"/>
  <c r="D84" i="111"/>
  <c r="E84" i="111"/>
  <c r="D85" i="111"/>
  <c r="E85" i="111"/>
  <c r="D86" i="111"/>
  <c r="E86" i="111"/>
  <c r="D87" i="111"/>
  <c r="E87" i="111"/>
  <c r="D88" i="111"/>
  <c r="E88" i="111"/>
  <c r="D89" i="111"/>
  <c r="E89" i="111"/>
  <c r="D90" i="111"/>
  <c r="E90" i="111"/>
  <c r="D91" i="111"/>
  <c r="E91" i="111"/>
  <c r="D92" i="111"/>
  <c r="E92" i="111"/>
  <c r="D93" i="111"/>
  <c r="E93" i="111"/>
  <c r="D94" i="111"/>
  <c r="E94" i="111"/>
  <c r="D95" i="111"/>
  <c r="E95" i="111"/>
  <c r="D96" i="111"/>
  <c r="E96" i="111"/>
  <c r="D97" i="111"/>
  <c r="E97" i="111"/>
  <c r="D98" i="111"/>
  <c r="E98" i="111"/>
  <c r="D99" i="111"/>
  <c r="E99" i="111"/>
  <c r="D100" i="111"/>
  <c r="E100" i="111"/>
  <c r="D101" i="111"/>
  <c r="E101" i="111"/>
  <c r="D102" i="111"/>
  <c r="E102" i="111"/>
  <c r="D103" i="111"/>
  <c r="E103" i="111"/>
  <c r="D104" i="111"/>
  <c r="E104" i="111"/>
  <c r="D105" i="111"/>
  <c r="E105" i="111"/>
  <c r="E10" i="111"/>
  <c r="D10" i="111"/>
  <c r="G68" i="111" l="1"/>
  <c r="D58" i="108"/>
  <c r="E58" i="108"/>
  <c r="F58" i="108"/>
  <c r="G58" i="108"/>
  <c r="H58" i="108"/>
  <c r="I58" i="108"/>
  <c r="J58" i="108"/>
  <c r="K58" i="108"/>
  <c r="L58" i="108"/>
  <c r="M58" i="108"/>
  <c r="N58" i="108"/>
  <c r="D59" i="108"/>
  <c r="E59" i="108"/>
  <c r="F59" i="108"/>
  <c r="G59" i="108"/>
  <c r="H59" i="108"/>
  <c r="I59" i="108"/>
  <c r="J59" i="108"/>
  <c r="K59" i="108"/>
  <c r="L59" i="108"/>
  <c r="M59" i="108"/>
  <c r="N59" i="108"/>
  <c r="D60" i="108"/>
  <c r="E60" i="108"/>
  <c r="F60" i="108"/>
  <c r="G60" i="108"/>
  <c r="H60" i="108"/>
  <c r="I60" i="108"/>
  <c r="J60" i="108"/>
  <c r="K60" i="108"/>
  <c r="L60" i="108"/>
  <c r="M60" i="108"/>
  <c r="N60" i="108"/>
  <c r="D61" i="108"/>
  <c r="E61" i="108"/>
  <c r="F61" i="108"/>
  <c r="G61" i="108"/>
  <c r="H61" i="108"/>
  <c r="I61" i="108"/>
  <c r="J61" i="108"/>
  <c r="K61" i="108"/>
  <c r="L61" i="108"/>
  <c r="M61" i="108"/>
  <c r="N61" i="108"/>
  <c r="D62" i="108"/>
  <c r="E62" i="108"/>
  <c r="F62" i="108"/>
  <c r="G62" i="108"/>
  <c r="H62" i="108"/>
  <c r="I62" i="108"/>
  <c r="J62" i="108"/>
  <c r="K62" i="108"/>
  <c r="L62" i="108"/>
  <c r="M62" i="108"/>
  <c r="N62" i="108"/>
  <c r="D63" i="108"/>
  <c r="E63" i="108"/>
  <c r="F63" i="108"/>
  <c r="G63" i="108"/>
  <c r="H63" i="108"/>
  <c r="I63" i="108"/>
  <c r="J63" i="108"/>
  <c r="K63" i="108"/>
  <c r="L63" i="108"/>
  <c r="M63" i="108"/>
  <c r="N63" i="108"/>
  <c r="D64" i="108"/>
  <c r="E64" i="108"/>
  <c r="F64" i="108"/>
  <c r="G64" i="108"/>
  <c r="H64" i="108"/>
  <c r="I64" i="108"/>
  <c r="J64" i="108"/>
  <c r="K64" i="108"/>
  <c r="L64" i="108"/>
  <c r="M64" i="108"/>
  <c r="N64" i="108"/>
  <c r="D65" i="108"/>
  <c r="E65" i="108"/>
  <c r="F65" i="108"/>
  <c r="G65" i="108"/>
  <c r="H65" i="108"/>
  <c r="I65" i="108"/>
  <c r="J65" i="108"/>
  <c r="K65" i="108"/>
  <c r="L65" i="108"/>
  <c r="M65" i="108"/>
  <c r="N65" i="108"/>
  <c r="D66" i="108"/>
  <c r="E66" i="108"/>
  <c r="F66" i="108"/>
  <c r="G66" i="108"/>
  <c r="H66" i="108"/>
  <c r="I66" i="108"/>
  <c r="J66" i="108"/>
  <c r="K66" i="108"/>
  <c r="L66" i="108"/>
  <c r="M66" i="108"/>
  <c r="N66" i="108"/>
  <c r="D67" i="108"/>
  <c r="E67" i="108"/>
  <c r="F67" i="108"/>
  <c r="G67" i="108"/>
  <c r="H67" i="108"/>
  <c r="I67" i="108"/>
  <c r="J67" i="108"/>
  <c r="K67" i="108"/>
  <c r="L67" i="108"/>
  <c r="M67" i="108"/>
  <c r="N67" i="108"/>
  <c r="D68" i="108"/>
  <c r="E68" i="108"/>
  <c r="F68" i="108"/>
  <c r="G68" i="108"/>
  <c r="H68" i="108"/>
  <c r="I68" i="108"/>
  <c r="J68" i="108"/>
  <c r="K68" i="108"/>
  <c r="L68" i="108"/>
  <c r="M68" i="108"/>
  <c r="N68" i="108"/>
  <c r="D69" i="108"/>
  <c r="E69" i="108"/>
  <c r="F69" i="108"/>
  <c r="G69" i="108"/>
  <c r="H69" i="108"/>
  <c r="I69" i="108"/>
  <c r="J69" i="108"/>
  <c r="K69" i="108"/>
  <c r="L69" i="108"/>
  <c r="M69" i="108"/>
  <c r="N69" i="108"/>
  <c r="D70" i="108"/>
  <c r="E70" i="108"/>
  <c r="F70" i="108"/>
  <c r="G70" i="108"/>
  <c r="H70" i="108"/>
  <c r="I70" i="108"/>
  <c r="J70" i="108"/>
  <c r="K70" i="108"/>
  <c r="L70" i="108"/>
  <c r="M70" i="108"/>
  <c r="N70" i="108"/>
  <c r="D71" i="108"/>
  <c r="E71" i="108"/>
  <c r="F71" i="108"/>
  <c r="G71" i="108"/>
  <c r="H71" i="108"/>
  <c r="I71" i="108"/>
  <c r="J71" i="108"/>
  <c r="K71" i="108"/>
  <c r="L71" i="108"/>
  <c r="M71" i="108"/>
  <c r="N71" i="108"/>
  <c r="D72" i="108"/>
  <c r="E72" i="108"/>
  <c r="F72" i="108"/>
  <c r="G72" i="108"/>
  <c r="H72" i="108"/>
  <c r="I72" i="108"/>
  <c r="J72" i="108"/>
  <c r="K72" i="108"/>
  <c r="L72" i="108"/>
  <c r="M72" i="108"/>
  <c r="N72" i="108"/>
  <c r="D73" i="108"/>
  <c r="E73" i="108"/>
  <c r="F73" i="108"/>
  <c r="G73" i="108"/>
  <c r="H73" i="108"/>
  <c r="I73" i="108"/>
  <c r="J73" i="108"/>
  <c r="K73" i="108"/>
  <c r="L73" i="108"/>
  <c r="M73" i="108"/>
  <c r="N73" i="108"/>
  <c r="D74" i="108"/>
  <c r="E74" i="108"/>
  <c r="F74" i="108"/>
  <c r="G74" i="108"/>
  <c r="H74" i="108"/>
  <c r="I74" i="108"/>
  <c r="J74" i="108"/>
  <c r="K74" i="108"/>
  <c r="L74" i="108"/>
  <c r="M74" i="108"/>
  <c r="N74" i="108"/>
  <c r="D75" i="108"/>
  <c r="E75" i="108"/>
  <c r="F75" i="108"/>
  <c r="G75" i="108"/>
  <c r="H75" i="108"/>
  <c r="I75" i="108"/>
  <c r="J75" i="108"/>
  <c r="K75" i="108"/>
  <c r="L75" i="108"/>
  <c r="M75" i="108"/>
  <c r="N75" i="108"/>
  <c r="D76" i="108"/>
  <c r="E76" i="108"/>
  <c r="F76" i="108"/>
  <c r="G76" i="108"/>
  <c r="H76" i="108"/>
  <c r="I76" i="108"/>
  <c r="J76" i="108"/>
  <c r="K76" i="108"/>
  <c r="L76" i="108"/>
  <c r="M76" i="108"/>
  <c r="N76" i="108"/>
  <c r="D77" i="108"/>
  <c r="E77" i="108"/>
  <c r="F77" i="108"/>
  <c r="G77" i="108"/>
  <c r="H77" i="108"/>
  <c r="I77" i="108"/>
  <c r="J77" i="108"/>
  <c r="K77" i="108"/>
  <c r="L77" i="108"/>
  <c r="M77" i="108"/>
  <c r="N77" i="108"/>
  <c r="D78" i="108"/>
  <c r="E78" i="108"/>
  <c r="F78" i="108"/>
  <c r="G78" i="108"/>
  <c r="H78" i="108"/>
  <c r="I78" i="108"/>
  <c r="J78" i="108"/>
  <c r="K78" i="108"/>
  <c r="L78" i="108"/>
  <c r="M78" i="108"/>
  <c r="N78" i="108"/>
  <c r="D79" i="108"/>
  <c r="E79" i="108"/>
  <c r="F79" i="108"/>
  <c r="G79" i="108"/>
  <c r="H79" i="108"/>
  <c r="I79" i="108"/>
  <c r="J79" i="108"/>
  <c r="K79" i="108"/>
  <c r="L79" i="108"/>
  <c r="M79" i="108"/>
  <c r="N79" i="108"/>
  <c r="D80" i="108"/>
  <c r="E80" i="108"/>
  <c r="F80" i="108"/>
  <c r="G80" i="108"/>
  <c r="H80" i="108"/>
  <c r="I80" i="108"/>
  <c r="J80" i="108"/>
  <c r="K80" i="108"/>
  <c r="L80" i="108"/>
  <c r="M80" i="108"/>
  <c r="N80" i="108"/>
  <c r="D81" i="108"/>
  <c r="E81" i="108"/>
  <c r="F81" i="108"/>
  <c r="G81" i="108"/>
  <c r="H81" i="108"/>
  <c r="I81" i="108"/>
  <c r="J81" i="108"/>
  <c r="K81" i="108"/>
  <c r="L81" i="108"/>
  <c r="M81" i="108"/>
  <c r="N81" i="108"/>
  <c r="D82" i="108"/>
  <c r="E82" i="108"/>
  <c r="F82" i="108"/>
  <c r="G82" i="108"/>
  <c r="H82" i="108"/>
  <c r="I82" i="108"/>
  <c r="J82" i="108"/>
  <c r="K82" i="108"/>
  <c r="L82" i="108"/>
  <c r="M82" i="108"/>
  <c r="N82" i="108"/>
  <c r="D83" i="108"/>
  <c r="E83" i="108"/>
  <c r="F83" i="108"/>
  <c r="G83" i="108"/>
  <c r="H83" i="108"/>
  <c r="I83" i="108"/>
  <c r="J83" i="108"/>
  <c r="K83" i="108"/>
  <c r="L83" i="108"/>
  <c r="M83" i="108"/>
  <c r="N83" i="108"/>
  <c r="D84" i="108"/>
  <c r="E84" i="108"/>
  <c r="F84" i="108"/>
  <c r="G84" i="108"/>
  <c r="H84" i="108"/>
  <c r="I84" i="108"/>
  <c r="J84" i="108"/>
  <c r="K84" i="108"/>
  <c r="L84" i="108"/>
  <c r="M84" i="108"/>
  <c r="N84" i="108"/>
  <c r="D85" i="108"/>
  <c r="E85" i="108"/>
  <c r="F85" i="108"/>
  <c r="G85" i="108"/>
  <c r="H85" i="108"/>
  <c r="I85" i="108"/>
  <c r="J85" i="108"/>
  <c r="K85" i="108"/>
  <c r="L85" i="108"/>
  <c r="M85" i="108"/>
  <c r="N85" i="108"/>
  <c r="D86" i="108"/>
  <c r="E86" i="108"/>
  <c r="F86" i="108"/>
  <c r="G86" i="108"/>
  <c r="H86" i="108"/>
  <c r="I86" i="108"/>
  <c r="J86" i="108"/>
  <c r="Z29" i="108" s="1"/>
  <c r="K86" i="108"/>
  <c r="L86" i="108"/>
  <c r="M86" i="108"/>
  <c r="N86" i="108"/>
  <c r="D87" i="108"/>
  <c r="E87" i="108"/>
  <c r="F87" i="108"/>
  <c r="G87" i="108"/>
  <c r="H87" i="108"/>
  <c r="I87" i="108"/>
  <c r="J87" i="108"/>
  <c r="K87" i="108"/>
  <c r="L87" i="108"/>
  <c r="M87" i="108"/>
  <c r="N87" i="108"/>
  <c r="D88" i="108"/>
  <c r="E88" i="108"/>
  <c r="F88" i="108"/>
  <c r="G88" i="108"/>
  <c r="H88" i="108"/>
  <c r="I88" i="108"/>
  <c r="J88" i="108"/>
  <c r="K88" i="108"/>
  <c r="L88" i="108"/>
  <c r="M88" i="108"/>
  <c r="N88" i="108"/>
  <c r="D89" i="108"/>
  <c r="E89" i="108"/>
  <c r="F89" i="108"/>
  <c r="G89" i="108"/>
  <c r="H89" i="108"/>
  <c r="I89" i="108"/>
  <c r="J89" i="108"/>
  <c r="K89" i="108"/>
  <c r="L89" i="108"/>
  <c r="M89" i="108"/>
  <c r="N89" i="108"/>
  <c r="D90" i="108"/>
  <c r="E90" i="108"/>
  <c r="F90" i="108"/>
  <c r="G90" i="108"/>
  <c r="H90" i="108"/>
  <c r="I90" i="108"/>
  <c r="J90" i="108"/>
  <c r="K90" i="108"/>
  <c r="L90" i="108"/>
  <c r="M90" i="108"/>
  <c r="N90" i="108"/>
  <c r="D91" i="108"/>
  <c r="E91" i="108"/>
  <c r="F91" i="108"/>
  <c r="G91" i="108"/>
  <c r="H91" i="108"/>
  <c r="I91" i="108"/>
  <c r="J91" i="108"/>
  <c r="K91" i="108"/>
  <c r="L91" i="108"/>
  <c r="M91" i="108"/>
  <c r="N91" i="108"/>
  <c r="D92" i="108"/>
  <c r="E92" i="108"/>
  <c r="F92" i="108"/>
  <c r="G92" i="108"/>
  <c r="H92" i="108"/>
  <c r="I92" i="108"/>
  <c r="J92" i="108"/>
  <c r="K92" i="108"/>
  <c r="L92" i="108"/>
  <c r="M92" i="108"/>
  <c r="N92" i="108"/>
  <c r="D93" i="108"/>
  <c r="E93" i="108"/>
  <c r="F93" i="108"/>
  <c r="G93" i="108"/>
  <c r="H93" i="108"/>
  <c r="I93" i="108"/>
  <c r="J93" i="108"/>
  <c r="K93" i="108"/>
  <c r="L93" i="108"/>
  <c r="M93" i="108"/>
  <c r="N93" i="108"/>
  <c r="D94" i="108"/>
  <c r="E94" i="108"/>
  <c r="F94" i="108"/>
  <c r="G94" i="108"/>
  <c r="H94" i="108"/>
  <c r="I94" i="108"/>
  <c r="J94" i="108"/>
  <c r="K94" i="108"/>
  <c r="L94" i="108"/>
  <c r="M94" i="108"/>
  <c r="N94" i="108"/>
  <c r="D95" i="108"/>
  <c r="E95" i="108"/>
  <c r="F95" i="108"/>
  <c r="G95" i="108"/>
  <c r="H95" i="108"/>
  <c r="I95" i="108"/>
  <c r="J95" i="108"/>
  <c r="K95" i="108"/>
  <c r="L95" i="108"/>
  <c r="M95" i="108"/>
  <c r="N95" i="108"/>
  <c r="D96" i="108"/>
  <c r="E96" i="108"/>
  <c r="F96" i="108"/>
  <c r="G96" i="108"/>
  <c r="H96" i="108"/>
  <c r="I96" i="108"/>
  <c r="J96" i="108"/>
  <c r="K96" i="108"/>
  <c r="L96" i="108"/>
  <c r="M96" i="108"/>
  <c r="N96" i="108"/>
  <c r="D97" i="108"/>
  <c r="E97" i="108"/>
  <c r="F97" i="108"/>
  <c r="G97" i="108"/>
  <c r="H97" i="108"/>
  <c r="I97" i="108"/>
  <c r="J97" i="108"/>
  <c r="K97" i="108"/>
  <c r="L97" i="108"/>
  <c r="M97" i="108"/>
  <c r="N97" i="108"/>
  <c r="D98" i="108"/>
  <c r="E98" i="108"/>
  <c r="F98" i="108"/>
  <c r="G98" i="108"/>
  <c r="H98" i="108"/>
  <c r="I98" i="108"/>
  <c r="J98" i="108"/>
  <c r="K98" i="108"/>
  <c r="L98" i="108"/>
  <c r="M98" i="108"/>
  <c r="N98" i="108"/>
  <c r="D99" i="108"/>
  <c r="E99" i="108"/>
  <c r="F99" i="108"/>
  <c r="G99" i="108"/>
  <c r="H99" i="108"/>
  <c r="I99" i="108"/>
  <c r="J99" i="108"/>
  <c r="K99" i="108"/>
  <c r="L99" i="108"/>
  <c r="M99" i="108"/>
  <c r="N99" i="108"/>
  <c r="D100" i="108"/>
  <c r="E100" i="108"/>
  <c r="F100" i="108"/>
  <c r="G100" i="108"/>
  <c r="H100" i="108"/>
  <c r="I100" i="108"/>
  <c r="J100" i="108"/>
  <c r="K100" i="108"/>
  <c r="L100" i="108"/>
  <c r="M100" i="108"/>
  <c r="N100" i="108"/>
  <c r="D101" i="108"/>
  <c r="E101" i="108"/>
  <c r="F101" i="108"/>
  <c r="G101" i="108"/>
  <c r="H101" i="108"/>
  <c r="I101" i="108"/>
  <c r="J101" i="108"/>
  <c r="K101" i="108"/>
  <c r="L101" i="108"/>
  <c r="M101" i="108"/>
  <c r="N101" i="108"/>
  <c r="D102" i="108"/>
  <c r="E102" i="108"/>
  <c r="F102" i="108"/>
  <c r="G102" i="108"/>
  <c r="H102" i="108"/>
  <c r="I102" i="108"/>
  <c r="J102" i="108"/>
  <c r="K102" i="108"/>
  <c r="L102" i="108"/>
  <c r="M102" i="108"/>
  <c r="N102" i="108"/>
  <c r="D103" i="108"/>
  <c r="E103" i="108"/>
  <c r="F103" i="108"/>
  <c r="G103" i="108"/>
  <c r="H103" i="108"/>
  <c r="I103" i="108"/>
  <c r="J103" i="108"/>
  <c r="K103" i="108"/>
  <c r="L103" i="108"/>
  <c r="M103" i="108"/>
  <c r="N103" i="108"/>
  <c r="D104" i="108"/>
  <c r="E104" i="108"/>
  <c r="F104" i="108"/>
  <c r="G104" i="108"/>
  <c r="H104" i="108"/>
  <c r="I104" i="108"/>
  <c r="J104" i="108"/>
  <c r="K104" i="108"/>
  <c r="L104" i="108"/>
  <c r="M104" i="108"/>
  <c r="N104" i="108"/>
  <c r="D105" i="108"/>
  <c r="E105" i="108"/>
  <c r="F105" i="108"/>
  <c r="G105" i="108"/>
  <c r="H105" i="108"/>
  <c r="I105" i="108"/>
  <c r="J105" i="108"/>
  <c r="K105" i="108"/>
  <c r="L105" i="108"/>
  <c r="M105" i="108"/>
  <c r="N105" i="108"/>
  <c r="C59" i="108"/>
  <c r="C60" i="108"/>
  <c r="C61" i="108"/>
  <c r="C62" i="108"/>
  <c r="C63" i="108"/>
  <c r="C64" i="108"/>
  <c r="C65" i="108"/>
  <c r="C66" i="108"/>
  <c r="C67" i="108"/>
  <c r="C68" i="108"/>
  <c r="C69" i="108"/>
  <c r="C70" i="108"/>
  <c r="C71" i="108"/>
  <c r="C72" i="108"/>
  <c r="C73" i="108"/>
  <c r="C74" i="108"/>
  <c r="C75" i="108"/>
  <c r="C76" i="108"/>
  <c r="C77" i="108"/>
  <c r="C78" i="108"/>
  <c r="C79" i="108"/>
  <c r="C80" i="108"/>
  <c r="C81" i="108"/>
  <c r="C82" i="108"/>
  <c r="C83" i="108"/>
  <c r="C84" i="108"/>
  <c r="C85" i="108"/>
  <c r="C86" i="108"/>
  <c r="C87" i="108"/>
  <c r="C88" i="108"/>
  <c r="C89" i="108"/>
  <c r="C90" i="108"/>
  <c r="C91" i="108"/>
  <c r="C92" i="108"/>
  <c r="C93" i="108"/>
  <c r="C94" i="108"/>
  <c r="C95" i="108"/>
  <c r="C96" i="108"/>
  <c r="C97" i="108"/>
  <c r="C98" i="108"/>
  <c r="C99" i="108"/>
  <c r="C100" i="108"/>
  <c r="C101" i="108"/>
  <c r="C102" i="108"/>
  <c r="C103" i="108"/>
  <c r="C104" i="108"/>
  <c r="C105" i="108"/>
  <c r="D58" i="107"/>
  <c r="E58" i="107"/>
  <c r="F58" i="107"/>
  <c r="F58" i="111" s="1"/>
  <c r="G58" i="107"/>
  <c r="G58" i="111" s="1"/>
  <c r="H58" i="107"/>
  <c r="I58" i="107"/>
  <c r="J58" i="107"/>
  <c r="K58" i="107"/>
  <c r="L58" i="107"/>
  <c r="M58" i="107"/>
  <c r="M58" i="111" s="1"/>
  <c r="N58" i="107"/>
  <c r="D59" i="107"/>
  <c r="E59" i="107"/>
  <c r="F59" i="107"/>
  <c r="F59" i="111" s="1"/>
  <c r="G59" i="107"/>
  <c r="H59" i="107"/>
  <c r="H59" i="111" s="1"/>
  <c r="I59" i="107"/>
  <c r="I59" i="111" s="1"/>
  <c r="J59" i="107"/>
  <c r="J59" i="111" s="1"/>
  <c r="K59" i="107"/>
  <c r="K59" i="111" s="1"/>
  <c r="L59" i="107"/>
  <c r="L59" i="111" s="1"/>
  <c r="M59" i="107"/>
  <c r="N59" i="107"/>
  <c r="N59" i="111" s="1"/>
  <c r="D60" i="107"/>
  <c r="E60" i="107"/>
  <c r="F60" i="107"/>
  <c r="F60" i="111" s="1"/>
  <c r="G60" i="107"/>
  <c r="G60" i="111" s="1"/>
  <c r="H60" i="107"/>
  <c r="H60" i="111" s="1"/>
  <c r="I60" i="107"/>
  <c r="I60" i="111" s="1"/>
  <c r="J60" i="107"/>
  <c r="K60" i="107"/>
  <c r="K60" i="111" s="1"/>
  <c r="L60" i="107"/>
  <c r="M60" i="107"/>
  <c r="M60" i="111" s="1"/>
  <c r="N60" i="107"/>
  <c r="N60" i="111" s="1"/>
  <c r="D61" i="107"/>
  <c r="E61" i="107"/>
  <c r="F61" i="107"/>
  <c r="F61" i="111" s="1"/>
  <c r="G61" i="107"/>
  <c r="H61" i="107"/>
  <c r="H61" i="111" s="1"/>
  <c r="I61" i="107"/>
  <c r="J61" i="107"/>
  <c r="J61" i="111" s="1"/>
  <c r="K61" i="107"/>
  <c r="K61" i="111" s="1"/>
  <c r="L61" i="107"/>
  <c r="L61" i="111" s="1"/>
  <c r="M61" i="107"/>
  <c r="M61" i="111" s="1"/>
  <c r="N61" i="107"/>
  <c r="N61" i="111" s="1"/>
  <c r="D62" i="107"/>
  <c r="E62" i="107"/>
  <c r="F62" i="107"/>
  <c r="G62" i="107"/>
  <c r="H62" i="107"/>
  <c r="H62" i="111" s="1"/>
  <c r="I62" i="107"/>
  <c r="I62" i="111" s="1"/>
  <c r="J62" i="107"/>
  <c r="K62" i="107"/>
  <c r="L62" i="107"/>
  <c r="M62" i="107"/>
  <c r="N62" i="107"/>
  <c r="D63" i="107"/>
  <c r="E63" i="107"/>
  <c r="F63" i="107"/>
  <c r="F63" i="111" s="1"/>
  <c r="G63" i="107"/>
  <c r="G63" i="111" s="1"/>
  <c r="H63" i="107"/>
  <c r="H63" i="111" s="1"/>
  <c r="I63" i="107"/>
  <c r="J63" i="107"/>
  <c r="J63" i="111" s="1"/>
  <c r="K63" i="107"/>
  <c r="L63" i="107"/>
  <c r="L63" i="111" s="1"/>
  <c r="M63" i="107"/>
  <c r="M63" i="111" s="1"/>
  <c r="N63" i="107"/>
  <c r="N63" i="111" s="1"/>
  <c r="D64" i="107"/>
  <c r="E64" i="107"/>
  <c r="F64" i="107"/>
  <c r="G64" i="107"/>
  <c r="G64" i="111" s="1"/>
  <c r="H64" i="107"/>
  <c r="I64" i="107"/>
  <c r="I64" i="111" s="1"/>
  <c r="J64" i="107"/>
  <c r="J64" i="111" s="1"/>
  <c r="K64" i="107"/>
  <c r="K64" i="111" s="1"/>
  <c r="L64" i="107"/>
  <c r="L64" i="111" s="1"/>
  <c r="M64" i="107"/>
  <c r="M64" i="111" s="1"/>
  <c r="N64" i="107"/>
  <c r="D65" i="107"/>
  <c r="E65" i="107"/>
  <c r="F65" i="107"/>
  <c r="F65" i="111" s="1"/>
  <c r="G65" i="107"/>
  <c r="G65" i="111" s="1"/>
  <c r="H65" i="107"/>
  <c r="H65" i="111" s="1"/>
  <c r="I65" i="107"/>
  <c r="I65" i="111" s="1"/>
  <c r="J65" i="107"/>
  <c r="J65" i="111" s="1"/>
  <c r="K65" i="107"/>
  <c r="L65" i="107"/>
  <c r="L65" i="111" s="1"/>
  <c r="M65" i="107"/>
  <c r="N65" i="107"/>
  <c r="N65" i="111" s="1"/>
  <c r="D66" i="107"/>
  <c r="E66" i="107"/>
  <c r="F66" i="107"/>
  <c r="G66" i="107"/>
  <c r="H66" i="107"/>
  <c r="I66" i="107"/>
  <c r="J66" i="107"/>
  <c r="K66" i="107"/>
  <c r="L66" i="107"/>
  <c r="M66" i="107"/>
  <c r="M66" i="111" s="1"/>
  <c r="N66" i="107"/>
  <c r="D67" i="107"/>
  <c r="E67" i="107"/>
  <c r="F67" i="107"/>
  <c r="F67" i="111" s="1"/>
  <c r="G67" i="107"/>
  <c r="H67" i="107"/>
  <c r="H67" i="111" s="1"/>
  <c r="I67" i="107"/>
  <c r="I67" i="111" s="1"/>
  <c r="J67" i="107"/>
  <c r="J67" i="111" s="1"/>
  <c r="K67" i="107"/>
  <c r="K67" i="111" s="1"/>
  <c r="L67" i="107"/>
  <c r="L67" i="111" s="1"/>
  <c r="M67" i="107"/>
  <c r="N67" i="107"/>
  <c r="N67" i="111" s="1"/>
  <c r="D68" i="107"/>
  <c r="E68" i="107"/>
  <c r="F68" i="107"/>
  <c r="F68" i="111" s="1"/>
  <c r="G68" i="107"/>
  <c r="H68" i="107"/>
  <c r="H68" i="111" s="1"/>
  <c r="I68" i="107"/>
  <c r="I68" i="111" s="1"/>
  <c r="J68" i="107"/>
  <c r="K68" i="107"/>
  <c r="K68" i="111" s="1"/>
  <c r="L68" i="107"/>
  <c r="M68" i="107"/>
  <c r="M68" i="111" s="1"/>
  <c r="N68" i="107"/>
  <c r="N68" i="111" s="1"/>
  <c r="D69" i="107"/>
  <c r="E69" i="107"/>
  <c r="F69" i="107"/>
  <c r="F69" i="111" s="1"/>
  <c r="G69" i="107"/>
  <c r="H69" i="107"/>
  <c r="H69" i="111" s="1"/>
  <c r="I69" i="107"/>
  <c r="J69" i="107"/>
  <c r="J69" i="111" s="1"/>
  <c r="K69" i="107"/>
  <c r="K69" i="111" s="1"/>
  <c r="L69" i="107"/>
  <c r="L69" i="111" s="1"/>
  <c r="M69" i="107"/>
  <c r="M69" i="111" s="1"/>
  <c r="N69" i="107"/>
  <c r="N69" i="111" s="1"/>
  <c r="D70" i="107"/>
  <c r="E70" i="107"/>
  <c r="F70" i="107"/>
  <c r="G70" i="107"/>
  <c r="H70" i="107"/>
  <c r="I70" i="107"/>
  <c r="I70" i="111" s="1"/>
  <c r="J70" i="107"/>
  <c r="K70" i="107"/>
  <c r="L70" i="107"/>
  <c r="M70" i="107"/>
  <c r="N70" i="107"/>
  <c r="D71" i="107"/>
  <c r="E71" i="107"/>
  <c r="F71" i="107"/>
  <c r="F71" i="111" s="1"/>
  <c r="G71" i="107"/>
  <c r="G71" i="111" s="1"/>
  <c r="H71" i="107"/>
  <c r="H71" i="111" s="1"/>
  <c r="I71" i="107"/>
  <c r="J71" i="107"/>
  <c r="J71" i="111" s="1"/>
  <c r="K71" i="107"/>
  <c r="L71" i="107"/>
  <c r="L71" i="111" s="1"/>
  <c r="M71" i="107"/>
  <c r="M71" i="111" s="1"/>
  <c r="N71" i="107"/>
  <c r="N71" i="111" s="1"/>
  <c r="D72" i="107"/>
  <c r="E72" i="107"/>
  <c r="F72" i="107"/>
  <c r="G72" i="107"/>
  <c r="G72" i="111" s="1"/>
  <c r="H72" i="107"/>
  <c r="I72" i="107"/>
  <c r="I72" i="111" s="1"/>
  <c r="J72" i="107"/>
  <c r="J72" i="111" s="1"/>
  <c r="K72" i="107"/>
  <c r="K72" i="111" s="1"/>
  <c r="L72" i="107"/>
  <c r="L72" i="111" s="1"/>
  <c r="M72" i="107"/>
  <c r="M72" i="111" s="1"/>
  <c r="N72" i="107"/>
  <c r="D73" i="107"/>
  <c r="E73" i="107"/>
  <c r="F73" i="107"/>
  <c r="F73" i="111" s="1"/>
  <c r="G73" i="107"/>
  <c r="G73" i="111" s="1"/>
  <c r="H73" i="107"/>
  <c r="H73" i="111" s="1"/>
  <c r="I73" i="107"/>
  <c r="I73" i="111" s="1"/>
  <c r="J73" i="107"/>
  <c r="J73" i="111" s="1"/>
  <c r="K73" i="107"/>
  <c r="L73" i="107"/>
  <c r="L73" i="111" s="1"/>
  <c r="M73" i="107"/>
  <c r="N73" i="107"/>
  <c r="N73" i="111" s="1"/>
  <c r="D74" i="107"/>
  <c r="E74" i="107"/>
  <c r="F74" i="107"/>
  <c r="G74" i="107"/>
  <c r="H74" i="107"/>
  <c r="I74" i="107"/>
  <c r="J74" i="107"/>
  <c r="K74" i="107"/>
  <c r="L74" i="107"/>
  <c r="M74" i="107"/>
  <c r="M74" i="111" s="1"/>
  <c r="N74" i="107"/>
  <c r="D75" i="107"/>
  <c r="E75" i="107"/>
  <c r="F75" i="107"/>
  <c r="F75" i="111" s="1"/>
  <c r="G75" i="107"/>
  <c r="H75" i="107"/>
  <c r="H75" i="111" s="1"/>
  <c r="I75" i="107"/>
  <c r="I75" i="111" s="1"/>
  <c r="J75" i="107"/>
  <c r="J75" i="111" s="1"/>
  <c r="K75" i="107"/>
  <c r="K75" i="111" s="1"/>
  <c r="L75" i="107"/>
  <c r="L75" i="111" s="1"/>
  <c r="M75" i="107"/>
  <c r="N75" i="107"/>
  <c r="N75" i="111" s="1"/>
  <c r="D76" i="107"/>
  <c r="E76" i="107"/>
  <c r="F76" i="107"/>
  <c r="F76" i="111" s="1"/>
  <c r="G76" i="107"/>
  <c r="G76" i="111" s="1"/>
  <c r="H76" i="107"/>
  <c r="H76" i="111" s="1"/>
  <c r="I76" i="107"/>
  <c r="I76" i="111" s="1"/>
  <c r="J76" i="107"/>
  <c r="K76" i="107"/>
  <c r="K76" i="111" s="1"/>
  <c r="L76" i="107"/>
  <c r="M76" i="107"/>
  <c r="M76" i="111" s="1"/>
  <c r="N76" i="107"/>
  <c r="N76" i="111" s="1"/>
  <c r="D77" i="107"/>
  <c r="E77" i="107"/>
  <c r="F77" i="107"/>
  <c r="F77" i="111" s="1"/>
  <c r="G77" i="107"/>
  <c r="H77" i="107"/>
  <c r="H77" i="111" s="1"/>
  <c r="I77" i="107"/>
  <c r="J77" i="107"/>
  <c r="J77" i="111" s="1"/>
  <c r="K77" i="107"/>
  <c r="K77" i="111" s="1"/>
  <c r="L77" i="107"/>
  <c r="L77" i="111" s="1"/>
  <c r="M77" i="107"/>
  <c r="M77" i="111" s="1"/>
  <c r="N77" i="107"/>
  <c r="N77" i="111" s="1"/>
  <c r="D78" i="107"/>
  <c r="E78" i="107"/>
  <c r="F78" i="107"/>
  <c r="G78" i="107"/>
  <c r="H78" i="107"/>
  <c r="I78" i="107"/>
  <c r="I78" i="111" s="1"/>
  <c r="J78" i="107"/>
  <c r="K78" i="107"/>
  <c r="L78" i="107"/>
  <c r="M78" i="107"/>
  <c r="N78" i="107"/>
  <c r="D79" i="107"/>
  <c r="E79" i="107"/>
  <c r="F79" i="107"/>
  <c r="F79" i="111" s="1"/>
  <c r="G79" i="107"/>
  <c r="G79" i="111" s="1"/>
  <c r="H79" i="107"/>
  <c r="H79" i="111" s="1"/>
  <c r="I79" i="107"/>
  <c r="J79" i="107"/>
  <c r="J79" i="111" s="1"/>
  <c r="K79" i="107"/>
  <c r="L79" i="107"/>
  <c r="L79" i="111" s="1"/>
  <c r="M79" i="107"/>
  <c r="M79" i="111" s="1"/>
  <c r="N79" i="107"/>
  <c r="N79" i="111" s="1"/>
  <c r="D80" i="107"/>
  <c r="E80" i="107"/>
  <c r="F80" i="107"/>
  <c r="G80" i="107"/>
  <c r="G80" i="111" s="1"/>
  <c r="H80" i="107"/>
  <c r="I80" i="107"/>
  <c r="I80" i="111" s="1"/>
  <c r="J80" i="107"/>
  <c r="J80" i="111" s="1"/>
  <c r="K80" i="107"/>
  <c r="K80" i="111" s="1"/>
  <c r="L80" i="107"/>
  <c r="L80" i="111" s="1"/>
  <c r="M80" i="107"/>
  <c r="M80" i="111" s="1"/>
  <c r="N80" i="107"/>
  <c r="D81" i="107"/>
  <c r="E81" i="107"/>
  <c r="F81" i="107"/>
  <c r="F81" i="111" s="1"/>
  <c r="G81" i="107"/>
  <c r="G81" i="111" s="1"/>
  <c r="H81" i="107"/>
  <c r="H81" i="111" s="1"/>
  <c r="I81" i="107"/>
  <c r="I81" i="111" s="1"/>
  <c r="J81" i="107"/>
  <c r="J81" i="111" s="1"/>
  <c r="K81" i="107"/>
  <c r="L81" i="107"/>
  <c r="L81" i="111" s="1"/>
  <c r="M81" i="107"/>
  <c r="N81" i="107"/>
  <c r="N81" i="111" s="1"/>
  <c r="D82" i="107"/>
  <c r="E82" i="107"/>
  <c r="F82" i="107"/>
  <c r="G82" i="107"/>
  <c r="H82" i="107"/>
  <c r="I82" i="107"/>
  <c r="J82" i="107"/>
  <c r="K82" i="107"/>
  <c r="L82" i="107"/>
  <c r="L82" i="111" s="1"/>
  <c r="M82" i="107"/>
  <c r="M82" i="111" s="1"/>
  <c r="N82" i="107"/>
  <c r="D83" i="107"/>
  <c r="E83" i="107"/>
  <c r="F83" i="107"/>
  <c r="F83" i="111" s="1"/>
  <c r="G83" i="107"/>
  <c r="H83" i="107"/>
  <c r="H83" i="111" s="1"/>
  <c r="I83" i="107"/>
  <c r="I83" i="111" s="1"/>
  <c r="J83" i="107"/>
  <c r="J83" i="111" s="1"/>
  <c r="K83" i="107"/>
  <c r="K83" i="111" s="1"/>
  <c r="L83" i="107"/>
  <c r="L83" i="111" s="1"/>
  <c r="M83" i="107"/>
  <c r="N83" i="107"/>
  <c r="N83" i="111" s="1"/>
  <c r="D84" i="107"/>
  <c r="E84" i="107"/>
  <c r="F84" i="107"/>
  <c r="F84" i="111" s="1"/>
  <c r="G84" i="107"/>
  <c r="G84" i="111" s="1"/>
  <c r="H84" i="107"/>
  <c r="H84" i="111" s="1"/>
  <c r="I84" i="107"/>
  <c r="I84" i="111" s="1"/>
  <c r="J84" i="107"/>
  <c r="K84" i="107"/>
  <c r="K84" i="111" s="1"/>
  <c r="L84" i="107"/>
  <c r="M84" i="107"/>
  <c r="M84" i="111" s="1"/>
  <c r="N84" i="107"/>
  <c r="N84" i="111" s="1"/>
  <c r="D85" i="107"/>
  <c r="E85" i="107"/>
  <c r="F85" i="107"/>
  <c r="F85" i="111" s="1"/>
  <c r="G85" i="107"/>
  <c r="H85" i="107"/>
  <c r="H85" i="111" s="1"/>
  <c r="I85" i="107"/>
  <c r="J85" i="107"/>
  <c r="J85" i="111" s="1"/>
  <c r="K85" i="107"/>
  <c r="K85" i="111" s="1"/>
  <c r="L85" i="107"/>
  <c r="L85" i="111" s="1"/>
  <c r="M85" i="107"/>
  <c r="M85" i="111" s="1"/>
  <c r="N85" i="107"/>
  <c r="N85" i="111" s="1"/>
  <c r="D86" i="107"/>
  <c r="E86" i="107"/>
  <c r="F86" i="107"/>
  <c r="G86" i="107"/>
  <c r="H86" i="107"/>
  <c r="I86" i="107"/>
  <c r="J86" i="107"/>
  <c r="K86" i="107"/>
  <c r="L86" i="107"/>
  <c r="M86" i="107"/>
  <c r="N86" i="107"/>
  <c r="D87" i="107"/>
  <c r="E87" i="107"/>
  <c r="F87" i="107"/>
  <c r="F87" i="111" s="1"/>
  <c r="G87" i="107"/>
  <c r="G87" i="111" s="1"/>
  <c r="H87" i="107"/>
  <c r="H87" i="111" s="1"/>
  <c r="I87" i="107"/>
  <c r="J87" i="107"/>
  <c r="J87" i="111" s="1"/>
  <c r="K87" i="107"/>
  <c r="L87" i="107"/>
  <c r="L87" i="111" s="1"/>
  <c r="M87" i="107"/>
  <c r="M87" i="111" s="1"/>
  <c r="N87" i="107"/>
  <c r="N87" i="111" s="1"/>
  <c r="D88" i="107"/>
  <c r="E88" i="107"/>
  <c r="F88" i="107"/>
  <c r="G88" i="107"/>
  <c r="G88" i="111" s="1"/>
  <c r="H88" i="107"/>
  <c r="H88" i="111" s="1"/>
  <c r="I88" i="107"/>
  <c r="I88" i="111" s="1"/>
  <c r="J88" i="107"/>
  <c r="J88" i="111" s="1"/>
  <c r="K88" i="107"/>
  <c r="K88" i="111" s="1"/>
  <c r="L88" i="107"/>
  <c r="L88" i="111" s="1"/>
  <c r="M88" i="107"/>
  <c r="M88" i="111" s="1"/>
  <c r="N88" i="107"/>
  <c r="D89" i="107"/>
  <c r="E89" i="107"/>
  <c r="F89" i="107"/>
  <c r="F89" i="111" s="1"/>
  <c r="G89" i="107"/>
  <c r="G89" i="111" s="1"/>
  <c r="H89" i="107"/>
  <c r="H89" i="111" s="1"/>
  <c r="I89" i="107"/>
  <c r="I89" i="111" s="1"/>
  <c r="J89" i="107"/>
  <c r="J89" i="111" s="1"/>
  <c r="K89" i="107"/>
  <c r="L89" i="107"/>
  <c r="L89" i="111" s="1"/>
  <c r="M89" i="107"/>
  <c r="M89" i="111" s="1"/>
  <c r="N89" i="107"/>
  <c r="N89" i="111" s="1"/>
  <c r="D90" i="107"/>
  <c r="E90" i="107"/>
  <c r="F90" i="107"/>
  <c r="G90" i="107"/>
  <c r="H90" i="107"/>
  <c r="I90" i="107"/>
  <c r="I90" i="111" s="1"/>
  <c r="Y30" i="111" s="1"/>
  <c r="J90" i="107"/>
  <c r="J90" i="111" s="1"/>
  <c r="K90" i="107"/>
  <c r="L90" i="107"/>
  <c r="M90" i="107"/>
  <c r="N90" i="107"/>
  <c r="D91" i="107"/>
  <c r="E91" i="107"/>
  <c r="F91" i="107"/>
  <c r="F91" i="111" s="1"/>
  <c r="G91" i="107"/>
  <c r="G91" i="111" s="1"/>
  <c r="H91" i="107"/>
  <c r="H91" i="111" s="1"/>
  <c r="I91" i="107"/>
  <c r="I91" i="111" s="1"/>
  <c r="J91" i="107"/>
  <c r="J91" i="111" s="1"/>
  <c r="K91" i="107"/>
  <c r="K91" i="111" s="1"/>
  <c r="L91" i="107"/>
  <c r="L91" i="111" s="1"/>
  <c r="M91" i="107"/>
  <c r="N91" i="107"/>
  <c r="N91" i="111" s="1"/>
  <c r="D92" i="107"/>
  <c r="E92" i="107"/>
  <c r="F92" i="107"/>
  <c r="F92" i="111" s="1"/>
  <c r="G92" i="107"/>
  <c r="G92" i="111" s="1"/>
  <c r="H92" i="107"/>
  <c r="H92" i="111" s="1"/>
  <c r="I92" i="107"/>
  <c r="I92" i="111" s="1"/>
  <c r="J92" i="107"/>
  <c r="K92" i="107"/>
  <c r="K92" i="111" s="1"/>
  <c r="L92" i="107"/>
  <c r="L92" i="111" s="1"/>
  <c r="M92" i="107"/>
  <c r="M92" i="111" s="1"/>
  <c r="N92" i="107"/>
  <c r="N92" i="111" s="1"/>
  <c r="D93" i="107"/>
  <c r="E93" i="107"/>
  <c r="F93" i="107"/>
  <c r="F93" i="111" s="1"/>
  <c r="G93" i="107"/>
  <c r="H93" i="107"/>
  <c r="H93" i="111" s="1"/>
  <c r="I93" i="107"/>
  <c r="I93" i="111" s="1"/>
  <c r="J93" i="107"/>
  <c r="J93" i="111" s="1"/>
  <c r="K93" i="107"/>
  <c r="K93" i="111" s="1"/>
  <c r="L93" i="107"/>
  <c r="L93" i="111" s="1"/>
  <c r="M93" i="107"/>
  <c r="M93" i="111" s="1"/>
  <c r="N93" i="107"/>
  <c r="N93" i="111" s="1"/>
  <c r="D94" i="107"/>
  <c r="E94" i="107"/>
  <c r="F94" i="107"/>
  <c r="F94" i="111" s="1"/>
  <c r="G94" i="107"/>
  <c r="H94" i="107"/>
  <c r="I94" i="107"/>
  <c r="J94" i="107"/>
  <c r="K94" i="107"/>
  <c r="L94" i="107"/>
  <c r="M94" i="107"/>
  <c r="N94" i="107"/>
  <c r="D95" i="107"/>
  <c r="E95" i="107"/>
  <c r="F95" i="107"/>
  <c r="F95" i="111" s="1"/>
  <c r="G95" i="107"/>
  <c r="G95" i="111" s="1"/>
  <c r="H95" i="107"/>
  <c r="H95" i="111" s="1"/>
  <c r="I95" i="107"/>
  <c r="J95" i="107"/>
  <c r="J95" i="111" s="1"/>
  <c r="K95" i="107"/>
  <c r="K95" i="111" s="1"/>
  <c r="L95" i="107"/>
  <c r="L95" i="111" s="1"/>
  <c r="M95" i="107"/>
  <c r="M95" i="111" s="1"/>
  <c r="N95" i="107"/>
  <c r="N95" i="111" s="1"/>
  <c r="D96" i="107"/>
  <c r="E96" i="107"/>
  <c r="F96" i="107"/>
  <c r="G96" i="107"/>
  <c r="G96" i="111" s="1"/>
  <c r="H96" i="107"/>
  <c r="H96" i="111" s="1"/>
  <c r="I96" i="107"/>
  <c r="I96" i="111" s="1"/>
  <c r="J96" i="107"/>
  <c r="J96" i="111" s="1"/>
  <c r="K96" i="107"/>
  <c r="K96" i="111" s="1"/>
  <c r="L96" i="107"/>
  <c r="L96" i="111" s="1"/>
  <c r="M96" i="107"/>
  <c r="M96" i="111" s="1"/>
  <c r="N96" i="107"/>
  <c r="D97" i="107"/>
  <c r="E97" i="107"/>
  <c r="F97" i="107"/>
  <c r="F97" i="111" s="1"/>
  <c r="G97" i="107"/>
  <c r="G97" i="111" s="1"/>
  <c r="H97" i="107"/>
  <c r="H97" i="111" s="1"/>
  <c r="I97" i="107"/>
  <c r="I97" i="111" s="1"/>
  <c r="J97" i="107"/>
  <c r="J97" i="111" s="1"/>
  <c r="K97" i="107"/>
  <c r="L97" i="107"/>
  <c r="L97" i="111" s="1"/>
  <c r="M97" i="107"/>
  <c r="M97" i="111" s="1"/>
  <c r="N97" i="107"/>
  <c r="N97" i="111" s="1"/>
  <c r="D98" i="107"/>
  <c r="E98" i="107"/>
  <c r="F98" i="107"/>
  <c r="G98" i="107"/>
  <c r="H98" i="107"/>
  <c r="I98" i="107"/>
  <c r="I98" i="111" s="1"/>
  <c r="Y32" i="111" s="1"/>
  <c r="J98" i="107"/>
  <c r="J98" i="111" s="1"/>
  <c r="K98" i="107"/>
  <c r="L98" i="107"/>
  <c r="M98" i="107"/>
  <c r="N98" i="107"/>
  <c r="D99" i="107"/>
  <c r="E99" i="107"/>
  <c r="F99" i="107"/>
  <c r="F99" i="111" s="1"/>
  <c r="G99" i="107"/>
  <c r="G99" i="111" s="1"/>
  <c r="H99" i="107"/>
  <c r="H99" i="111" s="1"/>
  <c r="I99" i="107"/>
  <c r="I99" i="111" s="1"/>
  <c r="J99" i="107"/>
  <c r="J99" i="111" s="1"/>
  <c r="K99" i="107"/>
  <c r="K99" i="111" s="1"/>
  <c r="L99" i="107"/>
  <c r="L99" i="111" s="1"/>
  <c r="M99" i="107"/>
  <c r="N99" i="107"/>
  <c r="N99" i="111" s="1"/>
  <c r="D100" i="107"/>
  <c r="E100" i="107"/>
  <c r="F100" i="107"/>
  <c r="F100" i="111" s="1"/>
  <c r="G100" i="107"/>
  <c r="G100" i="111" s="1"/>
  <c r="H100" i="107"/>
  <c r="H100" i="111" s="1"/>
  <c r="I100" i="107"/>
  <c r="I100" i="111" s="1"/>
  <c r="J100" i="107"/>
  <c r="K100" i="107"/>
  <c r="K100" i="111" s="1"/>
  <c r="L100" i="107"/>
  <c r="L100" i="111" s="1"/>
  <c r="M100" i="107"/>
  <c r="M100" i="111" s="1"/>
  <c r="N100" i="107"/>
  <c r="N100" i="111" s="1"/>
  <c r="D101" i="107"/>
  <c r="E101" i="107"/>
  <c r="F101" i="107"/>
  <c r="F101" i="111" s="1"/>
  <c r="G101" i="107"/>
  <c r="H101" i="107"/>
  <c r="H101" i="111" s="1"/>
  <c r="I101" i="107"/>
  <c r="I101" i="111" s="1"/>
  <c r="J101" i="107"/>
  <c r="J101" i="111" s="1"/>
  <c r="K101" i="107"/>
  <c r="K101" i="111" s="1"/>
  <c r="L101" i="107"/>
  <c r="L101" i="111" s="1"/>
  <c r="M101" i="107"/>
  <c r="M101" i="111" s="1"/>
  <c r="N101" i="107"/>
  <c r="N101" i="111" s="1"/>
  <c r="D102" i="107"/>
  <c r="E102" i="107"/>
  <c r="U33" i="111" s="1"/>
  <c r="F102" i="107"/>
  <c r="F102" i="111" s="1"/>
  <c r="G102" i="107"/>
  <c r="H102" i="107"/>
  <c r="I102" i="107"/>
  <c r="J102" i="107"/>
  <c r="K102" i="107"/>
  <c r="L102" i="107"/>
  <c r="M102" i="107"/>
  <c r="M102" i="111" s="1"/>
  <c r="N102" i="107"/>
  <c r="N102" i="111" s="1"/>
  <c r="D103" i="107"/>
  <c r="E103" i="107"/>
  <c r="F103" i="107"/>
  <c r="F103" i="111" s="1"/>
  <c r="G103" i="107"/>
  <c r="G103" i="111" s="1"/>
  <c r="H103" i="107"/>
  <c r="H103" i="111" s="1"/>
  <c r="I103" i="107"/>
  <c r="J103" i="107"/>
  <c r="J103" i="111" s="1"/>
  <c r="K103" i="107"/>
  <c r="K103" i="111" s="1"/>
  <c r="L103" i="107"/>
  <c r="L103" i="111" s="1"/>
  <c r="M103" i="107"/>
  <c r="M103" i="111" s="1"/>
  <c r="N103" i="107"/>
  <c r="N103" i="111" s="1"/>
  <c r="D104" i="107"/>
  <c r="E104" i="107"/>
  <c r="F104" i="107"/>
  <c r="G104" i="107"/>
  <c r="G104" i="111" s="1"/>
  <c r="H104" i="107"/>
  <c r="H104" i="111" s="1"/>
  <c r="I104" i="107"/>
  <c r="I104" i="111" s="1"/>
  <c r="J104" i="107"/>
  <c r="J104" i="111" s="1"/>
  <c r="K104" i="107"/>
  <c r="K104" i="111" s="1"/>
  <c r="L104" i="107"/>
  <c r="L104" i="111" s="1"/>
  <c r="M104" i="107"/>
  <c r="M104" i="111" s="1"/>
  <c r="N104" i="107"/>
  <c r="D105" i="107"/>
  <c r="E105" i="107"/>
  <c r="F105" i="107"/>
  <c r="F105" i="111" s="1"/>
  <c r="G105" i="107"/>
  <c r="G105" i="111" s="1"/>
  <c r="H105" i="107"/>
  <c r="H105" i="111" s="1"/>
  <c r="I105" i="107"/>
  <c r="I105" i="111" s="1"/>
  <c r="J105" i="107"/>
  <c r="J105" i="111" s="1"/>
  <c r="K105" i="107"/>
  <c r="L105" i="107"/>
  <c r="L105" i="111" s="1"/>
  <c r="M105" i="107"/>
  <c r="M105" i="111" s="1"/>
  <c r="N105" i="107"/>
  <c r="N105" i="111" s="1"/>
  <c r="C59" i="107"/>
  <c r="C60" i="107"/>
  <c r="C61" i="107"/>
  <c r="C62" i="107"/>
  <c r="C63" i="107"/>
  <c r="C64" i="107"/>
  <c r="C65" i="107"/>
  <c r="C66" i="107"/>
  <c r="C67" i="107"/>
  <c r="C67" i="111" s="1"/>
  <c r="C68" i="107"/>
  <c r="C69" i="107"/>
  <c r="C70" i="107"/>
  <c r="C71" i="107"/>
  <c r="C72" i="107"/>
  <c r="C72" i="111" s="1"/>
  <c r="C73" i="107"/>
  <c r="C73" i="111" s="1"/>
  <c r="C74" i="107"/>
  <c r="C75" i="107"/>
  <c r="C76" i="107"/>
  <c r="C77" i="107"/>
  <c r="C78" i="107"/>
  <c r="C79" i="107"/>
  <c r="C80" i="107"/>
  <c r="C80" i="111" s="1"/>
  <c r="C81" i="107"/>
  <c r="C81" i="111" s="1"/>
  <c r="C82" i="107"/>
  <c r="C83" i="107"/>
  <c r="C83" i="111" s="1"/>
  <c r="C84" i="107"/>
  <c r="C85" i="107"/>
  <c r="C86" i="107"/>
  <c r="C87" i="107"/>
  <c r="C88" i="107"/>
  <c r="C88" i="111" s="1"/>
  <c r="C89" i="107"/>
  <c r="C89" i="111" s="1"/>
  <c r="C90" i="107"/>
  <c r="C91" i="107"/>
  <c r="C92" i="107"/>
  <c r="C93" i="107"/>
  <c r="C94" i="107"/>
  <c r="C95" i="107"/>
  <c r="C96" i="107"/>
  <c r="C97" i="107"/>
  <c r="C97" i="111" s="1"/>
  <c r="C98" i="107"/>
  <c r="C99" i="107"/>
  <c r="C100" i="107"/>
  <c r="C101" i="107"/>
  <c r="C102" i="107"/>
  <c r="C103" i="107"/>
  <c r="C104" i="107"/>
  <c r="C104" i="111" s="1"/>
  <c r="C105" i="107"/>
  <c r="C105" i="111" s="1"/>
  <c r="C58" i="108"/>
  <c r="C58" i="107"/>
  <c r="K105" i="111" l="1"/>
  <c r="N104" i="111"/>
  <c r="F104" i="111"/>
  <c r="I103" i="111"/>
  <c r="G101" i="111"/>
  <c r="J100" i="111"/>
  <c r="Z32" i="111" s="1"/>
  <c r="M99" i="111"/>
  <c r="K97" i="111"/>
  <c r="N96" i="111"/>
  <c r="F96" i="111"/>
  <c r="I95" i="111"/>
  <c r="G93" i="111"/>
  <c r="J92" i="111"/>
  <c r="Z30" i="111" s="1"/>
  <c r="M91" i="111"/>
  <c r="K89" i="111"/>
  <c r="N88" i="111"/>
  <c r="F88" i="111"/>
  <c r="I87" i="111"/>
  <c r="G85" i="111"/>
  <c r="J84" i="111"/>
  <c r="M83" i="111"/>
  <c r="AC28" i="111" s="1"/>
  <c r="K81" i="111"/>
  <c r="N80" i="111"/>
  <c r="F80" i="111"/>
  <c r="I79" i="111"/>
  <c r="G77" i="111"/>
  <c r="J76" i="111"/>
  <c r="M75" i="111"/>
  <c r="K73" i="111"/>
  <c r="N72" i="111"/>
  <c r="F72" i="111"/>
  <c r="I71" i="111"/>
  <c r="G69" i="111"/>
  <c r="J68" i="111"/>
  <c r="M67" i="111"/>
  <c r="AC24" i="111" s="1"/>
  <c r="K65" i="111"/>
  <c r="N64" i="111"/>
  <c r="F64" i="111"/>
  <c r="I63" i="111"/>
  <c r="Y23" i="111" s="1"/>
  <c r="G61" i="111"/>
  <c r="J60" i="111"/>
  <c r="M59" i="111"/>
  <c r="AC22" i="111" s="1"/>
  <c r="O69" i="108"/>
  <c r="V28" i="108"/>
  <c r="X23" i="107"/>
  <c r="W33" i="108"/>
  <c r="AA32" i="108"/>
  <c r="W31" i="108"/>
  <c r="AA30" i="108"/>
  <c r="W29" i="108"/>
  <c r="AA28" i="108"/>
  <c r="W27" i="108"/>
  <c r="AA26" i="108"/>
  <c r="W25" i="108"/>
  <c r="AA24" i="108"/>
  <c r="W23" i="108"/>
  <c r="AA22" i="108"/>
  <c r="W22" i="107"/>
  <c r="O104" i="108"/>
  <c r="O101" i="108"/>
  <c r="V23" i="108"/>
  <c r="P60" i="108"/>
  <c r="V22" i="107"/>
  <c r="V33" i="111"/>
  <c r="P105" i="111"/>
  <c r="P97" i="111"/>
  <c r="K86" i="111"/>
  <c r="AA29" i="107"/>
  <c r="G82" i="111"/>
  <c r="W28" i="107"/>
  <c r="AA27" i="107"/>
  <c r="K78" i="111"/>
  <c r="AC33" i="111"/>
  <c r="P85" i="107"/>
  <c r="O85" i="107"/>
  <c r="C85" i="111"/>
  <c r="P69" i="107"/>
  <c r="O69" i="107"/>
  <c r="C69" i="111"/>
  <c r="AD32" i="107"/>
  <c r="N98" i="111"/>
  <c r="AD32" i="111" s="1"/>
  <c r="V32" i="107"/>
  <c r="F98" i="111"/>
  <c r="V32" i="111" s="1"/>
  <c r="Z31" i="107"/>
  <c r="J94" i="111"/>
  <c r="Z31" i="111" s="1"/>
  <c r="AD30" i="107"/>
  <c r="N90" i="111"/>
  <c r="AD30" i="111" s="1"/>
  <c r="V30" i="107"/>
  <c r="F90" i="111"/>
  <c r="V30" i="111" s="1"/>
  <c r="J86" i="111"/>
  <c r="Z29" i="111" s="1"/>
  <c r="Z29" i="107"/>
  <c r="AD28" i="107"/>
  <c r="N82" i="111"/>
  <c r="AD28" i="111" s="1"/>
  <c r="V28" i="107"/>
  <c r="F82" i="111"/>
  <c r="V28" i="111" s="1"/>
  <c r="Z27" i="107"/>
  <c r="J78" i="111"/>
  <c r="Z27" i="111" s="1"/>
  <c r="AD26" i="107"/>
  <c r="N74" i="111"/>
  <c r="AD26" i="111" s="1"/>
  <c r="V26" i="107"/>
  <c r="F74" i="111"/>
  <c r="V26" i="111" s="1"/>
  <c r="P92" i="108"/>
  <c r="U28" i="108"/>
  <c r="O60" i="108"/>
  <c r="P79" i="107"/>
  <c r="O79" i="107"/>
  <c r="C79" i="111"/>
  <c r="P89" i="111"/>
  <c r="V31" i="111"/>
  <c r="U26" i="111"/>
  <c r="S31" i="107"/>
  <c r="P94" i="107"/>
  <c r="O94" i="107"/>
  <c r="C94" i="111"/>
  <c r="W30" i="107"/>
  <c r="G90" i="111"/>
  <c r="W30" i="111" s="1"/>
  <c r="W26" i="107"/>
  <c r="G74" i="111"/>
  <c r="U31" i="111"/>
  <c r="P83" i="107"/>
  <c r="P101" i="107"/>
  <c r="O101" i="107"/>
  <c r="C101" i="111"/>
  <c r="P93" i="107"/>
  <c r="O93" i="107"/>
  <c r="C93" i="111"/>
  <c r="P93" i="111" s="1"/>
  <c r="P77" i="107"/>
  <c r="O77" i="107"/>
  <c r="C77" i="111"/>
  <c r="P61" i="107"/>
  <c r="O61" i="107"/>
  <c r="C61" i="111"/>
  <c r="Z33" i="107"/>
  <c r="J102" i="111"/>
  <c r="Z33" i="111" s="1"/>
  <c r="S22" i="107"/>
  <c r="P58" i="107"/>
  <c r="O58" i="107"/>
  <c r="P100" i="107"/>
  <c r="O100" i="107"/>
  <c r="C100" i="111"/>
  <c r="O100" i="111" s="1"/>
  <c r="O92" i="107"/>
  <c r="C92" i="111"/>
  <c r="P92" i="111" s="1"/>
  <c r="P92" i="107"/>
  <c r="P84" i="107"/>
  <c r="O84" i="107"/>
  <c r="C84" i="111"/>
  <c r="P76" i="107"/>
  <c r="O76" i="107"/>
  <c r="C76" i="111"/>
  <c r="O76" i="111" s="1"/>
  <c r="P68" i="107"/>
  <c r="O68" i="107"/>
  <c r="C68" i="111"/>
  <c r="P60" i="107"/>
  <c r="O60" i="107"/>
  <c r="C60" i="111"/>
  <c r="Y33" i="107"/>
  <c r="I102" i="111"/>
  <c r="Y33" i="111" s="1"/>
  <c r="AC32" i="107"/>
  <c r="M98" i="111"/>
  <c r="U32" i="111"/>
  <c r="U32" i="107"/>
  <c r="Y31" i="107"/>
  <c r="I94" i="111"/>
  <c r="Y31" i="111" s="1"/>
  <c r="AC30" i="107"/>
  <c r="M90" i="111"/>
  <c r="U30" i="107"/>
  <c r="U30" i="111"/>
  <c r="Y29" i="107"/>
  <c r="I86" i="111"/>
  <c r="Y29" i="111" s="1"/>
  <c r="AC28" i="107"/>
  <c r="U28" i="107"/>
  <c r="U28" i="111"/>
  <c r="Y27" i="111"/>
  <c r="AC26" i="111"/>
  <c r="Y25" i="111"/>
  <c r="U24" i="111"/>
  <c r="U22" i="111"/>
  <c r="X31" i="108"/>
  <c r="P95" i="107"/>
  <c r="O95" i="107"/>
  <c r="C95" i="111"/>
  <c r="P95" i="111" s="1"/>
  <c r="AB33" i="107"/>
  <c r="L102" i="111"/>
  <c r="AB33" i="111" s="1"/>
  <c r="X30" i="107"/>
  <c r="H90" i="111"/>
  <c r="X30" i="111" s="1"/>
  <c r="S25" i="107"/>
  <c r="P70" i="107"/>
  <c r="O70" i="107"/>
  <c r="AE25" i="107" s="1"/>
  <c r="C70" i="111"/>
  <c r="P58" i="108"/>
  <c r="O58" i="108"/>
  <c r="S22" i="108"/>
  <c r="P91" i="107"/>
  <c r="O91" i="107"/>
  <c r="C91" i="111"/>
  <c r="C59" i="111"/>
  <c r="P59" i="111" s="1"/>
  <c r="P59" i="107"/>
  <c r="O59" i="107"/>
  <c r="AB30" i="107"/>
  <c r="L90" i="111"/>
  <c r="AB30" i="111" s="1"/>
  <c r="X29" i="107"/>
  <c r="H86" i="111"/>
  <c r="X29" i="111" s="1"/>
  <c r="AB28" i="107"/>
  <c r="T28" i="107"/>
  <c r="X27" i="107"/>
  <c r="H78" i="111"/>
  <c r="AB26" i="107"/>
  <c r="L74" i="111"/>
  <c r="T26" i="107"/>
  <c r="X25" i="107"/>
  <c r="H70" i="111"/>
  <c r="AB24" i="107"/>
  <c r="L66" i="111"/>
  <c r="T24" i="107"/>
  <c r="AB22" i="107"/>
  <c r="L58" i="111"/>
  <c r="T22" i="107"/>
  <c r="O58" i="111"/>
  <c r="P98" i="108"/>
  <c r="S32" i="108"/>
  <c r="O98" i="108"/>
  <c r="P90" i="108"/>
  <c r="O90" i="108"/>
  <c r="S30" i="108"/>
  <c r="P82" i="108"/>
  <c r="O82" i="108"/>
  <c r="S28" i="108"/>
  <c r="P74" i="108"/>
  <c r="O74" i="108"/>
  <c r="S26" i="108"/>
  <c r="P66" i="108"/>
  <c r="S24" i="108"/>
  <c r="O66" i="108"/>
  <c r="P87" i="107"/>
  <c r="O87" i="107"/>
  <c r="C87" i="111"/>
  <c r="T33" i="107"/>
  <c r="T33" i="111"/>
  <c r="AB31" i="107"/>
  <c r="L94" i="111"/>
  <c r="AB31" i="111" s="1"/>
  <c r="T27" i="111"/>
  <c r="T27" i="107"/>
  <c r="P102" i="107"/>
  <c r="O102" i="107"/>
  <c r="S33" i="107"/>
  <c r="C102" i="111"/>
  <c r="S23" i="107"/>
  <c r="P62" i="107"/>
  <c r="O62" i="107"/>
  <c r="C62" i="111"/>
  <c r="O62" i="111" s="1"/>
  <c r="X33" i="107"/>
  <c r="H102" i="111"/>
  <c r="X33" i="111" s="1"/>
  <c r="X31" i="107"/>
  <c r="H94" i="111"/>
  <c r="X31" i="111" s="1"/>
  <c r="C58" i="111"/>
  <c r="P82" i="107"/>
  <c r="AF28" i="107" s="1"/>
  <c r="S28" i="107"/>
  <c r="O82" i="107"/>
  <c r="C82" i="111"/>
  <c r="W33" i="107"/>
  <c r="G102" i="111"/>
  <c r="W33" i="111" s="1"/>
  <c r="W23" i="107"/>
  <c r="G62" i="111"/>
  <c r="W23" i="111" s="1"/>
  <c r="AA22" i="107"/>
  <c r="K58" i="111"/>
  <c r="AA22" i="111" s="1"/>
  <c r="P105" i="108"/>
  <c r="O105" i="108"/>
  <c r="P97" i="108"/>
  <c r="O97" i="108"/>
  <c r="P89" i="108"/>
  <c r="O89" i="108"/>
  <c r="P81" i="108"/>
  <c r="O81" i="108"/>
  <c r="P73" i="108"/>
  <c r="O73" i="108"/>
  <c r="P65" i="108"/>
  <c r="O65" i="108"/>
  <c r="AD33" i="108"/>
  <c r="V33" i="108"/>
  <c r="Z32" i="108"/>
  <c r="AD31" i="108"/>
  <c r="V31" i="108"/>
  <c r="Z30" i="108"/>
  <c r="AD29" i="108"/>
  <c r="V29" i="108"/>
  <c r="Z28" i="108"/>
  <c r="AD27" i="108"/>
  <c r="V27" i="108"/>
  <c r="Z26" i="108"/>
  <c r="AD25" i="108"/>
  <c r="V25" i="108"/>
  <c r="Z24" i="108"/>
  <c r="AD23" i="108"/>
  <c r="Z22" i="108"/>
  <c r="P71" i="107"/>
  <c r="O71" i="107"/>
  <c r="C71" i="111"/>
  <c r="T31" i="107"/>
  <c r="T31" i="111"/>
  <c r="L86" i="111"/>
  <c r="AB29" i="111" s="1"/>
  <c r="AB29" i="107"/>
  <c r="H82" i="111"/>
  <c r="X28" i="111" s="1"/>
  <c r="X28" i="107"/>
  <c r="AB27" i="107"/>
  <c r="L78" i="111"/>
  <c r="AB27" i="111" s="1"/>
  <c r="X26" i="107"/>
  <c r="H74" i="111"/>
  <c r="X26" i="111" s="1"/>
  <c r="O83" i="107"/>
  <c r="P78" i="107"/>
  <c r="O78" i="107"/>
  <c r="S27" i="107"/>
  <c r="C78" i="111"/>
  <c r="W32" i="107"/>
  <c r="G98" i="111"/>
  <c r="W32" i="111" s="1"/>
  <c r="T32" i="111"/>
  <c r="T32" i="107"/>
  <c r="T30" i="107"/>
  <c r="T30" i="111"/>
  <c r="P98" i="107"/>
  <c r="O98" i="107"/>
  <c r="S32" i="107"/>
  <c r="C98" i="111"/>
  <c r="P98" i="111" s="1"/>
  <c r="P74" i="107"/>
  <c r="O74" i="107"/>
  <c r="S26" i="107"/>
  <c r="C74" i="111"/>
  <c r="W31" i="107"/>
  <c r="G94" i="111"/>
  <c r="W31" i="111" s="1"/>
  <c r="W27" i="107"/>
  <c r="G78" i="111"/>
  <c r="W27" i="111" s="1"/>
  <c r="AA26" i="107"/>
  <c r="K74" i="111"/>
  <c r="AA26" i="111" s="1"/>
  <c r="W25" i="107"/>
  <c r="G70" i="111"/>
  <c r="W25" i="111" s="1"/>
  <c r="AA24" i="107"/>
  <c r="K66" i="111"/>
  <c r="AA24" i="111" s="1"/>
  <c r="P105" i="107"/>
  <c r="O105" i="107"/>
  <c r="P81" i="107"/>
  <c r="O81" i="107"/>
  <c r="P65" i="107"/>
  <c r="O65" i="107"/>
  <c r="AD33" i="107"/>
  <c r="V33" i="107"/>
  <c r="Z32" i="107"/>
  <c r="AD31" i="107"/>
  <c r="V31" i="107"/>
  <c r="Z30" i="107"/>
  <c r="K87" i="111"/>
  <c r="AD29" i="107"/>
  <c r="N86" i="111"/>
  <c r="AD29" i="111" s="1"/>
  <c r="V29" i="107"/>
  <c r="F86" i="111"/>
  <c r="V29" i="111" s="1"/>
  <c r="I85" i="111"/>
  <c r="L84" i="111"/>
  <c r="AB28" i="111" s="1"/>
  <c r="G83" i="111"/>
  <c r="Z28" i="107"/>
  <c r="J82" i="111"/>
  <c r="M81" i="111"/>
  <c r="P81" i="111"/>
  <c r="H80" i="111"/>
  <c r="O80" i="111" s="1"/>
  <c r="K79" i="111"/>
  <c r="AD27" i="107"/>
  <c r="N78" i="111"/>
  <c r="AD27" i="111" s="1"/>
  <c r="F78" i="111"/>
  <c r="V27" i="111" s="1"/>
  <c r="V27" i="107"/>
  <c r="I77" i="111"/>
  <c r="L76" i="111"/>
  <c r="T26" i="111"/>
  <c r="G75" i="111"/>
  <c r="Z26" i="107"/>
  <c r="J74" i="111"/>
  <c r="M73" i="111"/>
  <c r="P73" i="111"/>
  <c r="H72" i="111"/>
  <c r="O72" i="111" s="1"/>
  <c r="K71" i="111"/>
  <c r="U33" i="108"/>
  <c r="Y26" i="108"/>
  <c r="C65" i="111"/>
  <c r="N94" i="111"/>
  <c r="AD31" i="111" s="1"/>
  <c r="O67" i="107"/>
  <c r="P103" i="107"/>
  <c r="O103" i="107"/>
  <c r="C103" i="111"/>
  <c r="P103" i="111" s="1"/>
  <c r="P63" i="107"/>
  <c r="O63" i="107"/>
  <c r="C63" i="111"/>
  <c r="X32" i="107"/>
  <c r="H98" i="111"/>
  <c r="X32" i="111" s="1"/>
  <c r="T29" i="107"/>
  <c r="T29" i="111"/>
  <c r="AD33" i="111"/>
  <c r="S29" i="107"/>
  <c r="P86" i="107"/>
  <c r="O86" i="107"/>
  <c r="AE29" i="107" s="1"/>
  <c r="C86" i="111"/>
  <c r="S29" i="111" s="1"/>
  <c r="AA33" i="107"/>
  <c r="K102" i="111"/>
  <c r="AA33" i="111" s="1"/>
  <c r="AA31" i="107"/>
  <c r="K94" i="111"/>
  <c r="AA31" i="111" s="1"/>
  <c r="O99" i="107"/>
  <c r="P99" i="107"/>
  <c r="C99" i="111"/>
  <c r="C75" i="111"/>
  <c r="P75" i="107"/>
  <c r="O75" i="107"/>
  <c r="AB32" i="107"/>
  <c r="L98" i="111"/>
  <c r="AB32" i="111" s="1"/>
  <c r="P90" i="107"/>
  <c r="AF30" i="107" s="1"/>
  <c r="S30" i="107"/>
  <c r="O90" i="107"/>
  <c r="C90" i="111"/>
  <c r="S24" i="107"/>
  <c r="P66" i="107"/>
  <c r="O66" i="107"/>
  <c r="C66" i="111"/>
  <c r="S24" i="111" s="1"/>
  <c r="AA32" i="107"/>
  <c r="K98" i="111"/>
  <c r="AA32" i="111" s="1"/>
  <c r="AA30" i="107"/>
  <c r="K90" i="111"/>
  <c r="AA30" i="111" s="1"/>
  <c r="W29" i="107"/>
  <c r="G86" i="111"/>
  <c r="W29" i="111" s="1"/>
  <c r="AA28" i="107"/>
  <c r="K82" i="111"/>
  <c r="AA28" i="111" s="1"/>
  <c r="P97" i="107"/>
  <c r="O97" i="107"/>
  <c r="P89" i="107"/>
  <c r="O89" i="107"/>
  <c r="P73" i="107"/>
  <c r="O73" i="107"/>
  <c r="P104" i="107"/>
  <c r="O104" i="107"/>
  <c r="P96" i="107"/>
  <c r="O96" i="107"/>
  <c r="P88" i="107"/>
  <c r="O88" i="107"/>
  <c r="P80" i="107"/>
  <c r="O80" i="107"/>
  <c r="P72" i="107"/>
  <c r="O72" i="107"/>
  <c r="P64" i="107"/>
  <c r="O64" i="107"/>
  <c r="AC33" i="107"/>
  <c r="U33" i="107"/>
  <c r="Y32" i="107"/>
  <c r="AC31" i="107"/>
  <c r="U31" i="107"/>
  <c r="Y30" i="107"/>
  <c r="AC29" i="107"/>
  <c r="M86" i="111"/>
  <c r="AC29" i="111" s="1"/>
  <c r="U29" i="107"/>
  <c r="U29" i="111"/>
  <c r="I82" i="111"/>
  <c r="Y28" i="107"/>
  <c r="AC27" i="107"/>
  <c r="M78" i="111"/>
  <c r="U27" i="111"/>
  <c r="U27" i="107"/>
  <c r="Y26" i="107"/>
  <c r="I74" i="111"/>
  <c r="T33" i="108"/>
  <c r="X26" i="108"/>
  <c r="T25" i="108"/>
  <c r="C96" i="111"/>
  <c r="P96" i="111" s="1"/>
  <c r="C64" i="111"/>
  <c r="P64" i="111" s="1"/>
  <c r="M94" i="111"/>
  <c r="AC31" i="111" s="1"/>
  <c r="P67" i="107"/>
  <c r="N70" i="111"/>
  <c r="AD25" i="111" s="1"/>
  <c r="V25" i="107"/>
  <c r="F70" i="111"/>
  <c r="V25" i="111" s="1"/>
  <c r="I69" i="111"/>
  <c r="O69" i="111" s="1"/>
  <c r="L68" i="111"/>
  <c r="O68" i="111"/>
  <c r="G67" i="111"/>
  <c r="Z24" i="107"/>
  <c r="J66" i="111"/>
  <c r="M65" i="111"/>
  <c r="H64" i="111"/>
  <c r="X23" i="111" s="1"/>
  <c r="K63" i="111"/>
  <c r="AD23" i="107"/>
  <c r="N62" i="111"/>
  <c r="AD23" i="111" s="1"/>
  <c r="V23" i="107"/>
  <c r="F62" i="111"/>
  <c r="V23" i="111" s="1"/>
  <c r="I61" i="111"/>
  <c r="L60" i="111"/>
  <c r="G59" i="111"/>
  <c r="W22" i="111" s="1"/>
  <c r="Z22" i="107"/>
  <c r="J58" i="111"/>
  <c r="P104" i="108"/>
  <c r="P96" i="108"/>
  <c r="O96" i="108"/>
  <c r="P88" i="108"/>
  <c r="O88" i="108"/>
  <c r="O80" i="108"/>
  <c r="P72" i="108"/>
  <c r="P64" i="108"/>
  <c r="O64" i="108"/>
  <c r="AC33" i="108"/>
  <c r="Y32" i="108"/>
  <c r="AC31" i="108"/>
  <c r="U31" i="108"/>
  <c r="Y30" i="108"/>
  <c r="AC29" i="108"/>
  <c r="U29" i="108"/>
  <c r="Y28" i="108"/>
  <c r="AC27" i="108"/>
  <c r="U27" i="108"/>
  <c r="AC25" i="108"/>
  <c r="U25" i="108"/>
  <c r="Y24" i="108"/>
  <c r="AC23" i="108"/>
  <c r="U23" i="108"/>
  <c r="Y22" i="108"/>
  <c r="AC25" i="107"/>
  <c r="M70" i="111"/>
  <c r="AC25" i="111" s="1"/>
  <c r="U25" i="107"/>
  <c r="U25" i="111"/>
  <c r="Y24" i="107"/>
  <c r="I66" i="111"/>
  <c r="AC23" i="107"/>
  <c r="M62" i="111"/>
  <c r="AC23" i="111" s="1"/>
  <c r="U23" i="107"/>
  <c r="U23" i="111"/>
  <c r="Y22" i="107"/>
  <c r="I58" i="111"/>
  <c r="Y22" i="111" s="1"/>
  <c r="P103" i="108"/>
  <c r="O103" i="108"/>
  <c r="P95" i="108"/>
  <c r="O95" i="108"/>
  <c r="P87" i="108"/>
  <c r="O87" i="108"/>
  <c r="P79" i="108"/>
  <c r="O79" i="108"/>
  <c r="P71" i="108"/>
  <c r="O71" i="108"/>
  <c r="P63" i="108"/>
  <c r="O63" i="108"/>
  <c r="AB33" i="108"/>
  <c r="X32" i="108"/>
  <c r="AB31" i="108"/>
  <c r="T31" i="108"/>
  <c r="X30" i="108"/>
  <c r="AB29" i="108"/>
  <c r="T29" i="108"/>
  <c r="X28" i="108"/>
  <c r="AB27" i="108"/>
  <c r="T27" i="108"/>
  <c r="AB25" i="108"/>
  <c r="X24" i="108"/>
  <c r="AB23" i="108"/>
  <c r="T23" i="108"/>
  <c r="X22" i="108"/>
  <c r="O72" i="108"/>
  <c r="AB25" i="107"/>
  <c r="L70" i="111"/>
  <c r="AB25" i="111" s="1"/>
  <c r="T25" i="107"/>
  <c r="T25" i="111"/>
  <c r="X24" i="107"/>
  <c r="H66" i="111"/>
  <c r="X24" i="111" s="1"/>
  <c r="AB23" i="107"/>
  <c r="L62" i="111"/>
  <c r="AB23" i="111" s="1"/>
  <c r="T23" i="107"/>
  <c r="T23" i="111"/>
  <c r="X22" i="107"/>
  <c r="H58" i="111"/>
  <c r="X22" i="111" s="1"/>
  <c r="S33" i="108"/>
  <c r="P102" i="108"/>
  <c r="O102" i="108"/>
  <c r="P94" i="108"/>
  <c r="AF31" i="108" s="1"/>
  <c r="O94" i="108"/>
  <c r="S31" i="108"/>
  <c r="P86" i="108"/>
  <c r="AF29" i="108" s="1"/>
  <c r="O86" i="108"/>
  <c r="AE29" i="108" s="1"/>
  <c r="S29" i="108"/>
  <c r="P78" i="108"/>
  <c r="O78" i="108"/>
  <c r="S27" i="108"/>
  <c r="S25" i="108"/>
  <c r="P70" i="108"/>
  <c r="O70" i="108"/>
  <c r="P62" i="108"/>
  <c r="AF23" i="108" s="1"/>
  <c r="O62" i="108"/>
  <c r="S23" i="108"/>
  <c r="AA33" i="108"/>
  <c r="W32" i="108"/>
  <c r="AA31" i="108"/>
  <c r="W30" i="108"/>
  <c r="AA29" i="108"/>
  <c r="W28" i="108"/>
  <c r="AA27" i="108"/>
  <c r="W26" i="108"/>
  <c r="AA25" i="108"/>
  <c r="W24" i="108"/>
  <c r="AA23" i="108"/>
  <c r="W22" i="108"/>
  <c r="P80" i="108"/>
  <c r="AD25" i="107"/>
  <c r="AA25" i="107"/>
  <c r="K70" i="111"/>
  <c r="AA25" i="111" s="1"/>
  <c r="W24" i="107"/>
  <c r="G66" i="111"/>
  <c r="W24" i="111" s="1"/>
  <c r="AA23" i="107"/>
  <c r="K62" i="111"/>
  <c r="P101" i="108"/>
  <c r="P93" i="108"/>
  <c r="O93" i="108"/>
  <c r="P85" i="108"/>
  <c r="O85" i="108"/>
  <c r="P77" i="108"/>
  <c r="O77" i="108"/>
  <c r="P69" i="108"/>
  <c r="P61" i="108"/>
  <c r="O61" i="108"/>
  <c r="Z33" i="108"/>
  <c r="AD32" i="108"/>
  <c r="V32" i="108"/>
  <c r="Z31" i="108"/>
  <c r="AD30" i="108"/>
  <c r="V30" i="108"/>
  <c r="AD28" i="108"/>
  <c r="Z27" i="108"/>
  <c r="AD26" i="108"/>
  <c r="V26" i="108"/>
  <c r="Z25" i="108"/>
  <c r="AD24" i="108"/>
  <c r="V24" i="108"/>
  <c r="Z23" i="108"/>
  <c r="AD22" i="108"/>
  <c r="V22" i="108"/>
  <c r="Z25" i="107"/>
  <c r="J70" i="111"/>
  <c r="Z25" i="111" s="1"/>
  <c r="AD24" i="107"/>
  <c r="N66" i="111"/>
  <c r="AD24" i="111" s="1"/>
  <c r="V24" i="107"/>
  <c r="F66" i="111"/>
  <c r="V24" i="111" s="1"/>
  <c r="J62" i="111"/>
  <c r="Z23" i="111" s="1"/>
  <c r="Z23" i="107"/>
  <c r="N58" i="111"/>
  <c r="AD22" i="111" s="1"/>
  <c r="AD22" i="107"/>
  <c r="V22" i="111"/>
  <c r="P100" i="108"/>
  <c r="O100" i="108"/>
  <c r="P84" i="108"/>
  <c r="O84" i="108"/>
  <c r="P76" i="108"/>
  <c r="O76" i="108"/>
  <c r="P68" i="108"/>
  <c r="O68" i="108"/>
  <c r="Y33" i="108"/>
  <c r="AC32" i="108"/>
  <c r="U32" i="108"/>
  <c r="Y31" i="108"/>
  <c r="AC30" i="108"/>
  <c r="U30" i="108"/>
  <c r="Y29" i="108"/>
  <c r="AC28" i="108"/>
  <c r="Y27" i="108"/>
  <c r="AC26" i="108"/>
  <c r="U26" i="108"/>
  <c r="Y25" i="108"/>
  <c r="AC24" i="108"/>
  <c r="U24" i="108"/>
  <c r="Y23" i="108"/>
  <c r="AC22" i="108"/>
  <c r="U22" i="108"/>
  <c r="O92" i="108"/>
  <c r="Y27" i="107"/>
  <c r="AC26" i="107"/>
  <c r="U26" i="107"/>
  <c r="Y25" i="107"/>
  <c r="AC24" i="107"/>
  <c r="U24" i="107"/>
  <c r="Y23" i="107"/>
  <c r="AC22" i="107"/>
  <c r="U22" i="107"/>
  <c r="P99" i="108"/>
  <c r="O99" i="108"/>
  <c r="P91" i="108"/>
  <c r="O91" i="108"/>
  <c r="P83" i="108"/>
  <c r="O83" i="108"/>
  <c r="P75" i="108"/>
  <c r="O75" i="108"/>
  <c r="P67" i="108"/>
  <c r="O67" i="108"/>
  <c r="P59" i="108"/>
  <c r="O59" i="108"/>
  <c r="X33" i="108"/>
  <c r="AB32" i="108"/>
  <c r="T32" i="108"/>
  <c r="AB30" i="108"/>
  <c r="T30" i="108"/>
  <c r="X29" i="108"/>
  <c r="AB28" i="108"/>
  <c r="T28" i="108"/>
  <c r="X27" i="108"/>
  <c r="AB26" i="108"/>
  <c r="T26" i="108"/>
  <c r="X25" i="108"/>
  <c r="AB24" i="108"/>
  <c r="T24" i="108"/>
  <c r="X23" i="108"/>
  <c r="AB22" i="108"/>
  <c r="T22" i="108"/>
  <c r="O73" i="111"/>
  <c r="O67" i="111"/>
  <c r="O65" i="111"/>
  <c r="O61" i="111"/>
  <c r="P104" i="111"/>
  <c r="O104" i="111"/>
  <c r="P100" i="111"/>
  <c r="O90" i="111"/>
  <c r="P88" i="111"/>
  <c r="O88" i="111"/>
  <c r="P76" i="111"/>
  <c r="O105" i="111"/>
  <c r="O101" i="111"/>
  <c r="O97" i="111"/>
  <c r="O95" i="111"/>
  <c r="O91" i="111"/>
  <c r="O89" i="111"/>
  <c r="O87" i="111"/>
  <c r="O83" i="111"/>
  <c r="L106" i="109"/>
  <c r="C3" i="101"/>
  <c r="P85" i="111" l="1"/>
  <c r="P71" i="111"/>
  <c r="AC30" i="111"/>
  <c r="P80" i="111"/>
  <c r="O96" i="111"/>
  <c r="O74" i="111"/>
  <c r="P68" i="111"/>
  <c r="Z28" i="111"/>
  <c r="P101" i="111"/>
  <c r="P79" i="111"/>
  <c r="AA29" i="111"/>
  <c r="O64" i="111"/>
  <c r="P72" i="111"/>
  <c r="AA23" i="111"/>
  <c r="AF25" i="108"/>
  <c r="Y28" i="111"/>
  <c r="S33" i="111"/>
  <c r="AF30" i="108"/>
  <c r="P84" i="111"/>
  <c r="S31" i="111"/>
  <c r="P91" i="111"/>
  <c r="O94" i="111"/>
  <c r="AE24" i="107"/>
  <c r="O82" i="111"/>
  <c r="O70" i="111"/>
  <c r="O81" i="111"/>
  <c r="O103" i="111"/>
  <c r="P82" i="111"/>
  <c r="O98" i="111"/>
  <c r="Z24" i="111"/>
  <c r="Z26" i="111"/>
  <c r="P83" i="111"/>
  <c r="AF28" i="111" s="1"/>
  <c r="AF27" i="107"/>
  <c r="AE32" i="108"/>
  <c r="T24" i="111"/>
  <c r="X27" i="111"/>
  <c r="AE30" i="107"/>
  <c r="P99" i="111"/>
  <c r="P63" i="111"/>
  <c r="P65" i="111"/>
  <c r="AE26" i="107"/>
  <c r="O78" i="111"/>
  <c r="O60" i="111"/>
  <c r="O86" i="111"/>
  <c r="AE29" i="111" s="1"/>
  <c r="AE27" i="108"/>
  <c r="AE33" i="108"/>
  <c r="Z22" i="111"/>
  <c r="P67" i="111"/>
  <c r="O75" i="111"/>
  <c r="AF26" i="107"/>
  <c r="AC32" i="111"/>
  <c r="P66" i="111"/>
  <c r="AF29" i="107"/>
  <c r="AE26" i="108"/>
  <c r="AE22" i="107"/>
  <c r="O84" i="111"/>
  <c r="AE28" i="111" s="1"/>
  <c r="O92" i="111"/>
  <c r="O66" i="111"/>
  <c r="AE24" i="111" s="1"/>
  <c r="AF27" i="108"/>
  <c r="AF33" i="108"/>
  <c r="Y24" i="111"/>
  <c r="S32" i="111"/>
  <c r="S28" i="111"/>
  <c r="AE33" i="107"/>
  <c r="P87" i="111"/>
  <c r="AF26" i="108"/>
  <c r="AB24" i="111"/>
  <c r="AF22" i="108"/>
  <c r="AF22" i="107"/>
  <c r="AE31" i="107"/>
  <c r="AE22" i="108"/>
  <c r="P77" i="111"/>
  <c r="O77" i="111"/>
  <c r="O93" i="111"/>
  <c r="AE30" i="111" s="1"/>
  <c r="O71" i="111"/>
  <c r="AE25" i="111" s="1"/>
  <c r="P70" i="111"/>
  <c r="AF25" i="111" s="1"/>
  <c r="AE23" i="108"/>
  <c r="AC27" i="111"/>
  <c r="AE28" i="107"/>
  <c r="AF33" i="107"/>
  <c r="AF32" i="108"/>
  <c r="T28" i="111"/>
  <c r="S25" i="111"/>
  <c r="AF31" i="107"/>
  <c r="P90" i="111"/>
  <c r="AF30" i="111" s="1"/>
  <c r="O79" i="111"/>
  <c r="AE27" i="111" s="1"/>
  <c r="O102" i="111"/>
  <c r="AE33" i="111" s="1"/>
  <c r="AE32" i="107"/>
  <c r="X25" i="111"/>
  <c r="P78" i="111"/>
  <c r="AF27" i="111" s="1"/>
  <c r="P86" i="111"/>
  <c r="AF29" i="111" s="1"/>
  <c r="P94" i="111"/>
  <c r="AF31" i="111" s="1"/>
  <c r="P102" i="111"/>
  <c r="AF33" i="111" s="1"/>
  <c r="O59" i="111"/>
  <c r="AE22" i="111" s="1"/>
  <c r="P74" i="111"/>
  <c r="AE25" i="108"/>
  <c r="AF24" i="107"/>
  <c r="AF32" i="107"/>
  <c r="S27" i="111"/>
  <c r="AE23" i="107"/>
  <c r="AE24" i="108"/>
  <c r="AF28" i="108"/>
  <c r="AF25" i="107"/>
  <c r="W26" i="111"/>
  <c r="P69" i="111"/>
  <c r="T22" i="111"/>
  <c r="O99" i="111"/>
  <c r="AE32" i="111" s="1"/>
  <c r="P60" i="111"/>
  <c r="P58" i="111"/>
  <c r="S26" i="111"/>
  <c r="S22" i="111"/>
  <c r="AF23" i="107"/>
  <c r="AB22" i="111"/>
  <c r="P61" i="111"/>
  <c r="AF32" i="111"/>
  <c r="AE31" i="111"/>
  <c r="S23" i="111"/>
  <c r="AE28" i="108"/>
  <c r="AA27" i="111"/>
  <c r="O85" i="111"/>
  <c r="O63" i="111"/>
  <c r="AE23" i="111" s="1"/>
  <c r="P62" i="111"/>
  <c r="AE31" i="108"/>
  <c r="Y26" i="111"/>
  <c r="S30" i="111"/>
  <c r="P75" i="111"/>
  <c r="AE27" i="107"/>
  <c r="AF24" i="108"/>
  <c r="AE30" i="108"/>
  <c r="AB26" i="111"/>
  <c r="W28" i="111"/>
  <c r="C58" i="93"/>
  <c r="AE26" i="111" l="1"/>
  <c r="AF23" i="111"/>
  <c r="AF22" i="111"/>
  <c r="AF24" i="111"/>
  <c r="AF26" i="111"/>
  <c r="O48" i="101"/>
  <c r="P48" i="101"/>
  <c r="C3" i="94" l="1"/>
  <c r="K6" i="98" l="1"/>
  <c r="K6" i="100" s="1"/>
  <c r="K6" i="101" s="1"/>
  <c r="K6" i="109" s="1"/>
  <c r="K6" i="105" s="1"/>
  <c r="K6" i="110" s="1"/>
  <c r="K6" i="103" s="1"/>
  <c r="K5" i="98"/>
  <c r="K5" i="100" s="1"/>
  <c r="K5" i="101" s="1"/>
  <c r="K5" i="109" s="1"/>
  <c r="K5" i="105" s="1"/>
  <c r="K5" i="110" s="1"/>
  <c r="K5" i="103" s="1"/>
  <c r="G5" i="98"/>
  <c r="G5" i="100" s="1"/>
  <c r="G5" i="101" s="1"/>
  <c r="G5" i="109" s="1"/>
  <c r="G5" i="105" s="1"/>
  <c r="G5" i="110" s="1"/>
  <c r="G5" i="103" s="1"/>
  <c r="K6" i="96"/>
  <c r="K5" i="96"/>
  <c r="G5" i="96"/>
  <c r="K6" i="95"/>
  <c r="K5" i="95"/>
  <c r="G5" i="95"/>
  <c r="K6" i="94"/>
  <c r="K5" i="94"/>
  <c r="G5" i="94"/>
  <c r="G6" i="104"/>
  <c r="G6" i="108" s="1"/>
  <c r="G6" i="110"/>
  <c r="G6" i="100"/>
  <c r="G6" i="98"/>
  <c r="G6" i="96"/>
  <c r="G6" i="109" s="1"/>
  <c r="G6" i="103"/>
  <c r="G6" i="107" s="1"/>
  <c r="G6" i="105"/>
  <c r="G6" i="101"/>
  <c r="G6" i="95"/>
  <c r="D6" i="104"/>
  <c r="D6" i="108" s="1"/>
  <c r="D6" i="110"/>
  <c r="D6" i="109"/>
  <c r="D6" i="100"/>
  <c r="D6" i="98"/>
  <c r="D6" i="96"/>
  <c r="D6" i="103"/>
  <c r="D6" i="107" s="1"/>
  <c r="D6" i="105"/>
  <c r="D6" i="101"/>
  <c r="D6" i="95"/>
  <c r="D5" i="104"/>
  <c r="D5" i="110"/>
  <c r="D5" i="109"/>
  <c r="D5" i="100"/>
  <c r="D5" i="98"/>
  <c r="D5" i="96"/>
  <c r="D5" i="94"/>
  <c r="K6" i="107" l="1"/>
  <c r="K6" i="104"/>
  <c r="K6" i="108" s="1"/>
  <c r="K6" i="111" s="1"/>
  <c r="K5" i="104"/>
  <c r="K5" i="108" s="1"/>
  <c r="K5" i="111" s="1"/>
  <c r="K5" i="107"/>
  <c r="G5" i="107"/>
  <c r="G5" i="104"/>
  <c r="G5" i="108" s="1"/>
  <c r="G5" i="111" s="1"/>
  <c r="AC33" i="110"/>
  <c r="AA33" i="110"/>
  <c r="Y33" i="110"/>
  <c r="W33" i="110"/>
  <c r="U33" i="110"/>
  <c r="S33" i="110"/>
  <c r="AA32" i="110"/>
  <c r="W32" i="110"/>
  <c r="S32" i="110"/>
  <c r="AC31" i="110"/>
  <c r="AA31" i="110"/>
  <c r="Y31" i="110"/>
  <c r="W31" i="110"/>
  <c r="U31" i="110"/>
  <c r="S31" i="110"/>
  <c r="AA30" i="110"/>
  <c r="W30" i="110"/>
  <c r="S30" i="110"/>
  <c r="AC29" i="110"/>
  <c r="AA29" i="110"/>
  <c r="Y29" i="110"/>
  <c r="W29" i="110"/>
  <c r="U29" i="110"/>
  <c r="S29" i="110"/>
  <c r="AA28" i="110"/>
  <c r="W28" i="110"/>
  <c r="S28" i="110"/>
  <c r="AC27" i="110"/>
  <c r="AA27" i="110"/>
  <c r="Y27" i="110"/>
  <c r="W27" i="110"/>
  <c r="U27" i="110"/>
  <c r="S27" i="110"/>
  <c r="AA26" i="110"/>
  <c r="W26" i="110"/>
  <c r="S26" i="110"/>
  <c r="AC25" i="110"/>
  <c r="AA25" i="110"/>
  <c r="Y25" i="110"/>
  <c r="W25" i="110"/>
  <c r="U25" i="110"/>
  <c r="S25" i="110"/>
  <c r="AA24" i="110"/>
  <c r="W24" i="110"/>
  <c r="S24" i="110"/>
  <c r="AC23" i="110"/>
  <c r="AA23" i="110"/>
  <c r="Y23" i="110"/>
  <c r="W23" i="110"/>
  <c r="U23" i="110"/>
  <c r="S23" i="110"/>
  <c r="AA22" i="110"/>
  <c r="W22" i="110"/>
  <c r="S22" i="110"/>
  <c r="AA21" i="110"/>
  <c r="W21" i="110"/>
  <c r="S21" i="110"/>
  <c r="AA20" i="110"/>
  <c r="W20" i="110"/>
  <c r="S20" i="110"/>
  <c r="AA19" i="110"/>
  <c r="W19" i="110"/>
  <c r="S19" i="110"/>
  <c r="AA18" i="110"/>
  <c r="Y18" i="110"/>
  <c r="W18" i="110"/>
  <c r="U18" i="110"/>
  <c r="S18" i="110"/>
  <c r="AC17" i="110"/>
  <c r="AB17" i="110"/>
  <c r="AA17" i="110"/>
  <c r="Z17" i="110"/>
  <c r="Y17" i="110"/>
  <c r="X17" i="110"/>
  <c r="W17" i="110"/>
  <c r="V17" i="110"/>
  <c r="U17" i="110"/>
  <c r="T17" i="110"/>
  <c r="AD16" i="110"/>
  <c r="AC16" i="110"/>
  <c r="AB16" i="110"/>
  <c r="AA16" i="110"/>
  <c r="Z16" i="110"/>
  <c r="Y16" i="110"/>
  <c r="X16" i="110"/>
  <c r="W16" i="110"/>
  <c r="V16" i="110"/>
  <c r="U16" i="110"/>
  <c r="T16" i="110"/>
  <c r="S16" i="110"/>
  <c r="AD17" i="110"/>
  <c r="C3" i="110"/>
  <c r="AC33" i="109"/>
  <c r="AA33" i="109"/>
  <c r="Y33" i="109"/>
  <c r="W33" i="109"/>
  <c r="U33" i="109"/>
  <c r="AA32" i="109"/>
  <c r="Y32" i="109"/>
  <c r="W32" i="109"/>
  <c r="U32" i="109"/>
  <c r="S32" i="109"/>
  <c r="AC31" i="109"/>
  <c r="AA31" i="109"/>
  <c r="Y31" i="109"/>
  <c r="W31" i="109"/>
  <c r="U31" i="109"/>
  <c r="AC30" i="109"/>
  <c r="AA30" i="109"/>
  <c r="Y30" i="109"/>
  <c r="W30" i="109"/>
  <c r="U30" i="109"/>
  <c r="S30" i="109"/>
  <c r="AC29" i="109"/>
  <c r="AA29" i="109"/>
  <c r="Y29" i="109"/>
  <c r="W29" i="109"/>
  <c r="U29" i="109"/>
  <c r="AC28" i="109"/>
  <c r="AA28" i="109"/>
  <c r="Y28" i="109"/>
  <c r="W28" i="109"/>
  <c r="U28" i="109"/>
  <c r="S28" i="109"/>
  <c r="AC27" i="109"/>
  <c r="AA27" i="109"/>
  <c r="Y27" i="109"/>
  <c r="W27" i="109"/>
  <c r="U27" i="109"/>
  <c r="AC26" i="109"/>
  <c r="AA26" i="109"/>
  <c r="Y26" i="109"/>
  <c r="W26" i="109"/>
  <c r="U26" i="109"/>
  <c r="S26" i="109"/>
  <c r="AC25" i="109"/>
  <c r="AA25" i="109"/>
  <c r="Y25" i="109"/>
  <c r="W25" i="109"/>
  <c r="U25" i="109"/>
  <c r="AC24" i="109"/>
  <c r="AA24" i="109"/>
  <c r="Y24" i="109"/>
  <c r="W24" i="109"/>
  <c r="U24" i="109"/>
  <c r="S24" i="109"/>
  <c r="AC23" i="109"/>
  <c r="AA23" i="109"/>
  <c r="Y23" i="109"/>
  <c r="W23" i="109"/>
  <c r="U23" i="109"/>
  <c r="AC22" i="109"/>
  <c r="AA22" i="109"/>
  <c r="Y22" i="109"/>
  <c r="W22" i="109"/>
  <c r="S22" i="109"/>
  <c r="AC21" i="109"/>
  <c r="AA21" i="109"/>
  <c r="Y21" i="109"/>
  <c r="W21" i="109"/>
  <c r="U21" i="109"/>
  <c r="S21" i="109"/>
  <c r="AC20" i="109"/>
  <c r="AA20" i="109"/>
  <c r="Y20" i="109"/>
  <c r="W20" i="109"/>
  <c r="U20" i="109"/>
  <c r="S20" i="109"/>
  <c r="AC19" i="109"/>
  <c r="AA19" i="109"/>
  <c r="Y19" i="109"/>
  <c r="W19" i="109"/>
  <c r="U19" i="109"/>
  <c r="S19" i="109"/>
  <c r="AC18" i="109"/>
  <c r="AA18" i="109"/>
  <c r="Y18" i="109"/>
  <c r="W18" i="109"/>
  <c r="U18" i="109"/>
  <c r="S18" i="109"/>
  <c r="AB17" i="109"/>
  <c r="AA17" i="109"/>
  <c r="Z17" i="109"/>
  <c r="Y17" i="109"/>
  <c r="X17" i="109"/>
  <c r="W17" i="109"/>
  <c r="V17" i="109"/>
  <c r="U17" i="109"/>
  <c r="T17" i="109"/>
  <c r="AD16" i="109"/>
  <c r="AC16" i="109"/>
  <c r="AB16" i="109"/>
  <c r="AA16" i="109"/>
  <c r="Z16" i="109"/>
  <c r="Y16" i="109"/>
  <c r="X16" i="109"/>
  <c r="W16" i="109"/>
  <c r="V16" i="109"/>
  <c r="U16" i="109"/>
  <c r="T16" i="109"/>
  <c r="Z15" i="109"/>
  <c r="AD14" i="109"/>
  <c r="AD17" i="109"/>
  <c r="C3" i="109"/>
  <c r="C3" i="104"/>
  <c r="C3" i="103"/>
  <c r="C3" i="105"/>
  <c r="C3" i="100"/>
  <c r="C3" i="99"/>
  <c r="C3" i="98"/>
  <c r="C3" i="97"/>
  <c r="C3" i="96"/>
  <c r="C3" i="95"/>
  <c r="AC33" i="105"/>
  <c r="AB33" i="105"/>
  <c r="Z33" i="105"/>
  <c r="Y33" i="105"/>
  <c r="X33" i="105"/>
  <c r="W33" i="105"/>
  <c r="V33" i="105"/>
  <c r="U33" i="105"/>
  <c r="T33" i="105"/>
  <c r="AD32" i="105"/>
  <c r="AC32" i="105"/>
  <c r="AB32" i="105"/>
  <c r="AA32" i="105"/>
  <c r="Z32" i="105"/>
  <c r="Y32" i="105"/>
  <c r="X32" i="105"/>
  <c r="W32" i="105"/>
  <c r="V32" i="105"/>
  <c r="U32" i="105"/>
  <c r="T32" i="105"/>
  <c r="AD31" i="105"/>
  <c r="AC31" i="105"/>
  <c r="AB31" i="105"/>
  <c r="AA31" i="105"/>
  <c r="Z31" i="105"/>
  <c r="Y31" i="105"/>
  <c r="X31" i="105"/>
  <c r="W31" i="105"/>
  <c r="V31" i="105"/>
  <c r="U31" i="105"/>
  <c r="T31" i="105"/>
  <c r="AD30" i="105"/>
  <c r="AC30" i="105"/>
  <c r="AB30" i="105"/>
  <c r="AA30" i="105"/>
  <c r="Z30" i="105"/>
  <c r="Y30" i="105"/>
  <c r="X30" i="105"/>
  <c r="W30" i="105"/>
  <c r="V30" i="105"/>
  <c r="U30" i="105"/>
  <c r="T30" i="105"/>
  <c r="AC29" i="105"/>
  <c r="AB29" i="105"/>
  <c r="AA29" i="105"/>
  <c r="Z29" i="105"/>
  <c r="Y29" i="105"/>
  <c r="X29" i="105"/>
  <c r="W29" i="105"/>
  <c r="V29" i="105"/>
  <c r="U29" i="105"/>
  <c r="T29" i="105"/>
  <c r="AD28" i="105"/>
  <c r="AC28" i="105"/>
  <c r="AB28" i="105"/>
  <c r="AA28" i="105"/>
  <c r="Z28" i="105"/>
  <c r="Y28" i="105"/>
  <c r="X28" i="105"/>
  <c r="W28" i="105"/>
  <c r="V28" i="105"/>
  <c r="U28" i="105"/>
  <c r="T28" i="105"/>
  <c r="AD27" i="105"/>
  <c r="AC27" i="105"/>
  <c r="AB27" i="105"/>
  <c r="AA27" i="105"/>
  <c r="Z27" i="105"/>
  <c r="Y27" i="105"/>
  <c r="X27" i="105"/>
  <c r="W27" i="105"/>
  <c r="V27" i="105"/>
  <c r="U27" i="105"/>
  <c r="T27" i="105"/>
  <c r="AD26" i="105"/>
  <c r="AC26" i="105"/>
  <c r="AB26" i="105"/>
  <c r="AA26" i="105"/>
  <c r="Z26" i="105"/>
  <c r="Y26" i="105"/>
  <c r="X26" i="105"/>
  <c r="W26" i="105"/>
  <c r="V26" i="105"/>
  <c r="U26" i="105"/>
  <c r="T26" i="105"/>
  <c r="AD25" i="105"/>
  <c r="AC25" i="105"/>
  <c r="AB25" i="105"/>
  <c r="AA25" i="105"/>
  <c r="Z25" i="105"/>
  <c r="Y25" i="105"/>
  <c r="X25" i="105"/>
  <c r="W25" i="105"/>
  <c r="V25" i="105"/>
  <c r="U25" i="105"/>
  <c r="T25" i="105"/>
  <c r="AD24" i="105"/>
  <c r="AC24" i="105"/>
  <c r="AB24" i="105"/>
  <c r="AA24" i="105"/>
  <c r="Z24" i="105"/>
  <c r="X24" i="105"/>
  <c r="W24" i="105"/>
  <c r="V24" i="105"/>
  <c r="U24" i="105"/>
  <c r="T24" i="105"/>
  <c r="AD23" i="105"/>
  <c r="AC23" i="105"/>
  <c r="AB23" i="105"/>
  <c r="AA23" i="105"/>
  <c r="Z23" i="105"/>
  <c r="Y23" i="105"/>
  <c r="X23" i="105"/>
  <c r="V23" i="105"/>
  <c r="U23" i="105"/>
  <c r="AD22" i="105"/>
  <c r="AC22" i="105"/>
  <c r="AB22" i="105"/>
  <c r="AA22" i="105"/>
  <c r="Z22" i="105"/>
  <c r="Y22" i="105"/>
  <c r="X22" i="105"/>
  <c r="W22" i="105"/>
  <c r="V22" i="105"/>
  <c r="U22" i="105"/>
  <c r="T22" i="105"/>
  <c r="S22" i="105"/>
  <c r="AD21" i="105"/>
  <c r="AC21" i="105"/>
  <c r="AB21" i="105"/>
  <c r="AA21" i="105"/>
  <c r="Z21" i="105"/>
  <c r="Y21" i="105"/>
  <c r="X21" i="105"/>
  <c r="W21" i="105"/>
  <c r="V21" i="105"/>
  <c r="U21" i="105"/>
  <c r="T21" i="105"/>
  <c r="AD20" i="105"/>
  <c r="AC20" i="105"/>
  <c r="AA20" i="105"/>
  <c r="Z20" i="105"/>
  <c r="Y20" i="105"/>
  <c r="X20" i="105"/>
  <c r="W20" i="105"/>
  <c r="V20" i="105"/>
  <c r="S20" i="105"/>
  <c r="AD19" i="105"/>
  <c r="AC19" i="105"/>
  <c r="AB19" i="105"/>
  <c r="AA19" i="105"/>
  <c r="Z19" i="105"/>
  <c r="Y19" i="105"/>
  <c r="X19" i="105"/>
  <c r="W19" i="105"/>
  <c r="V19" i="105"/>
  <c r="V39" i="105" s="1"/>
  <c r="U19" i="105"/>
  <c r="T19" i="105"/>
  <c r="S19" i="105"/>
  <c r="AD18" i="105"/>
  <c r="AC18" i="105"/>
  <c r="AB18" i="105"/>
  <c r="AA18" i="105"/>
  <c r="Z18" i="105"/>
  <c r="Y18" i="105"/>
  <c r="X18" i="105"/>
  <c r="W18" i="105"/>
  <c r="V18" i="105"/>
  <c r="U18" i="105"/>
  <c r="T18" i="105"/>
  <c r="S18" i="105"/>
  <c r="AD17" i="105"/>
  <c r="AC17" i="105"/>
  <c r="AB17" i="105"/>
  <c r="AA17" i="105"/>
  <c r="Z17" i="105"/>
  <c r="Y17" i="105"/>
  <c r="X17" i="105"/>
  <c r="W17" i="105"/>
  <c r="V17" i="105"/>
  <c r="U17" i="105"/>
  <c r="T17" i="105"/>
  <c r="S17" i="105"/>
  <c r="AD16" i="105"/>
  <c r="AC16" i="105"/>
  <c r="AB16" i="105"/>
  <c r="AA16" i="105"/>
  <c r="Z16" i="105"/>
  <c r="Y16" i="105"/>
  <c r="X16" i="105"/>
  <c r="W16" i="105"/>
  <c r="V16" i="105"/>
  <c r="U16" i="105"/>
  <c r="T16" i="105"/>
  <c r="S16" i="105"/>
  <c r="AD33" i="105"/>
  <c r="X12" i="105"/>
  <c r="AB11" i="105"/>
  <c r="X11" i="105"/>
  <c r="T11" i="105"/>
  <c r="AA21" i="104"/>
  <c r="AC20" i="104"/>
  <c r="AA20" i="104"/>
  <c r="Y20" i="104"/>
  <c r="W20" i="104"/>
  <c r="U20" i="104"/>
  <c r="AA19" i="104"/>
  <c r="AC18" i="104"/>
  <c r="AA18" i="104"/>
  <c r="Y18" i="104"/>
  <c r="W18" i="104"/>
  <c r="U18" i="104"/>
  <c r="AA17" i="104"/>
  <c r="AC16" i="104"/>
  <c r="AA16" i="104"/>
  <c r="Y16" i="104"/>
  <c r="W16" i="104"/>
  <c r="U16" i="104"/>
  <c r="AA15" i="104"/>
  <c r="AD14" i="104"/>
  <c r="AC14" i="104"/>
  <c r="AB14" i="104"/>
  <c r="AA14" i="104"/>
  <c r="Z14" i="104"/>
  <c r="Y14" i="104"/>
  <c r="X14" i="104"/>
  <c r="W14" i="104"/>
  <c r="V14" i="104"/>
  <c r="U14" i="104"/>
  <c r="S14" i="104"/>
  <c r="AC13" i="104"/>
  <c r="AA13" i="104"/>
  <c r="Y13" i="104"/>
  <c r="W13" i="104"/>
  <c r="U13" i="104"/>
  <c r="AD12" i="104"/>
  <c r="Z12" i="104"/>
  <c r="V12" i="104"/>
  <c r="AD11" i="104"/>
  <c r="Z11" i="104"/>
  <c r="V11" i="104"/>
  <c r="AB16" i="103"/>
  <c r="Z16" i="103"/>
  <c r="X16" i="103"/>
  <c r="V16" i="103"/>
  <c r="T16" i="103"/>
  <c r="AD15" i="103"/>
  <c r="AB15" i="103"/>
  <c r="Z15" i="103"/>
  <c r="X15" i="103"/>
  <c r="V15" i="103"/>
  <c r="T15" i="103"/>
  <c r="AD14" i="103"/>
  <c r="AC14" i="103"/>
  <c r="AA14" i="103"/>
  <c r="Z14" i="103"/>
  <c r="Y14" i="103"/>
  <c r="W14" i="103"/>
  <c r="V14" i="103"/>
  <c r="U14" i="103"/>
  <c r="AD13" i="103"/>
  <c r="Z13" i="103"/>
  <c r="V13" i="103"/>
  <c r="AD21" i="103"/>
  <c r="AC21" i="103"/>
  <c r="AB21" i="103"/>
  <c r="AA21" i="103"/>
  <c r="Z21" i="103"/>
  <c r="Y21" i="103"/>
  <c r="X21" i="103"/>
  <c r="W21" i="103"/>
  <c r="V21" i="103"/>
  <c r="U21" i="103"/>
  <c r="T21" i="103"/>
  <c r="S21" i="103"/>
  <c r="AD20" i="103"/>
  <c r="AC20" i="103"/>
  <c r="AB20" i="103"/>
  <c r="AA20" i="103"/>
  <c r="Z20" i="103"/>
  <c r="Y20" i="103"/>
  <c r="X20" i="103"/>
  <c r="W20" i="103"/>
  <c r="V20" i="103"/>
  <c r="U20" i="103"/>
  <c r="T20" i="103"/>
  <c r="S20" i="103"/>
  <c r="AD19" i="103"/>
  <c r="AC19" i="103"/>
  <c r="AB19" i="103"/>
  <c r="AA19" i="103"/>
  <c r="AA27" i="103" s="1"/>
  <c r="Z19" i="103"/>
  <c r="Z27" i="103" s="1"/>
  <c r="Y19" i="103"/>
  <c r="Y27" i="103" s="1"/>
  <c r="X19" i="103"/>
  <c r="X27" i="103" s="1"/>
  <c r="W19" i="103"/>
  <c r="V19" i="103"/>
  <c r="U19" i="103"/>
  <c r="T19" i="103"/>
  <c r="S19" i="103"/>
  <c r="S27" i="103" s="1"/>
  <c r="AD18" i="103"/>
  <c r="AC18" i="103"/>
  <c r="AB18" i="103"/>
  <c r="AA18" i="103"/>
  <c r="Z18" i="103"/>
  <c r="Y18" i="103"/>
  <c r="X18" i="103"/>
  <c r="W18" i="103"/>
  <c r="V18" i="103"/>
  <c r="U18" i="103"/>
  <c r="T18" i="103"/>
  <c r="S18" i="103"/>
  <c r="AD12" i="103"/>
  <c r="AC12" i="103"/>
  <c r="AB12" i="103"/>
  <c r="AA12" i="103"/>
  <c r="Z12" i="103"/>
  <c r="Y12" i="103"/>
  <c r="X12" i="103"/>
  <c r="W12" i="103"/>
  <c r="V12" i="103"/>
  <c r="U12" i="103"/>
  <c r="T12" i="103"/>
  <c r="AD17" i="103"/>
  <c r="AC17" i="103"/>
  <c r="AB17" i="103"/>
  <c r="AA17" i="103"/>
  <c r="Z17" i="103"/>
  <c r="Y17" i="103"/>
  <c r="X17" i="103"/>
  <c r="W17" i="103"/>
  <c r="V17" i="103"/>
  <c r="U17" i="103"/>
  <c r="T17" i="103"/>
  <c r="S17" i="103"/>
  <c r="AD16" i="103"/>
  <c r="AD21" i="101"/>
  <c r="AC21" i="101"/>
  <c r="AB21" i="101"/>
  <c r="AA21" i="101"/>
  <c r="Z21" i="101"/>
  <c r="Y21" i="101"/>
  <c r="W21" i="101"/>
  <c r="V21" i="101"/>
  <c r="U21" i="101"/>
  <c r="T21" i="101"/>
  <c r="S21" i="101"/>
  <c r="AD20" i="101"/>
  <c r="AC20" i="101"/>
  <c r="AB20" i="101"/>
  <c r="AA20" i="101"/>
  <c r="Z20" i="101"/>
  <c r="Y20" i="101"/>
  <c r="X20" i="101"/>
  <c r="W20" i="101"/>
  <c r="V20" i="101"/>
  <c r="U20" i="101"/>
  <c r="T20" i="101"/>
  <c r="S20" i="101"/>
  <c r="AD19" i="101"/>
  <c r="AC19" i="101"/>
  <c r="AB19" i="101"/>
  <c r="AA19" i="101"/>
  <c r="Z19" i="101"/>
  <c r="Y19" i="101"/>
  <c r="X19" i="101"/>
  <c r="W19" i="101"/>
  <c r="W39" i="101" s="1"/>
  <c r="V19" i="101"/>
  <c r="U19" i="101"/>
  <c r="T19" i="101"/>
  <c r="S19" i="101"/>
  <c r="AD18" i="101"/>
  <c r="AC18" i="101"/>
  <c r="AB18" i="101"/>
  <c r="AA18" i="101"/>
  <c r="Z18" i="101"/>
  <c r="Y18" i="101"/>
  <c r="X18" i="101"/>
  <c r="W18" i="101"/>
  <c r="V18" i="101"/>
  <c r="U18" i="101"/>
  <c r="T18" i="101"/>
  <c r="S18" i="101"/>
  <c r="AD17" i="101"/>
  <c r="AC17" i="101"/>
  <c r="AB17" i="101"/>
  <c r="AA17" i="101"/>
  <c r="Y17" i="101"/>
  <c r="X17" i="101"/>
  <c r="W17" i="101"/>
  <c r="V17" i="101"/>
  <c r="U17" i="101"/>
  <c r="T17" i="101"/>
  <c r="AD16" i="101"/>
  <c r="AC16" i="101"/>
  <c r="AB16" i="101"/>
  <c r="AA16" i="101"/>
  <c r="Z16" i="101"/>
  <c r="Y16" i="101"/>
  <c r="X16" i="101"/>
  <c r="W16" i="101"/>
  <c r="V16" i="101"/>
  <c r="U16" i="101"/>
  <c r="T16" i="101"/>
  <c r="S16" i="101"/>
  <c r="AD15" i="101"/>
  <c r="AC15" i="101"/>
  <c r="AB15" i="101"/>
  <c r="AA15" i="101"/>
  <c r="Z15" i="101"/>
  <c r="X15" i="101"/>
  <c r="W15" i="101"/>
  <c r="V15" i="101"/>
  <c r="T15" i="101"/>
  <c r="S15" i="101"/>
  <c r="AD14" i="101"/>
  <c r="AC14" i="101"/>
  <c r="AA14" i="101"/>
  <c r="Z14" i="101"/>
  <c r="W14" i="101"/>
  <c r="U14" i="101"/>
  <c r="AD13" i="101"/>
  <c r="AD38" i="101" s="1"/>
  <c r="V13" i="101"/>
  <c r="AA21" i="100"/>
  <c r="AC20" i="100"/>
  <c r="AA20" i="100"/>
  <c r="Y20" i="100"/>
  <c r="W20" i="100"/>
  <c r="AA19" i="100"/>
  <c r="AC18" i="100"/>
  <c r="AA18" i="100"/>
  <c r="Y18" i="100"/>
  <c r="W18" i="100"/>
  <c r="U18" i="100"/>
  <c r="AA17" i="100"/>
  <c r="AC16" i="100"/>
  <c r="Y16" i="100"/>
  <c r="W16" i="100"/>
  <c r="U16" i="100"/>
  <c r="AA15" i="100"/>
  <c r="AD14" i="100"/>
  <c r="AC14" i="100"/>
  <c r="AB14" i="100"/>
  <c r="AA14" i="100"/>
  <c r="Z14" i="100"/>
  <c r="X14" i="100"/>
  <c r="W14" i="100"/>
  <c r="V14" i="100"/>
  <c r="U14" i="100"/>
  <c r="S14" i="100"/>
  <c r="AC13" i="100"/>
  <c r="AA13" i="100"/>
  <c r="W13" i="100"/>
  <c r="U13" i="100"/>
  <c r="AB12" i="100"/>
  <c r="T12" i="100"/>
  <c r="AB11" i="100"/>
  <c r="X11" i="100"/>
  <c r="T11" i="100"/>
  <c r="AD21" i="99"/>
  <c r="AC21" i="99"/>
  <c r="AB21" i="99"/>
  <c r="AA21" i="99"/>
  <c r="Z21" i="99"/>
  <c r="Y21" i="99"/>
  <c r="X21" i="99"/>
  <c r="W21" i="99"/>
  <c r="V21" i="99"/>
  <c r="U21" i="99"/>
  <c r="T21" i="99"/>
  <c r="S21" i="99"/>
  <c r="AD20" i="99"/>
  <c r="AA20" i="99"/>
  <c r="Z20" i="99"/>
  <c r="W20" i="99"/>
  <c r="V20" i="99"/>
  <c r="U20" i="99"/>
  <c r="T20" i="99"/>
  <c r="S20" i="99"/>
  <c r="AD19" i="99"/>
  <c r="AC19" i="99"/>
  <c r="AB19" i="99"/>
  <c r="AA19" i="99"/>
  <c r="Z19" i="99"/>
  <c r="Y19" i="99"/>
  <c r="X19" i="99"/>
  <c r="W19" i="99"/>
  <c r="W27" i="99" s="1"/>
  <c r="V19" i="99"/>
  <c r="U19" i="99"/>
  <c r="T19" i="99"/>
  <c r="S19" i="99"/>
  <c r="AD18" i="99"/>
  <c r="AC18" i="99"/>
  <c r="AB18" i="99"/>
  <c r="AA18" i="99"/>
  <c r="Z18" i="99"/>
  <c r="Y18" i="99"/>
  <c r="X18" i="99"/>
  <c r="W18" i="99"/>
  <c r="V18" i="99"/>
  <c r="U18" i="99"/>
  <c r="T18" i="99"/>
  <c r="S18" i="99"/>
  <c r="AD17" i="99"/>
  <c r="AC17" i="99"/>
  <c r="AB17" i="99"/>
  <c r="AA17" i="99"/>
  <c r="Z17" i="99"/>
  <c r="Y17" i="99"/>
  <c r="X17" i="99"/>
  <c r="W17" i="99"/>
  <c r="V17" i="99"/>
  <c r="U17" i="99"/>
  <c r="T17" i="99"/>
  <c r="S17" i="99"/>
  <c r="AD16" i="99"/>
  <c r="AC16" i="99"/>
  <c r="AB16" i="99"/>
  <c r="AA16" i="99"/>
  <c r="Z16" i="99"/>
  <c r="Y16" i="99"/>
  <c r="X16" i="99"/>
  <c r="V16" i="99"/>
  <c r="U16" i="99"/>
  <c r="T16" i="99"/>
  <c r="S16" i="99"/>
  <c r="AD15" i="99"/>
  <c r="AC15" i="99"/>
  <c r="AB15" i="99"/>
  <c r="AA15" i="99"/>
  <c r="Z15" i="99"/>
  <c r="Y15" i="99"/>
  <c r="X15" i="99"/>
  <c r="W15" i="99"/>
  <c r="V15" i="99"/>
  <c r="T15" i="99"/>
  <c r="S15" i="99"/>
  <c r="AD14" i="99"/>
  <c r="AC14" i="99"/>
  <c r="AA14" i="99"/>
  <c r="Z14" i="99"/>
  <c r="Y14" i="99"/>
  <c r="W14" i="99"/>
  <c r="U14" i="99"/>
  <c r="V13" i="99"/>
  <c r="AC21" i="98"/>
  <c r="AB21" i="98"/>
  <c r="AA21" i="98"/>
  <c r="Y21" i="98"/>
  <c r="X21" i="98"/>
  <c r="W21" i="98"/>
  <c r="U21" i="98"/>
  <c r="AC20" i="98"/>
  <c r="AB20" i="98"/>
  <c r="AA20" i="98"/>
  <c r="Z20" i="98"/>
  <c r="Y20" i="98"/>
  <c r="X20" i="98"/>
  <c r="V20" i="98"/>
  <c r="U20" i="98"/>
  <c r="T20" i="98"/>
  <c r="AD19" i="98"/>
  <c r="AC19" i="98"/>
  <c r="AA19" i="98"/>
  <c r="Y19" i="98"/>
  <c r="X19" i="98"/>
  <c r="W19" i="98"/>
  <c r="V19" i="98"/>
  <c r="U19" i="98"/>
  <c r="T19" i="98"/>
  <c r="AC18" i="98"/>
  <c r="AB18" i="98"/>
  <c r="AA18" i="98"/>
  <c r="Z18" i="98"/>
  <c r="Y18" i="98"/>
  <c r="X18" i="98"/>
  <c r="W18" i="98"/>
  <c r="U18" i="98"/>
  <c r="AD17" i="98"/>
  <c r="AC17" i="98"/>
  <c r="AA17" i="98"/>
  <c r="Z17" i="98"/>
  <c r="Y17" i="98"/>
  <c r="X17" i="98"/>
  <c r="W17" i="98"/>
  <c r="V17" i="98"/>
  <c r="U17" i="98"/>
  <c r="T17" i="98"/>
  <c r="AD16" i="98"/>
  <c r="AB16" i="98"/>
  <c r="AA16" i="98"/>
  <c r="Z16" i="98"/>
  <c r="Y16" i="98"/>
  <c r="X16" i="98"/>
  <c r="W16" i="98"/>
  <c r="V16" i="98"/>
  <c r="U16" i="98"/>
  <c r="T16" i="98"/>
  <c r="AD15" i="98"/>
  <c r="AC15" i="98"/>
  <c r="AB15" i="98"/>
  <c r="AA15" i="98"/>
  <c r="Z15" i="98"/>
  <c r="Y15" i="98"/>
  <c r="X15" i="98"/>
  <c r="W15" i="98"/>
  <c r="U15" i="98"/>
  <c r="T15" i="98"/>
  <c r="AD14" i="98"/>
  <c r="AC14" i="98"/>
  <c r="AB14" i="98"/>
  <c r="AA14" i="98"/>
  <c r="Z14" i="98"/>
  <c r="Y14" i="98"/>
  <c r="X14" i="98"/>
  <c r="W14" i="98"/>
  <c r="U14" i="98"/>
  <c r="T14" i="98"/>
  <c r="AC13" i="98"/>
  <c r="AB13" i="98"/>
  <c r="AA13" i="98"/>
  <c r="Z13" i="98"/>
  <c r="Y13" i="98"/>
  <c r="X13" i="98"/>
  <c r="W13" i="98"/>
  <c r="V13" i="98"/>
  <c r="U13" i="98"/>
  <c r="T13" i="98"/>
  <c r="AD21" i="98"/>
  <c r="AC18" i="97"/>
  <c r="AA18" i="97"/>
  <c r="Z18" i="97"/>
  <c r="Y18" i="97"/>
  <c r="X18" i="97"/>
  <c r="W18" i="97"/>
  <c r="V18" i="97"/>
  <c r="U18" i="97"/>
  <c r="T18" i="97"/>
  <c r="AD17" i="97"/>
  <c r="AC17" i="97"/>
  <c r="AB17" i="97"/>
  <c r="AA17" i="97"/>
  <c r="Z17" i="97"/>
  <c r="Y17" i="97"/>
  <c r="X17" i="97"/>
  <c r="V17" i="97"/>
  <c r="T17" i="97"/>
  <c r="S17" i="97"/>
  <c r="AB16" i="97"/>
  <c r="AA16" i="97"/>
  <c r="Z16" i="97"/>
  <c r="Y16" i="97"/>
  <c r="W16" i="97"/>
  <c r="V16" i="97"/>
  <c r="U16" i="97"/>
  <c r="T16" i="97"/>
  <c r="S16" i="97"/>
  <c r="AD15" i="97"/>
  <c r="AC15" i="97"/>
  <c r="AB15" i="97"/>
  <c r="AA15" i="97"/>
  <c r="Z15" i="97"/>
  <c r="X15" i="97"/>
  <c r="W15" i="97"/>
  <c r="V15" i="97"/>
  <c r="U15" i="97"/>
  <c r="T15" i="97"/>
  <c r="S15" i="97"/>
  <c r="AD14" i="97"/>
  <c r="AC14" i="97"/>
  <c r="AB14" i="97"/>
  <c r="AA14" i="97"/>
  <c r="Z14" i="97"/>
  <c r="Y14" i="97"/>
  <c r="X14" i="97"/>
  <c r="W14" i="97"/>
  <c r="U14" i="97"/>
  <c r="T14" i="97"/>
  <c r="S14" i="97"/>
  <c r="AD13" i="97"/>
  <c r="AC13" i="97"/>
  <c r="AB13" i="97"/>
  <c r="AA13" i="97"/>
  <c r="Z13" i="97"/>
  <c r="Y13" i="97"/>
  <c r="X13" i="97"/>
  <c r="W13" i="97"/>
  <c r="U13" i="97"/>
  <c r="T13" i="97"/>
  <c r="AD21" i="97"/>
  <c r="AC21" i="97"/>
  <c r="AB21" i="97"/>
  <c r="AA21" i="97"/>
  <c r="Z21" i="97"/>
  <c r="Y21" i="97"/>
  <c r="X21" i="97"/>
  <c r="W21" i="97"/>
  <c r="V21" i="97"/>
  <c r="U21" i="97"/>
  <c r="T21" i="97"/>
  <c r="S21" i="97"/>
  <c r="AD20" i="97"/>
  <c r="AC20" i="97"/>
  <c r="AB20" i="97"/>
  <c r="AA20" i="97"/>
  <c r="Z20" i="97"/>
  <c r="Y20" i="97"/>
  <c r="X20" i="97"/>
  <c r="W20" i="97"/>
  <c r="V20" i="97"/>
  <c r="U20" i="97"/>
  <c r="T20" i="97"/>
  <c r="S20" i="97"/>
  <c r="AD19" i="97"/>
  <c r="AC19" i="97"/>
  <c r="AB19" i="97"/>
  <c r="AA19" i="97"/>
  <c r="Z19" i="97"/>
  <c r="Z27" i="97" s="1"/>
  <c r="Y19" i="97"/>
  <c r="X19" i="97"/>
  <c r="W19" i="97"/>
  <c r="V19" i="97"/>
  <c r="U19" i="97"/>
  <c r="T19" i="97"/>
  <c r="S19" i="97"/>
  <c r="AD18" i="97"/>
  <c r="W17" i="97"/>
  <c r="AC11" i="97"/>
  <c r="AC21" i="96"/>
  <c r="AB21" i="96"/>
  <c r="AA21" i="96"/>
  <c r="Z21" i="96"/>
  <c r="X21" i="96"/>
  <c r="W21" i="96"/>
  <c r="V21" i="96"/>
  <c r="U21" i="96"/>
  <c r="T21" i="96"/>
  <c r="AD20" i="96"/>
  <c r="AC20" i="96"/>
  <c r="AB20" i="96"/>
  <c r="AA20" i="96"/>
  <c r="Z20" i="96"/>
  <c r="Y20" i="96"/>
  <c r="X20" i="96"/>
  <c r="V20" i="96"/>
  <c r="U20" i="96"/>
  <c r="T20" i="96"/>
  <c r="AD19" i="96"/>
  <c r="AC19" i="96"/>
  <c r="AB19" i="96"/>
  <c r="AA19" i="96"/>
  <c r="Z19" i="96"/>
  <c r="Y19" i="96"/>
  <c r="X19" i="96"/>
  <c r="W19" i="96"/>
  <c r="V19" i="96"/>
  <c r="U19" i="96"/>
  <c r="T19" i="96"/>
  <c r="AD18" i="96"/>
  <c r="AC18" i="96"/>
  <c r="AB18" i="96"/>
  <c r="Z18" i="96"/>
  <c r="X18" i="96"/>
  <c r="W18" i="96"/>
  <c r="V18" i="96"/>
  <c r="U18" i="96"/>
  <c r="T18" i="96"/>
  <c r="AD17" i="96"/>
  <c r="AC17" i="96"/>
  <c r="AB17" i="96"/>
  <c r="AA17" i="96"/>
  <c r="Z17" i="96"/>
  <c r="Y17" i="96"/>
  <c r="X17" i="96"/>
  <c r="V17" i="96"/>
  <c r="T17" i="96"/>
  <c r="AB16" i="96"/>
  <c r="AA16" i="96"/>
  <c r="Z16" i="96"/>
  <c r="X16" i="96"/>
  <c r="V16" i="96"/>
  <c r="U16" i="96"/>
  <c r="AD15" i="96"/>
  <c r="AC15" i="96"/>
  <c r="AB15" i="96"/>
  <c r="AA15" i="96"/>
  <c r="Z15" i="96"/>
  <c r="Y15" i="96"/>
  <c r="W15" i="96"/>
  <c r="V15" i="96"/>
  <c r="U15" i="96"/>
  <c r="T15" i="96"/>
  <c r="AD14" i="96"/>
  <c r="AB14" i="96"/>
  <c r="AA14" i="96"/>
  <c r="Z14" i="96"/>
  <c r="Y14" i="96"/>
  <c r="X14" i="96"/>
  <c r="W14" i="96"/>
  <c r="V14" i="96"/>
  <c r="T14" i="96"/>
  <c r="AD13" i="96"/>
  <c r="AC13" i="96"/>
  <c r="AA13" i="96"/>
  <c r="Z13" i="96"/>
  <c r="Y13" i="96"/>
  <c r="X13" i="96"/>
  <c r="W13" i="96"/>
  <c r="V13" i="96"/>
  <c r="U13" i="96"/>
  <c r="T13" i="96"/>
  <c r="AD21" i="96"/>
  <c r="AB21" i="95"/>
  <c r="AA21" i="95"/>
  <c r="Z21" i="95"/>
  <c r="Y21" i="95"/>
  <c r="X21" i="95"/>
  <c r="U21" i="95"/>
  <c r="T21" i="95"/>
  <c r="AD20" i="95"/>
  <c r="AB20" i="95"/>
  <c r="AA20" i="95"/>
  <c r="Z20" i="95"/>
  <c r="Y20" i="95"/>
  <c r="X20" i="95"/>
  <c r="W20" i="95"/>
  <c r="V20" i="95"/>
  <c r="T20" i="95"/>
  <c r="S20" i="95"/>
  <c r="AD19" i="95"/>
  <c r="AC19" i="95"/>
  <c r="AB19" i="95"/>
  <c r="AA19" i="95"/>
  <c r="Y19" i="95"/>
  <c r="X19" i="95"/>
  <c r="W19" i="95"/>
  <c r="U19" i="95"/>
  <c r="AD18" i="95"/>
  <c r="AB18" i="95"/>
  <c r="AA18" i="95"/>
  <c r="Y18" i="95"/>
  <c r="X18" i="95"/>
  <c r="W18" i="95"/>
  <c r="V18" i="95"/>
  <c r="U18" i="95"/>
  <c r="T18" i="95"/>
  <c r="AD17" i="95"/>
  <c r="AA17" i="95"/>
  <c r="Z17" i="95"/>
  <c r="Y17" i="95"/>
  <c r="X17" i="95"/>
  <c r="W17" i="95"/>
  <c r="V17" i="95"/>
  <c r="U17" i="95"/>
  <c r="T17" i="95"/>
  <c r="AD16" i="95"/>
  <c r="AA16" i="95"/>
  <c r="Z16" i="95"/>
  <c r="X16" i="95"/>
  <c r="W16" i="95"/>
  <c r="V16" i="95"/>
  <c r="U16" i="95"/>
  <c r="T16" i="95"/>
  <c r="AD15" i="95"/>
  <c r="AC15" i="95"/>
  <c r="AA15" i="95"/>
  <c r="Z15" i="95"/>
  <c r="Y15" i="95"/>
  <c r="X15" i="95"/>
  <c r="W15" i="95"/>
  <c r="U15" i="95"/>
  <c r="T15" i="95"/>
  <c r="AD14" i="95"/>
  <c r="AC14" i="95"/>
  <c r="AA14" i="95"/>
  <c r="Z14" i="95"/>
  <c r="Y14" i="95"/>
  <c r="X14" i="95"/>
  <c r="W14" i="95"/>
  <c r="V14" i="95"/>
  <c r="T14" i="95"/>
  <c r="AD13" i="95"/>
  <c r="AC13" i="95"/>
  <c r="AB13" i="95"/>
  <c r="AA13" i="95"/>
  <c r="W13" i="95"/>
  <c r="V13" i="95"/>
  <c r="U13" i="95"/>
  <c r="T13" i="95"/>
  <c r="AD21" i="95"/>
  <c r="AC20" i="95"/>
  <c r="T19" i="95"/>
  <c r="T27" i="97" l="1"/>
  <c r="AB27" i="97"/>
  <c r="S27" i="99"/>
  <c r="AA27" i="99"/>
  <c r="S39" i="101"/>
  <c r="T27" i="103"/>
  <c r="AB27" i="103"/>
  <c r="X39" i="105"/>
  <c r="AC39" i="109"/>
  <c r="V27" i="97"/>
  <c r="AD27" i="97"/>
  <c r="T27" i="99"/>
  <c r="U24" i="103"/>
  <c r="V27" i="103"/>
  <c r="AD27" i="103"/>
  <c r="Z39" i="105"/>
  <c r="U39" i="109"/>
  <c r="X27" i="97"/>
  <c r="V27" i="99"/>
  <c r="AD27" i="99"/>
  <c r="V39" i="101"/>
  <c r="W27" i="103"/>
  <c r="Y39" i="109"/>
  <c r="AA26" i="95"/>
  <c r="W39" i="105"/>
  <c r="AA39" i="105"/>
  <c r="AD39" i="105"/>
  <c r="AA39" i="101"/>
  <c r="X26" i="98"/>
  <c r="Z39" i="101"/>
  <c r="AB39" i="101"/>
  <c r="AD39" i="101"/>
  <c r="W26" i="95"/>
  <c r="AD26" i="95"/>
  <c r="C3" i="108"/>
  <c r="C3" i="111"/>
  <c r="C3" i="107"/>
  <c r="X15" i="96"/>
  <c r="X23" i="96" s="1"/>
  <c r="AD16" i="97"/>
  <c r="AD23" i="97" s="1"/>
  <c r="U20" i="100"/>
  <c r="T20" i="105"/>
  <c r="T39" i="105" s="1"/>
  <c r="AC17" i="95"/>
  <c r="AB13" i="96"/>
  <c r="AB26" i="96" s="1"/>
  <c r="AB16" i="95"/>
  <c r="T18" i="98"/>
  <c r="T26" i="98" s="1"/>
  <c r="Z21" i="98"/>
  <c r="T16" i="96"/>
  <c r="T26" i="96" s="1"/>
  <c r="AB20" i="99"/>
  <c r="AB27" i="99" s="1"/>
  <c r="X21" i="101"/>
  <c r="X39" i="101" s="1"/>
  <c r="U20" i="105"/>
  <c r="U39" i="105" s="1"/>
  <c r="AA33" i="105"/>
  <c r="U22" i="109"/>
  <c r="W20" i="96"/>
  <c r="W24" i="96" s="1"/>
  <c r="V14" i="101"/>
  <c r="V38" i="101" s="1"/>
  <c r="Y13" i="95"/>
  <c r="V14" i="97"/>
  <c r="S17" i="101"/>
  <c r="T23" i="105"/>
  <c r="Z27" i="99"/>
  <c r="Y16" i="96"/>
  <c r="AC32" i="109"/>
  <c r="AC18" i="110"/>
  <c r="W21" i="95"/>
  <c r="AC21" i="95"/>
  <c r="AC24" i="95" s="1"/>
  <c r="AB17" i="98"/>
  <c r="AB23" i="98" s="1"/>
  <c r="W16" i="96"/>
  <c r="AD18" i="98"/>
  <c r="AC16" i="97"/>
  <c r="AB19" i="98"/>
  <c r="AB27" i="98" s="1"/>
  <c r="S14" i="94"/>
  <c r="S15" i="94"/>
  <c r="W15" i="94"/>
  <c r="S16" i="94"/>
  <c r="W17" i="94"/>
  <c r="W19" i="94"/>
  <c r="AA19" i="94"/>
  <c r="S20" i="94"/>
  <c r="U20" i="94"/>
  <c r="W20" i="94"/>
  <c r="Y20" i="94"/>
  <c r="AA20" i="94"/>
  <c r="AC21" i="94"/>
  <c r="AC14" i="96"/>
  <c r="W14" i="94"/>
  <c r="S17" i="94"/>
  <c r="S18" i="94"/>
  <c r="S19" i="94"/>
  <c r="AC19" i="94"/>
  <c r="S21" i="94"/>
  <c r="U21" i="94"/>
  <c r="W21" i="94"/>
  <c r="Y21" i="94"/>
  <c r="X12" i="100"/>
  <c r="S39" i="110"/>
  <c r="AA39" i="110"/>
  <c r="T12" i="110"/>
  <c r="V12" i="110"/>
  <c r="X12" i="110"/>
  <c r="Z12" i="110"/>
  <c r="AB12" i="110"/>
  <c r="AD12" i="110"/>
  <c r="U12" i="110"/>
  <c r="W12" i="110"/>
  <c r="Y12" i="110"/>
  <c r="AA12" i="110"/>
  <c r="AC12" i="110"/>
  <c r="P21" i="110"/>
  <c r="T13" i="110"/>
  <c r="V13" i="110"/>
  <c r="X13" i="110"/>
  <c r="Z13" i="110"/>
  <c r="AB13" i="110"/>
  <c r="AD13" i="110"/>
  <c r="U13" i="110"/>
  <c r="W13" i="110"/>
  <c r="Y13" i="110"/>
  <c r="AA13" i="110"/>
  <c r="AC13" i="110"/>
  <c r="P25" i="110"/>
  <c r="T14" i="110"/>
  <c r="V14" i="110"/>
  <c r="X14" i="110"/>
  <c r="Z14" i="110"/>
  <c r="AB14" i="110"/>
  <c r="AD14" i="110"/>
  <c r="U14" i="110"/>
  <c r="W14" i="110"/>
  <c r="Y14" i="110"/>
  <c r="AA14" i="110"/>
  <c r="AC14" i="110"/>
  <c r="P29" i="110"/>
  <c r="T15" i="110"/>
  <c r="V15" i="110"/>
  <c r="X15" i="110"/>
  <c r="Z15" i="110"/>
  <c r="AB15" i="110"/>
  <c r="AD15" i="110"/>
  <c r="U15" i="110"/>
  <c r="W15" i="110"/>
  <c r="Y15" i="110"/>
  <c r="AA15" i="110"/>
  <c r="AC15" i="110"/>
  <c r="P33" i="110"/>
  <c r="P45" i="110"/>
  <c r="P49" i="110"/>
  <c r="P53" i="110"/>
  <c r="P59" i="110"/>
  <c r="P63" i="110"/>
  <c r="P67" i="110"/>
  <c r="P71" i="110"/>
  <c r="P75" i="110"/>
  <c r="P79" i="110"/>
  <c r="P83" i="110"/>
  <c r="P87" i="110"/>
  <c r="P91" i="110"/>
  <c r="X20" i="99"/>
  <c r="X27" i="99" s="1"/>
  <c r="F13" i="108"/>
  <c r="J13" i="108"/>
  <c r="N13" i="108"/>
  <c r="J14" i="108"/>
  <c r="N14" i="108"/>
  <c r="F15" i="108"/>
  <c r="N15" i="108"/>
  <c r="J16" i="108"/>
  <c r="F17" i="108"/>
  <c r="N17" i="108"/>
  <c r="J18" i="108"/>
  <c r="N18" i="108"/>
  <c r="F19" i="108"/>
  <c r="N19" i="108"/>
  <c r="F20" i="108"/>
  <c r="J20" i="108"/>
  <c r="F21" i="108"/>
  <c r="AB15" i="95"/>
  <c r="U17" i="97"/>
  <c r="U26" i="97" s="1"/>
  <c r="J21" i="108"/>
  <c r="N21" i="108"/>
  <c r="J22" i="108"/>
  <c r="N22" i="108"/>
  <c r="F23" i="108"/>
  <c r="N23" i="108"/>
  <c r="J24" i="108"/>
  <c r="H46" i="108"/>
  <c r="J46" i="108"/>
  <c r="L46" i="108"/>
  <c r="N46" i="108"/>
  <c r="D47" i="108"/>
  <c r="F47" i="108"/>
  <c r="H47" i="108"/>
  <c r="J47" i="108"/>
  <c r="L47" i="108"/>
  <c r="N47" i="108"/>
  <c r="D48" i="108"/>
  <c r="F48" i="108"/>
  <c r="H48" i="108"/>
  <c r="J48" i="108"/>
  <c r="L48" i="108"/>
  <c r="N48" i="108"/>
  <c r="D49" i="108"/>
  <c r="F49" i="108"/>
  <c r="H49" i="108"/>
  <c r="J49" i="108"/>
  <c r="L49" i="108"/>
  <c r="N49" i="108"/>
  <c r="D50" i="108"/>
  <c r="F50" i="108"/>
  <c r="H50" i="108"/>
  <c r="J50" i="108"/>
  <c r="L50" i="108"/>
  <c r="N50" i="108"/>
  <c r="D51" i="108"/>
  <c r="F51" i="108"/>
  <c r="H51" i="108"/>
  <c r="J51" i="108"/>
  <c r="L51" i="108"/>
  <c r="N51" i="108"/>
  <c r="D52" i="108"/>
  <c r="F52" i="108"/>
  <c r="H52" i="108"/>
  <c r="J52" i="108"/>
  <c r="L52" i="108"/>
  <c r="N52" i="108"/>
  <c r="D53" i="108"/>
  <c r="F53" i="108"/>
  <c r="H53" i="108"/>
  <c r="J53" i="108"/>
  <c r="L53" i="108"/>
  <c r="N53" i="108"/>
  <c r="D54" i="108"/>
  <c r="F54" i="108"/>
  <c r="H54" i="108"/>
  <c r="J54" i="108"/>
  <c r="L54" i="108"/>
  <c r="N54" i="108"/>
  <c r="D55" i="108"/>
  <c r="F55" i="108"/>
  <c r="H55" i="108"/>
  <c r="J55" i="108"/>
  <c r="L55" i="108"/>
  <c r="N55" i="108"/>
  <c r="D56" i="108"/>
  <c r="F56" i="108"/>
  <c r="H56" i="108"/>
  <c r="J56" i="108"/>
  <c r="L56" i="108"/>
  <c r="N56" i="108"/>
  <c r="D57" i="108"/>
  <c r="F57" i="108"/>
  <c r="H57" i="108"/>
  <c r="J57" i="108"/>
  <c r="L57" i="108"/>
  <c r="N57" i="108"/>
  <c r="I47" i="108"/>
  <c r="M48" i="108"/>
  <c r="I51" i="108"/>
  <c r="M52" i="108"/>
  <c r="I55" i="108"/>
  <c r="M56" i="108"/>
  <c r="E10" i="108"/>
  <c r="G10" i="108"/>
  <c r="I10" i="108"/>
  <c r="K10" i="108"/>
  <c r="M10" i="108"/>
  <c r="C11" i="108"/>
  <c r="E11" i="108"/>
  <c r="G11" i="108"/>
  <c r="I11" i="108"/>
  <c r="K11" i="108"/>
  <c r="M11" i="108"/>
  <c r="C13" i="108"/>
  <c r="E13" i="108"/>
  <c r="G13" i="108"/>
  <c r="I13" i="108"/>
  <c r="K13" i="108"/>
  <c r="M13" i="108"/>
  <c r="C14" i="108"/>
  <c r="E14" i="108"/>
  <c r="G14" i="108"/>
  <c r="I14" i="108"/>
  <c r="K14" i="108"/>
  <c r="M14" i="108"/>
  <c r="C15" i="108"/>
  <c r="E15" i="108"/>
  <c r="G15" i="108"/>
  <c r="I15" i="108"/>
  <c r="K15" i="108"/>
  <c r="M15" i="108"/>
  <c r="C16" i="108"/>
  <c r="E16" i="108"/>
  <c r="G16" i="108"/>
  <c r="I16" i="108"/>
  <c r="K16" i="108"/>
  <c r="M16" i="108"/>
  <c r="C17" i="108"/>
  <c r="E17" i="108"/>
  <c r="G17" i="108"/>
  <c r="I17" i="108"/>
  <c r="K17" i="108"/>
  <c r="M17" i="108"/>
  <c r="C18" i="108"/>
  <c r="E18" i="108"/>
  <c r="G18" i="108"/>
  <c r="I18" i="108"/>
  <c r="K18" i="108"/>
  <c r="M18" i="108"/>
  <c r="C24" i="108"/>
  <c r="E24" i="108"/>
  <c r="G24" i="108"/>
  <c r="I24" i="108"/>
  <c r="K24" i="108"/>
  <c r="M24" i="108"/>
  <c r="C25" i="108"/>
  <c r="E25" i="108"/>
  <c r="G25" i="108"/>
  <c r="I25" i="108"/>
  <c r="K25" i="108"/>
  <c r="M25" i="108"/>
  <c r="E26" i="108"/>
  <c r="I26" i="108"/>
  <c r="M26" i="108"/>
  <c r="C27" i="108"/>
  <c r="E27" i="108"/>
  <c r="G27" i="108"/>
  <c r="I27" i="108"/>
  <c r="K27" i="108"/>
  <c r="M27" i="108"/>
  <c r="C28" i="108"/>
  <c r="E28" i="108"/>
  <c r="G28" i="108"/>
  <c r="I28" i="108"/>
  <c r="K28" i="108"/>
  <c r="M28" i="108"/>
  <c r="C29" i="108"/>
  <c r="E29" i="108"/>
  <c r="G29" i="108"/>
  <c r="I29" i="108"/>
  <c r="K29" i="108"/>
  <c r="M29" i="108"/>
  <c r="E30" i="108"/>
  <c r="I30" i="108"/>
  <c r="M30" i="108"/>
  <c r="C31" i="108"/>
  <c r="E31" i="108"/>
  <c r="G31" i="108"/>
  <c r="I31" i="108"/>
  <c r="K31" i="108"/>
  <c r="M31" i="108"/>
  <c r="C32" i="108"/>
  <c r="E32" i="108"/>
  <c r="G32" i="108"/>
  <c r="I32" i="108"/>
  <c r="K32" i="108"/>
  <c r="M32" i="108"/>
  <c r="C33" i="108"/>
  <c r="E33" i="108"/>
  <c r="G33" i="108"/>
  <c r="I33" i="108"/>
  <c r="K33" i="108"/>
  <c r="M33" i="108"/>
  <c r="E34" i="108"/>
  <c r="G34" i="108"/>
  <c r="I34" i="108"/>
  <c r="M34" i="108"/>
  <c r="C35" i="108"/>
  <c r="E35" i="108"/>
  <c r="G35" i="108"/>
  <c r="I35" i="108"/>
  <c r="K35" i="108"/>
  <c r="M35" i="108"/>
  <c r="C36" i="108"/>
  <c r="E36" i="108"/>
  <c r="G36" i="108"/>
  <c r="I36" i="108"/>
  <c r="P23" i="110"/>
  <c r="S13" i="110"/>
  <c r="S38" i="110" s="1"/>
  <c r="P31" i="110"/>
  <c r="S15" i="110"/>
  <c r="K36" i="108"/>
  <c r="M36" i="108"/>
  <c r="C37" i="108"/>
  <c r="E37" i="108"/>
  <c r="G37" i="108"/>
  <c r="I37" i="108"/>
  <c r="K37" i="108"/>
  <c r="M37" i="108"/>
  <c r="E38" i="108"/>
  <c r="I38" i="108"/>
  <c r="K38" i="108"/>
  <c r="M38" i="108"/>
  <c r="C39" i="108"/>
  <c r="E39" i="108"/>
  <c r="G39" i="108"/>
  <c r="I39" i="108"/>
  <c r="K39" i="108"/>
  <c r="M39" i="108"/>
  <c r="C40" i="108"/>
  <c r="E40" i="108"/>
  <c r="G40" i="108"/>
  <c r="I40" i="108"/>
  <c r="K40" i="108"/>
  <c r="M40" i="108"/>
  <c r="C41" i="108"/>
  <c r="E41" i="108"/>
  <c r="G41" i="108"/>
  <c r="I41" i="108"/>
  <c r="K41" i="108"/>
  <c r="M41" i="108"/>
  <c r="E42" i="108"/>
  <c r="G42" i="108"/>
  <c r="I42" i="108"/>
  <c r="M42" i="108"/>
  <c r="C43" i="108"/>
  <c r="E43" i="108"/>
  <c r="G43" i="108"/>
  <c r="I43" i="108"/>
  <c r="K43" i="108"/>
  <c r="M43" i="108"/>
  <c r="C44" i="108"/>
  <c r="E44" i="108"/>
  <c r="G44" i="108"/>
  <c r="I44" i="108"/>
  <c r="K44" i="108"/>
  <c r="M44" i="108"/>
  <c r="C45" i="108"/>
  <c r="E45" i="108"/>
  <c r="G45" i="108"/>
  <c r="I45" i="108"/>
  <c r="K45" i="108"/>
  <c r="M45" i="108"/>
  <c r="E46" i="108"/>
  <c r="I46" i="108"/>
  <c r="E47" i="108"/>
  <c r="M47" i="108"/>
  <c r="I48" i="108"/>
  <c r="E49" i="108"/>
  <c r="M49" i="108"/>
  <c r="E51" i="108"/>
  <c r="M51" i="108"/>
  <c r="I52" i="108"/>
  <c r="E53" i="108"/>
  <c r="M53" i="108"/>
  <c r="E55" i="108"/>
  <c r="M55" i="108"/>
  <c r="I56" i="108"/>
  <c r="E57" i="108"/>
  <c r="M57" i="108"/>
  <c r="E48" i="108"/>
  <c r="I49" i="108"/>
  <c r="E52" i="108"/>
  <c r="I53" i="108"/>
  <c r="E56" i="108"/>
  <c r="I57" i="108"/>
  <c r="X10" i="110"/>
  <c r="P13" i="110"/>
  <c r="P15" i="110"/>
  <c r="W11" i="110"/>
  <c r="AA14" i="94"/>
  <c r="K26" i="108"/>
  <c r="AA15" i="94"/>
  <c r="K30" i="108"/>
  <c r="AA16" i="94"/>
  <c r="K34" i="108"/>
  <c r="AA18" i="94"/>
  <c r="K42" i="108"/>
  <c r="M54" i="108"/>
  <c r="M50" i="108"/>
  <c r="M46" i="108"/>
  <c r="C42" i="108"/>
  <c r="C34" i="108"/>
  <c r="C26" i="108"/>
  <c r="F10" i="108"/>
  <c r="J10" i="108"/>
  <c r="N10" i="108"/>
  <c r="D11" i="108"/>
  <c r="F11" i="108"/>
  <c r="H11" i="108"/>
  <c r="J11" i="108"/>
  <c r="L11" i="108"/>
  <c r="N11" i="108"/>
  <c r="D12" i="108"/>
  <c r="F12" i="108"/>
  <c r="J12" i="108"/>
  <c r="P19" i="110"/>
  <c r="S12" i="110"/>
  <c r="E54" i="108"/>
  <c r="E50" i="108"/>
  <c r="C46" i="108"/>
  <c r="C38" i="108"/>
  <c r="C30" i="108"/>
  <c r="C47" i="108"/>
  <c r="G47" i="108"/>
  <c r="K47" i="108"/>
  <c r="C48" i="108"/>
  <c r="G48" i="108"/>
  <c r="K48" i="108"/>
  <c r="C49" i="108"/>
  <c r="G49" i="108"/>
  <c r="K49" i="108"/>
  <c r="C51" i="108"/>
  <c r="G51" i="108"/>
  <c r="K51" i="108"/>
  <c r="C52" i="108"/>
  <c r="G52" i="108"/>
  <c r="K52" i="108"/>
  <c r="C53" i="108"/>
  <c r="G53" i="108"/>
  <c r="K53" i="108"/>
  <c r="K54" i="108"/>
  <c r="C55" i="108"/>
  <c r="G55" i="108"/>
  <c r="K55" i="108"/>
  <c r="C56" i="108"/>
  <c r="G56" i="108"/>
  <c r="K56" i="108"/>
  <c r="C57" i="108"/>
  <c r="G57" i="108"/>
  <c r="K57" i="108"/>
  <c r="N12" i="108"/>
  <c r="F14" i="108"/>
  <c r="J15" i="108"/>
  <c r="N16" i="108"/>
  <c r="F18" i="108"/>
  <c r="J19" i="108"/>
  <c r="N20" i="108"/>
  <c r="J23" i="108"/>
  <c r="N24" i="108"/>
  <c r="F24" i="108"/>
  <c r="Z13" i="109"/>
  <c r="P12" i="110"/>
  <c r="F16" i="108"/>
  <c r="J17" i="108"/>
  <c r="I54" i="108"/>
  <c r="I50" i="108"/>
  <c r="C12" i="108"/>
  <c r="E12" i="108"/>
  <c r="G12" i="108"/>
  <c r="I12" i="108"/>
  <c r="K12" i="108"/>
  <c r="M12" i="108"/>
  <c r="C19" i="108"/>
  <c r="E19" i="108"/>
  <c r="G19" i="108"/>
  <c r="I19" i="108"/>
  <c r="K19" i="108"/>
  <c r="M19" i="108"/>
  <c r="C20" i="108"/>
  <c r="E20" i="108"/>
  <c r="G20" i="108"/>
  <c r="I20" i="108"/>
  <c r="K20" i="108"/>
  <c r="M20" i="108"/>
  <c r="C21" i="108"/>
  <c r="E21" i="108"/>
  <c r="G21" i="108"/>
  <c r="I21" i="108"/>
  <c r="K21" i="108"/>
  <c r="M21" i="108"/>
  <c r="C22" i="108"/>
  <c r="E22" i="108"/>
  <c r="G22" i="108"/>
  <c r="I22" i="108"/>
  <c r="K22" i="108"/>
  <c r="M22" i="108"/>
  <c r="C23" i="108"/>
  <c r="E23" i="108"/>
  <c r="G23" i="108"/>
  <c r="I23" i="108"/>
  <c r="K23" i="108"/>
  <c r="M23" i="108"/>
  <c r="D106" i="110"/>
  <c r="L106" i="110"/>
  <c r="P27" i="110"/>
  <c r="S14" i="110"/>
  <c r="G54" i="108"/>
  <c r="C54" i="108"/>
  <c r="K50" i="108"/>
  <c r="G50" i="108"/>
  <c r="C50" i="108"/>
  <c r="K46" i="108"/>
  <c r="G46" i="108"/>
  <c r="G38" i="108"/>
  <c r="G30" i="108"/>
  <c r="G26" i="108"/>
  <c r="F22" i="108"/>
  <c r="H12" i="108"/>
  <c r="L12" i="108"/>
  <c r="D13" i="108"/>
  <c r="H13" i="108"/>
  <c r="L13" i="108"/>
  <c r="D14" i="108"/>
  <c r="H14" i="108"/>
  <c r="L14" i="108"/>
  <c r="D15" i="108"/>
  <c r="H15" i="108"/>
  <c r="L15" i="108"/>
  <c r="D16" i="108"/>
  <c r="H16" i="108"/>
  <c r="L16" i="108"/>
  <c r="D17" i="108"/>
  <c r="H17" i="108"/>
  <c r="L17" i="108"/>
  <c r="D18" i="108"/>
  <c r="H18" i="108"/>
  <c r="L18" i="108"/>
  <c r="D19" i="108"/>
  <c r="H19" i="108"/>
  <c r="L19" i="108"/>
  <c r="D20" i="108"/>
  <c r="H20" i="108"/>
  <c r="L20" i="108"/>
  <c r="D21" i="108"/>
  <c r="H21" i="108"/>
  <c r="L21" i="108"/>
  <c r="D22" i="108"/>
  <c r="H22" i="108"/>
  <c r="L22" i="108"/>
  <c r="D23" i="108"/>
  <c r="H23" i="108"/>
  <c r="L23" i="108"/>
  <c r="D24" i="108"/>
  <c r="H24" i="108"/>
  <c r="L24" i="108"/>
  <c r="D25" i="108"/>
  <c r="F25" i="108"/>
  <c r="H25" i="108"/>
  <c r="J25" i="108"/>
  <c r="L25" i="108"/>
  <c r="N25" i="108"/>
  <c r="D26" i="108"/>
  <c r="F26" i="108"/>
  <c r="H26" i="108"/>
  <c r="J26" i="108"/>
  <c r="L26" i="108"/>
  <c r="N26" i="108"/>
  <c r="D27" i="108"/>
  <c r="F27" i="108"/>
  <c r="H27" i="108"/>
  <c r="J27" i="108"/>
  <c r="L27" i="108"/>
  <c r="N27" i="108"/>
  <c r="D28" i="108"/>
  <c r="F28" i="108"/>
  <c r="H28" i="108"/>
  <c r="J28" i="108"/>
  <c r="L28" i="108"/>
  <c r="N28" i="108"/>
  <c r="D29" i="108"/>
  <c r="F29" i="108"/>
  <c r="H29" i="108"/>
  <c r="J29" i="108"/>
  <c r="L29" i="108"/>
  <c r="N29" i="108"/>
  <c r="D30" i="108"/>
  <c r="F30" i="108"/>
  <c r="H30" i="108"/>
  <c r="J30" i="108"/>
  <c r="L30" i="108"/>
  <c r="N30" i="108"/>
  <c r="D31" i="108"/>
  <c r="F31" i="108"/>
  <c r="H31" i="108"/>
  <c r="J31" i="108"/>
  <c r="L31" i="108"/>
  <c r="N31" i="108"/>
  <c r="D32" i="108"/>
  <c r="F32" i="108"/>
  <c r="H32" i="108"/>
  <c r="J32" i="108"/>
  <c r="L32" i="108"/>
  <c r="N32" i="108"/>
  <c r="D33" i="108"/>
  <c r="F33" i="108"/>
  <c r="H33" i="108"/>
  <c r="J33" i="108"/>
  <c r="L33" i="108"/>
  <c r="N33" i="108"/>
  <c r="D34" i="108"/>
  <c r="F34" i="108"/>
  <c r="H34" i="108"/>
  <c r="J34" i="108"/>
  <c r="L34" i="108"/>
  <c r="N34" i="108"/>
  <c r="D35" i="108"/>
  <c r="F35" i="108"/>
  <c r="H35" i="108"/>
  <c r="J35" i="108"/>
  <c r="L35" i="108"/>
  <c r="N35" i="108"/>
  <c r="D36" i="108"/>
  <c r="F36" i="108"/>
  <c r="H36" i="108"/>
  <c r="J36" i="108"/>
  <c r="L36" i="108"/>
  <c r="N36" i="108"/>
  <c r="D37" i="108"/>
  <c r="F37" i="108"/>
  <c r="H37" i="108"/>
  <c r="J37" i="108"/>
  <c r="L37" i="108"/>
  <c r="N37" i="108"/>
  <c r="D38" i="108"/>
  <c r="F38" i="108"/>
  <c r="H38" i="108"/>
  <c r="J38" i="108"/>
  <c r="L38" i="108"/>
  <c r="N38" i="108"/>
  <c r="D39" i="108"/>
  <c r="F39" i="108"/>
  <c r="H39" i="108"/>
  <c r="J39" i="108"/>
  <c r="L39" i="108"/>
  <c r="N39" i="108"/>
  <c r="D40" i="108"/>
  <c r="F40" i="108"/>
  <c r="H40" i="108"/>
  <c r="J40" i="108"/>
  <c r="L40" i="108"/>
  <c r="N40" i="108"/>
  <c r="D41" i="108"/>
  <c r="F41" i="108"/>
  <c r="H41" i="108"/>
  <c r="J41" i="108"/>
  <c r="L41" i="108"/>
  <c r="N41" i="108"/>
  <c r="D42" i="108"/>
  <c r="F42" i="108"/>
  <c r="H42" i="108"/>
  <c r="J42" i="108"/>
  <c r="L42" i="108"/>
  <c r="N42" i="108"/>
  <c r="D43" i="108"/>
  <c r="F43" i="108"/>
  <c r="H43" i="108"/>
  <c r="J43" i="108"/>
  <c r="L43" i="108"/>
  <c r="N43" i="108"/>
  <c r="D44" i="108"/>
  <c r="F44" i="108"/>
  <c r="H44" i="108"/>
  <c r="J44" i="108"/>
  <c r="L44" i="108"/>
  <c r="N44" i="108"/>
  <c r="D45" i="108"/>
  <c r="F45" i="108"/>
  <c r="H45" i="108"/>
  <c r="J45" i="108"/>
  <c r="L45" i="108"/>
  <c r="N45" i="108"/>
  <c r="D46" i="108"/>
  <c r="F46" i="108"/>
  <c r="V12" i="109"/>
  <c r="AD12" i="109"/>
  <c r="P14" i="110"/>
  <c r="U11" i="110"/>
  <c r="Y11" i="110"/>
  <c r="AA11" i="110"/>
  <c r="AC11" i="110"/>
  <c r="X16" i="97"/>
  <c r="X26" i="97" s="1"/>
  <c r="W23" i="105"/>
  <c r="S11" i="109"/>
  <c r="AC17" i="109"/>
  <c r="V14" i="109"/>
  <c r="W10" i="110"/>
  <c r="P11" i="110"/>
  <c r="S11" i="110"/>
  <c r="T11" i="110"/>
  <c r="V11" i="110"/>
  <c r="X11" i="110"/>
  <c r="Z11" i="110"/>
  <c r="AB11" i="110"/>
  <c r="AD11" i="110"/>
  <c r="L10" i="108"/>
  <c r="H10" i="108"/>
  <c r="D10" i="108"/>
  <c r="V13" i="109"/>
  <c r="AD13" i="109"/>
  <c r="V15" i="109"/>
  <c r="AD15" i="109"/>
  <c r="C10" i="108"/>
  <c r="AA11" i="109"/>
  <c r="Z12" i="109"/>
  <c r="Z14" i="109"/>
  <c r="S10" i="110"/>
  <c r="V18" i="110"/>
  <c r="X18" i="110"/>
  <c r="Z18" i="110"/>
  <c r="AB18" i="110"/>
  <c r="AD18" i="110"/>
  <c r="P18" i="110"/>
  <c r="W39" i="110"/>
  <c r="P20" i="110"/>
  <c r="P22" i="110"/>
  <c r="P24" i="110"/>
  <c r="P26" i="110"/>
  <c r="P28" i="110"/>
  <c r="P30" i="110"/>
  <c r="P32" i="110"/>
  <c r="P34" i="110"/>
  <c r="P35" i="110"/>
  <c r="P36" i="110"/>
  <c r="P37" i="110"/>
  <c r="P38" i="110"/>
  <c r="P39" i="110"/>
  <c r="P40" i="110"/>
  <c r="P41" i="110"/>
  <c r="P42" i="110"/>
  <c r="O44" i="110"/>
  <c r="U19" i="110"/>
  <c r="Y19" i="110"/>
  <c r="AC19" i="110"/>
  <c r="O48" i="110"/>
  <c r="U20" i="110"/>
  <c r="Y20" i="110"/>
  <c r="AC20" i="110"/>
  <c r="O52" i="110"/>
  <c r="U21" i="110"/>
  <c r="Y21" i="110"/>
  <c r="AC21" i="110"/>
  <c r="O56" i="110"/>
  <c r="O58" i="110"/>
  <c r="U22" i="110"/>
  <c r="Y22" i="110"/>
  <c r="AC22" i="110"/>
  <c r="O62" i="110"/>
  <c r="O66" i="110"/>
  <c r="U24" i="110"/>
  <c r="Y24" i="110"/>
  <c r="AC24" i="110"/>
  <c r="O70" i="110"/>
  <c r="O74" i="110"/>
  <c r="U26" i="110"/>
  <c r="Y26" i="110"/>
  <c r="AC26" i="110"/>
  <c r="O78" i="110"/>
  <c r="O82" i="110"/>
  <c r="U28" i="110"/>
  <c r="Y28" i="110"/>
  <c r="AC28" i="110"/>
  <c r="O86" i="110"/>
  <c r="O90" i="110"/>
  <c r="U30" i="110"/>
  <c r="Y30" i="110"/>
  <c r="AC30" i="110"/>
  <c r="O94" i="110"/>
  <c r="O98" i="110"/>
  <c r="U32" i="110"/>
  <c r="Y32" i="110"/>
  <c r="AC32" i="110"/>
  <c r="O102" i="110"/>
  <c r="AD13" i="99"/>
  <c r="AD26" i="99" s="1"/>
  <c r="P44" i="110"/>
  <c r="P48" i="110"/>
  <c r="V19" i="110"/>
  <c r="X19" i="110"/>
  <c r="Z19" i="110"/>
  <c r="AB19" i="110"/>
  <c r="AD19" i="110"/>
  <c r="P52" i="110"/>
  <c r="V20" i="110"/>
  <c r="X20" i="110"/>
  <c r="Z20" i="110"/>
  <c r="AB20" i="110"/>
  <c r="AD20" i="110"/>
  <c r="P56" i="110"/>
  <c r="P62" i="110"/>
  <c r="P70" i="110"/>
  <c r="P78" i="110"/>
  <c r="P86" i="110"/>
  <c r="P94" i="110"/>
  <c r="P102" i="110"/>
  <c r="S13" i="97"/>
  <c r="T12" i="109"/>
  <c r="X12" i="109"/>
  <c r="AB12" i="109"/>
  <c r="P20" i="109"/>
  <c r="T13" i="109"/>
  <c r="X13" i="109"/>
  <c r="AB13" i="109"/>
  <c r="P24" i="109"/>
  <c r="T14" i="109"/>
  <c r="X14" i="109"/>
  <c r="AB14" i="109"/>
  <c r="P28" i="109"/>
  <c r="T15" i="109"/>
  <c r="X15" i="109"/>
  <c r="AB15" i="109"/>
  <c r="P32" i="109"/>
  <c r="E106" i="110"/>
  <c r="G106" i="110"/>
  <c r="I106" i="110"/>
  <c r="K106" i="110"/>
  <c r="M106" i="110"/>
  <c r="AA10" i="110"/>
  <c r="P17" i="110"/>
  <c r="S17" i="110"/>
  <c r="P43" i="110"/>
  <c r="O46" i="110"/>
  <c r="P46" i="110"/>
  <c r="P47" i="110"/>
  <c r="O50" i="110"/>
  <c r="P50" i="110"/>
  <c r="P51" i="110"/>
  <c r="O54" i="110"/>
  <c r="P54" i="110"/>
  <c r="P55" i="110"/>
  <c r="P58" i="110"/>
  <c r="P66" i="110"/>
  <c r="P74" i="110"/>
  <c r="P82" i="110"/>
  <c r="P90" i="110"/>
  <c r="P98" i="110"/>
  <c r="P57" i="110"/>
  <c r="V21" i="110"/>
  <c r="X21" i="110"/>
  <c r="Z21" i="110"/>
  <c r="AB21" i="110"/>
  <c r="AD21" i="110"/>
  <c r="O60" i="110"/>
  <c r="P60" i="110"/>
  <c r="P61" i="110"/>
  <c r="V22" i="110"/>
  <c r="X22" i="110"/>
  <c r="Z22" i="110"/>
  <c r="AB22" i="110"/>
  <c r="AD22" i="110"/>
  <c r="O64" i="110"/>
  <c r="P64" i="110"/>
  <c r="P65" i="110"/>
  <c r="V23" i="110"/>
  <c r="X23" i="110"/>
  <c r="Z23" i="110"/>
  <c r="AB23" i="110"/>
  <c r="AD23" i="110"/>
  <c r="O68" i="110"/>
  <c r="P68" i="110"/>
  <c r="P69" i="110"/>
  <c r="V24" i="110"/>
  <c r="X24" i="110"/>
  <c r="Z24" i="110"/>
  <c r="AB24" i="110"/>
  <c r="AD24" i="110"/>
  <c r="O72" i="110"/>
  <c r="P72" i="110"/>
  <c r="P73" i="110"/>
  <c r="V25" i="110"/>
  <c r="X25" i="110"/>
  <c r="Z25" i="110"/>
  <c r="AB25" i="110"/>
  <c r="AD25" i="110"/>
  <c r="O76" i="110"/>
  <c r="P76" i="110"/>
  <c r="P77" i="110"/>
  <c r="V26" i="110"/>
  <c r="X26" i="110"/>
  <c r="Z26" i="110"/>
  <c r="AB26" i="110"/>
  <c r="AD26" i="110"/>
  <c r="O80" i="110"/>
  <c r="P80" i="110"/>
  <c r="P81" i="110"/>
  <c r="V27" i="110"/>
  <c r="X27" i="110"/>
  <c r="Z27" i="110"/>
  <c r="AB27" i="110"/>
  <c r="AD27" i="110"/>
  <c r="O84" i="110"/>
  <c r="P84" i="110"/>
  <c r="P85" i="110"/>
  <c r="V28" i="110"/>
  <c r="X28" i="110"/>
  <c r="Z28" i="110"/>
  <c r="AB28" i="110"/>
  <c r="AD28" i="110"/>
  <c r="O88" i="110"/>
  <c r="P88" i="110"/>
  <c r="P89" i="110"/>
  <c r="V29" i="110"/>
  <c r="X29" i="110"/>
  <c r="Z29" i="110"/>
  <c r="AB29" i="110"/>
  <c r="AD29" i="110"/>
  <c r="O92" i="110"/>
  <c r="P92" i="110"/>
  <c r="P93" i="110"/>
  <c r="V30" i="110"/>
  <c r="X30" i="110"/>
  <c r="Z30" i="110"/>
  <c r="O96" i="110"/>
  <c r="P96" i="110"/>
  <c r="P97" i="110"/>
  <c r="O100" i="110"/>
  <c r="P100" i="110"/>
  <c r="P101" i="110"/>
  <c r="O104" i="110"/>
  <c r="P104" i="110"/>
  <c r="P105" i="110"/>
  <c r="U38" i="110"/>
  <c r="W38" i="110"/>
  <c r="C106" i="110"/>
  <c r="P10" i="110"/>
  <c r="O10" i="110"/>
  <c r="U10" i="110"/>
  <c r="Y10" i="110"/>
  <c r="AC10" i="110"/>
  <c r="O11" i="110"/>
  <c r="O12" i="110"/>
  <c r="O13" i="110"/>
  <c r="O14" i="110"/>
  <c r="O15" i="110"/>
  <c r="P16" i="110"/>
  <c r="O16" i="110"/>
  <c r="O17" i="110"/>
  <c r="O18" i="110"/>
  <c r="O19" i="110"/>
  <c r="O20" i="110"/>
  <c r="O21" i="110"/>
  <c r="O22" i="110"/>
  <c r="O23" i="110"/>
  <c r="O24" i="110"/>
  <c r="O25" i="110"/>
  <c r="O26" i="110"/>
  <c r="O27" i="110"/>
  <c r="O28" i="110"/>
  <c r="O29" i="110"/>
  <c r="O30" i="110"/>
  <c r="S36" i="110"/>
  <c r="W36" i="110"/>
  <c r="AA36" i="110"/>
  <c r="H106" i="110"/>
  <c r="C106" i="109"/>
  <c r="E106" i="109"/>
  <c r="G106" i="109"/>
  <c r="I106" i="109"/>
  <c r="K106" i="109"/>
  <c r="M106" i="109"/>
  <c r="P11" i="109"/>
  <c r="W11" i="109"/>
  <c r="P18" i="109"/>
  <c r="U12" i="109"/>
  <c r="W12" i="109"/>
  <c r="Y12" i="109"/>
  <c r="AA12" i="109"/>
  <c r="AC12" i="109"/>
  <c r="P22" i="109"/>
  <c r="U13" i="109"/>
  <c r="W13" i="109"/>
  <c r="Y13" i="109"/>
  <c r="AA13" i="109"/>
  <c r="AC13" i="109"/>
  <c r="P26" i="109"/>
  <c r="U14" i="109"/>
  <c r="W14" i="109"/>
  <c r="Y14" i="109"/>
  <c r="AA14" i="109"/>
  <c r="AC14" i="109"/>
  <c r="P30" i="109"/>
  <c r="U15" i="109"/>
  <c r="W15" i="109"/>
  <c r="Y15" i="109"/>
  <c r="AA15" i="109"/>
  <c r="AC15" i="109"/>
  <c r="P34" i="109"/>
  <c r="P35" i="109"/>
  <c r="P36" i="109"/>
  <c r="P37" i="109"/>
  <c r="P38" i="109"/>
  <c r="P39" i="109"/>
  <c r="P40" i="109"/>
  <c r="P41" i="109"/>
  <c r="P42" i="109"/>
  <c r="O44" i="109"/>
  <c r="S39" i="109"/>
  <c r="AA39" i="109"/>
  <c r="O48" i="109"/>
  <c r="O52" i="109"/>
  <c r="O56" i="109"/>
  <c r="O58" i="109"/>
  <c r="O62" i="109"/>
  <c r="O66" i="109"/>
  <c r="O70" i="109"/>
  <c r="O74" i="109"/>
  <c r="O78" i="109"/>
  <c r="O82" i="109"/>
  <c r="O86" i="109"/>
  <c r="O90" i="109"/>
  <c r="O94" i="109"/>
  <c r="O98" i="109"/>
  <c r="O102" i="109"/>
  <c r="F106" i="110"/>
  <c r="J106" i="110"/>
  <c r="N106" i="110"/>
  <c r="T10" i="110"/>
  <c r="V10" i="110"/>
  <c r="Z10" i="110"/>
  <c r="AB10" i="110"/>
  <c r="AD10" i="110"/>
  <c r="T18" i="110"/>
  <c r="T19" i="110"/>
  <c r="T20" i="110"/>
  <c r="T21" i="110"/>
  <c r="T22" i="110"/>
  <c r="T23" i="110"/>
  <c r="T24" i="110"/>
  <c r="T25" i="110"/>
  <c r="T26" i="110"/>
  <c r="T27" i="110"/>
  <c r="T28" i="110"/>
  <c r="T29" i="110"/>
  <c r="T30" i="110"/>
  <c r="O31" i="110"/>
  <c r="O32" i="110"/>
  <c r="O33" i="110"/>
  <c r="O34" i="110"/>
  <c r="O35" i="110"/>
  <c r="O36" i="110"/>
  <c r="O37" i="110"/>
  <c r="O38" i="110"/>
  <c r="O39" i="110"/>
  <c r="O40" i="110"/>
  <c r="O41" i="110"/>
  <c r="O42" i="110"/>
  <c r="AB30" i="110"/>
  <c r="AD30" i="110"/>
  <c r="P95" i="110"/>
  <c r="T31" i="110"/>
  <c r="V31" i="110"/>
  <c r="X31" i="110"/>
  <c r="Z31" i="110"/>
  <c r="AB31" i="110"/>
  <c r="AD31" i="110"/>
  <c r="P99" i="110"/>
  <c r="T32" i="110"/>
  <c r="V32" i="110"/>
  <c r="X32" i="110"/>
  <c r="Z32" i="110"/>
  <c r="AB32" i="110"/>
  <c r="AD32" i="110"/>
  <c r="P103" i="110"/>
  <c r="T33" i="110"/>
  <c r="V33" i="110"/>
  <c r="X33" i="110"/>
  <c r="Z33" i="110"/>
  <c r="AB33" i="110"/>
  <c r="AD33" i="110"/>
  <c r="O43" i="110"/>
  <c r="O45" i="110"/>
  <c r="O47" i="110"/>
  <c r="O49" i="110"/>
  <c r="O51" i="110"/>
  <c r="O53" i="110"/>
  <c r="O55" i="110"/>
  <c r="O57" i="110"/>
  <c r="O59" i="110"/>
  <c r="O61" i="110"/>
  <c r="O63" i="110"/>
  <c r="O65" i="110"/>
  <c r="O67" i="110"/>
  <c r="O69" i="110"/>
  <c r="O71" i="110"/>
  <c r="O73" i="110"/>
  <c r="O75" i="110"/>
  <c r="O77" i="110"/>
  <c r="O79" i="110"/>
  <c r="O81" i="110"/>
  <c r="O83" i="110"/>
  <c r="O85" i="110"/>
  <c r="O87" i="110"/>
  <c r="O89" i="110"/>
  <c r="O91" i="110"/>
  <c r="O93" i="110"/>
  <c r="O95" i="110"/>
  <c r="O97" i="110"/>
  <c r="O99" i="110"/>
  <c r="O101" i="110"/>
  <c r="O103" i="110"/>
  <c r="O105" i="110"/>
  <c r="V19" i="95"/>
  <c r="Y14" i="101"/>
  <c r="V15" i="98"/>
  <c r="W39" i="109"/>
  <c r="X10" i="109"/>
  <c r="P12" i="109"/>
  <c r="S12" i="109"/>
  <c r="P13" i="109"/>
  <c r="S13" i="109"/>
  <c r="P14" i="109"/>
  <c r="U11" i="109"/>
  <c r="Y11" i="109"/>
  <c r="AC11" i="109"/>
  <c r="S14" i="109"/>
  <c r="P15" i="109"/>
  <c r="S15" i="109"/>
  <c r="P16" i="109"/>
  <c r="S16" i="109"/>
  <c r="T11" i="109"/>
  <c r="V11" i="109"/>
  <c r="X11" i="109"/>
  <c r="Z11" i="109"/>
  <c r="AB11" i="109"/>
  <c r="AD11" i="109"/>
  <c r="P19" i="109"/>
  <c r="P21" i="109"/>
  <c r="P23" i="109"/>
  <c r="S23" i="109"/>
  <c r="P25" i="109"/>
  <c r="S25" i="109"/>
  <c r="P27" i="109"/>
  <c r="S27" i="109"/>
  <c r="P29" i="109"/>
  <c r="S29" i="109"/>
  <c r="P31" i="109"/>
  <c r="S31" i="109"/>
  <c r="P33" i="109"/>
  <c r="S33" i="109"/>
  <c r="S17" i="109"/>
  <c r="P45" i="109"/>
  <c r="V18" i="109"/>
  <c r="X18" i="109"/>
  <c r="Z18" i="109"/>
  <c r="AB18" i="109"/>
  <c r="AD18" i="109"/>
  <c r="P49" i="109"/>
  <c r="P53" i="109"/>
  <c r="P59" i="109"/>
  <c r="P63" i="109"/>
  <c r="P67" i="109"/>
  <c r="P71" i="109"/>
  <c r="P75" i="109"/>
  <c r="P79" i="109"/>
  <c r="P83" i="109"/>
  <c r="P87" i="109"/>
  <c r="P91" i="109"/>
  <c r="P44" i="109"/>
  <c r="P48" i="109"/>
  <c r="V19" i="109"/>
  <c r="X19" i="109"/>
  <c r="Z19" i="109"/>
  <c r="AB19" i="109"/>
  <c r="AD19" i="109"/>
  <c r="P52" i="109"/>
  <c r="V20" i="109"/>
  <c r="X20" i="109"/>
  <c r="Z20" i="109"/>
  <c r="AB20" i="109"/>
  <c r="AD20" i="109"/>
  <c r="P56" i="109"/>
  <c r="P62" i="109"/>
  <c r="P70" i="109"/>
  <c r="P78" i="109"/>
  <c r="P86" i="109"/>
  <c r="P94" i="109"/>
  <c r="P102" i="109"/>
  <c r="D106" i="109"/>
  <c r="P17" i="109"/>
  <c r="P43" i="109"/>
  <c r="O46" i="109"/>
  <c r="P46" i="109"/>
  <c r="P47" i="109"/>
  <c r="O50" i="109"/>
  <c r="P50" i="109"/>
  <c r="P51" i="109"/>
  <c r="O54" i="109"/>
  <c r="P54" i="109"/>
  <c r="P55" i="109"/>
  <c r="P58" i="109"/>
  <c r="P66" i="109"/>
  <c r="P74" i="109"/>
  <c r="P82" i="109"/>
  <c r="P90" i="109"/>
  <c r="P98" i="109"/>
  <c r="P57" i="109"/>
  <c r="V21" i="109"/>
  <c r="X21" i="109"/>
  <c r="Z21" i="109"/>
  <c r="AB21" i="109"/>
  <c r="AD21" i="109"/>
  <c r="O60" i="109"/>
  <c r="P60" i="109"/>
  <c r="P61" i="109"/>
  <c r="V22" i="109"/>
  <c r="X22" i="109"/>
  <c r="Z22" i="109"/>
  <c r="AB22" i="109"/>
  <c r="AD22" i="109"/>
  <c r="O64" i="109"/>
  <c r="P64" i="109"/>
  <c r="P65" i="109"/>
  <c r="V23" i="109"/>
  <c r="X23" i="109"/>
  <c r="Z23" i="109"/>
  <c r="AB23" i="109"/>
  <c r="AD23" i="109"/>
  <c r="O68" i="109"/>
  <c r="P68" i="109"/>
  <c r="P69" i="109"/>
  <c r="V24" i="109"/>
  <c r="X24" i="109"/>
  <c r="Z24" i="109"/>
  <c r="AB24" i="109"/>
  <c r="AD24" i="109"/>
  <c r="O72" i="109"/>
  <c r="P72" i="109"/>
  <c r="P73" i="109"/>
  <c r="V25" i="109"/>
  <c r="X25" i="109"/>
  <c r="Z25" i="109"/>
  <c r="AB25" i="109"/>
  <c r="AD25" i="109"/>
  <c r="O76" i="109"/>
  <c r="P76" i="109"/>
  <c r="P77" i="109"/>
  <c r="V26" i="109"/>
  <c r="X26" i="109"/>
  <c r="Z26" i="109"/>
  <c r="AB26" i="109"/>
  <c r="AD26" i="109"/>
  <c r="O80" i="109"/>
  <c r="P80" i="109"/>
  <c r="P81" i="109"/>
  <c r="V27" i="109"/>
  <c r="X27" i="109"/>
  <c r="Z27" i="109"/>
  <c r="AB27" i="109"/>
  <c r="AD27" i="109"/>
  <c r="O84" i="109"/>
  <c r="P84" i="109"/>
  <c r="P85" i="109"/>
  <c r="V28" i="109"/>
  <c r="X28" i="109"/>
  <c r="Z28" i="109"/>
  <c r="AB28" i="109"/>
  <c r="AD28" i="109"/>
  <c r="O88" i="109"/>
  <c r="P88" i="109"/>
  <c r="P89" i="109"/>
  <c r="V29" i="109"/>
  <c r="X29" i="109"/>
  <c r="Z29" i="109"/>
  <c r="AB29" i="109"/>
  <c r="AD29" i="109"/>
  <c r="O92" i="109"/>
  <c r="P92" i="109"/>
  <c r="P93" i="109"/>
  <c r="V30" i="109"/>
  <c r="X30" i="109"/>
  <c r="Z30" i="109"/>
  <c r="O96" i="109"/>
  <c r="P96" i="109"/>
  <c r="P97" i="109"/>
  <c r="O100" i="109"/>
  <c r="P100" i="109"/>
  <c r="P101" i="109"/>
  <c r="O104" i="109"/>
  <c r="P104" i="109"/>
  <c r="P105" i="109"/>
  <c r="V21" i="98"/>
  <c r="V27" i="98" s="1"/>
  <c r="AD29" i="105"/>
  <c r="O10" i="109"/>
  <c r="S10" i="109"/>
  <c r="U10" i="109"/>
  <c r="W10" i="109"/>
  <c r="Y10" i="109"/>
  <c r="AA10" i="109"/>
  <c r="AC10" i="109"/>
  <c r="O11" i="109"/>
  <c r="O12" i="109"/>
  <c r="O13" i="109"/>
  <c r="O14" i="109"/>
  <c r="O15" i="109"/>
  <c r="O16" i="109"/>
  <c r="O17" i="109"/>
  <c r="O18" i="109"/>
  <c r="O19" i="109"/>
  <c r="O20" i="109"/>
  <c r="O21" i="109"/>
  <c r="O22" i="109"/>
  <c r="O23" i="109"/>
  <c r="O24" i="109"/>
  <c r="O25" i="109"/>
  <c r="O26" i="109"/>
  <c r="O27" i="109"/>
  <c r="O28" i="109"/>
  <c r="O29" i="109"/>
  <c r="O30" i="109"/>
  <c r="S36" i="109"/>
  <c r="W36" i="109"/>
  <c r="AA36" i="109"/>
  <c r="H106" i="109"/>
  <c r="F106" i="109"/>
  <c r="J106" i="109"/>
  <c r="N106" i="109"/>
  <c r="P10" i="109"/>
  <c r="T10" i="109"/>
  <c r="V10" i="109"/>
  <c r="Z10" i="109"/>
  <c r="AB10" i="109"/>
  <c r="AD10" i="109"/>
  <c r="T18" i="109"/>
  <c r="T19" i="109"/>
  <c r="T20" i="109"/>
  <c r="T21" i="109"/>
  <c r="T22" i="109"/>
  <c r="T23" i="109"/>
  <c r="T24" i="109"/>
  <c r="T25" i="109"/>
  <c r="T26" i="109"/>
  <c r="T27" i="109"/>
  <c r="T28" i="109"/>
  <c r="T29" i="109"/>
  <c r="T30" i="109"/>
  <c r="O31" i="109"/>
  <c r="O32" i="109"/>
  <c r="O33" i="109"/>
  <c r="O34" i="109"/>
  <c r="O35" i="109"/>
  <c r="O36" i="109"/>
  <c r="U36" i="109"/>
  <c r="Y36" i="109"/>
  <c r="AC36" i="109"/>
  <c r="O37" i="109"/>
  <c r="O38" i="109"/>
  <c r="O39" i="109"/>
  <c r="O40" i="109"/>
  <c r="O41" i="109"/>
  <c r="O42" i="109"/>
  <c r="AB30" i="109"/>
  <c r="AD30" i="109"/>
  <c r="P95" i="109"/>
  <c r="T31" i="109"/>
  <c r="V31" i="109"/>
  <c r="X31" i="109"/>
  <c r="Z31" i="109"/>
  <c r="AB31" i="109"/>
  <c r="AD31" i="109"/>
  <c r="P99" i="109"/>
  <c r="T32" i="109"/>
  <c r="V32" i="109"/>
  <c r="X32" i="109"/>
  <c r="Z32" i="109"/>
  <c r="AB32" i="109"/>
  <c r="AD32" i="109"/>
  <c r="P103" i="109"/>
  <c r="T33" i="109"/>
  <c r="V33" i="109"/>
  <c r="X33" i="109"/>
  <c r="Z33" i="109"/>
  <c r="AB33" i="109"/>
  <c r="AD33" i="109"/>
  <c r="O43" i="109"/>
  <c r="O45" i="109"/>
  <c r="O47" i="109"/>
  <c r="O49" i="109"/>
  <c r="O51" i="109"/>
  <c r="O53" i="109"/>
  <c r="O55" i="109"/>
  <c r="O57" i="109"/>
  <c r="O59" i="109"/>
  <c r="O61" i="109"/>
  <c r="O63" i="109"/>
  <c r="O65" i="109"/>
  <c r="O67" i="109"/>
  <c r="O69" i="109"/>
  <c r="O71" i="109"/>
  <c r="O73" i="109"/>
  <c r="O75" i="109"/>
  <c r="O77" i="109"/>
  <c r="O79" i="109"/>
  <c r="O81" i="109"/>
  <c r="O83" i="109"/>
  <c r="O85" i="109"/>
  <c r="O87" i="109"/>
  <c r="O89" i="109"/>
  <c r="O91" i="109"/>
  <c r="O93" i="109"/>
  <c r="O95" i="109"/>
  <c r="O97" i="109"/>
  <c r="O99" i="109"/>
  <c r="O101" i="109"/>
  <c r="O103" i="109"/>
  <c r="O105" i="109"/>
  <c r="V13" i="97"/>
  <c r="U15" i="99"/>
  <c r="Z17" i="101"/>
  <c r="S21" i="105"/>
  <c r="S39" i="105" s="1"/>
  <c r="Y24" i="105"/>
  <c r="U20" i="95"/>
  <c r="AB20" i="105"/>
  <c r="AB39" i="105" s="1"/>
  <c r="U13" i="94"/>
  <c r="W13" i="94"/>
  <c r="Y13" i="94"/>
  <c r="AA13" i="94"/>
  <c r="AC13" i="94"/>
  <c r="Y15" i="94"/>
  <c r="AC15" i="94"/>
  <c r="U16" i="94"/>
  <c r="Y16" i="94"/>
  <c r="AC16" i="94"/>
  <c r="U17" i="94"/>
  <c r="AC17" i="94"/>
  <c r="Y18" i="94"/>
  <c r="AC18" i="94"/>
  <c r="U19" i="94"/>
  <c r="V14" i="94"/>
  <c r="X14" i="94"/>
  <c r="Z14" i="94"/>
  <c r="AB14" i="94"/>
  <c r="AD14" i="94"/>
  <c r="AA21" i="94"/>
  <c r="T13" i="105"/>
  <c r="AB13" i="105"/>
  <c r="T14" i="105"/>
  <c r="V14" i="105"/>
  <c r="X14" i="105"/>
  <c r="Z14" i="105"/>
  <c r="AB14" i="105"/>
  <c r="AD14" i="105"/>
  <c r="W15" i="105"/>
  <c r="Y39" i="105"/>
  <c r="T12" i="105"/>
  <c r="V12" i="105"/>
  <c r="Z12" i="105"/>
  <c r="AB12" i="105"/>
  <c r="AD12" i="105"/>
  <c r="V13" i="105"/>
  <c r="X13" i="105"/>
  <c r="Z13" i="105"/>
  <c r="AD13" i="105"/>
  <c r="V11" i="105"/>
  <c r="Z11" i="105"/>
  <c r="AD11" i="105"/>
  <c r="AC39" i="105"/>
  <c r="U12" i="105"/>
  <c r="W12" i="105"/>
  <c r="Y12" i="105"/>
  <c r="AA12" i="105"/>
  <c r="AC12" i="105"/>
  <c r="P16" i="105"/>
  <c r="U11" i="105"/>
  <c r="W11" i="105"/>
  <c r="Y11" i="105"/>
  <c r="AA11" i="105"/>
  <c r="AC11" i="105"/>
  <c r="O17" i="105"/>
  <c r="O18" i="105"/>
  <c r="O19" i="105"/>
  <c r="O20" i="105"/>
  <c r="P21" i="105"/>
  <c r="P22" i="105"/>
  <c r="U13" i="105"/>
  <c r="W13" i="105"/>
  <c r="Y13" i="105"/>
  <c r="AA13" i="105"/>
  <c r="AC13" i="105"/>
  <c r="S14" i="105"/>
  <c r="U14" i="105"/>
  <c r="W14" i="105"/>
  <c r="Y14" i="105"/>
  <c r="AA14" i="105"/>
  <c r="AC14" i="105"/>
  <c r="S15" i="105"/>
  <c r="AA15" i="105"/>
  <c r="U15" i="105"/>
  <c r="Y15" i="105"/>
  <c r="AC15" i="105"/>
  <c r="P12" i="105"/>
  <c r="S12" i="105"/>
  <c r="P13" i="105"/>
  <c r="S13" i="105"/>
  <c r="S38" i="105" s="1"/>
  <c r="P14" i="105"/>
  <c r="P15" i="105"/>
  <c r="P32" i="105"/>
  <c r="P34" i="105"/>
  <c r="P35" i="105"/>
  <c r="P36" i="105"/>
  <c r="P37" i="105"/>
  <c r="P38" i="105"/>
  <c r="P39" i="105"/>
  <c r="P40" i="105"/>
  <c r="P41" i="105"/>
  <c r="P42" i="105"/>
  <c r="P43" i="105"/>
  <c r="P44" i="105"/>
  <c r="P45" i="105"/>
  <c r="P46" i="105"/>
  <c r="P47" i="105"/>
  <c r="P48" i="105"/>
  <c r="P49" i="105"/>
  <c r="P50" i="105"/>
  <c r="P51" i="105"/>
  <c r="P52" i="105"/>
  <c r="P53" i="105"/>
  <c r="P54" i="105"/>
  <c r="P55" i="105"/>
  <c r="P56" i="105"/>
  <c r="P57" i="105"/>
  <c r="P58" i="105"/>
  <c r="P59" i="105"/>
  <c r="P60" i="105"/>
  <c r="P61" i="105"/>
  <c r="P63" i="105"/>
  <c r="P64" i="105"/>
  <c r="P65" i="105"/>
  <c r="P67" i="105"/>
  <c r="P68" i="105"/>
  <c r="P69" i="105"/>
  <c r="P71" i="105"/>
  <c r="P72" i="105"/>
  <c r="P73" i="105"/>
  <c r="P75" i="105"/>
  <c r="P76" i="105"/>
  <c r="P77" i="105"/>
  <c r="P79" i="105"/>
  <c r="P80" i="105"/>
  <c r="P81" i="105"/>
  <c r="P83" i="105"/>
  <c r="P84" i="105"/>
  <c r="P85" i="105"/>
  <c r="P87" i="105"/>
  <c r="P88" i="105"/>
  <c r="P89" i="105"/>
  <c r="P91" i="105"/>
  <c r="P92" i="105"/>
  <c r="P93" i="105"/>
  <c r="P95" i="105"/>
  <c r="P96" i="105"/>
  <c r="P97" i="105"/>
  <c r="P98" i="105"/>
  <c r="P99" i="105"/>
  <c r="P100" i="105"/>
  <c r="P101" i="105"/>
  <c r="P103" i="105"/>
  <c r="P104" i="105"/>
  <c r="P105" i="105"/>
  <c r="P62" i="105"/>
  <c r="S23" i="105"/>
  <c r="P66" i="105"/>
  <c r="S24" i="105"/>
  <c r="P70" i="105"/>
  <c r="S25" i="105"/>
  <c r="P74" i="105"/>
  <c r="S26" i="105"/>
  <c r="P78" i="105"/>
  <c r="S27" i="105"/>
  <c r="P82" i="105"/>
  <c r="S28" i="105"/>
  <c r="P86" i="105"/>
  <c r="S29" i="105"/>
  <c r="P90" i="105"/>
  <c r="S30" i="105"/>
  <c r="I106" i="105"/>
  <c r="K106" i="105"/>
  <c r="M106" i="105"/>
  <c r="P11" i="105"/>
  <c r="P23" i="105"/>
  <c r="P24" i="105"/>
  <c r="P25" i="105"/>
  <c r="P26" i="105"/>
  <c r="P27" i="105"/>
  <c r="P28" i="105"/>
  <c r="P29" i="105"/>
  <c r="P30" i="105"/>
  <c r="T15" i="105"/>
  <c r="V15" i="105"/>
  <c r="X15" i="105"/>
  <c r="Z15" i="105"/>
  <c r="AB15" i="105"/>
  <c r="AD15" i="105"/>
  <c r="S11" i="105"/>
  <c r="P94" i="105"/>
  <c r="S31" i="105"/>
  <c r="P102" i="105"/>
  <c r="S33" i="105"/>
  <c r="H106" i="105"/>
  <c r="J106" i="105"/>
  <c r="L106" i="105"/>
  <c r="N106" i="105"/>
  <c r="P17" i="105"/>
  <c r="P18" i="105"/>
  <c r="P19" i="105"/>
  <c r="P20" i="105"/>
  <c r="S32" i="105"/>
  <c r="P31" i="105"/>
  <c r="P33" i="105"/>
  <c r="D106" i="105"/>
  <c r="T10" i="105"/>
  <c r="F106" i="105"/>
  <c r="V10" i="105"/>
  <c r="C106" i="105"/>
  <c r="P10" i="105"/>
  <c r="S10" i="105"/>
  <c r="O10" i="105"/>
  <c r="E106" i="105"/>
  <c r="U10" i="105"/>
  <c r="G106" i="105"/>
  <c r="W10" i="105"/>
  <c r="Y10" i="105"/>
  <c r="AA10" i="105"/>
  <c r="AC10" i="105"/>
  <c r="O11" i="105"/>
  <c r="O12" i="105"/>
  <c r="O13" i="105"/>
  <c r="O14" i="105"/>
  <c r="O15" i="105"/>
  <c r="O16" i="105"/>
  <c r="O21" i="105"/>
  <c r="O22" i="105"/>
  <c r="O23" i="105"/>
  <c r="O24" i="105"/>
  <c r="O25" i="105"/>
  <c r="O26" i="105"/>
  <c r="O27" i="105"/>
  <c r="O28" i="105"/>
  <c r="O29" i="105"/>
  <c r="O30" i="105"/>
  <c r="O31" i="105"/>
  <c r="O32" i="105"/>
  <c r="O33" i="105"/>
  <c r="O34" i="105"/>
  <c r="O35" i="105"/>
  <c r="O36" i="105"/>
  <c r="W36" i="105"/>
  <c r="Y36" i="105"/>
  <c r="AA36" i="105"/>
  <c r="AC36" i="105"/>
  <c r="O37" i="105"/>
  <c r="O38" i="105"/>
  <c r="O39" i="105"/>
  <c r="O40" i="105"/>
  <c r="O41" i="105"/>
  <c r="O42" i="105"/>
  <c r="O43" i="105"/>
  <c r="O44" i="105"/>
  <c r="O45" i="105"/>
  <c r="O46" i="105"/>
  <c r="O47" i="105"/>
  <c r="O48" i="105"/>
  <c r="O49" i="105"/>
  <c r="O50" i="105"/>
  <c r="O51" i="105"/>
  <c r="O52" i="105"/>
  <c r="O53" i="105"/>
  <c r="O54" i="105"/>
  <c r="O55" i="105"/>
  <c r="O56" i="105"/>
  <c r="O57" i="105"/>
  <c r="O58" i="105"/>
  <c r="O59" i="105"/>
  <c r="O60" i="105"/>
  <c r="O61" i="105"/>
  <c r="O62" i="105"/>
  <c r="O63" i="105"/>
  <c r="O64" i="105"/>
  <c r="O65" i="105"/>
  <c r="O66" i="105"/>
  <c r="O67" i="105"/>
  <c r="O68" i="105"/>
  <c r="O69" i="105"/>
  <c r="O70" i="105"/>
  <c r="O71" i="105"/>
  <c r="O72" i="105"/>
  <c r="O73" i="105"/>
  <c r="O74" i="105"/>
  <c r="O75" i="105"/>
  <c r="O76" i="105"/>
  <c r="O77" i="105"/>
  <c r="O78" i="105"/>
  <c r="O79" i="105"/>
  <c r="O80" i="105"/>
  <c r="O81" i="105"/>
  <c r="O82" i="105"/>
  <c r="O83" i="105"/>
  <c r="O84" i="105"/>
  <c r="X10" i="105"/>
  <c r="Z10" i="105"/>
  <c r="AB10" i="105"/>
  <c r="AD10" i="105"/>
  <c r="V36" i="105"/>
  <c r="X36" i="105"/>
  <c r="Z36" i="105"/>
  <c r="AD36" i="105"/>
  <c r="O85" i="105"/>
  <c r="O86" i="105"/>
  <c r="O87" i="105"/>
  <c r="O88" i="105"/>
  <c r="O89" i="105"/>
  <c r="O90" i="105"/>
  <c r="O91" i="105"/>
  <c r="O92" i="105"/>
  <c r="O93" i="105"/>
  <c r="O94" i="105"/>
  <c r="O95" i="105"/>
  <c r="O96" i="105"/>
  <c r="O97" i="105"/>
  <c r="O98" i="105"/>
  <c r="O99" i="105"/>
  <c r="O100" i="105"/>
  <c r="O101" i="105"/>
  <c r="O102" i="105"/>
  <c r="O103" i="105"/>
  <c r="O104" i="105"/>
  <c r="O105" i="105"/>
  <c r="D106" i="101"/>
  <c r="L106" i="101"/>
  <c r="U17" i="96"/>
  <c r="V18" i="98"/>
  <c r="AC16" i="96"/>
  <c r="U18" i="94"/>
  <c r="AC16" i="95"/>
  <c r="AB18" i="97"/>
  <c r="AB26" i="97" s="1"/>
  <c r="AC20" i="99"/>
  <c r="AC24" i="99" s="1"/>
  <c r="AD20" i="98"/>
  <c r="AD27" i="98" s="1"/>
  <c r="U14" i="95"/>
  <c r="U26" i="95" s="1"/>
  <c r="T39" i="101"/>
  <c r="AC18" i="95"/>
  <c r="W16" i="99"/>
  <c r="Y20" i="99"/>
  <c r="Y27" i="99" s="1"/>
  <c r="AC16" i="98"/>
  <c r="AC23" i="98" s="1"/>
  <c r="AD13" i="98"/>
  <c r="U14" i="96"/>
  <c r="AC32" i="101"/>
  <c r="AA32" i="101"/>
  <c r="Y32" i="101"/>
  <c r="W32" i="101"/>
  <c r="U32" i="101"/>
  <c r="AC30" i="101"/>
  <c r="AA30" i="101"/>
  <c r="Y30" i="101"/>
  <c r="W30" i="101"/>
  <c r="U30" i="101"/>
  <c r="AC28" i="101"/>
  <c r="AA28" i="101"/>
  <c r="Y28" i="101"/>
  <c r="W28" i="101"/>
  <c r="U28" i="101"/>
  <c r="AC26" i="101"/>
  <c r="AA26" i="101"/>
  <c r="Y26" i="101"/>
  <c r="W26" i="101"/>
  <c r="U26" i="101"/>
  <c r="AC24" i="101"/>
  <c r="AA24" i="101"/>
  <c r="Y24" i="101"/>
  <c r="W24" i="101"/>
  <c r="U24" i="101"/>
  <c r="AC22" i="101"/>
  <c r="AA22" i="101"/>
  <c r="Y22" i="101"/>
  <c r="W22" i="101"/>
  <c r="U22" i="101"/>
  <c r="AD33" i="101"/>
  <c r="AB33" i="101"/>
  <c r="Z33" i="101"/>
  <c r="X33" i="101"/>
  <c r="V33" i="101"/>
  <c r="T33" i="101"/>
  <c r="AD31" i="101"/>
  <c r="AB31" i="101"/>
  <c r="Z31" i="101"/>
  <c r="X31" i="101"/>
  <c r="V31" i="101"/>
  <c r="T31" i="101"/>
  <c r="AD29" i="101"/>
  <c r="AB29" i="101"/>
  <c r="Z29" i="101"/>
  <c r="X29" i="101"/>
  <c r="V29" i="101"/>
  <c r="T29" i="101"/>
  <c r="AD27" i="101"/>
  <c r="AB27" i="101"/>
  <c r="Z27" i="101"/>
  <c r="X27" i="101"/>
  <c r="V27" i="101"/>
  <c r="T27" i="101"/>
  <c r="AD25" i="101"/>
  <c r="AB25" i="101"/>
  <c r="Z25" i="101"/>
  <c r="X25" i="101"/>
  <c r="V25" i="101"/>
  <c r="T25" i="101"/>
  <c r="AD23" i="101"/>
  <c r="AC33" i="101"/>
  <c r="AA33" i="101"/>
  <c r="Y33" i="101"/>
  <c r="W33" i="101"/>
  <c r="U33" i="101"/>
  <c r="AC31" i="101"/>
  <c r="AA31" i="101"/>
  <c r="Y31" i="101"/>
  <c r="W31" i="101"/>
  <c r="U31" i="101"/>
  <c r="AC29" i="101"/>
  <c r="AA29" i="101"/>
  <c r="Y29" i="101"/>
  <c r="W29" i="101"/>
  <c r="U29" i="101"/>
  <c r="AC27" i="101"/>
  <c r="AA27" i="101"/>
  <c r="Y27" i="101"/>
  <c r="W27" i="101"/>
  <c r="U27" i="101"/>
  <c r="AC25" i="101"/>
  <c r="AA25" i="101"/>
  <c r="Y25" i="101"/>
  <c r="W25" i="101"/>
  <c r="U25" i="101"/>
  <c r="AC23" i="101"/>
  <c r="AA23" i="101"/>
  <c r="Y23" i="101"/>
  <c r="W23" i="101"/>
  <c r="U23" i="101"/>
  <c r="AD32" i="101"/>
  <c r="AB32" i="101"/>
  <c r="Z32" i="101"/>
  <c r="X32" i="101"/>
  <c r="V32" i="101"/>
  <c r="T32" i="101"/>
  <c r="AD30" i="101"/>
  <c r="AB30" i="101"/>
  <c r="Z30" i="101"/>
  <c r="X30" i="101"/>
  <c r="V30" i="101"/>
  <c r="T30" i="101"/>
  <c r="AD28" i="101"/>
  <c r="AB28" i="101"/>
  <c r="Z28" i="101"/>
  <c r="X28" i="101"/>
  <c r="V28" i="101"/>
  <c r="T28" i="101"/>
  <c r="AD26" i="101"/>
  <c r="AB26" i="101"/>
  <c r="Z26" i="101"/>
  <c r="X26" i="101"/>
  <c r="V26" i="101"/>
  <c r="T26" i="101"/>
  <c r="AD24" i="101"/>
  <c r="AB24" i="101"/>
  <c r="Z24" i="101"/>
  <c r="X24" i="101"/>
  <c r="V24" i="101"/>
  <c r="T24" i="101"/>
  <c r="AB23" i="101"/>
  <c r="Z23" i="101"/>
  <c r="X23" i="101"/>
  <c r="V23" i="101"/>
  <c r="T23" i="101"/>
  <c r="AD22" i="101"/>
  <c r="AB22" i="101"/>
  <c r="Z22" i="101"/>
  <c r="X22" i="101"/>
  <c r="V22" i="101"/>
  <c r="T22" i="101"/>
  <c r="S33" i="101"/>
  <c r="S32" i="101"/>
  <c r="S31" i="101"/>
  <c r="S30" i="101"/>
  <c r="S29" i="101"/>
  <c r="S28" i="101"/>
  <c r="S27" i="101"/>
  <c r="S26" i="101"/>
  <c r="S25" i="101"/>
  <c r="S24" i="101"/>
  <c r="AB17" i="95"/>
  <c r="S22" i="101"/>
  <c r="S23" i="101"/>
  <c r="Z19" i="95"/>
  <c r="Z27" i="95" s="1"/>
  <c r="V14" i="98"/>
  <c r="AA16" i="100"/>
  <c r="AA26" i="100" s="1"/>
  <c r="Z13" i="95"/>
  <c r="V14" i="99"/>
  <c r="V26" i="99" s="1"/>
  <c r="T21" i="98"/>
  <c r="T27" i="98" s="1"/>
  <c r="AB14" i="95"/>
  <c r="U15" i="101"/>
  <c r="P105" i="101"/>
  <c r="Y17" i="94"/>
  <c r="P77" i="101"/>
  <c r="P22" i="104"/>
  <c r="P23" i="104"/>
  <c r="P24" i="104"/>
  <c r="O30" i="104"/>
  <c r="O34" i="104"/>
  <c r="O38" i="104"/>
  <c r="O42" i="104"/>
  <c r="O46" i="104"/>
  <c r="O50" i="104"/>
  <c r="O54" i="104"/>
  <c r="P69" i="101"/>
  <c r="P91" i="101"/>
  <c r="U15" i="94"/>
  <c r="W17" i="96"/>
  <c r="Z19" i="98"/>
  <c r="AC24" i="103"/>
  <c r="P81" i="101"/>
  <c r="P63" i="101"/>
  <c r="P97" i="101"/>
  <c r="P73" i="101"/>
  <c r="Y19" i="94"/>
  <c r="P95" i="101"/>
  <c r="P79" i="101"/>
  <c r="P71" i="101"/>
  <c r="P59" i="101"/>
  <c r="P101" i="101"/>
  <c r="P88" i="101"/>
  <c r="P83" i="101"/>
  <c r="P75" i="101"/>
  <c r="P67" i="101"/>
  <c r="Y14" i="100"/>
  <c r="P99" i="101"/>
  <c r="P93" i="101"/>
  <c r="P85" i="101"/>
  <c r="P65" i="101"/>
  <c r="P103" i="101"/>
  <c r="P61" i="101"/>
  <c r="O104" i="101"/>
  <c r="O102" i="101"/>
  <c r="O100" i="101"/>
  <c r="O98" i="101"/>
  <c r="O96" i="101"/>
  <c r="O94" i="101"/>
  <c r="O92" i="101"/>
  <c r="O89" i="101"/>
  <c r="O86" i="101"/>
  <c r="O84" i="101"/>
  <c r="O82" i="101"/>
  <c r="O80" i="101"/>
  <c r="O78" i="101"/>
  <c r="O76" i="101"/>
  <c r="O74" i="101"/>
  <c r="O72" i="101"/>
  <c r="O70" i="101"/>
  <c r="O68" i="101"/>
  <c r="O66" i="101"/>
  <c r="O64" i="101"/>
  <c r="O62" i="101"/>
  <c r="O60" i="101"/>
  <c r="O58" i="101"/>
  <c r="O105" i="101"/>
  <c r="P104" i="101"/>
  <c r="O103" i="101"/>
  <c r="P102" i="101"/>
  <c r="O101" i="101"/>
  <c r="P100" i="101"/>
  <c r="O99" i="101"/>
  <c r="P98" i="101"/>
  <c r="O97" i="101"/>
  <c r="P96" i="101"/>
  <c r="O95" i="101"/>
  <c r="P94" i="101"/>
  <c r="O93" i="101"/>
  <c r="P92" i="101"/>
  <c r="O91" i="101"/>
  <c r="P90" i="101"/>
  <c r="O90" i="101"/>
  <c r="P89" i="101"/>
  <c r="O88" i="101"/>
  <c r="P87" i="101"/>
  <c r="O87" i="101"/>
  <c r="P86" i="101"/>
  <c r="O85" i="101"/>
  <c r="P84" i="101"/>
  <c r="O83" i="101"/>
  <c r="P82" i="101"/>
  <c r="O81" i="101"/>
  <c r="P80" i="101"/>
  <c r="O79" i="101"/>
  <c r="P78" i="101"/>
  <c r="O77" i="101"/>
  <c r="P76" i="101"/>
  <c r="O75" i="101"/>
  <c r="P74" i="101"/>
  <c r="O73" i="101"/>
  <c r="P72" i="101"/>
  <c r="O71" i="101"/>
  <c r="P70" i="101"/>
  <c r="O69" i="101"/>
  <c r="P68" i="101"/>
  <c r="O67" i="101"/>
  <c r="P66" i="101"/>
  <c r="O65" i="101"/>
  <c r="P64" i="101"/>
  <c r="O63" i="101"/>
  <c r="P62" i="101"/>
  <c r="O61" i="101"/>
  <c r="P60" i="101"/>
  <c r="O59" i="101"/>
  <c r="P58" i="101"/>
  <c r="Y18" i="96"/>
  <c r="AC14" i="94"/>
  <c r="Y13" i="100"/>
  <c r="Y15" i="97"/>
  <c r="Y23" i="97" s="1"/>
  <c r="Y16" i="95"/>
  <c r="AA18" i="96"/>
  <c r="AA23" i="96" s="1"/>
  <c r="W20" i="98"/>
  <c r="W24" i="98" s="1"/>
  <c r="AD16" i="96"/>
  <c r="AD23" i="96" s="1"/>
  <c r="Z18" i="95"/>
  <c r="Y14" i="94"/>
  <c r="Y21" i="96"/>
  <c r="Y24" i="96" s="1"/>
  <c r="Y15" i="101"/>
  <c r="AA17" i="94"/>
  <c r="V21" i="95"/>
  <c r="X13" i="95"/>
  <c r="X23" i="95" s="1"/>
  <c r="W16" i="94"/>
  <c r="AC20" i="94"/>
  <c r="V15" i="95"/>
  <c r="V26" i="95" s="1"/>
  <c r="U14" i="94"/>
  <c r="P17" i="104"/>
  <c r="S17" i="104"/>
  <c r="V11" i="103"/>
  <c r="AD12" i="101"/>
  <c r="AD11" i="103"/>
  <c r="T11" i="104"/>
  <c r="X11" i="104"/>
  <c r="AB11" i="104"/>
  <c r="U12" i="101"/>
  <c r="W12" i="101"/>
  <c r="Y12" i="101"/>
  <c r="AA12" i="101"/>
  <c r="AC12" i="101"/>
  <c r="V26" i="103"/>
  <c r="AD26" i="103"/>
  <c r="T10" i="104"/>
  <c r="F58" i="104"/>
  <c r="X10" i="104"/>
  <c r="J58" i="104"/>
  <c r="AB10" i="104"/>
  <c r="N58" i="104"/>
  <c r="P14" i="104"/>
  <c r="U11" i="104"/>
  <c r="W11" i="104"/>
  <c r="Y11" i="104"/>
  <c r="AA11" i="104"/>
  <c r="AC11" i="104"/>
  <c r="P18" i="104"/>
  <c r="U12" i="104"/>
  <c r="W12" i="104"/>
  <c r="Y12" i="104"/>
  <c r="AA12" i="104"/>
  <c r="AC12" i="104"/>
  <c r="T12" i="104"/>
  <c r="X12" i="104"/>
  <c r="AB12" i="104"/>
  <c r="P21" i="104"/>
  <c r="S21" i="104"/>
  <c r="V11" i="101"/>
  <c r="T11" i="103"/>
  <c r="X11" i="103"/>
  <c r="Z11" i="103"/>
  <c r="AB11" i="103"/>
  <c r="S13" i="104"/>
  <c r="S15" i="104"/>
  <c r="S19" i="104"/>
  <c r="AC36" i="101"/>
  <c r="Y24" i="103"/>
  <c r="AC27" i="103"/>
  <c r="T14" i="103"/>
  <c r="X14" i="103"/>
  <c r="AB14" i="103"/>
  <c r="W15" i="104"/>
  <c r="W17" i="104"/>
  <c r="W19" i="104"/>
  <c r="W21" i="104"/>
  <c r="W18" i="94"/>
  <c r="D58" i="103"/>
  <c r="F58" i="103"/>
  <c r="H58" i="103"/>
  <c r="J58" i="103"/>
  <c r="L58" i="103"/>
  <c r="N58" i="103"/>
  <c r="Z26" i="103"/>
  <c r="U11" i="103"/>
  <c r="W11" i="103"/>
  <c r="Y11" i="103"/>
  <c r="AA11" i="103"/>
  <c r="AC11" i="103"/>
  <c r="T13" i="103"/>
  <c r="T26" i="103" s="1"/>
  <c r="X13" i="103"/>
  <c r="X23" i="103" s="1"/>
  <c r="AB13" i="103"/>
  <c r="P25" i="103"/>
  <c r="P26" i="103"/>
  <c r="P27" i="103"/>
  <c r="U27" i="103"/>
  <c r="P11" i="104"/>
  <c r="W10" i="104"/>
  <c r="S11" i="104"/>
  <c r="P12" i="104"/>
  <c r="S12" i="104"/>
  <c r="P13" i="104"/>
  <c r="P15" i="104"/>
  <c r="P16" i="104"/>
  <c r="P19" i="104"/>
  <c r="P20" i="104"/>
  <c r="X26" i="103"/>
  <c r="AA26" i="104"/>
  <c r="P34" i="104"/>
  <c r="P42" i="104"/>
  <c r="P50" i="104"/>
  <c r="V11" i="99"/>
  <c r="T12" i="99"/>
  <c r="V12" i="99"/>
  <c r="X12" i="99"/>
  <c r="Z12" i="99"/>
  <c r="AB12" i="99"/>
  <c r="AD12" i="99"/>
  <c r="T12" i="101"/>
  <c r="V12" i="101"/>
  <c r="X12" i="101"/>
  <c r="Z12" i="101"/>
  <c r="AB12" i="101"/>
  <c r="E58" i="103"/>
  <c r="G58" i="103"/>
  <c r="I58" i="103"/>
  <c r="K58" i="103"/>
  <c r="M58" i="103"/>
  <c r="P11" i="103"/>
  <c r="P12" i="103"/>
  <c r="P13" i="103"/>
  <c r="P14" i="103"/>
  <c r="P15" i="103"/>
  <c r="P16" i="103"/>
  <c r="P17" i="103"/>
  <c r="P18" i="103"/>
  <c r="P19" i="103"/>
  <c r="P20" i="103"/>
  <c r="P21" i="103"/>
  <c r="P22" i="103"/>
  <c r="U13" i="103"/>
  <c r="W13" i="103"/>
  <c r="Y13" i="103"/>
  <c r="AA13" i="103"/>
  <c r="AC13" i="103"/>
  <c r="P23" i="103"/>
  <c r="P24" i="103"/>
  <c r="P28" i="103"/>
  <c r="P29" i="103"/>
  <c r="P30" i="103"/>
  <c r="P31" i="103"/>
  <c r="U15" i="103"/>
  <c r="W15" i="103"/>
  <c r="Y15" i="103"/>
  <c r="AA15" i="103"/>
  <c r="AC15" i="103"/>
  <c r="P32" i="103"/>
  <c r="P33" i="103"/>
  <c r="P34" i="103"/>
  <c r="P35" i="103"/>
  <c r="U16" i="103"/>
  <c r="W16" i="103"/>
  <c r="Y16" i="103"/>
  <c r="AA16" i="103"/>
  <c r="S10" i="104"/>
  <c r="S16" i="104"/>
  <c r="S18" i="104"/>
  <c r="S20" i="104"/>
  <c r="U15" i="104"/>
  <c r="Y15" i="104"/>
  <c r="AC15" i="104"/>
  <c r="P30" i="104"/>
  <c r="U17" i="104"/>
  <c r="Y17" i="104"/>
  <c r="AC17" i="104"/>
  <c r="P38" i="104"/>
  <c r="U19" i="104"/>
  <c r="Y19" i="104"/>
  <c r="AC19" i="104"/>
  <c r="P46" i="104"/>
  <c r="U21" i="104"/>
  <c r="Y21" i="104"/>
  <c r="AC21" i="104"/>
  <c r="P54" i="104"/>
  <c r="AC16" i="103"/>
  <c r="P36" i="103"/>
  <c r="P37" i="103"/>
  <c r="P39" i="103"/>
  <c r="P40" i="103"/>
  <c r="P41" i="103"/>
  <c r="P42" i="103"/>
  <c r="P43" i="103"/>
  <c r="P44" i="103"/>
  <c r="P45" i="103"/>
  <c r="P46" i="103"/>
  <c r="P47" i="103"/>
  <c r="P48" i="103"/>
  <c r="P49" i="103"/>
  <c r="P50" i="103"/>
  <c r="P51" i="103"/>
  <c r="P52" i="103"/>
  <c r="P53" i="103"/>
  <c r="P54" i="103"/>
  <c r="P55" i="103"/>
  <c r="P56" i="103"/>
  <c r="P57" i="103"/>
  <c r="E58" i="104"/>
  <c r="G58" i="104"/>
  <c r="I58" i="104"/>
  <c r="K58" i="104"/>
  <c r="M58" i="104"/>
  <c r="AA10" i="104"/>
  <c r="V13" i="104"/>
  <c r="X13" i="104"/>
  <c r="Z13" i="104"/>
  <c r="AB13" i="104"/>
  <c r="AD13" i="104"/>
  <c r="P27" i="104"/>
  <c r="P28" i="104"/>
  <c r="P29" i="104"/>
  <c r="O32" i="104"/>
  <c r="P32" i="104"/>
  <c r="P33" i="104"/>
  <c r="O36" i="104"/>
  <c r="P36" i="104"/>
  <c r="P37" i="104"/>
  <c r="O40" i="104"/>
  <c r="P40" i="104"/>
  <c r="P41" i="104"/>
  <c r="O44" i="104"/>
  <c r="P44" i="104"/>
  <c r="P45" i="104"/>
  <c r="O48" i="104"/>
  <c r="P48" i="104"/>
  <c r="P49" i="104"/>
  <c r="O52" i="104"/>
  <c r="P52" i="104"/>
  <c r="P53" i="104"/>
  <c r="O56" i="104"/>
  <c r="P56" i="104"/>
  <c r="P57" i="104"/>
  <c r="P10" i="103"/>
  <c r="C58" i="103"/>
  <c r="O10" i="103"/>
  <c r="U10" i="103"/>
  <c r="Y10" i="103"/>
  <c r="AC10" i="103"/>
  <c r="O11" i="103"/>
  <c r="O12" i="103"/>
  <c r="O13" i="103"/>
  <c r="O14" i="103"/>
  <c r="O15" i="103"/>
  <c r="O16" i="103"/>
  <c r="O17" i="103"/>
  <c r="O18" i="103"/>
  <c r="O19" i="103"/>
  <c r="O20" i="103"/>
  <c r="O21" i="103"/>
  <c r="O22" i="103"/>
  <c r="O23" i="103"/>
  <c r="O24" i="103"/>
  <c r="O25" i="103"/>
  <c r="O26" i="103"/>
  <c r="O27" i="103"/>
  <c r="O28" i="103"/>
  <c r="O29" i="103"/>
  <c r="O31" i="103"/>
  <c r="O33" i="103"/>
  <c r="O35" i="103"/>
  <c r="O37" i="103"/>
  <c r="T11" i="101"/>
  <c r="X11" i="101"/>
  <c r="Z11" i="101"/>
  <c r="AB11" i="101"/>
  <c r="AD11" i="101"/>
  <c r="Y39" i="101"/>
  <c r="Y36" i="101"/>
  <c r="S10" i="103"/>
  <c r="W10" i="103"/>
  <c r="AA10" i="103"/>
  <c r="S11" i="103"/>
  <c r="S12" i="103"/>
  <c r="S13" i="103"/>
  <c r="S14" i="103"/>
  <c r="S15" i="103"/>
  <c r="S16" i="103"/>
  <c r="S24" i="103"/>
  <c r="W24" i="103"/>
  <c r="AA24" i="103"/>
  <c r="O30" i="103"/>
  <c r="O32" i="103"/>
  <c r="O34" i="103"/>
  <c r="O36" i="103"/>
  <c r="P38" i="103"/>
  <c r="O38" i="103"/>
  <c r="O39" i="103"/>
  <c r="O40" i="103"/>
  <c r="O41" i="103"/>
  <c r="O42" i="103"/>
  <c r="O43" i="103"/>
  <c r="O44" i="103"/>
  <c r="O45" i="103"/>
  <c r="O46" i="103"/>
  <c r="O47" i="103"/>
  <c r="O48" i="103"/>
  <c r="O49" i="103"/>
  <c r="O50" i="103"/>
  <c r="O51" i="103"/>
  <c r="O52" i="103"/>
  <c r="O53" i="103"/>
  <c r="O54" i="103"/>
  <c r="O55" i="103"/>
  <c r="O56" i="103"/>
  <c r="O57" i="103"/>
  <c r="AA27" i="104"/>
  <c r="AA24" i="104"/>
  <c r="AA23" i="104"/>
  <c r="P25" i="104"/>
  <c r="T13" i="104"/>
  <c r="P26" i="104"/>
  <c r="T14" i="104"/>
  <c r="H58" i="104"/>
  <c r="Z13" i="101"/>
  <c r="T10" i="103"/>
  <c r="V10" i="103"/>
  <c r="X10" i="103"/>
  <c r="Z10" i="103"/>
  <c r="AB10" i="103"/>
  <c r="AD10" i="103"/>
  <c r="V23" i="103"/>
  <c r="Z23" i="103"/>
  <c r="AD23" i="103"/>
  <c r="T24" i="103"/>
  <c r="V24" i="103"/>
  <c r="X24" i="103"/>
  <c r="Z24" i="103"/>
  <c r="AB24" i="103"/>
  <c r="AD24" i="103"/>
  <c r="C58" i="104"/>
  <c r="P10" i="104"/>
  <c r="O10" i="104"/>
  <c r="U10" i="104"/>
  <c r="Y10" i="104"/>
  <c r="AC10" i="104"/>
  <c r="O11" i="104"/>
  <c r="O12" i="104"/>
  <c r="O13" i="104"/>
  <c r="O14" i="104"/>
  <c r="O15" i="104"/>
  <c r="O16" i="104"/>
  <c r="O17" i="104"/>
  <c r="O18" i="104"/>
  <c r="O19" i="104"/>
  <c r="O20" i="104"/>
  <c r="O21" i="104"/>
  <c r="O22" i="104"/>
  <c r="O23" i="104"/>
  <c r="O24" i="104"/>
  <c r="P31" i="104"/>
  <c r="T15" i="104"/>
  <c r="V15" i="104"/>
  <c r="X15" i="104"/>
  <c r="Z15" i="104"/>
  <c r="AB15" i="104"/>
  <c r="AD15" i="104"/>
  <c r="P35" i="104"/>
  <c r="T16" i="104"/>
  <c r="V16" i="104"/>
  <c r="X16" i="104"/>
  <c r="Z16" i="104"/>
  <c r="AB16" i="104"/>
  <c r="AD16" i="104"/>
  <c r="P39" i="104"/>
  <c r="T17" i="104"/>
  <c r="V17" i="104"/>
  <c r="X17" i="104"/>
  <c r="Z17" i="104"/>
  <c r="AB17" i="104"/>
  <c r="AD17" i="104"/>
  <c r="P43" i="104"/>
  <c r="T18" i="104"/>
  <c r="V18" i="104"/>
  <c r="X18" i="104"/>
  <c r="Z18" i="104"/>
  <c r="AB18" i="104"/>
  <c r="AD18" i="104"/>
  <c r="P47" i="104"/>
  <c r="T19" i="104"/>
  <c r="V19" i="104"/>
  <c r="X19" i="104"/>
  <c r="Z19" i="104"/>
  <c r="AB19" i="104"/>
  <c r="AD19" i="104"/>
  <c r="P51" i="104"/>
  <c r="T20" i="104"/>
  <c r="V20" i="104"/>
  <c r="X20" i="104"/>
  <c r="Z20" i="104"/>
  <c r="AB20" i="104"/>
  <c r="AD20" i="104"/>
  <c r="P55" i="104"/>
  <c r="T21" i="104"/>
  <c r="V21" i="104"/>
  <c r="X21" i="104"/>
  <c r="Z21" i="104"/>
  <c r="AB21" i="104"/>
  <c r="AD21" i="104"/>
  <c r="D58" i="104"/>
  <c r="L58" i="104"/>
  <c r="V10" i="104"/>
  <c r="Z10" i="104"/>
  <c r="AD10" i="104"/>
  <c r="O25" i="104"/>
  <c r="O26" i="104"/>
  <c r="O27" i="104"/>
  <c r="O28" i="104"/>
  <c r="O29" i="104"/>
  <c r="O31" i="104"/>
  <c r="O33" i="104"/>
  <c r="O35" i="104"/>
  <c r="O37" i="104"/>
  <c r="O39" i="104"/>
  <c r="O41" i="104"/>
  <c r="O43" i="104"/>
  <c r="O45" i="104"/>
  <c r="O47" i="104"/>
  <c r="O49" i="104"/>
  <c r="O51" i="104"/>
  <c r="O53" i="104"/>
  <c r="O55" i="104"/>
  <c r="O57" i="104"/>
  <c r="AB12" i="98"/>
  <c r="U36" i="101"/>
  <c r="U39" i="101"/>
  <c r="AC39" i="101"/>
  <c r="T14" i="101"/>
  <c r="X14" i="101"/>
  <c r="AB14" i="101"/>
  <c r="U11" i="101"/>
  <c r="W11" i="101"/>
  <c r="Y11" i="101"/>
  <c r="AA11" i="101"/>
  <c r="AC11" i="101"/>
  <c r="T13" i="101"/>
  <c r="X13" i="101"/>
  <c r="AB13" i="101"/>
  <c r="P25" i="101"/>
  <c r="P26" i="101"/>
  <c r="P27" i="101"/>
  <c r="AA12" i="97"/>
  <c r="T12" i="98"/>
  <c r="P21" i="100"/>
  <c r="P23" i="100"/>
  <c r="P24" i="100"/>
  <c r="O34" i="100"/>
  <c r="O42" i="100"/>
  <c r="O50" i="100"/>
  <c r="O54" i="100"/>
  <c r="P11" i="101"/>
  <c r="P12" i="101"/>
  <c r="P13" i="101"/>
  <c r="P14" i="101"/>
  <c r="P15" i="101"/>
  <c r="P16" i="101"/>
  <c r="P17" i="101"/>
  <c r="P18" i="101"/>
  <c r="P19" i="101"/>
  <c r="P20" i="101"/>
  <c r="P21" i="101"/>
  <c r="P22" i="101"/>
  <c r="U13" i="101"/>
  <c r="W13" i="101"/>
  <c r="W35" i="101" s="1"/>
  <c r="Y13" i="101"/>
  <c r="AA13" i="101"/>
  <c r="AA35" i="101" s="1"/>
  <c r="AC13" i="101"/>
  <c r="AC35" i="101" s="1"/>
  <c r="P23" i="101"/>
  <c r="P24" i="101"/>
  <c r="P28" i="101"/>
  <c r="P29" i="101"/>
  <c r="P31" i="101"/>
  <c r="P32" i="101"/>
  <c r="P33" i="101"/>
  <c r="P34" i="101"/>
  <c r="P35" i="101"/>
  <c r="P36" i="101"/>
  <c r="P37" i="101"/>
  <c r="P38" i="101"/>
  <c r="P39" i="101"/>
  <c r="P40" i="101"/>
  <c r="P41" i="101"/>
  <c r="P42" i="101"/>
  <c r="P43" i="101"/>
  <c r="P44" i="101"/>
  <c r="P45" i="101"/>
  <c r="P46" i="101"/>
  <c r="P47" i="101"/>
  <c r="P49" i="101"/>
  <c r="P50" i="101"/>
  <c r="P51" i="101"/>
  <c r="P52" i="101"/>
  <c r="P53" i="101"/>
  <c r="P54" i="101"/>
  <c r="P55" i="101"/>
  <c r="P56" i="101"/>
  <c r="P57" i="101"/>
  <c r="AC11" i="95"/>
  <c r="O38" i="100"/>
  <c r="S17" i="100"/>
  <c r="P10" i="101"/>
  <c r="O10" i="101"/>
  <c r="U10" i="101"/>
  <c r="Y10" i="101"/>
  <c r="AC10" i="101"/>
  <c r="O11" i="101"/>
  <c r="O12" i="101"/>
  <c r="O13" i="101"/>
  <c r="O14" i="101"/>
  <c r="O15" i="101"/>
  <c r="O16" i="101"/>
  <c r="O17" i="101"/>
  <c r="O18" i="101"/>
  <c r="O19" i="101"/>
  <c r="O20" i="101"/>
  <c r="O21" i="101"/>
  <c r="O22" i="101"/>
  <c r="O23" i="101"/>
  <c r="O24" i="101"/>
  <c r="O25" i="101"/>
  <c r="O26" i="101"/>
  <c r="O27" i="101"/>
  <c r="O28" i="101"/>
  <c r="O29" i="101"/>
  <c r="U11" i="97"/>
  <c r="S10" i="101"/>
  <c r="W10" i="101"/>
  <c r="AA10" i="101"/>
  <c r="S11" i="101"/>
  <c r="S12" i="101"/>
  <c r="S13" i="101"/>
  <c r="S14" i="101"/>
  <c r="S36" i="101"/>
  <c r="W36" i="101"/>
  <c r="AA36" i="101"/>
  <c r="P30" i="101"/>
  <c r="O30" i="101"/>
  <c r="O31" i="101"/>
  <c r="O32" i="101"/>
  <c r="O33" i="101"/>
  <c r="O34" i="101"/>
  <c r="O35" i="101"/>
  <c r="O36" i="101"/>
  <c r="O37" i="101"/>
  <c r="O38" i="101"/>
  <c r="O39" i="101"/>
  <c r="O40" i="101"/>
  <c r="O41" i="101"/>
  <c r="O42" i="101"/>
  <c r="O43" i="101"/>
  <c r="O44" i="101"/>
  <c r="O45" i="101"/>
  <c r="O46" i="101"/>
  <c r="O47" i="101"/>
  <c r="O49" i="101"/>
  <c r="O50" i="101"/>
  <c r="O51" i="101"/>
  <c r="O52" i="101"/>
  <c r="O53" i="101"/>
  <c r="O54" i="101"/>
  <c r="O55" i="101"/>
  <c r="O56" i="101"/>
  <c r="O57" i="101"/>
  <c r="U11" i="96"/>
  <c r="W11" i="96"/>
  <c r="Y11" i="96"/>
  <c r="AA11" i="96"/>
  <c r="AC11" i="96"/>
  <c r="Y11" i="97"/>
  <c r="T11" i="99"/>
  <c r="X11" i="99"/>
  <c r="Z11" i="99"/>
  <c r="AB11" i="99"/>
  <c r="AD11" i="99"/>
  <c r="U12" i="99"/>
  <c r="W12" i="99"/>
  <c r="Y12" i="99"/>
  <c r="AA12" i="99"/>
  <c r="AC12" i="99"/>
  <c r="P17" i="100"/>
  <c r="T10" i="101"/>
  <c r="V10" i="101"/>
  <c r="X10" i="101"/>
  <c r="Z10" i="101"/>
  <c r="AB10" i="101"/>
  <c r="AD10" i="101"/>
  <c r="AD35" i="101"/>
  <c r="T36" i="101"/>
  <c r="V36" i="101"/>
  <c r="Z36" i="101"/>
  <c r="AB36" i="101"/>
  <c r="AD36" i="101"/>
  <c r="V27" i="96"/>
  <c r="S11" i="97"/>
  <c r="W11" i="97"/>
  <c r="AA11" i="97"/>
  <c r="S12" i="97"/>
  <c r="U12" i="97"/>
  <c r="W12" i="97"/>
  <c r="Y12" i="97"/>
  <c r="AC12" i="97"/>
  <c r="Z13" i="99"/>
  <c r="Z26" i="99" s="1"/>
  <c r="T10" i="100"/>
  <c r="T22" i="100" s="1"/>
  <c r="X10" i="100"/>
  <c r="AB10" i="100"/>
  <c r="AB22" i="100" s="1"/>
  <c r="V11" i="100"/>
  <c r="Z11" i="100"/>
  <c r="AD11" i="100"/>
  <c r="U12" i="100"/>
  <c r="W12" i="100"/>
  <c r="Y12" i="100"/>
  <c r="AA12" i="100"/>
  <c r="AC12" i="100"/>
  <c r="V12" i="100"/>
  <c r="Z12" i="100"/>
  <c r="AD12" i="100"/>
  <c r="P22" i="100"/>
  <c r="S13" i="100"/>
  <c r="O30" i="100"/>
  <c r="S15" i="100"/>
  <c r="W15" i="100"/>
  <c r="W17" i="100"/>
  <c r="O46" i="100"/>
  <c r="S19" i="100"/>
  <c r="W19" i="100"/>
  <c r="W21" i="100"/>
  <c r="U11" i="95"/>
  <c r="Y11" i="95"/>
  <c r="P13" i="96"/>
  <c r="P20" i="96"/>
  <c r="P22" i="96"/>
  <c r="P23" i="96"/>
  <c r="P24" i="96"/>
  <c r="O25" i="96"/>
  <c r="O26" i="96"/>
  <c r="O27" i="96"/>
  <c r="O28" i="96"/>
  <c r="O29" i="96"/>
  <c r="O31" i="96"/>
  <c r="O32" i="96"/>
  <c r="O33" i="96"/>
  <c r="O34" i="96"/>
  <c r="O35" i="96"/>
  <c r="O36" i="96"/>
  <c r="O37" i="96"/>
  <c r="O39" i="96"/>
  <c r="O40" i="96"/>
  <c r="O41" i="96"/>
  <c r="O43" i="96"/>
  <c r="O44" i="96"/>
  <c r="O45" i="96"/>
  <c r="O47" i="96"/>
  <c r="O48" i="96"/>
  <c r="O49" i="96"/>
  <c r="O50" i="96"/>
  <c r="O51" i="96"/>
  <c r="O52" i="96"/>
  <c r="O53" i="96"/>
  <c r="O55" i="96"/>
  <c r="O56" i="96"/>
  <c r="O57" i="96"/>
  <c r="C58" i="97"/>
  <c r="E58" i="97"/>
  <c r="G58" i="97"/>
  <c r="I58" i="97"/>
  <c r="K58" i="97"/>
  <c r="M58" i="97"/>
  <c r="O11" i="97"/>
  <c r="O12" i="97"/>
  <c r="O13" i="97"/>
  <c r="T11" i="97"/>
  <c r="V11" i="97"/>
  <c r="X11" i="97"/>
  <c r="Z11" i="97"/>
  <c r="AB11" i="97"/>
  <c r="AD11" i="97"/>
  <c r="O16" i="97"/>
  <c r="O17" i="97"/>
  <c r="X11" i="98"/>
  <c r="V12" i="98"/>
  <c r="X12" i="98"/>
  <c r="Z12" i="98"/>
  <c r="AD12" i="98"/>
  <c r="D58" i="99"/>
  <c r="F58" i="99"/>
  <c r="H58" i="99"/>
  <c r="J58" i="99"/>
  <c r="L58" i="99"/>
  <c r="N58" i="99"/>
  <c r="U24" i="99"/>
  <c r="U27" i="99"/>
  <c r="T14" i="99"/>
  <c r="X14" i="99"/>
  <c r="AB14" i="99"/>
  <c r="F58" i="100"/>
  <c r="J58" i="100"/>
  <c r="N58" i="100"/>
  <c r="P14" i="100"/>
  <c r="S11" i="100"/>
  <c r="U11" i="100"/>
  <c r="W11" i="100"/>
  <c r="Y11" i="100"/>
  <c r="AA11" i="100"/>
  <c r="AC11" i="100"/>
  <c r="P18" i="100"/>
  <c r="S12" i="100"/>
  <c r="S21" i="100"/>
  <c r="U11" i="99"/>
  <c r="W11" i="99"/>
  <c r="Y11" i="99"/>
  <c r="AA11" i="99"/>
  <c r="AC11" i="99"/>
  <c r="T13" i="99"/>
  <c r="X13" i="99"/>
  <c r="AB13" i="99"/>
  <c r="P25" i="99"/>
  <c r="P26" i="99"/>
  <c r="P27" i="99"/>
  <c r="P11" i="100"/>
  <c r="W10" i="100"/>
  <c r="P12" i="100"/>
  <c r="P13" i="100"/>
  <c r="P15" i="100"/>
  <c r="P16" i="100"/>
  <c r="P19" i="100"/>
  <c r="P20" i="100"/>
  <c r="P34" i="100"/>
  <c r="P42" i="100"/>
  <c r="P50" i="100"/>
  <c r="O14" i="97"/>
  <c r="O15" i="97"/>
  <c r="P20" i="98"/>
  <c r="P23" i="98"/>
  <c r="P24" i="98"/>
  <c r="O25" i="98"/>
  <c r="O27" i="98"/>
  <c r="O28" i="98"/>
  <c r="O29" i="98"/>
  <c r="O30" i="98"/>
  <c r="O31" i="98"/>
  <c r="O32" i="98"/>
  <c r="O33" i="98"/>
  <c r="O35" i="98"/>
  <c r="O36" i="98"/>
  <c r="O37" i="98"/>
  <c r="O38" i="98"/>
  <c r="O39" i="98"/>
  <c r="O40" i="98"/>
  <c r="O41" i="98"/>
  <c r="O43" i="98"/>
  <c r="O44" i="98"/>
  <c r="O45" i="98"/>
  <c r="O47" i="98"/>
  <c r="O48" i="98"/>
  <c r="O49" i="98"/>
  <c r="O50" i="98"/>
  <c r="O51" i="98"/>
  <c r="O52" i="98"/>
  <c r="O53" i="98"/>
  <c r="O55" i="98"/>
  <c r="O56" i="98"/>
  <c r="O57" i="98"/>
  <c r="E58" i="99"/>
  <c r="G58" i="99"/>
  <c r="I58" i="99"/>
  <c r="K58" i="99"/>
  <c r="M58" i="99"/>
  <c r="P11" i="99"/>
  <c r="P12" i="99"/>
  <c r="P13" i="99"/>
  <c r="P14" i="99"/>
  <c r="P15" i="99"/>
  <c r="P16" i="99"/>
  <c r="P17" i="99"/>
  <c r="P18" i="99"/>
  <c r="P19" i="99"/>
  <c r="P20" i="99"/>
  <c r="P21" i="99"/>
  <c r="P22" i="99"/>
  <c r="U13" i="99"/>
  <c r="W13" i="99"/>
  <c r="Y13" i="99"/>
  <c r="Y26" i="99" s="1"/>
  <c r="AA13" i="99"/>
  <c r="AA26" i="99" s="1"/>
  <c r="AC13" i="99"/>
  <c r="AC23" i="99" s="1"/>
  <c r="P23" i="99"/>
  <c r="P24" i="99"/>
  <c r="P28" i="99"/>
  <c r="P29" i="99"/>
  <c r="P30" i="99"/>
  <c r="P31" i="99"/>
  <c r="P32" i="99"/>
  <c r="P33" i="99"/>
  <c r="P34" i="99"/>
  <c r="P35" i="99"/>
  <c r="S10" i="100"/>
  <c r="S16" i="100"/>
  <c r="S18" i="100"/>
  <c r="S20" i="100"/>
  <c r="U15" i="100"/>
  <c r="Y15" i="100"/>
  <c r="AC15" i="100"/>
  <c r="P30" i="100"/>
  <c r="U17" i="100"/>
  <c r="Y17" i="100"/>
  <c r="AC17" i="100"/>
  <c r="P38" i="100"/>
  <c r="U19" i="100"/>
  <c r="Y19" i="100"/>
  <c r="AC19" i="100"/>
  <c r="P46" i="100"/>
  <c r="U21" i="100"/>
  <c r="Y21" i="100"/>
  <c r="AC21" i="100"/>
  <c r="P54" i="100"/>
  <c r="P36" i="99"/>
  <c r="P37" i="99"/>
  <c r="P38" i="99"/>
  <c r="P39" i="99"/>
  <c r="P40" i="99"/>
  <c r="P41" i="99"/>
  <c r="P42" i="99"/>
  <c r="P43" i="99"/>
  <c r="P44" i="99"/>
  <c r="P45" i="99"/>
  <c r="P46" i="99"/>
  <c r="P47" i="99"/>
  <c r="P48" i="99"/>
  <c r="P49" i="99"/>
  <c r="P50" i="99"/>
  <c r="P51" i="99"/>
  <c r="P52" i="99"/>
  <c r="P53" i="99"/>
  <c r="P54" i="99"/>
  <c r="P55" i="99"/>
  <c r="P56" i="99"/>
  <c r="P57" i="99"/>
  <c r="E58" i="100"/>
  <c r="G58" i="100"/>
  <c r="I58" i="100"/>
  <c r="K58" i="100"/>
  <c r="M58" i="100"/>
  <c r="AA10" i="100"/>
  <c r="V13" i="100"/>
  <c r="X13" i="100"/>
  <c r="Z13" i="100"/>
  <c r="AB13" i="100"/>
  <c r="AD13" i="100"/>
  <c r="P27" i="100"/>
  <c r="P28" i="100"/>
  <c r="P29" i="100"/>
  <c r="O32" i="100"/>
  <c r="P32" i="100"/>
  <c r="P33" i="100"/>
  <c r="O36" i="100"/>
  <c r="P36" i="100"/>
  <c r="P37" i="100"/>
  <c r="O40" i="100"/>
  <c r="P40" i="100"/>
  <c r="P41" i="100"/>
  <c r="O44" i="100"/>
  <c r="P44" i="100"/>
  <c r="P45" i="100"/>
  <c r="O48" i="100"/>
  <c r="P48" i="100"/>
  <c r="P49" i="100"/>
  <c r="O52" i="100"/>
  <c r="P52" i="100"/>
  <c r="P53" i="100"/>
  <c r="O56" i="100"/>
  <c r="P56" i="100"/>
  <c r="P57" i="100"/>
  <c r="P10" i="99"/>
  <c r="C58" i="99"/>
  <c r="O10" i="99"/>
  <c r="U10" i="99"/>
  <c r="Y10" i="99"/>
  <c r="AC10" i="99"/>
  <c r="O11" i="99"/>
  <c r="O12" i="99"/>
  <c r="O13" i="99"/>
  <c r="O14" i="99"/>
  <c r="O15" i="99"/>
  <c r="O16" i="99"/>
  <c r="O17" i="99"/>
  <c r="O18" i="99"/>
  <c r="O19" i="99"/>
  <c r="O20" i="99"/>
  <c r="O21" i="99"/>
  <c r="O22" i="99"/>
  <c r="O23" i="99"/>
  <c r="O24" i="99"/>
  <c r="O25" i="99"/>
  <c r="O26" i="99"/>
  <c r="O27" i="99"/>
  <c r="S10" i="99"/>
  <c r="W10" i="99"/>
  <c r="AA10" i="99"/>
  <c r="S11" i="99"/>
  <c r="S12" i="99"/>
  <c r="S13" i="99"/>
  <c r="S14" i="99"/>
  <c r="S24" i="99"/>
  <c r="W24" i="99"/>
  <c r="AA24" i="99"/>
  <c r="O28" i="99"/>
  <c r="O29" i="99"/>
  <c r="O30" i="99"/>
  <c r="O31" i="99"/>
  <c r="O32" i="99"/>
  <c r="O33" i="99"/>
  <c r="O34" i="99"/>
  <c r="O35" i="99"/>
  <c r="O36" i="99"/>
  <c r="O37" i="99"/>
  <c r="O38" i="99"/>
  <c r="O39" i="99"/>
  <c r="O40" i="99"/>
  <c r="O41" i="99"/>
  <c r="O42" i="99"/>
  <c r="O43" i="99"/>
  <c r="O44" i="99"/>
  <c r="O45" i="99"/>
  <c r="O46" i="99"/>
  <c r="O47" i="99"/>
  <c r="O48" i="99"/>
  <c r="O49" i="99"/>
  <c r="O50" i="99"/>
  <c r="O51" i="99"/>
  <c r="O52" i="99"/>
  <c r="O53" i="99"/>
  <c r="O54" i="99"/>
  <c r="O55" i="99"/>
  <c r="O56" i="99"/>
  <c r="O57" i="99"/>
  <c r="AA27" i="100"/>
  <c r="AA24" i="100"/>
  <c r="P25" i="100"/>
  <c r="T13" i="100"/>
  <c r="P26" i="100"/>
  <c r="T14" i="100"/>
  <c r="H58" i="100"/>
  <c r="P45" i="97"/>
  <c r="P46" i="97"/>
  <c r="P47" i="97"/>
  <c r="P48" i="97"/>
  <c r="T11" i="98"/>
  <c r="V11" i="98"/>
  <c r="Z11" i="98"/>
  <c r="AB11" i="98"/>
  <c r="AD11" i="98"/>
  <c r="T10" i="99"/>
  <c r="V10" i="99"/>
  <c r="X10" i="99"/>
  <c r="Z10" i="99"/>
  <c r="AB10" i="99"/>
  <c r="AD10" i="99"/>
  <c r="T24" i="99"/>
  <c r="V24" i="99"/>
  <c r="Z24" i="99"/>
  <c r="AD24" i="99"/>
  <c r="C58" i="100"/>
  <c r="P10" i="100"/>
  <c r="O10" i="100"/>
  <c r="U10" i="100"/>
  <c r="Y10" i="100"/>
  <c r="AC10" i="100"/>
  <c r="O11" i="100"/>
  <c r="O12" i="100"/>
  <c r="O13" i="100"/>
  <c r="O14" i="100"/>
  <c r="O15" i="100"/>
  <c r="O16" i="100"/>
  <c r="O17" i="100"/>
  <c r="O18" i="100"/>
  <c r="O19" i="100"/>
  <c r="O20" i="100"/>
  <c r="O21" i="100"/>
  <c r="O22" i="100"/>
  <c r="O23" i="100"/>
  <c r="O24" i="100"/>
  <c r="P31" i="100"/>
  <c r="T15" i="100"/>
  <c r="V15" i="100"/>
  <c r="X15" i="100"/>
  <c r="Z15" i="100"/>
  <c r="AB15" i="100"/>
  <c r="AD15" i="100"/>
  <c r="P35" i="100"/>
  <c r="T16" i="100"/>
  <c r="V16" i="100"/>
  <c r="X16" i="100"/>
  <c r="Z16" i="100"/>
  <c r="AB16" i="100"/>
  <c r="AD16" i="100"/>
  <c r="P39" i="100"/>
  <c r="T17" i="100"/>
  <c r="V17" i="100"/>
  <c r="X17" i="100"/>
  <c r="Z17" i="100"/>
  <c r="AB17" i="100"/>
  <c r="AD17" i="100"/>
  <c r="P43" i="100"/>
  <c r="T18" i="100"/>
  <c r="V18" i="100"/>
  <c r="X18" i="100"/>
  <c r="Z18" i="100"/>
  <c r="AB18" i="100"/>
  <c r="AD18" i="100"/>
  <c r="P47" i="100"/>
  <c r="T19" i="100"/>
  <c r="V19" i="100"/>
  <c r="X19" i="100"/>
  <c r="Z19" i="100"/>
  <c r="AB19" i="100"/>
  <c r="AD19" i="100"/>
  <c r="P51" i="100"/>
  <c r="T20" i="100"/>
  <c r="V20" i="100"/>
  <c r="X20" i="100"/>
  <c r="Z20" i="100"/>
  <c r="AB20" i="100"/>
  <c r="AD20" i="100"/>
  <c r="P55" i="100"/>
  <c r="T21" i="100"/>
  <c r="V21" i="100"/>
  <c r="X21" i="100"/>
  <c r="Z21" i="100"/>
  <c r="AB21" i="100"/>
  <c r="AD21" i="100"/>
  <c r="D58" i="100"/>
  <c r="L58" i="100"/>
  <c r="V10" i="100"/>
  <c r="Z10" i="100"/>
  <c r="AD10" i="100"/>
  <c r="O25" i="100"/>
  <c r="O26" i="100"/>
  <c r="O27" i="100"/>
  <c r="O28" i="100"/>
  <c r="O29" i="100"/>
  <c r="O31" i="100"/>
  <c r="O33" i="100"/>
  <c r="O35" i="100"/>
  <c r="O37" i="100"/>
  <c r="O39" i="100"/>
  <c r="O41" i="100"/>
  <c r="O43" i="100"/>
  <c r="O45" i="100"/>
  <c r="O47" i="100"/>
  <c r="O49" i="100"/>
  <c r="O51" i="100"/>
  <c r="O53" i="100"/>
  <c r="O55" i="100"/>
  <c r="O57" i="100"/>
  <c r="O46" i="98"/>
  <c r="S19" i="98"/>
  <c r="T12" i="97"/>
  <c r="V12" i="97"/>
  <c r="X12" i="97"/>
  <c r="Z12" i="97"/>
  <c r="AB12" i="97"/>
  <c r="AD12" i="97"/>
  <c r="U11" i="98"/>
  <c r="W11" i="98"/>
  <c r="Y11" i="98"/>
  <c r="AA11" i="98"/>
  <c r="AC11" i="98"/>
  <c r="S15" i="98"/>
  <c r="V12" i="94"/>
  <c r="S11" i="95"/>
  <c r="W11" i="95"/>
  <c r="AA11" i="95"/>
  <c r="Z12" i="95"/>
  <c r="O20" i="97"/>
  <c r="O22" i="97"/>
  <c r="O23" i="97"/>
  <c r="O24" i="97"/>
  <c r="O25" i="97"/>
  <c r="O26" i="97"/>
  <c r="O27" i="97"/>
  <c r="O28" i="97"/>
  <c r="O29" i="97"/>
  <c r="O30" i="97"/>
  <c r="O31" i="97"/>
  <c r="O32" i="97"/>
  <c r="O33" i="97"/>
  <c r="O34" i="97"/>
  <c r="O35" i="97"/>
  <c r="O37" i="97"/>
  <c r="O38" i="97"/>
  <c r="O39" i="97"/>
  <c r="O40" i="97"/>
  <c r="O41" i="97"/>
  <c r="O42" i="97"/>
  <c r="O43" i="97"/>
  <c r="O44" i="97"/>
  <c r="P17" i="98"/>
  <c r="U12" i="98"/>
  <c r="W12" i="98"/>
  <c r="Y12" i="98"/>
  <c r="AA12" i="98"/>
  <c r="AC12" i="98"/>
  <c r="W26" i="97"/>
  <c r="AA26" i="97"/>
  <c r="P15" i="98"/>
  <c r="S11" i="98"/>
  <c r="P19" i="98"/>
  <c r="S12" i="98"/>
  <c r="U27" i="98"/>
  <c r="P22" i="98"/>
  <c r="S13" i="98"/>
  <c r="U26" i="98"/>
  <c r="W26" i="98"/>
  <c r="Y26" i="98"/>
  <c r="AA26" i="98"/>
  <c r="O26" i="98"/>
  <c r="S14" i="98"/>
  <c r="O34" i="98"/>
  <c r="S16" i="98"/>
  <c r="O42" i="98"/>
  <c r="S18" i="98"/>
  <c r="O54" i="98"/>
  <c r="S21" i="98"/>
  <c r="T11" i="95"/>
  <c r="V11" i="95"/>
  <c r="X11" i="95"/>
  <c r="Z11" i="95"/>
  <c r="AB11" i="95"/>
  <c r="AD11" i="95"/>
  <c r="D58" i="97"/>
  <c r="F58" i="97"/>
  <c r="H58" i="97"/>
  <c r="J58" i="97"/>
  <c r="L58" i="97"/>
  <c r="N58" i="97"/>
  <c r="T26" i="97"/>
  <c r="Z26" i="97"/>
  <c r="O18" i="97"/>
  <c r="S18" i="97"/>
  <c r="O19" i="97"/>
  <c r="S27" i="97"/>
  <c r="U27" i="97"/>
  <c r="W27" i="97"/>
  <c r="Y27" i="97"/>
  <c r="AA27" i="97"/>
  <c r="AC27" i="97"/>
  <c r="O21" i="97"/>
  <c r="P40" i="97"/>
  <c r="P41" i="97"/>
  <c r="P42" i="97"/>
  <c r="P43" i="97"/>
  <c r="P44" i="97"/>
  <c r="D58" i="98"/>
  <c r="F58" i="98"/>
  <c r="H58" i="98"/>
  <c r="J58" i="98"/>
  <c r="L58" i="98"/>
  <c r="N58" i="98"/>
  <c r="Z26" i="98"/>
  <c r="S17" i="98"/>
  <c r="S20" i="98"/>
  <c r="O45" i="97"/>
  <c r="O46" i="97"/>
  <c r="O47" i="97"/>
  <c r="O48" i="97"/>
  <c r="O49" i="97"/>
  <c r="O50" i="97"/>
  <c r="O51" i="97"/>
  <c r="O52" i="97"/>
  <c r="O53" i="97"/>
  <c r="O54" i="97"/>
  <c r="O55" i="97"/>
  <c r="O56" i="97"/>
  <c r="O57" i="97"/>
  <c r="C58" i="98"/>
  <c r="E58" i="98"/>
  <c r="G58" i="98"/>
  <c r="I58" i="98"/>
  <c r="K58" i="98"/>
  <c r="M58" i="98"/>
  <c r="P11" i="98"/>
  <c r="P12" i="98"/>
  <c r="P13" i="98"/>
  <c r="P14" i="98"/>
  <c r="P16" i="98"/>
  <c r="P18" i="98"/>
  <c r="P21" i="98"/>
  <c r="P43" i="98"/>
  <c r="P44" i="98"/>
  <c r="P45" i="98"/>
  <c r="P46" i="98"/>
  <c r="P47" i="98"/>
  <c r="P48" i="98"/>
  <c r="P49" i="98"/>
  <c r="P50" i="98"/>
  <c r="P51" i="98"/>
  <c r="P52" i="98"/>
  <c r="Z11" i="94"/>
  <c r="AD12" i="94"/>
  <c r="V12" i="95"/>
  <c r="AD12" i="95"/>
  <c r="T11" i="96"/>
  <c r="V11" i="96"/>
  <c r="X11" i="96"/>
  <c r="Z11" i="96"/>
  <c r="AB11" i="96"/>
  <c r="AD11" i="96"/>
  <c r="P10" i="97"/>
  <c r="T10" i="97"/>
  <c r="V10" i="97"/>
  <c r="X10" i="97"/>
  <c r="Z10" i="97"/>
  <c r="AB10" i="97"/>
  <c r="AD10" i="97"/>
  <c r="P11" i="97"/>
  <c r="P12" i="97"/>
  <c r="P13" i="97"/>
  <c r="P14" i="97"/>
  <c r="P15" i="97"/>
  <c r="P16" i="97"/>
  <c r="P17" i="97"/>
  <c r="P18" i="97"/>
  <c r="P19" i="97"/>
  <c r="P20" i="97"/>
  <c r="P21" i="97"/>
  <c r="P22" i="97"/>
  <c r="P23" i="97"/>
  <c r="T23" i="97"/>
  <c r="Z23" i="97"/>
  <c r="P24" i="97"/>
  <c r="T24" i="97"/>
  <c r="V24" i="97"/>
  <c r="X24" i="97"/>
  <c r="Z24" i="97"/>
  <c r="AB24" i="97"/>
  <c r="AD24" i="97"/>
  <c r="P25" i="97"/>
  <c r="P26" i="97"/>
  <c r="P27" i="97"/>
  <c r="P28" i="97"/>
  <c r="P29" i="97"/>
  <c r="P30" i="97"/>
  <c r="P31" i="97"/>
  <c r="P32" i="97"/>
  <c r="P33" i="97"/>
  <c r="P34" i="97"/>
  <c r="P35" i="97"/>
  <c r="S12" i="96"/>
  <c r="W12" i="96"/>
  <c r="AA12" i="96"/>
  <c r="O10" i="97"/>
  <c r="S10" i="97"/>
  <c r="U10" i="97"/>
  <c r="W10" i="97"/>
  <c r="Y10" i="97"/>
  <c r="AA10" i="97"/>
  <c r="AC10" i="97"/>
  <c r="W23" i="97"/>
  <c r="AA23" i="97"/>
  <c r="S24" i="97"/>
  <c r="U24" i="97"/>
  <c r="W24" i="97"/>
  <c r="Y24" i="97"/>
  <c r="AA24" i="97"/>
  <c r="AC24" i="97"/>
  <c r="O36" i="97"/>
  <c r="P36" i="97"/>
  <c r="P37" i="97"/>
  <c r="P38" i="97"/>
  <c r="P39" i="97"/>
  <c r="P49" i="97"/>
  <c r="P50" i="97"/>
  <c r="P51" i="97"/>
  <c r="P52" i="97"/>
  <c r="P53" i="97"/>
  <c r="P54" i="97"/>
  <c r="P55" i="97"/>
  <c r="P56" i="97"/>
  <c r="P57" i="97"/>
  <c r="O10" i="98"/>
  <c r="S10" i="98"/>
  <c r="U10" i="98"/>
  <c r="W10" i="98"/>
  <c r="Y10" i="98"/>
  <c r="AA10" i="98"/>
  <c r="AC10" i="98"/>
  <c r="O11" i="98"/>
  <c r="O12" i="98"/>
  <c r="O13" i="98"/>
  <c r="O14" i="98"/>
  <c r="O15" i="98"/>
  <c r="O16" i="98"/>
  <c r="O17" i="98"/>
  <c r="O18" i="98"/>
  <c r="O19" i="98"/>
  <c r="Y27" i="98"/>
  <c r="Y24" i="98"/>
  <c r="AA27" i="98"/>
  <c r="AA24" i="98"/>
  <c r="AC27" i="98"/>
  <c r="AC24" i="98"/>
  <c r="O20" i="98"/>
  <c r="O21" i="98"/>
  <c r="O22" i="98"/>
  <c r="O23" i="98"/>
  <c r="U23" i="98"/>
  <c r="W23" i="98"/>
  <c r="Y23" i="98"/>
  <c r="AA23" i="98"/>
  <c r="O24" i="98"/>
  <c r="U24" i="98"/>
  <c r="P10" i="98"/>
  <c r="T10" i="98"/>
  <c r="V10" i="98"/>
  <c r="X10" i="98"/>
  <c r="Z10" i="98"/>
  <c r="AB10" i="98"/>
  <c r="AD10" i="98"/>
  <c r="X27" i="98"/>
  <c r="X24" i="98"/>
  <c r="X23" i="98"/>
  <c r="Z23" i="98"/>
  <c r="P25" i="98"/>
  <c r="P26" i="98"/>
  <c r="P27" i="98"/>
  <c r="P28" i="98"/>
  <c r="P29" i="98"/>
  <c r="P30" i="98"/>
  <c r="P31" i="98"/>
  <c r="P32" i="98"/>
  <c r="P33" i="98"/>
  <c r="P34" i="98"/>
  <c r="P35" i="98"/>
  <c r="P36" i="98"/>
  <c r="P37" i="98"/>
  <c r="P38" i="98"/>
  <c r="P39" i="98"/>
  <c r="P40" i="98"/>
  <c r="P41" i="98"/>
  <c r="P42" i="98"/>
  <c r="P53" i="98"/>
  <c r="P54" i="98"/>
  <c r="P55" i="98"/>
  <c r="P56" i="98"/>
  <c r="P57" i="98"/>
  <c r="O42" i="96"/>
  <c r="S18" i="96"/>
  <c r="T11" i="94"/>
  <c r="V11" i="94"/>
  <c r="X11" i="94"/>
  <c r="AB11" i="94"/>
  <c r="AD11" i="94"/>
  <c r="T12" i="94"/>
  <c r="X12" i="94"/>
  <c r="Z12" i="94"/>
  <c r="AB12" i="94"/>
  <c r="D58" i="95"/>
  <c r="F58" i="95"/>
  <c r="H58" i="95"/>
  <c r="J58" i="95"/>
  <c r="L58" i="95"/>
  <c r="N58" i="95"/>
  <c r="T26" i="95"/>
  <c r="AD27" i="95"/>
  <c r="S13" i="96"/>
  <c r="P14" i="96"/>
  <c r="S11" i="96"/>
  <c r="S14" i="96"/>
  <c r="T12" i="95"/>
  <c r="X12" i="95"/>
  <c r="AB12" i="95"/>
  <c r="P21" i="95"/>
  <c r="P22" i="95"/>
  <c r="P23" i="95"/>
  <c r="P24" i="95"/>
  <c r="P25" i="95"/>
  <c r="P26" i="95"/>
  <c r="P27" i="95"/>
  <c r="P28" i="95"/>
  <c r="P29" i="95"/>
  <c r="P30" i="95"/>
  <c r="P31" i="95"/>
  <c r="P32" i="95"/>
  <c r="P33" i="95"/>
  <c r="P34" i="95"/>
  <c r="P35" i="95"/>
  <c r="O37" i="95"/>
  <c r="O39" i="95"/>
  <c r="O40" i="95"/>
  <c r="O41" i="95"/>
  <c r="O42" i="95"/>
  <c r="O43" i="95"/>
  <c r="O44" i="95"/>
  <c r="O45" i="95"/>
  <c r="O47" i="95"/>
  <c r="O48" i="95"/>
  <c r="O49" i="95"/>
  <c r="O50" i="95"/>
  <c r="O51" i="95"/>
  <c r="O52" i="95"/>
  <c r="O53" i="95"/>
  <c r="O54" i="95"/>
  <c r="O55" i="95"/>
  <c r="O56" i="95"/>
  <c r="O57" i="95"/>
  <c r="C58" i="96"/>
  <c r="E58" i="96"/>
  <c r="G58" i="96"/>
  <c r="I58" i="96"/>
  <c r="K58" i="96"/>
  <c r="M58" i="96"/>
  <c r="P11" i="96"/>
  <c r="S10" i="94"/>
  <c r="W10" i="94"/>
  <c r="P18" i="95"/>
  <c r="T27" i="95"/>
  <c r="X27" i="95"/>
  <c r="AB27" i="95"/>
  <c r="P20" i="95"/>
  <c r="U12" i="95"/>
  <c r="W12" i="95"/>
  <c r="Y12" i="95"/>
  <c r="AA12" i="95"/>
  <c r="AC12" i="95"/>
  <c r="P12" i="96"/>
  <c r="P16" i="96"/>
  <c r="P18" i="96"/>
  <c r="U12" i="96"/>
  <c r="Y12" i="96"/>
  <c r="AC12" i="96"/>
  <c r="T12" i="96"/>
  <c r="V12" i="96"/>
  <c r="X12" i="96"/>
  <c r="Z12" i="96"/>
  <c r="AB12" i="96"/>
  <c r="AD12" i="96"/>
  <c r="O38" i="95"/>
  <c r="S17" i="95"/>
  <c r="O46" i="95"/>
  <c r="S19" i="95"/>
  <c r="Y27" i="95"/>
  <c r="AA27" i="95"/>
  <c r="O30" i="96"/>
  <c r="S15" i="96"/>
  <c r="O38" i="96"/>
  <c r="S17" i="96"/>
  <c r="O46" i="96"/>
  <c r="S19" i="96"/>
  <c r="U27" i="96"/>
  <c r="O54" i="96"/>
  <c r="S21" i="96"/>
  <c r="P14" i="94"/>
  <c r="U11" i="94"/>
  <c r="W11" i="94"/>
  <c r="Y11" i="94"/>
  <c r="AA11" i="94"/>
  <c r="AC11" i="94"/>
  <c r="P16" i="94"/>
  <c r="P18" i="94"/>
  <c r="U12" i="94"/>
  <c r="W12" i="94"/>
  <c r="Y12" i="94"/>
  <c r="AA12" i="94"/>
  <c r="AC12" i="94"/>
  <c r="P20" i="94"/>
  <c r="P22" i="94"/>
  <c r="P23" i="94"/>
  <c r="P24" i="94"/>
  <c r="O30" i="94"/>
  <c r="O34" i="94"/>
  <c r="O38" i="94"/>
  <c r="O42" i="94"/>
  <c r="O46" i="94"/>
  <c r="O50" i="94"/>
  <c r="O54" i="94"/>
  <c r="C58" i="95"/>
  <c r="E58" i="95"/>
  <c r="G58" i="95"/>
  <c r="I58" i="95"/>
  <c r="K58" i="95"/>
  <c r="M58" i="95"/>
  <c r="P11" i="95"/>
  <c r="P12" i="95"/>
  <c r="S12" i="95"/>
  <c r="P13" i="95"/>
  <c r="S13" i="95"/>
  <c r="P14" i="95"/>
  <c r="S14" i="95"/>
  <c r="P15" i="95"/>
  <c r="S15" i="95"/>
  <c r="P16" i="95"/>
  <c r="S16" i="95"/>
  <c r="S18" i="95"/>
  <c r="S21" i="95"/>
  <c r="S16" i="96"/>
  <c r="T27" i="96"/>
  <c r="S20" i="96"/>
  <c r="P17" i="95"/>
  <c r="P19" i="95"/>
  <c r="P49" i="95"/>
  <c r="P50" i="95"/>
  <c r="P51" i="95"/>
  <c r="P52" i="95"/>
  <c r="P53" i="95"/>
  <c r="P54" i="95"/>
  <c r="P55" i="95"/>
  <c r="P56" i="95"/>
  <c r="P57" i="95"/>
  <c r="D58" i="96"/>
  <c r="F58" i="96"/>
  <c r="H58" i="96"/>
  <c r="J58" i="96"/>
  <c r="L58" i="96"/>
  <c r="N58" i="96"/>
  <c r="V26" i="96"/>
  <c r="Z26" i="96"/>
  <c r="P15" i="96"/>
  <c r="P17" i="96"/>
  <c r="P19" i="96"/>
  <c r="P21" i="96"/>
  <c r="O10" i="95"/>
  <c r="S10" i="95"/>
  <c r="U10" i="95"/>
  <c r="W10" i="95"/>
  <c r="Y10" i="95"/>
  <c r="AA10" i="95"/>
  <c r="AC10" i="95"/>
  <c r="O11" i="95"/>
  <c r="O12" i="95"/>
  <c r="O13" i="95"/>
  <c r="O14" i="95"/>
  <c r="O15" i="95"/>
  <c r="O16" i="95"/>
  <c r="O17" i="95"/>
  <c r="O18" i="95"/>
  <c r="O19" i="95"/>
  <c r="O20" i="95"/>
  <c r="O21" i="95"/>
  <c r="O22" i="95"/>
  <c r="O23" i="95"/>
  <c r="W23" i="95"/>
  <c r="AA23" i="95"/>
  <c r="O24" i="95"/>
  <c r="Y24" i="95"/>
  <c r="AA24" i="95"/>
  <c r="O25" i="95"/>
  <c r="O26" i="95"/>
  <c r="O27" i="95"/>
  <c r="O28" i="95"/>
  <c r="O29" i="95"/>
  <c r="O30" i="95"/>
  <c r="O31" i="95"/>
  <c r="O32" i="95"/>
  <c r="O33" i="95"/>
  <c r="O34" i="95"/>
  <c r="O35" i="95"/>
  <c r="O36" i="95"/>
  <c r="P36" i="95"/>
  <c r="T10" i="94"/>
  <c r="F58" i="94"/>
  <c r="X10" i="94"/>
  <c r="J58" i="94"/>
  <c r="AB10" i="94"/>
  <c r="N58" i="94"/>
  <c r="P11" i="94"/>
  <c r="S11" i="94"/>
  <c r="P12" i="94"/>
  <c r="S12" i="94"/>
  <c r="P13" i="94"/>
  <c r="S13" i="94"/>
  <c r="P15" i="94"/>
  <c r="P17" i="94"/>
  <c r="P19" i="94"/>
  <c r="P21" i="94"/>
  <c r="P10" i="95"/>
  <c r="T10" i="95"/>
  <c r="V10" i="95"/>
  <c r="X10" i="95"/>
  <c r="Z10" i="95"/>
  <c r="AB10" i="95"/>
  <c r="AD10" i="95"/>
  <c r="T23" i="95"/>
  <c r="AD23" i="95"/>
  <c r="T24" i="95"/>
  <c r="X24" i="95"/>
  <c r="AB24" i="95"/>
  <c r="AD24" i="95"/>
  <c r="P37" i="95"/>
  <c r="P38" i="95"/>
  <c r="P39" i="95"/>
  <c r="P40" i="95"/>
  <c r="P41" i="95"/>
  <c r="P42" i="95"/>
  <c r="P43" i="95"/>
  <c r="P44" i="95"/>
  <c r="P45" i="95"/>
  <c r="P46" i="95"/>
  <c r="P47" i="95"/>
  <c r="P48" i="95"/>
  <c r="O10" i="96"/>
  <c r="S10" i="96"/>
  <c r="U10" i="96"/>
  <c r="W10" i="96"/>
  <c r="Y10" i="96"/>
  <c r="AA10" i="96"/>
  <c r="AC10" i="96"/>
  <c r="O11" i="96"/>
  <c r="O12" i="96"/>
  <c r="O13" i="96"/>
  <c r="O14" i="96"/>
  <c r="O15" i="96"/>
  <c r="O16" i="96"/>
  <c r="O17" i="96"/>
  <c r="O18" i="96"/>
  <c r="O19" i="96"/>
  <c r="AA27" i="96"/>
  <c r="AA24" i="96"/>
  <c r="AC27" i="96"/>
  <c r="AC24" i="96"/>
  <c r="O20" i="96"/>
  <c r="O21" i="96"/>
  <c r="O22" i="96"/>
  <c r="O23" i="96"/>
  <c r="O24" i="96"/>
  <c r="U24" i="96"/>
  <c r="P10" i="96"/>
  <c r="T10" i="96"/>
  <c r="V10" i="96"/>
  <c r="X10" i="96"/>
  <c r="Z10" i="96"/>
  <c r="AB10" i="96"/>
  <c r="AD10" i="96"/>
  <c r="X27" i="96"/>
  <c r="X24" i="96"/>
  <c r="Z27" i="96"/>
  <c r="Z24" i="96"/>
  <c r="AB27" i="96"/>
  <c r="AB24" i="96"/>
  <c r="AD27" i="96"/>
  <c r="AD24" i="96"/>
  <c r="V23" i="96"/>
  <c r="Z23" i="96"/>
  <c r="T24" i="96"/>
  <c r="V24" i="96"/>
  <c r="P25" i="96"/>
  <c r="P26" i="96"/>
  <c r="P27" i="96"/>
  <c r="P28" i="96"/>
  <c r="P29" i="96"/>
  <c r="P30" i="96"/>
  <c r="P31" i="96"/>
  <c r="P32" i="96"/>
  <c r="P33" i="96"/>
  <c r="P34" i="96"/>
  <c r="P35" i="96"/>
  <c r="P36" i="96"/>
  <c r="P37" i="96"/>
  <c r="P38" i="96"/>
  <c r="P39" i="96"/>
  <c r="P40" i="96"/>
  <c r="P41" i="96"/>
  <c r="P42" i="96"/>
  <c r="P43" i="96"/>
  <c r="P44" i="96"/>
  <c r="P45" i="96"/>
  <c r="P46" i="96"/>
  <c r="P47" i="96"/>
  <c r="P48" i="96"/>
  <c r="P49" i="96"/>
  <c r="P50" i="96"/>
  <c r="P51" i="96"/>
  <c r="P52" i="96"/>
  <c r="P53" i="96"/>
  <c r="P54" i="96"/>
  <c r="P55" i="96"/>
  <c r="P56" i="96"/>
  <c r="P57" i="96"/>
  <c r="P30" i="94"/>
  <c r="P34" i="94"/>
  <c r="P38" i="94"/>
  <c r="P42" i="94"/>
  <c r="P46" i="94"/>
  <c r="P50" i="94"/>
  <c r="P54" i="94"/>
  <c r="E58" i="94"/>
  <c r="G58" i="94"/>
  <c r="I58" i="94"/>
  <c r="K58" i="94"/>
  <c r="M58" i="94"/>
  <c r="AA10" i="94"/>
  <c r="V13" i="94"/>
  <c r="X13" i="94"/>
  <c r="Z13" i="94"/>
  <c r="AB13" i="94"/>
  <c r="AD13" i="94"/>
  <c r="P27" i="94"/>
  <c r="P28" i="94"/>
  <c r="P29" i="94"/>
  <c r="O32" i="94"/>
  <c r="P32" i="94"/>
  <c r="P33" i="94"/>
  <c r="O36" i="94"/>
  <c r="P36" i="94"/>
  <c r="P37" i="94"/>
  <c r="O40" i="94"/>
  <c r="P40" i="94"/>
  <c r="P41" i="94"/>
  <c r="O44" i="94"/>
  <c r="P44" i="94"/>
  <c r="P45" i="94"/>
  <c r="O48" i="94"/>
  <c r="P48" i="94"/>
  <c r="P49" i="94"/>
  <c r="O52" i="94"/>
  <c r="P52" i="94"/>
  <c r="P53" i="94"/>
  <c r="O56" i="94"/>
  <c r="P56" i="94"/>
  <c r="P57" i="94"/>
  <c r="P25" i="94"/>
  <c r="T13" i="94"/>
  <c r="P26" i="94"/>
  <c r="T14" i="94"/>
  <c r="H58" i="94"/>
  <c r="C58" i="94"/>
  <c r="P10" i="94"/>
  <c r="O10" i="94"/>
  <c r="U10" i="94"/>
  <c r="Y10" i="94"/>
  <c r="AC10" i="94"/>
  <c r="O11" i="94"/>
  <c r="O12" i="94"/>
  <c r="O13" i="94"/>
  <c r="O14" i="94"/>
  <c r="O15" i="94"/>
  <c r="O16" i="94"/>
  <c r="O17" i="94"/>
  <c r="O18" i="94"/>
  <c r="O19" i="94"/>
  <c r="O20" i="94"/>
  <c r="O21" i="94"/>
  <c r="O22" i="94"/>
  <c r="O23" i="94"/>
  <c r="O24" i="94"/>
  <c r="P31" i="94"/>
  <c r="T15" i="94"/>
  <c r="V15" i="94"/>
  <c r="X15" i="94"/>
  <c r="Z15" i="94"/>
  <c r="AB15" i="94"/>
  <c r="AD15" i="94"/>
  <c r="P35" i="94"/>
  <c r="T16" i="94"/>
  <c r="V16" i="94"/>
  <c r="X16" i="94"/>
  <c r="Z16" i="94"/>
  <c r="AB16" i="94"/>
  <c r="AD16" i="94"/>
  <c r="P39" i="94"/>
  <c r="T17" i="94"/>
  <c r="V17" i="94"/>
  <c r="X17" i="94"/>
  <c r="Z17" i="94"/>
  <c r="AB17" i="94"/>
  <c r="AD17" i="94"/>
  <c r="P43" i="94"/>
  <c r="T18" i="94"/>
  <c r="V18" i="94"/>
  <c r="X18" i="94"/>
  <c r="Z18" i="94"/>
  <c r="AB18" i="94"/>
  <c r="AD18" i="94"/>
  <c r="P47" i="94"/>
  <c r="T19" i="94"/>
  <c r="V19" i="94"/>
  <c r="X19" i="94"/>
  <c r="Z19" i="94"/>
  <c r="AB19" i="94"/>
  <c r="AD19" i="94"/>
  <c r="P51" i="94"/>
  <c r="T20" i="94"/>
  <c r="V20" i="94"/>
  <c r="X20" i="94"/>
  <c r="Z20" i="94"/>
  <c r="AB20" i="94"/>
  <c r="AD20" i="94"/>
  <c r="P55" i="94"/>
  <c r="T21" i="94"/>
  <c r="V21" i="94"/>
  <c r="X21" i="94"/>
  <c r="Z21" i="94"/>
  <c r="AB21" i="94"/>
  <c r="AD21" i="94"/>
  <c r="D58" i="94"/>
  <c r="L58" i="94"/>
  <c r="V10" i="94"/>
  <c r="Z10" i="94"/>
  <c r="AD10" i="94"/>
  <c r="O25" i="94"/>
  <c r="O26" i="94"/>
  <c r="O27" i="94"/>
  <c r="O28" i="94"/>
  <c r="O29" i="94"/>
  <c r="O31" i="94"/>
  <c r="O33" i="94"/>
  <c r="O35" i="94"/>
  <c r="O37" i="94"/>
  <c r="O39" i="94"/>
  <c r="O41" i="94"/>
  <c r="O43" i="94"/>
  <c r="O45" i="94"/>
  <c r="O47" i="94"/>
  <c r="O49" i="94"/>
  <c r="O51" i="94"/>
  <c r="O53" i="94"/>
  <c r="O55" i="94"/>
  <c r="O57" i="94"/>
  <c r="C11" i="107"/>
  <c r="D11" i="107"/>
  <c r="E11" i="107"/>
  <c r="F11" i="107"/>
  <c r="G11" i="107"/>
  <c r="H11" i="107"/>
  <c r="I11" i="107"/>
  <c r="J11" i="107"/>
  <c r="K11" i="107"/>
  <c r="L11" i="107"/>
  <c r="M11" i="107"/>
  <c r="N11" i="107"/>
  <c r="C12" i="107"/>
  <c r="D12" i="107"/>
  <c r="E12" i="107"/>
  <c r="F12" i="107"/>
  <c r="G12" i="107"/>
  <c r="H12" i="107"/>
  <c r="I12" i="107"/>
  <c r="J12" i="107"/>
  <c r="K12" i="107"/>
  <c r="L12" i="107"/>
  <c r="M12" i="107"/>
  <c r="N12" i="107"/>
  <c r="C13" i="107"/>
  <c r="D13" i="107"/>
  <c r="E13" i="107"/>
  <c r="F13" i="107"/>
  <c r="G13" i="107"/>
  <c r="H13" i="107"/>
  <c r="I13" i="107"/>
  <c r="J13" i="107"/>
  <c r="K13" i="107"/>
  <c r="L13" i="107"/>
  <c r="M13" i="107"/>
  <c r="N13" i="107"/>
  <c r="C14" i="107"/>
  <c r="D14" i="107"/>
  <c r="E14" i="107"/>
  <c r="F14" i="107"/>
  <c r="G14" i="107"/>
  <c r="H14" i="107"/>
  <c r="I14" i="107"/>
  <c r="J14" i="107"/>
  <c r="K14" i="107"/>
  <c r="L14" i="107"/>
  <c r="M14" i="107"/>
  <c r="N14" i="107"/>
  <c r="C15" i="107"/>
  <c r="D15" i="107"/>
  <c r="E15" i="107"/>
  <c r="F15" i="107"/>
  <c r="G15" i="107"/>
  <c r="H15" i="107"/>
  <c r="I15" i="107"/>
  <c r="J15" i="107"/>
  <c r="K15" i="107"/>
  <c r="L15" i="107"/>
  <c r="M15" i="107"/>
  <c r="N15" i="107"/>
  <c r="C16" i="107"/>
  <c r="D16" i="107"/>
  <c r="E16" i="107"/>
  <c r="F16" i="107"/>
  <c r="G16" i="107"/>
  <c r="H16" i="107"/>
  <c r="I16" i="107"/>
  <c r="J16" i="107"/>
  <c r="K16" i="107"/>
  <c r="L16" i="107"/>
  <c r="M16" i="107"/>
  <c r="N16" i="107"/>
  <c r="C17" i="107"/>
  <c r="D17" i="107"/>
  <c r="E17" i="107"/>
  <c r="F17" i="107"/>
  <c r="G17" i="107"/>
  <c r="H17" i="107"/>
  <c r="I17" i="107"/>
  <c r="J17" i="107"/>
  <c r="K17" i="107"/>
  <c r="L17" i="107"/>
  <c r="M17" i="107"/>
  <c r="N17" i="107"/>
  <c r="C18" i="107"/>
  <c r="D18" i="107"/>
  <c r="E18" i="107"/>
  <c r="F18" i="107"/>
  <c r="G18" i="107"/>
  <c r="H18" i="107"/>
  <c r="I18" i="107"/>
  <c r="J18" i="107"/>
  <c r="K18" i="107"/>
  <c r="L18" i="107"/>
  <c r="M18" i="107"/>
  <c r="N18" i="107"/>
  <c r="C19" i="107"/>
  <c r="D19" i="107"/>
  <c r="E19" i="107"/>
  <c r="F19" i="107"/>
  <c r="G19" i="107"/>
  <c r="H19" i="107"/>
  <c r="I19" i="107"/>
  <c r="J19" i="107"/>
  <c r="K19" i="107"/>
  <c r="L19" i="107"/>
  <c r="M19" i="107"/>
  <c r="N19" i="107"/>
  <c r="C20" i="107"/>
  <c r="D20" i="107"/>
  <c r="E20" i="107"/>
  <c r="F20" i="107"/>
  <c r="G20" i="107"/>
  <c r="H20" i="107"/>
  <c r="I20" i="107"/>
  <c r="J20" i="107"/>
  <c r="K20" i="107"/>
  <c r="L20" i="107"/>
  <c r="M20" i="107"/>
  <c r="N20" i="107"/>
  <c r="C21" i="107"/>
  <c r="D21" i="107"/>
  <c r="E21" i="107"/>
  <c r="F21" i="107"/>
  <c r="G21" i="107"/>
  <c r="H21" i="107"/>
  <c r="I21" i="107"/>
  <c r="J21" i="107"/>
  <c r="K21" i="107"/>
  <c r="L21" i="107"/>
  <c r="M21" i="107"/>
  <c r="N21" i="107"/>
  <c r="C22" i="107"/>
  <c r="D22" i="107"/>
  <c r="E22" i="107"/>
  <c r="F22" i="107"/>
  <c r="G22" i="107"/>
  <c r="H22" i="107"/>
  <c r="I22" i="107"/>
  <c r="J22" i="107"/>
  <c r="K22" i="107"/>
  <c r="L22" i="107"/>
  <c r="M22" i="107"/>
  <c r="N22" i="107"/>
  <c r="C23" i="107"/>
  <c r="D23" i="107"/>
  <c r="E23" i="107"/>
  <c r="F23" i="107"/>
  <c r="G23" i="107"/>
  <c r="H23" i="107"/>
  <c r="I23" i="107"/>
  <c r="J23" i="107"/>
  <c r="K23" i="107"/>
  <c r="L23" i="107"/>
  <c r="M23" i="107"/>
  <c r="N23" i="107"/>
  <c r="C24" i="107"/>
  <c r="D24" i="107"/>
  <c r="E24" i="107"/>
  <c r="F24" i="107"/>
  <c r="G24" i="107"/>
  <c r="H24" i="107"/>
  <c r="I24" i="107"/>
  <c r="J24" i="107"/>
  <c r="K24" i="107"/>
  <c r="L24" i="107"/>
  <c r="M24" i="107"/>
  <c r="N24" i="107"/>
  <c r="C25" i="107"/>
  <c r="D25" i="107"/>
  <c r="E25" i="107"/>
  <c r="F25" i="107"/>
  <c r="G25" i="107"/>
  <c r="H25" i="107"/>
  <c r="I25" i="107"/>
  <c r="J25" i="107"/>
  <c r="K25" i="107"/>
  <c r="L25" i="107"/>
  <c r="M25" i="107"/>
  <c r="N25" i="107"/>
  <c r="C26" i="107"/>
  <c r="D26" i="107"/>
  <c r="E26" i="107"/>
  <c r="F26" i="107"/>
  <c r="G26" i="107"/>
  <c r="H26" i="107"/>
  <c r="I26" i="107"/>
  <c r="J26" i="107"/>
  <c r="K26" i="107"/>
  <c r="L26" i="107"/>
  <c r="M26" i="107"/>
  <c r="N26" i="107"/>
  <c r="C27" i="107"/>
  <c r="D27" i="107"/>
  <c r="E27" i="107"/>
  <c r="F27" i="107"/>
  <c r="G27" i="107"/>
  <c r="H27" i="107"/>
  <c r="I27" i="107"/>
  <c r="J27" i="107"/>
  <c r="K27" i="107"/>
  <c r="L27" i="107"/>
  <c r="M27" i="107"/>
  <c r="N27" i="107"/>
  <c r="C28" i="107"/>
  <c r="D28" i="107"/>
  <c r="E28" i="107"/>
  <c r="F28" i="107"/>
  <c r="G28" i="107"/>
  <c r="H28" i="107"/>
  <c r="I28" i="107"/>
  <c r="J28" i="107"/>
  <c r="K28" i="107"/>
  <c r="L28" i="107"/>
  <c r="M28" i="107"/>
  <c r="N28" i="107"/>
  <c r="C29" i="107"/>
  <c r="D29" i="107"/>
  <c r="E29" i="107"/>
  <c r="F29" i="107"/>
  <c r="G29" i="107"/>
  <c r="H29" i="107"/>
  <c r="I29" i="107"/>
  <c r="J29" i="107"/>
  <c r="K29" i="107"/>
  <c r="L29" i="107"/>
  <c r="M29" i="107"/>
  <c r="N29" i="107"/>
  <c r="C30" i="107"/>
  <c r="D30" i="107"/>
  <c r="E30" i="107"/>
  <c r="F30" i="107"/>
  <c r="G30" i="107"/>
  <c r="H30" i="107"/>
  <c r="I30" i="107"/>
  <c r="J30" i="107"/>
  <c r="K30" i="107"/>
  <c r="L30" i="107"/>
  <c r="M30" i="107"/>
  <c r="N30" i="107"/>
  <c r="C31" i="107"/>
  <c r="D31" i="107"/>
  <c r="E31" i="107"/>
  <c r="F31" i="107"/>
  <c r="G31" i="107"/>
  <c r="H31" i="107"/>
  <c r="I31" i="107"/>
  <c r="J31" i="107"/>
  <c r="K31" i="107"/>
  <c r="L31" i="107"/>
  <c r="M31" i="107"/>
  <c r="N31" i="107"/>
  <c r="C32" i="107"/>
  <c r="D32" i="107"/>
  <c r="E32" i="107"/>
  <c r="F32" i="107"/>
  <c r="G32" i="107"/>
  <c r="H32" i="107"/>
  <c r="I32" i="107"/>
  <c r="J32" i="107"/>
  <c r="K32" i="107"/>
  <c r="L32" i="107"/>
  <c r="M32" i="107"/>
  <c r="N32" i="107"/>
  <c r="C33" i="107"/>
  <c r="D33" i="107"/>
  <c r="E33" i="107"/>
  <c r="F33" i="107"/>
  <c r="G33" i="107"/>
  <c r="H33" i="107"/>
  <c r="I33" i="107"/>
  <c r="J33" i="107"/>
  <c r="K33" i="107"/>
  <c r="L33" i="107"/>
  <c r="M33" i="107"/>
  <c r="N33" i="107"/>
  <c r="C34" i="107"/>
  <c r="D34" i="107"/>
  <c r="E34" i="107"/>
  <c r="F34" i="107"/>
  <c r="G34" i="107"/>
  <c r="H34" i="107"/>
  <c r="I34" i="107"/>
  <c r="J34" i="107"/>
  <c r="K34" i="107"/>
  <c r="L34" i="107"/>
  <c r="M34" i="107"/>
  <c r="N34" i="107"/>
  <c r="C35" i="107"/>
  <c r="D35" i="107"/>
  <c r="E35" i="107"/>
  <c r="F35" i="107"/>
  <c r="G35" i="107"/>
  <c r="H35" i="107"/>
  <c r="I35" i="107"/>
  <c r="J35" i="107"/>
  <c r="K35" i="107"/>
  <c r="L35" i="107"/>
  <c r="M35" i="107"/>
  <c r="N35" i="107"/>
  <c r="C36" i="107"/>
  <c r="D36" i="107"/>
  <c r="E36" i="107"/>
  <c r="F36" i="107"/>
  <c r="G36" i="107"/>
  <c r="H36" i="107"/>
  <c r="I36" i="107"/>
  <c r="J36" i="107"/>
  <c r="K36" i="107"/>
  <c r="L36" i="107"/>
  <c r="M36" i="107"/>
  <c r="N36" i="107"/>
  <c r="C37" i="107"/>
  <c r="D37" i="107"/>
  <c r="E37" i="107"/>
  <c r="F37" i="107"/>
  <c r="G37" i="107"/>
  <c r="H37" i="107"/>
  <c r="I37" i="107"/>
  <c r="J37" i="107"/>
  <c r="K37" i="107"/>
  <c r="L37" i="107"/>
  <c r="M37" i="107"/>
  <c r="N37" i="107"/>
  <c r="C38" i="107"/>
  <c r="D38" i="107"/>
  <c r="E38" i="107"/>
  <c r="F38" i="107"/>
  <c r="G38" i="107"/>
  <c r="H38" i="107"/>
  <c r="I38" i="107"/>
  <c r="J38" i="107"/>
  <c r="K38" i="107"/>
  <c r="L38" i="107"/>
  <c r="M38" i="107"/>
  <c r="N38" i="107"/>
  <c r="C39" i="107"/>
  <c r="D39" i="107"/>
  <c r="E39" i="107"/>
  <c r="F39" i="107"/>
  <c r="G39" i="107"/>
  <c r="H39" i="107"/>
  <c r="I39" i="107"/>
  <c r="J39" i="107"/>
  <c r="K39" i="107"/>
  <c r="L39" i="107"/>
  <c r="M39" i="107"/>
  <c r="N39" i="107"/>
  <c r="C40" i="107"/>
  <c r="D40" i="107"/>
  <c r="E40" i="107"/>
  <c r="F40" i="107"/>
  <c r="G40" i="107"/>
  <c r="H40" i="107"/>
  <c r="I40" i="107"/>
  <c r="J40" i="107"/>
  <c r="K40" i="107"/>
  <c r="L40" i="107"/>
  <c r="M40" i="107"/>
  <c r="N40" i="107"/>
  <c r="C41" i="107"/>
  <c r="D41" i="107"/>
  <c r="E41" i="107"/>
  <c r="F41" i="107"/>
  <c r="G41" i="107"/>
  <c r="H41" i="107"/>
  <c r="I41" i="107"/>
  <c r="J41" i="107"/>
  <c r="K41" i="107"/>
  <c r="L41" i="107"/>
  <c r="M41" i="107"/>
  <c r="N41" i="107"/>
  <c r="C42" i="107"/>
  <c r="D42" i="107"/>
  <c r="E42" i="107"/>
  <c r="F42" i="107"/>
  <c r="G42" i="107"/>
  <c r="H42" i="107"/>
  <c r="I42" i="107"/>
  <c r="J42" i="107"/>
  <c r="K42" i="107"/>
  <c r="L42" i="107"/>
  <c r="M42" i="107"/>
  <c r="N42" i="107"/>
  <c r="C43" i="107"/>
  <c r="D43" i="107"/>
  <c r="E43" i="107"/>
  <c r="F43" i="107"/>
  <c r="G43" i="107"/>
  <c r="H43" i="107"/>
  <c r="I43" i="107"/>
  <c r="J43" i="107"/>
  <c r="K43" i="107"/>
  <c r="L43" i="107"/>
  <c r="M43" i="107"/>
  <c r="N43" i="107"/>
  <c r="C44" i="107"/>
  <c r="D44" i="107"/>
  <c r="E44" i="107"/>
  <c r="F44" i="107"/>
  <c r="G44" i="107"/>
  <c r="H44" i="107"/>
  <c r="I44" i="107"/>
  <c r="J44" i="107"/>
  <c r="K44" i="107"/>
  <c r="L44" i="107"/>
  <c r="M44" i="107"/>
  <c r="N44" i="107"/>
  <c r="C45" i="107"/>
  <c r="D45" i="107"/>
  <c r="E45" i="107"/>
  <c r="F45" i="107"/>
  <c r="G45" i="107"/>
  <c r="H45" i="107"/>
  <c r="I45" i="107"/>
  <c r="J45" i="107"/>
  <c r="K45" i="107"/>
  <c r="L45" i="107"/>
  <c r="M45" i="107"/>
  <c r="N45" i="107"/>
  <c r="C46" i="107"/>
  <c r="D46" i="107"/>
  <c r="E46" i="107"/>
  <c r="F46" i="107"/>
  <c r="G46" i="107"/>
  <c r="H46" i="107"/>
  <c r="I46" i="107"/>
  <c r="J46" i="107"/>
  <c r="K46" i="107"/>
  <c r="L46" i="107"/>
  <c r="M46" i="107"/>
  <c r="N46" i="107"/>
  <c r="C47" i="107"/>
  <c r="D47" i="107"/>
  <c r="E47" i="107"/>
  <c r="F47" i="107"/>
  <c r="G47" i="107"/>
  <c r="H47" i="107"/>
  <c r="I47" i="107"/>
  <c r="J47" i="107"/>
  <c r="K47" i="107"/>
  <c r="L47" i="107"/>
  <c r="M47" i="107"/>
  <c r="N47" i="107"/>
  <c r="C48" i="107"/>
  <c r="D48" i="107"/>
  <c r="E48" i="107"/>
  <c r="F48" i="107"/>
  <c r="G48" i="107"/>
  <c r="H48" i="107"/>
  <c r="I48" i="107"/>
  <c r="J48" i="107"/>
  <c r="K48" i="107"/>
  <c r="L48" i="107"/>
  <c r="M48" i="107"/>
  <c r="N48" i="107"/>
  <c r="C49" i="107"/>
  <c r="D49" i="107"/>
  <c r="E49" i="107"/>
  <c r="F49" i="107"/>
  <c r="G49" i="107"/>
  <c r="H49" i="107"/>
  <c r="I49" i="107"/>
  <c r="J49" i="107"/>
  <c r="K49" i="107"/>
  <c r="L49" i="107"/>
  <c r="M49" i="107"/>
  <c r="N49" i="107"/>
  <c r="C50" i="107"/>
  <c r="D50" i="107"/>
  <c r="E50" i="107"/>
  <c r="F50" i="107"/>
  <c r="G50" i="107"/>
  <c r="H50" i="107"/>
  <c r="I50" i="107"/>
  <c r="J50" i="107"/>
  <c r="K50" i="107"/>
  <c r="L50" i="107"/>
  <c r="M50" i="107"/>
  <c r="N50" i="107"/>
  <c r="C51" i="107"/>
  <c r="D51" i="107"/>
  <c r="E51" i="107"/>
  <c r="F51" i="107"/>
  <c r="G51" i="107"/>
  <c r="H51" i="107"/>
  <c r="I51" i="107"/>
  <c r="J51" i="107"/>
  <c r="K51" i="107"/>
  <c r="L51" i="107"/>
  <c r="M51" i="107"/>
  <c r="N51" i="107"/>
  <c r="C52" i="107"/>
  <c r="D52" i="107"/>
  <c r="E52" i="107"/>
  <c r="F52" i="107"/>
  <c r="G52" i="107"/>
  <c r="H52" i="107"/>
  <c r="I52" i="107"/>
  <c r="J52" i="107"/>
  <c r="K52" i="107"/>
  <c r="L52" i="107"/>
  <c r="M52" i="107"/>
  <c r="N52" i="107"/>
  <c r="C53" i="107"/>
  <c r="D53" i="107"/>
  <c r="E53" i="107"/>
  <c r="F53" i="107"/>
  <c r="G53" i="107"/>
  <c r="H53" i="107"/>
  <c r="I53" i="107"/>
  <c r="J53" i="107"/>
  <c r="K53" i="107"/>
  <c r="L53" i="107"/>
  <c r="M53" i="107"/>
  <c r="N53" i="107"/>
  <c r="C54" i="107"/>
  <c r="D54" i="107"/>
  <c r="E54" i="107"/>
  <c r="F54" i="107"/>
  <c r="G54" i="107"/>
  <c r="H54" i="107"/>
  <c r="I54" i="107"/>
  <c r="J54" i="107"/>
  <c r="K54" i="107"/>
  <c r="L54" i="107"/>
  <c r="M54" i="107"/>
  <c r="N54" i="107"/>
  <c r="C55" i="107"/>
  <c r="D55" i="107"/>
  <c r="E55" i="107"/>
  <c r="F55" i="107"/>
  <c r="G55" i="107"/>
  <c r="H55" i="107"/>
  <c r="I55" i="107"/>
  <c r="J55" i="107"/>
  <c r="K55" i="107"/>
  <c r="L55" i="107"/>
  <c r="M55" i="107"/>
  <c r="N55" i="107"/>
  <c r="C56" i="107"/>
  <c r="D56" i="107"/>
  <c r="E56" i="107"/>
  <c r="F56" i="107"/>
  <c r="G56" i="107"/>
  <c r="H56" i="107"/>
  <c r="I56" i="107"/>
  <c r="J56" i="107"/>
  <c r="K56" i="107"/>
  <c r="L56" i="107"/>
  <c r="M56" i="107"/>
  <c r="N56" i="107"/>
  <c r="C57" i="107"/>
  <c r="D57" i="107"/>
  <c r="E57" i="107"/>
  <c r="F57" i="107"/>
  <c r="G57" i="107"/>
  <c r="H57" i="107"/>
  <c r="I57" i="107"/>
  <c r="J57" i="107"/>
  <c r="K57" i="107"/>
  <c r="L57" i="107"/>
  <c r="M57" i="107"/>
  <c r="N57" i="107"/>
  <c r="D10" i="107"/>
  <c r="E10" i="107"/>
  <c r="F10" i="107"/>
  <c r="G10" i="107"/>
  <c r="H10" i="107"/>
  <c r="I10" i="107"/>
  <c r="J10" i="107"/>
  <c r="J106" i="107" s="1"/>
  <c r="K10" i="107"/>
  <c r="L10" i="107"/>
  <c r="M10" i="107"/>
  <c r="N10" i="107"/>
  <c r="C10" i="107"/>
  <c r="H106" i="107" l="1"/>
  <c r="D106" i="108"/>
  <c r="V19" i="108"/>
  <c r="T19" i="108"/>
  <c r="N106" i="107"/>
  <c r="F106" i="107"/>
  <c r="J106" i="108"/>
  <c r="C106" i="107"/>
  <c r="G106" i="107"/>
  <c r="S35" i="110"/>
  <c r="F106" i="108"/>
  <c r="M106" i="108"/>
  <c r="AF32" i="101"/>
  <c r="L106" i="108"/>
  <c r="G106" i="108"/>
  <c r="K106" i="108"/>
  <c r="M106" i="107"/>
  <c r="I106" i="108"/>
  <c r="L106" i="107"/>
  <c r="K106" i="107"/>
  <c r="X36" i="101"/>
  <c r="C106" i="108"/>
  <c r="E106" i="108"/>
  <c r="D106" i="107"/>
  <c r="AF25" i="101"/>
  <c r="V39" i="109"/>
  <c r="U38" i="109"/>
  <c r="AB26" i="98"/>
  <c r="E106" i="107"/>
  <c r="H106" i="108"/>
  <c r="I106" i="107"/>
  <c r="X26" i="96"/>
  <c r="AB26" i="103"/>
  <c r="N106" i="108"/>
  <c r="AF33" i="101"/>
  <c r="Y38" i="105"/>
  <c r="AD26" i="97"/>
  <c r="Z26" i="95"/>
  <c r="AF28" i="101"/>
  <c r="T36" i="105"/>
  <c r="AB23" i="96"/>
  <c r="AC26" i="95"/>
  <c r="T23" i="96"/>
  <c r="W27" i="96"/>
  <c r="T23" i="98"/>
  <c r="Z24" i="98"/>
  <c r="V35" i="101"/>
  <c r="U36" i="105"/>
  <c r="Y26" i="95"/>
  <c r="AB24" i="99"/>
  <c r="V26" i="97"/>
  <c r="Y26" i="96"/>
  <c r="U27" i="94"/>
  <c r="AC27" i="95"/>
  <c r="AD23" i="98"/>
  <c r="AB39" i="109"/>
  <c r="L10" i="111"/>
  <c r="J10" i="111"/>
  <c r="M57" i="111"/>
  <c r="I57" i="111"/>
  <c r="G57" i="111"/>
  <c r="M56" i="111"/>
  <c r="K56" i="111"/>
  <c r="I56" i="111"/>
  <c r="C56" i="111"/>
  <c r="G55" i="111"/>
  <c r="K54" i="111"/>
  <c r="I54" i="111"/>
  <c r="G54" i="111"/>
  <c r="I53" i="111"/>
  <c r="G53" i="111"/>
  <c r="M52" i="111"/>
  <c r="K52" i="111"/>
  <c r="C52" i="111"/>
  <c r="M51" i="111"/>
  <c r="G51" i="111"/>
  <c r="M50" i="111"/>
  <c r="K50" i="111"/>
  <c r="C50" i="111"/>
  <c r="M49" i="111"/>
  <c r="K49" i="111"/>
  <c r="I49" i="111"/>
  <c r="C49" i="111"/>
  <c r="M48" i="111"/>
  <c r="I48" i="111"/>
  <c r="G48" i="111"/>
  <c r="K47" i="111"/>
  <c r="C47" i="111"/>
  <c r="G46" i="111"/>
  <c r="K45" i="111"/>
  <c r="G45" i="111"/>
  <c r="C45" i="111"/>
  <c r="K44" i="111"/>
  <c r="G44" i="111"/>
  <c r="C44" i="111"/>
  <c r="K43" i="111"/>
  <c r="G43" i="111"/>
  <c r="C43" i="111"/>
  <c r="K42" i="111"/>
  <c r="I42" i="111"/>
  <c r="C42" i="111"/>
  <c r="K41" i="111"/>
  <c r="G41" i="111"/>
  <c r="C41" i="111"/>
  <c r="K40" i="111"/>
  <c r="G40" i="111"/>
  <c r="C40" i="111"/>
  <c r="K39" i="111"/>
  <c r="G39" i="111"/>
  <c r="C39" i="111"/>
  <c r="K38" i="111"/>
  <c r="C38" i="111"/>
  <c r="S24" i="94"/>
  <c r="C10" i="111"/>
  <c r="M10" i="111"/>
  <c r="I10" i="111"/>
  <c r="L57" i="111"/>
  <c r="H57" i="111"/>
  <c r="L56" i="111"/>
  <c r="H56" i="111"/>
  <c r="L55" i="111"/>
  <c r="H55" i="111"/>
  <c r="L54" i="111"/>
  <c r="H54" i="111"/>
  <c r="L53" i="111"/>
  <c r="H53" i="111"/>
  <c r="L52" i="111"/>
  <c r="H52" i="111"/>
  <c r="L51" i="111"/>
  <c r="H51" i="111"/>
  <c r="L50" i="111"/>
  <c r="H50" i="111"/>
  <c r="L49" i="111"/>
  <c r="H49" i="111"/>
  <c r="L48" i="111"/>
  <c r="H48" i="111"/>
  <c r="L47" i="111"/>
  <c r="H47" i="111"/>
  <c r="L46" i="111"/>
  <c r="H46" i="111"/>
  <c r="L45" i="111"/>
  <c r="H45" i="111"/>
  <c r="L44" i="111"/>
  <c r="H44" i="111"/>
  <c r="L43" i="111"/>
  <c r="H43" i="111"/>
  <c r="L42" i="111"/>
  <c r="H42" i="111"/>
  <c r="L41" i="111"/>
  <c r="H41" i="111"/>
  <c r="L40" i="111"/>
  <c r="H40" i="111"/>
  <c r="L39" i="111"/>
  <c r="H39" i="111"/>
  <c r="L38" i="111"/>
  <c r="H38" i="111"/>
  <c r="L37" i="111"/>
  <c r="H37" i="111"/>
  <c r="L36" i="111"/>
  <c r="H36" i="111"/>
  <c r="L35" i="111"/>
  <c r="H35" i="111"/>
  <c r="L34" i="111"/>
  <c r="H34" i="111"/>
  <c r="L33" i="111"/>
  <c r="H33" i="111"/>
  <c r="L32" i="111"/>
  <c r="H32" i="111"/>
  <c r="L31" i="111"/>
  <c r="H31" i="111"/>
  <c r="L30" i="111"/>
  <c r="H30" i="111"/>
  <c r="L29" i="111"/>
  <c r="H29" i="111"/>
  <c r="L28" i="111"/>
  <c r="H28" i="111"/>
  <c r="L27" i="111"/>
  <c r="H27" i="111"/>
  <c r="L26" i="111"/>
  <c r="H26" i="111"/>
  <c r="L25" i="111"/>
  <c r="H25" i="111"/>
  <c r="H24" i="111"/>
  <c r="F24" i="111"/>
  <c r="N23" i="111"/>
  <c r="L23" i="111"/>
  <c r="J23" i="111"/>
  <c r="N22" i="111"/>
  <c r="H22" i="111"/>
  <c r="N21" i="111"/>
  <c r="L21" i="111"/>
  <c r="F21" i="111"/>
  <c r="H20" i="111"/>
  <c r="F20" i="111"/>
  <c r="L19" i="111"/>
  <c r="J19" i="111"/>
  <c r="F19" i="111"/>
  <c r="J18" i="111"/>
  <c r="H18" i="111"/>
  <c r="L17" i="111"/>
  <c r="J17" i="111"/>
  <c r="F17" i="111"/>
  <c r="N16" i="111"/>
  <c r="H16" i="111"/>
  <c r="N15" i="111"/>
  <c r="L15" i="111"/>
  <c r="N14" i="111"/>
  <c r="H14" i="111"/>
  <c r="F14" i="111"/>
  <c r="N13" i="111"/>
  <c r="L13" i="111"/>
  <c r="F13" i="111"/>
  <c r="H12" i="111"/>
  <c r="F12" i="111"/>
  <c r="N11" i="111"/>
  <c r="J11" i="111"/>
  <c r="F11" i="111"/>
  <c r="AD21" i="108"/>
  <c r="Z20" i="108"/>
  <c r="W27" i="95"/>
  <c r="W24" i="95"/>
  <c r="K37" i="111"/>
  <c r="G37" i="111"/>
  <c r="C37" i="111"/>
  <c r="K36" i="111"/>
  <c r="G36" i="111"/>
  <c r="C36" i="111"/>
  <c r="K35" i="111"/>
  <c r="G35" i="111"/>
  <c r="C35" i="111"/>
  <c r="K34" i="111"/>
  <c r="I34" i="111"/>
  <c r="K33" i="111"/>
  <c r="G33" i="111"/>
  <c r="C33" i="111"/>
  <c r="K32" i="111"/>
  <c r="G32" i="111"/>
  <c r="C32" i="111"/>
  <c r="K31" i="111"/>
  <c r="G31" i="111"/>
  <c r="C31" i="111"/>
  <c r="K30" i="111"/>
  <c r="I30" i="111"/>
  <c r="G30" i="111"/>
  <c r="M29" i="111"/>
  <c r="I29" i="111"/>
  <c r="M28" i="111"/>
  <c r="I28" i="111"/>
  <c r="M27" i="111"/>
  <c r="I27" i="111"/>
  <c r="M26" i="111"/>
  <c r="K26" i="111"/>
  <c r="C26" i="111"/>
  <c r="K25" i="111"/>
  <c r="G25" i="111"/>
  <c r="C25" i="111"/>
  <c r="K24" i="111"/>
  <c r="G24" i="111"/>
  <c r="C24" i="111"/>
  <c r="K23" i="111"/>
  <c r="G23" i="111"/>
  <c r="C23" i="111"/>
  <c r="K22" i="111"/>
  <c r="G22" i="111"/>
  <c r="C22" i="111"/>
  <c r="K21" i="111"/>
  <c r="G21" i="111"/>
  <c r="C21" i="111"/>
  <c r="K20" i="111"/>
  <c r="G20" i="111"/>
  <c r="C20" i="111"/>
  <c r="K19" i="111"/>
  <c r="G19" i="111"/>
  <c r="C19" i="111"/>
  <c r="K18" i="111"/>
  <c r="G18" i="111"/>
  <c r="C18" i="111"/>
  <c r="K17" i="111"/>
  <c r="G17" i="111"/>
  <c r="C17" i="111"/>
  <c r="K16" i="111"/>
  <c r="G16" i="111"/>
  <c r="C16" i="111"/>
  <c r="K15" i="111"/>
  <c r="G15" i="111"/>
  <c r="C15" i="111"/>
  <c r="K14" i="111"/>
  <c r="G14" i="111"/>
  <c r="C14" i="111"/>
  <c r="K13" i="111"/>
  <c r="G13" i="111"/>
  <c r="C13" i="111"/>
  <c r="K12" i="111"/>
  <c r="G12" i="111"/>
  <c r="C12" i="111"/>
  <c r="K11" i="111"/>
  <c r="G11" i="111"/>
  <c r="C11" i="111"/>
  <c r="AB24" i="98"/>
  <c r="W26" i="96"/>
  <c r="V21" i="108"/>
  <c r="AD19" i="108"/>
  <c r="Z21" i="108"/>
  <c r="AD20" i="108"/>
  <c r="V20" i="108"/>
  <c r="V36" i="108" s="1"/>
  <c r="Z19" i="108"/>
  <c r="AC26" i="97"/>
  <c r="AC23" i="97"/>
  <c r="N57" i="111"/>
  <c r="J57" i="111"/>
  <c r="F57" i="111"/>
  <c r="N56" i="111"/>
  <c r="J56" i="111"/>
  <c r="F56" i="111"/>
  <c r="N55" i="111"/>
  <c r="J55" i="111"/>
  <c r="F55" i="111"/>
  <c r="N54" i="111"/>
  <c r="J54" i="111"/>
  <c r="F54" i="111"/>
  <c r="N53" i="111"/>
  <c r="J53" i="111"/>
  <c r="F53" i="111"/>
  <c r="N52" i="111"/>
  <c r="J52" i="111"/>
  <c r="F52" i="111"/>
  <c r="N51" i="111"/>
  <c r="J51" i="111"/>
  <c r="F51" i="111"/>
  <c r="N50" i="111"/>
  <c r="J50" i="111"/>
  <c r="F50" i="111"/>
  <c r="N49" i="111"/>
  <c r="J49" i="111"/>
  <c r="F49" i="111"/>
  <c r="N48" i="111"/>
  <c r="J48" i="111"/>
  <c r="F48" i="111"/>
  <c r="N47" i="111"/>
  <c r="J47" i="111"/>
  <c r="F47" i="111"/>
  <c r="N46" i="111"/>
  <c r="J46" i="111"/>
  <c r="F46" i="111"/>
  <c r="N45" i="111"/>
  <c r="J45" i="111"/>
  <c r="F45" i="111"/>
  <c r="N44" i="111"/>
  <c r="J44" i="111"/>
  <c r="F44" i="111"/>
  <c r="N43" i="111"/>
  <c r="J43" i="111"/>
  <c r="F43" i="111"/>
  <c r="N42" i="111"/>
  <c r="J42" i="111"/>
  <c r="F42" i="111"/>
  <c r="N41" i="111"/>
  <c r="J41" i="111"/>
  <c r="F41" i="111"/>
  <c r="N40" i="111"/>
  <c r="J40" i="111"/>
  <c r="F40" i="111"/>
  <c r="N39" i="111"/>
  <c r="J39" i="111"/>
  <c r="F39" i="111"/>
  <c r="N38" i="111"/>
  <c r="J38" i="111"/>
  <c r="F38" i="111"/>
  <c r="N37" i="111"/>
  <c r="J37" i="111"/>
  <c r="F37" i="111"/>
  <c r="N36" i="111"/>
  <c r="J36" i="111"/>
  <c r="F36" i="111"/>
  <c r="N35" i="111"/>
  <c r="J35" i="111"/>
  <c r="F35" i="111"/>
  <c r="N34" i="111"/>
  <c r="J34" i="111"/>
  <c r="F34" i="111"/>
  <c r="N33" i="111"/>
  <c r="J33" i="111"/>
  <c r="F33" i="111"/>
  <c r="N32" i="111"/>
  <c r="J32" i="111"/>
  <c r="F32" i="111"/>
  <c r="N31" i="111"/>
  <c r="J31" i="111"/>
  <c r="F31" i="111"/>
  <c r="N30" i="111"/>
  <c r="J30" i="111"/>
  <c r="F30" i="111"/>
  <c r="N29" i="111"/>
  <c r="J29" i="111"/>
  <c r="F29" i="111"/>
  <c r="N28" i="111"/>
  <c r="J28" i="111"/>
  <c r="F28" i="111"/>
  <c r="N27" i="111"/>
  <c r="J27" i="111"/>
  <c r="F27" i="111"/>
  <c r="N26" i="111"/>
  <c r="J26" i="111"/>
  <c r="F26" i="111"/>
  <c r="N25" i="111"/>
  <c r="J25" i="111"/>
  <c r="F25" i="111"/>
  <c r="N24" i="111"/>
  <c r="L24" i="111"/>
  <c r="J24" i="111"/>
  <c r="H23" i="111"/>
  <c r="F23" i="111"/>
  <c r="L22" i="111"/>
  <c r="J22" i="111"/>
  <c r="F22" i="111"/>
  <c r="J21" i="111"/>
  <c r="H21" i="111"/>
  <c r="N20" i="111"/>
  <c r="L20" i="111"/>
  <c r="J20" i="111"/>
  <c r="N19" i="111"/>
  <c r="H19" i="111"/>
  <c r="N18" i="111"/>
  <c r="L18" i="111"/>
  <c r="F18" i="111"/>
  <c r="N17" i="111"/>
  <c r="H17" i="111"/>
  <c r="L16" i="111"/>
  <c r="J16" i="111"/>
  <c r="F16" i="111"/>
  <c r="J15" i="111"/>
  <c r="H15" i="111"/>
  <c r="F15" i="111"/>
  <c r="L14" i="111"/>
  <c r="J14" i="111"/>
  <c r="J13" i="111"/>
  <c r="H13" i="111"/>
  <c r="N12" i="111"/>
  <c r="L12" i="111"/>
  <c r="J12" i="111"/>
  <c r="L11" i="111"/>
  <c r="H11" i="111"/>
  <c r="AC24" i="94"/>
  <c r="Y24" i="94"/>
  <c r="S27" i="94"/>
  <c r="AA38" i="110"/>
  <c r="W24" i="94"/>
  <c r="N10" i="111"/>
  <c r="H10" i="111"/>
  <c r="F10" i="111"/>
  <c r="K57" i="111"/>
  <c r="C57" i="111"/>
  <c r="G56" i="111"/>
  <c r="M55" i="111"/>
  <c r="K55" i="111"/>
  <c r="I55" i="111"/>
  <c r="C55" i="111"/>
  <c r="M54" i="111"/>
  <c r="C54" i="111"/>
  <c r="M53" i="111"/>
  <c r="K53" i="111"/>
  <c r="C53" i="111"/>
  <c r="I52" i="111"/>
  <c r="G52" i="111"/>
  <c r="K51" i="111"/>
  <c r="I51" i="111"/>
  <c r="C51" i="111"/>
  <c r="I50" i="111"/>
  <c r="G50" i="111"/>
  <c r="G49" i="111"/>
  <c r="K48" i="111"/>
  <c r="C48" i="111"/>
  <c r="M47" i="111"/>
  <c r="I47" i="111"/>
  <c r="G47" i="111"/>
  <c r="M46" i="111"/>
  <c r="K46" i="111"/>
  <c r="I46" i="111"/>
  <c r="C46" i="111"/>
  <c r="M45" i="111"/>
  <c r="I45" i="111"/>
  <c r="M44" i="111"/>
  <c r="I44" i="111"/>
  <c r="M43" i="111"/>
  <c r="I43" i="111"/>
  <c r="M42" i="111"/>
  <c r="G42" i="111"/>
  <c r="M41" i="111"/>
  <c r="I41" i="111"/>
  <c r="M40" i="111"/>
  <c r="I40" i="111"/>
  <c r="M39" i="111"/>
  <c r="I39" i="111"/>
  <c r="M38" i="111"/>
  <c r="I38" i="111"/>
  <c r="G38" i="111"/>
  <c r="M37" i="111"/>
  <c r="W27" i="94"/>
  <c r="S26" i="94"/>
  <c r="U23" i="97"/>
  <c r="AA27" i="94"/>
  <c r="U27" i="95"/>
  <c r="U24" i="95"/>
  <c r="I37" i="111"/>
  <c r="M36" i="111"/>
  <c r="I36" i="111"/>
  <c r="M35" i="111"/>
  <c r="I35" i="111"/>
  <c r="M34" i="111"/>
  <c r="G34" i="111"/>
  <c r="C34" i="111"/>
  <c r="M33" i="111"/>
  <c r="I33" i="111"/>
  <c r="M32" i="111"/>
  <c r="I32" i="111"/>
  <c r="M31" i="111"/>
  <c r="I31" i="111"/>
  <c r="M30" i="111"/>
  <c r="C30" i="111"/>
  <c r="K29" i="111"/>
  <c r="G29" i="111"/>
  <c r="C29" i="111"/>
  <c r="K28" i="111"/>
  <c r="G28" i="111"/>
  <c r="C28" i="111"/>
  <c r="K27" i="111"/>
  <c r="G27" i="111"/>
  <c r="C27" i="111"/>
  <c r="I26" i="111"/>
  <c r="G26" i="111"/>
  <c r="M25" i="111"/>
  <c r="I25" i="111"/>
  <c r="M24" i="111"/>
  <c r="I24" i="111"/>
  <c r="M23" i="111"/>
  <c r="I23" i="111"/>
  <c r="M22" i="111"/>
  <c r="I22" i="111"/>
  <c r="M21" i="111"/>
  <c r="I21" i="111"/>
  <c r="M20" i="111"/>
  <c r="I20" i="111"/>
  <c r="M19" i="111"/>
  <c r="I19" i="111"/>
  <c r="M18" i="111"/>
  <c r="I18" i="111"/>
  <c r="M17" i="111"/>
  <c r="I17" i="111"/>
  <c r="M16" i="111"/>
  <c r="I16" i="111"/>
  <c r="M15" i="111"/>
  <c r="I15" i="111"/>
  <c r="M14" i="111"/>
  <c r="I14" i="111"/>
  <c r="M13" i="111"/>
  <c r="I13" i="111"/>
  <c r="M12" i="111"/>
  <c r="I12" i="111"/>
  <c r="M11" i="111"/>
  <c r="I11" i="111"/>
  <c r="X22" i="100"/>
  <c r="AC26" i="96"/>
  <c r="V10" i="108"/>
  <c r="AB21" i="108"/>
  <c r="X21" i="108"/>
  <c r="T21" i="108"/>
  <c r="AB20" i="108"/>
  <c r="X20" i="108"/>
  <c r="T20" i="108"/>
  <c r="AB19" i="108"/>
  <c r="X19" i="108"/>
  <c r="AA35" i="110"/>
  <c r="W35" i="110"/>
  <c r="Z39" i="110"/>
  <c r="AD38" i="110"/>
  <c r="Z38" i="110"/>
  <c r="V38" i="110"/>
  <c r="X37" i="110"/>
  <c r="V12" i="108"/>
  <c r="V11" i="108"/>
  <c r="AD10" i="108"/>
  <c r="AD36" i="110"/>
  <c r="V36" i="110"/>
  <c r="AC35" i="109"/>
  <c r="AD11" i="108"/>
  <c r="AC38" i="110"/>
  <c r="K10" i="111"/>
  <c r="G10" i="111"/>
  <c r="T38" i="110"/>
  <c r="AC36" i="110"/>
  <c r="Y35" i="110"/>
  <c r="AC35" i="110"/>
  <c r="U35" i="110"/>
  <c r="U26" i="99"/>
  <c r="Y38" i="110"/>
  <c r="X36" i="110"/>
  <c r="X24" i="99"/>
  <c r="U23" i="99"/>
  <c r="S36" i="105"/>
  <c r="T38" i="109"/>
  <c r="AD38" i="109"/>
  <c r="Z38" i="109"/>
  <c r="Z35" i="110"/>
  <c r="AB38" i="110"/>
  <c r="X35" i="110"/>
  <c r="AB36" i="110"/>
  <c r="X34" i="110"/>
  <c r="W37" i="110"/>
  <c r="Z11" i="108"/>
  <c r="AA35" i="109"/>
  <c r="U36" i="110"/>
  <c r="V35" i="109"/>
  <c r="X11" i="108"/>
  <c r="S41" i="110"/>
  <c r="Z10" i="108"/>
  <c r="W12" i="108"/>
  <c r="AF32" i="110"/>
  <c r="S35" i="109"/>
  <c r="T11" i="108"/>
  <c r="AA12" i="108"/>
  <c r="V24" i="98"/>
  <c r="X23" i="97"/>
  <c r="AD23" i="99"/>
  <c r="AB38" i="109"/>
  <c r="AD35" i="110"/>
  <c r="V35" i="110"/>
  <c r="AA40" i="110"/>
  <c r="Y36" i="110"/>
  <c r="S37" i="110"/>
  <c r="X10" i="108"/>
  <c r="W40" i="110"/>
  <c r="AD36" i="109"/>
  <c r="Z39" i="109"/>
  <c r="S26" i="97"/>
  <c r="AF33" i="110"/>
  <c r="AF31" i="110"/>
  <c r="AB35" i="110"/>
  <c r="X38" i="110"/>
  <c r="AA41" i="110"/>
  <c r="AA42" i="110" s="1"/>
  <c r="W41" i="110"/>
  <c r="T10" i="108"/>
  <c r="AB10" i="108"/>
  <c r="AF12" i="109"/>
  <c r="AE33" i="110"/>
  <c r="AE32" i="110"/>
  <c r="AE31" i="110"/>
  <c r="AE30" i="110"/>
  <c r="AE29" i="110"/>
  <c r="AE28" i="110"/>
  <c r="AE27" i="110"/>
  <c r="AE26" i="110"/>
  <c r="AE25" i="110"/>
  <c r="AE24" i="110"/>
  <c r="AE23" i="110"/>
  <c r="AE22" i="110"/>
  <c r="AE21" i="110"/>
  <c r="AE20" i="110"/>
  <c r="AE19" i="110"/>
  <c r="AA37" i="110"/>
  <c r="AD39" i="109"/>
  <c r="Z36" i="109"/>
  <c r="V36" i="109"/>
  <c r="AC38" i="109"/>
  <c r="U35" i="109"/>
  <c r="AD39" i="110"/>
  <c r="Z36" i="110"/>
  <c r="V39" i="110"/>
  <c r="S40" i="110"/>
  <c r="V38" i="109"/>
  <c r="X35" i="109"/>
  <c r="AA34" i="110"/>
  <c r="W34" i="110"/>
  <c r="S34" i="110"/>
  <c r="AF30" i="110"/>
  <c r="AB39" i="110"/>
  <c r="X40" i="110"/>
  <c r="AF15" i="110"/>
  <c r="AF14" i="110"/>
  <c r="AF13" i="110"/>
  <c r="Z35" i="109"/>
  <c r="AD35" i="109"/>
  <c r="X34" i="109"/>
  <c r="T35" i="110"/>
  <c r="Y38" i="109"/>
  <c r="AC39" i="110"/>
  <c r="U39" i="110"/>
  <c r="AF17" i="110"/>
  <c r="AF16" i="110"/>
  <c r="Z38" i="101"/>
  <c r="Y35" i="109"/>
  <c r="X39" i="110"/>
  <c r="AF11" i="110"/>
  <c r="Y39" i="110"/>
  <c r="AF12" i="110"/>
  <c r="AA38" i="109"/>
  <c r="W38" i="109"/>
  <c r="AF29" i="110"/>
  <c r="AF28" i="110"/>
  <c r="AF27" i="110"/>
  <c r="AF26" i="110"/>
  <c r="AF25" i="110"/>
  <c r="AF24" i="110"/>
  <c r="AF23" i="110"/>
  <c r="AF22" i="110"/>
  <c r="AF18" i="110"/>
  <c r="AF30" i="109"/>
  <c r="X39" i="109"/>
  <c r="X37" i="109"/>
  <c r="X41" i="110"/>
  <c r="AF21" i="110"/>
  <c r="AF20" i="110"/>
  <c r="AF19" i="110"/>
  <c r="AF15" i="109"/>
  <c r="AF14" i="109"/>
  <c r="AF13" i="109"/>
  <c r="AE18" i="110"/>
  <c r="AE17" i="110"/>
  <c r="T39" i="110"/>
  <c r="T36" i="110"/>
  <c r="AD41" i="110"/>
  <c r="AD40" i="110"/>
  <c r="AD37" i="110"/>
  <c r="AD34" i="110"/>
  <c r="Z41" i="110"/>
  <c r="Z40" i="110"/>
  <c r="Z37" i="110"/>
  <c r="Z34" i="110"/>
  <c r="AF17" i="109"/>
  <c r="AF16" i="109"/>
  <c r="AE11" i="110"/>
  <c r="Y41" i="110"/>
  <c r="Y40" i="110"/>
  <c r="Y37" i="110"/>
  <c r="Y34" i="110"/>
  <c r="O106" i="110"/>
  <c r="J108" i="110" s="1"/>
  <c r="AE10" i="110"/>
  <c r="AF10" i="110"/>
  <c r="P106" i="110"/>
  <c r="N107" i="110" s="1"/>
  <c r="T41" i="110"/>
  <c r="T40" i="110"/>
  <c r="T37" i="110"/>
  <c r="T34" i="110"/>
  <c r="AC27" i="99"/>
  <c r="W38" i="101"/>
  <c r="U35" i="101"/>
  <c r="V27" i="95"/>
  <c r="AE33" i="109"/>
  <c r="AE32" i="109"/>
  <c r="AE31" i="109"/>
  <c r="AE30" i="109"/>
  <c r="AE29" i="109"/>
  <c r="AF32" i="109"/>
  <c r="AB35" i="109"/>
  <c r="W35" i="109"/>
  <c r="AF11" i="109"/>
  <c r="S38" i="109"/>
  <c r="AE16" i="110"/>
  <c r="AB41" i="110"/>
  <c r="AB40" i="110"/>
  <c r="AB37" i="110"/>
  <c r="AB34" i="110"/>
  <c r="V41" i="110"/>
  <c r="V40" i="110"/>
  <c r="V37" i="110"/>
  <c r="V34" i="110"/>
  <c r="AE15" i="110"/>
  <c r="AE14" i="110"/>
  <c r="AE13" i="110"/>
  <c r="AE12" i="110"/>
  <c r="AC41" i="110"/>
  <c r="AC40" i="110"/>
  <c r="AC37" i="110"/>
  <c r="AC34" i="110"/>
  <c r="U41" i="110"/>
  <c r="U40" i="110"/>
  <c r="U37" i="110"/>
  <c r="U34" i="110"/>
  <c r="AB36" i="109"/>
  <c r="X36" i="109"/>
  <c r="X40" i="109"/>
  <c r="V23" i="97"/>
  <c r="AD38" i="105"/>
  <c r="AF33" i="109"/>
  <c r="AF31" i="109"/>
  <c r="X38" i="109"/>
  <c r="X41" i="109"/>
  <c r="T35" i="109"/>
  <c r="AF29" i="109"/>
  <c r="AF28" i="109"/>
  <c r="AF27" i="109"/>
  <c r="AF26" i="109"/>
  <c r="AF25" i="109"/>
  <c r="AF24" i="109"/>
  <c r="AF23" i="109"/>
  <c r="AF22" i="109"/>
  <c r="AF18" i="109"/>
  <c r="AF21" i="109"/>
  <c r="AF20" i="109"/>
  <c r="AF19" i="109"/>
  <c r="T39" i="109"/>
  <c r="T36" i="109"/>
  <c r="AD41" i="109"/>
  <c r="AD40" i="109"/>
  <c r="AD37" i="109"/>
  <c r="AD34" i="109"/>
  <c r="Z41" i="109"/>
  <c r="Z40" i="109"/>
  <c r="Z37" i="109"/>
  <c r="Z34" i="109"/>
  <c r="T41" i="109"/>
  <c r="T40" i="109"/>
  <c r="T37" i="109"/>
  <c r="T34" i="109"/>
  <c r="AE15" i="109"/>
  <c r="AE14" i="109"/>
  <c r="AE13" i="109"/>
  <c r="AE12" i="109"/>
  <c r="AE11" i="109"/>
  <c r="AC41" i="109"/>
  <c r="AC40" i="109"/>
  <c r="AC37" i="109"/>
  <c r="AC34" i="109"/>
  <c r="Y41" i="109"/>
  <c r="Y40" i="109"/>
  <c r="Y37" i="109"/>
  <c r="Y34" i="109"/>
  <c r="U41" i="109"/>
  <c r="U40" i="109"/>
  <c r="U37" i="109"/>
  <c r="U34" i="109"/>
  <c r="O106" i="109"/>
  <c r="AE10" i="109"/>
  <c r="AE28" i="109"/>
  <c r="AE27" i="109"/>
  <c r="AE26" i="109"/>
  <c r="AE25" i="109"/>
  <c r="AE24" i="109"/>
  <c r="AE23" i="109"/>
  <c r="AE22" i="109"/>
  <c r="AE21" i="109"/>
  <c r="AE20" i="109"/>
  <c r="AE19" i="109"/>
  <c r="AE18" i="109"/>
  <c r="AE17" i="109"/>
  <c r="AE16" i="109"/>
  <c r="AB41" i="109"/>
  <c r="AB40" i="109"/>
  <c r="AB37" i="109"/>
  <c r="AB34" i="109"/>
  <c r="V41" i="109"/>
  <c r="V40" i="109"/>
  <c r="V37" i="109"/>
  <c r="V34" i="109"/>
  <c r="AF10" i="109"/>
  <c r="P106" i="109"/>
  <c r="J107" i="109" s="1"/>
  <c r="AA41" i="109"/>
  <c r="AA40" i="109"/>
  <c r="AA37" i="109"/>
  <c r="AA34" i="109"/>
  <c r="W41" i="109"/>
  <c r="W40" i="109"/>
  <c r="W37" i="109"/>
  <c r="W34" i="109"/>
  <c r="S41" i="109"/>
  <c r="S40" i="109"/>
  <c r="S37" i="109"/>
  <c r="S34" i="109"/>
  <c r="AD13" i="108"/>
  <c r="AA24" i="94"/>
  <c r="AC23" i="96"/>
  <c r="AB36" i="105"/>
  <c r="P16" i="108"/>
  <c r="Z13" i="108"/>
  <c r="O56" i="108"/>
  <c r="S15" i="108"/>
  <c r="T17" i="108"/>
  <c r="O11" i="108"/>
  <c r="X18" i="108"/>
  <c r="AB15" i="108"/>
  <c r="O57" i="108"/>
  <c r="P40" i="108"/>
  <c r="AB17" i="108"/>
  <c r="O35" i="108"/>
  <c r="X16" i="108"/>
  <c r="T15" i="108"/>
  <c r="O10" i="108"/>
  <c r="AA26" i="94"/>
  <c r="AB18" i="108"/>
  <c r="T18" i="108"/>
  <c r="X17" i="108"/>
  <c r="AB16" i="108"/>
  <c r="T16" i="108"/>
  <c r="X15" i="108"/>
  <c r="P29" i="108"/>
  <c r="T13" i="108"/>
  <c r="AC11" i="108"/>
  <c r="Y12" i="108"/>
  <c r="O16" i="108"/>
  <c r="Y10" i="108"/>
  <c r="P49" i="108"/>
  <c r="P22" i="108"/>
  <c r="O49" i="108"/>
  <c r="P43" i="108"/>
  <c r="AD18" i="108"/>
  <c r="Z18" i="108"/>
  <c r="V18" i="108"/>
  <c r="AD16" i="108"/>
  <c r="Z16" i="108"/>
  <c r="V16" i="108"/>
  <c r="O28" i="108"/>
  <c r="W15" i="108"/>
  <c r="W19" i="108"/>
  <c r="S20" i="108"/>
  <c r="AA20" i="108"/>
  <c r="W21" i="108"/>
  <c r="O36" i="108"/>
  <c r="S13" i="108"/>
  <c r="O20" i="108"/>
  <c r="AA15" i="108"/>
  <c r="AA17" i="108"/>
  <c r="Y19" i="108"/>
  <c r="U20" i="108"/>
  <c r="AC20" i="108"/>
  <c r="Y21" i="108"/>
  <c r="P57" i="108"/>
  <c r="P55" i="108"/>
  <c r="P52" i="108"/>
  <c r="P35" i="108"/>
  <c r="P21" i="108"/>
  <c r="O13" i="108"/>
  <c r="P12" i="108"/>
  <c r="AA10" i="108"/>
  <c r="O53" i="108"/>
  <c r="O48" i="108"/>
  <c r="P46" i="108"/>
  <c r="O38" i="108"/>
  <c r="P45" i="108"/>
  <c r="P38" i="108"/>
  <c r="P32" i="108"/>
  <c r="O30" i="108"/>
  <c r="AB13" i="108"/>
  <c r="X13" i="108"/>
  <c r="O31" i="108"/>
  <c r="P24" i="108"/>
  <c r="P17" i="108"/>
  <c r="O14" i="108"/>
  <c r="O43" i="108"/>
  <c r="S11" i="108"/>
  <c r="P56" i="108"/>
  <c r="O55" i="108"/>
  <c r="P53" i="108"/>
  <c r="P51" i="108"/>
  <c r="P48" i="108"/>
  <c r="W18" i="108"/>
  <c r="O39" i="108"/>
  <c r="P37" i="108"/>
  <c r="W16" i="108"/>
  <c r="P27" i="108"/>
  <c r="AC12" i="108"/>
  <c r="U12" i="108"/>
  <c r="Y11" i="108"/>
  <c r="P13" i="108"/>
  <c r="O12" i="108"/>
  <c r="P11" i="108"/>
  <c r="AC10" i="108"/>
  <c r="P10" i="108"/>
  <c r="O52" i="108"/>
  <c r="P47" i="108"/>
  <c r="P26" i="108"/>
  <c r="U24" i="94"/>
  <c r="AC26" i="94"/>
  <c r="O51" i="108"/>
  <c r="O47" i="108"/>
  <c r="O26" i="108"/>
  <c r="O22" i="108"/>
  <c r="O18" i="108"/>
  <c r="U10" i="108"/>
  <c r="P54" i="108"/>
  <c r="O50" i="108"/>
  <c r="W14" i="108"/>
  <c r="W17" i="108"/>
  <c r="AA19" i="108"/>
  <c r="W20" i="108"/>
  <c r="S21" i="108"/>
  <c r="U19" i="108"/>
  <c r="AA14" i="108"/>
  <c r="AA16" i="108"/>
  <c r="AA18" i="108"/>
  <c r="AC19" i="108"/>
  <c r="Y20" i="108"/>
  <c r="U21" i="108"/>
  <c r="AC21" i="108"/>
  <c r="Z12" i="108"/>
  <c r="O44" i="108"/>
  <c r="AB14" i="108"/>
  <c r="X14" i="108"/>
  <c r="T14" i="108"/>
  <c r="V13" i="108"/>
  <c r="AA13" i="108"/>
  <c r="O46" i="108"/>
  <c r="S18" i="108"/>
  <c r="S16" i="108"/>
  <c r="S14" i="108"/>
  <c r="O45" i="108"/>
  <c r="P41" i="108"/>
  <c r="P39" i="108"/>
  <c r="AD17" i="108"/>
  <c r="Z17" i="108"/>
  <c r="V17" i="108"/>
  <c r="O37" i="108"/>
  <c r="O32" i="108"/>
  <c r="AD15" i="108"/>
  <c r="Z15" i="108"/>
  <c r="P30" i="108"/>
  <c r="P28" i="108"/>
  <c r="P25" i="108"/>
  <c r="P23" i="108"/>
  <c r="O21" i="108"/>
  <c r="P19" i="108"/>
  <c r="P44" i="108"/>
  <c r="O40" i="108"/>
  <c r="P36" i="108"/>
  <c r="P33" i="108"/>
  <c r="P31" i="108"/>
  <c r="O29" i="108"/>
  <c r="O27" i="108"/>
  <c r="O24" i="108"/>
  <c r="W13" i="108"/>
  <c r="P20" i="108"/>
  <c r="O17" i="108"/>
  <c r="P15" i="108"/>
  <c r="AA11" i="108"/>
  <c r="P14" i="108"/>
  <c r="AA21" i="108"/>
  <c r="W10" i="108"/>
  <c r="S10" i="108"/>
  <c r="S19" i="108"/>
  <c r="S17" i="108"/>
  <c r="AD12" i="108"/>
  <c r="AD14" i="108"/>
  <c r="Z14" i="108"/>
  <c r="V14" i="108"/>
  <c r="X12" i="108"/>
  <c r="AC18" i="108"/>
  <c r="Y18" i="108"/>
  <c r="U18" i="108"/>
  <c r="AC17" i="108"/>
  <c r="Y17" i="108"/>
  <c r="AC16" i="108"/>
  <c r="Y16" i="108"/>
  <c r="U16" i="108"/>
  <c r="Y14" i="108"/>
  <c r="AC13" i="108"/>
  <c r="Y13" i="108"/>
  <c r="U13" i="108"/>
  <c r="W11" i="108"/>
  <c r="AB11" i="108"/>
  <c r="O41" i="108"/>
  <c r="O33" i="108"/>
  <c r="O25" i="108"/>
  <c r="V15" i="108"/>
  <c r="O23" i="108"/>
  <c r="O19" i="108"/>
  <c r="O15" i="108"/>
  <c r="P50" i="108"/>
  <c r="P42" i="108"/>
  <c r="P34" i="108"/>
  <c r="S12" i="108"/>
  <c r="O54" i="108"/>
  <c r="O42" i="108"/>
  <c r="O34" i="108"/>
  <c r="P18" i="108"/>
  <c r="AB12" i="108"/>
  <c r="T12" i="108"/>
  <c r="U17" i="108"/>
  <c r="AC15" i="108"/>
  <c r="Y15" i="108"/>
  <c r="U15" i="108"/>
  <c r="AC14" i="108"/>
  <c r="U14" i="108"/>
  <c r="U11" i="108"/>
  <c r="Z38" i="105"/>
  <c r="V38" i="105"/>
  <c r="AC15" i="107"/>
  <c r="W15" i="107"/>
  <c r="U15" i="107"/>
  <c r="AC10" i="107"/>
  <c r="W10" i="107"/>
  <c r="U10" i="107"/>
  <c r="X38" i="105"/>
  <c r="O57" i="107"/>
  <c r="Y15" i="107"/>
  <c r="Z11" i="107"/>
  <c r="AC35" i="105"/>
  <c r="U38" i="105"/>
  <c r="AD21" i="107"/>
  <c r="AB21" i="107"/>
  <c r="Z21" i="107"/>
  <c r="X21" i="107"/>
  <c r="V21" i="107"/>
  <c r="T21" i="107"/>
  <c r="AD20" i="107"/>
  <c r="Z20" i="107"/>
  <c r="V20" i="107"/>
  <c r="AB19" i="107"/>
  <c r="X19" i="107"/>
  <c r="T19" i="107"/>
  <c r="AB18" i="107"/>
  <c r="X18" i="107"/>
  <c r="V18" i="107"/>
  <c r="AD17" i="107"/>
  <c r="Z17" i="107"/>
  <c r="V17" i="107"/>
  <c r="O37" i="107"/>
  <c r="P36" i="107"/>
  <c r="P35" i="107"/>
  <c r="AB16" i="107"/>
  <c r="X16" i="107"/>
  <c r="T16" i="107"/>
  <c r="O32" i="107"/>
  <c r="P31" i="107"/>
  <c r="AB15" i="107"/>
  <c r="X15" i="107"/>
  <c r="T15" i="107"/>
  <c r="P28" i="107"/>
  <c r="AD14" i="107"/>
  <c r="Z14" i="107"/>
  <c r="V14" i="107"/>
  <c r="O25" i="107"/>
  <c r="AD13" i="107"/>
  <c r="Z13" i="107"/>
  <c r="V13" i="107"/>
  <c r="O19" i="107"/>
  <c r="AB12" i="107"/>
  <c r="Z12" i="107"/>
  <c r="V12" i="107"/>
  <c r="T12" i="107"/>
  <c r="P18" i="107"/>
  <c r="O17" i="107"/>
  <c r="O15" i="107"/>
  <c r="AD11" i="107"/>
  <c r="AB11" i="107"/>
  <c r="T11" i="107"/>
  <c r="P14" i="107"/>
  <c r="AB20" i="107"/>
  <c r="X20" i="107"/>
  <c r="T20" i="107"/>
  <c r="AD19" i="107"/>
  <c r="Z19" i="107"/>
  <c r="V19" i="107"/>
  <c r="AD18" i="107"/>
  <c r="Z18" i="107"/>
  <c r="T18" i="107"/>
  <c r="AB17" i="107"/>
  <c r="X17" i="107"/>
  <c r="T17" i="107"/>
  <c r="AD16" i="107"/>
  <c r="Z16" i="107"/>
  <c r="V16" i="107"/>
  <c r="P33" i="107"/>
  <c r="O33" i="107"/>
  <c r="AD15" i="107"/>
  <c r="Z15" i="107"/>
  <c r="V15" i="107"/>
  <c r="O29" i="107"/>
  <c r="O27" i="107"/>
  <c r="AB14" i="107"/>
  <c r="X14" i="107"/>
  <c r="T14" i="107"/>
  <c r="P24" i="107"/>
  <c r="AB13" i="107"/>
  <c r="X13" i="107"/>
  <c r="P22" i="107"/>
  <c r="T13" i="107"/>
  <c r="O22" i="107"/>
  <c r="O20" i="107"/>
  <c r="AD12" i="107"/>
  <c r="X12" i="107"/>
  <c r="X11" i="107"/>
  <c r="V11" i="107"/>
  <c r="O13" i="107"/>
  <c r="O11" i="107"/>
  <c r="AB10" i="107"/>
  <c r="Z10" i="107"/>
  <c r="X10" i="107"/>
  <c r="T10" i="107"/>
  <c r="P57" i="107"/>
  <c r="P56" i="107"/>
  <c r="O56" i="107"/>
  <c r="P55" i="107"/>
  <c r="O55" i="107"/>
  <c r="AC21" i="107"/>
  <c r="AA21" i="107"/>
  <c r="Y21" i="107"/>
  <c r="W21" i="107"/>
  <c r="U21" i="107"/>
  <c r="S21" i="107"/>
  <c r="P54" i="107"/>
  <c r="O54" i="107"/>
  <c r="P53" i="107"/>
  <c r="O53" i="107"/>
  <c r="O52" i="107"/>
  <c r="P52" i="107"/>
  <c r="O51" i="107"/>
  <c r="P51" i="107"/>
  <c r="AC20" i="107"/>
  <c r="AA20" i="107"/>
  <c r="Y20" i="107"/>
  <c r="W20" i="107"/>
  <c r="U20" i="107"/>
  <c r="O50" i="107"/>
  <c r="P50" i="107"/>
  <c r="S20" i="107"/>
  <c r="P49" i="107"/>
  <c r="O49" i="107"/>
  <c r="P48" i="107"/>
  <c r="O48" i="107"/>
  <c r="P47" i="107"/>
  <c r="O47" i="107"/>
  <c r="AC19" i="107"/>
  <c r="AA19" i="107"/>
  <c r="Y19" i="107"/>
  <c r="W19" i="107"/>
  <c r="U19" i="107"/>
  <c r="S19" i="107"/>
  <c r="O46" i="107"/>
  <c r="P46" i="107"/>
  <c r="P45" i="107"/>
  <c r="O45" i="107"/>
  <c r="O44" i="107"/>
  <c r="P44" i="107"/>
  <c r="O43" i="107"/>
  <c r="P43" i="107"/>
  <c r="AC18" i="107"/>
  <c r="AA18" i="107"/>
  <c r="Y18" i="107"/>
  <c r="W18" i="107"/>
  <c r="U18" i="107"/>
  <c r="O42" i="107"/>
  <c r="P42" i="107"/>
  <c r="S18" i="107"/>
  <c r="P41" i="107"/>
  <c r="O41" i="107"/>
  <c r="P40" i="107"/>
  <c r="P39" i="107"/>
  <c r="AC17" i="107"/>
  <c r="Y17" i="107"/>
  <c r="W17" i="107"/>
  <c r="U17" i="107"/>
  <c r="O38" i="107"/>
  <c r="P37" i="107"/>
  <c r="O36" i="107"/>
  <c r="O35" i="107"/>
  <c r="O34" i="107"/>
  <c r="P32" i="107"/>
  <c r="O31" i="107"/>
  <c r="P29" i="107"/>
  <c r="O28" i="107"/>
  <c r="P27" i="107"/>
  <c r="P25" i="107"/>
  <c r="O24" i="107"/>
  <c r="P23" i="107"/>
  <c r="P21" i="107"/>
  <c r="P17" i="107"/>
  <c r="O40" i="107"/>
  <c r="AA17" i="107"/>
  <c r="S17" i="107"/>
  <c r="AC16" i="107"/>
  <c r="AA16" i="107"/>
  <c r="Y16" i="107"/>
  <c r="W16" i="107"/>
  <c r="U16" i="107"/>
  <c r="AA15" i="107"/>
  <c r="S15" i="107"/>
  <c r="AC14" i="107"/>
  <c r="AA14" i="107"/>
  <c r="Y14" i="107"/>
  <c r="W14" i="107"/>
  <c r="U14" i="107"/>
  <c r="S14" i="107"/>
  <c r="AC13" i="107"/>
  <c r="AA13" i="107"/>
  <c r="Y13" i="107"/>
  <c r="W13" i="107"/>
  <c r="U13" i="107"/>
  <c r="S13" i="107"/>
  <c r="P20" i="107"/>
  <c r="P19" i="107"/>
  <c r="AC12" i="107"/>
  <c r="AA12" i="107"/>
  <c r="Y12" i="107"/>
  <c r="W12" i="107"/>
  <c r="U12" i="107"/>
  <c r="S12" i="107"/>
  <c r="P16" i="107"/>
  <c r="P15" i="107"/>
  <c r="AC11" i="107"/>
  <c r="AA11" i="107"/>
  <c r="Y11" i="107"/>
  <c r="W11" i="107"/>
  <c r="U11" i="107"/>
  <c r="S11" i="107"/>
  <c r="P13" i="107"/>
  <c r="P12" i="107"/>
  <c r="P11" i="107"/>
  <c r="O39" i="107"/>
  <c r="O26" i="107"/>
  <c r="O23" i="107"/>
  <c r="O21" i="107"/>
  <c r="O18" i="107"/>
  <c r="O16" i="107"/>
  <c r="O14" i="107"/>
  <c r="O12" i="107"/>
  <c r="P26" i="107"/>
  <c r="P38" i="107"/>
  <c r="P30" i="107"/>
  <c r="S16" i="107"/>
  <c r="P34" i="107"/>
  <c r="O30" i="107"/>
  <c r="Y10" i="107"/>
  <c r="AB38" i="105"/>
  <c r="T38" i="105"/>
  <c r="AD10" i="107"/>
  <c r="V10" i="107"/>
  <c r="AA10" i="107"/>
  <c r="P10" i="107"/>
  <c r="S10" i="107"/>
  <c r="O10" i="107"/>
  <c r="X35" i="105"/>
  <c r="AC23" i="95"/>
  <c r="U23" i="96"/>
  <c r="AA35" i="105"/>
  <c r="AD26" i="98"/>
  <c r="U35" i="105"/>
  <c r="AB35" i="105"/>
  <c r="T35" i="105"/>
  <c r="AE12" i="105"/>
  <c r="AF33" i="105"/>
  <c r="AF31" i="105"/>
  <c r="AF13" i="105"/>
  <c r="AC38" i="105"/>
  <c r="AA38" i="105"/>
  <c r="W38" i="105"/>
  <c r="W35" i="105"/>
  <c r="S35" i="105"/>
  <c r="AF11" i="105"/>
  <c r="AF32" i="105"/>
  <c r="Y35" i="105"/>
  <c r="AF15" i="105"/>
  <c r="AF30" i="105"/>
  <c r="AF29" i="105"/>
  <c r="AF28" i="105"/>
  <c r="AF27" i="105"/>
  <c r="AF26" i="105"/>
  <c r="AF25" i="105"/>
  <c r="AF24" i="105"/>
  <c r="AF23" i="105"/>
  <c r="AF22" i="105"/>
  <c r="AF21" i="105"/>
  <c r="AF20" i="105"/>
  <c r="AF19" i="105"/>
  <c r="AF18" i="105"/>
  <c r="AF17" i="105"/>
  <c r="AF16" i="105"/>
  <c r="AF14" i="105"/>
  <c r="AD35" i="105"/>
  <c r="Z35" i="105"/>
  <c r="V35" i="105"/>
  <c r="AF12" i="105"/>
  <c r="AD41" i="105"/>
  <c r="AD40" i="105"/>
  <c r="AD37" i="105"/>
  <c r="AD34" i="105"/>
  <c r="Z41" i="105"/>
  <c r="Z40" i="105"/>
  <c r="Z37" i="105"/>
  <c r="Z34" i="105"/>
  <c r="AE28" i="105"/>
  <c r="AE27" i="105"/>
  <c r="AE26" i="105"/>
  <c r="AE25" i="105"/>
  <c r="AE24" i="105"/>
  <c r="AE23" i="105"/>
  <c r="AE22" i="105"/>
  <c r="AE21" i="105"/>
  <c r="AE20" i="105"/>
  <c r="AE19" i="105"/>
  <c r="AE18" i="105"/>
  <c r="AE17" i="105"/>
  <c r="AE16" i="105"/>
  <c r="AE15" i="105"/>
  <c r="AE14" i="105"/>
  <c r="AE13" i="105"/>
  <c r="AE11" i="105"/>
  <c r="AC41" i="105"/>
  <c r="AC40" i="105"/>
  <c r="AC37" i="105"/>
  <c r="AC34" i="105"/>
  <c r="Y41" i="105"/>
  <c r="Y40" i="105"/>
  <c r="Y37" i="105"/>
  <c r="Y34" i="105"/>
  <c r="W41" i="105"/>
  <c r="W40" i="105"/>
  <c r="W37" i="105"/>
  <c r="W34" i="105"/>
  <c r="U41" i="105"/>
  <c r="U40" i="105"/>
  <c r="U37" i="105"/>
  <c r="U34" i="105"/>
  <c r="O106" i="105"/>
  <c r="G108" i="105" s="1"/>
  <c r="AE10" i="105"/>
  <c r="P106" i="105"/>
  <c r="G107" i="105" s="1"/>
  <c r="AF10" i="105"/>
  <c r="V41" i="105"/>
  <c r="V40" i="105"/>
  <c r="V37" i="105"/>
  <c r="V34" i="105"/>
  <c r="T41" i="105"/>
  <c r="T40" i="105"/>
  <c r="T37" i="105"/>
  <c r="T34" i="105"/>
  <c r="AE33" i="105"/>
  <c r="AE32" i="105"/>
  <c r="AE31" i="105"/>
  <c r="AE30" i="105"/>
  <c r="AE29" i="105"/>
  <c r="AB41" i="105"/>
  <c r="AB40" i="105"/>
  <c r="AB37" i="105"/>
  <c r="AB34" i="105"/>
  <c r="X41" i="105"/>
  <c r="X40" i="105"/>
  <c r="X37" i="105"/>
  <c r="X34" i="105"/>
  <c r="AA41" i="105"/>
  <c r="AA40" i="105"/>
  <c r="AA37" i="105"/>
  <c r="AA34" i="105"/>
  <c r="S41" i="105"/>
  <c r="S40" i="105"/>
  <c r="S37" i="105"/>
  <c r="S34" i="105"/>
  <c r="AD24" i="98"/>
  <c r="AC26" i="98"/>
  <c r="AA23" i="100"/>
  <c r="O106" i="101"/>
  <c r="C108" i="101" s="1"/>
  <c r="Y24" i="99"/>
  <c r="P106" i="101"/>
  <c r="U26" i="96"/>
  <c r="AB23" i="97"/>
  <c r="W26" i="99"/>
  <c r="U26" i="94"/>
  <c r="V26" i="98"/>
  <c r="U23" i="95"/>
  <c r="V41" i="101"/>
  <c r="AB41" i="101"/>
  <c r="X41" i="101"/>
  <c r="T41" i="101"/>
  <c r="W41" i="101"/>
  <c r="AC41" i="101"/>
  <c r="U41" i="101"/>
  <c r="AD41" i="101"/>
  <c r="Z41" i="101"/>
  <c r="AA41" i="101"/>
  <c r="Y41" i="101"/>
  <c r="S41" i="101"/>
  <c r="AE30" i="101"/>
  <c r="AE31" i="101"/>
  <c r="AE32" i="101"/>
  <c r="AE33" i="101"/>
  <c r="AF22" i="101"/>
  <c r="AF23" i="101"/>
  <c r="AF24" i="101"/>
  <c r="AF26" i="101"/>
  <c r="AF27" i="101"/>
  <c r="AF29" i="101"/>
  <c r="AF30" i="101"/>
  <c r="AF31" i="101"/>
  <c r="AE22" i="101"/>
  <c r="AE23" i="101"/>
  <c r="AE24" i="101"/>
  <c r="AE25" i="101"/>
  <c r="AE26" i="101"/>
  <c r="AE27" i="101"/>
  <c r="AE28" i="101"/>
  <c r="AE29" i="101"/>
  <c r="AB23" i="95"/>
  <c r="Y24" i="100"/>
  <c r="AB26" i="95"/>
  <c r="Z24" i="95"/>
  <c r="V23" i="99"/>
  <c r="V23" i="98"/>
  <c r="Z27" i="98"/>
  <c r="T24" i="98"/>
  <c r="Y27" i="94"/>
  <c r="Y23" i="96"/>
  <c r="Y26" i="94"/>
  <c r="Y23" i="95"/>
  <c r="AF13" i="104"/>
  <c r="W23" i="96"/>
  <c r="AA26" i="96"/>
  <c r="Y26" i="97"/>
  <c r="AD26" i="96"/>
  <c r="AC23" i="94"/>
  <c r="W27" i="98"/>
  <c r="V24" i="95"/>
  <c r="Y27" i="96"/>
  <c r="Z23" i="95"/>
  <c r="AC27" i="94"/>
  <c r="AA23" i="94"/>
  <c r="X26" i="95"/>
  <c r="X38" i="101"/>
  <c r="Y23" i="94"/>
  <c r="Y38" i="101"/>
  <c r="W26" i="94"/>
  <c r="X35" i="101"/>
  <c r="AB38" i="101"/>
  <c r="T38" i="101"/>
  <c r="AB35" i="101"/>
  <c r="T35" i="101"/>
  <c r="U23" i="94"/>
  <c r="AC24" i="104"/>
  <c r="W28" i="104"/>
  <c r="V23" i="95"/>
  <c r="W23" i="104"/>
  <c r="X25" i="104"/>
  <c r="S24" i="104"/>
  <c r="AB25" i="104"/>
  <c r="W23" i="94"/>
  <c r="U24" i="104"/>
  <c r="AC23" i="104"/>
  <c r="S25" i="104"/>
  <c r="AA26" i="103"/>
  <c r="Y26" i="103"/>
  <c r="W25" i="104"/>
  <c r="W27" i="104"/>
  <c r="W26" i="104"/>
  <c r="AC27" i="104"/>
  <c r="U23" i="104"/>
  <c r="AF16" i="103"/>
  <c r="AC26" i="103"/>
  <c r="U26" i="103"/>
  <c r="AF12" i="104"/>
  <c r="AA28" i="104"/>
  <c r="AF11" i="104"/>
  <c r="AB22" i="104"/>
  <c r="T22" i="104"/>
  <c r="AB23" i="103"/>
  <c r="T23" i="103"/>
  <c r="W24" i="104"/>
  <c r="X22" i="104"/>
  <c r="AA38" i="101"/>
  <c r="T25" i="104"/>
  <c r="W22" i="104"/>
  <c r="S28" i="104"/>
  <c r="AA25" i="104"/>
  <c r="S27" i="104"/>
  <c r="Y27" i="104"/>
  <c r="W26" i="103"/>
  <c r="AC38" i="101"/>
  <c r="Y35" i="101"/>
  <c r="U38" i="101"/>
  <c r="AF18" i="104"/>
  <c r="AA22" i="104"/>
  <c r="S22" i="104"/>
  <c r="AC26" i="104"/>
  <c r="U26" i="104"/>
  <c r="Y23" i="103"/>
  <c r="U23" i="103"/>
  <c r="AF14" i="103"/>
  <c r="S26" i="104"/>
  <c r="AC23" i="103"/>
  <c r="AF15" i="103"/>
  <c r="AA23" i="103"/>
  <c r="W23" i="103"/>
  <c r="AF20" i="104"/>
  <c r="AF16" i="104"/>
  <c r="Y23" i="100"/>
  <c r="AE15" i="103"/>
  <c r="AF21" i="104"/>
  <c r="AF19" i="104"/>
  <c r="Y24" i="104"/>
  <c r="AF17" i="104"/>
  <c r="AF15" i="104"/>
  <c r="Y26" i="104"/>
  <c r="AD23" i="104"/>
  <c r="Z26" i="104"/>
  <c r="V23" i="104"/>
  <c r="Z23" i="104"/>
  <c r="AF13" i="103"/>
  <c r="AF12" i="103"/>
  <c r="AF11" i="103"/>
  <c r="W28" i="100"/>
  <c r="AB26" i="99"/>
  <c r="T26" i="99"/>
  <c r="AF13" i="100"/>
  <c r="Z35" i="101"/>
  <c r="AB23" i="104"/>
  <c r="X26" i="104"/>
  <c r="T28" i="104"/>
  <c r="Y23" i="104"/>
  <c r="AF14" i="104"/>
  <c r="AD26" i="104"/>
  <c r="V26" i="104"/>
  <c r="S23" i="104"/>
  <c r="AF17" i="103"/>
  <c r="AF21" i="103"/>
  <c r="AF20" i="103"/>
  <c r="AF19" i="103"/>
  <c r="AF18" i="103"/>
  <c r="U27" i="104"/>
  <c r="Z28" i="104"/>
  <c r="Z25" i="104"/>
  <c r="Z22" i="104"/>
  <c r="AB27" i="104"/>
  <c r="AB24" i="104"/>
  <c r="X27" i="104"/>
  <c r="X24" i="104"/>
  <c r="T24" i="104"/>
  <c r="T27" i="104"/>
  <c r="AE13" i="104"/>
  <c r="Y28" i="104"/>
  <c r="Y25" i="104"/>
  <c r="Y22" i="104"/>
  <c r="O58" i="104"/>
  <c r="L60" i="104" s="1"/>
  <c r="AE10" i="104"/>
  <c r="AF10" i="104"/>
  <c r="P58" i="104"/>
  <c r="L59" i="104" s="1"/>
  <c r="AD28" i="103"/>
  <c r="AD25" i="103"/>
  <c r="AD22" i="103"/>
  <c r="Z28" i="103"/>
  <c r="Z25" i="103"/>
  <c r="Z22" i="103"/>
  <c r="V28" i="103"/>
  <c r="V25" i="103"/>
  <c r="V22" i="103"/>
  <c r="X28" i="104"/>
  <c r="X23" i="104"/>
  <c r="AE21" i="103"/>
  <c r="AE20" i="103"/>
  <c r="AE19" i="103"/>
  <c r="AE18" i="103"/>
  <c r="AE17" i="103"/>
  <c r="S26" i="103"/>
  <c r="S23" i="103"/>
  <c r="W28" i="103"/>
  <c r="W25" i="103"/>
  <c r="W22" i="103"/>
  <c r="Y28" i="103"/>
  <c r="Y25" i="103"/>
  <c r="Y22" i="103"/>
  <c r="O58" i="103"/>
  <c r="C60" i="103" s="1"/>
  <c r="AE10" i="103"/>
  <c r="AC26" i="99"/>
  <c r="AE21" i="104"/>
  <c r="AE20" i="104"/>
  <c r="AE19" i="104"/>
  <c r="AE18" i="104"/>
  <c r="AE17" i="104"/>
  <c r="AE16" i="104"/>
  <c r="AE15" i="104"/>
  <c r="AE14" i="104"/>
  <c r="AD28" i="104"/>
  <c r="AD25" i="104"/>
  <c r="AD22" i="104"/>
  <c r="V28" i="104"/>
  <c r="V25" i="104"/>
  <c r="V22" i="104"/>
  <c r="AD27" i="104"/>
  <c r="AD24" i="104"/>
  <c r="Z27" i="104"/>
  <c r="Z24" i="104"/>
  <c r="V27" i="104"/>
  <c r="V24" i="104"/>
  <c r="AB28" i="104"/>
  <c r="AB26" i="104"/>
  <c r="AE12" i="104"/>
  <c r="AE11" i="104"/>
  <c r="AC28" i="104"/>
  <c r="AC25" i="104"/>
  <c r="AC22" i="104"/>
  <c r="U28" i="104"/>
  <c r="U25" i="104"/>
  <c r="U22" i="104"/>
  <c r="AB28" i="103"/>
  <c r="AB25" i="103"/>
  <c r="AB22" i="103"/>
  <c r="X28" i="103"/>
  <c r="X25" i="103"/>
  <c r="X22" i="103"/>
  <c r="T28" i="103"/>
  <c r="T25" i="103"/>
  <c r="T22" i="103"/>
  <c r="T23" i="104"/>
  <c r="T26" i="104"/>
  <c r="AE16" i="103"/>
  <c r="AA28" i="103"/>
  <c r="AA25" i="103"/>
  <c r="AA22" i="103"/>
  <c r="S28" i="103"/>
  <c r="S25" i="103"/>
  <c r="S22" i="103"/>
  <c r="AE14" i="103"/>
  <c r="AE13" i="103"/>
  <c r="AE12" i="103"/>
  <c r="AE11" i="103"/>
  <c r="AC28" i="103"/>
  <c r="AC25" i="103"/>
  <c r="AC22" i="103"/>
  <c r="U28" i="103"/>
  <c r="U25" i="103"/>
  <c r="U22" i="103"/>
  <c r="P58" i="103"/>
  <c r="AF10" i="103"/>
  <c r="AC24" i="100"/>
  <c r="U24" i="100"/>
  <c r="AC23" i="100"/>
  <c r="U23" i="100"/>
  <c r="T25" i="100"/>
  <c r="AB23" i="99"/>
  <c r="T23" i="99"/>
  <c r="AA22" i="100"/>
  <c r="X26" i="99"/>
  <c r="W27" i="100"/>
  <c r="AF15" i="101"/>
  <c r="AF14" i="101"/>
  <c r="AF13" i="101"/>
  <c r="AF12" i="101"/>
  <c r="AF11" i="101"/>
  <c r="X23" i="99"/>
  <c r="X25" i="100"/>
  <c r="AA25" i="100"/>
  <c r="S24" i="100"/>
  <c r="AF21" i="101"/>
  <c r="AF20" i="101"/>
  <c r="AF19" i="101"/>
  <c r="AF18" i="101"/>
  <c r="AF17" i="101"/>
  <c r="AF16" i="101"/>
  <c r="AB40" i="101"/>
  <c r="AB37" i="101"/>
  <c r="AB34" i="101"/>
  <c r="X40" i="101"/>
  <c r="X37" i="101"/>
  <c r="X34" i="101"/>
  <c r="T40" i="101"/>
  <c r="T37" i="101"/>
  <c r="T34" i="101"/>
  <c r="AE21" i="101"/>
  <c r="AE20" i="101"/>
  <c r="AE19" i="101"/>
  <c r="AE18" i="101"/>
  <c r="AE17" i="101"/>
  <c r="AE16" i="101"/>
  <c r="AE15" i="101"/>
  <c r="S38" i="101"/>
  <c r="S35" i="101"/>
  <c r="W40" i="101"/>
  <c r="W37" i="101"/>
  <c r="W34" i="101"/>
  <c r="AE14" i="101"/>
  <c r="AE13" i="101"/>
  <c r="AE12" i="101"/>
  <c r="AE11" i="101"/>
  <c r="AC40" i="101"/>
  <c r="AC37" i="101"/>
  <c r="AC34" i="101"/>
  <c r="U40" i="101"/>
  <c r="U37" i="101"/>
  <c r="U34" i="101"/>
  <c r="AF10" i="101"/>
  <c r="S23" i="98"/>
  <c r="Z23" i="99"/>
  <c r="Y23" i="99"/>
  <c r="S22" i="100"/>
  <c r="W26" i="100"/>
  <c r="AD40" i="101"/>
  <c r="AD37" i="101"/>
  <c r="AD34" i="101"/>
  <c r="Z40" i="101"/>
  <c r="Z37" i="101"/>
  <c r="Z34" i="101"/>
  <c r="V40" i="101"/>
  <c r="V37" i="101"/>
  <c r="V34" i="101"/>
  <c r="AA40" i="101"/>
  <c r="AA37" i="101"/>
  <c r="AA34" i="101"/>
  <c r="S40" i="101"/>
  <c r="S37" i="101"/>
  <c r="S34" i="101"/>
  <c r="Y40" i="101"/>
  <c r="Y37" i="101"/>
  <c r="Y34" i="101"/>
  <c r="AE10" i="101"/>
  <c r="AE12" i="97"/>
  <c r="Y27" i="100"/>
  <c r="Y26" i="100"/>
  <c r="AF13" i="96"/>
  <c r="AE19" i="96"/>
  <c r="AE17" i="96"/>
  <c r="AE15" i="96"/>
  <c r="S23" i="96"/>
  <c r="T25" i="94"/>
  <c r="AE18" i="96"/>
  <c r="S23" i="97"/>
  <c r="AB25" i="100"/>
  <c r="W23" i="100"/>
  <c r="AA28" i="100"/>
  <c r="AA23" i="99"/>
  <c r="W23" i="99"/>
  <c r="AF12" i="100"/>
  <c r="W25" i="100"/>
  <c r="S28" i="100"/>
  <c r="AF11" i="100"/>
  <c r="W24" i="100"/>
  <c r="S23" i="100"/>
  <c r="X25" i="94"/>
  <c r="S26" i="100"/>
  <c r="AE16" i="96"/>
  <c r="AE21" i="96"/>
  <c r="AF11" i="98"/>
  <c r="AE18" i="97"/>
  <c r="AE19" i="98"/>
  <c r="AE21" i="100"/>
  <c r="AE20" i="100"/>
  <c r="AE19" i="100"/>
  <c r="AE18" i="100"/>
  <c r="AE17" i="100"/>
  <c r="AE16" i="100"/>
  <c r="AE15" i="100"/>
  <c r="AF20" i="100"/>
  <c r="AF18" i="100"/>
  <c r="AF16" i="100"/>
  <c r="AB23" i="100"/>
  <c r="W22" i="100"/>
  <c r="AC27" i="100"/>
  <c r="AC26" i="100"/>
  <c r="U26" i="100"/>
  <c r="S27" i="100"/>
  <c r="S25" i="100"/>
  <c r="AF14" i="99"/>
  <c r="AE20" i="96"/>
  <c r="AE14" i="96"/>
  <c r="S23" i="95"/>
  <c r="S25" i="94"/>
  <c r="X23" i="100"/>
  <c r="AB28" i="100"/>
  <c r="AF21" i="99"/>
  <c r="AF20" i="99"/>
  <c r="AF19" i="99"/>
  <c r="AF18" i="99"/>
  <c r="AF17" i="99"/>
  <c r="U27" i="100"/>
  <c r="AF16" i="99"/>
  <c r="AF15" i="99"/>
  <c r="AF13" i="99"/>
  <c r="AF12" i="99"/>
  <c r="AF11" i="99"/>
  <c r="AE15" i="98"/>
  <c r="AF13" i="94"/>
  <c r="S23" i="94"/>
  <c r="X22" i="94"/>
  <c r="AE21" i="98"/>
  <c r="AE18" i="98"/>
  <c r="AE16" i="98"/>
  <c r="AE14" i="98"/>
  <c r="AF21" i="100"/>
  <c r="AF19" i="100"/>
  <c r="AF17" i="100"/>
  <c r="AD26" i="100"/>
  <c r="Z23" i="100"/>
  <c r="V26" i="100"/>
  <c r="AF15" i="100"/>
  <c r="AB26" i="100"/>
  <c r="X26" i="100"/>
  <c r="AF14" i="100"/>
  <c r="AE20" i="98"/>
  <c r="AE17" i="98"/>
  <c r="AE11" i="97"/>
  <c r="AE14" i="100"/>
  <c r="AD28" i="100"/>
  <c r="AD25" i="100"/>
  <c r="AD22" i="100"/>
  <c r="V28" i="100"/>
  <c r="V25" i="100"/>
  <c r="V22" i="100"/>
  <c r="AD27" i="100"/>
  <c r="AD24" i="100"/>
  <c r="Z27" i="100"/>
  <c r="Z24" i="100"/>
  <c r="V27" i="100"/>
  <c r="V24" i="100"/>
  <c r="AE12" i="100"/>
  <c r="AE11" i="100"/>
  <c r="AC28" i="100"/>
  <c r="AC25" i="100"/>
  <c r="AC22" i="100"/>
  <c r="U28" i="100"/>
  <c r="U25" i="100"/>
  <c r="U22" i="100"/>
  <c r="AB28" i="99"/>
  <c r="AB25" i="99"/>
  <c r="AB22" i="99"/>
  <c r="X28" i="99"/>
  <c r="X25" i="99"/>
  <c r="X22" i="99"/>
  <c r="T28" i="99"/>
  <c r="T25" i="99"/>
  <c r="T22" i="99"/>
  <c r="AD23" i="100"/>
  <c r="Z26" i="100"/>
  <c r="V23" i="100"/>
  <c r="T23" i="100"/>
  <c r="T26" i="100"/>
  <c r="S26" i="99"/>
  <c r="S23" i="99"/>
  <c r="W28" i="99"/>
  <c r="W25" i="99"/>
  <c r="W22" i="99"/>
  <c r="Y28" i="99"/>
  <c r="Y25" i="99"/>
  <c r="Y22" i="99"/>
  <c r="O58" i="99"/>
  <c r="C60" i="99" s="1"/>
  <c r="AE10" i="99"/>
  <c r="AA25" i="94"/>
  <c r="AF12" i="95"/>
  <c r="S24" i="96"/>
  <c r="S26" i="96"/>
  <c r="AF20" i="98"/>
  <c r="AF13" i="98"/>
  <c r="AF19" i="97"/>
  <c r="AE16" i="97"/>
  <c r="Z28" i="100"/>
  <c r="Z25" i="100"/>
  <c r="Z22" i="100"/>
  <c r="AB27" i="100"/>
  <c r="AB24" i="100"/>
  <c r="X27" i="100"/>
  <c r="X24" i="100"/>
  <c r="T24" i="100"/>
  <c r="T27" i="100"/>
  <c r="T28" i="100"/>
  <c r="AE13" i="100"/>
  <c r="Y28" i="100"/>
  <c r="Y25" i="100"/>
  <c r="Y22" i="100"/>
  <c r="O58" i="100"/>
  <c r="AE10" i="100"/>
  <c r="AF10" i="100"/>
  <c r="P58" i="100"/>
  <c r="H59" i="100" s="1"/>
  <c r="AD28" i="99"/>
  <c r="AD25" i="99"/>
  <c r="AD22" i="99"/>
  <c r="Z28" i="99"/>
  <c r="Z25" i="99"/>
  <c r="Z22" i="99"/>
  <c r="V28" i="99"/>
  <c r="V25" i="99"/>
  <c r="V22" i="99"/>
  <c r="X28" i="100"/>
  <c r="AE21" i="99"/>
  <c r="AE20" i="99"/>
  <c r="AE19" i="99"/>
  <c r="AE18" i="99"/>
  <c r="AE17" i="99"/>
  <c r="AE16" i="99"/>
  <c r="AE15" i="99"/>
  <c r="AA28" i="99"/>
  <c r="AA25" i="99"/>
  <c r="AA22" i="99"/>
  <c r="S28" i="99"/>
  <c r="S25" i="99"/>
  <c r="S22" i="99"/>
  <c r="AE14" i="99"/>
  <c r="AE13" i="99"/>
  <c r="AE12" i="99"/>
  <c r="AE11" i="99"/>
  <c r="AC28" i="99"/>
  <c r="AC25" i="99"/>
  <c r="AC22" i="99"/>
  <c r="U28" i="99"/>
  <c r="U25" i="99"/>
  <c r="U22" i="99"/>
  <c r="P58" i="99"/>
  <c r="AF10" i="99"/>
  <c r="AF12" i="98"/>
  <c r="S24" i="98"/>
  <c r="AE17" i="97"/>
  <c r="AE15" i="97"/>
  <c r="AE14" i="97"/>
  <c r="AE13" i="97"/>
  <c r="AF18" i="97"/>
  <c r="S27" i="98"/>
  <c r="AB22" i="94"/>
  <c r="T22" i="94"/>
  <c r="AF18" i="98"/>
  <c r="AF19" i="98"/>
  <c r="AE21" i="97"/>
  <c r="AE20" i="97"/>
  <c r="AE19" i="97"/>
  <c r="S26" i="98"/>
  <c r="AF21" i="98"/>
  <c r="AF17" i="98"/>
  <c r="AF16" i="98"/>
  <c r="AF15" i="98"/>
  <c r="AF14" i="98"/>
  <c r="AD28" i="98"/>
  <c r="AD25" i="98"/>
  <c r="AD22" i="98"/>
  <c r="Z28" i="98"/>
  <c r="Z25" i="98"/>
  <c r="Z22" i="98"/>
  <c r="V28" i="98"/>
  <c r="V25" i="98"/>
  <c r="V22" i="98"/>
  <c r="P58" i="98"/>
  <c r="AF10" i="98"/>
  <c r="AA28" i="98"/>
  <c r="AA25" i="98"/>
  <c r="AA22" i="98"/>
  <c r="W28" i="98"/>
  <c r="W25" i="98"/>
  <c r="W22" i="98"/>
  <c r="S28" i="98"/>
  <c r="S25" i="98"/>
  <c r="S22" i="98"/>
  <c r="AF21" i="97"/>
  <c r="AF20" i="97"/>
  <c r="AC28" i="97"/>
  <c r="AC25" i="97"/>
  <c r="AC22" i="97"/>
  <c r="Y28" i="97"/>
  <c r="Y25" i="97"/>
  <c r="Y22" i="97"/>
  <c r="U28" i="97"/>
  <c r="U25" i="97"/>
  <c r="U22" i="97"/>
  <c r="O58" i="97"/>
  <c r="AE10" i="97"/>
  <c r="AB28" i="97"/>
  <c r="AB25" i="97"/>
  <c r="AB22" i="97"/>
  <c r="X28" i="97"/>
  <c r="X25" i="97"/>
  <c r="X22" i="97"/>
  <c r="T28" i="97"/>
  <c r="T25" i="97"/>
  <c r="T22" i="97"/>
  <c r="AF12" i="96"/>
  <c r="W25" i="94"/>
  <c r="AB28" i="98"/>
  <c r="AB25" i="98"/>
  <c r="AB22" i="98"/>
  <c r="X28" i="98"/>
  <c r="X25" i="98"/>
  <c r="X22" i="98"/>
  <c r="T28" i="98"/>
  <c r="T25" i="98"/>
  <c r="T22" i="98"/>
  <c r="AE13" i="98"/>
  <c r="AE12" i="98"/>
  <c r="AE11" i="98"/>
  <c r="AC28" i="98"/>
  <c r="AC25" i="98"/>
  <c r="AC22" i="98"/>
  <c r="Y28" i="98"/>
  <c r="Y25" i="98"/>
  <c r="Y22" i="98"/>
  <c r="U28" i="98"/>
  <c r="U25" i="98"/>
  <c r="U22" i="98"/>
  <c r="O58" i="98"/>
  <c r="AE10" i="98"/>
  <c r="AF17" i="97"/>
  <c r="AA28" i="97"/>
  <c r="AA25" i="97"/>
  <c r="AA22" i="97"/>
  <c r="W28" i="97"/>
  <c r="W25" i="97"/>
  <c r="W22" i="97"/>
  <c r="S28" i="97"/>
  <c r="S25" i="97"/>
  <c r="S22" i="97"/>
  <c r="AF16" i="97"/>
  <c r="AF15" i="97"/>
  <c r="AF14" i="97"/>
  <c r="AF13" i="97"/>
  <c r="AF12" i="97"/>
  <c r="AF11" i="97"/>
  <c r="AD28" i="97"/>
  <c r="AD25" i="97"/>
  <c r="AD22" i="97"/>
  <c r="Z28" i="97"/>
  <c r="Z25" i="97"/>
  <c r="Z22" i="97"/>
  <c r="V28" i="97"/>
  <c r="V25" i="97"/>
  <c r="V22" i="97"/>
  <c r="P58" i="97"/>
  <c r="AF10" i="97"/>
  <c r="AE21" i="95"/>
  <c r="AE20" i="95"/>
  <c r="AB25" i="94"/>
  <c r="W22" i="94"/>
  <c r="AF11" i="94"/>
  <c r="W28" i="94"/>
  <c r="AE19" i="95"/>
  <c r="AE17" i="95"/>
  <c r="AE18" i="95"/>
  <c r="AF15" i="95"/>
  <c r="AF14" i="95"/>
  <c r="AF13" i="95"/>
  <c r="AF11" i="96"/>
  <c r="S27" i="95"/>
  <c r="S28" i="94"/>
  <c r="AA28" i="94"/>
  <c r="AF12" i="94"/>
  <c r="AF16" i="95"/>
  <c r="AF21" i="95"/>
  <c r="AF20" i="95"/>
  <c r="S26" i="95"/>
  <c r="AF20" i="94"/>
  <c r="AF18" i="94"/>
  <c r="AF16" i="94"/>
  <c r="AF14" i="94"/>
  <c r="AA22" i="94"/>
  <c r="S22" i="94"/>
  <c r="S24" i="95"/>
  <c r="AF11" i="95"/>
  <c r="S27" i="96"/>
  <c r="AF21" i="96"/>
  <c r="AF20" i="96"/>
  <c r="AF19" i="96"/>
  <c r="AF18" i="96"/>
  <c r="AF17" i="96"/>
  <c r="AF16" i="96"/>
  <c r="AF15" i="96"/>
  <c r="AF14" i="96"/>
  <c r="AD28" i="96"/>
  <c r="AD25" i="96"/>
  <c r="AD22" i="96"/>
  <c r="Z28" i="96"/>
  <c r="Z25" i="96"/>
  <c r="Z22" i="96"/>
  <c r="V28" i="96"/>
  <c r="V25" i="96"/>
  <c r="V22" i="96"/>
  <c r="P58" i="96"/>
  <c r="AF10" i="96"/>
  <c r="AA28" i="96"/>
  <c r="AA25" i="96"/>
  <c r="AA22" i="96"/>
  <c r="W28" i="96"/>
  <c r="W25" i="96"/>
  <c r="W22" i="96"/>
  <c r="S28" i="96"/>
  <c r="S25" i="96"/>
  <c r="S22" i="96"/>
  <c r="AB28" i="95"/>
  <c r="AB25" i="95"/>
  <c r="AB22" i="95"/>
  <c r="X28" i="95"/>
  <c r="X25" i="95"/>
  <c r="X22" i="95"/>
  <c r="T28" i="95"/>
  <c r="T25" i="95"/>
  <c r="T22" i="95"/>
  <c r="AE13" i="95"/>
  <c r="AE12" i="95"/>
  <c r="AE11" i="95"/>
  <c r="AC28" i="95"/>
  <c r="AC25" i="95"/>
  <c r="AC22" i="95"/>
  <c r="Y28" i="95"/>
  <c r="Y25" i="95"/>
  <c r="Y22" i="95"/>
  <c r="U28" i="95"/>
  <c r="U25" i="95"/>
  <c r="U22" i="95"/>
  <c r="O58" i="95"/>
  <c r="AE10" i="95"/>
  <c r="AB28" i="96"/>
  <c r="AB25" i="96"/>
  <c r="AB22" i="96"/>
  <c r="X28" i="96"/>
  <c r="X25" i="96"/>
  <c r="X22" i="96"/>
  <c r="T28" i="96"/>
  <c r="T25" i="96"/>
  <c r="T22" i="96"/>
  <c r="AE13" i="96"/>
  <c r="AE12" i="96"/>
  <c r="AE11" i="96"/>
  <c r="AC28" i="96"/>
  <c r="AC25" i="96"/>
  <c r="AC22" i="96"/>
  <c r="Y28" i="96"/>
  <c r="Y25" i="96"/>
  <c r="Y22" i="96"/>
  <c r="U28" i="96"/>
  <c r="U25" i="96"/>
  <c r="U22" i="96"/>
  <c r="O58" i="96"/>
  <c r="AE10" i="96"/>
  <c r="AF19" i="95"/>
  <c r="AF18" i="95"/>
  <c r="AF17" i="95"/>
  <c r="AD28" i="95"/>
  <c r="AD25" i="95"/>
  <c r="AD22" i="95"/>
  <c r="Z28" i="95"/>
  <c r="Z25" i="95"/>
  <c r="Z22" i="95"/>
  <c r="V28" i="95"/>
  <c r="V25" i="95"/>
  <c r="V22" i="95"/>
  <c r="P58" i="95"/>
  <c r="AF10" i="95"/>
  <c r="AE16" i="95"/>
  <c r="AE15" i="95"/>
  <c r="AE14" i="95"/>
  <c r="AA28" i="95"/>
  <c r="AA25" i="95"/>
  <c r="AA22" i="95"/>
  <c r="W28" i="95"/>
  <c r="W25" i="95"/>
  <c r="W22" i="95"/>
  <c r="S28" i="95"/>
  <c r="S25" i="95"/>
  <c r="S22" i="95"/>
  <c r="AB23" i="94"/>
  <c r="X26" i="94"/>
  <c r="AB28" i="94"/>
  <c r="X28" i="94"/>
  <c r="X23" i="94"/>
  <c r="AF21" i="94"/>
  <c r="AF19" i="94"/>
  <c r="AF17" i="94"/>
  <c r="AD23" i="94"/>
  <c r="Z26" i="94"/>
  <c r="V23" i="94"/>
  <c r="AF15" i="94"/>
  <c r="AB26" i="94"/>
  <c r="T28" i="94"/>
  <c r="Z28" i="94"/>
  <c r="Z25" i="94"/>
  <c r="Z22" i="94"/>
  <c r="AD27" i="94"/>
  <c r="AD24" i="94"/>
  <c r="Z27" i="94"/>
  <c r="Z24" i="94"/>
  <c r="V27" i="94"/>
  <c r="V24" i="94"/>
  <c r="AE12" i="94"/>
  <c r="AE11" i="94"/>
  <c r="AC28" i="94"/>
  <c r="AC25" i="94"/>
  <c r="AC22" i="94"/>
  <c r="U28" i="94"/>
  <c r="U25" i="94"/>
  <c r="U22" i="94"/>
  <c r="AD26" i="94"/>
  <c r="Z23" i="94"/>
  <c r="V26" i="94"/>
  <c r="AE21" i="94"/>
  <c r="AE20" i="94"/>
  <c r="AE19" i="94"/>
  <c r="AE18" i="94"/>
  <c r="AE17" i="94"/>
  <c r="AE16" i="94"/>
  <c r="AE15" i="94"/>
  <c r="AE14" i="94"/>
  <c r="AD28" i="94"/>
  <c r="AD25" i="94"/>
  <c r="AD22" i="94"/>
  <c r="V28" i="94"/>
  <c r="V25" i="94"/>
  <c r="V22" i="94"/>
  <c r="AB27" i="94"/>
  <c r="AB24" i="94"/>
  <c r="X27" i="94"/>
  <c r="X24" i="94"/>
  <c r="T24" i="94"/>
  <c r="T27" i="94"/>
  <c r="AE13" i="94"/>
  <c r="Y28" i="94"/>
  <c r="Y25" i="94"/>
  <c r="Y22" i="94"/>
  <c r="O58" i="94"/>
  <c r="C60" i="94" s="1"/>
  <c r="AE10" i="94"/>
  <c r="AF10" i="94"/>
  <c r="P58" i="94"/>
  <c r="H59" i="94" s="1"/>
  <c r="T23" i="94"/>
  <c r="T26" i="94"/>
  <c r="Z21" i="93"/>
  <c r="AD20" i="93"/>
  <c r="V20" i="93"/>
  <c r="Z19" i="93"/>
  <c r="AD18" i="93"/>
  <c r="V18" i="93"/>
  <c r="Z17" i="93"/>
  <c r="AD16" i="93"/>
  <c r="V16" i="93"/>
  <c r="Z15" i="93"/>
  <c r="AD14" i="93"/>
  <c r="V14" i="93"/>
  <c r="Z13" i="93"/>
  <c r="AD12" i="93"/>
  <c r="V12" i="93"/>
  <c r="Z11" i="93"/>
  <c r="AD21" i="93"/>
  <c r="V21" i="93"/>
  <c r="Z20" i="93"/>
  <c r="AD19" i="93"/>
  <c r="V19" i="93"/>
  <c r="Z18" i="93"/>
  <c r="AD17" i="93"/>
  <c r="V17" i="93"/>
  <c r="Z16" i="93"/>
  <c r="AD15" i="93"/>
  <c r="V15" i="93"/>
  <c r="Z14" i="93"/>
  <c r="AD13" i="93"/>
  <c r="V13" i="93"/>
  <c r="Z12" i="93"/>
  <c r="AD11" i="93"/>
  <c r="V11" i="93"/>
  <c r="AB21" i="93"/>
  <c r="X21" i="93"/>
  <c r="T21" i="93"/>
  <c r="AB20" i="93"/>
  <c r="X20" i="93"/>
  <c r="T20" i="93"/>
  <c r="AB19" i="93"/>
  <c r="X19" i="93"/>
  <c r="T19" i="93"/>
  <c r="AB18" i="93"/>
  <c r="X18" i="93"/>
  <c r="T18" i="93"/>
  <c r="AB17" i="93"/>
  <c r="X17" i="93"/>
  <c r="T17" i="93"/>
  <c r="AB16" i="93"/>
  <c r="X16" i="93"/>
  <c r="T16" i="93"/>
  <c r="AB15" i="93"/>
  <c r="X15" i="93"/>
  <c r="T15" i="93"/>
  <c r="AB14" i="93"/>
  <c r="X14" i="93"/>
  <c r="T14" i="93"/>
  <c r="AB13" i="93"/>
  <c r="X13" i="93"/>
  <c r="T13" i="93"/>
  <c r="AB12" i="93"/>
  <c r="X12" i="93"/>
  <c r="T12" i="93"/>
  <c r="AB11" i="93"/>
  <c r="X11" i="93"/>
  <c r="T11" i="93"/>
  <c r="AC21" i="93"/>
  <c r="AA21" i="93"/>
  <c r="Y21" i="93"/>
  <c r="W21" i="93"/>
  <c r="U21" i="93"/>
  <c r="S21" i="93"/>
  <c r="AC20" i="93"/>
  <c r="AA20" i="93"/>
  <c r="Y20" i="93"/>
  <c r="W20" i="93"/>
  <c r="U20" i="93"/>
  <c r="S20" i="93"/>
  <c r="AC19" i="93"/>
  <c r="AA19" i="93"/>
  <c r="Y19" i="93"/>
  <c r="W19" i="93"/>
  <c r="U19" i="93"/>
  <c r="S19" i="93"/>
  <c r="AC18" i="93"/>
  <c r="AA18" i="93"/>
  <c r="Y18" i="93"/>
  <c r="W18" i="93"/>
  <c r="U18" i="93"/>
  <c r="S18" i="93"/>
  <c r="AC17" i="93"/>
  <c r="AA17" i="93"/>
  <c r="Y17" i="93"/>
  <c r="W17" i="93"/>
  <c r="U17" i="93"/>
  <c r="S17" i="93"/>
  <c r="AC16" i="93"/>
  <c r="AA16" i="93"/>
  <c r="Y16" i="93"/>
  <c r="W16" i="93"/>
  <c r="U16" i="93"/>
  <c r="S16" i="93"/>
  <c r="AC15" i="93"/>
  <c r="AA15" i="93"/>
  <c r="Y15" i="93"/>
  <c r="W15" i="93"/>
  <c r="U15" i="93"/>
  <c r="S15" i="93"/>
  <c r="AC14" i="93"/>
  <c r="AA14" i="93"/>
  <c r="Y14" i="93"/>
  <c r="W14" i="93"/>
  <c r="U14" i="93"/>
  <c r="S14" i="93"/>
  <c r="AC13" i="93"/>
  <c r="AA13" i="93"/>
  <c r="Y13" i="93"/>
  <c r="W13" i="93"/>
  <c r="U13" i="93"/>
  <c r="S13" i="93"/>
  <c r="AC12" i="93"/>
  <c r="AA12" i="93"/>
  <c r="Y12" i="93"/>
  <c r="W12" i="93"/>
  <c r="U12" i="93"/>
  <c r="S12" i="93"/>
  <c r="AC11" i="93"/>
  <c r="AA11" i="93"/>
  <c r="Y11" i="93"/>
  <c r="W11" i="93"/>
  <c r="U11" i="93"/>
  <c r="S11" i="93"/>
  <c r="S10" i="93"/>
  <c r="AC10" i="93"/>
  <c r="AA10" i="93"/>
  <c r="Y10" i="93"/>
  <c r="W10" i="93"/>
  <c r="U10" i="93"/>
  <c r="AD10" i="93"/>
  <c r="AB10" i="93"/>
  <c r="Z10" i="93"/>
  <c r="X10" i="93"/>
  <c r="V10" i="93"/>
  <c r="V22" i="93" s="1"/>
  <c r="T10" i="93"/>
  <c r="P34" i="93"/>
  <c r="P50" i="93"/>
  <c r="P18" i="93"/>
  <c r="N58" i="93"/>
  <c r="P42" i="93"/>
  <c r="P26" i="93"/>
  <c r="P56" i="93"/>
  <c r="P46" i="93"/>
  <c r="P38" i="93"/>
  <c r="P30" i="93"/>
  <c r="P22" i="93"/>
  <c r="P14" i="93"/>
  <c r="F58" i="93"/>
  <c r="P10" i="93"/>
  <c r="P52" i="93"/>
  <c r="P48" i="93"/>
  <c r="P44" i="93"/>
  <c r="P40" i="93"/>
  <c r="P36" i="93"/>
  <c r="P32" i="93"/>
  <c r="P28" i="93"/>
  <c r="P24" i="93"/>
  <c r="P23" i="93"/>
  <c r="P20" i="93"/>
  <c r="P16" i="93"/>
  <c r="P12" i="93"/>
  <c r="P54" i="93"/>
  <c r="P51" i="93"/>
  <c r="P49" i="93"/>
  <c r="P35" i="93"/>
  <c r="P33" i="93"/>
  <c r="P31" i="93"/>
  <c r="P21" i="93"/>
  <c r="P19" i="93"/>
  <c r="P17" i="93"/>
  <c r="P15" i="93"/>
  <c r="P13" i="93"/>
  <c r="P11" i="93"/>
  <c r="P47" i="93"/>
  <c r="P45" i="93"/>
  <c r="P43" i="93"/>
  <c r="P41" i="93"/>
  <c r="P39" i="93"/>
  <c r="P37" i="93"/>
  <c r="P29" i="93"/>
  <c r="P27" i="93"/>
  <c r="P25" i="93"/>
  <c r="K58" i="93"/>
  <c r="G58" i="93"/>
  <c r="P57" i="93"/>
  <c r="P55" i="93"/>
  <c r="H58" i="93"/>
  <c r="D58" i="93"/>
  <c r="L58" i="93"/>
  <c r="P53" i="93"/>
  <c r="J58" i="93"/>
  <c r="E58" i="93"/>
  <c r="I58" i="93"/>
  <c r="O27" i="93"/>
  <c r="O29" i="93"/>
  <c r="O31" i="93"/>
  <c r="O33" i="93"/>
  <c r="O35" i="93"/>
  <c r="O37" i="93"/>
  <c r="O39" i="93"/>
  <c r="O41" i="93"/>
  <c r="O43" i="93"/>
  <c r="O45" i="93"/>
  <c r="O47" i="93"/>
  <c r="O49" i="93"/>
  <c r="O51" i="93"/>
  <c r="O53" i="93"/>
  <c r="O55" i="93"/>
  <c r="O57" i="93"/>
  <c r="M58" i="93"/>
  <c r="O10" i="93"/>
  <c r="O11" i="93"/>
  <c r="O12" i="93"/>
  <c r="O13" i="93"/>
  <c r="O14" i="93"/>
  <c r="O15" i="93"/>
  <c r="O16" i="93"/>
  <c r="O17" i="93"/>
  <c r="O18" i="93"/>
  <c r="O19" i="93"/>
  <c r="O20" i="93"/>
  <c r="O21" i="93"/>
  <c r="O22" i="93"/>
  <c r="O23" i="93"/>
  <c r="O24" i="93"/>
  <c r="O25" i="93"/>
  <c r="O26" i="93"/>
  <c r="O28" i="93"/>
  <c r="O30" i="93"/>
  <c r="O32" i="93"/>
  <c r="O34" i="93"/>
  <c r="O36" i="93"/>
  <c r="O38" i="93"/>
  <c r="O40" i="93"/>
  <c r="O42" i="93"/>
  <c r="O44" i="93"/>
  <c r="O46" i="93"/>
  <c r="O48" i="93"/>
  <c r="O50" i="93"/>
  <c r="O52" i="93"/>
  <c r="O54" i="93"/>
  <c r="O56" i="93"/>
  <c r="P106" i="107" l="1"/>
  <c r="H106" i="111"/>
  <c r="T13" i="111"/>
  <c r="AA41" i="107"/>
  <c r="AD41" i="108"/>
  <c r="U39" i="107"/>
  <c r="P106" i="108"/>
  <c r="V41" i="107"/>
  <c r="AA41" i="108"/>
  <c r="AD41" i="107"/>
  <c r="W41" i="108"/>
  <c r="Y41" i="108"/>
  <c r="V41" i="108"/>
  <c r="O106" i="108"/>
  <c r="H108" i="108" s="1"/>
  <c r="X41" i="108"/>
  <c r="T41" i="107"/>
  <c r="X42" i="109"/>
  <c r="AB41" i="108"/>
  <c r="T12" i="111"/>
  <c r="S41" i="108"/>
  <c r="AE24" i="98"/>
  <c r="S36" i="107"/>
  <c r="X41" i="107"/>
  <c r="U41" i="107"/>
  <c r="U41" i="108"/>
  <c r="T41" i="108"/>
  <c r="AC41" i="108"/>
  <c r="AD39" i="107"/>
  <c r="G106" i="111"/>
  <c r="O106" i="107"/>
  <c r="H108" i="107" s="1"/>
  <c r="Y41" i="107"/>
  <c r="Z41" i="107"/>
  <c r="W41" i="107"/>
  <c r="S41" i="107"/>
  <c r="AB41" i="107"/>
  <c r="AC41" i="107"/>
  <c r="Z41" i="108"/>
  <c r="AD12" i="111"/>
  <c r="I106" i="111"/>
  <c r="C106" i="111"/>
  <c r="J106" i="111"/>
  <c r="K106" i="111"/>
  <c r="F106" i="111"/>
  <c r="N106" i="111"/>
  <c r="E106" i="111"/>
  <c r="M106" i="111"/>
  <c r="D106" i="111"/>
  <c r="L106" i="111"/>
  <c r="V39" i="107"/>
  <c r="AF10" i="108"/>
  <c r="U36" i="107"/>
  <c r="Y34" i="108"/>
  <c r="S42" i="110"/>
  <c r="T11" i="111"/>
  <c r="V17" i="111"/>
  <c r="AA12" i="111"/>
  <c r="X14" i="111"/>
  <c r="AD11" i="111"/>
  <c r="T17" i="111"/>
  <c r="AB19" i="111"/>
  <c r="AA15" i="111"/>
  <c r="O47" i="111"/>
  <c r="Z14" i="111"/>
  <c r="AD19" i="111"/>
  <c r="W11" i="111"/>
  <c r="U14" i="111"/>
  <c r="AB15" i="111"/>
  <c r="X18" i="111"/>
  <c r="T21" i="111"/>
  <c r="AA18" i="111"/>
  <c r="AD36" i="108"/>
  <c r="AB12" i="111"/>
  <c r="S18" i="111"/>
  <c r="Y14" i="111"/>
  <c r="S15" i="111"/>
  <c r="W17" i="111"/>
  <c r="W18" i="111"/>
  <c r="Y19" i="111"/>
  <c r="O52" i="111"/>
  <c r="AC20" i="111"/>
  <c r="AA21" i="111"/>
  <c r="X11" i="111"/>
  <c r="V13" i="111"/>
  <c r="AD13" i="111"/>
  <c r="V15" i="111"/>
  <c r="AD15" i="111"/>
  <c r="Z16" i="111"/>
  <c r="AD17" i="111"/>
  <c r="Z18" i="111"/>
  <c r="V19" i="111"/>
  <c r="Z20" i="111"/>
  <c r="V21" i="111"/>
  <c r="AD21" i="111"/>
  <c r="Z36" i="108"/>
  <c r="S11" i="111"/>
  <c r="AA11" i="111"/>
  <c r="S12" i="111"/>
  <c r="W12" i="111"/>
  <c r="S13" i="111"/>
  <c r="AA13" i="111"/>
  <c r="T14" i="111"/>
  <c r="AB14" i="111"/>
  <c r="X15" i="111"/>
  <c r="T15" i="111"/>
  <c r="X16" i="111"/>
  <c r="T16" i="111"/>
  <c r="AB16" i="111"/>
  <c r="X17" i="111"/>
  <c r="AB17" i="111"/>
  <c r="T18" i="111"/>
  <c r="AB18" i="111"/>
  <c r="T19" i="111"/>
  <c r="X20" i="111"/>
  <c r="T20" i="111"/>
  <c r="AB20" i="111"/>
  <c r="X21" i="111"/>
  <c r="S17" i="111"/>
  <c r="AA17" i="111"/>
  <c r="W13" i="111"/>
  <c r="AC14" i="111"/>
  <c r="X13" i="111"/>
  <c r="AB21" i="111"/>
  <c r="Z10" i="111"/>
  <c r="V39" i="108"/>
  <c r="U19" i="111"/>
  <c r="AC21" i="111"/>
  <c r="Y21" i="111"/>
  <c r="W15" i="111"/>
  <c r="AA16" i="111"/>
  <c r="O12" i="111"/>
  <c r="P26" i="111"/>
  <c r="V11" i="111"/>
  <c r="X12" i="111"/>
  <c r="Z12" i="111"/>
  <c r="P46" i="111"/>
  <c r="S10" i="111"/>
  <c r="AB36" i="108"/>
  <c r="AD37" i="108"/>
  <c r="P10" i="111"/>
  <c r="X19" i="111"/>
  <c r="W10" i="111"/>
  <c r="O22" i="111"/>
  <c r="P31" i="111"/>
  <c r="W16" i="111"/>
  <c r="V10" i="111"/>
  <c r="T10" i="111"/>
  <c r="AB10" i="111"/>
  <c r="Z11" i="111"/>
  <c r="AB11" i="111"/>
  <c r="V12" i="111"/>
  <c r="AB13" i="111"/>
  <c r="Z13" i="111"/>
  <c r="V14" i="111"/>
  <c r="AD14" i="111"/>
  <c r="Z15" i="111"/>
  <c r="V16" i="111"/>
  <c r="AD16" i="111"/>
  <c r="Z17" i="111"/>
  <c r="V18" i="111"/>
  <c r="AD18" i="111"/>
  <c r="Z19" i="111"/>
  <c r="V20" i="111"/>
  <c r="AD20" i="111"/>
  <c r="Z21" i="111"/>
  <c r="AD39" i="108"/>
  <c r="Z39" i="108"/>
  <c r="O34" i="111"/>
  <c r="P17" i="111"/>
  <c r="O21" i="111"/>
  <c r="O37" i="111"/>
  <c r="P41" i="111"/>
  <c r="O42" i="111"/>
  <c r="U20" i="111"/>
  <c r="P53" i="111"/>
  <c r="X10" i="111"/>
  <c r="T39" i="108"/>
  <c r="U10" i="111"/>
  <c r="AC10" i="111"/>
  <c r="P13" i="111"/>
  <c r="O14" i="111"/>
  <c r="O15" i="111"/>
  <c r="O17" i="111"/>
  <c r="O19" i="111"/>
  <c r="P20" i="111"/>
  <c r="P25" i="111"/>
  <c r="O26" i="111"/>
  <c r="P28" i="111"/>
  <c r="P30" i="111"/>
  <c r="O32" i="111"/>
  <c r="P33" i="111"/>
  <c r="U16" i="111"/>
  <c r="AC16" i="111"/>
  <c r="Y16" i="111"/>
  <c r="P38" i="111"/>
  <c r="P39" i="111"/>
  <c r="O40" i="111"/>
  <c r="P44" i="111"/>
  <c r="S19" i="111"/>
  <c r="AA19" i="111"/>
  <c r="P47" i="111"/>
  <c r="P50" i="111"/>
  <c r="P51" i="111"/>
  <c r="Y20" i="111"/>
  <c r="P54" i="111"/>
  <c r="O55" i="111"/>
  <c r="U21" i="111"/>
  <c r="P23" i="111"/>
  <c r="O23" i="111"/>
  <c r="Y18" i="111"/>
  <c r="O43" i="111"/>
  <c r="O49" i="111"/>
  <c r="P49" i="111"/>
  <c r="W21" i="111"/>
  <c r="P56" i="111"/>
  <c r="O10" i="111"/>
  <c r="C108" i="110"/>
  <c r="P15" i="111"/>
  <c r="O28" i="111"/>
  <c r="O35" i="111"/>
  <c r="O25" i="111"/>
  <c r="O44" i="111"/>
  <c r="O54" i="111"/>
  <c r="AD10" i="111"/>
  <c r="P36" i="111"/>
  <c r="O57" i="111"/>
  <c r="X36" i="108"/>
  <c r="V34" i="108"/>
  <c r="O11" i="111"/>
  <c r="Y10" i="111"/>
  <c r="O13" i="111"/>
  <c r="Y11" i="111"/>
  <c r="U11" i="111"/>
  <c r="AC11" i="111"/>
  <c r="O16" i="111"/>
  <c r="Y12" i="111"/>
  <c r="U12" i="111"/>
  <c r="AC12" i="111"/>
  <c r="O20" i="111"/>
  <c r="P21" i="111"/>
  <c r="Y13" i="111"/>
  <c r="U13" i="111"/>
  <c r="AC13" i="111"/>
  <c r="P24" i="111"/>
  <c r="W14" i="111"/>
  <c r="AA14" i="111"/>
  <c r="P29" i="111"/>
  <c r="O30" i="111"/>
  <c r="AC15" i="111"/>
  <c r="Y15" i="111"/>
  <c r="U15" i="111"/>
  <c r="O33" i="111"/>
  <c r="P34" i="111"/>
  <c r="P35" i="111"/>
  <c r="O36" i="111"/>
  <c r="P37" i="111"/>
  <c r="O38" i="111"/>
  <c r="AC17" i="111"/>
  <c r="Y17" i="111"/>
  <c r="U17" i="111"/>
  <c r="O41" i="111"/>
  <c r="P42" i="111"/>
  <c r="U18" i="111"/>
  <c r="AC18" i="111"/>
  <c r="P45" i="111"/>
  <c r="O46" i="111"/>
  <c r="AC19" i="111"/>
  <c r="O48" i="111"/>
  <c r="W19" i="111"/>
  <c r="O50" i="111"/>
  <c r="O51" i="111"/>
  <c r="AA20" i="111"/>
  <c r="W20" i="111"/>
  <c r="O53" i="111"/>
  <c r="P55" i="111"/>
  <c r="O56" i="111"/>
  <c r="P57" i="111"/>
  <c r="P14" i="111"/>
  <c r="P16" i="111"/>
  <c r="O18" i="111"/>
  <c r="S14" i="111"/>
  <c r="O27" i="111"/>
  <c r="O29" i="111"/>
  <c r="S16" i="111"/>
  <c r="O39" i="111"/>
  <c r="P48" i="111"/>
  <c r="S20" i="111"/>
  <c r="P52" i="111"/>
  <c r="P12" i="111"/>
  <c r="P19" i="111"/>
  <c r="O24" i="111"/>
  <c r="O31" i="111"/>
  <c r="O45" i="111"/>
  <c r="S21" i="111"/>
  <c r="P11" i="111"/>
  <c r="P18" i="111"/>
  <c r="P22" i="111"/>
  <c r="P27" i="111"/>
  <c r="P32" i="111"/>
  <c r="P40" i="111"/>
  <c r="P43" i="111"/>
  <c r="X39" i="108"/>
  <c r="T36" i="108"/>
  <c r="AB39" i="108"/>
  <c r="V37" i="108"/>
  <c r="T34" i="108"/>
  <c r="F108" i="110"/>
  <c r="AA10" i="111"/>
  <c r="H108" i="110"/>
  <c r="N108" i="110"/>
  <c r="X34" i="108"/>
  <c r="AE39" i="110"/>
  <c r="W42" i="110"/>
  <c r="Z34" i="108"/>
  <c r="AE36" i="110"/>
  <c r="F107" i="110"/>
  <c r="C107" i="110"/>
  <c r="H107" i="110"/>
  <c r="T42" i="110"/>
  <c r="Y42" i="110"/>
  <c r="X42" i="110"/>
  <c r="AF36" i="110"/>
  <c r="AF39" i="110"/>
  <c r="AF35" i="110"/>
  <c r="AF38" i="110"/>
  <c r="U42" i="110"/>
  <c r="AC42" i="110"/>
  <c r="AE38" i="110"/>
  <c r="AE35" i="110"/>
  <c r="V42" i="110"/>
  <c r="AB42" i="110"/>
  <c r="M107" i="110"/>
  <c r="D107" i="110"/>
  <c r="L107" i="110"/>
  <c r="E107" i="110"/>
  <c r="G107" i="110"/>
  <c r="I107" i="110"/>
  <c r="K107" i="110"/>
  <c r="AE41" i="110"/>
  <c r="AE40" i="110"/>
  <c r="AE37" i="110"/>
  <c r="AE34" i="110"/>
  <c r="Z42" i="110"/>
  <c r="AD42" i="110"/>
  <c r="AF41" i="110"/>
  <c r="AF40" i="110"/>
  <c r="AF37" i="110"/>
  <c r="AF34" i="110"/>
  <c r="D108" i="110"/>
  <c r="L108" i="110"/>
  <c r="E108" i="110"/>
  <c r="G108" i="110"/>
  <c r="I108" i="110"/>
  <c r="K108" i="110"/>
  <c r="J107" i="110"/>
  <c r="H107" i="109"/>
  <c r="U42" i="109"/>
  <c r="Y42" i="109"/>
  <c r="AC42" i="109"/>
  <c r="AF39" i="109"/>
  <c r="AF36" i="109"/>
  <c r="AF38" i="109"/>
  <c r="AF35" i="109"/>
  <c r="M107" i="109"/>
  <c r="D107" i="109"/>
  <c r="L107" i="109"/>
  <c r="C107" i="109"/>
  <c r="E107" i="109"/>
  <c r="G107" i="109"/>
  <c r="I107" i="109"/>
  <c r="K107" i="109"/>
  <c r="D108" i="109"/>
  <c r="L108" i="109"/>
  <c r="C108" i="109"/>
  <c r="E108" i="109"/>
  <c r="G108" i="109"/>
  <c r="I108" i="109"/>
  <c r="K108" i="109"/>
  <c r="F108" i="109"/>
  <c r="N107" i="109"/>
  <c r="S42" i="109"/>
  <c r="W42" i="109"/>
  <c r="AA42" i="109"/>
  <c r="H108" i="109"/>
  <c r="J108" i="109"/>
  <c r="AF41" i="109"/>
  <c r="AF40" i="109"/>
  <c r="AF37" i="109"/>
  <c r="AF34" i="109"/>
  <c r="V42" i="109"/>
  <c r="AB42" i="109"/>
  <c r="AE39" i="109"/>
  <c r="AE36" i="109"/>
  <c r="AE41" i="109"/>
  <c r="AE40" i="109"/>
  <c r="AE37" i="109"/>
  <c r="AE34" i="109"/>
  <c r="AE38" i="109"/>
  <c r="AE35" i="109"/>
  <c r="F107" i="109"/>
  <c r="N108" i="109"/>
  <c r="T42" i="109"/>
  <c r="Z42" i="109"/>
  <c r="AD42" i="109"/>
  <c r="AE21" i="108"/>
  <c r="AD38" i="108"/>
  <c r="AE20" i="107"/>
  <c r="T39" i="107"/>
  <c r="AB39" i="107"/>
  <c r="Z37" i="108"/>
  <c r="Z38" i="108"/>
  <c r="AF11" i="108"/>
  <c r="AC36" i="108"/>
  <c r="Y39" i="108"/>
  <c r="AF21" i="108"/>
  <c r="AC34" i="108"/>
  <c r="AE10" i="108"/>
  <c r="AF19" i="108"/>
  <c r="U39" i="108"/>
  <c r="W36" i="108"/>
  <c r="T38" i="108"/>
  <c r="Y37" i="108"/>
  <c r="AD34" i="107"/>
  <c r="S38" i="107"/>
  <c r="AC34" i="107"/>
  <c r="V34" i="107"/>
  <c r="AD40" i="108"/>
  <c r="AD42" i="108" s="1"/>
  <c r="AA39" i="108"/>
  <c r="AA35" i="108"/>
  <c r="T35" i="108"/>
  <c r="AB35" i="108"/>
  <c r="AE12" i="108"/>
  <c r="X38" i="108"/>
  <c r="AC37" i="108"/>
  <c r="X40" i="108"/>
  <c r="AE18" i="108"/>
  <c r="S37" i="108"/>
  <c r="AE19" i="108"/>
  <c r="W39" i="108"/>
  <c r="AD38" i="107"/>
  <c r="X35" i="108"/>
  <c r="AF20" i="108"/>
  <c r="AE17" i="108"/>
  <c r="AC40" i="108"/>
  <c r="AA40" i="108"/>
  <c r="AE14" i="108"/>
  <c r="AF14" i="108"/>
  <c r="AE15" i="108"/>
  <c r="V38" i="108"/>
  <c r="AF17" i="108"/>
  <c r="S35" i="108"/>
  <c r="Y36" i="108"/>
  <c r="AC39" i="108"/>
  <c r="AE20" i="108"/>
  <c r="AE13" i="108"/>
  <c r="U36" i="108"/>
  <c r="V36" i="107"/>
  <c r="AD37" i="107"/>
  <c r="AD35" i="107"/>
  <c r="C107" i="107"/>
  <c r="V37" i="107"/>
  <c r="Y37" i="107"/>
  <c r="W34" i="107"/>
  <c r="U40" i="108"/>
  <c r="AF12" i="108"/>
  <c r="AF18" i="108"/>
  <c r="AA38" i="108"/>
  <c r="AE11" i="108"/>
  <c r="AD36" i="107"/>
  <c r="Y34" i="107"/>
  <c r="Z40" i="107"/>
  <c r="AB35" i="107"/>
  <c r="Z36" i="107"/>
  <c r="AD34" i="108"/>
  <c r="U37" i="108"/>
  <c r="AB38" i="108"/>
  <c r="AB40" i="108"/>
  <c r="S38" i="108"/>
  <c r="S40" i="108"/>
  <c r="AA34" i="108"/>
  <c r="Y40" i="108"/>
  <c r="V35" i="108"/>
  <c r="AD35" i="108"/>
  <c r="AF13" i="108"/>
  <c r="AF15" i="108"/>
  <c r="AE16" i="108"/>
  <c r="Z40" i="108"/>
  <c r="F107" i="105"/>
  <c r="AE12" i="107"/>
  <c r="AE16" i="107"/>
  <c r="AF18" i="107"/>
  <c r="S39" i="108"/>
  <c r="S36" i="108"/>
  <c r="W38" i="108"/>
  <c r="W35" i="108"/>
  <c r="H107" i="108"/>
  <c r="V40" i="108"/>
  <c r="Z35" i="108"/>
  <c r="U34" i="108"/>
  <c r="T40" i="108"/>
  <c r="S34" i="108"/>
  <c r="AF16" i="108"/>
  <c r="AA37" i="108"/>
  <c r="AA36" i="108"/>
  <c r="AB34" i="108"/>
  <c r="AB37" i="108"/>
  <c r="W40" i="108"/>
  <c r="W37" i="108"/>
  <c r="W34" i="108"/>
  <c r="Y38" i="108"/>
  <c r="Y35" i="108"/>
  <c r="T37" i="108"/>
  <c r="X37" i="108"/>
  <c r="Y40" i="107"/>
  <c r="AE14" i="107"/>
  <c r="AE18" i="107"/>
  <c r="T38" i="107"/>
  <c r="V38" i="107"/>
  <c r="X36" i="107"/>
  <c r="U37" i="107"/>
  <c r="U38" i="108"/>
  <c r="U35" i="108"/>
  <c r="AC38" i="108"/>
  <c r="AC35" i="108"/>
  <c r="X35" i="107"/>
  <c r="T36" i="107"/>
  <c r="AB36" i="107"/>
  <c r="AC40" i="107"/>
  <c r="E107" i="105"/>
  <c r="V40" i="107"/>
  <c r="Z37" i="107"/>
  <c r="AE10" i="107"/>
  <c r="AF10" i="107"/>
  <c r="AC38" i="107"/>
  <c r="D107" i="105"/>
  <c r="C107" i="105"/>
  <c r="Z34" i="107"/>
  <c r="AE15" i="107"/>
  <c r="S35" i="107"/>
  <c r="U40" i="107"/>
  <c r="AC37" i="107"/>
  <c r="U35" i="107"/>
  <c r="Y35" i="107"/>
  <c r="AC35" i="107"/>
  <c r="AE19" i="107"/>
  <c r="AE21" i="107"/>
  <c r="X40" i="107"/>
  <c r="AB40" i="107"/>
  <c r="X38" i="107"/>
  <c r="Z35" i="107"/>
  <c r="AF35" i="105"/>
  <c r="AE17" i="107"/>
  <c r="AE13" i="107"/>
  <c r="AF15" i="107"/>
  <c r="T40" i="107"/>
  <c r="AE11" i="107"/>
  <c r="V35" i="107"/>
  <c r="AD40" i="107"/>
  <c r="AB38" i="107"/>
  <c r="X39" i="107"/>
  <c r="Z39" i="107"/>
  <c r="W40" i="107"/>
  <c r="D108" i="105"/>
  <c r="F108" i="105"/>
  <c r="C108" i="105"/>
  <c r="E108" i="105"/>
  <c r="U34" i="107"/>
  <c r="T35" i="107"/>
  <c r="Z38" i="107"/>
  <c r="U38" i="107"/>
  <c r="Y38" i="107"/>
  <c r="W37" i="107"/>
  <c r="AF16" i="107"/>
  <c r="AF14" i="107"/>
  <c r="W38" i="107"/>
  <c r="W35" i="107"/>
  <c r="AA35" i="107"/>
  <c r="AA38" i="107"/>
  <c r="Y39" i="107"/>
  <c r="Y36" i="107"/>
  <c r="AC39" i="107"/>
  <c r="AC36" i="107"/>
  <c r="AF19" i="107"/>
  <c r="AF21" i="107"/>
  <c r="T37" i="107"/>
  <c r="T34" i="107"/>
  <c r="AF13" i="107"/>
  <c r="AF17" i="107"/>
  <c r="W39" i="107"/>
  <c r="W36" i="107"/>
  <c r="AA36" i="107"/>
  <c r="AA39" i="107"/>
  <c r="S39" i="107"/>
  <c r="AF20" i="107"/>
  <c r="X37" i="107"/>
  <c r="X34" i="107"/>
  <c r="AB34" i="107"/>
  <c r="AB37" i="107"/>
  <c r="AF11" i="107"/>
  <c r="AF12" i="107"/>
  <c r="AA40" i="107"/>
  <c r="AA42" i="107" s="1"/>
  <c r="AA37" i="107"/>
  <c r="AA34" i="107"/>
  <c r="S37" i="107"/>
  <c r="S40" i="107"/>
  <c r="S34" i="107"/>
  <c r="AF38" i="105"/>
  <c r="T42" i="105"/>
  <c r="V42" i="105"/>
  <c r="U42" i="105"/>
  <c r="W42" i="105"/>
  <c r="Y42" i="105"/>
  <c r="AC42" i="105"/>
  <c r="AF39" i="105"/>
  <c r="AF36" i="105"/>
  <c r="M107" i="105"/>
  <c r="N107" i="105"/>
  <c r="I107" i="105"/>
  <c r="K107" i="105"/>
  <c r="H107" i="105"/>
  <c r="J107" i="105"/>
  <c r="L107" i="105"/>
  <c r="I108" i="105"/>
  <c r="K108" i="105"/>
  <c r="H108" i="105"/>
  <c r="J108" i="105"/>
  <c r="L108" i="105"/>
  <c r="N108" i="105"/>
  <c r="AE38" i="105"/>
  <c r="AE35" i="105"/>
  <c r="AE39" i="105"/>
  <c r="AE36" i="105"/>
  <c r="S42" i="105"/>
  <c r="AA42" i="105"/>
  <c r="X42" i="105"/>
  <c r="AB42" i="105"/>
  <c r="AF41" i="105"/>
  <c r="AF40" i="105"/>
  <c r="AF37" i="105"/>
  <c r="AF34" i="105"/>
  <c r="AE41" i="105"/>
  <c r="AE40" i="105"/>
  <c r="AE37" i="105"/>
  <c r="AE34" i="105"/>
  <c r="Z42" i="105"/>
  <c r="AD42" i="105"/>
  <c r="Z42" i="101"/>
  <c r="U42" i="101"/>
  <c r="W42" i="101"/>
  <c r="X42" i="101"/>
  <c r="Y42" i="101"/>
  <c r="V42" i="101"/>
  <c r="AA42" i="101"/>
  <c r="AD42" i="101"/>
  <c r="AC42" i="101"/>
  <c r="T42" i="101"/>
  <c r="AB42" i="101"/>
  <c r="S42" i="101"/>
  <c r="AF41" i="101"/>
  <c r="AE41" i="101"/>
  <c r="AF23" i="104"/>
  <c r="AF27" i="104"/>
  <c r="H60" i="104"/>
  <c r="C60" i="104"/>
  <c r="AF26" i="104"/>
  <c r="AF24" i="104"/>
  <c r="H59" i="104"/>
  <c r="AF26" i="103"/>
  <c r="AF23" i="103"/>
  <c r="H60" i="94"/>
  <c r="C59" i="104"/>
  <c r="AF27" i="103"/>
  <c r="AF24" i="103"/>
  <c r="M59" i="103"/>
  <c r="D59" i="103"/>
  <c r="H59" i="103"/>
  <c r="L59" i="103"/>
  <c r="E59" i="103"/>
  <c r="G59" i="103"/>
  <c r="I59" i="103"/>
  <c r="K59" i="103"/>
  <c r="F59" i="103"/>
  <c r="J59" i="103"/>
  <c r="N59" i="103"/>
  <c r="AE27" i="104"/>
  <c r="AE24" i="104"/>
  <c r="E60" i="103"/>
  <c r="G60" i="103"/>
  <c r="I60" i="103"/>
  <c r="K60" i="103"/>
  <c r="F60" i="103"/>
  <c r="J60" i="103"/>
  <c r="N60" i="103"/>
  <c r="D60" i="103"/>
  <c r="H60" i="103"/>
  <c r="L60" i="103"/>
  <c r="AF22" i="104"/>
  <c r="AF28" i="104"/>
  <c r="AF25" i="104"/>
  <c r="F60" i="104"/>
  <c r="E60" i="104"/>
  <c r="G60" i="104"/>
  <c r="I60" i="104"/>
  <c r="K60" i="104"/>
  <c r="J60" i="104"/>
  <c r="N60" i="104"/>
  <c r="AE26" i="104"/>
  <c r="AE23" i="104"/>
  <c r="D60" i="104"/>
  <c r="AF35" i="101"/>
  <c r="AF28" i="103"/>
  <c r="AF25" i="103"/>
  <c r="AF22" i="103"/>
  <c r="AE26" i="103"/>
  <c r="AE23" i="103"/>
  <c r="C59" i="103"/>
  <c r="AE28" i="103"/>
  <c r="AE25" i="103"/>
  <c r="AE22" i="103"/>
  <c r="AE27" i="103"/>
  <c r="AE24" i="103"/>
  <c r="F59" i="104"/>
  <c r="M59" i="104"/>
  <c r="J59" i="104"/>
  <c r="E59" i="104"/>
  <c r="G59" i="104"/>
  <c r="I59" i="104"/>
  <c r="K59" i="104"/>
  <c r="N59" i="104"/>
  <c r="AE28" i="104"/>
  <c r="AE25" i="104"/>
  <c r="AE22" i="104"/>
  <c r="D59" i="104"/>
  <c r="AF24" i="100"/>
  <c r="AE27" i="96"/>
  <c r="AF36" i="101"/>
  <c r="AF39" i="101"/>
  <c r="AF38" i="101"/>
  <c r="F108" i="101"/>
  <c r="J108" i="101"/>
  <c r="N108" i="101"/>
  <c r="E108" i="101"/>
  <c r="G108" i="101"/>
  <c r="I108" i="101"/>
  <c r="K108" i="101"/>
  <c r="D108" i="101"/>
  <c r="H108" i="101"/>
  <c r="L108" i="101"/>
  <c r="E107" i="101"/>
  <c r="G107" i="101"/>
  <c r="I107" i="101"/>
  <c r="K107" i="101"/>
  <c r="D107" i="101"/>
  <c r="H107" i="101"/>
  <c r="L107" i="101"/>
  <c r="M107" i="101"/>
  <c r="F107" i="101"/>
  <c r="J107" i="101"/>
  <c r="N107" i="101"/>
  <c r="AE39" i="101"/>
  <c r="AE36" i="101"/>
  <c r="AF23" i="100"/>
  <c r="AE24" i="96"/>
  <c r="AE27" i="100"/>
  <c r="C107" i="101"/>
  <c r="AE40" i="101"/>
  <c r="AE37" i="101"/>
  <c r="AE34" i="101"/>
  <c r="AF40" i="101"/>
  <c r="AF37" i="101"/>
  <c r="AF34" i="101"/>
  <c r="AE38" i="101"/>
  <c r="AE35" i="101"/>
  <c r="AE26" i="97"/>
  <c r="AF27" i="97"/>
  <c r="AE24" i="100"/>
  <c r="AF26" i="100"/>
  <c r="AF27" i="100"/>
  <c r="AF23" i="99"/>
  <c r="AF26" i="99"/>
  <c r="AF24" i="99"/>
  <c r="AF27" i="99"/>
  <c r="AE23" i="97"/>
  <c r="D59" i="100"/>
  <c r="AE27" i="98"/>
  <c r="AF28" i="99"/>
  <c r="AF25" i="99"/>
  <c r="AF22" i="99"/>
  <c r="AE26" i="99"/>
  <c r="AE23" i="99"/>
  <c r="AE27" i="99"/>
  <c r="AE24" i="99"/>
  <c r="AF22" i="100"/>
  <c r="AF28" i="100"/>
  <c r="AF25" i="100"/>
  <c r="N60" i="100"/>
  <c r="J60" i="100"/>
  <c r="F60" i="100"/>
  <c r="E60" i="100"/>
  <c r="G60" i="100"/>
  <c r="I60" i="100"/>
  <c r="K60" i="100"/>
  <c r="AE26" i="100"/>
  <c r="AE23" i="100"/>
  <c r="E60" i="99"/>
  <c r="G60" i="99"/>
  <c r="I60" i="99"/>
  <c r="K60" i="99"/>
  <c r="F60" i="99"/>
  <c r="J60" i="99"/>
  <c r="N60" i="99"/>
  <c r="D60" i="99"/>
  <c r="H60" i="99"/>
  <c r="L60" i="99"/>
  <c r="C60" i="100"/>
  <c r="L60" i="100"/>
  <c r="M59" i="99"/>
  <c r="D59" i="99"/>
  <c r="H59" i="99"/>
  <c r="L59" i="99"/>
  <c r="E59" i="99"/>
  <c r="G59" i="99"/>
  <c r="I59" i="99"/>
  <c r="K59" i="99"/>
  <c r="F59" i="99"/>
  <c r="J59" i="99"/>
  <c r="N59" i="99"/>
  <c r="F59" i="100"/>
  <c r="J59" i="100"/>
  <c r="E59" i="100"/>
  <c r="G59" i="100"/>
  <c r="I59" i="100"/>
  <c r="K59" i="100"/>
  <c r="N59" i="100"/>
  <c r="M59" i="100"/>
  <c r="AE28" i="100"/>
  <c r="AE25" i="100"/>
  <c r="AE22" i="100"/>
  <c r="D60" i="100"/>
  <c r="C59" i="99"/>
  <c r="AE28" i="99"/>
  <c r="AE25" i="99"/>
  <c r="AE22" i="99"/>
  <c r="H60" i="100"/>
  <c r="C59" i="100"/>
  <c r="L59" i="100"/>
  <c r="AF24" i="97"/>
  <c r="AF23" i="98"/>
  <c r="AF27" i="98"/>
  <c r="AE27" i="97"/>
  <c r="AE24" i="97"/>
  <c r="AF28" i="97"/>
  <c r="AF25" i="97"/>
  <c r="AF22" i="97"/>
  <c r="C60" i="98"/>
  <c r="E60" i="98"/>
  <c r="G60" i="98"/>
  <c r="I60" i="98"/>
  <c r="K60" i="98"/>
  <c r="D60" i="98"/>
  <c r="F60" i="98"/>
  <c r="H60" i="98"/>
  <c r="J60" i="98"/>
  <c r="L60" i="98"/>
  <c r="N60" i="98"/>
  <c r="AE26" i="98"/>
  <c r="AE23" i="98"/>
  <c r="AE28" i="97"/>
  <c r="AE25" i="97"/>
  <c r="AE22" i="97"/>
  <c r="AF28" i="98"/>
  <c r="AF25" i="98"/>
  <c r="AF22" i="98"/>
  <c r="AF26" i="98"/>
  <c r="M59" i="97"/>
  <c r="D59" i="97"/>
  <c r="F59" i="97"/>
  <c r="H59" i="97"/>
  <c r="J59" i="97"/>
  <c r="L59" i="97"/>
  <c r="N59" i="97"/>
  <c r="C59" i="97"/>
  <c r="E59" i="97"/>
  <c r="G59" i="97"/>
  <c r="I59" i="97"/>
  <c r="K59" i="97"/>
  <c r="AF26" i="97"/>
  <c r="AF23" i="97"/>
  <c r="AE28" i="98"/>
  <c r="AE25" i="98"/>
  <c r="AE22" i="98"/>
  <c r="D60" i="97"/>
  <c r="F60" i="97"/>
  <c r="H60" i="97"/>
  <c r="J60" i="97"/>
  <c r="L60" i="97"/>
  <c r="N60" i="97"/>
  <c r="C60" i="97"/>
  <c r="E60" i="97"/>
  <c r="G60" i="97"/>
  <c r="I60" i="97"/>
  <c r="K60" i="97"/>
  <c r="C59" i="98"/>
  <c r="E59" i="98"/>
  <c r="G59" i="98"/>
  <c r="I59" i="98"/>
  <c r="K59" i="98"/>
  <c r="D59" i="98"/>
  <c r="F59" i="98"/>
  <c r="H59" i="98"/>
  <c r="J59" i="98"/>
  <c r="L59" i="98"/>
  <c r="N59" i="98"/>
  <c r="M59" i="98"/>
  <c r="AF24" i="98"/>
  <c r="AE27" i="95"/>
  <c r="AE24" i="95"/>
  <c r="AF23" i="94"/>
  <c r="AF27" i="94"/>
  <c r="AF26" i="96"/>
  <c r="AF24" i="94"/>
  <c r="AF26" i="94"/>
  <c r="AF26" i="95"/>
  <c r="AF28" i="95"/>
  <c r="AF25" i="95"/>
  <c r="AF22" i="95"/>
  <c r="AE28" i="96"/>
  <c r="AE25" i="96"/>
  <c r="AE22" i="96"/>
  <c r="C60" i="95"/>
  <c r="E60" i="95"/>
  <c r="G60" i="95"/>
  <c r="I60" i="95"/>
  <c r="K60" i="95"/>
  <c r="D60" i="95"/>
  <c r="F60" i="95"/>
  <c r="H60" i="95"/>
  <c r="J60" i="95"/>
  <c r="L60" i="95"/>
  <c r="N60" i="95"/>
  <c r="AE26" i="95"/>
  <c r="AE23" i="95"/>
  <c r="C59" i="96"/>
  <c r="E59" i="96"/>
  <c r="G59" i="96"/>
  <c r="I59" i="96"/>
  <c r="K59" i="96"/>
  <c r="D59" i="96"/>
  <c r="F59" i="96"/>
  <c r="H59" i="96"/>
  <c r="J59" i="96"/>
  <c r="L59" i="96"/>
  <c r="N59" i="96"/>
  <c r="M59" i="96"/>
  <c r="AF23" i="95"/>
  <c r="AF23" i="96"/>
  <c r="L60" i="94"/>
  <c r="M59" i="95"/>
  <c r="C59" i="95"/>
  <c r="E59" i="95"/>
  <c r="G59" i="95"/>
  <c r="I59" i="95"/>
  <c r="K59" i="95"/>
  <c r="D59" i="95"/>
  <c r="F59" i="95"/>
  <c r="H59" i="95"/>
  <c r="J59" i="95"/>
  <c r="L59" i="95"/>
  <c r="N59" i="95"/>
  <c r="AF27" i="95"/>
  <c r="AF24" i="95"/>
  <c r="C60" i="96"/>
  <c r="E60" i="96"/>
  <c r="G60" i="96"/>
  <c r="I60" i="96"/>
  <c r="K60" i="96"/>
  <c r="D60" i="96"/>
  <c r="F60" i="96"/>
  <c r="H60" i="96"/>
  <c r="J60" i="96"/>
  <c r="L60" i="96"/>
  <c r="N60" i="96"/>
  <c r="AE26" i="96"/>
  <c r="AE23" i="96"/>
  <c r="AE28" i="95"/>
  <c r="AE25" i="95"/>
  <c r="AE22" i="95"/>
  <c r="AF28" i="96"/>
  <c r="AF25" i="96"/>
  <c r="AF22" i="96"/>
  <c r="AF27" i="96"/>
  <c r="AF24" i="96"/>
  <c r="E59" i="94"/>
  <c r="G59" i="94"/>
  <c r="I59" i="94"/>
  <c r="K59" i="94"/>
  <c r="F59" i="94"/>
  <c r="J59" i="94"/>
  <c r="N59" i="94"/>
  <c r="M59" i="94"/>
  <c r="AE28" i="94"/>
  <c r="AE25" i="94"/>
  <c r="AE22" i="94"/>
  <c r="D59" i="94"/>
  <c r="AF22" i="94"/>
  <c r="AF28" i="94"/>
  <c r="AF25" i="94"/>
  <c r="F60" i="94"/>
  <c r="J60" i="94"/>
  <c r="N60" i="94"/>
  <c r="E60" i="94"/>
  <c r="G60" i="94"/>
  <c r="I60" i="94"/>
  <c r="K60" i="94"/>
  <c r="AE26" i="94"/>
  <c r="AE23" i="94"/>
  <c r="D60" i="94"/>
  <c r="AE27" i="94"/>
  <c r="AE24" i="94"/>
  <c r="C59" i="94"/>
  <c r="L59" i="94"/>
  <c r="T22" i="93"/>
  <c r="X22" i="93"/>
  <c r="AB22" i="93"/>
  <c r="U22" i="93"/>
  <c r="Y22" i="93"/>
  <c r="AC22" i="93"/>
  <c r="Z24" i="93"/>
  <c r="W26" i="93"/>
  <c r="W23" i="93"/>
  <c r="AA26" i="93"/>
  <c r="AA23" i="93"/>
  <c r="W27" i="93"/>
  <c r="W24" i="93"/>
  <c r="AA27" i="93"/>
  <c r="AA24" i="93"/>
  <c r="T26" i="93"/>
  <c r="T23" i="93"/>
  <c r="AB26" i="93"/>
  <c r="AB23" i="93"/>
  <c r="T27" i="93"/>
  <c r="T24" i="93"/>
  <c r="AB27" i="93"/>
  <c r="AB24" i="93"/>
  <c r="V26" i="93"/>
  <c r="V23" i="93"/>
  <c r="AD27" i="93"/>
  <c r="AD24" i="93"/>
  <c r="Z22" i="93"/>
  <c r="AD22" i="93"/>
  <c r="W22" i="93"/>
  <c r="AA22" i="93"/>
  <c r="U26" i="93"/>
  <c r="U23" i="93"/>
  <c r="Y26" i="93"/>
  <c r="Y23" i="93"/>
  <c r="AC26" i="93"/>
  <c r="AC23" i="93"/>
  <c r="U27" i="93"/>
  <c r="U24" i="93"/>
  <c r="Y27" i="93"/>
  <c r="Y24" i="93"/>
  <c r="AC27" i="93"/>
  <c r="AC24" i="93"/>
  <c r="X23" i="93"/>
  <c r="X24" i="93"/>
  <c r="AD23" i="93"/>
  <c r="V24" i="93"/>
  <c r="Z23" i="93"/>
  <c r="S27" i="93"/>
  <c r="S24" i="93"/>
  <c r="S26" i="93"/>
  <c r="S23" i="93"/>
  <c r="S22" i="93"/>
  <c r="Z27" i="93"/>
  <c r="T28" i="93"/>
  <c r="T25" i="93"/>
  <c r="X28" i="93"/>
  <c r="X25" i="93"/>
  <c r="AB28" i="93"/>
  <c r="AB25" i="93"/>
  <c r="U28" i="93"/>
  <c r="U25" i="93"/>
  <c r="Y28" i="93"/>
  <c r="Y25" i="93"/>
  <c r="AC28" i="93"/>
  <c r="AC25" i="93"/>
  <c r="V28" i="93"/>
  <c r="V25" i="93"/>
  <c r="Z28" i="93"/>
  <c r="Z25" i="93"/>
  <c r="AD28" i="93"/>
  <c r="AD25" i="93"/>
  <c r="W28" i="93"/>
  <c r="W25" i="93"/>
  <c r="AA28" i="93"/>
  <c r="AA25" i="93"/>
  <c r="S28" i="93"/>
  <c r="S25" i="93"/>
  <c r="X26" i="93"/>
  <c r="X27" i="93"/>
  <c r="AD26" i="93"/>
  <c r="V27" i="93"/>
  <c r="Z26" i="93"/>
  <c r="AF10" i="93"/>
  <c r="AF16" i="93"/>
  <c r="AF18" i="93"/>
  <c r="AF14" i="93"/>
  <c r="AF20" i="93"/>
  <c r="AF13" i="93"/>
  <c r="AF11" i="93"/>
  <c r="AF12" i="93"/>
  <c r="AF15" i="93"/>
  <c r="AF17" i="93"/>
  <c r="AF19" i="93"/>
  <c r="P58" i="93"/>
  <c r="C59" i="93" s="1"/>
  <c r="AF21" i="93"/>
  <c r="AE20" i="93"/>
  <c r="AE18" i="93"/>
  <c r="AE16" i="93"/>
  <c r="AE14" i="93"/>
  <c r="AE12" i="93"/>
  <c r="AE11" i="93"/>
  <c r="O58" i="93"/>
  <c r="C60" i="93" s="1"/>
  <c r="AE10" i="93"/>
  <c r="AE21" i="93"/>
  <c r="AE19" i="93"/>
  <c r="AE17" i="93"/>
  <c r="AE15" i="93"/>
  <c r="AE13" i="93"/>
  <c r="AC42" i="107" l="1"/>
  <c r="V42" i="108"/>
  <c r="AE41" i="107"/>
  <c r="S42" i="108"/>
  <c r="Y42" i="108"/>
  <c r="S42" i="107"/>
  <c r="Z41" i="111"/>
  <c r="Z42" i="111" s="1"/>
  <c r="AC42" i="108"/>
  <c r="U41" i="111"/>
  <c r="V41" i="111"/>
  <c r="W42" i="107"/>
  <c r="T42" i="108"/>
  <c r="AB42" i="108"/>
  <c r="W42" i="108"/>
  <c r="AE42" i="107"/>
  <c r="AE41" i="108"/>
  <c r="AE42" i="108" s="1"/>
  <c r="S41" i="111"/>
  <c r="Z42" i="107"/>
  <c r="U42" i="108"/>
  <c r="AD42" i="107"/>
  <c r="AB42" i="107"/>
  <c r="T41" i="111"/>
  <c r="AF41" i="108"/>
  <c r="AD41" i="111"/>
  <c r="AD42" i="111" s="1"/>
  <c r="X41" i="111"/>
  <c r="Y42" i="107"/>
  <c r="U42" i="107"/>
  <c r="T42" i="107"/>
  <c r="AA42" i="108"/>
  <c r="AA41" i="111"/>
  <c r="AB41" i="111"/>
  <c r="AB42" i="111" s="1"/>
  <c r="X42" i="107"/>
  <c r="V42" i="107"/>
  <c r="AC41" i="111"/>
  <c r="AF41" i="107"/>
  <c r="Y41" i="111"/>
  <c r="W41" i="111"/>
  <c r="Z42" i="108"/>
  <c r="X42" i="108"/>
  <c r="O106" i="111"/>
  <c r="K108" i="111" s="1"/>
  <c r="P106" i="111"/>
  <c r="N107" i="111" s="1"/>
  <c r="G59" i="93"/>
  <c r="AD37" i="111"/>
  <c r="X34" i="111"/>
  <c r="AD39" i="111"/>
  <c r="T34" i="111"/>
  <c r="W37" i="111"/>
  <c r="X36" i="111"/>
  <c r="Z39" i="111"/>
  <c r="AD38" i="111"/>
  <c r="V40" i="111"/>
  <c r="AA35" i="111"/>
  <c r="AF12" i="111"/>
  <c r="S34" i="111"/>
  <c r="T39" i="111"/>
  <c r="AC34" i="111"/>
  <c r="AD34" i="111"/>
  <c r="T37" i="111"/>
  <c r="AE15" i="111"/>
  <c r="AF19" i="111"/>
  <c r="AE12" i="111"/>
  <c r="AA36" i="111"/>
  <c r="AF14" i="111"/>
  <c r="AE14" i="111"/>
  <c r="AF11" i="111"/>
  <c r="AE18" i="111"/>
  <c r="Z37" i="111"/>
  <c r="T38" i="111"/>
  <c r="AF10" i="111"/>
  <c r="W36" i="111"/>
  <c r="Y40" i="111"/>
  <c r="U36" i="111"/>
  <c r="Z36" i="111"/>
  <c r="V35" i="111"/>
  <c r="AB40" i="111"/>
  <c r="X39" i="111"/>
  <c r="S37" i="111"/>
  <c r="AB36" i="111"/>
  <c r="AE20" i="111"/>
  <c r="AE10" i="111"/>
  <c r="X35" i="111"/>
  <c r="S40" i="111"/>
  <c r="Z38" i="111"/>
  <c r="AE13" i="111"/>
  <c r="V34" i="111"/>
  <c r="W35" i="111"/>
  <c r="AC35" i="111"/>
  <c r="AB38" i="111"/>
  <c r="W40" i="111"/>
  <c r="V39" i="111"/>
  <c r="AD40" i="111"/>
  <c r="X40" i="111"/>
  <c r="V38" i="111"/>
  <c r="AB39" i="111"/>
  <c r="AB37" i="111"/>
  <c r="W34" i="111"/>
  <c r="AF15" i="111"/>
  <c r="AF13" i="111"/>
  <c r="AE21" i="111"/>
  <c r="W38" i="111"/>
  <c r="X38" i="111"/>
  <c r="AF20" i="111"/>
  <c r="S36" i="111"/>
  <c r="AE11" i="111"/>
  <c r="U39" i="111"/>
  <c r="Z35" i="111"/>
  <c r="Z40" i="111"/>
  <c r="V37" i="111"/>
  <c r="T36" i="111"/>
  <c r="T40" i="111"/>
  <c r="AB35" i="111"/>
  <c r="AA38" i="111"/>
  <c r="V36" i="111"/>
  <c r="AD35" i="111"/>
  <c r="X37" i="111"/>
  <c r="AC39" i="111"/>
  <c r="Y39" i="111"/>
  <c r="U35" i="111"/>
  <c r="AD36" i="111"/>
  <c r="AE19" i="111"/>
  <c r="U40" i="111"/>
  <c r="Z34" i="111"/>
  <c r="T35" i="111"/>
  <c r="AB34" i="111"/>
  <c r="U34" i="111"/>
  <c r="AF17" i="111"/>
  <c r="AC36" i="111"/>
  <c r="Y36" i="111"/>
  <c r="U37" i="111"/>
  <c r="AA39" i="111"/>
  <c r="S39" i="111"/>
  <c r="S38" i="111"/>
  <c r="Y38" i="111"/>
  <c r="AF16" i="111"/>
  <c r="AF21" i="111"/>
  <c r="W39" i="111"/>
  <c r="AE17" i="111"/>
  <c r="AC38" i="111"/>
  <c r="U38" i="111"/>
  <c r="AC40" i="111"/>
  <c r="Y37" i="111"/>
  <c r="AE16" i="111"/>
  <c r="Y35" i="111"/>
  <c r="S35" i="111"/>
  <c r="AF18" i="111"/>
  <c r="Y34" i="111"/>
  <c r="AC37" i="111"/>
  <c r="AA37" i="111"/>
  <c r="AA40" i="111"/>
  <c r="AA34" i="111"/>
  <c r="M107" i="107"/>
  <c r="AF39" i="108"/>
  <c r="F108" i="107"/>
  <c r="J107" i="108"/>
  <c r="AF42" i="110"/>
  <c r="AE42" i="110"/>
  <c r="AE42" i="109"/>
  <c r="AF42" i="109"/>
  <c r="K107" i="107"/>
  <c r="C108" i="107"/>
  <c r="L107" i="108"/>
  <c r="G107" i="108"/>
  <c r="L107" i="107"/>
  <c r="G108" i="108"/>
  <c r="AE39" i="108"/>
  <c r="AE37" i="108"/>
  <c r="F108" i="108"/>
  <c r="AE36" i="108"/>
  <c r="AF36" i="108"/>
  <c r="AF34" i="108"/>
  <c r="C108" i="108"/>
  <c r="K108" i="108"/>
  <c r="N108" i="108"/>
  <c r="AF40" i="108"/>
  <c r="K108" i="107"/>
  <c r="L108" i="108"/>
  <c r="D108" i="108"/>
  <c r="I108" i="108"/>
  <c r="E108" i="108"/>
  <c r="J108" i="108"/>
  <c r="AF37" i="108"/>
  <c r="AE38" i="108"/>
  <c r="AE39" i="107"/>
  <c r="AF35" i="108"/>
  <c r="AE35" i="108"/>
  <c r="D107" i="107"/>
  <c r="G107" i="107"/>
  <c r="J107" i="107"/>
  <c r="N108" i="107"/>
  <c r="G108" i="107"/>
  <c r="D107" i="108"/>
  <c r="M107" i="108"/>
  <c r="K107" i="108"/>
  <c r="L108" i="107"/>
  <c r="AE40" i="108"/>
  <c r="AF40" i="107"/>
  <c r="F107" i="107"/>
  <c r="I107" i="107"/>
  <c r="E107" i="107"/>
  <c r="N107" i="107"/>
  <c r="C107" i="108"/>
  <c r="AE34" i="108"/>
  <c r="N107" i="108"/>
  <c r="F107" i="108"/>
  <c r="I107" i="108"/>
  <c r="E107" i="108"/>
  <c r="H107" i="107"/>
  <c r="AF38" i="108"/>
  <c r="AE37" i="107"/>
  <c r="AE35" i="107"/>
  <c r="AF34" i="107"/>
  <c r="AE40" i="107"/>
  <c r="AE38" i="107"/>
  <c r="AE36" i="107"/>
  <c r="AE34" i="107"/>
  <c r="D108" i="107"/>
  <c r="J108" i="107"/>
  <c r="I108" i="107"/>
  <c r="E108" i="107"/>
  <c r="AF37" i="107"/>
  <c r="AF35" i="107"/>
  <c r="AF38" i="107"/>
  <c r="AF36" i="107"/>
  <c r="AF39" i="107"/>
  <c r="AE42" i="105"/>
  <c r="AF42" i="105"/>
  <c r="AE42" i="101"/>
  <c r="AF42" i="101"/>
  <c r="M59" i="93"/>
  <c r="N60" i="93"/>
  <c r="G60" i="93"/>
  <c r="E60" i="93"/>
  <c r="H60" i="93"/>
  <c r="J60" i="93"/>
  <c r="F60" i="93"/>
  <c r="D60" i="93"/>
  <c r="K60" i="93"/>
  <c r="L60" i="93"/>
  <c r="I60" i="93"/>
  <c r="AE24" i="93"/>
  <c r="AE22" i="93"/>
  <c r="AF23" i="93"/>
  <c r="AE23" i="93"/>
  <c r="AF24" i="93"/>
  <c r="AF22" i="93"/>
  <c r="AE26" i="93"/>
  <c r="AF27" i="93"/>
  <c r="AF28" i="93"/>
  <c r="AF25" i="93"/>
  <c r="AE27" i="93"/>
  <c r="AE28" i="93"/>
  <c r="AE25" i="93"/>
  <c r="AF26" i="93"/>
  <c r="D59" i="93"/>
  <c r="L59" i="93"/>
  <c r="F59" i="93"/>
  <c r="J59" i="93"/>
  <c r="E59" i="93"/>
  <c r="H59" i="93"/>
  <c r="K59" i="93"/>
  <c r="N59" i="93"/>
  <c r="I59" i="93"/>
  <c r="AE41" i="111" l="1"/>
  <c r="AF34" i="111"/>
  <c r="AF41" i="111"/>
  <c r="W42" i="111"/>
  <c r="Y42" i="111"/>
  <c r="AF42" i="108"/>
  <c r="T42" i="111"/>
  <c r="AF42" i="107"/>
  <c r="AA42" i="111"/>
  <c r="AC42" i="111"/>
  <c r="V42" i="111"/>
  <c r="X42" i="111"/>
  <c r="S42" i="111"/>
  <c r="U42" i="111"/>
  <c r="AF37" i="111"/>
  <c r="K107" i="111"/>
  <c r="E108" i="111"/>
  <c r="AE34" i="111"/>
  <c r="F108" i="111"/>
  <c r="AE39" i="111"/>
  <c r="AE37" i="111"/>
  <c r="H107" i="111"/>
  <c r="F107" i="111"/>
  <c r="E107" i="111"/>
  <c r="C107" i="111"/>
  <c r="I107" i="111"/>
  <c r="AE40" i="111"/>
  <c r="AF40" i="111"/>
  <c r="N108" i="111"/>
  <c r="H108" i="111"/>
  <c r="C108" i="111"/>
  <c r="AE35" i="111"/>
  <c r="AE36" i="111"/>
  <c r="AF36" i="111"/>
  <c r="M107" i="111"/>
  <c r="D107" i="111"/>
  <c r="L107" i="111"/>
  <c r="G107" i="111"/>
  <c r="J107" i="111"/>
  <c r="AF38" i="111"/>
  <c r="AF39" i="111"/>
  <c r="AE38" i="111"/>
  <c r="J108" i="111"/>
  <c r="I108" i="111"/>
  <c r="D108" i="111"/>
  <c r="L108" i="111"/>
  <c r="G108" i="111"/>
  <c r="AF35" i="111"/>
  <c r="AE42" i="111" l="1"/>
  <c r="AF42" i="111"/>
</calcChain>
</file>

<file path=xl/sharedStrings.xml><?xml version="1.0" encoding="utf-8"?>
<sst xmlns="http://schemas.openxmlformats.org/spreadsheetml/2006/main" count="2318" uniqueCount="173">
  <si>
    <t>Time / Veh Type</t>
  </si>
  <si>
    <t xml:space="preserve">  Location</t>
  </si>
  <si>
    <t xml:space="preserve">  Dir. To</t>
  </si>
  <si>
    <t>Date</t>
  </si>
  <si>
    <t>Dir. From</t>
  </si>
  <si>
    <t>Surveyor</t>
  </si>
  <si>
    <t>0700-0800</t>
  </si>
  <si>
    <t>0800-0900</t>
  </si>
  <si>
    <t>0900-1000</t>
  </si>
  <si>
    <t>1000-1100</t>
  </si>
  <si>
    <t>1100-1200</t>
  </si>
  <si>
    <t>1200-1300</t>
  </si>
  <si>
    <t>1300-1400</t>
  </si>
  <si>
    <t>1400-1500</t>
  </si>
  <si>
    <t>1500-1600</t>
  </si>
  <si>
    <t>1600-1700</t>
  </si>
  <si>
    <t>1700-1800</t>
  </si>
  <si>
    <t>12 Hours</t>
  </si>
  <si>
    <t>Totals</t>
  </si>
  <si>
    <t>Time</t>
  </si>
  <si>
    <t>1800-1900</t>
  </si>
  <si>
    <t>Supervisor</t>
  </si>
  <si>
    <t>Total All</t>
  </si>
  <si>
    <t>Consultancy services for Preparation of Expressway Development Master Plan (EDMP) for Uganda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</si>
  <si>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</si>
  <si>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</si>
  <si>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</si>
  <si>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</si>
  <si>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</si>
  <si>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</si>
  <si>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</si>
  <si>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</si>
  <si>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</si>
  <si>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</si>
  <si>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11. Motorcycles</t>
  </si>
  <si>
    <t>12. Tractors, Graders</t>
  </si>
  <si>
    <t>Total Excl M/Cycles</t>
  </si>
  <si>
    <t>07.00 - 07.15</t>
  </si>
  <si>
    <t>07.15 - 07.30</t>
  </si>
  <si>
    <t>07.30 - 07.45</t>
  </si>
  <si>
    <t>07.45 - 08.00</t>
  </si>
  <si>
    <t>08.00 - 08.15</t>
  </si>
  <si>
    <t>08.15 - 08.30</t>
  </si>
  <si>
    <t>08.30 - 08.45</t>
  </si>
  <si>
    <t>08.45 - 9.00</t>
  </si>
  <si>
    <t>09.00 - 09.15</t>
  </si>
  <si>
    <t>09.15 - 09.30</t>
  </si>
  <si>
    <t>09.30 - 09.45</t>
  </si>
  <si>
    <t>09.45 - 10.00</t>
  </si>
  <si>
    <t>10.00 - 10.15</t>
  </si>
  <si>
    <t>10.15 - 10.30</t>
  </si>
  <si>
    <t>10.30 - 10.45</t>
  </si>
  <si>
    <t>10.45 - 11.00</t>
  </si>
  <si>
    <t>11.00 - 11.15</t>
  </si>
  <si>
    <t>11.15 - 11.30</t>
  </si>
  <si>
    <t>11.30 - 11.45</t>
  </si>
  <si>
    <t>11.45 - 12.00</t>
  </si>
  <si>
    <t>12.00 - 12.15</t>
  </si>
  <si>
    <t>12.15 - 12.30</t>
  </si>
  <si>
    <t>12.30 - 12.45</t>
  </si>
  <si>
    <t>12.45 - 13.00</t>
  </si>
  <si>
    <t>13.00 - 13.15</t>
  </si>
  <si>
    <t>13.15 - 13.30</t>
  </si>
  <si>
    <t>13.30 - 13.45</t>
  </si>
  <si>
    <t>13.45 - 14.00</t>
  </si>
  <si>
    <t>14.00 - 14.15</t>
  </si>
  <si>
    <t>14.15 - 14.30</t>
  </si>
  <si>
    <t>14.30 - 14.45</t>
  </si>
  <si>
    <t>14.45 - 15.00</t>
  </si>
  <si>
    <t>15.00 - 15.15</t>
  </si>
  <si>
    <t>15.15 - 15.30</t>
  </si>
  <si>
    <t>15.30 - 15.45</t>
  </si>
  <si>
    <t>15.45 - 16.00</t>
  </si>
  <si>
    <t>16.00 - 16.15</t>
  </si>
  <si>
    <t>16.15 -16.30</t>
  </si>
  <si>
    <t>16.30 -16.45</t>
  </si>
  <si>
    <t>16.45 -17.00</t>
  </si>
  <si>
    <t>17.00 -17.15</t>
  </si>
  <si>
    <t>17.15 -17.30</t>
  </si>
  <si>
    <t>17.30 -17.45</t>
  </si>
  <si>
    <t>17.45 -18.00</t>
  </si>
  <si>
    <t>18.00 - 18.15</t>
  </si>
  <si>
    <t>18.15 - 18.30</t>
  </si>
  <si>
    <t>18.30 - 18.45</t>
  </si>
  <si>
    <t>18.45 - 19.00</t>
  </si>
  <si>
    <t>AM Period</t>
  </si>
  <si>
    <t>IP Period</t>
  </si>
  <si>
    <t>PM Period</t>
  </si>
  <si>
    <t>SUMMARY TRAFFIC VOLUMES</t>
  </si>
  <si>
    <t>Total Excl M/ Cycles</t>
  </si>
  <si>
    <t>AM Peak Hr</t>
  </si>
  <si>
    <t>IP Peak Hr</t>
  </si>
  <si>
    <t>PM Peak Hr</t>
  </si>
  <si>
    <t>%ges + MCs</t>
  </si>
  <si>
    <t>%ges w/o MCs</t>
  </si>
  <si>
    <t>MANUAL CLASSIFIED COUNT (MCC)</t>
  </si>
  <si>
    <t>ROAD NAME:</t>
  </si>
  <si>
    <t>12. Tractors</t>
  </si>
  <si>
    <t>11. Motor cycles</t>
  </si>
  <si>
    <t>19.00 - 19.15</t>
  </si>
  <si>
    <t>19.15 - 19.30</t>
  </si>
  <si>
    <t>19.30 - 19.45</t>
  </si>
  <si>
    <t>19.45 - 20.00</t>
  </si>
  <si>
    <t>21.00 - 21.15</t>
  </si>
  <si>
    <t>21.15 - 21.30</t>
  </si>
  <si>
    <t>21.30 - 21.45</t>
  </si>
  <si>
    <t>21.45 - 22.00</t>
  </si>
  <si>
    <t>20.00 - 20.15</t>
  </si>
  <si>
    <t>20.15 - 20.30</t>
  </si>
  <si>
    <t>20.30 - 20.45</t>
  </si>
  <si>
    <t>22.00 - 22.15</t>
  </si>
  <si>
    <t>22.15 - 22.30</t>
  </si>
  <si>
    <t>22.30 - 22.45</t>
  </si>
  <si>
    <t>22.45 - 23.00</t>
  </si>
  <si>
    <t>23.00 - 23.15</t>
  </si>
  <si>
    <t>23.15 - 23.30</t>
  </si>
  <si>
    <t>23.30 - 23.45</t>
  </si>
  <si>
    <t>23.45 - 00.00</t>
  </si>
  <si>
    <t>00.00 - 00.15</t>
  </si>
  <si>
    <t>00.15 - 00.30</t>
  </si>
  <si>
    <t>00.30 - 00.45</t>
  </si>
  <si>
    <t>00.45 - 01.00</t>
  </si>
  <si>
    <t>01.00 - 01.15</t>
  </si>
  <si>
    <t>01.15 - 01.30</t>
  </si>
  <si>
    <t>01.30 - 01.45</t>
  </si>
  <si>
    <t>01.45 - 02.00</t>
  </si>
  <si>
    <t>02.00 - 02.15</t>
  </si>
  <si>
    <t>02.15 - 02.30</t>
  </si>
  <si>
    <t>02.30 - 02.45</t>
  </si>
  <si>
    <t>02.45 - 03.00</t>
  </si>
  <si>
    <t>03.00 - 03.15</t>
  </si>
  <si>
    <t>03.15 - 03.30</t>
  </si>
  <si>
    <t>03.30 - 03.45</t>
  </si>
  <si>
    <t>03.45 - 04.00</t>
  </si>
  <si>
    <t>04.00 - 04.15</t>
  </si>
  <si>
    <t>04.15 - 04.30</t>
  </si>
  <si>
    <t>04.30 - 04.45</t>
  </si>
  <si>
    <t>04.45 - 05.00</t>
  </si>
  <si>
    <t>05.00 - 05.15</t>
  </si>
  <si>
    <t>05.15 - 05.30</t>
  </si>
  <si>
    <t>05.30 - 05.45</t>
  </si>
  <si>
    <t>05.45 - 06.00</t>
  </si>
  <si>
    <t>06.00 - 06.15</t>
  </si>
  <si>
    <t>06.15 - 06.30</t>
  </si>
  <si>
    <t>06.30 - 06.45</t>
  </si>
  <si>
    <t>06.45 - 07.00</t>
  </si>
  <si>
    <t>1900-2000</t>
  </si>
  <si>
    <t>2000-2100</t>
  </si>
  <si>
    <t>2100-2200</t>
  </si>
  <si>
    <t>2200-2300</t>
  </si>
  <si>
    <t>2300-0000</t>
  </si>
  <si>
    <t>0000-0100</t>
  </si>
  <si>
    <t>0100-0200</t>
  </si>
  <si>
    <t>0200-0300</t>
  </si>
  <si>
    <t>0300-0400</t>
  </si>
  <si>
    <t>0400-0500</t>
  </si>
  <si>
    <t>0500-0600</t>
  </si>
  <si>
    <t>0600-0700</t>
  </si>
  <si>
    <t>20.45 - 21.00</t>
  </si>
  <si>
    <t>24 Hrs/ADT</t>
  </si>
  <si>
    <t>NEF</t>
  </si>
  <si>
    <t>BOTH DIRECTIONS</t>
  </si>
  <si>
    <t>22.07.19</t>
  </si>
  <si>
    <t>23.07.19</t>
  </si>
  <si>
    <t>27.07.19</t>
  </si>
  <si>
    <t>28.07.19</t>
  </si>
  <si>
    <t>AVERAGE WEEK</t>
  </si>
  <si>
    <t>Nsambya</t>
  </si>
  <si>
    <t>Clocktower</t>
  </si>
  <si>
    <t>1.10.19</t>
  </si>
  <si>
    <t>7.8.19</t>
  </si>
  <si>
    <t>S</t>
  </si>
  <si>
    <t>24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</si>
</sst>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_);_(* \(#,##0\);_(* &quot;-&quot;_);_(@_)"/>
    <numFmt numFmtId="165" formatCode="0.0%"/>
    <numFmt numFmtId="166" formatCode="0.00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6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9FCD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164" fontId="3" fillId="0" borderId="0" applyFont="0" applyFill="0" applyBorder="0" applyAlignment="0" applyProtection="0"/>
  </cellStyleXfs>
  <cellXfs count="69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3" borderId="4" xfId="0" applyFont="1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/>
    </xf>
    <xf numFmtId="1" fontId="1" fillId="3" borderId="1" xfId="0" applyNumberFormat="1" applyFont="1" applyFill="1" applyBorder="1" applyAlignment="1">
      <alignment horizontal="center"/>
    </xf>
    <xf numFmtId="0" fontId="0" fillId="0" borderId="5" xfId="0" applyFont="1" applyFill="1" applyBorder="1"/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3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5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6" fontId="1" fillId="0" borderId="1" xfId="0" applyNumberFormat="1" applyFont="1" applyBorder="1" applyAlignment="1">
      <alignment horizontal="center"/>
    </xf>
    <xf numFmtId="1" fontId="0" fillId="0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166" fontId="1" fillId="3" borderId="1" xfId="0" applyNumberFormat="1" applyFont="1" applyFill="1" applyBorder="1" applyAlignment="1">
      <alignment horizontal="center"/>
    </xf>
    <xf numFmtId="164" fontId="1" fillId="0" borderId="1" xfId="2" applyFont="1" applyBorder="1" applyAlignment="1">
      <alignment horizontal="center"/>
    </xf>
    <xf numFmtId="164" fontId="1" fillId="3" borderId="1" xfId="2" applyFont="1" applyFill="1" applyBorder="1" applyAlignment="1">
      <alignment horizontal="center"/>
    </xf>
    <xf numFmtId="0" fontId="8" fillId="2" borderId="2" xfId="0" applyFont="1" applyFill="1" applyBorder="1" applyAlignment="1">
      <alignment horizontal="left" vertical="center" wrapText="1"/>
    </xf>
    <xf numFmtId="0" fontId="8" fillId="2" borderId="3" xfId="0" applyFont="1" applyFill="1" applyBorder="1" applyAlignment="1">
      <alignment horizontal="left" vertical="center" wrapText="1"/>
    </xf>
    <xf numFmtId="0" fontId="10" fillId="0" borderId="6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8" fillId="0" borderId="2" xfId="0" applyFont="1" applyFill="1" applyBorder="1" applyAlignment="1">
      <alignment horizontal="left" vertical="center" wrapText="1"/>
    </xf>
    <xf numFmtId="0" fontId="8" fillId="0" borderId="3" xfId="0" applyFont="1" applyFill="1" applyBorder="1" applyAlignment="1">
      <alignment horizontal="left" vertical="center" wrapText="1"/>
    </xf>
    <xf numFmtId="0" fontId="2" fillId="0" borderId="9" xfId="0" applyFont="1" applyFill="1" applyBorder="1" applyAlignment="1">
      <alignment horizont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5" fillId="0" borderId="2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 wrapText="1"/>
    </xf>
  </cellXfs>
  <cellStyles count="3">
    <cellStyle name="Comma [0]" xfId="2" builtinId="6"/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F9FCD2"/>
      <color rgb="FFF0F2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'5.8 KIKORONGO-BWERA'!$AE$9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'5.8 KIKORONGO-BWERA'!$R$10:$R$21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'5.8 KIKORONGO-BWERA'!$AE$10:$AE$21</c:f>
              <c:numCache>
                <c:formatCode>0</c:formatCode>
                <c:ptCount val="12"/>
                <c:pt idx="0">
                  <c:v>26</c:v>
                </c:pt>
                <c:pt idx="1">
                  <c:v>43</c:v>
                </c:pt>
                <c:pt idx="2">
                  <c:v>43</c:v>
                </c:pt>
                <c:pt idx="3">
                  <c:v>41</c:v>
                </c:pt>
                <c:pt idx="4">
                  <c:v>45</c:v>
                </c:pt>
                <c:pt idx="5">
                  <c:v>39</c:v>
                </c:pt>
                <c:pt idx="6">
                  <c:v>36</c:v>
                </c:pt>
                <c:pt idx="7">
                  <c:v>38</c:v>
                </c:pt>
                <c:pt idx="8">
                  <c:v>47</c:v>
                </c:pt>
                <c:pt idx="9">
                  <c:v>49</c:v>
                </c:pt>
                <c:pt idx="10">
                  <c:v>50</c:v>
                </c:pt>
                <c:pt idx="11">
                  <c:v>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E1-4581-8355-9A9D08B6A3D4}"/>
            </c:ext>
          </c:extLst>
        </c:ser>
        <c:ser>
          <c:idx val="1"/>
          <c:order val="1"/>
          <c:tx>
            <c:strRef>
              <c:f>'5.8 KIKORONGO-BWERA'!$AF$9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'5.8 KIKORONGO-BWERA'!$R$10:$R$21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'5.8 KIKORONGO-BWERA'!$AF$10:$AF$21</c:f>
              <c:numCache>
                <c:formatCode>0</c:formatCode>
                <c:ptCount val="12"/>
                <c:pt idx="0">
                  <c:v>35</c:v>
                </c:pt>
                <c:pt idx="1">
                  <c:v>72</c:v>
                </c:pt>
                <c:pt idx="2">
                  <c:v>68</c:v>
                </c:pt>
                <c:pt idx="3">
                  <c:v>55</c:v>
                </c:pt>
                <c:pt idx="4">
                  <c:v>60</c:v>
                </c:pt>
                <c:pt idx="5">
                  <c:v>53</c:v>
                </c:pt>
                <c:pt idx="6">
                  <c:v>55</c:v>
                </c:pt>
                <c:pt idx="7">
                  <c:v>52</c:v>
                </c:pt>
                <c:pt idx="8">
                  <c:v>59</c:v>
                </c:pt>
                <c:pt idx="9">
                  <c:v>69</c:v>
                </c:pt>
                <c:pt idx="10">
                  <c:v>66</c:v>
                </c:pt>
                <c:pt idx="11">
                  <c:v>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E1-4581-8355-9A9D08B6A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649344"/>
        <c:axId val="97204096"/>
      </c:lineChart>
      <c:catAx>
        <c:axId val="9464934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7204096"/>
        <c:crosses val="autoZero"/>
        <c:auto val="1"/>
        <c:lblAlgn val="ctr"/>
        <c:lblOffset val="100"/>
        <c:noMultiLvlLbl val="0"/>
      </c:catAx>
      <c:valAx>
        <c:axId val="972040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4649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66C-49DF-A540-BEECCA775C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66C-49DF-A540-BEECCA775C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66C-49DF-A540-BEECCA775C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66C-49DF-A540-BEECCA775C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66C-49DF-A540-BEECCA775C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66C-49DF-A540-BEECCA775C9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66C-49DF-A540-BEECCA775C9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66C-49DF-A540-BEECCA775C9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66C-49DF-A540-BEECCA775C9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66C-49DF-A540-BEECCA775C9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66C-49DF-A540-BEECCA775C9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66C-49DF-A540-BEECCA775C9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66C-49DF-A540-BEECCA77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'5.8 KIKORONGO-BWERA'!$C$9:$N$9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'5.8 KIKORONGO-BWERA'!$C$59:$N$59</c:f>
              <c:numCache>
                <c:formatCode>0.0%</c:formatCode>
                <c:ptCount val="12"/>
                <c:pt idx="0">
                  <c:v>0.2471264367816092</c:v>
                </c:pt>
                <c:pt idx="1">
                  <c:v>0</c:v>
                </c:pt>
                <c:pt idx="2">
                  <c:v>0.17385057471264367</c:v>
                </c:pt>
                <c:pt idx="3">
                  <c:v>0.15948275862068967</c:v>
                </c:pt>
                <c:pt idx="4">
                  <c:v>0</c:v>
                </c:pt>
                <c:pt idx="5">
                  <c:v>1.0057471264367816E-2</c:v>
                </c:pt>
                <c:pt idx="6">
                  <c:v>8.3333333333333329E-2</c:v>
                </c:pt>
                <c:pt idx="7">
                  <c:v>1.4367816091954023E-2</c:v>
                </c:pt>
                <c:pt idx="8">
                  <c:v>0</c:v>
                </c:pt>
                <c:pt idx="9">
                  <c:v>2.7298850574712645E-2</c:v>
                </c:pt>
                <c:pt idx="10">
                  <c:v>0.28448275862068967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6C-49DF-A540-BEECCA775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E16-490A-B833-4EE796B330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E16-490A-B833-4EE796B330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E16-490A-B833-4EE796B330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E16-490A-B833-4EE796B330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E16-490A-B833-4EE796B330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E16-490A-B833-4EE796B330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E16-490A-B833-4EE796B330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E16-490A-B833-4EE796B330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E16-490A-B833-4EE796B330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E16-490A-B833-4EE796B330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E16-490A-B833-4EE796B330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E16-490A-B833-4EE796B330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E16-490A-B833-4EE796B33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'5.8 KIKORONGO-BWERA'!$C$9:$N$9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'5.8 KIKORONGO-BWERA'!$C$60:$N$60</c:f>
              <c:numCache>
                <c:formatCode>0.00%</c:formatCode>
                <c:ptCount val="12"/>
                <c:pt idx="0">
                  <c:v>0.34538152610441769</c:v>
                </c:pt>
                <c:pt idx="1">
                  <c:v>0</c:v>
                </c:pt>
                <c:pt idx="2">
                  <c:v>0.2429718875502008</c:v>
                </c:pt>
                <c:pt idx="3">
                  <c:v>0.22289156626506024</c:v>
                </c:pt>
                <c:pt idx="4">
                  <c:v>0</c:v>
                </c:pt>
                <c:pt idx="5">
                  <c:v>1.4056224899598393E-2</c:v>
                </c:pt>
                <c:pt idx="6">
                  <c:v>0.11646586345381527</c:v>
                </c:pt>
                <c:pt idx="7">
                  <c:v>2.0080321285140562E-2</c:v>
                </c:pt>
                <c:pt idx="8">
                  <c:v>0</c:v>
                </c:pt>
                <c:pt idx="9">
                  <c:v>3.8152610441767071E-2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E16-490A-B833-4EE796B33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'5.8 BWERA-KIKORONGO'!$AE$9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'5.8 BWERA-KIKORONGO'!$R$10:$R$21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'5.8 BWERA-KIKORONGO'!$AE$10:$AE$21</c:f>
              <c:numCache>
                <c:formatCode>0</c:formatCode>
                <c:ptCount val="12"/>
                <c:pt idx="0">
                  <c:v>15</c:v>
                </c:pt>
                <c:pt idx="1">
                  <c:v>43</c:v>
                </c:pt>
                <c:pt idx="2">
                  <c:v>48</c:v>
                </c:pt>
                <c:pt idx="3">
                  <c:v>42</c:v>
                </c:pt>
                <c:pt idx="4">
                  <c:v>51</c:v>
                </c:pt>
                <c:pt idx="5">
                  <c:v>38</c:v>
                </c:pt>
                <c:pt idx="6">
                  <c:v>48</c:v>
                </c:pt>
                <c:pt idx="7">
                  <c:v>44</c:v>
                </c:pt>
                <c:pt idx="8">
                  <c:v>50</c:v>
                </c:pt>
                <c:pt idx="9">
                  <c:v>50</c:v>
                </c:pt>
                <c:pt idx="10">
                  <c:v>42</c:v>
                </c:pt>
                <c:pt idx="11">
                  <c:v>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9C-45BB-88A7-B65865997A3E}"/>
            </c:ext>
          </c:extLst>
        </c:ser>
        <c:ser>
          <c:idx val="1"/>
          <c:order val="1"/>
          <c:tx>
            <c:strRef>
              <c:f>'5.8 BWERA-KIKORONGO'!$AF$9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'5.8 BWERA-KIKORONGO'!$R$10:$R$21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'5.8 BWERA-KIKORONGO'!$AF$10:$AF$21</c:f>
              <c:numCache>
                <c:formatCode>0</c:formatCode>
                <c:ptCount val="12"/>
                <c:pt idx="0">
                  <c:v>15</c:v>
                </c:pt>
                <c:pt idx="1">
                  <c:v>44</c:v>
                </c:pt>
                <c:pt idx="2">
                  <c:v>48</c:v>
                </c:pt>
                <c:pt idx="3">
                  <c:v>43</c:v>
                </c:pt>
                <c:pt idx="4">
                  <c:v>51</c:v>
                </c:pt>
                <c:pt idx="5">
                  <c:v>38</c:v>
                </c:pt>
                <c:pt idx="6">
                  <c:v>49</c:v>
                </c:pt>
                <c:pt idx="7">
                  <c:v>45</c:v>
                </c:pt>
                <c:pt idx="8">
                  <c:v>50</c:v>
                </c:pt>
                <c:pt idx="9">
                  <c:v>50</c:v>
                </c:pt>
                <c:pt idx="10">
                  <c:v>42</c:v>
                </c:pt>
                <c:pt idx="11">
                  <c:v>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9C-45BB-88A7-B65865997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469376"/>
        <c:axId val="78475648"/>
      </c:lineChart>
      <c:catAx>
        <c:axId val="7846937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78475648"/>
        <c:crosses val="autoZero"/>
        <c:auto val="1"/>
        <c:lblAlgn val="ctr"/>
        <c:lblOffset val="100"/>
        <c:noMultiLvlLbl val="0"/>
      </c:catAx>
      <c:valAx>
        <c:axId val="784756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7846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8B9-4D32-9FA4-C5B7B71D02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8B9-4D32-9FA4-C5B7B71D02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8B9-4D32-9FA4-C5B7B71D021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8B9-4D32-9FA4-C5B7B71D021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8B9-4D32-9FA4-C5B7B71D021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8B9-4D32-9FA4-C5B7B71D021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8B9-4D32-9FA4-C5B7B71D021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8B9-4D32-9FA4-C5B7B71D021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8B9-4D32-9FA4-C5B7B71D021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8B9-4D32-9FA4-C5B7B71D021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8B9-4D32-9FA4-C5B7B71D021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8B9-4D32-9FA4-C5B7B71D021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B9-4D32-9FA4-C5B7B71D02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'5.8 BWERA-KIKORONGO'!$C$9:$N$9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'5.8 BWERA-KIKORONGO'!$C$59:$N$59</c:f>
              <c:numCache>
                <c:formatCode>0.0%</c:formatCode>
                <c:ptCount val="12"/>
                <c:pt idx="0">
                  <c:v>0.44008264462809915</c:v>
                </c:pt>
                <c:pt idx="1">
                  <c:v>0</c:v>
                </c:pt>
                <c:pt idx="2">
                  <c:v>0.128099173553719</c:v>
                </c:pt>
                <c:pt idx="3">
                  <c:v>0.23553719008264462</c:v>
                </c:pt>
                <c:pt idx="4">
                  <c:v>2.0661157024793389E-3</c:v>
                </c:pt>
                <c:pt idx="5">
                  <c:v>8.2644628099173556E-3</c:v>
                </c:pt>
                <c:pt idx="6">
                  <c:v>0.12603305785123967</c:v>
                </c:pt>
                <c:pt idx="7">
                  <c:v>8.2644628099173556E-3</c:v>
                </c:pt>
                <c:pt idx="8">
                  <c:v>2.0661157024793389E-3</c:v>
                </c:pt>
                <c:pt idx="9">
                  <c:v>4.1322314049586778E-2</c:v>
                </c:pt>
                <c:pt idx="10">
                  <c:v>8.2644628099173556E-3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B9-4D32-9FA4-C5B7B71D0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'5.8 BWERA-KIKORONGO'!$S$9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'5.8 BWERA-KIKORONGO'!$R$10:$R$21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'5.8 BWERA-KIKORONGO'!$S$10:$S$21</c:f>
              <c:numCache>
                <c:formatCode>0</c:formatCode>
                <c:ptCount val="12"/>
                <c:pt idx="0">
                  <c:v>2</c:v>
                </c:pt>
                <c:pt idx="1">
                  <c:v>16</c:v>
                </c:pt>
                <c:pt idx="2">
                  <c:v>22</c:v>
                </c:pt>
                <c:pt idx="3">
                  <c:v>21</c:v>
                </c:pt>
                <c:pt idx="4">
                  <c:v>28</c:v>
                </c:pt>
                <c:pt idx="5">
                  <c:v>19</c:v>
                </c:pt>
                <c:pt idx="6">
                  <c:v>19</c:v>
                </c:pt>
                <c:pt idx="7">
                  <c:v>23</c:v>
                </c:pt>
                <c:pt idx="8">
                  <c:v>18</c:v>
                </c:pt>
                <c:pt idx="9">
                  <c:v>22</c:v>
                </c:pt>
                <c:pt idx="10">
                  <c:v>19</c:v>
                </c:pt>
                <c:pt idx="11">
                  <c:v>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51-40BE-9A1E-5B6943FE144C}"/>
            </c:ext>
          </c:extLst>
        </c:ser>
        <c:ser>
          <c:idx val="1"/>
          <c:order val="1"/>
          <c:tx>
            <c:strRef>
              <c:f>'5.8 BWERA-KIKORONGO'!$T$9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'5.8 BWERA-KIKORONGO'!$R$10:$R$21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'5.8 BWERA-KIKORONGO'!$T$10:$T$21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651-40BE-9A1E-5B6943FE144C}"/>
            </c:ext>
          </c:extLst>
        </c:ser>
        <c:ser>
          <c:idx val="2"/>
          <c:order val="2"/>
          <c:tx>
            <c:strRef>
              <c:f>'5.8 BWERA-KIKORONGO'!$U$9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'5.8 BWERA-KIKORONGO'!$U$10:$U$21</c:f>
              <c:numCache>
                <c:formatCode>0</c:formatCode>
                <c:ptCount val="12"/>
                <c:pt idx="0">
                  <c:v>5</c:v>
                </c:pt>
                <c:pt idx="1">
                  <c:v>5</c:v>
                </c:pt>
                <c:pt idx="2">
                  <c:v>11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6</c:v>
                </c:pt>
                <c:pt idx="7">
                  <c:v>3</c:v>
                </c:pt>
                <c:pt idx="8">
                  <c:v>8</c:v>
                </c:pt>
                <c:pt idx="9">
                  <c:v>8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51-40BE-9A1E-5B6943FE144C}"/>
            </c:ext>
          </c:extLst>
        </c:ser>
        <c:ser>
          <c:idx val="3"/>
          <c:order val="3"/>
          <c:tx>
            <c:strRef>
              <c:f>'5.8 BWERA-KIKORONGO'!$V$9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'5.8 BWERA-KIKORONGO'!$V$10:$V$21</c:f>
              <c:numCache>
                <c:formatCode>0</c:formatCode>
                <c:ptCount val="12"/>
                <c:pt idx="0">
                  <c:v>2</c:v>
                </c:pt>
                <c:pt idx="1">
                  <c:v>12</c:v>
                </c:pt>
                <c:pt idx="2">
                  <c:v>5</c:v>
                </c:pt>
                <c:pt idx="3">
                  <c:v>11</c:v>
                </c:pt>
                <c:pt idx="4">
                  <c:v>13</c:v>
                </c:pt>
                <c:pt idx="5">
                  <c:v>8</c:v>
                </c:pt>
                <c:pt idx="6">
                  <c:v>16</c:v>
                </c:pt>
                <c:pt idx="7">
                  <c:v>10</c:v>
                </c:pt>
                <c:pt idx="8">
                  <c:v>9</c:v>
                </c:pt>
                <c:pt idx="9">
                  <c:v>12</c:v>
                </c:pt>
                <c:pt idx="10">
                  <c:v>12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51-40BE-9A1E-5B6943FE144C}"/>
            </c:ext>
          </c:extLst>
        </c:ser>
        <c:ser>
          <c:idx val="4"/>
          <c:order val="4"/>
          <c:tx>
            <c:strRef>
              <c:f>'5.8 BWERA-KIKORONGO'!$W$9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'5.8 BWERA-KIKORONGO'!$W$10:$W$21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51-40BE-9A1E-5B6943FE144C}"/>
            </c:ext>
          </c:extLst>
        </c:ser>
        <c:ser>
          <c:idx val="5"/>
          <c:order val="5"/>
          <c:tx>
            <c:strRef>
              <c:f>'5.8 BWERA-KIKORONGO'!$X$9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'5.8 BWERA-KIKORONGO'!$X$10:$X$21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51-40BE-9A1E-5B6943FE144C}"/>
            </c:ext>
          </c:extLst>
        </c:ser>
        <c:ser>
          <c:idx val="6"/>
          <c:order val="6"/>
          <c:tx>
            <c:strRef>
              <c:f>'5.8 BWERA-KIKORONGO'!$Y$9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'5.8 BWERA-KIKORONGO'!$Y$10:$Y$21</c:f>
              <c:numCache>
                <c:formatCode>0</c:formatCode>
                <c:ptCount val="12"/>
                <c:pt idx="0">
                  <c:v>3</c:v>
                </c:pt>
                <c:pt idx="1">
                  <c:v>6</c:v>
                </c:pt>
                <c:pt idx="2">
                  <c:v>7</c:v>
                </c:pt>
                <c:pt idx="3">
                  <c:v>5</c:v>
                </c:pt>
                <c:pt idx="4">
                  <c:v>4</c:v>
                </c:pt>
                <c:pt idx="5">
                  <c:v>2</c:v>
                </c:pt>
                <c:pt idx="6">
                  <c:v>4</c:v>
                </c:pt>
                <c:pt idx="7">
                  <c:v>5</c:v>
                </c:pt>
                <c:pt idx="8">
                  <c:v>12</c:v>
                </c:pt>
                <c:pt idx="9">
                  <c:v>8</c:v>
                </c:pt>
                <c:pt idx="10">
                  <c:v>4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51-40BE-9A1E-5B6943FE144C}"/>
            </c:ext>
          </c:extLst>
        </c:ser>
        <c:ser>
          <c:idx val="7"/>
          <c:order val="7"/>
          <c:tx>
            <c:strRef>
              <c:f>'5.8 BWERA-KIKORONGO'!$Z$9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'5.8 BWERA-KIKORONGO'!$Z$10:$Z$21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51-40BE-9A1E-5B6943FE144C}"/>
            </c:ext>
          </c:extLst>
        </c:ser>
        <c:ser>
          <c:idx val="8"/>
          <c:order val="8"/>
          <c:tx>
            <c:strRef>
              <c:f>'5.8 BWERA-KIKORONGO'!$AA$9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'5.8 BWERA-KIKORONGO'!$AA$10:$AA$21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51-40BE-9A1E-5B6943FE144C}"/>
            </c:ext>
          </c:extLst>
        </c:ser>
        <c:ser>
          <c:idx val="9"/>
          <c:order val="9"/>
          <c:tx>
            <c:strRef>
              <c:f>'5.8 BWERA-KIKORONGO'!$AB$9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'5.8 BWERA-KIKORONGO'!$AB$10:$AB$21</c:f>
              <c:numCache>
                <c:formatCode>0</c:formatCode>
                <c:ptCount val="12"/>
                <c:pt idx="0">
                  <c:v>3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2</c:v>
                </c:pt>
                <c:pt idx="5">
                  <c:v>3</c:v>
                </c:pt>
                <c:pt idx="6">
                  <c:v>1</c:v>
                </c:pt>
                <c:pt idx="7">
                  <c:v>1</c:v>
                </c:pt>
                <c:pt idx="8">
                  <c:v>3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51-40BE-9A1E-5B6943FE144C}"/>
            </c:ext>
          </c:extLst>
        </c:ser>
        <c:ser>
          <c:idx val="10"/>
          <c:order val="10"/>
          <c:tx>
            <c:strRef>
              <c:f>'5.8 BWERA-KIKORONGO'!$AC$9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'5.8 BWERA-KIKORONGO'!$AC$10:$AC$21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51-40BE-9A1E-5B6943FE144C}"/>
            </c:ext>
          </c:extLst>
        </c:ser>
        <c:ser>
          <c:idx val="11"/>
          <c:order val="11"/>
          <c:tx>
            <c:strRef>
              <c:f>'5.8 BWERA-KIKORONGO'!$AD$9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'5.8 BWERA-KIKORONGO'!$AD$10:$AD$21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51-40BE-9A1E-5B6943FE1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9717120"/>
        <c:axId val="79718656"/>
      </c:lineChart>
      <c:catAx>
        <c:axId val="797171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79718656"/>
        <c:crosses val="autoZero"/>
        <c:auto val="1"/>
        <c:lblAlgn val="ctr"/>
        <c:lblOffset val="100"/>
        <c:noMultiLvlLbl val="0"/>
      </c:catAx>
      <c:valAx>
        <c:axId val="79718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79717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F2F-4319-A1B1-A94A163849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F2F-4319-A1B1-A94A163849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F2F-4319-A1B1-A94A163849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F2F-4319-A1B1-A94A163849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F2F-4319-A1B1-A94A163849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F2F-4319-A1B1-A94A163849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F2F-4319-A1B1-A94A163849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F2F-4319-A1B1-A94A163849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F2F-4319-A1B1-A94A163849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F2F-4319-A1B1-A94A163849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F2F-4319-A1B1-A94A163849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F2F-4319-A1B1-A94A163849D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F2F-4319-A1B1-A94A163849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'5.8 BWERA-KIKORONGO'!$C$9:$N$9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'5.8 BWERA-KIKORONGO'!$C$60:$N$60</c:f>
              <c:numCache>
                <c:formatCode>0.00%</c:formatCode>
                <c:ptCount val="12"/>
                <c:pt idx="0">
                  <c:v>0.44374999999999998</c:v>
                </c:pt>
                <c:pt idx="1">
                  <c:v>0</c:v>
                </c:pt>
                <c:pt idx="2">
                  <c:v>0.12916666666666668</c:v>
                </c:pt>
                <c:pt idx="3">
                  <c:v>0.23749999999999999</c:v>
                </c:pt>
                <c:pt idx="4">
                  <c:v>2.0833333333333333E-3</c:v>
                </c:pt>
                <c:pt idx="5">
                  <c:v>8.3333333333333332E-3</c:v>
                </c:pt>
                <c:pt idx="6">
                  <c:v>0.12708333333333333</c:v>
                </c:pt>
                <c:pt idx="7">
                  <c:v>8.3333333333333332E-3</c:v>
                </c:pt>
                <c:pt idx="8">
                  <c:v>2.0833333333333333E-3</c:v>
                </c:pt>
                <c:pt idx="9">
                  <c:v>4.1666666666666664E-2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F2F-4319-A1B1-A94A16384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'6.8 KIKORONGO-BWERA'!$AE$9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'6.8 KIKORONGO-BWERA'!$R$10:$R$21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'6.8 KIKORONGO-BWERA'!$AE$10:$AE$21</c:f>
              <c:numCache>
                <c:formatCode>0</c:formatCode>
                <c:ptCount val="12"/>
                <c:pt idx="0">
                  <c:v>27</c:v>
                </c:pt>
                <c:pt idx="1">
                  <c:v>32</c:v>
                </c:pt>
                <c:pt idx="2">
                  <c:v>50</c:v>
                </c:pt>
                <c:pt idx="3">
                  <c:v>40</c:v>
                </c:pt>
                <c:pt idx="4">
                  <c:v>34</c:v>
                </c:pt>
                <c:pt idx="5">
                  <c:v>51</c:v>
                </c:pt>
                <c:pt idx="6">
                  <c:v>40</c:v>
                </c:pt>
                <c:pt idx="7">
                  <c:v>57</c:v>
                </c:pt>
                <c:pt idx="8">
                  <c:v>54</c:v>
                </c:pt>
                <c:pt idx="9">
                  <c:v>45</c:v>
                </c:pt>
                <c:pt idx="10">
                  <c:v>53</c:v>
                </c:pt>
                <c:pt idx="11">
                  <c:v>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D6-4B77-8026-30DBF41B753F}"/>
            </c:ext>
          </c:extLst>
        </c:ser>
        <c:ser>
          <c:idx val="1"/>
          <c:order val="1"/>
          <c:tx>
            <c:strRef>
              <c:f>'6.8 KIKORONGO-BWERA'!$AF$9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'6.8 KIKORONGO-BWERA'!$R$10:$R$21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'6.8 KIKORONGO-BWERA'!$AF$10:$AF$21</c:f>
              <c:numCache>
                <c:formatCode>0</c:formatCode>
                <c:ptCount val="12"/>
                <c:pt idx="0">
                  <c:v>44</c:v>
                </c:pt>
                <c:pt idx="1">
                  <c:v>55</c:v>
                </c:pt>
                <c:pt idx="2">
                  <c:v>68</c:v>
                </c:pt>
                <c:pt idx="3">
                  <c:v>57</c:v>
                </c:pt>
                <c:pt idx="4">
                  <c:v>49</c:v>
                </c:pt>
                <c:pt idx="5">
                  <c:v>60</c:v>
                </c:pt>
                <c:pt idx="6">
                  <c:v>54</c:v>
                </c:pt>
                <c:pt idx="7">
                  <c:v>65</c:v>
                </c:pt>
                <c:pt idx="8">
                  <c:v>65</c:v>
                </c:pt>
                <c:pt idx="9">
                  <c:v>63</c:v>
                </c:pt>
                <c:pt idx="10">
                  <c:v>73</c:v>
                </c:pt>
                <c:pt idx="11">
                  <c:v>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6D6-4B77-8026-30DBF41B7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0000512"/>
        <c:axId val="80002432"/>
      </c:lineChart>
      <c:catAx>
        <c:axId val="8000051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0002432"/>
        <c:crosses val="autoZero"/>
        <c:auto val="1"/>
        <c:lblAlgn val="ctr"/>
        <c:lblOffset val="100"/>
        <c:noMultiLvlLbl val="0"/>
      </c:catAx>
      <c:valAx>
        <c:axId val="8000243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0000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BA-447C-A3CB-236E1F2B3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BA-447C-A3CB-236E1F2B31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BA-447C-A3CB-236E1F2B31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BA-447C-A3CB-236E1F2B31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BA-447C-A3CB-236E1F2B31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BA-447C-A3CB-236E1F2B31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BA-447C-A3CB-236E1F2B31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BA-447C-A3CB-236E1F2B31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BA-447C-A3CB-236E1F2B31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BA-447C-A3CB-236E1F2B31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BA-447C-A3CB-236E1F2B31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BA-447C-A3CB-236E1F2B31F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5BA-447C-A3CB-236E1F2B31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'6.8 KIKORONGO-BWERA'!$C$9:$N$9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'6.8 KIKORONGO-BWERA'!$C$59:$N$59</c:f>
              <c:numCache>
                <c:formatCode>0.0%</c:formatCode>
                <c:ptCount val="12"/>
                <c:pt idx="0">
                  <c:v>0.18811881188118812</c:v>
                </c:pt>
                <c:pt idx="1">
                  <c:v>0</c:v>
                </c:pt>
                <c:pt idx="2">
                  <c:v>0.2263083451202263</c:v>
                </c:pt>
                <c:pt idx="3">
                  <c:v>0.14992927864214992</c:v>
                </c:pt>
                <c:pt idx="4">
                  <c:v>0</c:v>
                </c:pt>
                <c:pt idx="5">
                  <c:v>1.5558698727015558E-2</c:v>
                </c:pt>
                <c:pt idx="6">
                  <c:v>0.10042432814710042</c:v>
                </c:pt>
                <c:pt idx="7">
                  <c:v>1.1315417256011316E-2</c:v>
                </c:pt>
                <c:pt idx="8">
                  <c:v>0</c:v>
                </c:pt>
                <c:pt idx="9">
                  <c:v>4.9504950495049507E-2</c:v>
                </c:pt>
                <c:pt idx="10">
                  <c:v>0.25601131541725602</c:v>
                </c:pt>
                <c:pt idx="11">
                  <c:v>2.828854314002829E-3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BA-447C-A3CB-236E1F2B3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'6.8 KIKORONGO-BWERA'!$S$9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'6.8 KIKORONGO-BWERA'!$R$10:$R$21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'6.8 KIKORONGO-BWERA'!$S$10:$S$21</c:f>
              <c:numCache>
                <c:formatCode>0</c:formatCode>
                <c:ptCount val="12"/>
                <c:pt idx="0">
                  <c:v>4</c:v>
                </c:pt>
                <c:pt idx="1">
                  <c:v>9</c:v>
                </c:pt>
                <c:pt idx="2">
                  <c:v>10</c:v>
                </c:pt>
                <c:pt idx="3">
                  <c:v>11</c:v>
                </c:pt>
                <c:pt idx="4">
                  <c:v>9</c:v>
                </c:pt>
                <c:pt idx="5">
                  <c:v>14</c:v>
                </c:pt>
                <c:pt idx="6">
                  <c:v>9</c:v>
                </c:pt>
                <c:pt idx="7">
                  <c:v>14</c:v>
                </c:pt>
                <c:pt idx="8">
                  <c:v>14</c:v>
                </c:pt>
                <c:pt idx="9">
                  <c:v>9</c:v>
                </c:pt>
                <c:pt idx="10">
                  <c:v>15</c:v>
                </c:pt>
                <c:pt idx="11">
                  <c:v>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54-447E-B68D-E1368766DED9}"/>
            </c:ext>
          </c:extLst>
        </c:ser>
        <c:ser>
          <c:idx val="1"/>
          <c:order val="1"/>
          <c:tx>
            <c:strRef>
              <c:f>'6.8 KIKORONGO-BWERA'!$T$9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'6.8 KIKORONGO-BWERA'!$R$10:$R$21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'6.8 KIKORONGO-BWERA'!$T$10:$T$21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54-447E-B68D-E1368766DED9}"/>
            </c:ext>
          </c:extLst>
        </c:ser>
        <c:ser>
          <c:idx val="2"/>
          <c:order val="2"/>
          <c:tx>
            <c:strRef>
              <c:f>'6.8 KIKORONGO-BWERA'!$U$9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'6.8 KIKORONGO-BWERA'!$U$10:$U$21</c:f>
              <c:numCache>
                <c:formatCode>0</c:formatCode>
                <c:ptCount val="12"/>
                <c:pt idx="0">
                  <c:v>12</c:v>
                </c:pt>
                <c:pt idx="1">
                  <c:v>12</c:v>
                </c:pt>
                <c:pt idx="2">
                  <c:v>14</c:v>
                </c:pt>
                <c:pt idx="3">
                  <c:v>14</c:v>
                </c:pt>
                <c:pt idx="4">
                  <c:v>7</c:v>
                </c:pt>
                <c:pt idx="5">
                  <c:v>23</c:v>
                </c:pt>
                <c:pt idx="6">
                  <c:v>11</c:v>
                </c:pt>
                <c:pt idx="7">
                  <c:v>12</c:v>
                </c:pt>
                <c:pt idx="8">
                  <c:v>15</c:v>
                </c:pt>
                <c:pt idx="9">
                  <c:v>14</c:v>
                </c:pt>
                <c:pt idx="10">
                  <c:v>14</c:v>
                </c:pt>
                <c:pt idx="1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54-447E-B68D-E1368766DED9}"/>
            </c:ext>
          </c:extLst>
        </c:ser>
        <c:ser>
          <c:idx val="3"/>
          <c:order val="3"/>
          <c:tx>
            <c:strRef>
              <c:f>'6.8 KIKORONGO-BWERA'!$V$9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'6.8 KIKORONGO-BWERA'!$V$10:$V$21</c:f>
              <c:numCache>
                <c:formatCode>0</c:formatCode>
                <c:ptCount val="12"/>
                <c:pt idx="0">
                  <c:v>6</c:v>
                </c:pt>
                <c:pt idx="1">
                  <c:v>8</c:v>
                </c:pt>
                <c:pt idx="2">
                  <c:v>13</c:v>
                </c:pt>
                <c:pt idx="3">
                  <c:v>8</c:v>
                </c:pt>
                <c:pt idx="4">
                  <c:v>8</c:v>
                </c:pt>
                <c:pt idx="5">
                  <c:v>7</c:v>
                </c:pt>
                <c:pt idx="6">
                  <c:v>12</c:v>
                </c:pt>
                <c:pt idx="7">
                  <c:v>12</c:v>
                </c:pt>
                <c:pt idx="8">
                  <c:v>5</c:v>
                </c:pt>
                <c:pt idx="9">
                  <c:v>10</c:v>
                </c:pt>
                <c:pt idx="10">
                  <c:v>8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54-447E-B68D-E1368766DED9}"/>
            </c:ext>
          </c:extLst>
        </c:ser>
        <c:ser>
          <c:idx val="4"/>
          <c:order val="4"/>
          <c:tx>
            <c:strRef>
              <c:f>'6.8 KIKORONGO-BWERA'!$W$9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'6.8 KIKORONGO-BWERA'!$W$10:$W$21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D54-447E-B68D-E1368766DED9}"/>
            </c:ext>
          </c:extLst>
        </c:ser>
        <c:ser>
          <c:idx val="5"/>
          <c:order val="5"/>
          <c:tx>
            <c:strRef>
              <c:f>'6.8 KIKORONGO-BWERA'!$X$9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'6.8 KIKORONGO-BWERA'!$X$10:$X$21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2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D54-447E-B68D-E1368766DED9}"/>
            </c:ext>
          </c:extLst>
        </c:ser>
        <c:ser>
          <c:idx val="6"/>
          <c:order val="6"/>
          <c:tx>
            <c:strRef>
              <c:f>'6.8 KIKORONGO-BWERA'!$Y$9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'6.8 KIKORONGO-BWERA'!$Y$10:$Y$21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9</c:v>
                </c:pt>
                <c:pt idx="3">
                  <c:v>3</c:v>
                </c:pt>
                <c:pt idx="4">
                  <c:v>8</c:v>
                </c:pt>
                <c:pt idx="5">
                  <c:v>3</c:v>
                </c:pt>
                <c:pt idx="6">
                  <c:v>4</c:v>
                </c:pt>
                <c:pt idx="7">
                  <c:v>7</c:v>
                </c:pt>
                <c:pt idx="8">
                  <c:v>10</c:v>
                </c:pt>
                <c:pt idx="9">
                  <c:v>9</c:v>
                </c:pt>
                <c:pt idx="10">
                  <c:v>11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D54-447E-B68D-E1368766DED9}"/>
            </c:ext>
          </c:extLst>
        </c:ser>
        <c:ser>
          <c:idx val="7"/>
          <c:order val="7"/>
          <c:tx>
            <c:strRef>
              <c:f>'6.8 KIKORONGO-BWERA'!$Z$9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'6.8 KIKORONGO-BWERA'!$Z$10:$Z$21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3</c:v>
                </c:pt>
                <c:pt idx="8">
                  <c:v>3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D54-447E-B68D-E1368766DED9}"/>
            </c:ext>
          </c:extLst>
        </c:ser>
        <c:ser>
          <c:idx val="8"/>
          <c:order val="8"/>
          <c:tx>
            <c:strRef>
              <c:f>'6.8 KIKORONGO-BWERA'!$AA$9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'6.8 KIKORONGO-BWERA'!$AA$10:$AA$21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D54-447E-B68D-E1368766DED9}"/>
            </c:ext>
          </c:extLst>
        </c:ser>
        <c:ser>
          <c:idx val="9"/>
          <c:order val="9"/>
          <c:tx>
            <c:strRef>
              <c:f>'6.8 KIKORONGO-BWERA'!$AB$9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'6.8 KIKORONGO-BWERA'!$AB$10:$AB$21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3</c:v>
                </c:pt>
                <c:pt idx="4">
                  <c:v>2</c:v>
                </c:pt>
                <c:pt idx="5">
                  <c:v>2</c:v>
                </c:pt>
                <c:pt idx="6">
                  <c:v>3</c:v>
                </c:pt>
                <c:pt idx="7">
                  <c:v>8</c:v>
                </c:pt>
                <c:pt idx="8">
                  <c:v>5</c:v>
                </c:pt>
                <c:pt idx="9">
                  <c:v>2</c:v>
                </c:pt>
                <c:pt idx="10">
                  <c:v>4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D54-447E-B68D-E1368766DED9}"/>
            </c:ext>
          </c:extLst>
        </c:ser>
        <c:ser>
          <c:idx val="10"/>
          <c:order val="10"/>
          <c:tx>
            <c:strRef>
              <c:f>'6.8 KIKORONGO-BWERA'!$AC$9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'6.8 KIKORONGO-BWERA'!$AC$10:$AC$21</c:f>
              <c:numCache>
                <c:formatCode>0</c:formatCode>
                <c:ptCount val="12"/>
                <c:pt idx="0">
                  <c:v>17</c:v>
                </c:pt>
                <c:pt idx="1">
                  <c:v>23</c:v>
                </c:pt>
                <c:pt idx="2">
                  <c:v>18</c:v>
                </c:pt>
                <c:pt idx="3">
                  <c:v>17</c:v>
                </c:pt>
                <c:pt idx="4">
                  <c:v>15</c:v>
                </c:pt>
                <c:pt idx="5">
                  <c:v>9</c:v>
                </c:pt>
                <c:pt idx="6">
                  <c:v>14</c:v>
                </c:pt>
                <c:pt idx="7">
                  <c:v>8</c:v>
                </c:pt>
                <c:pt idx="8">
                  <c:v>11</c:v>
                </c:pt>
                <c:pt idx="9">
                  <c:v>18</c:v>
                </c:pt>
                <c:pt idx="10">
                  <c:v>20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D54-447E-B68D-E1368766DED9}"/>
            </c:ext>
          </c:extLst>
        </c:ser>
        <c:ser>
          <c:idx val="11"/>
          <c:order val="11"/>
          <c:tx>
            <c:strRef>
              <c:f>'6.8 KIKORONGO-BWERA'!$AD$9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'6.8 KIKORONGO-BWERA'!$AD$10:$AD$21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D54-447E-B68D-E1368766D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0223616"/>
        <c:axId val="80237696"/>
      </c:lineChart>
      <c:catAx>
        <c:axId val="802236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0237696"/>
        <c:crosses val="autoZero"/>
        <c:auto val="1"/>
        <c:lblAlgn val="ctr"/>
        <c:lblOffset val="100"/>
        <c:noMultiLvlLbl val="0"/>
      </c:catAx>
      <c:valAx>
        <c:axId val="80237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0223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73-46DF-8DE2-8B27C2F90D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73-46DF-8DE2-8B27C2F90D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B73-46DF-8DE2-8B27C2F90D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B73-46DF-8DE2-8B27C2F90D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B73-46DF-8DE2-8B27C2F90D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B73-46DF-8DE2-8B27C2F90D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B73-46DF-8DE2-8B27C2F90D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B73-46DF-8DE2-8B27C2F90D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B73-46DF-8DE2-8B27C2F90D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B73-46DF-8DE2-8B27C2F90D1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B73-46DF-8DE2-8B27C2F90D1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B73-46DF-8DE2-8B27C2F90D1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B73-46DF-8DE2-8B27C2F90D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'6.8 KIKORONGO-BWERA'!$C$9:$N$9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'6.8 KIKORONGO-BWERA'!$C$60:$N$60</c:f>
              <c:numCache>
                <c:formatCode>0.00%</c:formatCode>
                <c:ptCount val="12"/>
                <c:pt idx="0">
                  <c:v>0.25285171102661597</c:v>
                </c:pt>
                <c:pt idx="1">
                  <c:v>0</c:v>
                </c:pt>
                <c:pt idx="2">
                  <c:v>0.30418250950570341</c:v>
                </c:pt>
                <c:pt idx="3">
                  <c:v>0.20152091254752852</c:v>
                </c:pt>
                <c:pt idx="4">
                  <c:v>0</c:v>
                </c:pt>
                <c:pt idx="5">
                  <c:v>2.0912547528517109E-2</c:v>
                </c:pt>
                <c:pt idx="6">
                  <c:v>0.13498098859315588</c:v>
                </c:pt>
                <c:pt idx="7">
                  <c:v>1.5209125475285171E-2</c:v>
                </c:pt>
                <c:pt idx="8">
                  <c:v>0</c:v>
                </c:pt>
                <c:pt idx="9">
                  <c:v>6.6539923954372623E-2</c:v>
                </c:pt>
                <c:pt idx="11">
                  <c:v>3.8022813688212928E-3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B73-46DF-8DE2-8B27C2F90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'6.8 BWERA-KIKORONGO'!$AE$9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'6.8 BWERA-KIKORONGO'!$R$10:$R$21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'6.8 BWERA-KIKORONGO'!$AE$10:$AE$21</c:f>
              <c:numCache>
                <c:formatCode>0</c:formatCode>
                <c:ptCount val="12"/>
                <c:pt idx="0">
                  <c:v>39</c:v>
                </c:pt>
                <c:pt idx="1">
                  <c:v>69</c:v>
                </c:pt>
                <c:pt idx="2">
                  <c:v>56</c:v>
                </c:pt>
                <c:pt idx="3">
                  <c:v>56</c:v>
                </c:pt>
                <c:pt idx="4">
                  <c:v>43</c:v>
                </c:pt>
                <c:pt idx="5">
                  <c:v>46</c:v>
                </c:pt>
                <c:pt idx="6">
                  <c:v>41</c:v>
                </c:pt>
                <c:pt idx="7">
                  <c:v>39</c:v>
                </c:pt>
                <c:pt idx="8">
                  <c:v>28</c:v>
                </c:pt>
                <c:pt idx="9">
                  <c:v>41</c:v>
                </c:pt>
                <c:pt idx="10">
                  <c:v>40</c:v>
                </c:pt>
                <c:pt idx="11">
                  <c:v>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5F-499C-8247-FFF3D6EFDA44}"/>
            </c:ext>
          </c:extLst>
        </c:ser>
        <c:ser>
          <c:idx val="1"/>
          <c:order val="1"/>
          <c:tx>
            <c:strRef>
              <c:f>'6.8 BWERA-KIKORONGO'!$AF$9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'6.8 BWERA-KIKORONGO'!$R$10:$R$21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'6.8 BWERA-KIKORONGO'!$AF$10:$AF$21</c:f>
              <c:numCache>
                <c:formatCode>0</c:formatCode>
                <c:ptCount val="12"/>
                <c:pt idx="0">
                  <c:v>47</c:v>
                </c:pt>
                <c:pt idx="1">
                  <c:v>88</c:v>
                </c:pt>
                <c:pt idx="2">
                  <c:v>70</c:v>
                </c:pt>
                <c:pt idx="3">
                  <c:v>68</c:v>
                </c:pt>
                <c:pt idx="4">
                  <c:v>65</c:v>
                </c:pt>
                <c:pt idx="5">
                  <c:v>57</c:v>
                </c:pt>
                <c:pt idx="6">
                  <c:v>58</c:v>
                </c:pt>
                <c:pt idx="7">
                  <c:v>53</c:v>
                </c:pt>
                <c:pt idx="8">
                  <c:v>38</c:v>
                </c:pt>
                <c:pt idx="9">
                  <c:v>54</c:v>
                </c:pt>
                <c:pt idx="10">
                  <c:v>57</c:v>
                </c:pt>
                <c:pt idx="11">
                  <c:v>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D5F-499C-8247-FFF3D6EFD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0572800"/>
        <c:axId val="80574720"/>
      </c:lineChart>
      <c:catAx>
        <c:axId val="8057280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0574720"/>
        <c:crosses val="autoZero"/>
        <c:auto val="1"/>
        <c:lblAlgn val="ctr"/>
        <c:lblOffset val="100"/>
        <c:noMultiLvlLbl val="0"/>
      </c:catAx>
      <c:valAx>
        <c:axId val="805747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0572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AD9-43D2-B994-F66788B4CE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AD9-43D2-B994-F66788B4CE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AD9-43D2-B994-F66788B4CE1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AD9-43D2-B994-F66788B4CE1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AD9-43D2-B994-F66788B4CE1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AD9-43D2-B994-F66788B4CE1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AD9-43D2-B994-F66788B4CE1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AD9-43D2-B994-F66788B4CE1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AD9-43D2-B994-F66788B4CE1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AD9-43D2-B994-F66788B4CE1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AD9-43D2-B994-F66788B4CE1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AD9-43D2-B994-F66788B4CE1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AD9-43D2-B994-F66788B4CE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'6.8 BWERA-KIKORONGO'!$C$9:$N$9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'6.8 BWERA-KIKORONGO'!$C$59:$N$59</c:f>
              <c:numCache>
                <c:formatCode>0.0%</c:formatCode>
                <c:ptCount val="12"/>
                <c:pt idx="0">
                  <c:v>0.31161473087818697</c:v>
                </c:pt>
                <c:pt idx="1">
                  <c:v>0</c:v>
                </c:pt>
                <c:pt idx="2">
                  <c:v>0.1359773371104816</c:v>
                </c:pt>
                <c:pt idx="3">
                  <c:v>0.16572237960339944</c:v>
                </c:pt>
                <c:pt idx="4">
                  <c:v>1.4164305949008499E-3</c:v>
                </c:pt>
                <c:pt idx="5">
                  <c:v>4.24929178470255E-3</c:v>
                </c:pt>
                <c:pt idx="6">
                  <c:v>9.3484419263456089E-2</c:v>
                </c:pt>
                <c:pt idx="7">
                  <c:v>7.0821529745042494E-3</c:v>
                </c:pt>
                <c:pt idx="8">
                  <c:v>0</c:v>
                </c:pt>
                <c:pt idx="9">
                  <c:v>3.9660056657223795E-2</c:v>
                </c:pt>
                <c:pt idx="10">
                  <c:v>0.24079320113314448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AD9-43D2-B994-F66788B4C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'6.8 BWERA-KIKORONGO'!$S$9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'6.8 BWERA-KIKORONGO'!$R$10:$R$21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'6.8 BWERA-KIKORONGO'!$S$10:$S$21</c:f>
              <c:numCache>
                <c:formatCode>0</c:formatCode>
                <c:ptCount val="12"/>
                <c:pt idx="0">
                  <c:v>13</c:v>
                </c:pt>
                <c:pt idx="1">
                  <c:v>27</c:v>
                </c:pt>
                <c:pt idx="2">
                  <c:v>16</c:v>
                </c:pt>
                <c:pt idx="3">
                  <c:v>24</c:v>
                </c:pt>
                <c:pt idx="4">
                  <c:v>16</c:v>
                </c:pt>
                <c:pt idx="5">
                  <c:v>17</c:v>
                </c:pt>
                <c:pt idx="6">
                  <c:v>25</c:v>
                </c:pt>
                <c:pt idx="7">
                  <c:v>23</c:v>
                </c:pt>
                <c:pt idx="8">
                  <c:v>9</c:v>
                </c:pt>
                <c:pt idx="9">
                  <c:v>18</c:v>
                </c:pt>
                <c:pt idx="10">
                  <c:v>16</c:v>
                </c:pt>
                <c:pt idx="11">
                  <c:v>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32-4340-AED5-CD3F6DAF145D}"/>
            </c:ext>
          </c:extLst>
        </c:ser>
        <c:ser>
          <c:idx val="1"/>
          <c:order val="1"/>
          <c:tx>
            <c:strRef>
              <c:f>'6.8 BWERA-KIKORONGO'!$T$9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'6.8 BWERA-KIKORONGO'!$R$10:$R$21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'6.8 BWERA-KIKORONGO'!$T$10:$T$21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232-4340-AED5-CD3F6DAF145D}"/>
            </c:ext>
          </c:extLst>
        </c:ser>
        <c:ser>
          <c:idx val="2"/>
          <c:order val="2"/>
          <c:tx>
            <c:strRef>
              <c:f>'6.8 BWERA-KIKORONGO'!$U$9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'6.8 BWERA-KIKORONGO'!$U$10:$U$21</c:f>
              <c:numCache>
                <c:formatCode>0</c:formatCode>
                <c:ptCount val="12"/>
                <c:pt idx="0">
                  <c:v>5</c:v>
                </c:pt>
                <c:pt idx="1">
                  <c:v>18</c:v>
                </c:pt>
                <c:pt idx="2">
                  <c:v>12</c:v>
                </c:pt>
                <c:pt idx="3">
                  <c:v>12</c:v>
                </c:pt>
                <c:pt idx="4">
                  <c:v>8</c:v>
                </c:pt>
                <c:pt idx="5">
                  <c:v>14</c:v>
                </c:pt>
                <c:pt idx="6">
                  <c:v>7</c:v>
                </c:pt>
                <c:pt idx="7">
                  <c:v>4</c:v>
                </c:pt>
                <c:pt idx="8">
                  <c:v>4</c:v>
                </c:pt>
                <c:pt idx="9">
                  <c:v>7</c:v>
                </c:pt>
                <c:pt idx="10">
                  <c:v>2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32-4340-AED5-CD3F6DAF145D}"/>
            </c:ext>
          </c:extLst>
        </c:ser>
        <c:ser>
          <c:idx val="3"/>
          <c:order val="3"/>
          <c:tx>
            <c:strRef>
              <c:f>'6.8 BWERA-KIKORONGO'!$V$9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'6.8 BWERA-KIKORONGO'!$V$10:$V$21</c:f>
              <c:numCache>
                <c:formatCode>0</c:formatCode>
                <c:ptCount val="12"/>
                <c:pt idx="0">
                  <c:v>11</c:v>
                </c:pt>
                <c:pt idx="1">
                  <c:v>9</c:v>
                </c:pt>
                <c:pt idx="2">
                  <c:v>13</c:v>
                </c:pt>
                <c:pt idx="3">
                  <c:v>5</c:v>
                </c:pt>
                <c:pt idx="4">
                  <c:v>11</c:v>
                </c:pt>
                <c:pt idx="5">
                  <c:v>8</c:v>
                </c:pt>
                <c:pt idx="6">
                  <c:v>5</c:v>
                </c:pt>
                <c:pt idx="7">
                  <c:v>8</c:v>
                </c:pt>
                <c:pt idx="8">
                  <c:v>9</c:v>
                </c:pt>
                <c:pt idx="9">
                  <c:v>12</c:v>
                </c:pt>
                <c:pt idx="10">
                  <c:v>18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32-4340-AED5-CD3F6DAF145D}"/>
            </c:ext>
          </c:extLst>
        </c:ser>
        <c:ser>
          <c:idx val="4"/>
          <c:order val="4"/>
          <c:tx>
            <c:strRef>
              <c:f>'6.8 BWERA-KIKORONGO'!$W$9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'6.8 BWERA-KIKORONGO'!$W$10:$W$21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32-4340-AED5-CD3F6DAF145D}"/>
            </c:ext>
          </c:extLst>
        </c:ser>
        <c:ser>
          <c:idx val="5"/>
          <c:order val="5"/>
          <c:tx>
            <c:strRef>
              <c:f>'6.8 BWERA-KIKORONGO'!$X$9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'6.8 BWERA-KIKORONGO'!$X$10:$X$21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32-4340-AED5-CD3F6DAF145D}"/>
            </c:ext>
          </c:extLst>
        </c:ser>
        <c:ser>
          <c:idx val="6"/>
          <c:order val="6"/>
          <c:tx>
            <c:strRef>
              <c:f>'6.8 BWERA-KIKORONGO'!$Y$9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'6.8 BWERA-KIKORONGO'!$Y$10:$Y$21</c:f>
              <c:numCache>
                <c:formatCode>0</c:formatCode>
                <c:ptCount val="12"/>
                <c:pt idx="0">
                  <c:v>10</c:v>
                </c:pt>
                <c:pt idx="1">
                  <c:v>14</c:v>
                </c:pt>
                <c:pt idx="2">
                  <c:v>10</c:v>
                </c:pt>
                <c:pt idx="3">
                  <c:v>6</c:v>
                </c:pt>
                <c:pt idx="4">
                  <c:v>1</c:v>
                </c:pt>
                <c:pt idx="5">
                  <c:v>6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2</c:v>
                </c:pt>
                <c:pt idx="10">
                  <c:v>2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232-4340-AED5-CD3F6DAF145D}"/>
            </c:ext>
          </c:extLst>
        </c:ser>
        <c:ser>
          <c:idx val="7"/>
          <c:order val="7"/>
          <c:tx>
            <c:strRef>
              <c:f>'6.8 BWERA-KIKORONGO'!$Z$9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'6.8 BWERA-KIKORONGO'!$Z$10:$Z$21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232-4340-AED5-CD3F6DAF145D}"/>
            </c:ext>
          </c:extLst>
        </c:ser>
        <c:ser>
          <c:idx val="8"/>
          <c:order val="8"/>
          <c:tx>
            <c:strRef>
              <c:f>'6.8 BWERA-KIKORONGO'!$AA$9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'6.8 BWERA-KIKORONGO'!$AA$10:$AA$21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232-4340-AED5-CD3F6DAF145D}"/>
            </c:ext>
          </c:extLst>
        </c:ser>
        <c:ser>
          <c:idx val="9"/>
          <c:order val="9"/>
          <c:tx>
            <c:strRef>
              <c:f>'6.8 BWERA-KIKORONGO'!$AB$9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'6.8 BWERA-KIKORONGO'!$AB$10:$AB$21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9</c:v>
                </c:pt>
                <c:pt idx="4">
                  <c:v>5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2</c:v>
                </c:pt>
                <c:pt idx="10">
                  <c:v>2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232-4340-AED5-CD3F6DAF145D}"/>
            </c:ext>
          </c:extLst>
        </c:ser>
        <c:ser>
          <c:idx val="10"/>
          <c:order val="10"/>
          <c:tx>
            <c:strRef>
              <c:f>'6.8 BWERA-KIKORONGO'!$AC$9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'6.8 BWERA-KIKORONGO'!$AC$10:$AC$21</c:f>
              <c:numCache>
                <c:formatCode>0</c:formatCode>
                <c:ptCount val="12"/>
                <c:pt idx="0">
                  <c:v>8</c:v>
                </c:pt>
                <c:pt idx="1">
                  <c:v>19</c:v>
                </c:pt>
                <c:pt idx="2">
                  <c:v>14</c:v>
                </c:pt>
                <c:pt idx="3">
                  <c:v>12</c:v>
                </c:pt>
                <c:pt idx="4">
                  <c:v>22</c:v>
                </c:pt>
                <c:pt idx="5">
                  <c:v>11</c:v>
                </c:pt>
                <c:pt idx="6">
                  <c:v>17</c:v>
                </c:pt>
                <c:pt idx="7">
                  <c:v>14</c:v>
                </c:pt>
                <c:pt idx="8">
                  <c:v>10</c:v>
                </c:pt>
                <c:pt idx="9">
                  <c:v>13</c:v>
                </c:pt>
                <c:pt idx="10">
                  <c:v>17</c:v>
                </c:pt>
                <c:pt idx="1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232-4340-AED5-CD3F6DAF145D}"/>
            </c:ext>
          </c:extLst>
        </c:ser>
        <c:ser>
          <c:idx val="11"/>
          <c:order val="11"/>
          <c:tx>
            <c:strRef>
              <c:f>'6.8 BWERA-KIKORONGO'!$AD$9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'6.8 BWERA-KIKORONGO'!$AD$10:$AD$21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232-4340-AED5-CD3F6DAF1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0922880"/>
        <c:axId val="81133568"/>
      </c:lineChart>
      <c:catAx>
        <c:axId val="80922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1133568"/>
        <c:crosses val="autoZero"/>
        <c:auto val="1"/>
        <c:lblAlgn val="ctr"/>
        <c:lblOffset val="100"/>
        <c:noMultiLvlLbl val="0"/>
      </c:catAx>
      <c:valAx>
        <c:axId val="81133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0922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496-4C9C-BA89-19C872160E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496-4C9C-BA89-19C872160E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496-4C9C-BA89-19C872160E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496-4C9C-BA89-19C872160E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496-4C9C-BA89-19C872160E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496-4C9C-BA89-19C872160E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496-4C9C-BA89-19C872160E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496-4C9C-BA89-19C872160E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496-4C9C-BA89-19C872160E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496-4C9C-BA89-19C872160E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496-4C9C-BA89-19C872160E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496-4C9C-BA89-19C872160E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496-4C9C-BA89-19C872160E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'6.8 BWERA-KIKORONGO'!$C$9:$N$9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'6.8 BWERA-KIKORONGO'!$C$60:$N$60</c:f>
              <c:numCache>
                <c:formatCode>0.00%</c:formatCode>
                <c:ptCount val="12"/>
                <c:pt idx="0">
                  <c:v>0.41044776119402987</c:v>
                </c:pt>
                <c:pt idx="1">
                  <c:v>0</c:v>
                </c:pt>
                <c:pt idx="2">
                  <c:v>0.17910447761194029</c:v>
                </c:pt>
                <c:pt idx="3">
                  <c:v>0.21828358208955223</c:v>
                </c:pt>
                <c:pt idx="4">
                  <c:v>1.8656716417910447E-3</c:v>
                </c:pt>
                <c:pt idx="5">
                  <c:v>5.597014925373134E-3</c:v>
                </c:pt>
                <c:pt idx="6">
                  <c:v>0.12313432835820895</c:v>
                </c:pt>
                <c:pt idx="7">
                  <c:v>9.3283582089552231E-3</c:v>
                </c:pt>
                <c:pt idx="8">
                  <c:v>0</c:v>
                </c:pt>
                <c:pt idx="9">
                  <c:v>5.2238805970149252E-2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496-4C9C-BA89-19C872160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'7.8 KIKORONGO-BWERA'!$AE$9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'7.8 KIKORONGO-BWERA'!$R$10:$R$21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'7.8 KIKORONGO-BWERA'!$AE$10:$AE$21</c:f>
              <c:numCache>
                <c:formatCode>0</c:formatCode>
                <c:ptCount val="12"/>
                <c:pt idx="0">
                  <c:v>32</c:v>
                </c:pt>
                <c:pt idx="1">
                  <c:v>31</c:v>
                </c:pt>
                <c:pt idx="2">
                  <c:v>32</c:v>
                </c:pt>
                <c:pt idx="3">
                  <c:v>38</c:v>
                </c:pt>
                <c:pt idx="4">
                  <c:v>34</c:v>
                </c:pt>
                <c:pt idx="5">
                  <c:v>33</c:v>
                </c:pt>
                <c:pt idx="6">
                  <c:v>50</c:v>
                </c:pt>
                <c:pt idx="7">
                  <c:v>43</c:v>
                </c:pt>
                <c:pt idx="8">
                  <c:v>43</c:v>
                </c:pt>
                <c:pt idx="9">
                  <c:v>48</c:v>
                </c:pt>
                <c:pt idx="10">
                  <c:v>49</c:v>
                </c:pt>
                <c:pt idx="11">
                  <c:v>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D8-486C-94F6-6CD386BE52F0}"/>
            </c:ext>
          </c:extLst>
        </c:ser>
        <c:ser>
          <c:idx val="1"/>
          <c:order val="1"/>
          <c:tx>
            <c:strRef>
              <c:f>'7.8 KIKORONGO-BWERA'!$AF$9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'7.8 KIKORONGO-BWERA'!$R$10:$R$21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'7.8 KIKORONGO-BWERA'!$AF$10:$AF$21</c:f>
              <c:numCache>
                <c:formatCode>0</c:formatCode>
                <c:ptCount val="12"/>
                <c:pt idx="0">
                  <c:v>53</c:v>
                </c:pt>
                <c:pt idx="1">
                  <c:v>49</c:v>
                </c:pt>
                <c:pt idx="2">
                  <c:v>46</c:v>
                </c:pt>
                <c:pt idx="3">
                  <c:v>50</c:v>
                </c:pt>
                <c:pt idx="4">
                  <c:v>54</c:v>
                </c:pt>
                <c:pt idx="5">
                  <c:v>40</c:v>
                </c:pt>
                <c:pt idx="6">
                  <c:v>69</c:v>
                </c:pt>
                <c:pt idx="7">
                  <c:v>52</c:v>
                </c:pt>
                <c:pt idx="8">
                  <c:v>54</c:v>
                </c:pt>
                <c:pt idx="9">
                  <c:v>55</c:v>
                </c:pt>
                <c:pt idx="10">
                  <c:v>64</c:v>
                </c:pt>
                <c:pt idx="11">
                  <c:v>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6D8-486C-94F6-6CD386BE5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230848"/>
        <c:axId val="81237120"/>
      </c:lineChart>
      <c:catAx>
        <c:axId val="8123084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1237120"/>
        <c:crosses val="autoZero"/>
        <c:auto val="1"/>
        <c:lblAlgn val="ctr"/>
        <c:lblOffset val="100"/>
        <c:noMultiLvlLbl val="0"/>
      </c:catAx>
      <c:valAx>
        <c:axId val="812371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1230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B3F-4B31-952A-3E8EFBAD12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B3F-4B31-952A-3E8EFBAD12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B3F-4B31-952A-3E8EFBAD12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B3F-4B31-952A-3E8EFBAD12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B3F-4B31-952A-3E8EFBAD12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B3F-4B31-952A-3E8EFBAD12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B3F-4B31-952A-3E8EFBAD12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B3F-4B31-952A-3E8EFBAD12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B3F-4B31-952A-3E8EFBAD12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B3F-4B31-952A-3E8EFBAD12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B3F-4B31-952A-3E8EFBAD12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B3F-4B31-952A-3E8EFBAD12A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B3F-4B31-952A-3E8EFBAD12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'7.8 KIKORONGO-BWERA'!$C$9:$N$9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'7.8 KIKORONGO-BWERA'!$C$59:$N$59</c:f>
              <c:numCache>
                <c:formatCode>0.0%</c:formatCode>
                <c:ptCount val="12"/>
                <c:pt idx="0">
                  <c:v>0.1834862385321101</c:v>
                </c:pt>
                <c:pt idx="1">
                  <c:v>0</c:v>
                </c:pt>
                <c:pt idx="2">
                  <c:v>0.18042813455657492</c:v>
                </c:pt>
                <c:pt idx="3">
                  <c:v>0.18807339449541285</c:v>
                </c:pt>
                <c:pt idx="4">
                  <c:v>0</c:v>
                </c:pt>
                <c:pt idx="5">
                  <c:v>1.834862385321101E-2</c:v>
                </c:pt>
                <c:pt idx="6">
                  <c:v>6.8807339449541288E-2</c:v>
                </c:pt>
                <c:pt idx="7">
                  <c:v>7.6452599388379203E-3</c:v>
                </c:pt>
                <c:pt idx="8">
                  <c:v>6.2691131498470942E-2</c:v>
                </c:pt>
                <c:pt idx="9">
                  <c:v>3.2110091743119268E-2</c:v>
                </c:pt>
                <c:pt idx="10">
                  <c:v>0.25840978593272174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B3F-4B31-952A-3E8EFBAD1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'7.8 KIKORONGO-BWERA'!$S$9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'7.8 KIKORONGO-BWERA'!$R$10:$R$21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'7.8 KIKORONGO-BWERA'!$S$10:$S$21</c:f>
              <c:numCache>
                <c:formatCode>0</c:formatCode>
                <c:ptCount val="12"/>
                <c:pt idx="0">
                  <c:v>8</c:v>
                </c:pt>
                <c:pt idx="1">
                  <c:v>7</c:v>
                </c:pt>
                <c:pt idx="2">
                  <c:v>14</c:v>
                </c:pt>
                <c:pt idx="3">
                  <c:v>4</c:v>
                </c:pt>
                <c:pt idx="4">
                  <c:v>13</c:v>
                </c:pt>
                <c:pt idx="5">
                  <c:v>9</c:v>
                </c:pt>
                <c:pt idx="6">
                  <c:v>12</c:v>
                </c:pt>
                <c:pt idx="7">
                  <c:v>12</c:v>
                </c:pt>
                <c:pt idx="8">
                  <c:v>7</c:v>
                </c:pt>
                <c:pt idx="9">
                  <c:v>11</c:v>
                </c:pt>
                <c:pt idx="10">
                  <c:v>13</c:v>
                </c:pt>
                <c:pt idx="11">
                  <c:v>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E7-484C-BD81-92E397547986}"/>
            </c:ext>
          </c:extLst>
        </c:ser>
        <c:ser>
          <c:idx val="1"/>
          <c:order val="1"/>
          <c:tx>
            <c:strRef>
              <c:f>'7.8 KIKORONGO-BWERA'!$T$9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'7.8 KIKORONGO-BWERA'!$R$10:$R$21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'7.8 KIKORONGO-BWERA'!$T$10:$T$21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E7-484C-BD81-92E397547986}"/>
            </c:ext>
          </c:extLst>
        </c:ser>
        <c:ser>
          <c:idx val="2"/>
          <c:order val="2"/>
          <c:tx>
            <c:strRef>
              <c:f>'7.8 KIKORONGO-BWERA'!$U$9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'7.8 KIKORONGO-BWERA'!$U$10:$U$21</c:f>
              <c:numCache>
                <c:formatCode>0</c:formatCode>
                <c:ptCount val="12"/>
                <c:pt idx="0">
                  <c:v>5</c:v>
                </c:pt>
                <c:pt idx="1">
                  <c:v>8</c:v>
                </c:pt>
                <c:pt idx="2">
                  <c:v>4</c:v>
                </c:pt>
                <c:pt idx="3">
                  <c:v>9</c:v>
                </c:pt>
                <c:pt idx="4">
                  <c:v>5</c:v>
                </c:pt>
                <c:pt idx="5">
                  <c:v>9</c:v>
                </c:pt>
                <c:pt idx="6">
                  <c:v>9</c:v>
                </c:pt>
                <c:pt idx="7">
                  <c:v>11</c:v>
                </c:pt>
                <c:pt idx="8">
                  <c:v>11</c:v>
                </c:pt>
                <c:pt idx="9">
                  <c:v>13</c:v>
                </c:pt>
                <c:pt idx="10">
                  <c:v>17</c:v>
                </c:pt>
                <c:pt idx="11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7-484C-BD81-92E397547986}"/>
            </c:ext>
          </c:extLst>
        </c:ser>
        <c:ser>
          <c:idx val="3"/>
          <c:order val="3"/>
          <c:tx>
            <c:strRef>
              <c:f>'7.8 KIKORONGO-BWERA'!$V$9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'7.8 KIKORONGO-BWERA'!$V$10:$V$21</c:f>
              <c:numCache>
                <c:formatCode>0</c:formatCode>
                <c:ptCount val="12"/>
                <c:pt idx="0">
                  <c:v>11</c:v>
                </c:pt>
                <c:pt idx="1">
                  <c:v>16</c:v>
                </c:pt>
                <c:pt idx="2">
                  <c:v>10</c:v>
                </c:pt>
                <c:pt idx="3">
                  <c:v>14</c:v>
                </c:pt>
                <c:pt idx="4">
                  <c:v>5</c:v>
                </c:pt>
                <c:pt idx="5">
                  <c:v>5</c:v>
                </c:pt>
                <c:pt idx="6">
                  <c:v>12</c:v>
                </c:pt>
                <c:pt idx="7">
                  <c:v>7</c:v>
                </c:pt>
                <c:pt idx="8">
                  <c:v>11</c:v>
                </c:pt>
                <c:pt idx="9">
                  <c:v>8</c:v>
                </c:pt>
                <c:pt idx="10">
                  <c:v>11</c:v>
                </c:pt>
                <c:pt idx="1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E7-484C-BD81-92E397547986}"/>
            </c:ext>
          </c:extLst>
        </c:ser>
        <c:ser>
          <c:idx val="4"/>
          <c:order val="4"/>
          <c:tx>
            <c:strRef>
              <c:f>'7.8 KIKORONGO-BWERA'!$W$9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'7.8 KIKORONGO-BWERA'!$W$10:$W$21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E7-484C-BD81-92E397547986}"/>
            </c:ext>
          </c:extLst>
        </c:ser>
        <c:ser>
          <c:idx val="5"/>
          <c:order val="5"/>
          <c:tx>
            <c:strRef>
              <c:f>'7.8 KIKORONGO-BWERA'!$X$9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'7.8 KIKORONGO-BWERA'!$X$10:$X$21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2</c:v>
                </c:pt>
                <c:pt idx="7">
                  <c:v>0</c:v>
                </c:pt>
                <c:pt idx="8">
                  <c:v>1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E7-484C-BD81-92E397547986}"/>
            </c:ext>
          </c:extLst>
        </c:ser>
        <c:ser>
          <c:idx val="6"/>
          <c:order val="6"/>
          <c:tx>
            <c:strRef>
              <c:f>'7.8 KIKORONGO-BWERA'!$Y$9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'7.8 KIKORONGO-BWERA'!$Y$10:$Y$21</c:f>
              <c:numCache>
                <c:formatCode>0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1</c:v>
                </c:pt>
                <c:pt idx="3">
                  <c:v>5</c:v>
                </c:pt>
                <c:pt idx="4">
                  <c:v>2</c:v>
                </c:pt>
                <c:pt idx="5">
                  <c:v>4</c:v>
                </c:pt>
                <c:pt idx="6">
                  <c:v>5</c:v>
                </c:pt>
                <c:pt idx="7">
                  <c:v>5</c:v>
                </c:pt>
                <c:pt idx="8">
                  <c:v>6</c:v>
                </c:pt>
                <c:pt idx="9">
                  <c:v>6</c:v>
                </c:pt>
                <c:pt idx="10">
                  <c:v>2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E7-484C-BD81-92E397547986}"/>
            </c:ext>
          </c:extLst>
        </c:ser>
        <c:ser>
          <c:idx val="7"/>
          <c:order val="7"/>
          <c:tx>
            <c:strRef>
              <c:f>'7.8 KIKORONGO-BWERA'!$Z$9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'7.8 KIKORONGO-BWERA'!$Z$10:$Z$21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E7-484C-BD81-92E397547986}"/>
            </c:ext>
          </c:extLst>
        </c:ser>
        <c:ser>
          <c:idx val="8"/>
          <c:order val="8"/>
          <c:tx>
            <c:strRef>
              <c:f>'7.8 KIKORONGO-BWERA'!$AA$9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'7.8 KIKORONGO-BWERA'!$AA$10:$AA$21</c:f>
              <c:numCache>
                <c:formatCode>0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1</c:v>
                </c:pt>
                <c:pt idx="3">
                  <c:v>5</c:v>
                </c:pt>
                <c:pt idx="4">
                  <c:v>4</c:v>
                </c:pt>
                <c:pt idx="5">
                  <c:v>2</c:v>
                </c:pt>
                <c:pt idx="6">
                  <c:v>5</c:v>
                </c:pt>
                <c:pt idx="7">
                  <c:v>5</c:v>
                </c:pt>
                <c:pt idx="8">
                  <c:v>6</c:v>
                </c:pt>
                <c:pt idx="9">
                  <c:v>4</c:v>
                </c:pt>
                <c:pt idx="10">
                  <c:v>2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E7-484C-BD81-92E397547986}"/>
            </c:ext>
          </c:extLst>
        </c:ser>
        <c:ser>
          <c:idx val="9"/>
          <c:order val="9"/>
          <c:tx>
            <c:strRef>
              <c:f>'7.8 KIKORONGO-BWERA'!$AB$9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'7.8 KIKORONGO-BWERA'!$AB$10:$AB$21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4</c:v>
                </c:pt>
                <c:pt idx="5">
                  <c:v>2</c:v>
                </c:pt>
                <c:pt idx="6">
                  <c:v>5</c:v>
                </c:pt>
                <c:pt idx="7">
                  <c:v>3</c:v>
                </c:pt>
                <c:pt idx="8">
                  <c:v>1</c:v>
                </c:pt>
                <c:pt idx="9">
                  <c:v>3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E7-484C-BD81-92E397547986}"/>
            </c:ext>
          </c:extLst>
        </c:ser>
        <c:ser>
          <c:idx val="10"/>
          <c:order val="10"/>
          <c:tx>
            <c:strRef>
              <c:f>'7.8 KIKORONGO-BWERA'!$AC$9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'7.8 KIKORONGO-BWERA'!$AC$10:$AC$21</c:f>
              <c:numCache>
                <c:formatCode>0</c:formatCode>
                <c:ptCount val="12"/>
                <c:pt idx="0">
                  <c:v>21</c:v>
                </c:pt>
                <c:pt idx="1">
                  <c:v>18</c:v>
                </c:pt>
                <c:pt idx="2">
                  <c:v>14</c:v>
                </c:pt>
                <c:pt idx="3">
                  <c:v>12</c:v>
                </c:pt>
                <c:pt idx="4">
                  <c:v>20</c:v>
                </c:pt>
                <c:pt idx="5">
                  <c:v>7</c:v>
                </c:pt>
                <c:pt idx="6">
                  <c:v>19</c:v>
                </c:pt>
                <c:pt idx="7">
                  <c:v>9</c:v>
                </c:pt>
                <c:pt idx="8">
                  <c:v>11</c:v>
                </c:pt>
                <c:pt idx="9">
                  <c:v>7</c:v>
                </c:pt>
                <c:pt idx="10">
                  <c:v>15</c:v>
                </c:pt>
                <c:pt idx="11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E7-484C-BD81-92E397547986}"/>
            </c:ext>
          </c:extLst>
        </c:ser>
        <c:ser>
          <c:idx val="11"/>
          <c:order val="11"/>
          <c:tx>
            <c:strRef>
              <c:f>'7.8 KIKORONGO-BWERA'!$AD$9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'7.8 KIKORONGO-BWERA'!$AD$10:$AD$21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E7-484C-BD81-92E397547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4446336"/>
        <c:axId val="94447872"/>
      </c:lineChart>
      <c:catAx>
        <c:axId val="94446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4447872"/>
        <c:crosses val="autoZero"/>
        <c:auto val="1"/>
        <c:lblAlgn val="ctr"/>
        <c:lblOffset val="100"/>
        <c:noMultiLvlLbl val="0"/>
      </c:catAx>
      <c:valAx>
        <c:axId val="94447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4446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13E-4D2A-8551-63DD0883CC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13E-4D2A-8551-63DD0883CC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13E-4D2A-8551-63DD0883CC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13E-4D2A-8551-63DD0883CC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13E-4D2A-8551-63DD0883CC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13E-4D2A-8551-63DD0883CC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13E-4D2A-8551-63DD0883CC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13E-4D2A-8551-63DD0883CC0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13E-4D2A-8551-63DD0883CC0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13E-4D2A-8551-63DD0883CC0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13E-4D2A-8551-63DD0883CC0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13E-4D2A-8551-63DD0883CC0B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13E-4D2A-8551-63DD0883CC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'7.8 KIKORONGO-BWERA'!$C$9:$N$9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'7.8 KIKORONGO-BWERA'!$C$60:$N$60</c:f>
              <c:numCache>
                <c:formatCode>0.00%</c:formatCode>
                <c:ptCount val="12"/>
                <c:pt idx="0">
                  <c:v>0.24742268041237114</c:v>
                </c:pt>
                <c:pt idx="1">
                  <c:v>0</c:v>
                </c:pt>
                <c:pt idx="2">
                  <c:v>0.24329896907216494</c:v>
                </c:pt>
                <c:pt idx="3">
                  <c:v>0.2536082474226804</c:v>
                </c:pt>
                <c:pt idx="4">
                  <c:v>0</c:v>
                </c:pt>
                <c:pt idx="5">
                  <c:v>2.4742268041237112E-2</c:v>
                </c:pt>
                <c:pt idx="6">
                  <c:v>9.2783505154639179E-2</c:v>
                </c:pt>
                <c:pt idx="7">
                  <c:v>1.0309278350515464E-2</c:v>
                </c:pt>
                <c:pt idx="8">
                  <c:v>8.4536082474226809E-2</c:v>
                </c:pt>
                <c:pt idx="9">
                  <c:v>4.3298969072164947E-2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13E-4D2A-8551-63DD0883C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'7.8 BWERA-KIKORONGO'!$AE$9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'7.8 BWERA-KIKORONGO'!$R$10:$R$21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'7.8 BWERA-KIKORONGO'!$AE$10:$AE$21</c:f>
              <c:numCache>
                <c:formatCode>0</c:formatCode>
                <c:ptCount val="12"/>
                <c:pt idx="0">
                  <c:v>24</c:v>
                </c:pt>
                <c:pt idx="1">
                  <c:v>24</c:v>
                </c:pt>
                <c:pt idx="2">
                  <c:v>41</c:v>
                </c:pt>
                <c:pt idx="3">
                  <c:v>50</c:v>
                </c:pt>
                <c:pt idx="4">
                  <c:v>49</c:v>
                </c:pt>
                <c:pt idx="5">
                  <c:v>35</c:v>
                </c:pt>
                <c:pt idx="6">
                  <c:v>42</c:v>
                </c:pt>
                <c:pt idx="7">
                  <c:v>34</c:v>
                </c:pt>
                <c:pt idx="8">
                  <c:v>37</c:v>
                </c:pt>
                <c:pt idx="9">
                  <c:v>39</c:v>
                </c:pt>
                <c:pt idx="10">
                  <c:v>33</c:v>
                </c:pt>
                <c:pt idx="11">
                  <c:v>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57-4E01-B444-33D7FA1808CD}"/>
            </c:ext>
          </c:extLst>
        </c:ser>
        <c:ser>
          <c:idx val="1"/>
          <c:order val="1"/>
          <c:tx>
            <c:strRef>
              <c:f>'7.8 BWERA-KIKORONGO'!$AF$9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'7.8 BWERA-KIKORONGO'!$R$10:$R$21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'7.8 BWERA-KIKORONGO'!$AF$10:$AF$21</c:f>
              <c:numCache>
                <c:formatCode>0</c:formatCode>
                <c:ptCount val="12"/>
                <c:pt idx="0">
                  <c:v>37</c:v>
                </c:pt>
                <c:pt idx="1">
                  <c:v>44</c:v>
                </c:pt>
                <c:pt idx="2">
                  <c:v>60</c:v>
                </c:pt>
                <c:pt idx="3">
                  <c:v>71</c:v>
                </c:pt>
                <c:pt idx="4">
                  <c:v>69</c:v>
                </c:pt>
                <c:pt idx="5">
                  <c:v>53</c:v>
                </c:pt>
                <c:pt idx="6">
                  <c:v>56</c:v>
                </c:pt>
                <c:pt idx="7">
                  <c:v>51</c:v>
                </c:pt>
                <c:pt idx="8">
                  <c:v>50</c:v>
                </c:pt>
                <c:pt idx="9">
                  <c:v>51</c:v>
                </c:pt>
                <c:pt idx="10">
                  <c:v>53</c:v>
                </c:pt>
                <c:pt idx="11">
                  <c:v>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57-4E01-B444-33D7FA180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941568"/>
        <c:axId val="96943488"/>
      </c:lineChart>
      <c:catAx>
        <c:axId val="9694156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6943488"/>
        <c:crosses val="autoZero"/>
        <c:auto val="1"/>
        <c:lblAlgn val="ctr"/>
        <c:lblOffset val="100"/>
        <c:noMultiLvlLbl val="0"/>
      </c:catAx>
      <c:valAx>
        <c:axId val="9694348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6941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61-4E7D-9CEC-CABF73E743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61-4E7D-9CEC-CABF73E743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61-4E7D-9CEC-CABF73E743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161-4E7D-9CEC-CABF73E743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161-4E7D-9CEC-CABF73E743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161-4E7D-9CEC-CABF73E743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161-4E7D-9CEC-CABF73E743E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161-4E7D-9CEC-CABF73E743E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161-4E7D-9CEC-CABF73E743E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161-4E7D-9CEC-CABF73E743E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161-4E7D-9CEC-CABF73E743E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161-4E7D-9CEC-CABF73E743E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161-4E7D-9CEC-CABF73E743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'7.8 BWERA-KIKORONGO'!$C$9:$N$9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'7.8 BWERA-KIKORONGO'!$C$59:$N$59</c:f>
              <c:numCache>
                <c:formatCode>0.0%</c:formatCode>
                <c:ptCount val="12"/>
                <c:pt idx="0">
                  <c:v>0.24246987951807228</c:v>
                </c:pt>
                <c:pt idx="1">
                  <c:v>0</c:v>
                </c:pt>
                <c:pt idx="2">
                  <c:v>0.13403614457831325</c:v>
                </c:pt>
                <c:pt idx="3">
                  <c:v>0.17921686746987953</c:v>
                </c:pt>
                <c:pt idx="4">
                  <c:v>1.5060240963855422E-3</c:v>
                </c:pt>
                <c:pt idx="5">
                  <c:v>6.024096385542169E-3</c:v>
                </c:pt>
                <c:pt idx="6">
                  <c:v>3.1626506024096383E-2</c:v>
                </c:pt>
                <c:pt idx="7">
                  <c:v>4.9698795180722892E-2</c:v>
                </c:pt>
                <c:pt idx="8">
                  <c:v>0</c:v>
                </c:pt>
                <c:pt idx="9">
                  <c:v>4.0662650602409638E-2</c:v>
                </c:pt>
                <c:pt idx="10">
                  <c:v>0.31475903614457829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161-4E7D-9CEC-CABF73E74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E42-4CDD-86E3-A4C2F2E44A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E42-4CDD-86E3-A4C2F2E44A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E42-4CDD-86E3-A4C2F2E44A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E42-4CDD-86E3-A4C2F2E44A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E42-4CDD-86E3-A4C2F2E44A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E42-4CDD-86E3-A4C2F2E44A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E42-4CDD-86E3-A4C2F2E44AF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E42-4CDD-86E3-A4C2F2E44AF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E42-4CDD-86E3-A4C2F2E44AF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E42-4CDD-86E3-A4C2F2E44AF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E42-4CDD-86E3-A4C2F2E44AF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E42-4CDD-86E3-A4C2F2E44AF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E42-4CDD-86E3-A4C2F2E44A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'7.8 BWERA-KIKORONGO'!$C$9:$N$9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'7.8 BWERA-KIKORONGO'!$C$60:$N$60</c:f>
              <c:numCache>
                <c:formatCode>0.00%</c:formatCode>
                <c:ptCount val="12"/>
                <c:pt idx="0">
                  <c:v>0.35384615384615387</c:v>
                </c:pt>
                <c:pt idx="1">
                  <c:v>0</c:v>
                </c:pt>
                <c:pt idx="2">
                  <c:v>0.1956043956043956</c:v>
                </c:pt>
                <c:pt idx="3">
                  <c:v>0.26153846153846155</c:v>
                </c:pt>
                <c:pt idx="4">
                  <c:v>2.1978021978021978E-3</c:v>
                </c:pt>
                <c:pt idx="5">
                  <c:v>8.7912087912087912E-3</c:v>
                </c:pt>
                <c:pt idx="6">
                  <c:v>4.6153846153846156E-2</c:v>
                </c:pt>
                <c:pt idx="7">
                  <c:v>7.2527472527472533E-2</c:v>
                </c:pt>
                <c:pt idx="8">
                  <c:v>0</c:v>
                </c:pt>
                <c:pt idx="9">
                  <c:v>5.9340659340659338E-2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E42-4CDD-86E3-A4C2F2E44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'8.8 KIKORONGO-BWERA-24hr'!$AE$9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'8.8 KIKORONGO-BWERA-24hr'!$R$10:$R$33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'8.8 KIKORONGO-BWERA-24hr'!$AE$10:$AE$33</c:f>
              <c:numCache>
                <c:formatCode>0</c:formatCode>
                <c:ptCount val="24"/>
                <c:pt idx="0">
                  <c:v>29</c:v>
                </c:pt>
                <c:pt idx="1">
                  <c:v>35</c:v>
                </c:pt>
                <c:pt idx="2">
                  <c:v>45</c:v>
                </c:pt>
                <c:pt idx="3">
                  <c:v>39</c:v>
                </c:pt>
                <c:pt idx="4">
                  <c:v>33</c:v>
                </c:pt>
                <c:pt idx="5">
                  <c:v>48</c:v>
                </c:pt>
                <c:pt idx="6">
                  <c:v>39</c:v>
                </c:pt>
                <c:pt idx="7">
                  <c:v>40</c:v>
                </c:pt>
                <c:pt idx="8">
                  <c:v>52</c:v>
                </c:pt>
                <c:pt idx="9">
                  <c:v>52</c:v>
                </c:pt>
                <c:pt idx="10">
                  <c:v>68</c:v>
                </c:pt>
                <c:pt idx="11">
                  <c:v>34</c:v>
                </c:pt>
                <c:pt idx="12">
                  <c:v>48</c:v>
                </c:pt>
                <c:pt idx="13">
                  <c:v>20</c:v>
                </c:pt>
                <c:pt idx="14">
                  <c:v>18</c:v>
                </c:pt>
                <c:pt idx="15">
                  <c:v>13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3</c:v>
                </c:pt>
                <c:pt idx="23">
                  <c:v>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C2-4A7B-9B5C-FEA0112544F4}"/>
            </c:ext>
          </c:extLst>
        </c:ser>
        <c:ser>
          <c:idx val="1"/>
          <c:order val="1"/>
          <c:tx>
            <c:strRef>
              <c:f>'8.8 KIKORONGO-BWERA-24hr'!$AF$9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'8.8 KIKORONGO-BWERA-24hr'!$R$10:$R$33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'8.8 KIKORONGO-BWERA-24hr'!$AF$10:$AF$33</c:f>
              <c:numCache>
                <c:formatCode>0</c:formatCode>
                <c:ptCount val="24"/>
                <c:pt idx="0">
                  <c:v>42</c:v>
                </c:pt>
                <c:pt idx="1">
                  <c:v>57</c:v>
                </c:pt>
                <c:pt idx="2">
                  <c:v>55</c:v>
                </c:pt>
                <c:pt idx="3">
                  <c:v>49</c:v>
                </c:pt>
                <c:pt idx="4">
                  <c:v>41</c:v>
                </c:pt>
                <c:pt idx="5">
                  <c:v>62</c:v>
                </c:pt>
                <c:pt idx="6">
                  <c:v>50</c:v>
                </c:pt>
                <c:pt idx="7">
                  <c:v>48</c:v>
                </c:pt>
                <c:pt idx="8">
                  <c:v>61</c:v>
                </c:pt>
                <c:pt idx="9">
                  <c:v>72</c:v>
                </c:pt>
                <c:pt idx="10">
                  <c:v>79</c:v>
                </c:pt>
                <c:pt idx="11">
                  <c:v>40</c:v>
                </c:pt>
                <c:pt idx="12">
                  <c:v>58</c:v>
                </c:pt>
                <c:pt idx="13">
                  <c:v>25</c:v>
                </c:pt>
                <c:pt idx="14">
                  <c:v>18</c:v>
                </c:pt>
                <c:pt idx="15">
                  <c:v>14</c:v>
                </c:pt>
                <c:pt idx="16">
                  <c:v>1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3</c:v>
                </c:pt>
                <c:pt idx="23">
                  <c:v>24.533119835502369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C2-4A7B-9B5C-FEA011254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293440"/>
        <c:axId val="97295360"/>
      </c:lineChart>
      <c:catAx>
        <c:axId val="972934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7295360"/>
        <c:crosses val="autoZero"/>
        <c:auto val="1"/>
        <c:lblAlgn val="ctr"/>
        <c:lblOffset val="100"/>
        <c:noMultiLvlLbl val="0"/>
      </c:catAx>
      <c:valAx>
        <c:axId val="9729536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7293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3B-4B95-BFC1-AB46B6A1DA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3B-4B95-BFC1-AB46B6A1DA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3B-4B95-BFC1-AB46B6A1DA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3B-4B95-BFC1-AB46B6A1DA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3B-4B95-BFC1-AB46B6A1DA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43B-4B95-BFC1-AB46B6A1DA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43B-4B95-BFC1-AB46B6A1DA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43B-4B95-BFC1-AB46B6A1DAB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43B-4B95-BFC1-AB46B6A1DA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43B-4B95-BFC1-AB46B6A1DA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43B-4B95-BFC1-AB46B6A1DAB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43B-4B95-BFC1-AB46B6A1DAB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43B-4B95-BFC1-AB46B6A1D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'8.8 KIKORONGO-BWERA-24hr'!$C$9:$N$9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'8.8 KIKORONGO-BWERA-24hr'!$C$107:$N$107</c:f>
              <c:numCache>
                <c:formatCode>0.0%</c:formatCode>
                <c:ptCount val="12"/>
                <c:pt idx="0">
                  <c:v>4.9966702199928225E-3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2.4983351099964113E-3</c:v>
                </c:pt>
                <c:pt idx="7">
                  <c:v>0</c:v>
                </c:pt>
                <c:pt idx="8">
                  <c:v>0</c:v>
                </c:pt>
                <c:pt idx="9">
                  <c:v>6.1209210194912073E-2</c:v>
                </c:pt>
                <c:pt idx="10">
                  <c:v>1.2491675549982056E-3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43B-4B95-BFC1-AB46B6A1D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889-4F07-A028-107AA614C7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889-4F07-A028-107AA614C7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889-4F07-A028-107AA614C7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889-4F07-A028-107AA614C7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889-4F07-A028-107AA614C72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889-4F07-A028-107AA614C7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889-4F07-A028-107AA614C72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889-4F07-A028-107AA614C72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889-4F07-A028-107AA614C72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889-4F07-A028-107AA614C72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889-4F07-A028-107AA614C72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889-4F07-A028-107AA614C72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89-4F07-A028-107AA614C7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'8.8 KIKORONGO-BWERA-24hr'!$C$9:$N$9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'8.8 KIKORONGO-BWERA-24hr'!$C$108:$N$108</c:f>
              <c:numCache>
                <c:formatCode>0.00%</c:formatCode>
                <c:ptCount val="12"/>
                <c:pt idx="0">
                  <c:v>6.2893081761006293E-3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3.1446540880503146E-3</c:v>
                </c:pt>
                <c:pt idx="7">
                  <c:v>0</c:v>
                </c:pt>
                <c:pt idx="8">
                  <c:v>0</c:v>
                </c:pt>
                <c:pt idx="9">
                  <c:v>7.7044025157232701E-2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889-4F07-A028-107AA614C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'8.8 BWERA-KIKORONGO-24h'!$AE$9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'8.8 BWERA-KIKORONGO-24h'!$R$10:$R$33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'8.8 BWERA-KIKORONGO-24h'!$AE$10:$AE$33</c:f>
              <c:numCache>
                <c:formatCode>0</c:formatCode>
                <c:ptCount val="24"/>
                <c:pt idx="0">
                  <c:v>23</c:v>
                </c:pt>
                <c:pt idx="1">
                  <c:v>40</c:v>
                </c:pt>
                <c:pt idx="2">
                  <c:v>54</c:v>
                </c:pt>
                <c:pt idx="3">
                  <c:v>82</c:v>
                </c:pt>
                <c:pt idx="4">
                  <c:v>53</c:v>
                </c:pt>
                <c:pt idx="5">
                  <c:v>56</c:v>
                </c:pt>
                <c:pt idx="6">
                  <c:v>92</c:v>
                </c:pt>
                <c:pt idx="7">
                  <c:v>103</c:v>
                </c:pt>
                <c:pt idx="8">
                  <c:v>61</c:v>
                </c:pt>
                <c:pt idx="9">
                  <c:v>90</c:v>
                </c:pt>
                <c:pt idx="10">
                  <c:v>76</c:v>
                </c:pt>
                <c:pt idx="11">
                  <c:v>53</c:v>
                </c:pt>
                <c:pt idx="12">
                  <c:v>42</c:v>
                </c:pt>
                <c:pt idx="13">
                  <c:v>35</c:v>
                </c:pt>
                <c:pt idx="14">
                  <c:v>24</c:v>
                </c:pt>
                <c:pt idx="15">
                  <c:v>10</c:v>
                </c:pt>
                <c:pt idx="16">
                  <c:v>17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4</c:v>
                </c:pt>
                <c:pt idx="22">
                  <c:v>13</c:v>
                </c:pt>
                <c:pt idx="23">
                  <c:v>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7C-43E4-8D98-AF01AC8ABB92}"/>
            </c:ext>
          </c:extLst>
        </c:ser>
        <c:ser>
          <c:idx val="1"/>
          <c:order val="1"/>
          <c:tx>
            <c:strRef>
              <c:f>'8.8 BWERA-KIKORONGO-24h'!$AF$9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'8.8 BWERA-KIKORONGO-24h'!$R$10:$R$33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'8.8 BWERA-KIKORONGO-24h'!$AF$10:$AF$33</c:f>
              <c:numCache>
                <c:formatCode>0</c:formatCode>
                <c:ptCount val="24"/>
                <c:pt idx="0">
                  <c:v>30</c:v>
                </c:pt>
                <c:pt idx="1">
                  <c:v>58</c:v>
                </c:pt>
                <c:pt idx="2">
                  <c:v>67</c:v>
                </c:pt>
                <c:pt idx="3">
                  <c:v>92</c:v>
                </c:pt>
                <c:pt idx="4">
                  <c:v>68</c:v>
                </c:pt>
                <c:pt idx="5">
                  <c:v>80</c:v>
                </c:pt>
                <c:pt idx="6">
                  <c:v>113</c:v>
                </c:pt>
                <c:pt idx="7">
                  <c:v>128</c:v>
                </c:pt>
                <c:pt idx="8">
                  <c:v>78</c:v>
                </c:pt>
                <c:pt idx="9">
                  <c:v>106</c:v>
                </c:pt>
                <c:pt idx="10">
                  <c:v>84</c:v>
                </c:pt>
                <c:pt idx="11">
                  <c:v>66</c:v>
                </c:pt>
                <c:pt idx="12">
                  <c:v>56</c:v>
                </c:pt>
                <c:pt idx="13">
                  <c:v>42</c:v>
                </c:pt>
                <c:pt idx="14">
                  <c:v>25</c:v>
                </c:pt>
                <c:pt idx="15">
                  <c:v>10</c:v>
                </c:pt>
                <c:pt idx="16">
                  <c:v>18</c:v>
                </c:pt>
                <c:pt idx="17">
                  <c:v>1</c:v>
                </c:pt>
                <c:pt idx="18">
                  <c:v>2</c:v>
                </c:pt>
                <c:pt idx="19">
                  <c:v>0</c:v>
                </c:pt>
                <c:pt idx="20">
                  <c:v>0</c:v>
                </c:pt>
                <c:pt idx="21">
                  <c:v>4</c:v>
                </c:pt>
                <c:pt idx="22">
                  <c:v>13</c:v>
                </c:pt>
                <c:pt idx="23">
                  <c:v>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7C-43E4-8D98-AF01AC8AB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9111680"/>
        <c:axId val="119113600"/>
      </c:lineChart>
      <c:catAx>
        <c:axId val="11911168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9113600"/>
        <c:crosses val="autoZero"/>
        <c:auto val="1"/>
        <c:lblAlgn val="ctr"/>
        <c:lblOffset val="100"/>
        <c:noMultiLvlLbl val="0"/>
      </c:catAx>
      <c:valAx>
        <c:axId val="1191136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9111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33-467E-9052-E80B684A02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33-467E-9052-E80B684A02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33-467E-9052-E80B684A02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33-467E-9052-E80B684A02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33-467E-9052-E80B684A02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33-467E-9052-E80B684A02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33-467E-9052-E80B684A02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33-467E-9052-E80B684A02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33-467E-9052-E80B684A02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33-467E-9052-E80B684A02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533-467E-9052-E80B684A02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533-467E-9052-E80B684A022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533-467E-9052-E80B684A02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'8.8 BWERA-KIKORONGO-24h'!$C$9:$N$9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'8.8 BWERA-KIKORONGO-24h'!$C$107:$N$107</c:f>
              <c:numCache>
                <c:formatCode>0.0%</c:formatCode>
                <c:ptCount val="12"/>
                <c:pt idx="0">
                  <c:v>0.28363324764353043</c:v>
                </c:pt>
                <c:pt idx="1">
                  <c:v>0</c:v>
                </c:pt>
                <c:pt idx="2">
                  <c:v>0.17737789203084833</c:v>
                </c:pt>
                <c:pt idx="3">
                  <c:v>0.18937446443873179</c:v>
                </c:pt>
                <c:pt idx="4">
                  <c:v>0</c:v>
                </c:pt>
                <c:pt idx="5">
                  <c:v>2.3993144815766924E-2</c:v>
                </c:pt>
                <c:pt idx="6">
                  <c:v>1.5424164524421594E-2</c:v>
                </c:pt>
                <c:pt idx="7">
                  <c:v>0.10539845758354756</c:v>
                </c:pt>
                <c:pt idx="8">
                  <c:v>3.4275921165381321E-3</c:v>
                </c:pt>
                <c:pt idx="9">
                  <c:v>1.713796058269066E-2</c:v>
                </c:pt>
                <c:pt idx="10">
                  <c:v>0.181662382176521</c:v>
                </c:pt>
                <c:pt idx="11">
                  <c:v>2.5706940874035988E-3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533-467E-9052-E80B684A0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529-4064-B18B-726F86F611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529-4064-B18B-726F86F611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529-4064-B18B-726F86F611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529-4064-B18B-726F86F611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529-4064-B18B-726F86F611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529-4064-B18B-726F86F6119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529-4064-B18B-726F86F6119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529-4064-B18B-726F86F6119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529-4064-B18B-726F86F611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529-4064-B18B-726F86F6119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529-4064-B18B-726F86F6119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529-4064-B18B-726F86F6119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529-4064-B18B-726F86F611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'8.8 BWERA-KIKORONGO-24h'!$C$9:$N$9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'8.8 BWERA-KIKORONGO-24h'!$C$108:$N$108</c:f>
              <c:numCache>
                <c:formatCode>0.00%</c:formatCode>
                <c:ptCount val="12"/>
                <c:pt idx="0">
                  <c:v>0.34659685863874345</c:v>
                </c:pt>
                <c:pt idx="1">
                  <c:v>0</c:v>
                </c:pt>
                <c:pt idx="2">
                  <c:v>0.21675392670157068</c:v>
                </c:pt>
                <c:pt idx="3">
                  <c:v>0.23141361256544501</c:v>
                </c:pt>
                <c:pt idx="4">
                  <c:v>0</c:v>
                </c:pt>
                <c:pt idx="5">
                  <c:v>2.9319371727748691E-2</c:v>
                </c:pt>
                <c:pt idx="6">
                  <c:v>1.8848167539267015E-2</c:v>
                </c:pt>
                <c:pt idx="7">
                  <c:v>0.12879581151832462</c:v>
                </c:pt>
                <c:pt idx="8">
                  <c:v>4.1884816753926706E-3</c:v>
                </c:pt>
                <c:pt idx="9">
                  <c:v>2.0942408376963352E-2</c:v>
                </c:pt>
                <c:pt idx="11">
                  <c:v>3.1413612565445027E-3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529-4064-B18B-726F86F61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'9.8 KIKORONGO-BWERA'!$AE$9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'9.8 KIKORONGO-BWERA'!$R$10:$R$21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'9.8 KIKORONGO-BWERA'!$AE$10:$AE$21</c:f>
              <c:numCache>
                <c:formatCode>0</c:formatCode>
                <c:ptCount val="12"/>
                <c:pt idx="0">
                  <c:v>35</c:v>
                </c:pt>
                <c:pt idx="1">
                  <c:v>30</c:v>
                </c:pt>
                <c:pt idx="2">
                  <c:v>34</c:v>
                </c:pt>
                <c:pt idx="3">
                  <c:v>36</c:v>
                </c:pt>
                <c:pt idx="4">
                  <c:v>27</c:v>
                </c:pt>
                <c:pt idx="5">
                  <c:v>59</c:v>
                </c:pt>
                <c:pt idx="6">
                  <c:v>49</c:v>
                </c:pt>
                <c:pt idx="7">
                  <c:v>44</c:v>
                </c:pt>
                <c:pt idx="8">
                  <c:v>58</c:v>
                </c:pt>
                <c:pt idx="9">
                  <c:v>43</c:v>
                </c:pt>
                <c:pt idx="10">
                  <c:v>55</c:v>
                </c:pt>
                <c:pt idx="11">
                  <c:v>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C61-4EFF-B3FE-B7ED65A6BB38}"/>
            </c:ext>
          </c:extLst>
        </c:ser>
        <c:ser>
          <c:idx val="1"/>
          <c:order val="1"/>
          <c:tx>
            <c:strRef>
              <c:f>'9.8 KIKORONGO-BWERA'!$AF$9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'9.8 KIKORONGO-BWERA'!$R$10:$R$21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'9.8 KIKORONGO-BWERA'!$AF$10:$AF$21</c:f>
              <c:numCache>
                <c:formatCode>0</c:formatCode>
                <c:ptCount val="12"/>
                <c:pt idx="0">
                  <c:v>56</c:v>
                </c:pt>
                <c:pt idx="1">
                  <c:v>47</c:v>
                </c:pt>
                <c:pt idx="2">
                  <c:v>55</c:v>
                </c:pt>
                <c:pt idx="3">
                  <c:v>47</c:v>
                </c:pt>
                <c:pt idx="4">
                  <c:v>45</c:v>
                </c:pt>
                <c:pt idx="5">
                  <c:v>77</c:v>
                </c:pt>
                <c:pt idx="6">
                  <c:v>59</c:v>
                </c:pt>
                <c:pt idx="7">
                  <c:v>54</c:v>
                </c:pt>
                <c:pt idx="8">
                  <c:v>73</c:v>
                </c:pt>
                <c:pt idx="9">
                  <c:v>47</c:v>
                </c:pt>
                <c:pt idx="10">
                  <c:v>68</c:v>
                </c:pt>
                <c:pt idx="11">
                  <c:v>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C61-4EFF-B3FE-B7ED65A6B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518016"/>
        <c:axId val="192540672"/>
      </c:lineChart>
      <c:catAx>
        <c:axId val="19251801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92540672"/>
        <c:crosses val="autoZero"/>
        <c:auto val="1"/>
        <c:lblAlgn val="ctr"/>
        <c:lblOffset val="100"/>
        <c:noMultiLvlLbl val="0"/>
      </c:catAx>
      <c:valAx>
        <c:axId val="1925406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92518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385-42DE-9260-DCACDBA6D2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385-42DE-9260-DCACDBA6D2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385-42DE-9260-DCACDBA6D2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385-42DE-9260-DCACDBA6D2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385-42DE-9260-DCACDBA6D2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385-42DE-9260-DCACDBA6D2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385-42DE-9260-DCACDBA6D2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385-42DE-9260-DCACDBA6D2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385-42DE-9260-DCACDBA6D2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385-42DE-9260-DCACDBA6D2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385-42DE-9260-DCACDBA6D2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385-42DE-9260-DCACDBA6D28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385-42DE-9260-DCACDBA6D2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'9.8 KIKORONGO-BWERA'!$C$9:$N$9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'9.8 KIKORONGO-BWERA'!$C$59:$N$59</c:f>
              <c:numCache>
                <c:formatCode>0.0%</c:formatCode>
                <c:ptCount val="12"/>
                <c:pt idx="0">
                  <c:v>0.32819074333800841</c:v>
                </c:pt>
                <c:pt idx="1">
                  <c:v>0</c:v>
                </c:pt>
                <c:pt idx="2">
                  <c:v>0.11220196353436185</c:v>
                </c:pt>
                <c:pt idx="3">
                  <c:v>0.16129032258064516</c:v>
                </c:pt>
                <c:pt idx="4">
                  <c:v>0</c:v>
                </c:pt>
                <c:pt idx="5">
                  <c:v>1.4025245441795231E-2</c:v>
                </c:pt>
                <c:pt idx="6">
                  <c:v>0.11079943899018233</c:v>
                </c:pt>
                <c:pt idx="7">
                  <c:v>0</c:v>
                </c:pt>
                <c:pt idx="8">
                  <c:v>1.4025245441795231E-3</c:v>
                </c:pt>
                <c:pt idx="9">
                  <c:v>2.3842917251051893E-2</c:v>
                </c:pt>
                <c:pt idx="10">
                  <c:v>0.24824684431977559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385-42DE-9260-DCACDBA6D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'9.8 KIKORONGO-BWERA'!$S$9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'9.8 KIKORONGO-BWERA'!$R$10:$R$21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'9.8 KIKORONGO-BWERA'!$S$10:$S$21</c:f>
              <c:numCache>
                <c:formatCode>0</c:formatCode>
                <c:ptCount val="12"/>
                <c:pt idx="0">
                  <c:v>24</c:v>
                </c:pt>
                <c:pt idx="1">
                  <c:v>18</c:v>
                </c:pt>
                <c:pt idx="2">
                  <c:v>16</c:v>
                </c:pt>
                <c:pt idx="3">
                  <c:v>16</c:v>
                </c:pt>
                <c:pt idx="4">
                  <c:v>21</c:v>
                </c:pt>
                <c:pt idx="5">
                  <c:v>19</c:v>
                </c:pt>
                <c:pt idx="6">
                  <c:v>17</c:v>
                </c:pt>
                <c:pt idx="7">
                  <c:v>23</c:v>
                </c:pt>
                <c:pt idx="8">
                  <c:v>22</c:v>
                </c:pt>
                <c:pt idx="9">
                  <c:v>20</c:v>
                </c:pt>
                <c:pt idx="10">
                  <c:v>19</c:v>
                </c:pt>
                <c:pt idx="11">
                  <c:v>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565-49B4-8ABB-8A67B7CF0463}"/>
            </c:ext>
          </c:extLst>
        </c:ser>
        <c:ser>
          <c:idx val="1"/>
          <c:order val="1"/>
          <c:tx>
            <c:strRef>
              <c:f>'9.8 KIKORONGO-BWERA'!$T$9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'9.8 KIKORONGO-BWERA'!$R$10:$R$21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'9.8 KIKORONGO-BWERA'!$T$10:$T$21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565-49B4-8ABB-8A67B7CF0463}"/>
            </c:ext>
          </c:extLst>
        </c:ser>
        <c:ser>
          <c:idx val="2"/>
          <c:order val="2"/>
          <c:tx>
            <c:strRef>
              <c:f>'9.8 KIKORONGO-BWERA'!$U$9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'9.8 KIKORONGO-BWERA'!$U$10:$U$21</c:f>
              <c:numCache>
                <c:formatCode>0</c:formatCode>
                <c:ptCount val="12"/>
                <c:pt idx="0">
                  <c:v>4</c:v>
                </c:pt>
                <c:pt idx="1">
                  <c:v>1</c:v>
                </c:pt>
                <c:pt idx="2">
                  <c:v>7</c:v>
                </c:pt>
                <c:pt idx="3">
                  <c:v>4</c:v>
                </c:pt>
                <c:pt idx="4">
                  <c:v>2</c:v>
                </c:pt>
                <c:pt idx="5">
                  <c:v>8</c:v>
                </c:pt>
                <c:pt idx="6">
                  <c:v>14</c:v>
                </c:pt>
                <c:pt idx="7">
                  <c:v>7</c:v>
                </c:pt>
                <c:pt idx="8">
                  <c:v>6</c:v>
                </c:pt>
                <c:pt idx="9">
                  <c:v>6</c:v>
                </c:pt>
                <c:pt idx="10">
                  <c:v>8</c:v>
                </c:pt>
                <c:pt idx="1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65-49B4-8ABB-8A67B7CF0463}"/>
            </c:ext>
          </c:extLst>
        </c:ser>
        <c:ser>
          <c:idx val="3"/>
          <c:order val="3"/>
          <c:tx>
            <c:strRef>
              <c:f>'9.8 KIKORONGO-BWERA'!$V$9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'9.8 KIKORONGO-BWERA'!$V$10:$V$21</c:f>
              <c:numCache>
                <c:formatCode>0</c:formatCode>
                <c:ptCount val="12"/>
                <c:pt idx="0">
                  <c:v>4</c:v>
                </c:pt>
                <c:pt idx="1">
                  <c:v>10</c:v>
                </c:pt>
                <c:pt idx="2">
                  <c:v>6</c:v>
                </c:pt>
                <c:pt idx="3">
                  <c:v>6</c:v>
                </c:pt>
                <c:pt idx="4">
                  <c:v>2</c:v>
                </c:pt>
                <c:pt idx="5">
                  <c:v>18</c:v>
                </c:pt>
                <c:pt idx="6">
                  <c:v>8</c:v>
                </c:pt>
                <c:pt idx="7">
                  <c:v>11</c:v>
                </c:pt>
                <c:pt idx="8">
                  <c:v>16</c:v>
                </c:pt>
                <c:pt idx="9">
                  <c:v>6</c:v>
                </c:pt>
                <c:pt idx="10">
                  <c:v>16</c:v>
                </c:pt>
                <c:pt idx="1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565-49B4-8ABB-8A67B7CF0463}"/>
            </c:ext>
          </c:extLst>
        </c:ser>
        <c:ser>
          <c:idx val="4"/>
          <c:order val="4"/>
          <c:tx>
            <c:strRef>
              <c:f>'9.8 KIKORONGO-BWERA'!$W$9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'9.8 KIKORONGO-BWERA'!$W$10:$W$21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565-49B4-8ABB-8A67B7CF0463}"/>
            </c:ext>
          </c:extLst>
        </c:ser>
        <c:ser>
          <c:idx val="5"/>
          <c:order val="5"/>
          <c:tx>
            <c:strRef>
              <c:f>'9.8 KIKORONGO-BWERA'!$X$9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'9.8 KIKORONGO-BWERA'!$X$10:$X$21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565-49B4-8ABB-8A67B7CF0463}"/>
            </c:ext>
          </c:extLst>
        </c:ser>
        <c:ser>
          <c:idx val="6"/>
          <c:order val="6"/>
          <c:tx>
            <c:strRef>
              <c:f>'9.8 KIKORONGO-BWERA'!$Y$9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'9.8 KIKORONGO-BWERA'!$Y$10:$Y$21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3</c:v>
                </c:pt>
                <c:pt idx="3">
                  <c:v>9</c:v>
                </c:pt>
                <c:pt idx="4">
                  <c:v>1</c:v>
                </c:pt>
                <c:pt idx="5">
                  <c:v>13</c:v>
                </c:pt>
                <c:pt idx="6">
                  <c:v>8</c:v>
                </c:pt>
                <c:pt idx="7">
                  <c:v>0</c:v>
                </c:pt>
                <c:pt idx="8">
                  <c:v>10</c:v>
                </c:pt>
                <c:pt idx="9">
                  <c:v>9</c:v>
                </c:pt>
                <c:pt idx="10">
                  <c:v>9</c:v>
                </c:pt>
                <c:pt idx="11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565-49B4-8ABB-8A67B7CF0463}"/>
            </c:ext>
          </c:extLst>
        </c:ser>
        <c:ser>
          <c:idx val="7"/>
          <c:order val="7"/>
          <c:tx>
            <c:strRef>
              <c:f>'9.8 KIKORONGO-BWERA'!$Z$9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'9.8 KIKORONGO-BWERA'!$Z$10:$Z$21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565-49B4-8ABB-8A67B7CF0463}"/>
            </c:ext>
          </c:extLst>
        </c:ser>
        <c:ser>
          <c:idx val="8"/>
          <c:order val="8"/>
          <c:tx>
            <c:strRef>
              <c:f>'9.8 KIKORONGO-BWERA'!$AA$9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'9.8 KIKORONGO-BWERA'!$AA$10:$AA$21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565-49B4-8ABB-8A67B7CF0463}"/>
            </c:ext>
          </c:extLst>
        </c:ser>
        <c:ser>
          <c:idx val="9"/>
          <c:order val="9"/>
          <c:tx>
            <c:strRef>
              <c:f>'9.8 KIKORONGO-BWERA'!$AB$9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'9.8 KIKORONGO-BWERA'!$AB$10:$AB$21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1</c:v>
                </c:pt>
                <c:pt idx="10">
                  <c:v>2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565-49B4-8ABB-8A67B7CF0463}"/>
            </c:ext>
          </c:extLst>
        </c:ser>
        <c:ser>
          <c:idx val="10"/>
          <c:order val="10"/>
          <c:tx>
            <c:strRef>
              <c:f>'9.8 KIKORONGO-BWERA'!$AC$9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'9.8 KIKORONGO-BWERA'!$AC$10:$AC$21</c:f>
              <c:numCache>
                <c:formatCode>0</c:formatCode>
                <c:ptCount val="12"/>
                <c:pt idx="0">
                  <c:v>21</c:v>
                </c:pt>
                <c:pt idx="1">
                  <c:v>17</c:v>
                </c:pt>
                <c:pt idx="2">
                  <c:v>21</c:v>
                </c:pt>
                <c:pt idx="3">
                  <c:v>11</c:v>
                </c:pt>
                <c:pt idx="4">
                  <c:v>18</c:v>
                </c:pt>
                <c:pt idx="5">
                  <c:v>18</c:v>
                </c:pt>
                <c:pt idx="6">
                  <c:v>10</c:v>
                </c:pt>
                <c:pt idx="7">
                  <c:v>10</c:v>
                </c:pt>
                <c:pt idx="8">
                  <c:v>15</c:v>
                </c:pt>
                <c:pt idx="9">
                  <c:v>4</c:v>
                </c:pt>
                <c:pt idx="10">
                  <c:v>13</c:v>
                </c:pt>
                <c:pt idx="11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565-49B4-8ABB-8A67B7CF0463}"/>
            </c:ext>
          </c:extLst>
        </c:ser>
        <c:ser>
          <c:idx val="11"/>
          <c:order val="11"/>
          <c:tx>
            <c:strRef>
              <c:f>'9.8 KIKORONGO-BWERA'!$AD$9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'9.8 KIKORONGO-BWERA'!$AD$10:$AD$21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565-49B4-8ABB-8A67B7CF0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207232"/>
        <c:axId val="202208768"/>
      </c:lineChart>
      <c:catAx>
        <c:axId val="202207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02208768"/>
        <c:crosses val="autoZero"/>
        <c:auto val="1"/>
        <c:lblAlgn val="ctr"/>
        <c:lblOffset val="100"/>
        <c:noMultiLvlLbl val="0"/>
      </c:catAx>
      <c:valAx>
        <c:axId val="202208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0220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7C5-4DCE-BEC7-0690C33069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7C5-4DCE-BEC7-0690C33069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7C5-4DCE-BEC7-0690C33069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7C5-4DCE-BEC7-0690C330694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7C5-4DCE-BEC7-0690C330694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7C5-4DCE-BEC7-0690C330694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7C5-4DCE-BEC7-0690C330694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7C5-4DCE-BEC7-0690C330694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7C5-4DCE-BEC7-0690C330694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7C5-4DCE-BEC7-0690C330694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7C5-4DCE-BEC7-0690C330694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7C5-4DCE-BEC7-0690C330694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C5-4DCE-BEC7-0690C33069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'9.8 KIKORONGO-BWERA'!$C$9:$N$9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'9.8 KIKORONGO-BWERA'!$C$60:$N$60</c:f>
              <c:numCache>
                <c:formatCode>0.00%</c:formatCode>
                <c:ptCount val="12"/>
                <c:pt idx="0">
                  <c:v>0.43656716417910446</c:v>
                </c:pt>
                <c:pt idx="1">
                  <c:v>0</c:v>
                </c:pt>
                <c:pt idx="2">
                  <c:v>0.14925373134328357</c:v>
                </c:pt>
                <c:pt idx="3">
                  <c:v>0.21455223880597016</c:v>
                </c:pt>
                <c:pt idx="4">
                  <c:v>0</c:v>
                </c:pt>
                <c:pt idx="5">
                  <c:v>1.8656716417910446E-2</c:v>
                </c:pt>
                <c:pt idx="6">
                  <c:v>0.14738805970149255</c:v>
                </c:pt>
                <c:pt idx="7">
                  <c:v>0</c:v>
                </c:pt>
                <c:pt idx="8">
                  <c:v>1.8656716417910447E-3</c:v>
                </c:pt>
                <c:pt idx="9">
                  <c:v>3.1716417910447763E-2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7C5-4DCE-BEC7-0690C3306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'9.8 BWERA-KIKORONGO'!$AE$9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'9.8 BWERA-KIKORONGO'!$R$10:$R$21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'9.8 BWERA-KIKORONGO'!$AE$10:$AE$21</c:f>
              <c:numCache>
                <c:formatCode>0</c:formatCode>
                <c:ptCount val="12"/>
                <c:pt idx="0">
                  <c:v>36</c:v>
                </c:pt>
                <c:pt idx="1">
                  <c:v>45</c:v>
                </c:pt>
                <c:pt idx="2">
                  <c:v>63</c:v>
                </c:pt>
                <c:pt idx="3">
                  <c:v>57</c:v>
                </c:pt>
                <c:pt idx="4">
                  <c:v>53</c:v>
                </c:pt>
                <c:pt idx="5">
                  <c:v>43</c:v>
                </c:pt>
                <c:pt idx="6">
                  <c:v>64</c:v>
                </c:pt>
                <c:pt idx="7">
                  <c:v>58</c:v>
                </c:pt>
                <c:pt idx="8">
                  <c:v>49</c:v>
                </c:pt>
                <c:pt idx="9">
                  <c:v>58</c:v>
                </c:pt>
                <c:pt idx="10">
                  <c:v>53</c:v>
                </c:pt>
                <c:pt idx="11">
                  <c:v>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63-4278-A5CC-74015684B17F}"/>
            </c:ext>
          </c:extLst>
        </c:ser>
        <c:ser>
          <c:idx val="1"/>
          <c:order val="1"/>
          <c:tx>
            <c:strRef>
              <c:f>'9.8 BWERA-KIKORONGO'!$AF$9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'9.8 BWERA-KIKORONGO'!$R$10:$R$21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'9.8 BWERA-KIKORONGO'!$AF$10:$AF$21</c:f>
              <c:numCache>
                <c:formatCode>0</c:formatCode>
                <c:ptCount val="12"/>
                <c:pt idx="0">
                  <c:v>51</c:v>
                </c:pt>
                <c:pt idx="1">
                  <c:v>73</c:v>
                </c:pt>
                <c:pt idx="2">
                  <c:v>78</c:v>
                </c:pt>
                <c:pt idx="3">
                  <c:v>80</c:v>
                </c:pt>
                <c:pt idx="4">
                  <c:v>92</c:v>
                </c:pt>
                <c:pt idx="5">
                  <c:v>78</c:v>
                </c:pt>
                <c:pt idx="6">
                  <c:v>80</c:v>
                </c:pt>
                <c:pt idx="7">
                  <c:v>82</c:v>
                </c:pt>
                <c:pt idx="8">
                  <c:v>68</c:v>
                </c:pt>
                <c:pt idx="9">
                  <c:v>72</c:v>
                </c:pt>
                <c:pt idx="10">
                  <c:v>73</c:v>
                </c:pt>
                <c:pt idx="11">
                  <c:v>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63-4278-A5CC-74015684B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2425088"/>
        <c:axId val="202427008"/>
      </c:lineChart>
      <c:catAx>
        <c:axId val="2024250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02427008"/>
        <c:crosses val="autoZero"/>
        <c:auto val="1"/>
        <c:lblAlgn val="ctr"/>
        <c:lblOffset val="100"/>
        <c:noMultiLvlLbl val="0"/>
      </c:catAx>
      <c:valAx>
        <c:axId val="20242700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02425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838-4AD2-B02D-63FE1AB93A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838-4AD2-B02D-63FE1AB93A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838-4AD2-B02D-63FE1AB93A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838-4AD2-B02D-63FE1AB93A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838-4AD2-B02D-63FE1AB93A1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838-4AD2-B02D-63FE1AB93A1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838-4AD2-B02D-63FE1AB93A1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838-4AD2-B02D-63FE1AB93A1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838-4AD2-B02D-63FE1AB93A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838-4AD2-B02D-63FE1AB93A1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838-4AD2-B02D-63FE1AB93A1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838-4AD2-B02D-63FE1AB93A1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838-4AD2-B02D-63FE1AB93A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'9.8 BWERA-KIKORONGO'!$C$9:$N$9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'9.8 BWERA-KIKORONGO'!$C$59:$N$59</c:f>
              <c:numCache>
                <c:formatCode>0.0%</c:formatCode>
                <c:ptCount val="12"/>
                <c:pt idx="0">
                  <c:v>0.29760547320410491</c:v>
                </c:pt>
                <c:pt idx="1">
                  <c:v>0</c:v>
                </c:pt>
                <c:pt idx="2">
                  <c:v>0.11288483466362599</c:v>
                </c:pt>
                <c:pt idx="3">
                  <c:v>0.14937286202964653</c:v>
                </c:pt>
                <c:pt idx="4">
                  <c:v>1.1402508551881414E-3</c:v>
                </c:pt>
                <c:pt idx="5">
                  <c:v>4.5610034207525657E-3</c:v>
                </c:pt>
                <c:pt idx="6">
                  <c:v>8.2098061573546183E-2</c:v>
                </c:pt>
                <c:pt idx="7">
                  <c:v>3.6488027366020526E-2</c:v>
                </c:pt>
                <c:pt idx="8">
                  <c:v>1.2542759407069556E-2</c:v>
                </c:pt>
                <c:pt idx="9">
                  <c:v>9.1220068415051314E-3</c:v>
                </c:pt>
                <c:pt idx="10">
                  <c:v>0.29190421892816421</c:v>
                </c:pt>
                <c:pt idx="11">
                  <c:v>2.2805017103762829E-3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838-4AD2-B02D-63FE1AB93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'9.8 BWERA-KIKORONGO'!$S$9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'9.8 BWERA-KIKORONGO'!$R$10:$R$21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'9.8 BWERA-KIKORONGO'!$S$10:$S$21</c:f>
              <c:numCache>
                <c:formatCode>0</c:formatCode>
                <c:ptCount val="12"/>
                <c:pt idx="0">
                  <c:v>14</c:v>
                </c:pt>
                <c:pt idx="1">
                  <c:v>15</c:v>
                </c:pt>
                <c:pt idx="2">
                  <c:v>28</c:v>
                </c:pt>
                <c:pt idx="3">
                  <c:v>21</c:v>
                </c:pt>
                <c:pt idx="4">
                  <c:v>26</c:v>
                </c:pt>
                <c:pt idx="5">
                  <c:v>27</c:v>
                </c:pt>
                <c:pt idx="6">
                  <c:v>30</c:v>
                </c:pt>
                <c:pt idx="7">
                  <c:v>25</c:v>
                </c:pt>
                <c:pt idx="8">
                  <c:v>17</c:v>
                </c:pt>
                <c:pt idx="9">
                  <c:v>18</c:v>
                </c:pt>
                <c:pt idx="10">
                  <c:v>24</c:v>
                </c:pt>
                <c:pt idx="11">
                  <c:v>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CD-4E4E-9939-9E943A18B54F}"/>
            </c:ext>
          </c:extLst>
        </c:ser>
        <c:ser>
          <c:idx val="1"/>
          <c:order val="1"/>
          <c:tx>
            <c:strRef>
              <c:f>'9.8 BWERA-KIKORONGO'!$T$9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'9.8 BWERA-KIKORONGO'!$R$10:$R$21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'9.8 BWERA-KIKORONGO'!$T$10:$T$21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CD-4E4E-9939-9E943A18B54F}"/>
            </c:ext>
          </c:extLst>
        </c:ser>
        <c:ser>
          <c:idx val="2"/>
          <c:order val="2"/>
          <c:tx>
            <c:strRef>
              <c:f>'9.8 BWERA-KIKORONGO'!$U$9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'9.8 BWERA-KIKORONGO'!$U$10:$U$21</c:f>
              <c:numCache>
                <c:formatCode>0</c:formatCode>
                <c:ptCount val="12"/>
                <c:pt idx="0">
                  <c:v>4</c:v>
                </c:pt>
                <c:pt idx="1">
                  <c:v>6</c:v>
                </c:pt>
                <c:pt idx="2">
                  <c:v>12</c:v>
                </c:pt>
                <c:pt idx="3">
                  <c:v>14</c:v>
                </c:pt>
                <c:pt idx="4">
                  <c:v>3</c:v>
                </c:pt>
                <c:pt idx="5">
                  <c:v>4</c:v>
                </c:pt>
                <c:pt idx="6">
                  <c:v>6</c:v>
                </c:pt>
                <c:pt idx="7">
                  <c:v>14</c:v>
                </c:pt>
                <c:pt idx="8">
                  <c:v>6</c:v>
                </c:pt>
                <c:pt idx="9">
                  <c:v>13</c:v>
                </c:pt>
                <c:pt idx="10">
                  <c:v>10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CD-4E4E-9939-9E943A18B54F}"/>
            </c:ext>
          </c:extLst>
        </c:ser>
        <c:ser>
          <c:idx val="3"/>
          <c:order val="3"/>
          <c:tx>
            <c:strRef>
              <c:f>'9.8 BWERA-KIKORONGO'!$V$9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'9.8 BWERA-KIKORONGO'!$V$10:$V$21</c:f>
              <c:numCache>
                <c:formatCode>0</c:formatCode>
                <c:ptCount val="12"/>
                <c:pt idx="0">
                  <c:v>6</c:v>
                </c:pt>
                <c:pt idx="1">
                  <c:v>11</c:v>
                </c:pt>
                <c:pt idx="2">
                  <c:v>7</c:v>
                </c:pt>
                <c:pt idx="3">
                  <c:v>10</c:v>
                </c:pt>
                <c:pt idx="4">
                  <c:v>13</c:v>
                </c:pt>
                <c:pt idx="5">
                  <c:v>4</c:v>
                </c:pt>
                <c:pt idx="6">
                  <c:v>12</c:v>
                </c:pt>
                <c:pt idx="7">
                  <c:v>13</c:v>
                </c:pt>
                <c:pt idx="8">
                  <c:v>16</c:v>
                </c:pt>
                <c:pt idx="9">
                  <c:v>12</c:v>
                </c:pt>
                <c:pt idx="10">
                  <c:v>12</c:v>
                </c:pt>
                <c:pt idx="11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CD-4E4E-9939-9E943A18B54F}"/>
            </c:ext>
          </c:extLst>
        </c:ser>
        <c:ser>
          <c:idx val="4"/>
          <c:order val="4"/>
          <c:tx>
            <c:strRef>
              <c:f>'9.8 BWERA-KIKORONGO'!$W$9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'9.8 BWERA-KIKORONGO'!$W$10:$W$21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CD-4E4E-9939-9E943A18B54F}"/>
            </c:ext>
          </c:extLst>
        </c:ser>
        <c:ser>
          <c:idx val="5"/>
          <c:order val="5"/>
          <c:tx>
            <c:strRef>
              <c:f>'9.8 BWERA-KIKORONGO'!$X$9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'9.8 BWERA-KIKORONGO'!$X$10:$X$21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ACD-4E4E-9939-9E943A18B54F}"/>
            </c:ext>
          </c:extLst>
        </c:ser>
        <c:ser>
          <c:idx val="6"/>
          <c:order val="6"/>
          <c:tx>
            <c:strRef>
              <c:f>'9.8 BWERA-KIKORONGO'!$Y$9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'9.8 BWERA-KIKORONGO'!$Y$10:$Y$21</c:f>
              <c:numCache>
                <c:formatCode>0</c:formatCode>
                <c:ptCount val="12"/>
                <c:pt idx="0">
                  <c:v>9</c:v>
                </c:pt>
                <c:pt idx="1">
                  <c:v>9</c:v>
                </c:pt>
                <c:pt idx="2">
                  <c:v>11</c:v>
                </c:pt>
                <c:pt idx="3">
                  <c:v>7</c:v>
                </c:pt>
                <c:pt idx="4">
                  <c:v>5</c:v>
                </c:pt>
                <c:pt idx="5">
                  <c:v>6</c:v>
                </c:pt>
                <c:pt idx="6">
                  <c:v>12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ACD-4E4E-9939-9E943A18B54F}"/>
            </c:ext>
          </c:extLst>
        </c:ser>
        <c:ser>
          <c:idx val="7"/>
          <c:order val="7"/>
          <c:tx>
            <c:strRef>
              <c:f>'9.8 BWERA-KIKORONGO'!$Z$9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'9.8 BWERA-KIKORONGO'!$Z$10:$Z$21</c:f>
              <c:numCache>
                <c:formatCode>0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6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3</c:v>
                </c:pt>
                <c:pt idx="9">
                  <c:v>6</c:v>
                </c:pt>
                <c:pt idx="10">
                  <c:v>6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ACD-4E4E-9939-9E943A18B54F}"/>
            </c:ext>
          </c:extLst>
        </c:ser>
        <c:ser>
          <c:idx val="8"/>
          <c:order val="8"/>
          <c:tx>
            <c:strRef>
              <c:f>'9.8 BWERA-KIKORONGO'!$AA$9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'9.8 BWERA-KIKORONGO'!$AA$10:$AA$21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ACD-4E4E-9939-9E943A18B54F}"/>
            </c:ext>
          </c:extLst>
        </c:ser>
        <c:ser>
          <c:idx val="9"/>
          <c:order val="9"/>
          <c:tx>
            <c:strRef>
              <c:f>'9.8 BWERA-KIKORONGO'!$AB$9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'9.8 BWERA-KIKORONGO'!$AB$10:$AB$21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CD-4E4E-9939-9E943A18B54F}"/>
            </c:ext>
          </c:extLst>
        </c:ser>
        <c:ser>
          <c:idx val="10"/>
          <c:order val="10"/>
          <c:tx>
            <c:strRef>
              <c:f>'9.8 BWERA-KIKORONGO'!$AC$9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'9.8 BWERA-KIKORONGO'!$AC$10:$AC$21</c:f>
              <c:numCache>
                <c:formatCode>0</c:formatCode>
                <c:ptCount val="12"/>
                <c:pt idx="0">
                  <c:v>15</c:v>
                </c:pt>
                <c:pt idx="1">
                  <c:v>28</c:v>
                </c:pt>
                <c:pt idx="2">
                  <c:v>15</c:v>
                </c:pt>
                <c:pt idx="3">
                  <c:v>23</c:v>
                </c:pt>
                <c:pt idx="4">
                  <c:v>39</c:v>
                </c:pt>
                <c:pt idx="5">
                  <c:v>35</c:v>
                </c:pt>
                <c:pt idx="6">
                  <c:v>16</c:v>
                </c:pt>
                <c:pt idx="7">
                  <c:v>24</c:v>
                </c:pt>
                <c:pt idx="8">
                  <c:v>19</c:v>
                </c:pt>
                <c:pt idx="9">
                  <c:v>14</c:v>
                </c:pt>
                <c:pt idx="10">
                  <c:v>20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ACD-4E4E-9939-9E943A18B54F}"/>
            </c:ext>
          </c:extLst>
        </c:ser>
        <c:ser>
          <c:idx val="11"/>
          <c:order val="11"/>
          <c:tx>
            <c:strRef>
              <c:f>'9.8 BWERA-KIKORONGO'!$AD$9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'9.8 BWERA-KIKORONGO'!$AD$10:$AD$21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ACD-4E4E-9939-9E943A18B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717824"/>
        <c:axId val="202727808"/>
      </c:lineChart>
      <c:catAx>
        <c:axId val="2027178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02727808"/>
        <c:crosses val="autoZero"/>
        <c:auto val="1"/>
        <c:lblAlgn val="ctr"/>
        <c:lblOffset val="100"/>
        <c:noMultiLvlLbl val="0"/>
      </c:catAx>
      <c:valAx>
        <c:axId val="202727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02717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B51-4D84-891B-06C3FCEF43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B51-4D84-891B-06C3FCEF43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B51-4D84-891B-06C3FCEF43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B51-4D84-891B-06C3FCEF43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B51-4D84-891B-06C3FCEF43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B51-4D84-891B-06C3FCEF43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B51-4D84-891B-06C3FCEF433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B51-4D84-891B-06C3FCEF433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B51-4D84-891B-06C3FCEF433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B51-4D84-891B-06C3FCEF433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B51-4D84-891B-06C3FCEF433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B51-4D84-891B-06C3FCEF433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B51-4D84-891B-06C3FCEF43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'9.8 BWERA-KIKORONGO'!$C$9:$N$9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'9.8 BWERA-KIKORONGO'!$C$60:$N$60</c:f>
              <c:numCache>
                <c:formatCode>0.00%</c:formatCode>
                <c:ptCount val="12"/>
                <c:pt idx="0">
                  <c:v>0.42028985507246375</c:v>
                </c:pt>
                <c:pt idx="1">
                  <c:v>0</c:v>
                </c:pt>
                <c:pt idx="2">
                  <c:v>0.15942028985507245</c:v>
                </c:pt>
                <c:pt idx="3">
                  <c:v>0.2109500805152979</c:v>
                </c:pt>
                <c:pt idx="4">
                  <c:v>1.6103059581320451E-3</c:v>
                </c:pt>
                <c:pt idx="5">
                  <c:v>6.4412238325281803E-3</c:v>
                </c:pt>
                <c:pt idx="6">
                  <c:v>0.11594202898550725</c:v>
                </c:pt>
                <c:pt idx="7">
                  <c:v>5.1529790660225443E-2</c:v>
                </c:pt>
                <c:pt idx="8">
                  <c:v>1.7713365539452495E-2</c:v>
                </c:pt>
                <c:pt idx="9">
                  <c:v>1.2882447665056361E-2</c:v>
                </c:pt>
                <c:pt idx="11">
                  <c:v>3.2206119162640902E-3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B51-4D84-891B-06C3FCEF4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'10.8 KIKORONGO-BWERA-24HRS'!$AE$9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'10.8 KIKORONGO-BWERA-24HRS'!$R$10:$R$33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'10.8 KIKORONGO-BWERA-24HRS'!$AE$10:$AE$33</c:f>
              <c:numCache>
                <c:formatCode>0</c:formatCode>
                <c:ptCount val="24"/>
                <c:pt idx="0">
                  <c:v>45</c:v>
                </c:pt>
                <c:pt idx="1">
                  <c:v>31</c:v>
                </c:pt>
                <c:pt idx="2">
                  <c:v>33</c:v>
                </c:pt>
                <c:pt idx="3">
                  <c:v>32</c:v>
                </c:pt>
                <c:pt idx="4">
                  <c:v>43</c:v>
                </c:pt>
                <c:pt idx="5">
                  <c:v>40</c:v>
                </c:pt>
                <c:pt idx="6">
                  <c:v>38</c:v>
                </c:pt>
                <c:pt idx="7">
                  <c:v>44</c:v>
                </c:pt>
                <c:pt idx="8">
                  <c:v>46</c:v>
                </c:pt>
                <c:pt idx="9">
                  <c:v>51</c:v>
                </c:pt>
                <c:pt idx="10">
                  <c:v>57</c:v>
                </c:pt>
                <c:pt idx="11">
                  <c:v>49</c:v>
                </c:pt>
                <c:pt idx="12">
                  <c:v>48</c:v>
                </c:pt>
                <c:pt idx="13">
                  <c:v>36</c:v>
                </c:pt>
                <c:pt idx="14">
                  <c:v>29</c:v>
                </c:pt>
                <c:pt idx="15">
                  <c:v>21</c:v>
                </c:pt>
                <c:pt idx="16">
                  <c:v>23</c:v>
                </c:pt>
                <c:pt idx="17">
                  <c:v>19</c:v>
                </c:pt>
                <c:pt idx="18">
                  <c:v>15</c:v>
                </c:pt>
                <c:pt idx="19">
                  <c:v>16</c:v>
                </c:pt>
                <c:pt idx="20">
                  <c:v>30</c:v>
                </c:pt>
                <c:pt idx="21">
                  <c:v>20</c:v>
                </c:pt>
                <c:pt idx="22">
                  <c:v>14</c:v>
                </c:pt>
                <c:pt idx="23">
                  <c:v>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9B-4793-84FD-99A5405B7AD3}"/>
            </c:ext>
          </c:extLst>
        </c:ser>
        <c:ser>
          <c:idx val="1"/>
          <c:order val="1"/>
          <c:tx>
            <c:strRef>
              <c:f>'10.8 KIKORONGO-BWERA-24HRS'!$AF$9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'10.8 KIKORONGO-BWERA-24HRS'!$R$10:$R$33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'10.8 KIKORONGO-BWERA-24HRS'!$AF$10:$AF$33</c:f>
              <c:numCache>
                <c:formatCode>0</c:formatCode>
                <c:ptCount val="24"/>
                <c:pt idx="0">
                  <c:v>51</c:v>
                </c:pt>
                <c:pt idx="1">
                  <c:v>43</c:v>
                </c:pt>
                <c:pt idx="2">
                  <c:v>45</c:v>
                </c:pt>
                <c:pt idx="3">
                  <c:v>43</c:v>
                </c:pt>
                <c:pt idx="4">
                  <c:v>45</c:v>
                </c:pt>
                <c:pt idx="5">
                  <c:v>48</c:v>
                </c:pt>
                <c:pt idx="6">
                  <c:v>50</c:v>
                </c:pt>
                <c:pt idx="7">
                  <c:v>59</c:v>
                </c:pt>
                <c:pt idx="8">
                  <c:v>61</c:v>
                </c:pt>
                <c:pt idx="9">
                  <c:v>62</c:v>
                </c:pt>
                <c:pt idx="10">
                  <c:v>69</c:v>
                </c:pt>
                <c:pt idx="11">
                  <c:v>58</c:v>
                </c:pt>
                <c:pt idx="12">
                  <c:v>63</c:v>
                </c:pt>
                <c:pt idx="13">
                  <c:v>40</c:v>
                </c:pt>
                <c:pt idx="14">
                  <c:v>34</c:v>
                </c:pt>
                <c:pt idx="15">
                  <c:v>23</c:v>
                </c:pt>
                <c:pt idx="16">
                  <c:v>25</c:v>
                </c:pt>
                <c:pt idx="17">
                  <c:v>23</c:v>
                </c:pt>
                <c:pt idx="18">
                  <c:v>16</c:v>
                </c:pt>
                <c:pt idx="19">
                  <c:v>16</c:v>
                </c:pt>
                <c:pt idx="20">
                  <c:v>36</c:v>
                </c:pt>
                <c:pt idx="21">
                  <c:v>26</c:v>
                </c:pt>
                <c:pt idx="22">
                  <c:v>19</c:v>
                </c:pt>
                <c:pt idx="23">
                  <c:v>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9B-4793-84FD-99A5405B7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3153792"/>
        <c:axId val="203155712"/>
      </c:lineChart>
      <c:catAx>
        <c:axId val="20315379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03155712"/>
        <c:crosses val="autoZero"/>
        <c:auto val="1"/>
        <c:lblAlgn val="ctr"/>
        <c:lblOffset val="100"/>
        <c:noMultiLvlLbl val="0"/>
      </c:catAx>
      <c:valAx>
        <c:axId val="2031557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03153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C19-40B6-88F6-F149CBCFBC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C19-40B6-88F6-F149CBCFBC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C19-40B6-88F6-F149CBCFBC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C19-40B6-88F6-F149CBCFBC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C19-40B6-88F6-F149CBCFBC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C19-40B6-88F6-F149CBCFBC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C19-40B6-88F6-F149CBCFBC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C19-40B6-88F6-F149CBCFBC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C19-40B6-88F6-F149CBCFBC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C19-40B6-88F6-F149CBCFBC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C19-40B6-88F6-F149CBCFBC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C19-40B6-88F6-F149CBCFBC0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C19-40B6-88F6-F149CBCFBC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'10.8 KIKORONGO-BWERA-24HRS'!$C$9:$N$9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'10.8 KIKORONGO-BWERA-24HRS'!$C$107:$N$107</c:f>
              <c:numCache>
                <c:formatCode>0.0%</c:formatCode>
                <c:ptCount val="12"/>
                <c:pt idx="0">
                  <c:v>0.29305135951661632</c:v>
                </c:pt>
                <c:pt idx="1">
                  <c:v>0</c:v>
                </c:pt>
                <c:pt idx="2">
                  <c:v>0.1067472306143001</c:v>
                </c:pt>
                <c:pt idx="3">
                  <c:v>0.21450151057401812</c:v>
                </c:pt>
                <c:pt idx="4">
                  <c:v>4.0281973816717019E-3</c:v>
                </c:pt>
                <c:pt idx="5">
                  <c:v>2.920443101711984E-2</c:v>
                </c:pt>
                <c:pt idx="6">
                  <c:v>7.8549848942598186E-2</c:v>
                </c:pt>
                <c:pt idx="7">
                  <c:v>1.1077542799597181E-2</c:v>
                </c:pt>
                <c:pt idx="8">
                  <c:v>2.014098690835851E-3</c:v>
                </c:pt>
                <c:pt idx="9">
                  <c:v>6.6465256797583083E-2</c:v>
                </c:pt>
                <c:pt idx="10">
                  <c:v>0.19033232628398791</c:v>
                </c:pt>
                <c:pt idx="11">
                  <c:v>4.0281973816717019E-3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C19-40B6-88F6-F149CBCFBC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F34-448D-935B-A3D0702D35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F34-448D-935B-A3D0702D351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F34-448D-935B-A3D0702D35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F34-448D-935B-A3D0702D351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F34-448D-935B-A3D0702D35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F34-448D-935B-A3D0702D351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F34-448D-935B-A3D0702D351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F34-448D-935B-A3D0702D351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F34-448D-935B-A3D0702D351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F34-448D-935B-A3D0702D351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F34-448D-935B-A3D0702D351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F34-448D-935B-A3D0702D3518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F34-448D-935B-A3D0702D35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'10.8 KIKORONGO-BWERA-24HRS'!$C$9:$N$9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'10.8 KIKORONGO-BWERA-24HRS'!$C$108:$N$108</c:f>
              <c:numCache>
                <c:formatCode>0.00%</c:formatCode>
                <c:ptCount val="12"/>
                <c:pt idx="0">
                  <c:v>0.36194029850746268</c:v>
                </c:pt>
                <c:pt idx="1">
                  <c:v>0</c:v>
                </c:pt>
                <c:pt idx="2">
                  <c:v>0.13184079601990051</c:v>
                </c:pt>
                <c:pt idx="3">
                  <c:v>0.26492537313432835</c:v>
                </c:pt>
                <c:pt idx="4">
                  <c:v>4.9751243781094526E-3</c:v>
                </c:pt>
                <c:pt idx="5">
                  <c:v>3.6069651741293535E-2</c:v>
                </c:pt>
                <c:pt idx="6">
                  <c:v>9.7014925373134331E-2</c:v>
                </c:pt>
                <c:pt idx="7">
                  <c:v>1.3681592039800995E-2</c:v>
                </c:pt>
                <c:pt idx="8">
                  <c:v>2.4875621890547263E-3</c:v>
                </c:pt>
                <c:pt idx="9">
                  <c:v>8.2089552238805971E-2</c:v>
                </c:pt>
                <c:pt idx="11">
                  <c:v>4.9751243781094526E-3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F34-448D-935B-A3D0702D3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'10.8 BWERA-KIKORONGO 24HRS'!$AE$9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'10.8 BWERA-KIKORONGO 24HRS'!$R$10:$R$33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'10.8 BWERA-KIKORONGO 24HRS'!$AE$10:$AE$33</c:f>
              <c:numCache>
                <c:formatCode>0</c:formatCode>
                <c:ptCount val="24"/>
                <c:pt idx="0">
                  <c:v>27</c:v>
                </c:pt>
                <c:pt idx="1">
                  <c:v>43</c:v>
                </c:pt>
                <c:pt idx="2">
                  <c:v>57</c:v>
                </c:pt>
                <c:pt idx="3">
                  <c:v>62</c:v>
                </c:pt>
                <c:pt idx="4">
                  <c:v>54</c:v>
                </c:pt>
                <c:pt idx="5">
                  <c:v>70</c:v>
                </c:pt>
                <c:pt idx="6">
                  <c:v>77</c:v>
                </c:pt>
                <c:pt idx="7">
                  <c:v>57</c:v>
                </c:pt>
                <c:pt idx="8">
                  <c:v>92</c:v>
                </c:pt>
                <c:pt idx="9">
                  <c:v>61</c:v>
                </c:pt>
                <c:pt idx="10">
                  <c:v>63</c:v>
                </c:pt>
                <c:pt idx="11">
                  <c:v>22</c:v>
                </c:pt>
                <c:pt idx="12">
                  <c:v>35</c:v>
                </c:pt>
                <c:pt idx="13">
                  <c:v>31</c:v>
                </c:pt>
                <c:pt idx="14">
                  <c:v>14</c:v>
                </c:pt>
                <c:pt idx="15">
                  <c:v>12</c:v>
                </c:pt>
                <c:pt idx="16">
                  <c:v>22</c:v>
                </c:pt>
                <c:pt idx="17">
                  <c:v>21</c:v>
                </c:pt>
                <c:pt idx="18">
                  <c:v>18</c:v>
                </c:pt>
                <c:pt idx="19">
                  <c:v>26</c:v>
                </c:pt>
                <c:pt idx="20">
                  <c:v>16</c:v>
                </c:pt>
                <c:pt idx="21">
                  <c:v>15</c:v>
                </c:pt>
                <c:pt idx="22">
                  <c:v>25</c:v>
                </c:pt>
                <c:pt idx="23">
                  <c:v>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B5-43D7-8A8D-1950D8303871}"/>
            </c:ext>
          </c:extLst>
        </c:ser>
        <c:ser>
          <c:idx val="1"/>
          <c:order val="1"/>
          <c:tx>
            <c:strRef>
              <c:f>'10.8 BWERA-KIKORONGO 24HRS'!$AF$9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'10.8 BWERA-KIKORONGO 24HRS'!$R$10:$R$33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'10.8 BWERA-KIKORONGO 24HRS'!$AF$10:$AF$33</c:f>
              <c:numCache>
                <c:formatCode>0</c:formatCode>
                <c:ptCount val="24"/>
                <c:pt idx="0">
                  <c:v>35</c:v>
                </c:pt>
                <c:pt idx="1">
                  <c:v>53</c:v>
                </c:pt>
                <c:pt idx="2">
                  <c:v>79</c:v>
                </c:pt>
                <c:pt idx="3">
                  <c:v>76</c:v>
                </c:pt>
                <c:pt idx="4">
                  <c:v>71</c:v>
                </c:pt>
                <c:pt idx="5">
                  <c:v>92</c:v>
                </c:pt>
                <c:pt idx="6">
                  <c:v>107</c:v>
                </c:pt>
                <c:pt idx="7">
                  <c:v>76</c:v>
                </c:pt>
                <c:pt idx="8">
                  <c:v>116</c:v>
                </c:pt>
                <c:pt idx="9">
                  <c:v>78</c:v>
                </c:pt>
                <c:pt idx="10">
                  <c:v>80</c:v>
                </c:pt>
                <c:pt idx="11">
                  <c:v>37</c:v>
                </c:pt>
                <c:pt idx="12">
                  <c:v>49</c:v>
                </c:pt>
                <c:pt idx="13">
                  <c:v>41</c:v>
                </c:pt>
                <c:pt idx="14">
                  <c:v>20</c:v>
                </c:pt>
                <c:pt idx="15">
                  <c:v>13</c:v>
                </c:pt>
                <c:pt idx="16">
                  <c:v>24</c:v>
                </c:pt>
                <c:pt idx="17">
                  <c:v>23</c:v>
                </c:pt>
                <c:pt idx="18">
                  <c:v>19</c:v>
                </c:pt>
                <c:pt idx="19">
                  <c:v>27</c:v>
                </c:pt>
                <c:pt idx="20">
                  <c:v>16</c:v>
                </c:pt>
                <c:pt idx="21">
                  <c:v>15</c:v>
                </c:pt>
                <c:pt idx="22">
                  <c:v>25</c:v>
                </c:pt>
                <c:pt idx="23">
                  <c:v>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3B5-43D7-8A8D-1950D8303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3537408"/>
        <c:axId val="203564160"/>
      </c:lineChart>
      <c:catAx>
        <c:axId val="20353740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03564160"/>
        <c:crosses val="autoZero"/>
        <c:auto val="1"/>
        <c:lblAlgn val="ctr"/>
        <c:lblOffset val="100"/>
        <c:noMultiLvlLbl val="0"/>
      </c:catAx>
      <c:valAx>
        <c:axId val="20356416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03537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CC2-41FB-AB6C-D0315A687D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CC2-41FB-AB6C-D0315A687D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CC2-41FB-AB6C-D0315A687D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CC2-41FB-AB6C-D0315A687D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CC2-41FB-AB6C-D0315A687D3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CC2-41FB-AB6C-D0315A687D3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CC2-41FB-AB6C-D0315A687D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CC2-41FB-AB6C-D0315A687D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CC2-41FB-AB6C-D0315A687D3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CC2-41FB-AB6C-D0315A687D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CC2-41FB-AB6C-D0315A687D3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CC2-41FB-AB6C-D0315A687D3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CC2-41FB-AB6C-D0315A687D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'10.8 BWERA-KIKORONGO 24HRS'!$C$9:$N$9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'10.8 BWERA-KIKORONGO 24HRS'!$C$107:$N$107</c:f>
              <c:numCache>
                <c:formatCode>0.0%</c:formatCode>
                <c:ptCount val="12"/>
                <c:pt idx="0">
                  <c:v>0.33360995850622405</c:v>
                </c:pt>
                <c:pt idx="1">
                  <c:v>0</c:v>
                </c:pt>
                <c:pt idx="2">
                  <c:v>0.11203319502074689</c:v>
                </c:pt>
                <c:pt idx="3">
                  <c:v>0.18257261410788381</c:v>
                </c:pt>
                <c:pt idx="4">
                  <c:v>2.4896265560165973E-3</c:v>
                </c:pt>
                <c:pt idx="5">
                  <c:v>7.4688796680497929E-3</c:v>
                </c:pt>
                <c:pt idx="6">
                  <c:v>8.8796680497925315E-2</c:v>
                </c:pt>
                <c:pt idx="7">
                  <c:v>1.3278008298755186E-2</c:v>
                </c:pt>
                <c:pt idx="8">
                  <c:v>4.1493775933609959E-3</c:v>
                </c:pt>
                <c:pt idx="9">
                  <c:v>3.4024896265560163E-2</c:v>
                </c:pt>
                <c:pt idx="10">
                  <c:v>0.22157676348547717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CC2-41FB-AB6C-D0315A687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77A-4202-BB82-6DE350EE31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77A-4202-BB82-6DE350EE311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77A-4202-BB82-6DE350EE311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77A-4202-BB82-6DE350EE311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77A-4202-BB82-6DE350EE311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77A-4202-BB82-6DE350EE311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77A-4202-BB82-6DE350EE311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77A-4202-BB82-6DE350EE311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77A-4202-BB82-6DE350EE311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77A-4202-BB82-6DE350EE311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77A-4202-BB82-6DE350EE311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77A-4202-BB82-6DE350EE311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77A-4202-BB82-6DE350EE31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'10.8 BWERA-KIKORONGO 24HRS'!$C$9:$N$9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'10.8 BWERA-KIKORONGO 24HRS'!$C$108:$N$108</c:f>
              <c:numCache>
                <c:formatCode>0.00%</c:formatCode>
                <c:ptCount val="12"/>
                <c:pt idx="0">
                  <c:v>0.42857142857142855</c:v>
                </c:pt>
                <c:pt idx="1">
                  <c:v>0</c:v>
                </c:pt>
                <c:pt idx="2">
                  <c:v>0.1439232409381663</c:v>
                </c:pt>
                <c:pt idx="3">
                  <c:v>0.23454157782515991</c:v>
                </c:pt>
                <c:pt idx="4">
                  <c:v>3.1982942430703624E-3</c:v>
                </c:pt>
                <c:pt idx="5">
                  <c:v>9.5948827292110881E-3</c:v>
                </c:pt>
                <c:pt idx="6">
                  <c:v>0.1140724946695096</c:v>
                </c:pt>
                <c:pt idx="7">
                  <c:v>1.7057569296375266E-2</c:v>
                </c:pt>
                <c:pt idx="8">
                  <c:v>5.3304904051172707E-3</c:v>
                </c:pt>
                <c:pt idx="9">
                  <c:v>4.3710021321961619E-2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77A-4202-BB82-6DE350EE3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'11.8 BWERA-KIKORONGO'!$AE$9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'11.8 BWERA-KIKORONGO'!$R$10:$R$21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'11.8 BWERA-KIKORONGO'!$AE$10:$AE$21</c:f>
              <c:numCache>
                <c:formatCode>0</c:formatCode>
                <c:ptCount val="12"/>
                <c:pt idx="0">
                  <c:v>45</c:v>
                </c:pt>
                <c:pt idx="1">
                  <c:v>29</c:v>
                </c:pt>
                <c:pt idx="2">
                  <c:v>26</c:v>
                </c:pt>
                <c:pt idx="3">
                  <c:v>36</c:v>
                </c:pt>
                <c:pt idx="4">
                  <c:v>58</c:v>
                </c:pt>
                <c:pt idx="5">
                  <c:v>28</c:v>
                </c:pt>
                <c:pt idx="6">
                  <c:v>39</c:v>
                </c:pt>
                <c:pt idx="7">
                  <c:v>32</c:v>
                </c:pt>
                <c:pt idx="8">
                  <c:v>34</c:v>
                </c:pt>
                <c:pt idx="9">
                  <c:v>38</c:v>
                </c:pt>
                <c:pt idx="10">
                  <c:v>44</c:v>
                </c:pt>
                <c:pt idx="11">
                  <c:v>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C8-45AB-8CEF-A7108B6754B8}"/>
            </c:ext>
          </c:extLst>
        </c:ser>
        <c:ser>
          <c:idx val="1"/>
          <c:order val="1"/>
          <c:tx>
            <c:strRef>
              <c:f>'11.8 BWERA-KIKORONGO'!$AF$9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'11.8 BWERA-KIKORONGO'!$R$10:$R$21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'11.8 BWERA-KIKORONGO'!$AF$10:$AF$21</c:f>
              <c:numCache>
                <c:formatCode>0</c:formatCode>
                <c:ptCount val="12"/>
                <c:pt idx="0">
                  <c:v>56</c:v>
                </c:pt>
                <c:pt idx="1">
                  <c:v>34</c:v>
                </c:pt>
                <c:pt idx="2">
                  <c:v>38</c:v>
                </c:pt>
                <c:pt idx="3">
                  <c:v>63</c:v>
                </c:pt>
                <c:pt idx="4">
                  <c:v>85</c:v>
                </c:pt>
                <c:pt idx="5">
                  <c:v>33</c:v>
                </c:pt>
                <c:pt idx="6">
                  <c:v>65</c:v>
                </c:pt>
                <c:pt idx="7">
                  <c:v>54</c:v>
                </c:pt>
                <c:pt idx="8">
                  <c:v>49</c:v>
                </c:pt>
                <c:pt idx="9">
                  <c:v>50</c:v>
                </c:pt>
                <c:pt idx="10">
                  <c:v>58</c:v>
                </c:pt>
                <c:pt idx="11">
                  <c:v>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5C8-45AB-8CEF-A7108B675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8872576"/>
        <c:axId val="208874496"/>
      </c:lineChart>
      <c:catAx>
        <c:axId val="20887257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08874496"/>
        <c:crosses val="autoZero"/>
        <c:auto val="1"/>
        <c:lblAlgn val="ctr"/>
        <c:lblOffset val="100"/>
        <c:noMultiLvlLbl val="0"/>
      </c:catAx>
      <c:valAx>
        <c:axId val="2088744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08872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085-4D7B-92D4-0FE0B8706BF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085-4D7B-92D4-0FE0B8706BF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085-4D7B-92D4-0FE0B8706BF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085-4D7B-92D4-0FE0B8706BF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085-4D7B-92D4-0FE0B8706BF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085-4D7B-92D4-0FE0B8706BF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085-4D7B-92D4-0FE0B8706BF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085-4D7B-92D4-0FE0B8706BF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085-4D7B-92D4-0FE0B8706BF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085-4D7B-92D4-0FE0B8706BF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085-4D7B-92D4-0FE0B8706BF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085-4D7B-92D4-0FE0B8706BF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085-4D7B-92D4-0FE0B8706B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'11.8 BWERA-KIKORONGO'!$C$9:$N$9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'11.8 BWERA-KIKORONGO'!$C$59:$N$59</c:f>
              <c:numCache>
                <c:formatCode>0.0%</c:formatCode>
                <c:ptCount val="12"/>
                <c:pt idx="0">
                  <c:v>0.32500000000000001</c:v>
                </c:pt>
                <c:pt idx="1">
                  <c:v>0</c:v>
                </c:pt>
                <c:pt idx="2">
                  <c:v>0.12968750000000001</c:v>
                </c:pt>
                <c:pt idx="3">
                  <c:v>0.16875000000000001</c:v>
                </c:pt>
                <c:pt idx="4">
                  <c:v>0</c:v>
                </c:pt>
                <c:pt idx="5">
                  <c:v>2.1874999999999999E-2</c:v>
                </c:pt>
                <c:pt idx="6">
                  <c:v>2.0312500000000001E-2</c:v>
                </c:pt>
                <c:pt idx="7">
                  <c:v>1.5625000000000001E-3</c:v>
                </c:pt>
                <c:pt idx="8">
                  <c:v>0</c:v>
                </c:pt>
                <c:pt idx="9">
                  <c:v>3.5937499999999997E-2</c:v>
                </c:pt>
                <c:pt idx="10">
                  <c:v>0.296875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85-4D7B-92D4-0FE0B8706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'11.8 BWERA-KIKORONGO'!$S$9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'11.8 BWERA-KIKORONGO'!$R$10:$R$21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'11.8 BWERA-KIKORONGO'!$S$10:$S$21</c:f>
              <c:numCache>
                <c:formatCode>0</c:formatCode>
                <c:ptCount val="12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23</c:v>
                </c:pt>
                <c:pt idx="4">
                  <c:v>25</c:v>
                </c:pt>
                <c:pt idx="5">
                  <c:v>14</c:v>
                </c:pt>
                <c:pt idx="6">
                  <c:v>31</c:v>
                </c:pt>
                <c:pt idx="7">
                  <c:v>16</c:v>
                </c:pt>
                <c:pt idx="8">
                  <c:v>18</c:v>
                </c:pt>
                <c:pt idx="9">
                  <c:v>12</c:v>
                </c:pt>
                <c:pt idx="10">
                  <c:v>14</c:v>
                </c:pt>
                <c:pt idx="11">
                  <c:v>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8B-46B4-90C5-4BE58AC1B7CD}"/>
            </c:ext>
          </c:extLst>
        </c:ser>
        <c:ser>
          <c:idx val="1"/>
          <c:order val="1"/>
          <c:tx>
            <c:strRef>
              <c:f>'11.8 BWERA-KIKORONGO'!$T$9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'11.8 BWERA-KIKORONGO'!$R$10:$R$21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'11.8 BWERA-KIKORONGO'!$T$10:$T$21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28B-46B4-90C5-4BE58AC1B7CD}"/>
            </c:ext>
          </c:extLst>
        </c:ser>
        <c:ser>
          <c:idx val="2"/>
          <c:order val="2"/>
          <c:tx>
            <c:strRef>
              <c:f>'11.8 BWERA-KIKORONGO'!$U$9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'11.8 BWERA-KIKORONGO'!$U$10:$U$21</c:f>
              <c:numCache>
                <c:formatCode>0</c:formatCode>
                <c:ptCount val="12"/>
                <c:pt idx="0">
                  <c:v>10</c:v>
                </c:pt>
                <c:pt idx="1">
                  <c:v>9</c:v>
                </c:pt>
                <c:pt idx="2">
                  <c:v>2</c:v>
                </c:pt>
                <c:pt idx="3">
                  <c:v>5</c:v>
                </c:pt>
                <c:pt idx="4">
                  <c:v>9</c:v>
                </c:pt>
                <c:pt idx="5">
                  <c:v>5</c:v>
                </c:pt>
                <c:pt idx="6">
                  <c:v>4</c:v>
                </c:pt>
                <c:pt idx="7">
                  <c:v>6</c:v>
                </c:pt>
                <c:pt idx="8">
                  <c:v>3</c:v>
                </c:pt>
                <c:pt idx="9">
                  <c:v>9</c:v>
                </c:pt>
                <c:pt idx="10">
                  <c:v>11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8B-46B4-90C5-4BE58AC1B7CD}"/>
            </c:ext>
          </c:extLst>
        </c:ser>
        <c:ser>
          <c:idx val="3"/>
          <c:order val="3"/>
          <c:tx>
            <c:strRef>
              <c:f>'11.8 BWERA-KIKORONGO'!$V$9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'11.8 BWERA-KIKORONGO'!$V$10:$V$21</c:f>
              <c:numCache>
                <c:formatCode>0</c:formatCode>
                <c:ptCount val="12"/>
                <c:pt idx="0">
                  <c:v>12</c:v>
                </c:pt>
                <c:pt idx="1">
                  <c:v>3</c:v>
                </c:pt>
                <c:pt idx="2">
                  <c:v>9</c:v>
                </c:pt>
                <c:pt idx="3">
                  <c:v>8</c:v>
                </c:pt>
                <c:pt idx="4">
                  <c:v>19</c:v>
                </c:pt>
                <c:pt idx="5">
                  <c:v>6</c:v>
                </c:pt>
                <c:pt idx="6">
                  <c:v>2</c:v>
                </c:pt>
                <c:pt idx="7">
                  <c:v>8</c:v>
                </c:pt>
                <c:pt idx="8">
                  <c:v>7</c:v>
                </c:pt>
                <c:pt idx="9">
                  <c:v>12</c:v>
                </c:pt>
                <c:pt idx="10">
                  <c:v>13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8B-46B4-90C5-4BE58AC1B7CD}"/>
            </c:ext>
          </c:extLst>
        </c:ser>
        <c:ser>
          <c:idx val="4"/>
          <c:order val="4"/>
          <c:tx>
            <c:strRef>
              <c:f>'11.8 BWERA-KIKORONGO'!$W$9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'11.8 BWERA-KIKORONGO'!$W$10:$W$21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28B-46B4-90C5-4BE58AC1B7CD}"/>
            </c:ext>
          </c:extLst>
        </c:ser>
        <c:ser>
          <c:idx val="5"/>
          <c:order val="5"/>
          <c:tx>
            <c:strRef>
              <c:f>'11.8 BWERA-KIKORONGO'!$X$9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'11.8 BWERA-KIKORONGO'!$X$10:$X$21</c:f>
              <c:numCache>
                <c:formatCode>0</c:formatCode>
                <c:ptCount val="12"/>
                <c:pt idx="0">
                  <c:v>4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28B-46B4-90C5-4BE58AC1B7CD}"/>
            </c:ext>
          </c:extLst>
        </c:ser>
        <c:ser>
          <c:idx val="6"/>
          <c:order val="6"/>
          <c:tx>
            <c:strRef>
              <c:f>'11.8 BWERA-KIKORONGO'!$Y$9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'11.8 BWERA-KIKORONGO'!$Y$10:$Y$21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1</c:v>
                </c:pt>
                <c:pt idx="3">
                  <c:v>0</c:v>
                </c:pt>
                <c:pt idx="4">
                  <c:v>4</c:v>
                </c:pt>
                <c:pt idx="5">
                  <c:v>2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28B-46B4-90C5-4BE58AC1B7CD}"/>
            </c:ext>
          </c:extLst>
        </c:ser>
        <c:ser>
          <c:idx val="7"/>
          <c:order val="7"/>
          <c:tx>
            <c:strRef>
              <c:f>'11.8 BWERA-KIKORONGO'!$Z$9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'11.8 BWERA-KIKORONGO'!$Z$10:$Z$21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28B-46B4-90C5-4BE58AC1B7CD}"/>
            </c:ext>
          </c:extLst>
        </c:ser>
        <c:ser>
          <c:idx val="8"/>
          <c:order val="8"/>
          <c:tx>
            <c:strRef>
              <c:f>'11.8 BWERA-KIKORONGO'!$AA$9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'11.8 BWERA-KIKORONGO'!$AA$10:$AA$21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28B-46B4-90C5-4BE58AC1B7CD}"/>
            </c:ext>
          </c:extLst>
        </c:ser>
        <c:ser>
          <c:idx val="9"/>
          <c:order val="9"/>
          <c:tx>
            <c:strRef>
              <c:f>'11.8 BWERA-KIKORONGO'!$AB$9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'11.8 BWERA-KIKORONGO'!$AB$10:$AB$21</c:f>
              <c:numCache>
                <c:formatCode>0</c:formatCode>
                <c:ptCount val="12"/>
                <c:pt idx="0">
                  <c:v>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3</c:v>
                </c:pt>
                <c:pt idx="10">
                  <c:v>4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28B-46B4-90C5-4BE58AC1B7CD}"/>
            </c:ext>
          </c:extLst>
        </c:ser>
        <c:ser>
          <c:idx val="10"/>
          <c:order val="10"/>
          <c:tx>
            <c:strRef>
              <c:f>'11.8 BWERA-KIKORONGO'!$AC$9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'11.8 BWERA-KIKORONGO'!$AC$10:$AC$21</c:f>
              <c:numCache>
                <c:formatCode>0</c:formatCode>
                <c:ptCount val="12"/>
                <c:pt idx="0">
                  <c:v>11</c:v>
                </c:pt>
                <c:pt idx="1">
                  <c:v>5</c:v>
                </c:pt>
                <c:pt idx="2">
                  <c:v>12</c:v>
                </c:pt>
                <c:pt idx="3">
                  <c:v>27</c:v>
                </c:pt>
                <c:pt idx="4">
                  <c:v>27</c:v>
                </c:pt>
                <c:pt idx="5">
                  <c:v>5</c:v>
                </c:pt>
                <c:pt idx="6">
                  <c:v>26</c:v>
                </c:pt>
                <c:pt idx="7">
                  <c:v>22</c:v>
                </c:pt>
                <c:pt idx="8">
                  <c:v>15</c:v>
                </c:pt>
                <c:pt idx="9">
                  <c:v>12</c:v>
                </c:pt>
                <c:pt idx="10">
                  <c:v>14</c:v>
                </c:pt>
                <c:pt idx="11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28B-46B4-90C5-4BE58AC1B7CD}"/>
            </c:ext>
          </c:extLst>
        </c:ser>
        <c:ser>
          <c:idx val="11"/>
          <c:order val="11"/>
          <c:tx>
            <c:strRef>
              <c:f>'11.8 BWERA-KIKORONGO'!$AD$9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'11.8 BWERA-KIKORONGO'!$AD$10:$AD$21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28B-46B4-90C5-4BE58AC1B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9378304"/>
        <c:axId val="209384192"/>
      </c:lineChart>
      <c:catAx>
        <c:axId val="209378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09384192"/>
        <c:crosses val="autoZero"/>
        <c:auto val="1"/>
        <c:lblAlgn val="ctr"/>
        <c:lblOffset val="100"/>
        <c:noMultiLvlLbl val="0"/>
      </c:catAx>
      <c:valAx>
        <c:axId val="209384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09378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12-4217-8AB6-47C18865D9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12-4217-8AB6-47C18865D9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12-4217-8AB6-47C18865D9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12-4217-8AB6-47C18865D9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12-4217-8AB6-47C18865D9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C12-4217-8AB6-47C18865D9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C12-4217-8AB6-47C18865D9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C12-4217-8AB6-47C18865D9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C12-4217-8AB6-47C18865D9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C12-4217-8AB6-47C18865D9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C12-4217-8AB6-47C18865D9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C12-4217-8AB6-47C18865D9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C12-4217-8AB6-47C18865D9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'11.8 BWERA-KIKORONGO'!$C$9:$N$9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'11.8 BWERA-KIKORONGO'!$C$60:$N$60</c:f>
              <c:numCache>
                <c:formatCode>0.00%</c:formatCode>
                <c:ptCount val="12"/>
                <c:pt idx="0">
                  <c:v>0.4622222222222222</c:v>
                </c:pt>
                <c:pt idx="1">
                  <c:v>0</c:v>
                </c:pt>
                <c:pt idx="2">
                  <c:v>0.18444444444444444</c:v>
                </c:pt>
                <c:pt idx="3">
                  <c:v>0.24</c:v>
                </c:pt>
                <c:pt idx="4">
                  <c:v>0</c:v>
                </c:pt>
                <c:pt idx="5">
                  <c:v>3.111111111111111E-2</c:v>
                </c:pt>
                <c:pt idx="6">
                  <c:v>2.8888888888888888E-2</c:v>
                </c:pt>
                <c:pt idx="7">
                  <c:v>2.2222222222222222E-3</c:v>
                </c:pt>
                <c:pt idx="8">
                  <c:v>0</c:v>
                </c:pt>
                <c:pt idx="9">
                  <c:v>5.1111111111111114E-2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C12-4217-8AB6-47C18865D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'11.8 KIKORONGO-BWERA'!$AE$9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'11.8 KIKORONGO-BWERA'!$R$10:$R$21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'11.8 KIKORONGO-BWERA'!$AE$10:$AE$21</c:f>
              <c:numCache>
                <c:formatCode>0</c:formatCode>
                <c:ptCount val="12"/>
                <c:pt idx="0">
                  <c:v>67</c:v>
                </c:pt>
                <c:pt idx="1">
                  <c:v>40</c:v>
                </c:pt>
                <c:pt idx="2">
                  <c:v>50</c:v>
                </c:pt>
                <c:pt idx="3">
                  <c:v>24</c:v>
                </c:pt>
                <c:pt idx="4">
                  <c:v>27</c:v>
                </c:pt>
                <c:pt idx="5">
                  <c:v>29</c:v>
                </c:pt>
                <c:pt idx="6">
                  <c:v>32</c:v>
                </c:pt>
                <c:pt idx="7">
                  <c:v>33</c:v>
                </c:pt>
                <c:pt idx="8">
                  <c:v>37</c:v>
                </c:pt>
                <c:pt idx="9">
                  <c:v>30</c:v>
                </c:pt>
                <c:pt idx="10">
                  <c:v>50</c:v>
                </c:pt>
                <c:pt idx="11">
                  <c:v>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DE-43FB-B018-4B429EDDE76A}"/>
            </c:ext>
          </c:extLst>
        </c:ser>
        <c:ser>
          <c:idx val="1"/>
          <c:order val="1"/>
          <c:tx>
            <c:strRef>
              <c:f>'11.8 KIKORONGO-BWERA'!$AF$9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'11.8 KIKORONGO-BWERA'!$R$10:$R$21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'11.8 KIKORONGO-BWERA'!$AF$10:$AF$21</c:f>
              <c:numCache>
                <c:formatCode>0</c:formatCode>
                <c:ptCount val="12"/>
                <c:pt idx="0">
                  <c:v>85</c:v>
                </c:pt>
                <c:pt idx="1">
                  <c:v>54</c:v>
                </c:pt>
                <c:pt idx="2">
                  <c:v>59</c:v>
                </c:pt>
                <c:pt idx="3">
                  <c:v>29</c:v>
                </c:pt>
                <c:pt idx="4">
                  <c:v>35</c:v>
                </c:pt>
                <c:pt idx="5">
                  <c:v>36</c:v>
                </c:pt>
                <c:pt idx="6">
                  <c:v>40</c:v>
                </c:pt>
                <c:pt idx="7">
                  <c:v>44</c:v>
                </c:pt>
                <c:pt idx="8">
                  <c:v>48</c:v>
                </c:pt>
                <c:pt idx="9">
                  <c:v>45</c:v>
                </c:pt>
                <c:pt idx="10">
                  <c:v>69</c:v>
                </c:pt>
                <c:pt idx="11">
                  <c:v>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9DE-43FB-B018-4B429EDDE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5678976"/>
        <c:axId val="215680896"/>
      </c:lineChart>
      <c:catAx>
        <c:axId val="21567897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5680896"/>
        <c:crosses val="autoZero"/>
        <c:auto val="1"/>
        <c:lblAlgn val="ctr"/>
        <c:lblOffset val="100"/>
        <c:noMultiLvlLbl val="0"/>
      </c:catAx>
      <c:valAx>
        <c:axId val="2156808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5678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85F-4049-90B5-622F08A1EA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85F-4049-90B5-622F08A1EA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85F-4049-90B5-622F08A1EA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85F-4049-90B5-622F08A1EA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85F-4049-90B5-622F08A1EA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85F-4049-90B5-622F08A1EA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85F-4049-90B5-622F08A1EA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85F-4049-90B5-622F08A1EA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85F-4049-90B5-622F08A1EA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85F-4049-90B5-622F08A1EA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85F-4049-90B5-622F08A1EA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85F-4049-90B5-622F08A1EAA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85F-4049-90B5-622F08A1E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'11.8 KIKORONGO-BWERA'!$C$9:$N$9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'11.8 KIKORONGO-BWERA'!$C$59:$N$59</c:f>
              <c:numCache>
                <c:formatCode>0.0%</c:formatCode>
                <c:ptCount val="12"/>
                <c:pt idx="0">
                  <c:v>0.21202003338898165</c:v>
                </c:pt>
                <c:pt idx="1">
                  <c:v>0</c:v>
                </c:pt>
                <c:pt idx="2">
                  <c:v>0.17028380634390652</c:v>
                </c:pt>
                <c:pt idx="3">
                  <c:v>0.18697829716193656</c:v>
                </c:pt>
                <c:pt idx="4">
                  <c:v>1.1686143572621035E-2</c:v>
                </c:pt>
                <c:pt idx="5">
                  <c:v>3.0050083472454091E-2</c:v>
                </c:pt>
                <c:pt idx="6">
                  <c:v>9.0150250417362271E-2</c:v>
                </c:pt>
                <c:pt idx="7">
                  <c:v>0</c:v>
                </c:pt>
                <c:pt idx="8">
                  <c:v>0</c:v>
                </c:pt>
                <c:pt idx="9">
                  <c:v>6.5108514190317199E-2</c:v>
                </c:pt>
                <c:pt idx="10">
                  <c:v>0.23205342237061768</c:v>
                </c:pt>
                <c:pt idx="11">
                  <c:v>1.6694490818030051E-3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85F-4049-90B5-622F08A1E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'11.8 KIKORONGO-BWERA'!$S$9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'11.8 KIKORONGO-BWERA'!$R$10:$R$21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'11.8 KIKORONGO-BWERA'!$S$10:$S$21</c:f>
              <c:numCache>
                <c:formatCode>0</c:formatCode>
                <c:ptCount val="12"/>
                <c:pt idx="0">
                  <c:v>18</c:v>
                </c:pt>
                <c:pt idx="1">
                  <c:v>12</c:v>
                </c:pt>
                <c:pt idx="2">
                  <c:v>11</c:v>
                </c:pt>
                <c:pt idx="3">
                  <c:v>5</c:v>
                </c:pt>
                <c:pt idx="4">
                  <c:v>7</c:v>
                </c:pt>
                <c:pt idx="5">
                  <c:v>10</c:v>
                </c:pt>
                <c:pt idx="6">
                  <c:v>6</c:v>
                </c:pt>
                <c:pt idx="7">
                  <c:v>12</c:v>
                </c:pt>
                <c:pt idx="8">
                  <c:v>14</c:v>
                </c:pt>
                <c:pt idx="9">
                  <c:v>8</c:v>
                </c:pt>
                <c:pt idx="10">
                  <c:v>12</c:v>
                </c:pt>
                <c:pt idx="11">
                  <c:v>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793-4957-A836-ECDA67D2C747}"/>
            </c:ext>
          </c:extLst>
        </c:ser>
        <c:ser>
          <c:idx val="1"/>
          <c:order val="1"/>
          <c:tx>
            <c:strRef>
              <c:f>'11.8 KIKORONGO-BWERA'!$T$9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'11.8 KIKORONGO-BWERA'!$R$10:$R$21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'11.8 KIKORONGO-BWERA'!$T$10:$T$21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793-4957-A836-ECDA67D2C747}"/>
            </c:ext>
          </c:extLst>
        </c:ser>
        <c:ser>
          <c:idx val="2"/>
          <c:order val="2"/>
          <c:tx>
            <c:strRef>
              <c:f>'11.8 KIKORONGO-BWERA'!$U$9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'11.8 KIKORONGO-BWERA'!$U$10:$U$21</c:f>
              <c:numCache>
                <c:formatCode>0</c:formatCode>
                <c:ptCount val="12"/>
                <c:pt idx="0">
                  <c:v>14</c:v>
                </c:pt>
                <c:pt idx="1">
                  <c:v>8</c:v>
                </c:pt>
                <c:pt idx="2">
                  <c:v>13</c:v>
                </c:pt>
                <c:pt idx="3">
                  <c:v>2</c:v>
                </c:pt>
                <c:pt idx="4">
                  <c:v>4</c:v>
                </c:pt>
                <c:pt idx="5">
                  <c:v>7</c:v>
                </c:pt>
                <c:pt idx="6">
                  <c:v>11</c:v>
                </c:pt>
                <c:pt idx="7">
                  <c:v>7</c:v>
                </c:pt>
                <c:pt idx="8">
                  <c:v>9</c:v>
                </c:pt>
                <c:pt idx="9">
                  <c:v>5</c:v>
                </c:pt>
                <c:pt idx="10">
                  <c:v>11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93-4957-A836-ECDA67D2C747}"/>
            </c:ext>
          </c:extLst>
        </c:ser>
        <c:ser>
          <c:idx val="3"/>
          <c:order val="3"/>
          <c:tx>
            <c:strRef>
              <c:f>'11.8 KIKORONGO-BWERA'!$V$9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'11.8 KIKORONGO-BWERA'!$V$10:$V$21</c:f>
              <c:numCache>
                <c:formatCode>0</c:formatCode>
                <c:ptCount val="12"/>
                <c:pt idx="0">
                  <c:v>11</c:v>
                </c:pt>
                <c:pt idx="1">
                  <c:v>7</c:v>
                </c:pt>
                <c:pt idx="2">
                  <c:v>13</c:v>
                </c:pt>
                <c:pt idx="3">
                  <c:v>7</c:v>
                </c:pt>
                <c:pt idx="4">
                  <c:v>9</c:v>
                </c:pt>
                <c:pt idx="5">
                  <c:v>9</c:v>
                </c:pt>
                <c:pt idx="6">
                  <c:v>10</c:v>
                </c:pt>
                <c:pt idx="7">
                  <c:v>8</c:v>
                </c:pt>
                <c:pt idx="8">
                  <c:v>8</c:v>
                </c:pt>
                <c:pt idx="9">
                  <c:v>9</c:v>
                </c:pt>
                <c:pt idx="10">
                  <c:v>15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93-4957-A836-ECDA67D2C747}"/>
            </c:ext>
          </c:extLst>
        </c:ser>
        <c:ser>
          <c:idx val="4"/>
          <c:order val="4"/>
          <c:tx>
            <c:strRef>
              <c:f>'11.8 KIKORONGO-BWERA'!$W$9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'11.8 KIKORONGO-BWERA'!$W$10:$W$21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93-4957-A836-ECDA67D2C747}"/>
            </c:ext>
          </c:extLst>
        </c:ser>
        <c:ser>
          <c:idx val="5"/>
          <c:order val="5"/>
          <c:tx>
            <c:strRef>
              <c:f>'11.8 KIKORONGO-BWERA'!$X$9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'11.8 KIKORONGO-BWERA'!$X$10:$X$21</c:f>
              <c:numCache>
                <c:formatCode>0</c:formatCode>
                <c:ptCount val="12"/>
                <c:pt idx="0">
                  <c:v>7</c:v>
                </c:pt>
                <c:pt idx="1">
                  <c:v>3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93-4957-A836-ECDA67D2C747}"/>
            </c:ext>
          </c:extLst>
        </c:ser>
        <c:ser>
          <c:idx val="6"/>
          <c:order val="6"/>
          <c:tx>
            <c:strRef>
              <c:f>'11.8 KIKORONGO-BWERA'!$Y$9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'11.8 KIKORONGO-BWERA'!$Y$10:$Y$21</c:f>
              <c:numCache>
                <c:formatCode>0</c:formatCode>
                <c:ptCount val="12"/>
                <c:pt idx="0">
                  <c:v>10</c:v>
                </c:pt>
                <c:pt idx="1">
                  <c:v>8</c:v>
                </c:pt>
                <c:pt idx="2">
                  <c:v>7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3</c:v>
                </c:pt>
                <c:pt idx="7">
                  <c:v>2</c:v>
                </c:pt>
                <c:pt idx="8">
                  <c:v>5</c:v>
                </c:pt>
                <c:pt idx="9">
                  <c:v>3</c:v>
                </c:pt>
                <c:pt idx="10">
                  <c:v>3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93-4957-A836-ECDA67D2C747}"/>
            </c:ext>
          </c:extLst>
        </c:ser>
        <c:ser>
          <c:idx val="7"/>
          <c:order val="7"/>
          <c:tx>
            <c:strRef>
              <c:f>'11.8 KIKORONGO-BWERA'!$Z$9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'11.8 KIKORONGO-BWERA'!$Z$10:$Z$21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793-4957-A836-ECDA67D2C747}"/>
            </c:ext>
          </c:extLst>
        </c:ser>
        <c:ser>
          <c:idx val="8"/>
          <c:order val="8"/>
          <c:tx>
            <c:strRef>
              <c:f>'11.8 KIKORONGO-BWERA'!$AA$9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'11.8 KIKORONGO-BWERA'!$AA$10:$AA$21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793-4957-A836-ECDA67D2C747}"/>
            </c:ext>
          </c:extLst>
        </c:ser>
        <c:ser>
          <c:idx val="9"/>
          <c:order val="9"/>
          <c:tx>
            <c:strRef>
              <c:f>'11.8 KIKORONGO-BWERA'!$AB$9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'11.8 KIKORONGO-BWERA'!$AB$10:$AB$21</c:f>
              <c:numCache>
                <c:formatCode>0</c:formatCode>
                <c:ptCount val="12"/>
                <c:pt idx="0">
                  <c:v>7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1</c:v>
                </c:pt>
                <c:pt idx="6">
                  <c:v>2</c:v>
                </c:pt>
                <c:pt idx="7">
                  <c:v>4</c:v>
                </c:pt>
                <c:pt idx="8">
                  <c:v>1</c:v>
                </c:pt>
                <c:pt idx="9">
                  <c:v>3</c:v>
                </c:pt>
                <c:pt idx="10">
                  <c:v>7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793-4957-A836-ECDA67D2C747}"/>
            </c:ext>
          </c:extLst>
        </c:ser>
        <c:ser>
          <c:idx val="10"/>
          <c:order val="10"/>
          <c:tx>
            <c:strRef>
              <c:f>'11.8 KIKORONGO-BWERA'!$AC$9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'11.8 KIKORONGO-BWERA'!$AC$10:$AC$21</c:f>
              <c:numCache>
                <c:formatCode>0</c:formatCode>
                <c:ptCount val="12"/>
                <c:pt idx="0">
                  <c:v>18</c:v>
                </c:pt>
                <c:pt idx="1">
                  <c:v>14</c:v>
                </c:pt>
                <c:pt idx="2">
                  <c:v>9</c:v>
                </c:pt>
                <c:pt idx="3">
                  <c:v>5</c:v>
                </c:pt>
                <c:pt idx="4">
                  <c:v>8</c:v>
                </c:pt>
                <c:pt idx="5">
                  <c:v>7</c:v>
                </c:pt>
                <c:pt idx="6">
                  <c:v>8</c:v>
                </c:pt>
                <c:pt idx="7">
                  <c:v>11</c:v>
                </c:pt>
                <c:pt idx="8">
                  <c:v>11</c:v>
                </c:pt>
                <c:pt idx="9">
                  <c:v>15</c:v>
                </c:pt>
                <c:pt idx="10">
                  <c:v>19</c:v>
                </c:pt>
                <c:pt idx="11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793-4957-A836-ECDA67D2C747}"/>
            </c:ext>
          </c:extLst>
        </c:ser>
        <c:ser>
          <c:idx val="11"/>
          <c:order val="11"/>
          <c:tx>
            <c:strRef>
              <c:f>'11.8 KIKORONGO-BWERA'!$AD$9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'11.8 KIKORONGO-BWERA'!$AD$10:$AD$21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793-4957-A836-ECDA67D2C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5861120"/>
        <c:axId val="215862656"/>
      </c:lineChart>
      <c:catAx>
        <c:axId val="2158611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5862656"/>
        <c:crosses val="autoZero"/>
        <c:auto val="1"/>
        <c:lblAlgn val="ctr"/>
        <c:lblOffset val="100"/>
        <c:noMultiLvlLbl val="0"/>
      </c:catAx>
      <c:valAx>
        <c:axId val="215862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586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CB0-4F20-A91A-77634015494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CB0-4F20-A91A-77634015494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CB0-4F20-A91A-77634015494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CB0-4F20-A91A-77634015494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CB0-4F20-A91A-77634015494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CB0-4F20-A91A-77634015494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CB0-4F20-A91A-77634015494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CB0-4F20-A91A-77634015494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CB0-4F20-A91A-77634015494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CB0-4F20-A91A-77634015494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CB0-4F20-A91A-77634015494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CB0-4F20-A91A-77634015494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CB0-4F20-A91A-7763401549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'11.8 KIKORONGO-BWERA'!$C$9:$N$9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'11.8 KIKORONGO-BWERA'!$C$60:$N$60</c:f>
              <c:numCache>
                <c:formatCode>0.00%</c:formatCode>
                <c:ptCount val="12"/>
                <c:pt idx="0">
                  <c:v>0.27608695652173915</c:v>
                </c:pt>
                <c:pt idx="1">
                  <c:v>0</c:v>
                </c:pt>
                <c:pt idx="2">
                  <c:v>0.22173913043478261</c:v>
                </c:pt>
                <c:pt idx="3">
                  <c:v>0.24347826086956523</c:v>
                </c:pt>
                <c:pt idx="4">
                  <c:v>1.5217391304347827E-2</c:v>
                </c:pt>
                <c:pt idx="5">
                  <c:v>3.9130434782608699E-2</c:v>
                </c:pt>
                <c:pt idx="6">
                  <c:v>0.11739130434782609</c:v>
                </c:pt>
                <c:pt idx="7">
                  <c:v>0</c:v>
                </c:pt>
                <c:pt idx="8">
                  <c:v>0</c:v>
                </c:pt>
                <c:pt idx="9">
                  <c:v>8.478260869565217E-2</c:v>
                </c:pt>
                <c:pt idx="11">
                  <c:v>2.1739130434782609E-3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CB0-4F20-A91A-776340154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KIKORONGO-BWERA'!$AE$9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KIKORONGO-BWERA'!$R$10:$R$32</c:f>
              <c:strCache>
                <c:ptCount val="23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</c:strCache>
            </c:strRef>
          </c:cat>
          <c:val>
            <c:numRef>
              <c:f>'Avg Week KIKORONGO-BWERA'!$AE$10:$AE$32</c:f>
              <c:numCache>
                <c:formatCode>0</c:formatCode>
                <c:ptCount val="23"/>
                <c:pt idx="0">
                  <c:v>34.142857142857139</c:v>
                </c:pt>
                <c:pt idx="1">
                  <c:v>33</c:v>
                </c:pt>
                <c:pt idx="2">
                  <c:v>37.571428571428569</c:v>
                </c:pt>
                <c:pt idx="3">
                  <c:v>37.428571428571431</c:v>
                </c:pt>
                <c:pt idx="4">
                  <c:v>39.142857142857146</c:v>
                </c:pt>
                <c:pt idx="5">
                  <c:v>42.571428571428577</c:v>
                </c:pt>
                <c:pt idx="6">
                  <c:v>41.571428571428569</c:v>
                </c:pt>
                <c:pt idx="7">
                  <c:v>42.571428571428569</c:v>
                </c:pt>
                <c:pt idx="8">
                  <c:v>47.714285714285715</c:v>
                </c:pt>
                <c:pt idx="9">
                  <c:v>46.571428571428569</c:v>
                </c:pt>
                <c:pt idx="10">
                  <c:v>53.714285714285715</c:v>
                </c:pt>
                <c:pt idx="11">
                  <c:v>46.571428571428569</c:v>
                </c:pt>
                <c:pt idx="12">
                  <c:v>48</c:v>
                </c:pt>
                <c:pt idx="13">
                  <c:v>28</c:v>
                </c:pt>
                <c:pt idx="14">
                  <c:v>23.5</c:v>
                </c:pt>
                <c:pt idx="15">
                  <c:v>17</c:v>
                </c:pt>
                <c:pt idx="16">
                  <c:v>11.5</c:v>
                </c:pt>
                <c:pt idx="17">
                  <c:v>10</c:v>
                </c:pt>
                <c:pt idx="18">
                  <c:v>7.5</c:v>
                </c:pt>
                <c:pt idx="19">
                  <c:v>8</c:v>
                </c:pt>
                <c:pt idx="20">
                  <c:v>15</c:v>
                </c:pt>
                <c:pt idx="21">
                  <c:v>10</c:v>
                </c:pt>
                <c:pt idx="22">
                  <c:v>8.5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85-422C-8502-C8D950B820C5}"/>
            </c:ext>
          </c:extLst>
        </c:ser>
        <c:ser>
          <c:idx val="1"/>
          <c:order val="1"/>
          <c:tx>
            <c:strRef>
              <c:f>'Avg Week KIKORONGO-BWERA'!$AF$9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KIKORONGO-BWERA'!$R$10:$R$32</c:f>
              <c:strCache>
                <c:ptCount val="23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</c:strCache>
            </c:strRef>
          </c:cat>
          <c:val>
            <c:numRef>
              <c:f>'Avg Week KIKORONGO-BWERA'!$AF$10:$AF$32</c:f>
              <c:numCache>
                <c:formatCode>0</c:formatCode>
                <c:ptCount val="23"/>
                <c:pt idx="0">
                  <c:v>48.904761904761898</c:v>
                </c:pt>
                <c:pt idx="1">
                  <c:v>51</c:v>
                </c:pt>
                <c:pt idx="2">
                  <c:v>53.571428571428569</c:v>
                </c:pt>
                <c:pt idx="3">
                  <c:v>52</c:v>
                </c:pt>
                <c:pt idx="4">
                  <c:v>54.142857142857146</c:v>
                </c:pt>
                <c:pt idx="5">
                  <c:v>53.285714285714292</c:v>
                </c:pt>
                <c:pt idx="6">
                  <c:v>57.428571428571431</c:v>
                </c:pt>
                <c:pt idx="7">
                  <c:v>54.857142857142854</c:v>
                </c:pt>
                <c:pt idx="8">
                  <c:v>60.738095238095241</c:v>
                </c:pt>
                <c:pt idx="9">
                  <c:v>59.714285714285708</c:v>
                </c:pt>
                <c:pt idx="10">
                  <c:v>68.142857142857139</c:v>
                </c:pt>
                <c:pt idx="11">
                  <c:v>58.857142857142861</c:v>
                </c:pt>
                <c:pt idx="12">
                  <c:v>60.5</c:v>
                </c:pt>
                <c:pt idx="13">
                  <c:v>32.5</c:v>
                </c:pt>
                <c:pt idx="14">
                  <c:v>26</c:v>
                </c:pt>
                <c:pt idx="15">
                  <c:v>18.5</c:v>
                </c:pt>
                <c:pt idx="16">
                  <c:v>13</c:v>
                </c:pt>
                <c:pt idx="17">
                  <c:v>12</c:v>
                </c:pt>
                <c:pt idx="18">
                  <c:v>8</c:v>
                </c:pt>
                <c:pt idx="19">
                  <c:v>8</c:v>
                </c:pt>
                <c:pt idx="20">
                  <c:v>18</c:v>
                </c:pt>
                <c:pt idx="21">
                  <c:v>13</c:v>
                </c:pt>
                <c:pt idx="22">
                  <c:v>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E85-422C-8502-C8D950B82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7483904"/>
        <c:axId val="217486080"/>
      </c:lineChart>
      <c:catAx>
        <c:axId val="21748390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7486080"/>
        <c:crosses val="autoZero"/>
        <c:auto val="1"/>
        <c:lblAlgn val="ctr"/>
        <c:lblOffset val="100"/>
        <c:noMultiLvlLbl val="0"/>
      </c:catAx>
      <c:valAx>
        <c:axId val="21748608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7483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E7-413A-BC41-2C6194EF8E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E7-413A-BC41-2C6194EF8E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E7-413A-BC41-2C6194EF8E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E7-413A-BC41-2C6194EF8E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E7-413A-BC41-2C6194EF8E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5E7-413A-BC41-2C6194EF8E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5E7-413A-BC41-2C6194EF8E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5E7-413A-BC41-2C6194EF8EC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5E7-413A-BC41-2C6194EF8EC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5E7-413A-BC41-2C6194EF8EC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5E7-413A-BC41-2C6194EF8EC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5E7-413A-BC41-2C6194EF8EC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5E7-413A-BC41-2C6194EF8E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KIKORONGO-BWERA'!$C$9:$N$9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KIKORONGO-BWERA'!$C$107:$N$107</c:f>
              <c:numCache>
                <c:formatCode>0.0%</c:formatCode>
                <c:ptCount val="12"/>
                <c:pt idx="0">
                  <c:v>0.27523364294317865</c:v>
                </c:pt>
                <c:pt idx="1">
                  <c:v>0</c:v>
                </c:pt>
                <c:pt idx="2">
                  <c:v>0.13877586264063696</c:v>
                </c:pt>
                <c:pt idx="3">
                  <c:v>0.17764237650936773</c:v>
                </c:pt>
                <c:pt idx="4">
                  <c:v>7.7269411269842404E-4</c:v>
                </c:pt>
                <c:pt idx="5">
                  <c:v>2.3721709259841621E-2</c:v>
                </c:pt>
                <c:pt idx="6">
                  <c:v>8.4764544163017139E-2</c:v>
                </c:pt>
                <c:pt idx="7">
                  <c:v>6.4906305466667638E-3</c:v>
                </c:pt>
                <c:pt idx="8">
                  <c:v>7.5724023044445596E-3</c:v>
                </c:pt>
                <c:pt idx="9">
                  <c:v>5.3315893776191274E-2</c:v>
                </c:pt>
                <c:pt idx="10">
                  <c:v>0.23078301080871882</c:v>
                </c:pt>
                <c:pt idx="11">
                  <c:v>9.2723293523810891E-4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5E7-413A-BC41-2C6194EF8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0A-4F64-9F70-B5B6C79680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0A-4F64-9F70-B5B6C796803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0A-4F64-9F70-B5B6C796803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0A-4F64-9F70-B5B6C796803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0A-4F64-9F70-B5B6C796803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0A-4F64-9F70-B5B6C796803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0A-4F64-9F70-B5B6C796803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0A-4F64-9F70-B5B6C796803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0A-4F64-9F70-B5B6C796803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0A-4F64-9F70-B5B6C796803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0A-4F64-9F70-B5B6C796803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0A-4F64-9F70-B5B6C796803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80A-4F64-9F70-B5B6C7968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KIKORONGO-BWERA'!$C$9:$N$9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KIKORONGO-BWERA'!$C$108:$N$108</c:f>
              <c:numCache>
                <c:formatCode>0.00%</c:formatCode>
                <c:ptCount val="12"/>
                <c:pt idx="0">
                  <c:v>0.35781014565544955</c:v>
                </c:pt>
                <c:pt idx="1">
                  <c:v>0</c:v>
                </c:pt>
                <c:pt idx="2">
                  <c:v>0.18041185334003015</c:v>
                </c:pt>
                <c:pt idx="3">
                  <c:v>0.23093922651933707</c:v>
                </c:pt>
                <c:pt idx="4">
                  <c:v>1.0045203415369162E-3</c:v>
                </c:pt>
                <c:pt idx="5">
                  <c:v>3.0838774485183327E-2</c:v>
                </c:pt>
                <c:pt idx="6">
                  <c:v>0.11019588146659973</c:v>
                </c:pt>
                <c:pt idx="7">
                  <c:v>8.4379708689100979E-3</c:v>
                </c:pt>
                <c:pt idx="8">
                  <c:v>9.8442993470617829E-3</c:v>
                </c:pt>
                <c:pt idx="9">
                  <c:v>6.9311903566047231E-2</c:v>
                </c:pt>
                <c:pt idx="11">
                  <c:v>1.2054244098442994E-3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0A-4F64-9F70-B5B6C796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BWERA-KIKORONGO'!$AE$9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BWERA-KIKORONGO'!$R$10:$R$33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BWERA-KIKORONGO'!$AE$10:$AE$33</c:f>
              <c:numCache>
                <c:formatCode>0</c:formatCode>
                <c:ptCount val="24"/>
                <c:pt idx="0">
                  <c:v>33</c:v>
                </c:pt>
                <c:pt idx="1">
                  <c:v>43.428571428571431</c:v>
                </c:pt>
                <c:pt idx="2">
                  <c:v>52.714285714285722</c:v>
                </c:pt>
                <c:pt idx="3">
                  <c:v>53.285714285714292</c:v>
                </c:pt>
                <c:pt idx="4">
                  <c:v>47.142857142857146</c:v>
                </c:pt>
                <c:pt idx="5">
                  <c:v>45.285714285714285</c:v>
                </c:pt>
                <c:pt idx="6">
                  <c:v>56.571428571428569</c:v>
                </c:pt>
                <c:pt idx="7">
                  <c:v>52.571428571428569</c:v>
                </c:pt>
                <c:pt idx="8">
                  <c:v>50.571428571428577</c:v>
                </c:pt>
                <c:pt idx="9">
                  <c:v>52.857142857142854</c:v>
                </c:pt>
                <c:pt idx="10">
                  <c:v>50.999999999999993</c:v>
                </c:pt>
                <c:pt idx="11">
                  <c:v>36</c:v>
                </c:pt>
                <c:pt idx="12">
                  <c:v>38.5</c:v>
                </c:pt>
                <c:pt idx="13">
                  <c:v>33</c:v>
                </c:pt>
                <c:pt idx="14">
                  <c:v>19</c:v>
                </c:pt>
                <c:pt idx="15">
                  <c:v>11</c:v>
                </c:pt>
                <c:pt idx="16">
                  <c:v>19.5</c:v>
                </c:pt>
                <c:pt idx="17">
                  <c:v>11</c:v>
                </c:pt>
                <c:pt idx="18">
                  <c:v>9.5</c:v>
                </c:pt>
                <c:pt idx="19">
                  <c:v>13</c:v>
                </c:pt>
                <c:pt idx="20">
                  <c:v>8</c:v>
                </c:pt>
                <c:pt idx="21">
                  <c:v>9.5</c:v>
                </c:pt>
                <c:pt idx="22">
                  <c:v>19</c:v>
                </c:pt>
                <c:pt idx="23">
                  <c:v>21.5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F8-46F1-A26B-8380F37E487A}"/>
            </c:ext>
          </c:extLst>
        </c:ser>
        <c:ser>
          <c:idx val="1"/>
          <c:order val="1"/>
          <c:tx>
            <c:strRef>
              <c:f>'Avg Week BWERA-KIKORONGO'!$AF$9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BWERA-KIKORONGO'!$R$10:$R$33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BWERA-KIKORONGO'!$AF$10:$AF$33</c:f>
              <c:numCache>
                <c:formatCode>0</c:formatCode>
                <c:ptCount val="24"/>
                <c:pt idx="0">
                  <c:v>42.857142857142861</c:v>
                </c:pt>
                <c:pt idx="1">
                  <c:v>59.142857142857146</c:v>
                </c:pt>
                <c:pt idx="2">
                  <c:v>65.857142857142861</c:v>
                </c:pt>
                <c:pt idx="3">
                  <c:v>65.571428571428584</c:v>
                </c:pt>
                <c:pt idx="4">
                  <c:v>64.428571428571416</c:v>
                </c:pt>
                <c:pt idx="5">
                  <c:v>62</c:v>
                </c:pt>
                <c:pt idx="6">
                  <c:v>71.857142857142861</c:v>
                </c:pt>
                <c:pt idx="7">
                  <c:v>68.428571428571431</c:v>
                </c:pt>
                <c:pt idx="8">
                  <c:v>64</c:v>
                </c:pt>
                <c:pt idx="9">
                  <c:v>65.285714285714278</c:v>
                </c:pt>
                <c:pt idx="10">
                  <c:v>65.428571428571416</c:v>
                </c:pt>
                <c:pt idx="11">
                  <c:v>48.142857142857139</c:v>
                </c:pt>
                <c:pt idx="12">
                  <c:v>52.5</c:v>
                </c:pt>
                <c:pt idx="13">
                  <c:v>41.5</c:v>
                </c:pt>
                <c:pt idx="14">
                  <c:v>22.5</c:v>
                </c:pt>
                <c:pt idx="15">
                  <c:v>11.5</c:v>
                </c:pt>
                <c:pt idx="16">
                  <c:v>21</c:v>
                </c:pt>
                <c:pt idx="17">
                  <c:v>12</c:v>
                </c:pt>
                <c:pt idx="18">
                  <c:v>10.5</c:v>
                </c:pt>
                <c:pt idx="19">
                  <c:v>13.5</c:v>
                </c:pt>
                <c:pt idx="20">
                  <c:v>8</c:v>
                </c:pt>
                <c:pt idx="21">
                  <c:v>9.5</c:v>
                </c:pt>
                <c:pt idx="22">
                  <c:v>19</c:v>
                </c:pt>
                <c:pt idx="23">
                  <c:v>29.5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F8-46F1-A26B-8380F37E4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8936832"/>
        <c:axId val="218938752"/>
      </c:lineChart>
      <c:catAx>
        <c:axId val="21893683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8938752"/>
        <c:crosses val="autoZero"/>
        <c:auto val="1"/>
        <c:lblAlgn val="ctr"/>
        <c:lblOffset val="100"/>
        <c:noMultiLvlLbl val="0"/>
      </c:catAx>
      <c:valAx>
        <c:axId val="21893875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8936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B84-4A7D-9CBD-0C2ADBE1B0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B84-4A7D-9CBD-0C2ADBE1B0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B84-4A7D-9CBD-0C2ADBE1B0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B84-4A7D-9CBD-0C2ADBE1B0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B84-4A7D-9CBD-0C2ADBE1B0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B84-4A7D-9CBD-0C2ADBE1B0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B84-4A7D-9CBD-0C2ADBE1B04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B84-4A7D-9CBD-0C2ADBE1B04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B84-4A7D-9CBD-0C2ADBE1B04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B84-4A7D-9CBD-0C2ADBE1B04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B84-4A7D-9CBD-0C2ADBE1B04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B84-4A7D-9CBD-0C2ADBE1B04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B84-4A7D-9CBD-0C2ADBE1B0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BWERA-KIKORONGO'!$C$9:$N$9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BWERA-KIKORONGO'!$C$107:$N$107</c:f>
              <c:numCache>
                <c:formatCode>0.0%</c:formatCode>
                <c:ptCount val="12"/>
                <c:pt idx="0">
                  <c:v>0.29678068410462771</c:v>
                </c:pt>
                <c:pt idx="1">
                  <c:v>0</c:v>
                </c:pt>
                <c:pt idx="2">
                  <c:v>0.13761138258120145</c:v>
                </c:pt>
                <c:pt idx="3">
                  <c:v>0.17842770911181374</c:v>
                </c:pt>
                <c:pt idx="4">
                  <c:v>2.0120724346076452E-3</c:v>
                </c:pt>
                <c:pt idx="5">
                  <c:v>1.5809140557631499E-2</c:v>
                </c:pt>
                <c:pt idx="6">
                  <c:v>7.9045702788157507E-2</c:v>
                </c:pt>
                <c:pt idx="7">
                  <c:v>3.7798217878700767E-2</c:v>
                </c:pt>
                <c:pt idx="8">
                  <c:v>3.0181086519114673E-3</c:v>
                </c:pt>
                <c:pt idx="9">
                  <c:v>3.9954009772923252E-2</c:v>
                </c:pt>
                <c:pt idx="10">
                  <c:v>0.20832135671169871</c:v>
                </c:pt>
                <c:pt idx="11">
                  <c:v>1.2216154067260703E-3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B84-4A7D-9CBD-0C2ADBE1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8A-48E6-9C2F-F83D272746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8A-48E6-9C2F-F83D272746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8A-48E6-9C2F-F83D272746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8A-48E6-9C2F-F83D272746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8A-48E6-9C2F-F83D272746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B8A-48E6-9C2F-F83D272746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B8A-48E6-9C2F-F83D272746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B8A-48E6-9C2F-F83D272746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B8A-48E6-9C2F-F83D272746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B8A-48E6-9C2F-F83D2727468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B8A-48E6-9C2F-F83D2727468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B8A-48E6-9C2F-F83D2727468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B8A-48E6-9C2F-F83D272746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BWERA-KIKORONGO'!$C$9:$N$9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BWERA-KIKORONGO'!$C$108:$N$108</c:f>
              <c:numCache>
                <c:formatCode>0.00%</c:formatCode>
                <c:ptCount val="12"/>
                <c:pt idx="0">
                  <c:v>0.37487519288372517</c:v>
                </c:pt>
                <c:pt idx="1">
                  <c:v>0</c:v>
                </c:pt>
                <c:pt idx="2">
                  <c:v>0.17382227466642464</c:v>
                </c:pt>
                <c:pt idx="3">
                  <c:v>0.22537895978941644</c:v>
                </c:pt>
                <c:pt idx="4">
                  <c:v>2.5415267314150857E-3</c:v>
                </c:pt>
                <c:pt idx="5">
                  <c:v>1.9969138603975679E-2</c:v>
                </c:pt>
                <c:pt idx="6">
                  <c:v>9.9845693019878404E-2</c:v>
                </c:pt>
                <c:pt idx="7">
                  <c:v>4.7744395025869114E-2</c:v>
                </c:pt>
                <c:pt idx="8">
                  <c:v>3.8122900971226279E-3</c:v>
                </c:pt>
                <c:pt idx="9">
                  <c:v>5.0467459380956717E-2</c:v>
                </c:pt>
                <c:pt idx="11">
                  <c:v>1.5430698012163021E-3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B8A-48E6-9C2F-F83D272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B1-462A-9165-7345BB8109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B1-462A-9165-7345BB8109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B1-462A-9165-7345BB8109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B1-462A-9165-7345BB8109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9B1-462A-9165-7345BB8109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9B1-462A-9165-7345BB81096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9B1-462A-9165-7345BB81096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9B1-462A-9165-7345BB81096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9B1-462A-9165-7345BB81096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9B1-462A-9165-7345BB81096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9B1-462A-9165-7345BB81096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9B1-462A-9165-7345BB81096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9B1-462A-9165-7345BB8109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KIKORONGO-BWERA-2Dir'!$C$9:$N$9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KIKORONGO-BWERA-2Dir'!$C$107:$N$107</c:f>
              <c:numCache>
                <c:formatCode>0.0%</c:formatCode>
                <c:ptCount val="12"/>
                <c:pt idx="0">
                  <c:v>0.28639797456291016</c:v>
                </c:pt>
                <c:pt idx="1">
                  <c:v>6.2177625795804964E-2</c:v>
                </c:pt>
                <c:pt idx="2">
                  <c:v>7.5994875972650575E-2</c:v>
                </c:pt>
                <c:pt idx="3">
                  <c:v>0.17804928683825227</c:v>
                </c:pt>
                <c:pt idx="4">
                  <c:v>1.4148625888443297E-3</c:v>
                </c:pt>
                <c:pt idx="5">
                  <c:v>1.962191011370952E-2</c:v>
                </c:pt>
                <c:pt idx="6">
                  <c:v>8.1801397570815615E-2</c:v>
                </c:pt>
                <c:pt idx="7">
                  <c:v>2.2712267873553717E-2</c:v>
                </c:pt>
                <c:pt idx="8">
                  <c:v>5.2126516431106893E-3</c:v>
                </c:pt>
                <c:pt idx="9">
                  <c:v>4.6392599623685138E-2</c:v>
                </c:pt>
                <c:pt idx="10">
                  <c:v>0.21914478386201874</c:v>
                </c:pt>
                <c:pt idx="11">
                  <c:v>1.079763554644357E-3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9B1-462A-9165-7345BB81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AD-440A-938B-73199DDCAD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AD-440A-938B-73199DDCAD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EAD-440A-938B-73199DDCAD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EAD-440A-938B-73199DDCAD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EAD-440A-938B-73199DDCAD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EAD-440A-938B-73199DDCAD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EAD-440A-938B-73199DDCAD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EAD-440A-938B-73199DDCAD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EAD-440A-938B-73199DDCAD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EAD-440A-938B-73199DDCAD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EAD-440A-938B-73199DDCAD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EAD-440A-938B-73199DDCAD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EAD-440A-938B-73199DDCA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KIKORONGO-BWERA-2Dir'!$C$9:$N$9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KIKORONGO-BWERA-2Dir'!$C$108:$N$108</c:f>
              <c:numCache>
                <c:formatCode>0.00%</c:formatCode>
                <c:ptCount val="12"/>
                <c:pt idx="0">
                  <c:v>0.36677474728209036</c:v>
                </c:pt>
                <c:pt idx="1">
                  <c:v>7.9627598703032598E-2</c:v>
                </c:pt>
                <c:pt idx="2">
                  <c:v>9.7322620637039919E-2</c:v>
                </c:pt>
                <c:pt idx="3">
                  <c:v>0.22801831012778942</c:v>
                </c:pt>
                <c:pt idx="4">
                  <c:v>1.8119397291626923E-3</c:v>
                </c:pt>
                <c:pt idx="5">
                  <c:v>2.5128743086019447E-2</c:v>
                </c:pt>
                <c:pt idx="6">
                  <c:v>0.10475872592027465</c:v>
                </c:pt>
                <c:pt idx="7">
                  <c:v>2.9086400915506384E-2</c:v>
                </c:pt>
                <c:pt idx="8">
                  <c:v>6.675567423230974E-3</c:v>
                </c:pt>
                <c:pt idx="9">
                  <c:v>5.9412550066755665E-2</c:v>
                </c:pt>
                <c:pt idx="11">
                  <c:v>1.3827961090978444E-3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EAD-440A-938B-73199DDC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KIKORONGO-BWERA-2Dir'!$AE$9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KIKORONGO-BWERA-2Dir'!$R$10:$R$33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KIKORONGO-BWERA-2Dir'!$AE$10:$AE$33</c:f>
              <c:numCache>
                <c:formatCode>0</c:formatCode>
                <c:ptCount val="24"/>
                <c:pt idx="0">
                  <c:v>67.142857142857153</c:v>
                </c:pt>
                <c:pt idx="1">
                  <c:v>76.428571428571431</c:v>
                </c:pt>
                <c:pt idx="2">
                  <c:v>90.285714285714278</c:v>
                </c:pt>
                <c:pt idx="3">
                  <c:v>90.714285714285708</c:v>
                </c:pt>
                <c:pt idx="4">
                  <c:v>86.285714285714278</c:v>
                </c:pt>
                <c:pt idx="5">
                  <c:v>87.857142857142847</c:v>
                </c:pt>
                <c:pt idx="6">
                  <c:v>98.142857142857139</c:v>
                </c:pt>
                <c:pt idx="7">
                  <c:v>95.142857142857139</c:v>
                </c:pt>
                <c:pt idx="8">
                  <c:v>98.285714285714278</c:v>
                </c:pt>
                <c:pt idx="9">
                  <c:v>99.428571428571416</c:v>
                </c:pt>
                <c:pt idx="10">
                  <c:v>104.71428571428572</c:v>
                </c:pt>
                <c:pt idx="11">
                  <c:v>82.571428571428569</c:v>
                </c:pt>
                <c:pt idx="12">
                  <c:v>86.5</c:v>
                </c:pt>
                <c:pt idx="13">
                  <c:v>61</c:v>
                </c:pt>
                <c:pt idx="14">
                  <c:v>42.5</c:v>
                </c:pt>
                <c:pt idx="15">
                  <c:v>28</c:v>
                </c:pt>
                <c:pt idx="16">
                  <c:v>31</c:v>
                </c:pt>
                <c:pt idx="17">
                  <c:v>21</c:v>
                </c:pt>
                <c:pt idx="18">
                  <c:v>17</c:v>
                </c:pt>
                <c:pt idx="19">
                  <c:v>21</c:v>
                </c:pt>
                <c:pt idx="20">
                  <c:v>23</c:v>
                </c:pt>
                <c:pt idx="21">
                  <c:v>19.5</c:v>
                </c:pt>
                <c:pt idx="22">
                  <c:v>27.5</c:v>
                </c:pt>
                <c:pt idx="23">
                  <c:v>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4BF-41CC-A065-2B78EAF3FC40}"/>
            </c:ext>
          </c:extLst>
        </c:ser>
        <c:ser>
          <c:idx val="1"/>
          <c:order val="1"/>
          <c:tx>
            <c:strRef>
              <c:f>'Avg Week KIKORONGO-BWERA-2Dir'!$AF$9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KIKORONGO-BWERA-2Dir'!$R$10:$R$33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KIKORONGO-BWERA-2Dir'!$AF$10:$AF$33</c:f>
              <c:numCache>
                <c:formatCode>0</c:formatCode>
                <c:ptCount val="24"/>
                <c:pt idx="0">
                  <c:v>91.761904761904759</c:v>
                </c:pt>
                <c:pt idx="1">
                  <c:v>110.14285714285714</c:v>
                </c:pt>
                <c:pt idx="2">
                  <c:v>119.42857142857142</c:v>
                </c:pt>
                <c:pt idx="3">
                  <c:v>117.57142857142856</c:v>
                </c:pt>
                <c:pt idx="4">
                  <c:v>118.57142857142856</c:v>
                </c:pt>
                <c:pt idx="5">
                  <c:v>115.28571428571429</c:v>
                </c:pt>
                <c:pt idx="6">
                  <c:v>129.28571428571428</c:v>
                </c:pt>
                <c:pt idx="7">
                  <c:v>123.28571428571428</c:v>
                </c:pt>
                <c:pt idx="8">
                  <c:v>124.73809523809524</c:v>
                </c:pt>
                <c:pt idx="9">
                  <c:v>125</c:v>
                </c:pt>
                <c:pt idx="10">
                  <c:v>133.57142857142858</c:v>
                </c:pt>
                <c:pt idx="11">
                  <c:v>107</c:v>
                </c:pt>
                <c:pt idx="12">
                  <c:v>113</c:v>
                </c:pt>
                <c:pt idx="13">
                  <c:v>74</c:v>
                </c:pt>
                <c:pt idx="14">
                  <c:v>48.5</c:v>
                </c:pt>
                <c:pt idx="15">
                  <c:v>30</c:v>
                </c:pt>
                <c:pt idx="16">
                  <c:v>34</c:v>
                </c:pt>
                <c:pt idx="17">
                  <c:v>24</c:v>
                </c:pt>
                <c:pt idx="18">
                  <c:v>18.5</c:v>
                </c:pt>
                <c:pt idx="19">
                  <c:v>21.5</c:v>
                </c:pt>
                <c:pt idx="20">
                  <c:v>26</c:v>
                </c:pt>
                <c:pt idx="21">
                  <c:v>22.5</c:v>
                </c:pt>
                <c:pt idx="22">
                  <c:v>30</c:v>
                </c:pt>
                <c:pt idx="23">
                  <c:v>60.766559917751181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4BF-41CC-A065-2B78EAF3FC40}"/>
            </c:ext>
          </c:extLst>
        </c:ser>
        <c:ser>
          <c:idx val="5"/>
          <c:order val="2"/>
          <c:tx>
            <c:strRef>
              <c:f>'Avg Week KIKORONGO-BWERA-2Dir'!$AC$9</c:f>
              <c:strCache>
                <c:ptCount val="1"/>
                <c:pt idx="0">
                  <c:v>11. Motorcycles</c:v>
                </c:pt>
              </c:strCache>
            </c:strRef>
          </c:tx>
          <c:cat>
            <c:strRef>
              <c:f>'Avg Week KIKORONGO-BWERA-2Dir'!$R$10:$R$33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KIKORONGO-BWERA-2Dir'!$AC$10:$AC$33</c:f>
              <c:numCache>
                <c:formatCode>0</c:formatCode>
                <c:ptCount val="24"/>
                <c:pt idx="0">
                  <c:v>24.61904761904762</c:v>
                </c:pt>
                <c:pt idx="1">
                  <c:v>33.714285714285715</c:v>
                </c:pt>
                <c:pt idx="2">
                  <c:v>29.142857142857139</c:v>
                </c:pt>
                <c:pt idx="3">
                  <c:v>26.857142857142854</c:v>
                </c:pt>
                <c:pt idx="4">
                  <c:v>32.285714285714285</c:v>
                </c:pt>
                <c:pt idx="5">
                  <c:v>27.428571428571427</c:v>
                </c:pt>
                <c:pt idx="6">
                  <c:v>31.142857142857139</c:v>
                </c:pt>
                <c:pt idx="7">
                  <c:v>28.142857142857142</c:v>
                </c:pt>
                <c:pt idx="8">
                  <c:v>26.452380952380956</c:v>
                </c:pt>
                <c:pt idx="9">
                  <c:v>25.571428571428569</c:v>
                </c:pt>
                <c:pt idx="10">
                  <c:v>28.857142857142861</c:v>
                </c:pt>
                <c:pt idx="11">
                  <c:v>24.428571428571431</c:v>
                </c:pt>
                <c:pt idx="12">
                  <c:v>26.5</c:v>
                </c:pt>
                <c:pt idx="13">
                  <c:v>13</c:v>
                </c:pt>
                <c:pt idx="14">
                  <c:v>6</c:v>
                </c:pt>
                <c:pt idx="15">
                  <c:v>2</c:v>
                </c:pt>
                <c:pt idx="16">
                  <c:v>3</c:v>
                </c:pt>
                <c:pt idx="17">
                  <c:v>3</c:v>
                </c:pt>
                <c:pt idx="18">
                  <c:v>1.5</c:v>
                </c:pt>
                <c:pt idx="19">
                  <c:v>0.5</c:v>
                </c:pt>
                <c:pt idx="20">
                  <c:v>3</c:v>
                </c:pt>
                <c:pt idx="21">
                  <c:v>3</c:v>
                </c:pt>
                <c:pt idx="22">
                  <c:v>2.5</c:v>
                </c:pt>
                <c:pt idx="23">
                  <c:v>17.766559917751184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4BF-41CC-A065-2B78EAF3FC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1253088"/>
        <c:axId val="811254720"/>
      </c:lineChart>
      <c:catAx>
        <c:axId val="8112530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11254720"/>
        <c:crosses val="autoZero"/>
        <c:auto val="1"/>
        <c:lblAlgn val="ctr"/>
        <c:lblOffset val="100"/>
        <c:noMultiLvlLbl val="0"/>
      </c:catAx>
      <c:valAx>
        <c:axId val="8112547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11253088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Average Daily Traffic (ADT)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KIKORONGO-BWERA-2Dir'!$S$9:$AF$9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KIKORONGO-BWERA-2Dir'!$S$41:$AF$41</c:f>
              <c:numCache>
                <c:formatCode>_(* #,##0_);_(* \(#,##0\);_(* "-"_);_(@_)</c:formatCode>
                <c:ptCount val="14"/>
                <c:pt idx="0">
                  <c:v>549.42857142857133</c:v>
                </c:pt>
                <c:pt idx="1">
                  <c:v>119.28214285714284</c:v>
                </c:pt>
                <c:pt idx="2">
                  <c:v>145.78928571428571</c:v>
                </c:pt>
                <c:pt idx="3">
                  <c:v>341.57142857142856</c:v>
                </c:pt>
                <c:pt idx="4">
                  <c:v>2.7142857142857135</c:v>
                </c:pt>
                <c:pt idx="5">
                  <c:v>37.642857142857139</c:v>
                </c:pt>
                <c:pt idx="6">
                  <c:v>156.92857142857142</c:v>
                </c:pt>
                <c:pt idx="7">
                  <c:v>43.571428571428569</c:v>
                </c:pt>
                <c:pt idx="8">
                  <c:v>10</c:v>
                </c:pt>
                <c:pt idx="9">
                  <c:v>89</c:v>
                </c:pt>
                <c:pt idx="10">
                  <c:v>420.40941706060829</c:v>
                </c:pt>
                <c:pt idx="11">
                  <c:v>2.0714285714285712</c:v>
                </c:pt>
                <c:pt idx="12">
                  <c:v>1498</c:v>
                </c:pt>
                <c:pt idx="13">
                  <c:v>1918.4094170606083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31-4075-8E59-BDA50B47163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Night Equivalent Factors (NEF)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KIKORONGO-BWERA-2Dir'!$S$9:$AF$9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KIKORONGO-BWERA-2Dir'!$S$42:$AF$42</c:f>
              <c:numCache>
                <c:formatCode>0.000</c:formatCode>
                <c:ptCount val="14"/>
                <c:pt idx="0">
                  <c:v>1.3518453427065025</c:v>
                </c:pt>
                <c:pt idx="1">
                  <c:v>1.2708904109589041</c:v>
                </c:pt>
                <c:pt idx="2">
                  <c:v>1.2708904109589041</c:v>
                </c:pt>
                <c:pt idx="3">
                  <c:v>1.3852838933951332</c:v>
                </c:pt>
                <c:pt idx="4">
                  <c:v>1</c:v>
                </c:pt>
                <c:pt idx="5">
                  <c:v>1.966417910447761</c:v>
                </c:pt>
                <c:pt idx="6">
                  <c:v>1.5320781032078103</c:v>
                </c:pt>
                <c:pt idx="7">
                  <c:v>1.3377192982456141</c:v>
                </c:pt>
                <c:pt idx="8">
                  <c:v>1</c:v>
                </c:pt>
                <c:pt idx="9">
                  <c:v>1.8936170212765957</c:v>
                </c:pt>
                <c:pt idx="10">
                  <c:v>1.2414536677596533</c:v>
                </c:pt>
                <c:pt idx="11">
                  <c:v>1.3181818181818183</c:v>
                </c:pt>
                <c:pt idx="12">
                  <c:v>1.3909006499535748</c:v>
                </c:pt>
                <c:pt idx="13">
                  <c:v>1.355150705830189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6D-4C16-87A8-4A0F3BD71E2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7.xml"/><Relationship Id="rId1" Type="http://schemas.openxmlformats.org/officeDocument/2006/relationships/chart" Target="../charts/chart4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6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1.xml"/><Relationship Id="rId1" Type="http://schemas.openxmlformats.org/officeDocument/2006/relationships/chart" Target="../charts/chart8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0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15.xml"/><Relationship Id="rId1" Type="http://schemas.openxmlformats.org/officeDocument/2006/relationships/chart" Target="../charts/chart12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19.xml"/><Relationship Id="rId1" Type="http://schemas.openxmlformats.org/officeDocument/2006/relationships/chart" Target="../charts/chart16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1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2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1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23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2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4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26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2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7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32.xml"/><Relationship Id="rId1" Type="http://schemas.openxmlformats.org/officeDocument/2006/relationships/chart" Target="../charts/chart29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1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0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6" Type="http://schemas.openxmlformats.org/officeDocument/2006/relationships/chart" Target="../charts/chart36.xml"/><Relationship Id="rId1" Type="http://schemas.openxmlformats.org/officeDocument/2006/relationships/chart" Target="../charts/chart33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3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4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37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3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8.xml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4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1.xml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46.xml"/><Relationship Id="rId1" Type="http://schemas.openxmlformats.org/officeDocument/2006/relationships/chart" Target="../charts/chart43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4.xml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50.xml"/><Relationship Id="rId1" Type="http://schemas.openxmlformats.org/officeDocument/2006/relationships/chart" Target="../charts/chart4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8.xml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51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2.xml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54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5.xml"/></Relationships>
</file>

<file path=xl/drawings/_rels/drawing1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chart" Target="../charts/chart57.xml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20.jpeg"/><Relationship Id="rId17" Type="http://schemas.openxmlformats.org/officeDocument/2006/relationships/chart" Target="../charts/chart61.xml"/><Relationship Id="rId2" Type="http://schemas.openxmlformats.org/officeDocument/2006/relationships/image" Target="../media/image2.emf"/><Relationship Id="rId16" Type="http://schemas.openxmlformats.org/officeDocument/2006/relationships/chart" Target="../charts/chart60.xml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8.png"/><Relationship Id="rId5" Type="http://schemas.openxmlformats.org/officeDocument/2006/relationships/image" Target="../media/image5.emf"/><Relationship Id="rId15" Type="http://schemas.openxmlformats.org/officeDocument/2006/relationships/chart" Target="../charts/chart59.xml"/><Relationship Id="rId10" Type="http://schemas.openxmlformats.org/officeDocument/2006/relationships/image" Target="../media/image14.jpeg"/><Relationship Id="rId4" Type="http://schemas.openxmlformats.org/officeDocument/2006/relationships/image" Target="../media/image4.emf"/><Relationship Id="rId9" Type="http://schemas.openxmlformats.org/officeDocument/2006/relationships/image" Target="../media/image9.jpeg"/><Relationship Id="rId14" Type="http://schemas.openxmlformats.org/officeDocument/2006/relationships/chart" Target="../charts/chart5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1CFC8F-8205-41F9-9B66-3FB509C1B3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9668C2-2D94-4C8C-96DE-2CD1278FFA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333500" y="167390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C5BC59C-7E3C-4E1F-91A2-6F538DE49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117311" y="167073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B6741EE-101A-4A6F-997F-922F9E44B8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025475" y="168751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1DAA80F-C131-44FF-BDF1-CA9E99769D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627613" y="1691935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F46918-8C1C-4569-909D-FD12E8C597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469001" y="1736837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F735D66-9CA4-4254-B9CE-F7C19D9AC2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170720" y="170202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74CF17-906F-46A6-B2D3-E4FB5B99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042565" y="167481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A836CBE-E43B-4747-B456-ED2BC6AB95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510155" y="164668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3D52FEC-A071-4566-B75B-A8B46F3354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4861479" y="169336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522811C-AE7E-45C3-999C-EFC5CE53DD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797259" y="164669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3FAFA0F-5253-46F9-B5E5-09FCA768E3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163548" y="166687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5E2D3460-AF99-4CF8-B315-BC15BD18C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237448" y="161516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CCF053B-5EE4-4D1D-9765-55AB84E67D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D8383C4-2A7E-4FD9-8219-0A81ADCB04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2C0347-031E-41BF-9698-B9D2F9703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A14BA3-34AF-404D-9061-B4634F44D4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C2162-A6BC-4391-9A69-3D8C5544FF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E3FA3AE-9984-4154-B374-4610ED1E6D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2528374-C385-4D0B-BC3C-A1B06CB6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3FE29D3-8F89-4F3F-84DA-37414C1B5B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2C67768-AB9B-43C5-9CF9-EED2366D95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28159B-FC13-4FCA-ADF6-4FEC6C3824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30E89F1-CD3B-4869-AE97-8EFA4900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16B891E8-B6FF-4446-BB0E-8326D5C83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A3F91A-FB1F-4FA7-8EC9-86727745CB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9AAF4C-3770-465C-8BD4-005CF8234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95FF5EB-DAD7-4CB9-A84F-7E6DCE4CA1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3A10EFF-54D3-42C6-A641-4F2C5D8BB0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897E610-198F-4797-B1DD-819E571F08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8581BB7-4A56-4ADF-96B2-6F63A98F5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D83B4B-FDF8-4F87-8F75-60637E0F59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F2E341C-99E0-4E94-B000-EF651B159E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357BF90-5E78-4CE9-8F6D-17919CF931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510501-ECDE-4C26-91A3-A96646FDA7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27C0573-D332-492A-A3A7-3FE018587C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F8BE280-8189-4E91-A8F8-A2BBBB1D1F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908D9BF-8405-4431-A904-8C08188A3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D73E152-1E1E-4B07-9426-D9D662F02C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F81ADE5-C017-481D-AC00-CAB3F2681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A66D135-723A-4789-B7B4-ECA20A0FFC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A303E91-D188-4198-9869-D6544838D9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3035FD1-0A58-44C6-B7CB-2E208566C2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414DE2D-8B57-4FC6-B505-2EE9020AA5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1441D28-4BFD-464B-AA5C-64C94D171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812AF20-09AA-4DDA-9975-7AE7B3E294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2C644DC-E669-4020-AC88-491A3FEAB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E50EFE-1DE0-4F36-B48C-A69FF3611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5EBDA1F-EC34-4EA9-976D-6289DE0FB9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8A6D516-6369-4DF7-976B-FBD3A1EF04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2BF08E9-0317-45DF-9764-5E2AFD153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8647EFF-C4C1-44C3-AC8E-F40BB82E12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484C3A2-0AA3-4E8E-A647-EBD805BB4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2C3E48D-2F03-4F5E-8402-482EEA7BC3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7F25959-7B9A-4DD0-8D16-556A4E8098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A704E06-1314-4D2D-8CBA-81BD622C6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F8145C8-FE4D-4244-A206-AA0C05319B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79485777-7D50-46B6-965E-65B58F2D54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656E12E-5B01-4152-825E-79993A11E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957C12B-D8EF-4055-B4D0-7E0011F8E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F5C02A8-A5EC-4B9F-85CB-E1BEE4C52D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6B69222-0397-44E0-9C74-708D4A6DBD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2A5628F-C824-44D7-A41E-75796BEF00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61C7AC-8404-4FB2-9E2A-96A3009AB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E319-E1D8-4517-B949-556C3CE302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B457DF-B5A1-410D-9BB1-A95BB7E5D9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30BB277-1955-4EDC-9A5C-BC7DCD1244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E017E93-72EF-48E2-831E-CD7D7EEB40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DFF92E4-C563-4536-987C-D24D1C7463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9BCA9A5-16A1-413D-8FBC-CB7CC854FD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408C7D7-F161-4A8D-ACEC-EB041736E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97CD0D3-73F8-42EC-85C5-3E1C385FA7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3FD549FA-B008-417E-BF85-75D96392B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D5A0C7D-7BAB-4935-8EE1-FEC5A375CD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1C839DE-231F-4ACD-86F3-F59FB50EF0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2D641106-2317-4F80-87C7-C13B5FB04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4D0AED3-3098-4D8D-B25D-9F5581AA5D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3CB3AE0-43BD-4850-9667-0DE1DC5258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EA84219-10C6-4B19-97B2-1D4D595AB4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B00FFE-DD09-45A9-B33F-4C450DB096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173AE11-444F-4EC3-B71E-F539F0647A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FD4C580-EC77-4048-AC2B-2BD67560D2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9518047-B158-4835-92F8-EAC36AEE48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97311B7-08BF-42A8-ACEC-0D016FD3D5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0F041C-2D0D-4BAC-ACDD-966BB38494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FD4D835-662A-4596-8863-F9E128B037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DCEF17B-C14E-47EA-AF5C-30EE46F71D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CA8A7C0-DB2A-4BCE-8988-68C272C05D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10A3017-8013-4BF0-B56E-544ABCD026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A2E5C341-0FBD-4FBD-A30D-34D8094520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41FAE38C-A41A-46F2-AA04-7F38CF91F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486FF56-DA39-420A-9E58-7B3F931CC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313355F-B328-417E-8CC5-FCD157B1FE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5BCD592-340E-492C-96BD-36C9FC542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A5A00-3F3E-4DBA-AD14-690787A24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5E51A4-0F43-47FB-BCAE-F51F8BAACF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630DFB9-D4D4-4CDE-A91B-F1DC72499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932A2E4-E7EE-409F-AC15-01426DB593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FE05EDC-131A-4C10-9500-FACF491A9A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5C7BC54-4C0E-49B3-A8E3-B116B62A4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51489E6-558E-4134-87C8-4C1F569F6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A18647-F6CB-4D27-8E90-6AF05A1712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90289A6-A003-456F-90CE-D799661B10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0214C5D-5BBD-405E-BE0F-3B23F9C841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2887784-3C03-4F6B-9C5B-394BAA31B6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3BBA41DC-5511-41C0-B5A4-3930BD242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733BC1-F32D-4BE4-972B-658A1C0D2B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0AC53BB-20A6-473E-8FE0-88E6F885D6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09E55AF-4406-4A38-AA5A-2F1F9B708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E5B84F-E7F9-4888-8364-5155D4663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9F8FE3-434C-498C-B69C-5D6653FA2A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92E213C-AC12-4AB2-8177-5988196C59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6E9F966-108A-437A-BA82-30567CD847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33210A5-3608-4FA6-A870-15F7A148EC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D2E9C6A-86FC-43C8-ACC5-4E8F1D7C16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3849C80-1C79-4E58-BCA0-DADFCCC7D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1F0B3A3-2D65-4925-A130-ACE32C169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5C815D1-3DC3-49D4-8EC4-F0F9844C7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7392CC8-C478-4740-9F98-E794DD0671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94D704-B477-44ED-9B81-731CE82146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99B64C7-FCB5-4657-9490-6332A3AC50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180EDBA-E56F-4F40-8629-7FA88E9F38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41715DD5-608D-41A8-9BD9-0CBABB14A2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418EF71-2456-4AC3-8C28-8D9EEDDA71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078940-D67E-4802-9FBB-4F55C4BD16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0530FB7-75AB-4825-A797-D7AA75235D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35A41DF-59D0-4AD7-92C6-E962F44A87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CCC58F1-3EDC-423C-B2A6-04BAD9A48C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DBBFF5B-347F-438A-8A35-2E65D31C3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A571D3F-AFC5-4A01-A84E-8CEB978B6B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6F93436-8CDE-45F1-868D-1F76FB4087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F520AE7-EC71-4888-B58B-81185D1654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92A2E0E-4AE9-4466-BC9C-576389348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090FDE7-E4CB-4E22-B076-5707B6D0E8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4AD34A0-4ABD-4539-AB95-A0B25A4F58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73990A3-EB40-4A65-9507-E2A0F49D17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3078063-06B0-4C57-8381-301B07C378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4096C3F-CC05-4533-A944-12E0A90C97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A82EA7F7-7ED0-4466-A41A-9E4F7CA51E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D05ED10C-2476-4BCE-8984-47C0B6FAA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FDDE2E-EA38-4B4D-8F37-64E25CE883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A60D40-9565-4BE5-885C-69774B7BDB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8DA518A-CF2C-4098-A02A-1FEED12B5F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7427E8-FCCB-4B05-902E-94004146B6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457C5FA-4230-45D3-9BEA-5E77FB0BF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0933819-0678-4844-93F6-365B817E19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2CCF32F-F899-4E8E-B169-C557ED0E33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23289F-04AC-42EC-BEB0-F19B76801E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C56928B-5F6F-4CA9-95A8-F399437D4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FF91CBE-F1A9-4733-8633-AD10A781A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C6E00A70-5769-4FF4-BE23-24F31F7307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6B68D07-B3D3-4201-B269-156425BE3D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C49B6ACB-2E8A-4F79-8D8F-272D6FB94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1D804CD-FF7D-4398-800E-A1697F34FD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24A468D-B7E9-45D8-994D-4AB3845E96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B99EDFE-EFBB-4B74-9F4F-C15AA0D8AF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000981-BCC2-455D-92B1-84DD7DCCBD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67BD92-CB62-48CA-9DD0-D7D774A437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9B28062-6AFE-4011-AC68-49C6148E77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6BBE398-A56C-48CA-BFC1-610BFA1F6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16943D-B516-40D0-9F97-98CDF8795F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3D749C9-5906-4CCA-B152-603DD1B861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11ACD35-E8D5-49D7-8A70-A0EE7F23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3A3C7FF-69D9-458C-90FE-961D7820FC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36C6BECF-838E-467B-9866-1751A3FA8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8C437B6-5E45-41B7-A976-1F2FE4714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4B44EA52-C439-4105-8E19-92FF5E0EE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92DAE31-610C-4B7C-92D5-87E8242420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C5A4F1F-083B-416F-92CC-4CB874426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8D37E80-8382-43D6-89E4-90052E5CA7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B672CC8-D710-48E5-AB41-49A38A9B5F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0FA51-49AF-4CA3-893F-A6307CD377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F387249-FF27-4F30-987E-FC22E7B52B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A32569C-9E75-463F-ACBE-CF56B22E1B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2D3384-2668-4564-822A-662D7C8E54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13CE831-D300-49E1-8F9A-D08884AEE1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9E34F9B-964E-4D0D-A88C-FC65CFB865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D160651-F549-4C3F-909F-ED55905A27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F2A909-B6DE-424E-A030-5AE73C58F1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73ED4A3-7329-4B47-96A7-1D4BAF08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8E7A2BB-1E98-4723-BFA1-4F9AE59328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8646930-FD6D-4C3B-BCD4-B71CD49281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E787FB74-CC8A-46EC-9323-5806E8842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5AD1D5-6AEB-4429-B00D-A6CE4C8ED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F200170-D06E-4657-AE7F-2C965A096B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7BEA8A8-6B06-44C3-9B82-A3448FA4E5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769D03-56A4-48BA-B708-B148277AB3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B164D1-D3A6-4F49-9915-40FB592F1B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CE22DE1-2830-460C-AD37-672B9EDF9D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4B4FF9F-7500-457A-A8E0-459FE0B6B5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0ABC7C4-EBC7-43FB-81F4-8FD3DD6945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1605433-CB66-4379-9010-6F98A56B22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9160004-F210-483C-B162-76455BE521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1BE1DF2-A9D8-4961-907D-55040170AD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B691F47-86A4-4229-906C-ECE96BF798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DDFCDC9-1F96-4F74-B537-4F2AFC05E9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5EF5D29-A47E-4AF8-85B3-1374B4F6A7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ABD53E-2D47-4AB7-9914-01C65DBFF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0D1C830-FF5D-4624-ABBF-4B163D9A5D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FCDC906-6885-45D8-83E7-FFBB67A632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E1C5C6E-100B-42E3-92B6-502B45D5AB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8EE9ABE-75B0-4BCE-B434-CB5CBADB7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4D07F7-A505-4739-B386-7B6D7DD089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0BBC979-15AA-4A11-9224-18E0E7CF6E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1B8E3D4-7E5F-418C-BBAF-8F5F6270B8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D05A13E-1128-4A13-B522-6EF66121EE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07A79A5-DE2C-43B6-93E8-029BEE79CC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335A27C-6117-4ADE-BAD3-8B5E13539C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099A6C3-B976-4FB8-8A58-5E45F6D0F1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EA27B75-11E2-47C3-92D0-E1274591C9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DE68A34-6B83-4CE1-B89D-93C3D05F7C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A6CD2C4-2193-49F0-A361-74A7AAA290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9D090DF-78EB-40DF-8A6D-54E8002AB2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CC2D505-B814-4153-9006-3734F6912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849053B-C2A2-4B10-B63A-9FD0112A14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75497C2-F34C-49E6-A4E9-41E13AD164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44922A7-8790-46BB-B71A-6BD4B4C9DF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F0904D3-4B8A-474B-86E5-F1190B2850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19960</xdr:colOff>
      <xdr:row>43</xdr:row>
      <xdr:rowOff>6350</xdr:rowOff>
    </xdr:from>
    <xdr:to>
      <xdr:col>27</xdr:col>
      <xdr:colOff>682625</xdr:colOff>
      <xdr:row>58</xdr:row>
      <xdr:rowOff>15876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C45E2-77C7-4510-884F-FEF0715DDB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19AEE80-7130-4FE5-8DCD-05DF10B8C2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3E1E659-91F2-4594-978C-33DD6417A5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2B73A80-E2E3-4174-B73D-D61B63E600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E46CF73-4595-47F7-B47F-2B24A9AA94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AF59A5-69EA-4554-923B-279A64D6C4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00AE0E0-9A4F-45E2-BBB2-010A32C6E9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7AD0C11-87DE-4860-AEB0-7F2EB944A6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B53AA64-9B63-48C4-86C6-C93F947459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A31503D-49F8-4886-9D79-D1CF778316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89B662C-1BD4-43B0-ACB7-D5C2088AE0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2C04AF1-D698-4B62-BF42-BE1F9D58F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06F0358-DE0D-42DF-9D85-A89ACE833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79375</xdr:colOff>
      <xdr:row>58</xdr:row>
      <xdr:rowOff>41275</xdr:rowOff>
    </xdr:from>
    <xdr:to>
      <xdr:col>30</xdr:col>
      <xdr:colOff>79375</xdr:colOff>
      <xdr:row>74</xdr:row>
      <xdr:rowOff>31750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72B518F-3318-457A-AD2F-F257EB81D5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15875</xdr:colOff>
      <xdr:row>58</xdr:row>
      <xdr:rowOff>31750</xdr:rowOff>
    </xdr:from>
    <xdr:to>
      <xdr:col>24</xdr:col>
      <xdr:colOff>63500</xdr:colOff>
      <xdr:row>74</xdr:row>
      <xdr:rowOff>15875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07B1E9E-4942-4AD4-98C8-E1AF836600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19960</xdr:colOff>
      <xdr:row>43</xdr:row>
      <xdr:rowOff>6349</xdr:rowOff>
    </xdr:from>
    <xdr:to>
      <xdr:col>28</xdr:col>
      <xdr:colOff>15875</xdr:colOff>
      <xdr:row>57</xdr:row>
      <xdr:rowOff>206375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B270C2-815D-4851-AC3C-4EA46B2C6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68EABE-F73F-486D-BB3C-5805225122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A39479-5D94-439F-AAAE-4B1288B89B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A639D45-A3C5-49D6-8FD7-337DBA870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32685D6-892C-43F5-AFA8-62F9167E79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B110D7-9219-4421-AE6E-5DABBB7FCC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C9CC16-C5B8-4879-9435-5E3796BA4A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9D0DABC-8D47-4952-A548-79AF3DF1FA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F999087-E9AB-4F93-B9EF-BE24ADD193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963AAD9-4121-45A3-93F6-094DAF14FE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B7D99CA-796E-4A36-B9D3-FD180F1A83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C936931-6EFD-4A74-AEA9-47EEB365E2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200DC7B-A120-4F30-A5FF-185ED29C0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31750</xdr:colOff>
      <xdr:row>58</xdr:row>
      <xdr:rowOff>41275</xdr:rowOff>
    </xdr:from>
    <xdr:to>
      <xdr:col>30</xdr:col>
      <xdr:colOff>47625</xdr:colOff>
      <xdr:row>74</xdr:row>
      <xdr:rowOff>15875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7033F9A-A642-43E1-B688-5FBA3AD22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0</xdr:colOff>
      <xdr:row>58</xdr:row>
      <xdr:rowOff>47626</xdr:rowOff>
    </xdr:from>
    <xdr:to>
      <xdr:col>24</xdr:col>
      <xdr:colOff>15875</xdr:colOff>
      <xdr:row>74</xdr:row>
      <xdr:rowOff>15875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288892E-53EA-4DAD-967C-F738DF767C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92412C-BA1C-4D34-B971-DE0C21045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3F6493-22B5-43D3-89E3-9CBBD5F672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6A6F653-AFF5-4987-B236-C85A1CE131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621B9F-62A3-4E5A-AFD4-DC12703D4B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E15982-C002-4BDF-96C3-22A45DA5C7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3C3AB7B-75D5-418A-958E-EACBF65A1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0CF7CE4-A85A-4C22-9DC3-5893508098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90AC934-2ABE-477D-8A15-38EFC09415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E53BA24-BE44-430F-9803-6A8B6CB29F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11BA8E67-A1DD-42EA-85BC-CB4649F507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AA7FF40-C1FE-4D4D-88B0-F8E6F92136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165D294B-6A53-4A12-9BC4-B2A9462DB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0</xdr:colOff>
      <xdr:row>60</xdr:row>
      <xdr:rowOff>9525</xdr:rowOff>
    </xdr:from>
    <xdr:to>
      <xdr:col>23</xdr:col>
      <xdr:colOff>698500</xdr:colOff>
      <xdr:row>75</xdr:row>
      <xdr:rowOff>15875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829EB85-A50A-4379-94F7-6C2E31DC19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15875</xdr:colOff>
      <xdr:row>75</xdr:row>
      <xdr:rowOff>31749</xdr:rowOff>
    </xdr:from>
    <xdr:to>
      <xdr:col>23</xdr:col>
      <xdr:colOff>650874</xdr:colOff>
      <xdr:row>91</xdr:row>
      <xdr:rowOff>15874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03DD9D7-E468-486E-B0CF-46B1770E47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15875</xdr:colOff>
      <xdr:row>43</xdr:row>
      <xdr:rowOff>15875</xdr:rowOff>
    </xdr:from>
    <xdr:to>
      <xdr:col>30</xdr:col>
      <xdr:colOff>682625</xdr:colOff>
      <xdr:row>59</xdr:row>
      <xdr:rowOff>31750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1F3C755B-FA06-4641-8226-864954F6E9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0</xdr:colOff>
      <xdr:row>60</xdr:row>
      <xdr:rowOff>0</xdr:rowOff>
    </xdr:from>
    <xdr:to>
      <xdr:col>30</xdr:col>
      <xdr:colOff>698500</xdr:colOff>
      <xdr:row>75</xdr:row>
      <xdr:rowOff>15875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3627A04-1E0E-4C3A-8B25-FA92ABCB63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23</xdr:col>
      <xdr:colOff>666749</xdr:colOff>
      <xdr:row>75</xdr:row>
      <xdr:rowOff>31751</xdr:rowOff>
    </xdr:from>
    <xdr:to>
      <xdr:col>30</xdr:col>
      <xdr:colOff>698499</xdr:colOff>
      <xdr:row>91</xdr:row>
      <xdr:rowOff>47625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7CD2BF54-C297-4A9B-8975-0C4CE3D1A6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F126"/>
  <sheetViews>
    <sheetView view="pageBreakPreview" topLeftCell="A46" zoomScale="55" zoomScaleSheetLayoutView="55" workbookViewId="0">
      <selection activeCell="H18" sqref="H1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1" t="s">
        <v>96</v>
      </c>
      <c r="C3" s="59"/>
      <c r="D3" s="59"/>
      <c r="E3" s="59"/>
      <c r="F3" s="59"/>
      <c r="G3" s="59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162</v>
      </c>
      <c r="E5" s="3"/>
      <c r="F5" s="41" t="s">
        <v>1</v>
      </c>
      <c r="G5" s="54"/>
      <c r="H5" s="55"/>
      <c r="I5" s="14"/>
      <c r="J5" s="2" t="s">
        <v>5</v>
      </c>
      <c r="K5" s="54"/>
      <c r="L5" s="55"/>
      <c r="M5" s="10"/>
      <c r="N5" s="10"/>
      <c r="O5" s="3"/>
      <c r="P5" s="3"/>
    </row>
    <row r="6" spans="2:32" ht="23.25" customHeight="1" x14ac:dyDescent="0.25">
      <c r="C6" s="2" t="s">
        <v>4</v>
      </c>
      <c r="D6" s="54"/>
      <c r="E6" s="55"/>
      <c r="F6" s="2" t="s">
        <v>2</v>
      </c>
      <c r="G6" s="54"/>
      <c r="H6" s="55"/>
      <c r="J6" s="2" t="s">
        <v>21</v>
      </c>
      <c r="K6" s="54"/>
      <c r="L6" s="5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</v>
      </c>
      <c r="D10" s="50">
        <v>0</v>
      </c>
      <c r="E10" s="50">
        <v>1</v>
      </c>
      <c r="F10" s="50">
        <v>0</v>
      </c>
      <c r="G10" s="50">
        <v>0</v>
      </c>
      <c r="H10" s="50">
        <v>1</v>
      </c>
      <c r="I10" s="50">
        <v>0</v>
      </c>
      <c r="J10" s="50">
        <v>0</v>
      </c>
      <c r="K10" s="50">
        <v>0</v>
      </c>
      <c r="L10" s="50">
        <v>0</v>
      </c>
      <c r="M10" s="50"/>
      <c r="N10" s="50">
        <v>0</v>
      </c>
      <c r="O10" s="15">
        <f t="shared" ref="O10:O57" si="0">SUM(C10:L10,N10)</f>
        <v>4</v>
      </c>
      <c r="P10" s="15">
        <f t="shared" ref="P10:P57" si="1">SUM(C10:N10)</f>
        <v>4</v>
      </c>
      <c r="R10" s="1" t="s">
        <v>6</v>
      </c>
      <c r="S10" s="17">
        <f t="shared" ref="S10:AF10" si="2">SUM(C10:C13)</f>
        <v>13</v>
      </c>
      <c r="T10" s="17">
        <f t="shared" si="2"/>
        <v>0</v>
      </c>
      <c r="U10" s="17">
        <f t="shared" si="2"/>
        <v>5</v>
      </c>
      <c r="V10" s="17">
        <f t="shared" si="2"/>
        <v>0</v>
      </c>
      <c r="W10" s="17">
        <f t="shared" si="2"/>
        <v>0</v>
      </c>
      <c r="X10" s="17">
        <f t="shared" si="2"/>
        <v>2</v>
      </c>
      <c r="Y10" s="17">
        <f t="shared" si="2"/>
        <v>1</v>
      </c>
      <c r="Z10" s="17">
        <f t="shared" si="2"/>
        <v>1</v>
      </c>
      <c r="AA10" s="17">
        <f t="shared" si="2"/>
        <v>0</v>
      </c>
      <c r="AB10" s="17">
        <f t="shared" si="2"/>
        <v>4</v>
      </c>
      <c r="AC10" s="17">
        <f t="shared" si="2"/>
        <v>9</v>
      </c>
      <c r="AD10" s="17">
        <f t="shared" si="2"/>
        <v>0</v>
      </c>
      <c r="AE10" s="31">
        <f t="shared" si="2"/>
        <v>26</v>
      </c>
      <c r="AF10" s="31">
        <f t="shared" si="2"/>
        <v>35</v>
      </c>
    </row>
    <row r="11" spans="2:32" s="6" customFormat="1" ht="23.1" customHeight="1" x14ac:dyDescent="0.25">
      <c r="B11" s="23" t="s">
        <v>38</v>
      </c>
      <c r="C11" s="50">
        <v>1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1</v>
      </c>
      <c r="N11" s="50">
        <v>0</v>
      </c>
      <c r="O11" s="15">
        <f t="shared" si="0"/>
        <v>1</v>
      </c>
      <c r="P11" s="15">
        <f t="shared" si="1"/>
        <v>2</v>
      </c>
      <c r="R11" s="1" t="s">
        <v>7</v>
      </c>
      <c r="S11" s="17">
        <f t="shared" ref="S11:AF11" si="3">SUM(C14:C17)</f>
        <v>21</v>
      </c>
      <c r="T11" s="17">
        <f t="shared" si="3"/>
        <v>0</v>
      </c>
      <c r="U11" s="17">
        <f t="shared" si="3"/>
        <v>11</v>
      </c>
      <c r="V11" s="17">
        <f t="shared" si="3"/>
        <v>10</v>
      </c>
      <c r="W11" s="17">
        <f t="shared" si="3"/>
        <v>0</v>
      </c>
      <c r="X11" s="17">
        <f t="shared" si="3"/>
        <v>1</v>
      </c>
      <c r="Y11" s="17">
        <f t="shared" si="3"/>
        <v>0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29</v>
      </c>
      <c r="AD11" s="17">
        <f t="shared" si="3"/>
        <v>0</v>
      </c>
      <c r="AE11" s="31">
        <f t="shared" si="3"/>
        <v>43</v>
      </c>
      <c r="AF11" s="31">
        <f t="shared" si="3"/>
        <v>72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1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/>
      <c r="N12" s="50">
        <v>0</v>
      </c>
      <c r="O12" s="15">
        <f t="shared" si="0"/>
        <v>1</v>
      </c>
      <c r="P12" s="15">
        <f t="shared" si="1"/>
        <v>1</v>
      </c>
      <c r="R12" s="1" t="s">
        <v>8</v>
      </c>
      <c r="S12" s="17">
        <f t="shared" ref="S12:AF12" si="4">SUM(C18:C21)</f>
        <v>13</v>
      </c>
      <c r="T12" s="17">
        <f t="shared" si="4"/>
        <v>0</v>
      </c>
      <c r="U12" s="17">
        <f t="shared" si="4"/>
        <v>12</v>
      </c>
      <c r="V12" s="17">
        <f t="shared" si="4"/>
        <v>11</v>
      </c>
      <c r="W12" s="17">
        <f t="shared" si="4"/>
        <v>0</v>
      </c>
      <c r="X12" s="17">
        <f t="shared" si="4"/>
        <v>0</v>
      </c>
      <c r="Y12" s="17">
        <f t="shared" si="4"/>
        <v>6</v>
      </c>
      <c r="Z12" s="17">
        <f t="shared" si="4"/>
        <v>0</v>
      </c>
      <c r="AA12" s="17">
        <f t="shared" si="4"/>
        <v>0</v>
      </c>
      <c r="AB12" s="17">
        <f t="shared" si="4"/>
        <v>1</v>
      </c>
      <c r="AC12" s="17">
        <f t="shared" si="4"/>
        <v>25</v>
      </c>
      <c r="AD12" s="17">
        <f t="shared" si="4"/>
        <v>0</v>
      </c>
      <c r="AE12" s="31">
        <f t="shared" si="4"/>
        <v>43</v>
      </c>
      <c r="AF12" s="31">
        <f t="shared" si="4"/>
        <v>68</v>
      </c>
    </row>
    <row r="13" spans="2:32" ht="23.1" customHeight="1" x14ac:dyDescent="0.25">
      <c r="B13" s="23" t="s">
        <v>40</v>
      </c>
      <c r="C13" s="50">
        <v>10</v>
      </c>
      <c r="D13" s="50">
        <v>0</v>
      </c>
      <c r="E13" s="50">
        <v>3</v>
      </c>
      <c r="F13" s="50">
        <v>0</v>
      </c>
      <c r="G13" s="50">
        <v>0</v>
      </c>
      <c r="H13" s="50">
        <v>1</v>
      </c>
      <c r="I13" s="50">
        <v>1</v>
      </c>
      <c r="J13" s="50">
        <v>1</v>
      </c>
      <c r="K13" s="50">
        <v>0</v>
      </c>
      <c r="L13" s="50">
        <v>4</v>
      </c>
      <c r="M13" s="50">
        <v>8</v>
      </c>
      <c r="N13" s="50">
        <v>0</v>
      </c>
      <c r="O13" s="15">
        <f t="shared" si="0"/>
        <v>20</v>
      </c>
      <c r="P13" s="15">
        <f t="shared" si="1"/>
        <v>28</v>
      </c>
      <c r="R13" s="1" t="s">
        <v>9</v>
      </c>
      <c r="S13" s="17">
        <f t="shared" ref="S13:AF13" si="5">SUM(C22:C25)</f>
        <v>15</v>
      </c>
      <c r="T13" s="17">
        <f t="shared" si="5"/>
        <v>0</v>
      </c>
      <c r="U13" s="17">
        <f t="shared" si="5"/>
        <v>9</v>
      </c>
      <c r="V13" s="17">
        <f t="shared" si="5"/>
        <v>11</v>
      </c>
      <c r="W13" s="17">
        <f t="shared" si="5"/>
        <v>0</v>
      </c>
      <c r="X13" s="17">
        <f t="shared" si="5"/>
        <v>1</v>
      </c>
      <c r="Y13" s="17">
        <f t="shared" si="5"/>
        <v>1</v>
      </c>
      <c r="Z13" s="17">
        <f t="shared" si="5"/>
        <v>4</v>
      </c>
      <c r="AA13" s="17">
        <f t="shared" si="5"/>
        <v>0</v>
      </c>
      <c r="AB13" s="17">
        <f t="shared" si="5"/>
        <v>0</v>
      </c>
      <c r="AC13" s="17">
        <f t="shared" si="5"/>
        <v>14</v>
      </c>
      <c r="AD13" s="17">
        <f t="shared" si="5"/>
        <v>0</v>
      </c>
      <c r="AE13" s="31">
        <f t="shared" si="5"/>
        <v>41</v>
      </c>
      <c r="AF13" s="31">
        <f t="shared" si="5"/>
        <v>55</v>
      </c>
    </row>
    <row r="14" spans="2:32" ht="23.1" customHeight="1" x14ac:dyDescent="0.25">
      <c r="B14" s="23" t="s">
        <v>41</v>
      </c>
      <c r="C14" s="50">
        <v>2</v>
      </c>
      <c r="D14" s="50">
        <v>0</v>
      </c>
      <c r="E14" s="50">
        <v>3</v>
      </c>
      <c r="F14" s="50">
        <v>3</v>
      </c>
      <c r="G14" s="50">
        <v>0</v>
      </c>
      <c r="H14" s="50">
        <v>1</v>
      </c>
      <c r="I14" s="50">
        <v>0</v>
      </c>
      <c r="J14" s="50">
        <v>0</v>
      </c>
      <c r="K14" s="50">
        <v>0</v>
      </c>
      <c r="L14" s="50">
        <v>0</v>
      </c>
      <c r="M14" s="50">
        <v>9</v>
      </c>
      <c r="N14" s="50">
        <v>0</v>
      </c>
      <c r="O14" s="15">
        <f t="shared" si="0"/>
        <v>9</v>
      </c>
      <c r="P14" s="15">
        <f t="shared" si="1"/>
        <v>18</v>
      </c>
      <c r="R14" s="1" t="s">
        <v>10</v>
      </c>
      <c r="S14" s="17">
        <f t="shared" ref="S14:AF14" si="6">SUM(C26:C29)</f>
        <v>20</v>
      </c>
      <c r="T14" s="17">
        <f t="shared" si="6"/>
        <v>0</v>
      </c>
      <c r="U14" s="17">
        <f t="shared" si="6"/>
        <v>9</v>
      </c>
      <c r="V14" s="17">
        <f t="shared" si="6"/>
        <v>8</v>
      </c>
      <c r="W14" s="17">
        <f t="shared" si="6"/>
        <v>0</v>
      </c>
      <c r="X14" s="17">
        <f t="shared" si="6"/>
        <v>0</v>
      </c>
      <c r="Y14" s="17">
        <f t="shared" si="6"/>
        <v>7</v>
      </c>
      <c r="Z14" s="17">
        <f t="shared" si="6"/>
        <v>0</v>
      </c>
      <c r="AA14" s="17">
        <f t="shared" si="6"/>
        <v>0</v>
      </c>
      <c r="AB14" s="17">
        <f t="shared" si="6"/>
        <v>1</v>
      </c>
      <c r="AC14" s="17">
        <f t="shared" si="6"/>
        <v>15</v>
      </c>
      <c r="AD14" s="17">
        <f t="shared" si="6"/>
        <v>0</v>
      </c>
      <c r="AE14" s="31">
        <f t="shared" si="6"/>
        <v>45</v>
      </c>
      <c r="AF14" s="31">
        <f t="shared" si="6"/>
        <v>60</v>
      </c>
    </row>
    <row r="15" spans="2:32" ht="23.1" customHeight="1" x14ac:dyDescent="0.25">
      <c r="B15" s="23" t="s">
        <v>42</v>
      </c>
      <c r="C15" s="50">
        <v>7</v>
      </c>
      <c r="D15" s="50">
        <v>0</v>
      </c>
      <c r="E15" s="50">
        <v>3</v>
      </c>
      <c r="F15" s="50">
        <v>2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5</v>
      </c>
      <c r="N15" s="50">
        <v>0</v>
      </c>
      <c r="O15" s="15">
        <f t="shared" si="0"/>
        <v>12</v>
      </c>
      <c r="P15" s="15">
        <f t="shared" si="1"/>
        <v>17</v>
      </c>
      <c r="R15" s="1" t="s">
        <v>11</v>
      </c>
      <c r="S15" s="17">
        <f t="shared" ref="S15:AF15" si="7">SUM(C30:C33)</f>
        <v>13</v>
      </c>
      <c r="T15" s="17">
        <f t="shared" si="7"/>
        <v>0</v>
      </c>
      <c r="U15" s="17">
        <f t="shared" si="7"/>
        <v>7</v>
      </c>
      <c r="V15" s="17">
        <f t="shared" si="7"/>
        <v>12</v>
      </c>
      <c r="W15" s="17">
        <f t="shared" si="7"/>
        <v>0</v>
      </c>
      <c r="X15" s="17">
        <f t="shared" si="7"/>
        <v>1</v>
      </c>
      <c r="Y15" s="17">
        <f t="shared" si="7"/>
        <v>3</v>
      </c>
      <c r="Z15" s="17">
        <f t="shared" si="7"/>
        <v>0</v>
      </c>
      <c r="AA15" s="17">
        <f t="shared" si="7"/>
        <v>0</v>
      </c>
      <c r="AB15" s="17">
        <f t="shared" si="7"/>
        <v>3</v>
      </c>
      <c r="AC15" s="17">
        <f t="shared" si="7"/>
        <v>14</v>
      </c>
      <c r="AD15" s="17">
        <f t="shared" si="7"/>
        <v>0</v>
      </c>
      <c r="AE15" s="31">
        <f t="shared" si="7"/>
        <v>39</v>
      </c>
      <c r="AF15" s="31">
        <f t="shared" si="7"/>
        <v>53</v>
      </c>
    </row>
    <row r="16" spans="2:32" ht="23.1" customHeight="1" x14ac:dyDescent="0.25">
      <c r="B16" s="23" t="s">
        <v>43</v>
      </c>
      <c r="C16" s="50">
        <v>6</v>
      </c>
      <c r="D16" s="50">
        <v>0</v>
      </c>
      <c r="E16" s="50">
        <v>2</v>
      </c>
      <c r="F16" s="50">
        <v>3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10</v>
      </c>
      <c r="N16" s="50">
        <v>0</v>
      </c>
      <c r="O16" s="15">
        <f t="shared" si="0"/>
        <v>11</v>
      </c>
      <c r="P16" s="15">
        <f t="shared" si="1"/>
        <v>21</v>
      </c>
      <c r="R16" s="1" t="s">
        <v>12</v>
      </c>
      <c r="S16" s="17">
        <f t="shared" ref="S16:AF16" si="8">SUM(C34:C37)</f>
        <v>11</v>
      </c>
      <c r="T16" s="17">
        <f t="shared" si="8"/>
        <v>0</v>
      </c>
      <c r="U16" s="17">
        <f t="shared" si="8"/>
        <v>7</v>
      </c>
      <c r="V16" s="17">
        <f t="shared" si="8"/>
        <v>8</v>
      </c>
      <c r="W16" s="17">
        <f t="shared" si="8"/>
        <v>0</v>
      </c>
      <c r="X16" s="17">
        <f t="shared" si="8"/>
        <v>1</v>
      </c>
      <c r="Y16" s="17">
        <f t="shared" si="8"/>
        <v>4</v>
      </c>
      <c r="Z16" s="17">
        <f t="shared" si="8"/>
        <v>2</v>
      </c>
      <c r="AA16" s="17">
        <f t="shared" si="8"/>
        <v>0</v>
      </c>
      <c r="AB16" s="17">
        <f t="shared" si="8"/>
        <v>3</v>
      </c>
      <c r="AC16" s="17">
        <f t="shared" si="8"/>
        <v>19</v>
      </c>
      <c r="AD16" s="17">
        <f t="shared" si="8"/>
        <v>0</v>
      </c>
      <c r="AE16" s="31">
        <f t="shared" si="8"/>
        <v>36</v>
      </c>
      <c r="AF16" s="31">
        <f t="shared" si="8"/>
        <v>55</v>
      </c>
    </row>
    <row r="17" spans="2:32" ht="23.1" customHeight="1" x14ac:dyDescent="0.25">
      <c r="B17" s="23" t="s">
        <v>44</v>
      </c>
      <c r="C17" s="50">
        <v>6</v>
      </c>
      <c r="D17" s="50">
        <v>0</v>
      </c>
      <c r="E17" s="50">
        <v>3</v>
      </c>
      <c r="F17" s="50">
        <v>2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5</v>
      </c>
      <c r="N17" s="50">
        <v>0</v>
      </c>
      <c r="O17" s="15">
        <f t="shared" si="0"/>
        <v>11</v>
      </c>
      <c r="P17" s="15">
        <f t="shared" si="1"/>
        <v>16</v>
      </c>
      <c r="R17" s="1" t="s">
        <v>13</v>
      </c>
      <c r="S17" s="17">
        <f t="shared" ref="S17:AF17" si="9">SUM(C38:C41)</f>
        <v>12</v>
      </c>
      <c r="T17" s="17">
        <f t="shared" si="9"/>
        <v>0</v>
      </c>
      <c r="U17" s="17">
        <f t="shared" si="9"/>
        <v>10</v>
      </c>
      <c r="V17" s="17">
        <f t="shared" si="9"/>
        <v>11</v>
      </c>
      <c r="W17" s="17">
        <f t="shared" si="9"/>
        <v>0</v>
      </c>
      <c r="X17" s="17">
        <f t="shared" si="9"/>
        <v>1</v>
      </c>
      <c r="Y17" s="17">
        <f t="shared" si="9"/>
        <v>4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14</v>
      </c>
      <c r="AD17" s="17">
        <f t="shared" si="9"/>
        <v>0</v>
      </c>
      <c r="AE17" s="31">
        <f t="shared" si="9"/>
        <v>38</v>
      </c>
      <c r="AF17" s="31">
        <f t="shared" si="9"/>
        <v>52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4</v>
      </c>
      <c r="F18" s="50">
        <v>1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5</v>
      </c>
      <c r="N18" s="50">
        <v>0</v>
      </c>
      <c r="O18" s="15">
        <f t="shared" si="0"/>
        <v>5</v>
      </c>
      <c r="P18" s="15">
        <f t="shared" si="1"/>
        <v>10</v>
      </c>
      <c r="R18" s="1" t="s">
        <v>14</v>
      </c>
      <c r="S18" s="17">
        <f t="shared" ref="S18:AF18" si="10">SUM(C42:C45)</f>
        <v>18</v>
      </c>
      <c r="T18" s="17">
        <f t="shared" si="10"/>
        <v>0</v>
      </c>
      <c r="U18" s="17">
        <f t="shared" si="10"/>
        <v>12</v>
      </c>
      <c r="V18" s="17">
        <f t="shared" si="10"/>
        <v>12</v>
      </c>
      <c r="W18" s="17">
        <f t="shared" si="10"/>
        <v>0</v>
      </c>
      <c r="X18" s="17">
        <f t="shared" si="10"/>
        <v>0</v>
      </c>
      <c r="Y18" s="17">
        <f t="shared" si="10"/>
        <v>4</v>
      </c>
      <c r="Z18" s="17">
        <f t="shared" si="10"/>
        <v>1</v>
      </c>
      <c r="AA18" s="17">
        <f t="shared" si="10"/>
        <v>0</v>
      </c>
      <c r="AB18" s="17">
        <f t="shared" si="10"/>
        <v>0</v>
      </c>
      <c r="AC18" s="17">
        <f t="shared" si="10"/>
        <v>12</v>
      </c>
      <c r="AD18" s="17">
        <f t="shared" si="10"/>
        <v>0</v>
      </c>
      <c r="AE18" s="31">
        <f t="shared" si="10"/>
        <v>47</v>
      </c>
      <c r="AF18" s="31">
        <f t="shared" si="10"/>
        <v>59</v>
      </c>
    </row>
    <row r="19" spans="2:32" ht="23.1" customHeight="1" x14ac:dyDescent="0.25">
      <c r="B19" s="23" t="s">
        <v>46</v>
      </c>
      <c r="C19" s="50">
        <v>3</v>
      </c>
      <c r="D19" s="50">
        <v>0</v>
      </c>
      <c r="E19" s="50">
        <v>1</v>
      </c>
      <c r="F19" s="50">
        <v>4</v>
      </c>
      <c r="G19" s="50">
        <v>0</v>
      </c>
      <c r="H19" s="50">
        <v>0</v>
      </c>
      <c r="I19" s="50">
        <v>3</v>
      </c>
      <c r="J19" s="50">
        <v>0</v>
      </c>
      <c r="K19" s="50">
        <v>0</v>
      </c>
      <c r="L19" s="50">
        <v>1</v>
      </c>
      <c r="M19" s="50">
        <v>3</v>
      </c>
      <c r="N19" s="50">
        <v>0</v>
      </c>
      <c r="O19" s="15">
        <f t="shared" si="0"/>
        <v>12</v>
      </c>
      <c r="P19" s="15">
        <f t="shared" si="1"/>
        <v>15</v>
      </c>
      <c r="R19" s="1" t="s">
        <v>15</v>
      </c>
      <c r="S19" s="17">
        <f t="shared" ref="S19:AF19" si="11">SUM(C46:C49)</f>
        <v>19</v>
      </c>
      <c r="T19" s="17">
        <f t="shared" si="11"/>
        <v>0</v>
      </c>
      <c r="U19" s="17">
        <f t="shared" si="11"/>
        <v>12</v>
      </c>
      <c r="V19" s="17">
        <f t="shared" si="11"/>
        <v>6</v>
      </c>
      <c r="W19" s="17">
        <f t="shared" si="11"/>
        <v>0</v>
      </c>
      <c r="X19" s="17">
        <f t="shared" si="11"/>
        <v>0</v>
      </c>
      <c r="Y19" s="17">
        <f t="shared" si="11"/>
        <v>8</v>
      </c>
      <c r="Z19" s="17">
        <f t="shared" si="11"/>
        <v>1</v>
      </c>
      <c r="AA19" s="17">
        <f t="shared" si="11"/>
        <v>0</v>
      </c>
      <c r="AB19" s="17">
        <f t="shared" si="11"/>
        <v>3</v>
      </c>
      <c r="AC19" s="17">
        <f t="shared" si="11"/>
        <v>20</v>
      </c>
      <c r="AD19" s="17">
        <f t="shared" si="11"/>
        <v>0</v>
      </c>
      <c r="AE19" s="31">
        <f t="shared" si="11"/>
        <v>49</v>
      </c>
      <c r="AF19" s="31">
        <f t="shared" si="11"/>
        <v>69</v>
      </c>
    </row>
    <row r="20" spans="2:32" ht="23.1" customHeight="1" x14ac:dyDescent="0.25">
      <c r="B20" s="23" t="s">
        <v>47</v>
      </c>
      <c r="C20" s="50">
        <v>3</v>
      </c>
      <c r="D20" s="50">
        <v>0</v>
      </c>
      <c r="E20" s="50">
        <v>4</v>
      </c>
      <c r="F20" s="50">
        <v>3</v>
      </c>
      <c r="G20" s="50">
        <v>0</v>
      </c>
      <c r="H20" s="50">
        <v>0</v>
      </c>
      <c r="I20" s="50">
        <v>2</v>
      </c>
      <c r="J20" s="50">
        <v>0</v>
      </c>
      <c r="K20" s="50">
        <v>0</v>
      </c>
      <c r="L20" s="50">
        <v>0</v>
      </c>
      <c r="M20" s="50">
        <v>8</v>
      </c>
      <c r="N20" s="50">
        <v>0</v>
      </c>
      <c r="O20" s="15">
        <f t="shared" si="0"/>
        <v>12</v>
      </c>
      <c r="P20" s="15">
        <f t="shared" si="1"/>
        <v>20</v>
      </c>
      <c r="R20" s="1" t="s">
        <v>16</v>
      </c>
      <c r="S20" s="17">
        <f t="shared" ref="S20:AF20" si="12">SUM(C50:C53)</f>
        <v>7</v>
      </c>
      <c r="T20" s="17">
        <f t="shared" si="12"/>
        <v>0</v>
      </c>
      <c r="U20" s="17">
        <f t="shared" si="12"/>
        <v>21</v>
      </c>
      <c r="V20" s="17">
        <f t="shared" si="12"/>
        <v>11</v>
      </c>
      <c r="W20" s="17">
        <f t="shared" si="12"/>
        <v>0</v>
      </c>
      <c r="X20" s="17">
        <f t="shared" si="12"/>
        <v>0</v>
      </c>
      <c r="Y20" s="17">
        <f t="shared" si="12"/>
        <v>7</v>
      </c>
      <c r="Z20" s="17">
        <f t="shared" si="12"/>
        <v>1</v>
      </c>
      <c r="AA20" s="17">
        <f t="shared" si="12"/>
        <v>0</v>
      </c>
      <c r="AB20" s="17">
        <f t="shared" si="12"/>
        <v>3</v>
      </c>
      <c r="AC20" s="17">
        <f t="shared" si="12"/>
        <v>16</v>
      </c>
      <c r="AD20" s="17">
        <f t="shared" si="12"/>
        <v>0</v>
      </c>
      <c r="AE20" s="31">
        <f t="shared" si="12"/>
        <v>50</v>
      </c>
      <c r="AF20" s="31">
        <f t="shared" si="12"/>
        <v>66</v>
      </c>
    </row>
    <row r="21" spans="2:32" ht="23.1" customHeight="1" x14ac:dyDescent="0.25">
      <c r="B21" s="23" t="s">
        <v>48</v>
      </c>
      <c r="C21" s="50">
        <v>7</v>
      </c>
      <c r="D21" s="50">
        <v>0</v>
      </c>
      <c r="E21" s="50">
        <v>3</v>
      </c>
      <c r="F21" s="50">
        <v>3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v>0</v>
      </c>
      <c r="M21" s="50">
        <v>9</v>
      </c>
      <c r="N21" s="50">
        <v>0</v>
      </c>
      <c r="O21" s="15">
        <f t="shared" si="0"/>
        <v>14</v>
      </c>
      <c r="P21" s="15">
        <f t="shared" si="1"/>
        <v>23</v>
      </c>
      <c r="R21" s="36" t="s">
        <v>20</v>
      </c>
      <c r="S21" s="34">
        <f t="shared" ref="S21:AF21" si="13">SUM(C54:C57)</f>
        <v>10</v>
      </c>
      <c r="T21" s="17">
        <f t="shared" si="13"/>
        <v>0</v>
      </c>
      <c r="U21" s="17">
        <f t="shared" si="13"/>
        <v>6</v>
      </c>
      <c r="V21" s="17">
        <f t="shared" si="13"/>
        <v>11</v>
      </c>
      <c r="W21" s="17">
        <f t="shared" si="13"/>
        <v>0</v>
      </c>
      <c r="X21" s="17">
        <f t="shared" si="13"/>
        <v>0</v>
      </c>
      <c r="Y21" s="17">
        <f t="shared" si="13"/>
        <v>13</v>
      </c>
      <c r="Z21" s="17">
        <f t="shared" si="13"/>
        <v>0</v>
      </c>
      <c r="AA21" s="17">
        <f t="shared" si="13"/>
        <v>0</v>
      </c>
      <c r="AB21" s="17">
        <f t="shared" si="13"/>
        <v>1</v>
      </c>
      <c r="AC21" s="17">
        <f t="shared" si="13"/>
        <v>11</v>
      </c>
      <c r="AD21" s="17">
        <f t="shared" si="13"/>
        <v>0</v>
      </c>
      <c r="AE21" s="31">
        <f t="shared" si="13"/>
        <v>41</v>
      </c>
      <c r="AF21" s="31">
        <f t="shared" si="13"/>
        <v>52</v>
      </c>
    </row>
    <row r="22" spans="2:32" ht="23.1" customHeight="1" x14ac:dyDescent="0.25">
      <c r="B22" s="23" t="s">
        <v>49</v>
      </c>
      <c r="C22" s="50">
        <v>2</v>
      </c>
      <c r="D22" s="50">
        <v>0</v>
      </c>
      <c r="E22" s="50">
        <v>3</v>
      </c>
      <c r="F22" s="50">
        <v>3</v>
      </c>
      <c r="G22" s="50">
        <v>0</v>
      </c>
      <c r="H22" s="50">
        <v>0</v>
      </c>
      <c r="I22" s="50">
        <v>0</v>
      </c>
      <c r="J22" s="50">
        <v>1</v>
      </c>
      <c r="K22" s="50">
        <v>0</v>
      </c>
      <c r="L22" s="50">
        <v>0</v>
      </c>
      <c r="M22" s="50">
        <v>4</v>
      </c>
      <c r="N22" s="50">
        <v>0</v>
      </c>
      <c r="O22" s="15">
        <f t="shared" si="0"/>
        <v>9</v>
      </c>
      <c r="P22" s="15">
        <f t="shared" si="1"/>
        <v>13</v>
      </c>
      <c r="R22" s="38" t="s">
        <v>90</v>
      </c>
      <c r="S22" s="39">
        <f>MAX(S10:S12)</f>
        <v>21</v>
      </c>
      <c r="T22" s="39">
        <f t="shared" ref="T22:AF22" si="14">MAX(T10:T12)</f>
        <v>0</v>
      </c>
      <c r="U22" s="39">
        <f t="shared" si="14"/>
        <v>12</v>
      </c>
      <c r="V22" s="39">
        <f t="shared" si="14"/>
        <v>11</v>
      </c>
      <c r="W22" s="39">
        <f t="shared" si="14"/>
        <v>0</v>
      </c>
      <c r="X22" s="39">
        <f t="shared" si="14"/>
        <v>2</v>
      </c>
      <c r="Y22" s="39">
        <f t="shared" si="14"/>
        <v>6</v>
      </c>
      <c r="Z22" s="39">
        <f t="shared" si="14"/>
        <v>1</v>
      </c>
      <c r="AA22" s="39">
        <f t="shared" si="14"/>
        <v>0</v>
      </c>
      <c r="AB22" s="39">
        <f t="shared" si="14"/>
        <v>4</v>
      </c>
      <c r="AC22" s="39">
        <f t="shared" si="14"/>
        <v>29</v>
      </c>
      <c r="AD22" s="39">
        <f t="shared" si="14"/>
        <v>0</v>
      </c>
      <c r="AE22" s="40">
        <f t="shared" si="14"/>
        <v>43</v>
      </c>
      <c r="AF22" s="40">
        <f t="shared" si="14"/>
        <v>72</v>
      </c>
    </row>
    <row r="23" spans="2:32" ht="23.1" customHeight="1" x14ac:dyDescent="0.25">
      <c r="B23" s="23" t="s">
        <v>50</v>
      </c>
      <c r="C23" s="50">
        <v>4</v>
      </c>
      <c r="D23" s="50">
        <v>0</v>
      </c>
      <c r="E23" s="50">
        <v>2</v>
      </c>
      <c r="F23" s="50">
        <v>3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4</v>
      </c>
      <c r="N23" s="50">
        <v>0</v>
      </c>
      <c r="O23" s="15">
        <f t="shared" si="0"/>
        <v>9</v>
      </c>
      <c r="P23" s="15">
        <f t="shared" si="1"/>
        <v>13</v>
      </c>
      <c r="R23" s="38" t="s">
        <v>91</v>
      </c>
      <c r="S23" s="39">
        <f>MAX(S13:S18)</f>
        <v>20</v>
      </c>
      <c r="T23" s="39">
        <f t="shared" ref="T23:AF23" si="15">MAX(T13:T18)</f>
        <v>0</v>
      </c>
      <c r="U23" s="39">
        <f t="shared" si="15"/>
        <v>12</v>
      </c>
      <c r="V23" s="39">
        <f t="shared" si="15"/>
        <v>12</v>
      </c>
      <c r="W23" s="39">
        <f t="shared" si="15"/>
        <v>0</v>
      </c>
      <c r="X23" s="39">
        <f t="shared" si="15"/>
        <v>1</v>
      </c>
      <c r="Y23" s="39">
        <f t="shared" si="15"/>
        <v>7</v>
      </c>
      <c r="Z23" s="39">
        <f t="shared" si="15"/>
        <v>4</v>
      </c>
      <c r="AA23" s="39">
        <f t="shared" si="15"/>
        <v>0</v>
      </c>
      <c r="AB23" s="39">
        <f t="shared" si="15"/>
        <v>3</v>
      </c>
      <c r="AC23" s="39">
        <f t="shared" si="15"/>
        <v>19</v>
      </c>
      <c r="AD23" s="39">
        <f t="shared" si="15"/>
        <v>0</v>
      </c>
      <c r="AE23" s="40">
        <f t="shared" si="15"/>
        <v>47</v>
      </c>
      <c r="AF23" s="40">
        <f t="shared" si="15"/>
        <v>60</v>
      </c>
    </row>
    <row r="24" spans="2:32" ht="23.1" customHeight="1" x14ac:dyDescent="0.25">
      <c r="B24" s="23" t="s">
        <v>51</v>
      </c>
      <c r="C24" s="50">
        <v>4</v>
      </c>
      <c r="D24" s="50">
        <v>0</v>
      </c>
      <c r="E24" s="50">
        <v>1</v>
      </c>
      <c r="F24" s="50">
        <v>4</v>
      </c>
      <c r="G24" s="50">
        <v>0</v>
      </c>
      <c r="H24" s="50">
        <v>0</v>
      </c>
      <c r="I24" s="50">
        <v>0</v>
      </c>
      <c r="J24" s="50">
        <v>2</v>
      </c>
      <c r="K24" s="50">
        <v>0</v>
      </c>
      <c r="L24" s="50">
        <v>0</v>
      </c>
      <c r="M24" s="50">
        <v>2</v>
      </c>
      <c r="N24" s="50">
        <v>0</v>
      </c>
      <c r="O24" s="15">
        <f t="shared" si="0"/>
        <v>11</v>
      </c>
      <c r="P24" s="15">
        <f t="shared" si="1"/>
        <v>13</v>
      </c>
      <c r="R24" s="38" t="s">
        <v>92</v>
      </c>
      <c r="S24" s="39">
        <f>MAX(S19:S21)</f>
        <v>19</v>
      </c>
      <c r="T24" s="39">
        <f t="shared" ref="T24:AF24" si="16">MAX(T19:T21)</f>
        <v>0</v>
      </c>
      <c r="U24" s="39">
        <f t="shared" si="16"/>
        <v>21</v>
      </c>
      <c r="V24" s="39">
        <f t="shared" si="16"/>
        <v>11</v>
      </c>
      <c r="W24" s="39">
        <f t="shared" si="16"/>
        <v>0</v>
      </c>
      <c r="X24" s="39">
        <f t="shared" si="16"/>
        <v>0</v>
      </c>
      <c r="Y24" s="39">
        <f t="shared" si="16"/>
        <v>13</v>
      </c>
      <c r="Z24" s="39">
        <f t="shared" si="16"/>
        <v>1</v>
      </c>
      <c r="AA24" s="39">
        <f t="shared" si="16"/>
        <v>0</v>
      </c>
      <c r="AB24" s="39">
        <f t="shared" si="16"/>
        <v>3</v>
      </c>
      <c r="AC24" s="39">
        <f t="shared" si="16"/>
        <v>20</v>
      </c>
      <c r="AD24" s="39">
        <f t="shared" si="16"/>
        <v>0</v>
      </c>
      <c r="AE24" s="40">
        <f t="shared" si="16"/>
        <v>50</v>
      </c>
      <c r="AF24" s="40">
        <f t="shared" si="16"/>
        <v>69</v>
      </c>
    </row>
    <row r="25" spans="2:32" ht="23.1" customHeight="1" x14ac:dyDescent="0.25">
      <c r="B25" s="23" t="s">
        <v>52</v>
      </c>
      <c r="C25" s="50">
        <v>5</v>
      </c>
      <c r="D25" s="50">
        <v>0</v>
      </c>
      <c r="E25" s="50">
        <v>3</v>
      </c>
      <c r="F25" s="50">
        <v>1</v>
      </c>
      <c r="G25" s="50">
        <v>0</v>
      </c>
      <c r="H25" s="50">
        <v>1</v>
      </c>
      <c r="I25" s="50">
        <v>1</v>
      </c>
      <c r="J25" s="50">
        <v>1</v>
      </c>
      <c r="K25" s="50">
        <v>0</v>
      </c>
      <c r="L25" s="50">
        <v>0</v>
      </c>
      <c r="M25" s="50">
        <v>4</v>
      </c>
      <c r="N25" s="50">
        <v>0</v>
      </c>
      <c r="O25" s="15">
        <f t="shared" si="0"/>
        <v>12</v>
      </c>
      <c r="P25" s="15">
        <f t="shared" si="1"/>
        <v>16</v>
      </c>
      <c r="R25" s="37" t="s">
        <v>85</v>
      </c>
      <c r="S25" s="35">
        <f t="shared" ref="S25:AF25" si="17">SUM(S10:S12)</f>
        <v>47</v>
      </c>
      <c r="T25" s="16">
        <f t="shared" si="17"/>
        <v>0</v>
      </c>
      <c r="U25" s="16">
        <f t="shared" si="17"/>
        <v>28</v>
      </c>
      <c r="V25" s="16">
        <f t="shared" si="17"/>
        <v>21</v>
      </c>
      <c r="W25" s="16">
        <f t="shared" si="17"/>
        <v>0</v>
      </c>
      <c r="X25" s="16">
        <f t="shared" si="17"/>
        <v>3</v>
      </c>
      <c r="Y25" s="16">
        <f t="shared" si="17"/>
        <v>7</v>
      </c>
      <c r="Z25" s="16">
        <f t="shared" si="17"/>
        <v>1</v>
      </c>
      <c r="AA25" s="16">
        <f t="shared" si="17"/>
        <v>0</v>
      </c>
      <c r="AB25" s="16">
        <f t="shared" si="17"/>
        <v>5</v>
      </c>
      <c r="AC25" s="16">
        <f t="shared" si="17"/>
        <v>63</v>
      </c>
      <c r="AD25" s="16">
        <f t="shared" si="17"/>
        <v>0</v>
      </c>
      <c r="AE25" s="32">
        <f t="shared" si="17"/>
        <v>112</v>
      </c>
      <c r="AF25" s="32">
        <f t="shared" si="17"/>
        <v>175</v>
      </c>
    </row>
    <row r="26" spans="2:32" ht="23.1" customHeight="1" x14ac:dyDescent="0.25">
      <c r="B26" s="23" t="s">
        <v>53</v>
      </c>
      <c r="C26" s="50">
        <v>9</v>
      </c>
      <c r="D26" s="50">
        <v>0</v>
      </c>
      <c r="E26" s="50">
        <v>3</v>
      </c>
      <c r="F26" s="50">
        <v>1</v>
      </c>
      <c r="G26" s="50">
        <v>0</v>
      </c>
      <c r="H26" s="50">
        <v>0</v>
      </c>
      <c r="I26" s="50">
        <v>2</v>
      </c>
      <c r="J26" s="50">
        <v>0</v>
      </c>
      <c r="K26" s="50">
        <v>0</v>
      </c>
      <c r="L26" s="50">
        <v>0</v>
      </c>
      <c r="M26" s="50">
        <v>6</v>
      </c>
      <c r="N26" s="50">
        <v>0</v>
      </c>
      <c r="O26" s="15">
        <f t="shared" si="0"/>
        <v>15</v>
      </c>
      <c r="P26" s="15">
        <f t="shared" si="1"/>
        <v>21</v>
      </c>
      <c r="R26" s="28" t="s">
        <v>86</v>
      </c>
      <c r="S26" s="16">
        <f t="shared" ref="S26:AF26" si="18">SUM(S13:S18)</f>
        <v>89</v>
      </c>
      <c r="T26" s="16">
        <f t="shared" si="18"/>
        <v>0</v>
      </c>
      <c r="U26" s="16">
        <f t="shared" si="18"/>
        <v>54</v>
      </c>
      <c r="V26" s="16">
        <f t="shared" si="18"/>
        <v>62</v>
      </c>
      <c r="W26" s="16">
        <f t="shared" si="18"/>
        <v>0</v>
      </c>
      <c r="X26" s="16">
        <f t="shared" si="18"/>
        <v>4</v>
      </c>
      <c r="Y26" s="16">
        <f t="shared" si="18"/>
        <v>23</v>
      </c>
      <c r="Z26" s="16">
        <f t="shared" si="18"/>
        <v>7</v>
      </c>
      <c r="AA26" s="16">
        <f t="shared" si="18"/>
        <v>0</v>
      </c>
      <c r="AB26" s="16">
        <f t="shared" si="18"/>
        <v>7</v>
      </c>
      <c r="AC26" s="16">
        <f t="shared" si="18"/>
        <v>88</v>
      </c>
      <c r="AD26" s="16">
        <f t="shared" si="18"/>
        <v>0</v>
      </c>
      <c r="AE26" s="32">
        <f t="shared" si="18"/>
        <v>246</v>
      </c>
      <c r="AF26" s="32">
        <f t="shared" si="18"/>
        <v>334</v>
      </c>
    </row>
    <row r="27" spans="2:32" ht="23.1" customHeight="1" x14ac:dyDescent="0.25">
      <c r="B27" s="23" t="s">
        <v>54</v>
      </c>
      <c r="C27" s="50">
        <v>2</v>
      </c>
      <c r="D27" s="50">
        <v>0</v>
      </c>
      <c r="E27" s="50">
        <v>2</v>
      </c>
      <c r="F27" s="50">
        <v>3</v>
      </c>
      <c r="G27" s="50">
        <v>0</v>
      </c>
      <c r="H27" s="50">
        <v>0</v>
      </c>
      <c r="I27" s="50">
        <v>1</v>
      </c>
      <c r="J27" s="50">
        <v>0</v>
      </c>
      <c r="K27" s="50">
        <v>0</v>
      </c>
      <c r="L27" s="50">
        <v>0</v>
      </c>
      <c r="M27" s="50">
        <v>3</v>
      </c>
      <c r="N27" s="50">
        <v>0</v>
      </c>
      <c r="O27" s="15">
        <f t="shared" si="0"/>
        <v>8</v>
      </c>
      <c r="P27" s="15">
        <f t="shared" si="1"/>
        <v>11</v>
      </c>
      <c r="R27" s="29" t="s">
        <v>87</v>
      </c>
      <c r="S27" s="16">
        <f t="shared" ref="S27:AF27" si="19">SUM(S19:S21)</f>
        <v>36</v>
      </c>
      <c r="T27" s="16">
        <f t="shared" si="19"/>
        <v>0</v>
      </c>
      <c r="U27" s="16">
        <f t="shared" si="19"/>
        <v>39</v>
      </c>
      <c r="V27" s="16">
        <f t="shared" si="19"/>
        <v>28</v>
      </c>
      <c r="W27" s="16">
        <f t="shared" si="19"/>
        <v>0</v>
      </c>
      <c r="X27" s="16">
        <f t="shared" si="19"/>
        <v>0</v>
      </c>
      <c r="Y27" s="16">
        <f t="shared" si="19"/>
        <v>28</v>
      </c>
      <c r="Z27" s="16">
        <f t="shared" si="19"/>
        <v>2</v>
      </c>
      <c r="AA27" s="16">
        <f t="shared" si="19"/>
        <v>0</v>
      </c>
      <c r="AB27" s="16">
        <f t="shared" si="19"/>
        <v>7</v>
      </c>
      <c r="AC27" s="16">
        <f t="shared" si="19"/>
        <v>47</v>
      </c>
      <c r="AD27" s="16">
        <f t="shared" si="19"/>
        <v>0</v>
      </c>
      <c r="AE27" s="32">
        <f t="shared" si="19"/>
        <v>140</v>
      </c>
      <c r="AF27" s="32">
        <f t="shared" si="19"/>
        <v>187</v>
      </c>
    </row>
    <row r="28" spans="2:32" ht="23.1" customHeight="1" x14ac:dyDescent="0.25">
      <c r="B28" s="23" t="s">
        <v>55</v>
      </c>
      <c r="C28" s="50">
        <v>4</v>
      </c>
      <c r="D28" s="50">
        <v>0</v>
      </c>
      <c r="E28" s="50">
        <v>2</v>
      </c>
      <c r="F28" s="50">
        <v>3</v>
      </c>
      <c r="G28" s="50">
        <v>0</v>
      </c>
      <c r="H28" s="50">
        <v>0</v>
      </c>
      <c r="I28" s="50">
        <v>3</v>
      </c>
      <c r="J28" s="50">
        <v>0</v>
      </c>
      <c r="K28" s="50">
        <v>0</v>
      </c>
      <c r="L28" s="50">
        <v>1</v>
      </c>
      <c r="M28" s="50">
        <v>3</v>
      </c>
      <c r="N28" s="50">
        <v>0</v>
      </c>
      <c r="O28" s="15">
        <f t="shared" si="0"/>
        <v>13</v>
      </c>
      <c r="P28" s="15">
        <f t="shared" si="1"/>
        <v>16</v>
      </c>
      <c r="R28" s="5" t="s">
        <v>17</v>
      </c>
      <c r="S28" s="16">
        <f t="shared" ref="S28:AF28" si="20">SUM(S10:S21)</f>
        <v>172</v>
      </c>
      <c r="T28" s="16">
        <f t="shared" si="20"/>
        <v>0</v>
      </c>
      <c r="U28" s="16">
        <f t="shared" si="20"/>
        <v>121</v>
      </c>
      <c r="V28" s="16">
        <f t="shared" si="20"/>
        <v>111</v>
      </c>
      <c r="W28" s="16">
        <f t="shared" si="20"/>
        <v>0</v>
      </c>
      <c r="X28" s="16">
        <f t="shared" si="20"/>
        <v>7</v>
      </c>
      <c r="Y28" s="16">
        <f t="shared" si="20"/>
        <v>58</v>
      </c>
      <c r="Z28" s="16">
        <f t="shared" si="20"/>
        <v>10</v>
      </c>
      <c r="AA28" s="16">
        <f t="shared" si="20"/>
        <v>0</v>
      </c>
      <c r="AB28" s="16">
        <f t="shared" si="20"/>
        <v>19</v>
      </c>
      <c r="AC28" s="16">
        <f t="shared" si="20"/>
        <v>198</v>
      </c>
      <c r="AD28" s="16">
        <f t="shared" si="20"/>
        <v>0</v>
      </c>
      <c r="AE28" s="32">
        <f t="shared" si="20"/>
        <v>498</v>
      </c>
      <c r="AF28" s="32">
        <f t="shared" si="20"/>
        <v>696</v>
      </c>
    </row>
    <row r="29" spans="2:32" ht="23.1" customHeight="1" x14ac:dyDescent="0.25">
      <c r="B29" s="23" t="s">
        <v>56</v>
      </c>
      <c r="C29" s="50">
        <v>5</v>
      </c>
      <c r="D29" s="50">
        <v>0</v>
      </c>
      <c r="E29" s="50">
        <v>2</v>
      </c>
      <c r="F29" s="50">
        <v>1</v>
      </c>
      <c r="G29" s="50">
        <v>0</v>
      </c>
      <c r="H29" s="50">
        <v>0</v>
      </c>
      <c r="I29" s="50">
        <v>1</v>
      </c>
      <c r="J29" s="50">
        <v>0</v>
      </c>
      <c r="K29" s="50">
        <v>0</v>
      </c>
      <c r="L29" s="50">
        <v>0</v>
      </c>
      <c r="M29" s="50">
        <v>3</v>
      </c>
      <c r="N29" s="50">
        <v>0</v>
      </c>
      <c r="O29" s="15">
        <f t="shared" si="0"/>
        <v>9</v>
      </c>
      <c r="P29" s="15">
        <f t="shared" si="1"/>
        <v>12</v>
      </c>
      <c r="R29"/>
      <c r="S29" s="20"/>
      <c r="T29" s="19"/>
    </row>
    <row r="30" spans="2:32" ht="23.1" customHeight="1" x14ac:dyDescent="0.25">
      <c r="B30" s="23" t="s">
        <v>57</v>
      </c>
      <c r="C30" s="50">
        <v>2</v>
      </c>
      <c r="D30" s="50">
        <v>0</v>
      </c>
      <c r="E30" s="50">
        <v>2</v>
      </c>
      <c r="F30" s="50">
        <v>2</v>
      </c>
      <c r="G30" s="50">
        <v>0</v>
      </c>
      <c r="H30" s="50">
        <v>0</v>
      </c>
      <c r="I30" s="50">
        <v>2</v>
      </c>
      <c r="J30" s="50">
        <v>0</v>
      </c>
      <c r="K30" s="50">
        <v>0</v>
      </c>
      <c r="L30" s="50">
        <v>0</v>
      </c>
      <c r="M30" s="50">
        <v>1</v>
      </c>
      <c r="N30" s="50">
        <v>0</v>
      </c>
      <c r="O30" s="15">
        <f t="shared" si="0"/>
        <v>8</v>
      </c>
      <c r="P30" s="15">
        <f t="shared" si="1"/>
        <v>9</v>
      </c>
    </row>
    <row r="31" spans="2:32" ht="23.1" customHeight="1" x14ac:dyDescent="0.25">
      <c r="B31" s="24" t="s">
        <v>58</v>
      </c>
      <c r="C31" s="50">
        <v>3</v>
      </c>
      <c r="D31" s="50">
        <v>0</v>
      </c>
      <c r="E31" s="50">
        <v>2</v>
      </c>
      <c r="F31" s="50">
        <v>2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3</v>
      </c>
      <c r="N31" s="50">
        <v>0</v>
      </c>
      <c r="O31" s="15">
        <f t="shared" si="0"/>
        <v>7</v>
      </c>
      <c r="P31" s="15">
        <f t="shared" si="1"/>
        <v>10</v>
      </c>
    </row>
    <row r="32" spans="2:32" ht="23.1" customHeight="1" x14ac:dyDescent="0.25">
      <c r="B32" s="24" t="s">
        <v>59</v>
      </c>
      <c r="C32" s="50">
        <v>3</v>
      </c>
      <c r="D32" s="50">
        <v>0</v>
      </c>
      <c r="E32" s="50">
        <v>1</v>
      </c>
      <c r="F32" s="50">
        <v>6</v>
      </c>
      <c r="G32" s="50">
        <v>0</v>
      </c>
      <c r="H32" s="50">
        <v>1</v>
      </c>
      <c r="I32" s="50">
        <v>1</v>
      </c>
      <c r="J32" s="50">
        <v>0</v>
      </c>
      <c r="K32" s="50">
        <v>0</v>
      </c>
      <c r="L32" s="50">
        <v>1</v>
      </c>
      <c r="M32" s="50">
        <v>4</v>
      </c>
      <c r="N32" s="50">
        <v>0</v>
      </c>
      <c r="O32" s="15">
        <f t="shared" si="0"/>
        <v>13</v>
      </c>
      <c r="P32" s="15">
        <f t="shared" si="1"/>
        <v>17</v>
      </c>
    </row>
    <row r="33" spans="2:20" ht="23.1" customHeight="1" x14ac:dyDescent="0.25">
      <c r="B33" s="23" t="s">
        <v>60</v>
      </c>
      <c r="C33" s="50">
        <v>5</v>
      </c>
      <c r="D33" s="50">
        <v>0</v>
      </c>
      <c r="E33" s="50">
        <v>2</v>
      </c>
      <c r="F33" s="50">
        <v>2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2</v>
      </c>
      <c r="M33" s="50">
        <v>6</v>
      </c>
      <c r="N33" s="50">
        <v>0</v>
      </c>
      <c r="O33" s="15">
        <f t="shared" si="0"/>
        <v>11</v>
      </c>
      <c r="P33" s="15">
        <f t="shared" si="1"/>
        <v>17</v>
      </c>
    </row>
    <row r="34" spans="2:20" ht="23.1" customHeight="1" x14ac:dyDescent="0.25">
      <c r="B34" s="24" t="s">
        <v>61</v>
      </c>
      <c r="C34" s="50">
        <v>0</v>
      </c>
      <c r="D34" s="50">
        <v>0</v>
      </c>
      <c r="E34" s="50">
        <v>3</v>
      </c>
      <c r="F34" s="50">
        <v>3</v>
      </c>
      <c r="G34" s="50">
        <v>0</v>
      </c>
      <c r="H34" s="50">
        <v>0</v>
      </c>
      <c r="I34" s="50">
        <v>1</v>
      </c>
      <c r="J34" s="50">
        <v>0</v>
      </c>
      <c r="K34" s="50">
        <v>0</v>
      </c>
      <c r="L34" s="50">
        <v>1</v>
      </c>
      <c r="M34" s="50">
        <v>1</v>
      </c>
      <c r="N34" s="50">
        <v>0</v>
      </c>
      <c r="O34" s="15">
        <f t="shared" si="0"/>
        <v>8</v>
      </c>
      <c r="P34" s="15">
        <f t="shared" si="1"/>
        <v>9</v>
      </c>
    </row>
    <row r="35" spans="2:20" ht="23.1" customHeight="1" x14ac:dyDescent="0.25">
      <c r="B35" s="24" t="s">
        <v>62</v>
      </c>
      <c r="C35" s="50">
        <v>6</v>
      </c>
      <c r="D35" s="50">
        <v>0</v>
      </c>
      <c r="E35" s="50">
        <v>3</v>
      </c>
      <c r="F35" s="50">
        <v>1</v>
      </c>
      <c r="G35" s="50">
        <v>0</v>
      </c>
      <c r="H35" s="50">
        <v>1</v>
      </c>
      <c r="I35" s="50">
        <v>1</v>
      </c>
      <c r="J35" s="50">
        <v>1</v>
      </c>
      <c r="K35" s="50">
        <v>0</v>
      </c>
      <c r="L35" s="50">
        <v>1</v>
      </c>
      <c r="M35" s="50">
        <v>11</v>
      </c>
      <c r="N35" s="50">
        <v>0</v>
      </c>
      <c r="O35" s="15">
        <f t="shared" si="0"/>
        <v>14</v>
      </c>
      <c r="P35" s="15">
        <f t="shared" si="1"/>
        <v>25</v>
      </c>
    </row>
    <row r="36" spans="2:20" ht="23.1" customHeight="1" x14ac:dyDescent="0.25">
      <c r="B36" s="24" t="s">
        <v>63</v>
      </c>
      <c r="C36" s="50">
        <v>2</v>
      </c>
      <c r="D36" s="50">
        <v>0</v>
      </c>
      <c r="E36" s="50">
        <v>0</v>
      </c>
      <c r="F36" s="50">
        <v>1</v>
      </c>
      <c r="G36" s="50">
        <v>0</v>
      </c>
      <c r="H36" s="50">
        <v>0</v>
      </c>
      <c r="I36" s="50">
        <v>1</v>
      </c>
      <c r="J36" s="50">
        <v>1</v>
      </c>
      <c r="K36" s="50">
        <v>0</v>
      </c>
      <c r="L36" s="50">
        <v>1</v>
      </c>
      <c r="M36" s="50">
        <v>4</v>
      </c>
      <c r="N36" s="50">
        <v>0</v>
      </c>
      <c r="O36" s="15">
        <f t="shared" si="0"/>
        <v>6</v>
      </c>
      <c r="P36" s="15">
        <f t="shared" si="1"/>
        <v>10</v>
      </c>
    </row>
    <row r="37" spans="2:20" ht="23.1" customHeight="1" x14ac:dyDescent="0.25">
      <c r="B37" s="23" t="s">
        <v>64</v>
      </c>
      <c r="C37" s="50">
        <v>3</v>
      </c>
      <c r="D37" s="50">
        <v>0</v>
      </c>
      <c r="E37" s="50">
        <v>1</v>
      </c>
      <c r="F37" s="50">
        <v>3</v>
      </c>
      <c r="G37" s="50">
        <v>0</v>
      </c>
      <c r="H37" s="50">
        <v>0</v>
      </c>
      <c r="I37" s="50">
        <v>1</v>
      </c>
      <c r="J37" s="50">
        <v>0</v>
      </c>
      <c r="K37" s="50">
        <v>0</v>
      </c>
      <c r="L37" s="50">
        <v>0</v>
      </c>
      <c r="M37" s="50">
        <v>3</v>
      </c>
      <c r="N37" s="50">
        <v>0</v>
      </c>
      <c r="O37" s="15">
        <f t="shared" si="0"/>
        <v>8</v>
      </c>
      <c r="P37" s="15">
        <f t="shared" si="1"/>
        <v>11</v>
      </c>
    </row>
    <row r="38" spans="2:20" ht="23.1" customHeight="1" x14ac:dyDescent="0.25">
      <c r="B38" s="24" t="s">
        <v>65</v>
      </c>
      <c r="C38" s="50">
        <v>1</v>
      </c>
      <c r="D38" s="50">
        <v>0</v>
      </c>
      <c r="E38" s="50">
        <v>4</v>
      </c>
      <c r="F38" s="50">
        <v>1</v>
      </c>
      <c r="G38" s="50">
        <v>0</v>
      </c>
      <c r="H38" s="50">
        <v>0</v>
      </c>
      <c r="I38" s="50">
        <v>2</v>
      </c>
      <c r="J38" s="50">
        <v>0</v>
      </c>
      <c r="K38" s="50">
        <v>0</v>
      </c>
      <c r="L38" s="50">
        <v>0</v>
      </c>
      <c r="M38" s="50">
        <v>2</v>
      </c>
      <c r="N38" s="50">
        <v>0</v>
      </c>
      <c r="O38" s="15">
        <f t="shared" si="0"/>
        <v>8</v>
      </c>
      <c r="P38" s="15">
        <f t="shared" si="1"/>
        <v>10</v>
      </c>
    </row>
    <row r="39" spans="2:20" ht="23.1" customHeight="1" x14ac:dyDescent="0.25">
      <c r="B39" s="24" t="s">
        <v>66</v>
      </c>
      <c r="C39" s="50">
        <v>4</v>
      </c>
      <c r="D39" s="50">
        <v>0</v>
      </c>
      <c r="E39" s="50">
        <v>3</v>
      </c>
      <c r="F39" s="50">
        <v>4</v>
      </c>
      <c r="G39" s="50">
        <v>0</v>
      </c>
      <c r="H39" s="50">
        <v>1</v>
      </c>
      <c r="I39" s="50">
        <v>0</v>
      </c>
      <c r="J39" s="50">
        <v>0</v>
      </c>
      <c r="K39" s="50">
        <v>0</v>
      </c>
      <c r="L39" s="50">
        <v>0</v>
      </c>
      <c r="M39" s="50">
        <v>5</v>
      </c>
      <c r="N39" s="50">
        <v>0</v>
      </c>
      <c r="O39" s="15">
        <f t="shared" si="0"/>
        <v>12</v>
      </c>
      <c r="P39" s="15">
        <f t="shared" si="1"/>
        <v>17</v>
      </c>
    </row>
    <row r="40" spans="2:20" ht="23.1" customHeight="1" x14ac:dyDescent="0.25">
      <c r="B40" s="24" t="s">
        <v>67</v>
      </c>
      <c r="C40" s="50">
        <v>2</v>
      </c>
      <c r="D40" s="50">
        <v>0</v>
      </c>
      <c r="E40" s="50">
        <v>0</v>
      </c>
      <c r="F40" s="50">
        <v>4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3</v>
      </c>
      <c r="N40" s="50">
        <v>0</v>
      </c>
      <c r="O40" s="15">
        <f t="shared" si="0"/>
        <v>6</v>
      </c>
      <c r="P40" s="15">
        <f t="shared" si="1"/>
        <v>9</v>
      </c>
    </row>
    <row r="41" spans="2:20" ht="23.1" customHeight="1" x14ac:dyDescent="0.25">
      <c r="B41" s="23" t="s">
        <v>68</v>
      </c>
      <c r="C41" s="50">
        <v>5</v>
      </c>
      <c r="D41" s="50">
        <v>0</v>
      </c>
      <c r="E41" s="50">
        <v>3</v>
      </c>
      <c r="F41" s="50">
        <v>2</v>
      </c>
      <c r="G41" s="50">
        <v>0</v>
      </c>
      <c r="H41" s="50">
        <v>0</v>
      </c>
      <c r="I41" s="50">
        <v>2</v>
      </c>
      <c r="J41" s="50">
        <v>0</v>
      </c>
      <c r="K41" s="50">
        <v>0</v>
      </c>
      <c r="L41" s="50">
        <v>0</v>
      </c>
      <c r="M41" s="50">
        <v>4</v>
      </c>
      <c r="N41" s="50">
        <v>0</v>
      </c>
      <c r="O41" s="15">
        <f t="shared" si="0"/>
        <v>12</v>
      </c>
      <c r="P41" s="15">
        <f t="shared" si="1"/>
        <v>16</v>
      </c>
    </row>
    <row r="42" spans="2:20" ht="23.1" customHeight="1" x14ac:dyDescent="0.25">
      <c r="B42" s="24" t="s">
        <v>69</v>
      </c>
      <c r="C42" s="50">
        <v>9</v>
      </c>
      <c r="D42" s="50">
        <v>0</v>
      </c>
      <c r="E42" s="50">
        <v>3</v>
      </c>
      <c r="F42" s="50">
        <v>3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0</v>
      </c>
      <c r="M42" s="50">
        <v>2</v>
      </c>
      <c r="N42" s="50">
        <v>0</v>
      </c>
      <c r="O42" s="15">
        <f t="shared" si="0"/>
        <v>16</v>
      </c>
      <c r="P42" s="15">
        <f t="shared" si="1"/>
        <v>18</v>
      </c>
    </row>
    <row r="43" spans="2:20" ht="23.1" customHeight="1" x14ac:dyDescent="0.25">
      <c r="B43" s="23" t="s">
        <v>70</v>
      </c>
      <c r="C43" s="50">
        <v>3</v>
      </c>
      <c r="D43" s="50">
        <v>0</v>
      </c>
      <c r="E43" s="50">
        <v>2</v>
      </c>
      <c r="F43" s="50">
        <v>2</v>
      </c>
      <c r="G43" s="50">
        <v>0</v>
      </c>
      <c r="H43" s="50">
        <v>0</v>
      </c>
      <c r="I43" s="50">
        <v>2</v>
      </c>
      <c r="J43" s="50">
        <v>1</v>
      </c>
      <c r="K43" s="50">
        <v>0</v>
      </c>
      <c r="L43" s="50">
        <v>0</v>
      </c>
      <c r="M43" s="50"/>
      <c r="N43" s="50">
        <v>0</v>
      </c>
      <c r="O43" s="15">
        <f t="shared" si="0"/>
        <v>10</v>
      </c>
      <c r="P43" s="15">
        <f t="shared" si="1"/>
        <v>10</v>
      </c>
    </row>
    <row r="44" spans="2:20" ht="23.1" customHeight="1" x14ac:dyDescent="0.25">
      <c r="B44" s="25" t="s">
        <v>71</v>
      </c>
      <c r="C44" s="50">
        <v>4</v>
      </c>
      <c r="D44" s="50">
        <v>0</v>
      </c>
      <c r="E44" s="50">
        <v>1</v>
      </c>
      <c r="F44" s="50">
        <v>3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5</v>
      </c>
      <c r="N44" s="50">
        <v>0</v>
      </c>
      <c r="O44" s="15">
        <f t="shared" si="0"/>
        <v>8</v>
      </c>
      <c r="P44" s="15">
        <f t="shared" si="1"/>
        <v>13</v>
      </c>
    </row>
    <row r="45" spans="2:20" ht="23.1" customHeight="1" x14ac:dyDescent="0.25">
      <c r="B45" s="23" t="s">
        <v>72</v>
      </c>
      <c r="C45" s="50">
        <v>2</v>
      </c>
      <c r="D45" s="50">
        <v>0</v>
      </c>
      <c r="E45" s="50">
        <v>6</v>
      </c>
      <c r="F45" s="50">
        <v>4</v>
      </c>
      <c r="G45" s="50">
        <v>0</v>
      </c>
      <c r="H45" s="50">
        <v>0</v>
      </c>
      <c r="I45" s="50">
        <v>1</v>
      </c>
      <c r="J45" s="50">
        <v>0</v>
      </c>
      <c r="K45" s="50">
        <v>0</v>
      </c>
      <c r="L45" s="50">
        <v>0</v>
      </c>
      <c r="M45" s="50">
        <v>5</v>
      </c>
      <c r="N45" s="50">
        <v>0</v>
      </c>
      <c r="O45" s="15">
        <f t="shared" si="0"/>
        <v>13</v>
      </c>
      <c r="P45" s="15">
        <f t="shared" si="1"/>
        <v>18</v>
      </c>
    </row>
    <row r="46" spans="2:20" ht="23.1" customHeight="1" x14ac:dyDescent="0.25">
      <c r="B46" s="24" t="s">
        <v>73</v>
      </c>
      <c r="C46" s="50">
        <v>4</v>
      </c>
      <c r="D46" s="50">
        <v>0</v>
      </c>
      <c r="E46" s="50">
        <v>3</v>
      </c>
      <c r="F46" s="50">
        <v>1</v>
      </c>
      <c r="G46" s="50">
        <v>0</v>
      </c>
      <c r="H46" s="50">
        <v>0</v>
      </c>
      <c r="I46" s="50">
        <v>4</v>
      </c>
      <c r="J46" s="50">
        <v>1</v>
      </c>
      <c r="K46" s="50">
        <v>0</v>
      </c>
      <c r="L46" s="50">
        <v>0</v>
      </c>
      <c r="M46" s="50">
        <v>7</v>
      </c>
      <c r="N46" s="50">
        <v>0</v>
      </c>
      <c r="O46" s="15">
        <f t="shared" si="0"/>
        <v>13</v>
      </c>
      <c r="P46" s="15">
        <f t="shared" si="1"/>
        <v>20</v>
      </c>
      <c r="R46" s="8"/>
      <c r="T46"/>
    </row>
    <row r="47" spans="2:20" ht="23.1" customHeight="1" x14ac:dyDescent="0.25">
      <c r="B47" s="24" t="s">
        <v>74</v>
      </c>
      <c r="C47" s="50">
        <v>4</v>
      </c>
      <c r="D47" s="50">
        <v>0</v>
      </c>
      <c r="E47" s="50">
        <v>2</v>
      </c>
      <c r="F47" s="50">
        <v>0</v>
      </c>
      <c r="G47" s="50">
        <v>0</v>
      </c>
      <c r="H47" s="50">
        <v>0</v>
      </c>
      <c r="I47" s="50">
        <v>1</v>
      </c>
      <c r="J47" s="50">
        <v>0</v>
      </c>
      <c r="K47" s="50">
        <v>0</v>
      </c>
      <c r="L47" s="50">
        <v>1</v>
      </c>
      <c r="M47" s="50">
        <v>6</v>
      </c>
      <c r="N47" s="50">
        <v>0</v>
      </c>
      <c r="O47" s="15">
        <f t="shared" si="0"/>
        <v>8</v>
      </c>
      <c r="P47" s="15">
        <f t="shared" si="1"/>
        <v>14</v>
      </c>
      <c r="R47" s="8"/>
      <c r="T47"/>
    </row>
    <row r="48" spans="2:20" ht="23.1" customHeight="1" x14ac:dyDescent="0.25">
      <c r="B48" s="24" t="s">
        <v>75</v>
      </c>
      <c r="C48" s="50">
        <v>5</v>
      </c>
      <c r="D48" s="50">
        <v>0</v>
      </c>
      <c r="E48" s="50">
        <v>3</v>
      </c>
      <c r="F48" s="50">
        <v>3</v>
      </c>
      <c r="G48" s="50">
        <v>0</v>
      </c>
      <c r="H48" s="50">
        <v>0</v>
      </c>
      <c r="I48" s="50">
        <v>2</v>
      </c>
      <c r="J48" s="50">
        <v>0</v>
      </c>
      <c r="K48" s="50">
        <v>0</v>
      </c>
      <c r="L48" s="50">
        <v>0</v>
      </c>
      <c r="M48" s="50">
        <v>5</v>
      </c>
      <c r="N48" s="50">
        <v>0</v>
      </c>
      <c r="O48" s="15">
        <f t="shared" si="0"/>
        <v>13</v>
      </c>
      <c r="P48" s="15">
        <f t="shared" si="1"/>
        <v>18</v>
      </c>
      <c r="R48" s="8"/>
      <c r="T48"/>
    </row>
    <row r="49" spans="2:20" ht="23.1" customHeight="1" x14ac:dyDescent="0.25">
      <c r="B49" s="23" t="s">
        <v>76</v>
      </c>
      <c r="C49" s="50">
        <v>6</v>
      </c>
      <c r="D49" s="50">
        <v>0</v>
      </c>
      <c r="E49" s="50">
        <v>4</v>
      </c>
      <c r="F49" s="50">
        <v>2</v>
      </c>
      <c r="G49" s="50">
        <v>0</v>
      </c>
      <c r="H49" s="50">
        <v>0</v>
      </c>
      <c r="I49" s="50">
        <v>1</v>
      </c>
      <c r="J49" s="50">
        <v>0</v>
      </c>
      <c r="K49" s="50">
        <v>0</v>
      </c>
      <c r="L49" s="50">
        <v>2</v>
      </c>
      <c r="M49" s="50">
        <v>2</v>
      </c>
      <c r="N49" s="50">
        <v>0</v>
      </c>
      <c r="O49" s="15">
        <f t="shared" si="0"/>
        <v>15</v>
      </c>
      <c r="P49" s="15">
        <f t="shared" si="1"/>
        <v>17</v>
      </c>
      <c r="R49" s="8"/>
      <c r="T49"/>
    </row>
    <row r="50" spans="2:20" ht="23.1" customHeight="1" x14ac:dyDescent="0.25">
      <c r="B50" s="24" t="s">
        <v>77</v>
      </c>
      <c r="C50" s="50">
        <v>2</v>
      </c>
      <c r="D50" s="50">
        <v>0</v>
      </c>
      <c r="E50" s="50">
        <v>7</v>
      </c>
      <c r="F50" s="50">
        <v>5</v>
      </c>
      <c r="G50" s="50">
        <v>0</v>
      </c>
      <c r="H50" s="50">
        <v>0</v>
      </c>
      <c r="I50" s="50">
        <v>1</v>
      </c>
      <c r="J50" s="50">
        <v>0</v>
      </c>
      <c r="K50" s="50">
        <v>0</v>
      </c>
      <c r="L50" s="50">
        <v>1</v>
      </c>
      <c r="M50" s="50">
        <v>4</v>
      </c>
      <c r="N50" s="50">
        <v>0</v>
      </c>
      <c r="O50" s="15">
        <f t="shared" si="0"/>
        <v>16</v>
      </c>
      <c r="P50" s="15">
        <f t="shared" si="1"/>
        <v>20</v>
      </c>
      <c r="R50" s="8"/>
      <c r="T50"/>
    </row>
    <row r="51" spans="2:20" ht="23.1" customHeight="1" x14ac:dyDescent="0.25">
      <c r="B51" s="24" t="s">
        <v>78</v>
      </c>
      <c r="C51" s="50">
        <v>1</v>
      </c>
      <c r="D51" s="50">
        <v>0</v>
      </c>
      <c r="E51" s="50">
        <v>5</v>
      </c>
      <c r="F51" s="50">
        <v>4</v>
      </c>
      <c r="G51" s="50">
        <v>0</v>
      </c>
      <c r="H51" s="50">
        <v>0</v>
      </c>
      <c r="I51" s="50">
        <v>1</v>
      </c>
      <c r="J51" s="50">
        <v>0</v>
      </c>
      <c r="K51" s="50">
        <v>0</v>
      </c>
      <c r="L51" s="50">
        <v>2</v>
      </c>
      <c r="M51" s="50">
        <v>4</v>
      </c>
      <c r="N51" s="50">
        <v>0</v>
      </c>
      <c r="O51" s="15">
        <f t="shared" si="0"/>
        <v>13</v>
      </c>
      <c r="P51" s="15">
        <f t="shared" si="1"/>
        <v>17</v>
      </c>
      <c r="R51" s="8"/>
      <c r="T51"/>
    </row>
    <row r="52" spans="2:20" ht="23.1" customHeight="1" x14ac:dyDescent="0.25">
      <c r="B52" s="24" t="s">
        <v>79</v>
      </c>
      <c r="C52" s="50">
        <v>1</v>
      </c>
      <c r="D52" s="50">
        <v>0</v>
      </c>
      <c r="E52" s="50">
        <v>9</v>
      </c>
      <c r="F52" s="50">
        <v>1</v>
      </c>
      <c r="G52" s="50">
        <v>0</v>
      </c>
      <c r="H52" s="50">
        <v>0</v>
      </c>
      <c r="I52" s="50">
        <v>3</v>
      </c>
      <c r="J52" s="50">
        <v>1</v>
      </c>
      <c r="K52" s="50">
        <v>0</v>
      </c>
      <c r="L52" s="50">
        <v>0</v>
      </c>
      <c r="M52" s="50">
        <v>7</v>
      </c>
      <c r="N52" s="50">
        <v>0</v>
      </c>
      <c r="O52" s="15">
        <f t="shared" si="0"/>
        <v>15</v>
      </c>
      <c r="P52" s="15">
        <f t="shared" si="1"/>
        <v>22</v>
      </c>
      <c r="R52" s="8"/>
      <c r="T52"/>
    </row>
    <row r="53" spans="2:20" ht="23.1" customHeight="1" x14ac:dyDescent="0.25">
      <c r="B53" s="23" t="s">
        <v>80</v>
      </c>
      <c r="C53" s="50">
        <v>3</v>
      </c>
      <c r="D53" s="50">
        <v>0</v>
      </c>
      <c r="E53" s="50">
        <v>0</v>
      </c>
      <c r="F53" s="50">
        <v>1</v>
      </c>
      <c r="G53" s="50">
        <v>0</v>
      </c>
      <c r="H53" s="50">
        <v>0</v>
      </c>
      <c r="I53" s="50">
        <v>2</v>
      </c>
      <c r="J53" s="50">
        <v>0</v>
      </c>
      <c r="K53" s="50">
        <v>0</v>
      </c>
      <c r="L53" s="50">
        <v>0</v>
      </c>
      <c r="M53" s="50">
        <v>1</v>
      </c>
      <c r="N53" s="50">
        <v>0</v>
      </c>
      <c r="O53" s="15">
        <f t="shared" si="0"/>
        <v>6</v>
      </c>
      <c r="P53" s="15">
        <f t="shared" si="1"/>
        <v>7</v>
      </c>
      <c r="R53" s="8"/>
      <c r="T53"/>
    </row>
    <row r="54" spans="2:20" ht="23.1" customHeight="1" x14ac:dyDescent="0.25">
      <c r="B54" s="23" t="s">
        <v>81</v>
      </c>
      <c r="C54" s="50">
        <v>2</v>
      </c>
      <c r="D54" s="50">
        <v>0</v>
      </c>
      <c r="E54" s="50">
        <v>2</v>
      </c>
      <c r="F54" s="50">
        <v>5</v>
      </c>
      <c r="G54" s="50">
        <v>0</v>
      </c>
      <c r="H54" s="50">
        <v>0</v>
      </c>
      <c r="I54" s="50">
        <v>1</v>
      </c>
      <c r="J54" s="50">
        <v>0</v>
      </c>
      <c r="K54" s="50">
        <v>0</v>
      </c>
      <c r="L54" s="50">
        <v>0</v>
      </c>
      <c r="M54" s="50">
        <v>2</v>
      </c>
      <c r="N54" s="50">
        <v>0</v>
      </c>
      <c r="O54" s="15">
        <f t="shared" si="0"/>
        <v>10</v>
      </c>
      <c r="P54" s="15">
        <f t="shared" si="1"/>
        <v>12</v>
      </c>
      <c r="R54" s="8"/>
      <c r="T54"/>
    </row>
    <row r="55" spans="2:20" ht="23.1" customHeight="1" x14ac:dyDescent="0.25">
      <c r="B55" s="23" t="s">
        <v>82</v>
      </c>
      <c r="C55" s="50">
        <v>3</v>
      </c>
      <c r="D55" s="50">
        <v>0</v>
      </c>
      <c r="E55" s="50">
        <v>2</v>
      </c>
      <c r="F55" s="50">
        <v>3</v>
      </c>
      <c r="G55" s="50">
        <v>0</v>
      </c>
      <c r="H55" s="50">
        <v>0</v>
      </c>
      <c r="I55" s="50">
        <v>4</v>
      </c>
      <c r="J55" s="50">
        <v>0</v>
      </c>
      <c r="K55" s="50">
        <v>0</v>
      </c>
      <c r="L55" s="50">
        <v>1</v>
      </c>
      <c r="M55" s="50">
        <v>5</v>
      </c>
      <c r="N55" s="50">
        <v>0</v>
      </c>
      <c r="O55" s="15">
        <f t="shared" si="0"/>
        <v>13</v>
      </c>
      <c r="P55" s="15">
        <f t="shared" si="1"/>
        <v>18</v>
      </c>
      <c r="R55" s="8"/>
      <c r="T55"/>
    </row>
    <row r="56" spans="2:20" ht="23.1" customHeight="1" x14ac:dyDescent="0.25">
      <c r="B56" s="23" t="s">
        <v>83</v>
      </c>
      <c r="C56" s="50">
        <v>3</v>
      </c>
      <c r="D56" s="50">
        <v>0</v>
      </c>
      <c r="E56" s="50">
        <v>1</v>
      </c>
      <c r="F56" s="50">
        <v>2</v>
      </c>
      <c r="G56" s="50">
        <v>0</v>
      </c>
      <c r="H56" s="50">
        <v>0</v>
      </c>
      <c r="I56" s="50">
        <v>2</v>
      </c>
      <c r="J56" s="50">
        <v>0</v>
      </c>
      <c r="K56" s="50">
        <v>0</v>
      </c>
      <c r="L56" s="50">
        <v>0</v>
      </c>
      <c r="M56" s="50">
        <v>3</v>
      </c>
      <c r="N56" s="50">
        <v>0</v>
      </c>
      <c r="O56" s="15">
        <f t="shared" si="0"/>
        <v>8</v>
      </c>
      <c r="P56" s="15">
        <f t="shared" si="1"/>
        <v>11</v>
      </c>
      <c r="R56" s="8"/>
      <c r="T56"/>
    </row>
    <row r="57" spans="2:20" ht="23.1" customHeight="1" x14ac:dyDescent="0.25">
      <c r="B57" s="23" t="s">
        <v>84</v>
      </c>
      <c r="C57" s="50">
        <v>2</v>
      </c>
      <c r="D57" s="50">
        <v>0</v>
      </c>
      <c r="E57" s="50">
        <v>1</v>
      </c>
      <c r="F57" s="50">
        <v>1</v>
      </c>
      <c r="G57" s="50">
        <v>0</v>
      </c>
      <c r="H57" s="50">
        <v>0</v>
      </c>
      <c r="I57" s="50">
        <v>6</v>
      </c>
      <c r="J57" s="50">
        <v>0</v>
      </c>
      <c r="K57" s="50">
        <v>0</v>
      </c>
      <c r="L57" s="50">
        <v>0</v>
      </c>
      <c r="M57" s="50">
        <v>1</v>
      </c>
      <c r="N57" s="50">
        <v>0</v>
      </c>
      <c r="O57" s="15">
        <f t="shared" si="0"/>
        <v>10</v>
      </c>
      <c r="P57" s="15">
        <f t="shared" si="1"/>
        <v>11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172</v>
      </c>
      <c r="D58" s="16">
        <f t="shared" si="21"/>
        <v>0</v>
      </c>
      <c r="E58" s="16">
        <f t="shared" si="21"/>
        <v>121</v>
      </c>
      <c r="F58" s="16">
        <f t="shared" si="21"/>
        <v>111</v>
      </c>
      <c r="G58" s="16">
        <f t="shared" si="21"/>
        <v>0</v>
      </c>
      <c r="H58" s="16">
        <f t="shared" si="21"/>
        <v>7</v>
      </c>
      <c r="I58" s="16">
        <f t="shared" si="21"/>
        <v>58</v>
      </c>
      <c r="J58" s="16">
        <f t="shared" si="21"/>
        <v>10</v>
      </c>
      <c r="K58" s="16">
        <f t="shared" si="21"/>
        <v>0</v>
      </c>
      <c r="L58" s="16">
        <f t="shared" si="21"/>
        <v>19</v>
      </c>
      <c r="M58" s="16">
        <f t="shared" si="21"/>
        <v>198</v>
      </c>
      <c r="N58" s="16">
        <f t="shared" si="21"/>
        <v>0</v>
      </c>
      <c r="O58" s="16">
        <f t="shared" si="21"/>
        <v>498</v>
      </c>
      <c r="P58" s="16">
        <f t="shared" si="21"/>
        <v>696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0.2471264367816092</v>
      </c>
      <c r="D59" s="43">
        <f t="shared" si="22"/>
        <v>0</v>
      </c>
      <c r="E59" s="43">
        <f t="shared" si="22"/>
        <v>0.17385057471264367</v>
      </c>
      <c r="F59" s="43">
        <f t="shared" si="22"/>
        <v>0.15948275862068967</v>
      </c>
      <c r="G59" s="43">
        <f t="shared" si="22"/>
        <v>0</v>
      </c>
      <c r="H59" s="43">
        <f t="shared" si="22"/>
        <v>1.0057471264367816E-2</v>
      </c>
      <c r="I59" s="43">
        <f t="shared" si="22"/>
        <v>8.3333333333333329E-2</v>
      </c>
      <c r="J59" s="43">
        <f t="shared" si="22"/>
        <v>1.4367816091954023E-2</v>
      </c>
      <c r="K59" s="43">
        <f t="shared" si="22"/>
        <v>0</v>
      </c>
      <c r="L59" s="43">
        <f t="shared" si="22"/>
        <v>2.7298850574712645E-2</v>
      </c>
      <c r="M59" s="43">
        <f t="shared" si="22"/>
        <v>0.28448275862068967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0.34538152610441769</v>
      </c>
      <c r="D60" s="44">
        <f t="shared" ref="D60:N60" si="23">D58/$O$58</f>
        <v>0</v>
      </c>
      <c r="E60" s="44">
        <f t="shared" si="23"/>
        <v>0.2429718875502008</v>
      </c>
      <c r="F60" s="44">
        <f t="shared" si="23"/>
        <v>0.22289156626506024</v>
      </c>
      <c r="G60" s="44">
        <f t="shared" si="23"/>
        <v>0</v>
      </c>
      <c r="H60" s="44">
        <f t="shared" si="23"/>
        <v>1.4056224899598393E-2</v>
      </c>
      <c r="I60" s="44">
        <f t="shared" si="23"/>
        <v>0.11646586345381527</v>
      </c>
      <c r="J60" s="44">
        <f t="shared" si="23"/>
        <v>2.0080321285140562E-2</v>
      </c>
      <c r="K60" s="44">
        <f t="shared" si="23"/>
        <v>0</v>
      </c>
      <c r="L60" s="44">
        <f t="shared" si="23"/>
        <v>3.8152610441767071E-2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G5:H5"/>
    <mergeCell ref="G6:H6"/>
    <mergeCell ref="R8:AF8"/>
    <mergeCell ref="B1:AE1"/>
    <mergeCell ref="B2:AE2"/>
    <mergeCell ref="C3:G3"/>
    <mergeCell ref="D6:E6"/>
    <mergeCell ref="K6:L6"/>
    <mergeCell ref="K5:L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F126"/>
  <sheetViews>
    <sheetView view="pageBreakPreview" topLeftCell="A58" zoomScale="60" workbookViewId="0">
      <selection activeCell="I49" sqref="I49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>
        <f>'5.8 KIKORONGO-BWERA'!C3:G3</f>
        <v>0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'5.8 KIKORONGO-BWERA'!D5</f>
        <v>22.07.19</v>
      </c>
      <c r="E5" s="3"/>
      <c r="F5" s="41" t="s">
        <v>1</v>
      </c>
      <c r="G5" s="60">
        <f>'5.8 KIKORONGO-BWERA'!G5:H5</f>
        <v>0</v>
      </c>
      <c r="H5" s="61"/>
      <c r="I5" s="14"/>
      <c r="J5" s="2" t="s">
        <v>5</v>
      </c>
      <c r="K5" s="60">
        <f>'5.8 KIKORONGO-BWERA'!K5:L5</f>
        <v>0</v>
      </c>
      <c r="L5" s="61"/>
      <c r="M5" s="10"/>
      <c r="N5" s="10"/>
      <c r="O5" s="3"/>
      <c r="P5" s="3"/>
    </row>
    <row r="6" spans="2:32" ht="23.25" customHeight="1" x14ac:dyDescent="0.25">
      <c r="C6" s="2" t="s">
        <v>4</v>
      </c>
      <c r="D6" s="54" t="s">
        <v>168</v>
      </c>
      <c r="E6" s="55"/>
      <c r="F6" s="2" t="s">
        <v>2</v>
      </c>
      <c r="G6" s="54" t="s">
        <v>167</v>
      </c>
      <c r="H6" s="55"/>
      <c r="J6" s="2" t="s">
        <v>21</v>
      </c>
      <c r="K6" s="60">
        <f>'5.8 KIKORONGO-BWERA'!K6:L6</f>
        <v>0</v>
      </c>
      <c r="L6" s="6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1</v>
      </c>
      <c r="M10" s="50">
        <v>0</v>
      </c>
      <c r="N10" s="50">
        <v>0</v>
      </c>
      <c r="O10" s="15">
        <f t="shared" ref="O10:O57" si="0">SUM(C10:L10,N10)</f>
        <v>1</v>
      </c>
      <c r="P10" s="15">
        <f t="shared" ref="P10:P57" si="1">SUM(C10:N10)</f>
        <v>1</v>
      </c>
      <c r="R10" s="1" t="s">
        <v>6</v>
      </c>
      <c r="S10" s="17">
        <f t="shared" ref="S10:AF10" si="2">SUM(C10:C13)</f>
        <v>2</v>
      </c>
      <c r="T10" s="17">
        <f t="shared" si="2"/>
        <v>0</v>
      </c>
      <c r="U10" s="17">
        <f t="shared" si="2"/>
        <v>5</v>
      </c>
      <c r="V10" s="17">
        <f t="shared" si="2"/>
        <v>2</v>
      </c>
      <c r="W10" s="17">
        <f t="shared" si="2"/>
        <v>0</v>
      </c>
      <c r="X10" s="17">
        <f t="shared" si="2"/>
        <v>0</v>
      </c>
      <c r="Y10" s="17">
        <f t="shared" si="2"/>
        <v>3</v>
      </c>
      <c r="Z10" s="17">
        <f t="shared" si="2"/>
        <v>0</v>
      </c>
      <c r="AA10" s="17">
        <f t="shared" si="2"/>
        <v>0</v>
      </c>
      <c r="AB10" s="17">
        <f t="shared" si="2"/>
        <v>3</v>
      </c>
      <c r="AC10" s="17">
        <f t="shared" si="2"/>
        <v>0</v>
      </c>
      <c r="AD10" s="17">
        <f t="shared" si="2"/>
        <v>0</v>
      </c>
      <c r="AE10" s="31">
        <f t="shared" si="2"/>
        <v>15</v>
      </c>
      <c r="AF10" s="31">
        <f t="shared" si="2"/>
        <v>15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2</v>
      </c>
      <c r="M11" s="50">
        <v>0</v>
      </c>
      <c r="N11" s="50">
        <v>0</v>
      </c>
      <c r="O11" s="15">
        <f t="shared" si="0"/>
        <v>2</v>
      </c>
      <c r="P11" s="15">
        <f t="shared" si="1"/>
        <v>2</v>
      </c>
      <c r="R11" s="1" t="s">
        <v>7</v>
      </c>
      <c r="S11" s="17">
        <f t="shared" ref="S11:AF11" si="3">SUM(C14:C17)</f>
        <v>16</v>
      </c>
      <c r="T11" s="17">
        <f t="shared" si="3"/>
        <v>0</v>
      </c>
      <c r="U11" s="17">
        <f t="shared" si="3"/>
        <v>5</v>
      </c>
      <c r="V11" s="17">
        <f t="shared" si="3"/>
        <v>12</v>
      </c>
      <c r="W11" s="17">
        <f t="shared" si="3"/>
        <v>0</v>
      </c>
      <c r="X11" s="17">
        <f t="shared" si="3"/>
        <v>1</v>
      </c>
      <c r="Y11" s="17">
        <f t="shared" si="3"/>
        <v>6</v>
      </c>
      <c r="Z11" s="17">
        <f t="shared" si="3"/>
        <v>1</v>
      </c>
      <c r="AA11" s="17">
        <f t="shared" si="3"/>
        <v>0</v>
      </c>
      <c r="AB11" s="17">
        <f t="shared" si="3"/>
        <v>2</v>
      </c>
      <c r="AC11" s="17">
        <f t="shared" si="3"/>
        <v>1</v>
      </c>
      <c r="AD11" s="17">
        <f t="shared" si="3"/>
        <v>0</v>
      </c>
      <c r="AE11" s="31">
        <f t="shared" si="3"/>
        <v>43</v>
      </c>
      <c r="AF11" s="31">
        <f t="shared" si="3"/>
        <v>44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3</v>
      </c>
      <c r="F12" s="50">
        <v>1</v>
      </c>
      <c r="G12" s="50">
        <v>0</v>
      </c>
      <c r="H12" s="50">
        <v>0</v>
      </c>
      <c r="I12" s="50">
        <v>3</v>
      </c>
      <c r="J12" s="50">
        <v>0</v>
      </c>
      <c r="K12" s="50">
        <v>0</v>
      </c>
      <c r="L12" s="50">
        <v>0</v>
      </c>
      <c r="M12" s="50">
        <v>0</v>
      </c>
      <c r="N12" s="50">
        <v>0</v>
      </c>
      <c r="O12" s="15">
        <f t="shared" si="0"/>
        <v>7</v>
      </c>
      <c r="P12" s="15">
        <f t="shared" si="1"/>
        <v>7</v>
      </c>
      <c r="R12" s="1" t="s">
        <v>8</v>
      </c>
      <c r="S12" s="17">
        <f t="shared" ref="S12:AF12" si="4">SUM(C18:C21)</f>
        <v>22</v>
      </c>
      <c r="T12" s="17">
        <f t="shared" si="4"/>
        <v>0</v>
      </c>
      <c r="U12" s="17">
        <f t="shared" si="4"/>
        <v>11</v>
      </c>
      <c r="V12" s="17">
        <f t="shared" si="4"/>
        <v>5</v>
      </c>
      <c r="W12" s="17">
        <f t="shared" si="4"/>
        <v>0</v>
      </c>
      <c r="X12" s="17">
        <f t="shared" si="4"/>
        <v>0</v>
      </c>
      <c r="Y12" s="17">
        <f t="shared" si="4"/>
        <v>7</v>
      </c>
      <c r="Z12" s="17">
        <f t="shared" si="4"/>
        <v>0</v>
      </c>
      <c r="AA12" s="17">
        <f t="shared" si="4"/>
        <v>0</v>
      </c>
      <c r="AB12" s="17">
        <f t="shared" si="4"/>
        <v>3</v>
      </c>
      <c r="AC12" s="17">
        <f t="shared" si="4"/>
        <v>0</v>
      </c>
      <c r="AD12" s="17">
        <f t="shared" si="4"/>
        <v>0</v>
      </c>
      <c r="AE12" s="31">
        <f t="shared" si="4"/>
        <v>48</v>
      </c>
      <c r="AF12" s="31">
        <f t="shared" si="4"/>
        <v>48</v>
      </c>
    </row>
    <row r="13" spans="2:32" ht="23.1" customHeight="1" x14ac:dyDescent="0.25">
      <c r="B13" s="23" t="s">
        <v>40</v>
      </c>
      <c r="C13" s="50">
        <v>2</v>
      </c>
      <c r="D13" s="50">
        <v>0</v>
      </c>
      <c r="E13" s="50">
        <v>2</v>
      </c>
      <c r="F13" s="50">
        <v>1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0</v>
      </c>
      <c r="N13" s="50">
        <v>0</v>
      </c>
      <c r="O13" s="15">
        <f t="shared" si="0"/>
        <v>5</v>
      </c>
      <c r="P13" s="15">
        <f t="shared" si="1"/>
        <v>5</v>
      </c>
      <c r="R13" s="1" t="s">
        <v>9</v>
      </c>
      <c r="S13" s="17">
        <f t="shared" ref="S13:AF13" si="5">SUM(C22:C25)</f>
        <v>21</v>
      </c>
      <c r="T13" s="17">
        <f t="shared" si="5"/>
        <v>0</v>
      </c>
      <c r="U13" s="17">
        <f t="shared" si="5"/>
        <v>4</v>
      </c>
      <c r="V13" s="17">
        <f t="shared" si="5"/>
        <v>11</v>
      </c>
      <c r="W13" s="17">
        <f t="shared" si="5"/>
        <v>0</v>
      </c>
      <c r="X13" s="17">
        <f t="shared" si="5"/>
        <v>0</v>
      </c>
      <c r="Y13" s="17">
        <f t="shared" si="5"/>
        <v>5</v>
      </c>
      <c r="Z13" s="17">
        <f t="shared" si="5"/>
        <v>1</v>
      </c>
      <c r="AA13" s="17">
        <f t="shared" si="5"/>
        <v>0</v>
      </c>
      <c r="AB13" s="17">
        <f t="shared" si="5"/>
        <v>0</v>
      </c>
      <c r="AC13" s="17">
        <f t="shared" si="5"/>
        <v>1</v>
      </c>
      <c r="AD13" s="17">
        <f t="shared" si="5"/>
        <v>0</v>
      </c>
      <c r="AE13" s="31">
        <f t="shared" si="5"/>
        <v>42</v>
      </c>
      <c r="AF13" s="31">
        <f t="shared" si="5"/>
        <v>43</v>
      </c>
    </row>
    <row r="14" spans="2:32" ht="23.1" customHeight="1" x14ac:dyDescent="0.25">
      <c r="B14" s="23" t="s">
        <v>41</v>
      </c>
      <c r="C14" s="50">
        <v>1</v>
      </c>
      <c r="D14" s="50">
        <v>0</v>
      </c>
      <c r="E14" s="50">
        <v>1</v>
      </c>
      <c r="F14" s="50">
        <v>3</v>
      </c>
      <c r="G14" s="50">
        <v>0</v>
      </c>
      <c r="H14" s="50">
        <v>1</v>
      </c>
      <c r="I14" s="50">
        <v>0</v>
      </c>
      <c r="J14" s="50">
        <v>1</v>
      </c>
      <c r="K14" s="50">
        <v>0</v>
      </c>
      <c r="L14" s="50">
        <v>0</v>
      </c>
      <c r="M14" s="50">
        <v>1</v>
      </c>
      <c r="N14" s="50">
        <v>0</v>
      </c>
      <c r="O14" s="15">
        <f t="shared" si="0"/>
        <v>7</v>
      </c>
      <c r="P14" s="15">
        <f t="shared" si="1"/>
        <v>8</v>
      </c>
      <c r="R14" s="1" t="s">
        <v>10</v>
      </c>
      <c r="S14" s="17">
        <f t="shared" ref="S14:AF14" si="6">SUM(C26:C29)</f>
        <v>28</v>
      </c>
      <c r="T14" s="17">
        <f t="shared" si="6"/>
        <v>0</v>
      </c>
      <c r="U14" s="17">
        <f t="shared" si="6"/>
        <v>4</v>
      </c>
      <c r="V14" s="17">
        <f t="shared" si="6"/>
        <v>13</v>
      </c>
      <c r="W14" s="17">
        <f t="shared" si="6"/>
        <v>0</v>
      </c>
      <c r="X14" s="17">
        <f t="shared" si="6"/>
        <v>0</v>
      </c>
      <c r="Y14" s="17">
        <f t="shared" si="6"/>
        <v>4</v>
      </c>
      <c r="Z14" s="17">
        <f t="shared" si="6"/>
        <v>0</v>
      </c>
      <c r="AA14" s="17">
        <f t="shared" si="6"/>
        <v>0</v>
      </c>
      <c r="AB14" s="17">
        <f t="shared" si="6"/>
        <v>2</v>
      </c>
      <c r="AC14" s="17">
        <f t="shared" si="6"/>
        <v>0</v>
      </c>
      <c r="AD14" s="17">
        <f t="shared" si="6"/>
        <v>0</v>
      </c>
      <c r="AE14" s="31">
        <f t="shared" si="6"/>
        <v>51</v>
      </c>
      <c r="AF14" s="31">
        <f t="shared" si="6"/>
        <v>51</v>
      </c>
    </row>
    <row r="15" spans="2:32" ht="23.1" customHeight="1" x14ac:dyDescent="0.25">
      <c r="B15" s="23" t="s">
        <v>42</v>
      </c>
      <c r="C15" s="50">
        <v>6</v>
      </c>
      <c r="D15" s="50">
        <v>0</v>
      </c>
      <c r="E15" s="50">
        <v>1</v>
      </c>
      <c r="F15" s="50">
        <v>1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0</v>
      </c>
      <c r="M15" s="50">
        <v>0</v>
      </c>
      <c r="N15" s="50">
        <v>0</v>
      </c>
      <c r="O15" s="15">
        <f t="shared" si="0"/>
        <v>9</v>
      </c>
      <c r="P15" s="15">
        <f t="shared" si="1"/>
        <v>9</v>
      </c>
      <c r="R15" s="1" t="s">
        <v>11</v>
      </c>
      <c r="S15" s="17">
        <f t="shared" ref="S15:AF15" si="7">SUM(C30:C33)</f>
        <v>19</v>
      </c>
      <c r="T15" s="17">
        <f t="shared" si="7"/>
        <v>0</v>
      </c>
      <c r="U15" s="17">
        <f t="shared" si="7"/>
        <v>4</v>
      </c>
      <c r="V15" s="17">
        <f t="shared" si="7"/>
        <v>8</v>
      </c>
      <c r="W15" s="17">
        <f t="shared" si="7"/>
        <v>1</v>
      </c>
      <c r="X15" s="17">
        <f t="shared" si="7"/>
        <v>0</v>
      </c>
      <c r="Y15" s="17">
        <f t="shared" si="7"/>
        <v>2</v>
      </c>
      <c r="Z15" s="17">
        <f t="shared" si="7"/>
        <v>0</v>
      </c>
      <c r="AA15" s="17">
        <f t="shared" si="7"/>
        <v>1</v>
      </c>
      <c r="AB15" s="17">
        <f t="shared" si="7"/>
        <v>3</v>
      </c>
      <c r="AC15" s="17">
        <f t="shared" si="7"/>
        <v>0</v>
      </c>
      <c r="AD15" s="17">
        <f t="shared" si="7"/>
        <v>0</v>
      </c>
      <c r="AE15" s="31">
        <f t="shared" si="7"/>
        <v>38</v>
      </c>
      <c r="AF15" s="31">
        <f t="shared" si="7"/>
        <v>38</v>
      </c>
    </row>
    <row r="16" spans="2:32" ht="23.1" customHeight="1" x14ac:dyDescent="0.25">
      <c r="B16" s="23" t="s">
        <v>43</v>
      </c>
      <c r="C16" s="50">
        <v>2</v>
      </c>
      <c r="D16" s="50">
        <v>0</v>
      </c>
      <c r="E16" s="50">
        <v>1</v>
      </c>
      <c r="F16" s="50">
        <v>2</v>
      </c>
      <c r="G16" s="50">
        <v>0</v>
      </c>
      <c r="H16" s="50">
        <v>0</v>
      </c>
      <c r="I16" s="50">
        <v>4</v>
      </c>
      <c r="J16" s="50">
        <v>0</v>
      </c>
      <c r="K16" s="50">
        <v>0</v>
      </c>
      <c r="L16" s="50">
        <v>2</v>
      </c>
      <c r="M16" s="50">
        <v>0</v>
      </c>
      <c r="N16" s="50">
        <v>0</v>
      </c>
      <c r="O16" s="15">
        <f t="shared" si="0"/>
        <v>11</v>
      </c>
      <c r="P16" s="15">
        <f t="shared" si="1"/>
        <v>11</v>
      </c>
      <c r="R16" s="1" t="s">
        <v>12</v>
      </c>
      <c r="S16" s="17">
        <f t="shared" ref="S16:AF16" si="8">SUM(C34:C37)</f>
        <v>19</v>
      </c>
      <c r="T16" s="17">
        <f t="shared" si="8"/>
        <v>0</v>
      </c>
      <c r="U16" s="17">
        <f t="shared" si="8"/>
        <v>6</v>
      </c>
      <c r="V16" s="17">
        <f t="shared" si="8"/>
        <v>16</v>
      </c>
      <c r="W16" s="17">
        <f t="shared" si="8"/>
        <v>0</v>
      </c>
      <c r="X16" s="17">
        <f t="shared" si="8"/>
        <v>1</v>
      </c>
      <c r="Y16" s="17">
        <f t="shared" si="8"/>
        <v>4</v>
      </c>
      <c r="Z16" s="17">
        <f t="shared" si="8"/>
        <v>1</v>
      </c>
      <c r="AA16" s="17">
        <f t="shared" si="8"/>
        <v>0</v>
      </c>
      <c r="AB16" s="17">
        <f t="shared" si="8"/>
        <v>1</v>
      </c>
      <c r="AC16" s="17">
        <f t="shared" si="8"/>
        <v>1</v>
      </c>
      <c r="AD16" s="17">
        <f t="shared" si="8"/>
        <v>0</v>
      </c>
      <c r="AE16" s="31">
        <f t="shared" si="8"/>
        <v>48</v>
      </c>
      <c r="AF16" s="31">
        <f t="shared" si="8"/>
        <v>49</v>
      </c>
    </row>
    <row r="17" spans="2:32" ht="23.1" customHeight="1" x14ac:dyDescent="0.25">
      <c r="B17" s="23" t="s">
        <v>44</v>
      </c>
      <c r="C17" s="50">
        <v>7</v>
      </c>
      <c r="D17" s="50">
        <v>0</v>
      </c>
      <c r="E17" s="50">
        <v>2</v>
      </c>
      <c r="F17" s="50">
        <v>6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v>0</v>
      </c>
      <c r="M17" s="50">
        <v>0</v>
      </c>
      <c r="N17" s="50">
        <v>0</v>
      </c>
      <c r="O17" s="15">
        <f t="shared" si="0"/>
        <v>16</v>
      </c>
      <c r="P17" s="15">
        <f t="shared" si="1"/>
        <v>16</v>
      </c>
      <c r="R17" s="1" t="s">
        <v>13</v>
      </c>
      <c r="S17" s="17">
        <f t="shared" ref="S17:AF17" si="9">SUM(C38:C41)</f>
        <v>23</v>
      </c>
      <c r="T17" s="17">
        <f t="shared" si="9"/>
        <v>0</v>
      </c>
      <c r="U17" s="17">
        <f t="shared" si="9"/>
        <v>3</v>
      </c>
      <c r="V17" s="17">
        <f t="shared" si="9"/>
        <v>10</v>
      </c>
      <c r="W17" s="17">
        <f t="shared" si="9"/>
        <v>0</v>
      </c>
      <c r="X17" s="17">
        <f t="shared" si="9"/>
        <v>1</v>
      </c>
      <c r="Y17" s="17">
        <f t="shared" si="9"/>
        <v>5</v>
      </c>
      <c r="Z17" s="17">
        <f t="shared" si="9"/>
        <v>1</v>
      </c>
      <c r="AA17" s="17">
        <f t="shared" si="9"/>
        <v>0</v>
      </c>
      <c r="AB17" s="17">
        <f t="shared" si="9"/>
        <v>1</v>
      </c>
      <c r="AC17" s="17">
        <f t="shared" si="9"/>
        <v>1</v>
      </c>
      <c r="AD17" s="17">
        <f t="shared" si="9"/>
        <v>0</v>
      </c>
      <c r="AE17" s="31">
        <f t="shared" si="9"/>
        <v>44</v>
      </c>
      <c r="AF17" s="31">
        <f t="shared" si="9"/>
        <v>45</v>
      </c>
    </row>
    <row r="18" spans="2:32" ht="23.1" customHeight="1" x14ac:dyDescent="0.25">
      <c r="B18" s="23" t="s">
        <v>45</v>
      </c>
      <c r="C18" s="50">
        <v>10</v>
      </c>
      <c r="D18" s="50">
        <v>0</v>
      </c>
      <c r="E18" s="50">
        <v>1</v>
      </c>
      <c r="F18" s="50">
        <v>2</v>
      </c>
      <c r="G18" s="50">
        <v>0</v>
      </c>
      <c r="H18" s="50">
        <v>0</v>
      </c>
      <c r="I18" s="50">
        <v>2</v>
      </c>
      <c r="J18" s="50">
        <v>0</v>
      </c>
      <c r="K18" s="50">
        <v>0</v>
      </c>
      <c r="L18" s="50">
        <v>0</v>
      </c>
      <c r="M18" s="50">
        <v>0</v>
      </c>
      <c r="N18" s="50">
        <v>0</v>
      </c>
      <c r="O18" s="15">
        <f t="shared" si="0"/>
        <v>15</v>
      </c>
      <c r="P18" s="15">
        <f t="shared" si="1"/>
        <v>15</v>
      </c>
      <c r="R18" s="1" t="s">
        <v>14</v>
      </c>
      <c r="S18" s="17">
        <f t="shared" ref="S18:AF18" si="10">SUM(C42:C45)</f>
        <v>18</v>
      </c>
      <c r="T18" s="17">
        <f t="shared" si="10"/>
        <v>0</v>
      </c>
      <c r="U18" s="17">
        <f t="shared" si="10"/>
        <v>8</v>
      </c>
      <c r="V18" s="17">
        <f t="shared" si="10"/>
        <v>9</v>
      </c>
      <c r="W18" s="17">
        <f t="shared" si="10"/>
        <v>0</v>
      </c>
      <c r="X18" s="17">
        <f t="shared" si="10"/>
        <v>0</v>
      </c>
      <c r="Y18" s="17">
        <f t="shared" si="10"/>
        <v>12</v>
      </c>
      <c r="Z18" s="17">
        <f t="shared" si="10"/>
        <v>0</v>
      </c>
      <c r="AA18" s="17">
        <f t="shared" si="10"/>
        <v>0</v>
      </c>
      <c r="AB18" s="17">
        <f t="shared" si="10"/>
        <v>3</v>
      </c>
      <c r="AC18" s="17">
        <f t="shared" si="10"/>
        <v>0</v>
      </c>
      <c r="AD18" s="17">
        <f t="shared" si="10"/>
        <v>0</v>
      </c>
      <c r="AE18" s="31">
        <f t="shared" si="10"/>
        <v>50</v>
      </c>
      <c r="AF18" s="31">
        <f t="shared" si="10"/>
        <v>50</v>
      </c>
    </row>
    <row r="19" spans="2:32" ht="23.1" customHeight="1" x14ac:dyDescent="0.25">
      <c r="B19" s="23" t="s">
        <v>46</v>
      </c>
      <c r="C19" s="50">
        <v>4</v>
      </c>
      <c r="D19" s="50">
        <v>0</v>
      </c>
      <c r="E19" s="50">
        <v>1</v>
      </c>
      <c r="F19" s="50">
        <v>1</v>
      </c>
      <c r="G19" s="50">
        <v>0</v>
      </c>
      <c r="H19" s="50">
        <v>0</v>
      </c>
      <c r="I19" s="50">
        <v>1</v>
      </c>
      <c r="J19" s="50">
        <v>0</v>
      </c>
      <c r="K19" s="50">
        <v>0</v>
      </c>
      <c r="L19" s="50">
        <v>0</v>
      </c>
      <c r="M19" s="50">
        <v>0</v>
      </c>
      <c r="N19" s="50">
        <v>0</v>
      </c>
      <c r="O19" s="15">
        <f t="shared" si="0"/>
        <v>7</v>
      </c>
      <c r="P19" s="15">
        <f t="shared" si="1"/>
        <v>7</v>
      </c>
      <c r="R19" s="1" t="s">
        <v>15</v>
      </c>
      <c r="S19" s="17">
        <f t="shared" ref="S19:AF19" si="11">SUM(C46:C49)</f>
        <v>22</v>
      </c>
      <c r="T19" s="17">
        <f t="shared" si="11"/>
        <v>0</v>
      </c>
      <c r="U19" s="17">
        <f t="shared" si="11"/>
        <v>8</v>
      </c>
      <c r="V19" s="17">
        <f t="shared" si="11"/>
        <v>12</v>
      </c>
      <c r="W19" s="17">
        <f t="shared" si="11"/>
        <v>0</v>
      </c>
      <c r="X19" s="17">
        <f t="shared" si="11"/>
        <v>0</v>
      </c>
      <c r="Y19" s="17">
        <f t="shared" si="11"/>
        <v>8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0</v>
      </c>
      <c r="AD19" s="17">
        <f t="shared" si="11"/>
        <v>0</v>
      </c>
      <c r="AE19" s="31">
        <f t="shared" si="11"/>
        <v>50</v>
      </c>
      <c r="AF19" s="31">
        <f t="shared" si="11"/>
        <v>50</v>
      </c>
    </row>
    <row r="20" spans="2:32" ht="23.1" customHeight="1" x14ac:dyDescent="0.25">
      <c r="B20" s="23" t="s">
        <v>47</v>
      </c>
      <c r="C20" s="50">
        <v>4</v>
      </c>
      <c r="D20" s="50">
        <v>0</v>
      </c>
      <c r="E20" s="50">
        <v>4</v>
      </c>
      <c r="F20" s="50">
        <v>2</v>
      </c>
      <c r="G20" s="50">
        <v>0</v>
      </c>
      <c r="H20" s="50">
        <v>0</v>
      </c>
      <c r="I20" s="50">
        <v>1</v>
      </c>
      <c r="J20" s="50">
        <v>0</v>
      </c>
      <c r="K20" s="50">
        <v>0</v>
      </c>
      <c r="L20" s="50">
        <v>1</v>
      </c>
      <c r="M20" s="50">
        <v>0</v>
      </c>
      <c r="N20" s="50">
        <v>0</v>
      </c>
      <c r="O20" s="15">
        <f t="shared" si="0"/>
        <v>12</v>
      </c>
      <c r="P20" s="15">
        <f t="shared" si="1"/>
        <v>12</v>
      </c>
      <c r="R20" s="1" t="s">
        <v>16</v>
      </c>
      <c r="S20" s="17">
        <f t="shared" ref="S20:AF20" si="12">SUM(C50:C53)</f>
        <v>19</v>
      </c>
      <c r="T20" s="17">
        <f t="shared" si="12"/>
        <v>0</v>
      </c>
      <c r="U20" s="17">
        <f t="shared" si="12"/>
        <v>4</v>
      </c>
      <c r="V20" s="17">
        <f t="shared" si="12"/>
        <v>12</v>
      </c>
      <c r="W20" s="17">
        <f t="shared" si="12"/>
        <v>0</v>
      </c>
      <c r="X20" s="17">
        <f t="shared" si="12"/>
        <v>1</v>
      </c>
      <c r="Y20" s="17">
        <f t="shared" si="12"/>
        <v>4</v>
      </c>
      <c r="Z20" s="17">
        <f t="shared" si="12"/>
        <v>0</v>
      </c>
      <c r="AA20" s="17">
        <f t="shared" si="12"/>
        <v>0</v>
      </c>
      <c r="AB20" s="17">
        <f t="shared" si="12"/>
        <v>2</v>
      </c>
      <c r="AC20" s="17">
        <f t="shared" si="12"/>
        <v>0</v>
      </c>
      <c r="AD20" s="17">
        <f t="shared" si="12"/>
        <v>0</v>
      </c>
      <c r="AE20" s="31">
        <f t="shared" si="12"/>
        <v>42</v>
      </c>
      <c r="AF20" s="31">
        <f t="shared" si="12"/>
        <v>42</v>
      </c>
    </row>
    <row r="21" spans="2:32" ht="23.1" customHeight="1" x14ac:dyDescent="0.25">
      <c r="B21" s="23" t="s">
        <v>48</v>
      </c>
      <c r="C21" s="50">
        <v>4</v>
      </c>
      <c r="D21" s="50">
        <v>0</v>
      </c>
      <c r="E21" s="50">
        <v>5</v>
      </c>
      <c r="F21" s="50">
        <v>0</v>
      </c>
      <c r="G21" s="50">
        <v>0</v>
      </c>
      <c r="H21" s="50">
        <v>0</v>
      </c>
      <c r="I21" s="50">
        <v>3</v>
      </c>
      <c r="J21" s="50">
        <v>0</v>
      </c>
      <c r="K21" s="50">
        <v>0</v>
      </c>
      <c r="L21" s="50">
        <v>2</v>
      </c>
      <c r="M21" s="50">
        <v>0</v>
      </c>
      <c r="N21" s="50">
        <v>0</v>
      </c>
      <c r="O21" s="15">
        <f t="shared" si="0"/>
        <v>14</v>
      </c>
      <c r="P21" s="15">
        <f t="shared" si="1"/>
        <v>14</v>
      </c>
      <c r="R21" s="36" t="s">
        <v>20</v>
      </c>
      <c r="S21" s="34">
        <f t="shared" ref="S21:AF21" si="13">SUM(C54:C57)</f>
        <v>4</v>
      </c>
      <c r="T21" s="17">
        <f t="shared" si="13"/>
        <v>0</v>
      </c>
      <c r="U21" s="17">
        <f t="shared" si="13"/>
        <v>0</v>
      </c>
      <c r="V21" s="17">
        <f t="shared" si="13"/>
        <v>4</v>
      </c>
      <c r="W21" s="17">
        <f t="shared" si="13"/>
        <v>0</v>
      </c>
      <c r="X21" s="17">
        <f t="shared" si="13"/>
        <v>0</v>
      </c>
      <c r="Y21" s="17">
        <f t="shared" si="13"/>
        <v>1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0</v>
      </c>
      <c r="AD21" s="17">
        <f t="shared" si="13"/>
        <v>0</v>
      </c>
      <c r="AE21" s="31">
        <f t="shared" si="13"/>
        <v>9</v>
      </c>
      <c r="AF21" s="31">
        <f t="shared" si="13"/>
        <v>9</v>
      </c>
    </row>
    <row r="22" spans="2:32" ht="23.1" customHeight="1" x14ac:dyDescent="0.25">
      <c r="B22" s="23" t="s">
        <v>49</v>
      </c>
      <c r="C22" s="50">
        <v>5</v>
      </c>
      <c r="D22" s="50">
        <v>0</v>
      </c>
      <c r="E22" s="50">
        <v>2</v>
      </c>
      <c r="F22" s="50">
        <v>2</v>
      </c>
      <c r="G22" s="50">
        <v>0</v>
      </c>
      <c r="H22" s="50">
        <v>0</v>
      </c>
      <c r="I22" s="50">
        <v>2</v>
      </c>
      <c r="J22" s="50">
        <v>0</v>
      </c>
      <c r="K22" s="50">
        <v>0</v>
      </c>
      <c r="L22" s="50">
        <v>0</v>
      </c>
      <c r="M22" s="50">
        <v>0</v>
      </c>
      <c r="N22" s="50">
        <v>0</v>
      </c>
      <c r="O22" s="15">
        <f t="shared" si="0"/>
        <v>11</v>
      </c>
      <c r="P22" s="15">
        <f t="shared" si="1"/>
        <v>11</v>
      </c>
      <c r="R22" s="38" t="s">
        <v>90</v>
      </c>
      <c r="S22" s="39">
        <f>MAX(S10:S12)</f>
        <v>22</v>
      </c>
      <c r="T22" s="39">
        <f t="shared" ref="T22:AF22" si="14">MAX(T10:T12)</f>
        <v>0</v>
      </c>
      <c r="U22" s="39">
        <f t="shared" si="14"/>
        <v>11</v>
      </c>
      <c r="V22" s="39">
        <f t="shared" si="14"/>
        <v>12</v>
      </c>
      <c r="W22" s="39">
        <f t="shared" si="14"/>
        <v>0</v>
      </c>
      <c r="X22" s="39">
        <f t="shared" si="14"/>
        <v>1</v>
      </c>
      <c r="Y22" s="39">
        <f t="shared" si="14"/>
        <v>7</v>
      </c>
      <c r="Z22" s="39">
        <f t="shared" si="14"/>
        <v>1</v>
      </c>
      <c r="AA22" s="39">
        <f t="shared" si="14"/>
        <v>0</v>
      </c>
      <c r="AB22" s="39">
        <f t="shared" si="14"/>
        <v>3</v>
      </c>
      <c r="AC22" s="39">
        <f t="shared" si="14"/>
        <v>1</v>
      </c>
      <c r="AD22" s="39">
        <f t="shared" si="14"/>
        <v>0</v>
      </c>
      <c r="AE22" s="40">
        <f t="shared" si="14"/>
        <v>48</v>
      </c>
      <c r="AF22" s="40">
        <f t="shared" si="14"/>
        <v>48</v>
      </c>
    </row>
    <row r="23" spans="2:32" ht="23.1" customHeight="1" x14ac:dyDescent="0.25">
      <c r="B23" s="23" t="s">
        <v>50</v>
      </c>
      <c r="C23" s="50">
        <v>6</v>
      </c>
      <c r="D23" s="50">
        <v>0</v>
      </c>
      <c r="E23" s="50">
        <v>0</v>
      </c>
      <c r="F23" s="50">
        <v>4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0</v>
      </c>
      <c r="N23" s="50">
        <v>0</v>
      </c>
      <c r="O23" s="15">
        <f t="shared" si="0"/>
        <v>10</v>
      </c>
      <c r="P23" s="15">
        <f t="shared" si="1"/>
        <v>10</v>
      </c>
      <c r="R23" s="38" t="s">
        <v>91</v>
      </c>
      <c r="S23" s="39">
        <f>MAX(S13:S18)</f>
        <v>28</v>
      </c>
      <c r="T23" s="39">
        <f t="shared" ref="T23:AF23" si="15">MAX(T13:T18)</f>
        <v>0</v>
      </c>
      <c r="U23" s="39">
        <f t="shared" si="15"/>
        <v>8</v>
      </c>
      <c r="V23" s="39">
        <f t="shared" si="15"/>
        <v>16</v>
      </c>
      <c r="W23" s="39">
        <f t="shared" si="15"/>
        <v>1</v>
      </c>
      <c r="X23" s="39">
        <f t="shared" si="15"/>
        <v>1</v>
      </c>
      <c r="Y23" s="39">
        <f t="shared" si="15"/>
        <v>12</v>
      </c>
      <c r="Z23" s="39">
        <f t="shared" si="15"/>
        <v>1</v>
      </c>
      <c r="AA23" s="39">
        <f t="shared" si="15"/>
        <v>1</v>
      </c>
      <c r="AB23" s="39">
        <f t="shared" si="15"/>
        <v>3</v>
      </c>
      <c r="AC23" s="39">
        <f t="shared" si="15"/>
        <v>1</v>
      </c>
      <c r="AD23" s="39">
        <f t="shared" si="15"/>
        <v>0</v>
      </c>
      <c r="AE23" s="40">
        <f t="shared" si="15"/>
        <v>51</v>
      </c>
      <c r="AF23" s="40">
        <f t="shared" si="15"/>
        <v>51</v>
      </c>
    </row>
    <row r="24" spans="2:32" ht="23.1" customHeight="1" x14ac:dyDescent="0.25">
      <c r="B24" s="23" t="s">
        <v>51</v>
      </c>
      <c r="C24" s="50">
        <v>5</v>
      </c>
      <c r="D24" s="50">
        <v>0</v>
      </c>
      <c r="E24" s="50">
        <v>1</v>
      </c>
      <c r="F24" s="50">
        <v>1</v>
      </c>
      <c r="G24" s="50">
        <v>0</v>
      </c>
      <c r="H24" s="50">
        <v>0</v>
      </c>
      <c r="I24" s="50">
        <v>2</v>
      </c>
      <c r="J24" s="50">
        <v>0</v>
      </c>
      <c r="K24" s="50">
        <v>0</v>
      </c>
      <c r="L24" s="50">
        <v>0</v>
      </c>
      <c r="M24" s="50">
        <v>0</v>
      </c>
      <c r="N24" s="50">
        <v>0</v>
      </c>
      <c r="O24" s="15">
        <f t="shared" si="0"/>
        <v>9</v>
      </c>
      <c r="P24" s="15">
        <f t="shared" si="1"/>
        <v>9</v>
      </c>
      <c r="R24" s="38" t="s">
        <v>92</v>
      </c>
      <c r="S24" s="39">
        <f>MAX(S19:S21)</f>
        <v>22</v>
      </c>
      <c r="T24" s="39">
        <f t="shared" ref="T24:AF24" si="16">MAX(T19:T21)</f>
        <v>0</v>
      </c>
      <c r="U24" s="39">
        <f t="shared" si="16"/>
        <v>8</v>
      </c>
      <c r="V24" s="39">
        <f t="shared" si="16"/>
        <v>12</v>
      </c>
      <c r="W24" s="39">
        <f t="shared" si="16"/>
        <v>0</v>
      </c>
      <c r="X24" s="39">
        <f t="shared" si="16"/>
        <v>1</v>
      </c>
      <c r="Y24" s="39">
        <f t="shared" si="16"/>
        <v>8</v>
      </c>
      <c r="Z24" s="39">
        <f t="shared" si="16"/>
        <v>0</v>
      </c>
      <c r="AA24" s="39">
        <f t="shared" si="16"/>
        <v>0</v>
      </c>
      <c r="AB24" s="39">
        <f t="shared" si="16"/>
        <v>2</v>
      </c>
      <c r="AC24" s="39">
        <f t="shared" si="16"/>
        <v>0</v>
      </c>
      <c r="AD24" s="39">
        <f t="shared" si="16"/>
        <v>0</v>
      </c>
      <c r="AE24" s="40">
        <f t="shared" si="16"/>
        <v>50</v>
      </c>
      <c r="AF24" s="40">
        <f t="shared" si="16"/>
        <v>50</v>
      </c>
    </row>
    <row r="25" spans="2:32" ht="23.1" customHeight="1" x14ac:dyDescent="0.25">
      <c r="B25" s="23" t="s">
        <v>52</v>
      </c>
      <c r="C25" s="50">
        <v>5</v>
      </c>
      <c r="D25" s="50">
        <v>0</v>
      </c>
      <c r="E25" s="50">
        <v>1</v>
      </c>
      <c r="F25" s="50">
        <v>4</v>
      </c>
      <c r="G25" s="50">
        <v>0</v>
      </c>
      <c r="H25" s="50">
        <v>0</v>
      </c>
      <c r="I25" s="50">
        <v>1</v>
      </c>
      <c r="J25" s="50">
        <v>1</v>
      </c>
      <c r="K25" s="50">
        <v>0</v>
      </c>
      <c r="L25" s="50">
        <v>0</v>
      </c>
      <c r="M25" s="50">
        <v>1</v>
      </c>
      <c r="N25" s="50">
        <v>0</v>
      </c>
      <c r="O25" s="15">
        <f t="shared" si="0"/>
        <v>12</v>
      </c>
      <c r="P25" s="15">
        <f t="shared" si="1"/>
        <v>13</v>
      </c>
      <c r="R25" s="37" t="s">
        <v>85</v>
      </c>
      <c r="S25" s="35">
        <f t="shared" ref="S25:AF25" si="17">SUM(S10:S12)</f>
        <v>40</v>
      </c>
      <c r="T25" s="16">
        <f t="shared" si="17"/>
        <v>0</v>
      </c>
      <c r="U25" s="16">
        <f t="shared" si="17"/>
        <v>21</v>
      </c>
      <c r="V25" s="16">
        <f t="shared" si="17"/>
        <v>19</v>
      </c>
      <c r="W25" s="16">
        <f t="shared" si="17"/>
        <v>0</v>
      </c>
      <c r="X25" s="16">
        <f t="shared" si="17"/>
        <v>1</v>
      </c>
      <c r="Y25" s="16">
        <f t="shared" si="17"/>
        <v>16</v>
      </c>
      <c r="Z25" s="16">
        <f t="shared" si="17"/>
        <v>1</v>
      </c>
      <c r="AA25" s="16">
        <f t="shared" si="17"/>
        <v>0</v>
      </c>
      <c r="AB25" s="16">
        <f t="shared" si="17"/>
        <v>8</v>
      </c>
      <c r="AC25" s="16">
        <f t="shared" si="17"/>
        <v>1</v>
      </c>
      <c r="AD25" s="16">
        <f t="shared" si="17"/>
        <v>0</v>
      </c>
      <c r="AE25" s="32">
        <f t="shared" si="17"/>
        <v>106</v>
      </c>
      <c r="AF25" s="32">
        <f t="shared" si="17"/>
        <v>107</v>
      </c>
    </row>
    <row r="26" spans="2:32" ht="23.1" customHeight="1" x14ac:dyDescent="0.25">
      <c r="B26" s="23" t="s">
        <v>53</v>
      </c>
      <c r="C26" s="50">
        <v>10</v>
      </c>
      <c r="D26" s="50">
        <v>0</v>
      </c>
      <c r="E26" s="50">
        <v>2</v>
      </c>
      <c r="F26" s="50">
        <v>5</v>
      </c>
      <c r="G26" s="50">
        <v>0</v>
      </c>
      <c r="H26" s="50">
        <v>0</v>
      </c>
      <c r="I26" s="50">
        <v>3</v>
      </c>
      <c r="J26" s="50">
        <v>0</v>
      </c>
      <c r="K26" s="50">
        <v>0</v>
      </c>
      <c r="L26" s="50">
        <v>0</v>
      </c>
      <c r="M26" s="50">
        <v>0</v>
      </c>
      <c r="N26" s="50">
        <v>0</v>
      </c>
      <c r="O26" s="15">
        <f t="shared" si="0"/>
        <v>20</v>
      </c>
      <c r="P26" s="15">
        <f t="shared" si="1"/>
        <v>20</v>
      </c>
      <c r="R26" s="28" t="s">
        <v>86</v>
      </c>
      <c r="S26" s="16">
        <f t="shared" ref="S26:AF26" si="18">SUM(S13:S18)</f>
        <v>128</v>
      </c>
      <c r="T26" s="16">
        <f t="shared" si="18"/>
        <v>0</v>
      </c>
      <c r="U26" s="16">
        <f t="shared" si="18"/>
        <v>29</v>
      </c>
      <c r="V26" s="16">
        <f t="shared" si="18"/>
        <v>67</v>
      </c>
      <c r="W26" s="16">
        <f t="shared" si="18"/>
        <v>1</v>
      </c>
      <c r="X26" s="16">
        <f t="shared" si="18"/>
        <v>2</v>
      </c>
      <c r="Y26" s="16">
        <f t="shared" si="18"/>
        <v>32</v>
      </c>
      <c r="Z26" s="16">
        <f t="shared" si="18"/>
        <v>3</v>
      </c>
      <c r="AA26" s="16">
        <f t="shared" si="18"/>
        <v>1</v>
      </c>
      <c r="AB26" s="16">
        <f t="shared" si="18"/>
        <v>10</v>
      </c>
      <c r="AC26" s="16">
        <f t="shared" si="18"/>
        <v>3</v>
      </c>
      <c r="AD26" s="16">
        <f t="shared" si="18"/>
        <v>0</v>
      </c>
      <c r="AE26" s="32">
        <f t="shared" si="18"/>
        <v>273</v>
      </c>
      <c r="AF26" s="32">
        <f t="shared" si="18"/>
        <v>276</v>
      </c>
    </row>
    <row r="27" spans="2:32" ht="23.1" customHeight="1" x14ac:dyDescent="0.25">
      <c r="B27" s="23" t="s">
        <v>54</v>
      </c>
      <c r="C27" s="50">
        <v>6</v>
      </c>
      <c r="D27" s="50">
        <v>0</v>
      </c>
      <c r="E27" s="50">
        <v>0</v>
      </c>
      <c r="F27" s="50">
        <v>2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2</v>
      </c>
      <c r="M27" s="50">
        <v>0</v>
      </c>
      <c r="N27" s="50">
        <v>0</v>
      </c>
      <c r="O27" s="15">
        <f t="shared" si="0"/>
        <v>10</v>
      </c>
      <c r="P27" s="15">
        <f t="shared" si="1"/>
        <v>10</v>
      </c>
      <c r="R27" s="29" t="s">
        <v>87</v>
      </c>
      <c r="S27" s="16">
        <f t="shared" ref="S27:AF27" si="19">SUM(S19:S21)</f>
        <v>45</v>
      </c>
      <c r="T27" s="16">
        <f t="shared" si="19"/>
        <v>0</v>
      </c>
      <c r="U27" s="16">
        <f t="shared" si="19"/>
        <v>12</v>
      </c>
      <c r="V27" s="16">
        <f t="shared" si="19"/>
        <v>28</v>
      </c>
      <c r="W27" s="16">
        <f t="shared" si="19"/>
        <v>0</v>
      </c>
      <c r="X27" s="16">
        <f t="shared" si="19"/>
        <v>1</v>
      </c>
      <c r="Y27" s="16">
        <f t="shared" si="19"/>
        <v>13</v>
      </c>
      <c r="Z27" s="16">
        <f t="shared" si="19"/>
        <v>0</v>
      </c>
      <c r="AA27" s="16">
        <f t="shared" si="19"/>
        <v>0</v>
      </c>
      <c r="AB27" s="16">
        <f t="shared" si="19"/>
        <v>2</v>
      </c>
      <c r="AC27" s="16">
        <f t="shared" si="19"/>
        <v>0</v>
      </c>
      <c r="AD27" s="16">
        <f t="shared" si="19"/>
        <v>0</v>
      </c>
      <c r="AE27" s="32">
        <f t="shared" si="19"/>
        <v>101</v>
      </c>
      <c r="AF27" s="32">
        <f t="shared" si="19"/>
        <v>101</v>
      </c>
    </row>
    <row r="28" spans="2:32" ht="23.1" customHeight="1" x14ac:dyDescent="0.25">
      <c r="B28" s="23" t="s">
        <v>55</v>
      </c>
      <c r="C28" s="50">
        <v>5</v>
      </c>
      <c r="D28" s="50">
        <v>0</v>
      </c>
      <c r="E28" s="50">
        <v>1</v>
      </c>
      <c r="F28" s="50">
        <v>1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0</v>
      </c>
      <c r="N28" s="50">
        <v>0</v>
      </c>
      <c r="O28" s="15">
        <f t="shared" si="0"/>
        <v>7</v>
      </c>
      <c r="P28" s="15">
        <f t="shared" si="1"/>
        <v>7</v>
      </c>
      <c r="R28" s="5" t="s">
        <v>17</v>
      </c>
      <c r="S28" s="16">
        <f t="shared" ref="S28:AF28" si="20">SUM(S10:S21)</f>
        <v>213</v>
      </c>
      <c r="T28" s="16">
        <f t="shared" si="20"/>
        <v>0</v>
      </c>
      <c r="U28" s="16">
        <f t="shared" si="20"/>
        <v>62</v>
      </c>
      <c r="V28" s="16">
        <f t="shared" si="20"/>
        <v>114</v>
      </c>
      <c r="W28" s="16">
        <f t="shared" si="20"/>
        <v>1</v>
      </c>
      <c r="X28" s="16">
        <f t="shared" si="20"/>
        <v>4</v>
      </c>
      <c r="Y28" s="16">
        <f t="shared" si="20"/>
        <v>61</v>
      </c>
      <c r="Z28" s="16">
        <f t="shared" si="20"/>
        <v>4</v>
      </c>
      <c r="AA28" s="16">
        <f t="shared" si="20"/>
        <v>1</v>
      </c>
      <c r="AB28" s="16">
        <f t="shared" si="20"/>
        <v>20</v>
      </c>
      <c r="AC28" s="16">
        <f t="shared" si="20"/>
        <v>4</v>
      </c>
      <c r="AD28" s="16">
        <f t="shared" si="20"/>
        <v>0</v>
      </c>
      <c r="AE28" s="32">
        <f t="shared" si="20"/>
        <v>480</v>
      </c>
      <c r="AF28" s="32">
        <f t="shared" si="20"/>
        <v>484</v>
      </c>
    </row>
    <row r="29" spans="2:32" ht="23.1" customHeight="1" x14ac:dyDescent="0.25">
      <c r="B29" s="23" t="s">
        <v>56</v>
      </c>
      <c r="C29" s="50">
        <v>7</v>
      </c>
      <c r="D29" s="50">
        <v>0</v>
      </c>
      <c r="E29" s="50">
        <v>1</v>
      </c>
      <c r="F29" s="50">
        <v>5</v>
      </c>
      <c r="G29" s="50">
        <v>0</v>
      </c>
      <c r="H29" s="50">
        <v>0</v>
      </c>
      <c r="I29" s="50">
        <v>1</v>
      </c>
      <c r="J29" s="50">
        <v>0</v>
      </c>
      <c r="K29" s="50">
        <v>0</v>
      </c>
      <c r="L29" s="50">
        <v>0</v>
      </c>
      <c r="M29" s="50">
        <v>0</v>
      </c>
      <c r="N29" s="50">
        <v>0</v>
      </c>
      <c r="O29" s="15">
        <f t="shared" si="0"/>
        <v>14</v>
      </c>
      <c r="P29" s="15">
        <f t="shared" si="1"/>
        <v>14</v>
      </c>
      <c r="R29"/>
      <c r="S29" s="20"/>
      <c r="T29" s="19"/>
    </row>
    <row r="30" spans="2:32" ht="23.1" customHeight="1" x14ac:dyDescent="0.25">
      <c r="B30" s="23" t="s">
        <v>57</v>
      </c>
      <c r="C30" s="50">
        <v>7</v>
      </c>
      <c r="D30" s="50">
        <v>0</v>
      </c>
      <c r="E30" s="50">
        <v>3</v>
      </c>
      <c r="F30" s="50">
        <v>2</v>
      </c>
      <c r="G30" s="50">
        <v>0</v>
      </c>
      <c r="H30" s="50">
        <v>0</v>
      </c>
      <c r="I30" s="50">
        <v>2</v>
      </c>
      <c r="J30" s="50">
        <v>0</v>
      </c>
      <c r="K30" s="50">
        <v>1</v>
      </c>
      <c r="L30" s="50">
        <v>0</v>
      </c>
      <c r="M30" s="50">
        <v>0</v>
      </c>
      <c r="N30" s="50">
        <v>0</v>
      </c>
      <c r="O30" s="15">
        <f t="shared" si="0"/>
        <v>15</v>
      </c>
      <c r="P30" s="15">
        <f t="shared" si="1"/>
        <v>15</v>
      </c>
    </row>
    <row r="31" spans="2:32" ht="23.1" customHeight="1" x14ac:dyDescent="0.25">
      <c r="B31" s="24" t="s">
        <v>58</v>
      </c>
      <c r="C31" s="50">
        <v>1</v>
      </c>
      <c r="D31" s="50">
        <v>0</v>
      </c>
      <c r="E31" s="50">
        <v>0</v>
      </c>
      <c r="F31" s="50">
        <v>1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2</v>
      </c>
      <c r="M31" s="50">
        <v>0</v>
      </c>
      <c r="N31" s="50">
        <v>0</v>
      </c>
      <c r="O31" s="15">
        <f t="shared" si="0"/>
        <v>4</v>
      </c>
      <c r="P31" s="15">
        <f t="shared" si="1"/>
        <v>4</v>
      </c>
    </row>
    <row r="32" spans="2:32" ht="23.1" customHeight="1" x14ac:dyDescent="0.25">
      <c r="B32" s="24" t="s">
        <v>59</v>
      </c>
      <c r="C32" s="50">
        <v>2</v>
      </c>
      <c r="D32" s="50">
        <v>0</v>
      </c>
      <c r="E32" s="50">
        <v>1</v>
      </c>
      <c r="F32" s="50">
        <v>3</v>
      </c>
      <c r="G32" s="50">
        <v>1</v>
      </c>
      <c r="H32" s="50">
        <v>0</v>
      </c>
      <c r="I32" s="50">
        <v>0</v>
      </c>
      <c r="J32" s="50">
        <v>0</v>
      </c>
      <c r="K32" s="50">
        <v>0</v>
      </c>
      <c r="L32" s="50">
        <v>1</v>
      </c>
      <c r="M32" s="50">
        <v>0</v>
      </c>
      <c r="N32" s="50">
        <v>0</v>
      </c>
      <c r="O32" s="15">
        <f t="shared" si="0"/>
        <v>8</v>
      </c>
      <c r="P32" s="15">
        <f t="shared" si="1"/>
        <v>8</v>
      </c>
    </row>
    <row r="33" spans="2:20" ht="23.1" customHeight="1" x14ac:dyDescent="0.25">
      <c r="B33" s="23" t="s">
        <v>60</v>
      </c>
      <c r="C33" s="50">
        <v>9</v>
      </c>
      <c r="D33" s="50">
        <v>0</v>
      </c>
      <c r="E33" s="50">
        <v>0</v>
      </c>
      <c r="F33" s="50">
        <v>2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0</v>
      </c>
      <c r="N33" s="50">
        <v>0</v>
      </c>
      <c r="O33" s="15">
        <f t="shared" si="0"/>
        <v>11</v>
      </c>
      <c r="P33" s="15">
        <f t="shared" si="1"/>
        <v>11</v>
      </c>
    </row>
    <row r="34" spans="2:20" ht="23.1" customHeight="1" x14ac:dyDescent="0.25">
      <c r="B34" s="24" t="s">
        <v>61</v>
      </c>
      <c r="C34" s="50">
        <v>5</v>
      </c>
      <c r="D34" s="50">
        <v>0</v>
      </c>
      <c r="E34" s="50">
        <v>4</v>
      </c>
      <c r="F34" s="50">
        <v>6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0</v>
      </c>
      <c r="N34" s="50">
        <v>0</v>
      </c>
      <c r="O34" s="15">
        <f t="shared" si="0"/>
        <v>15</v>
      </c>
      <c r="P34" s="15">
        <f t="shared" si="1"/>
        <v>15</v>
      </c>
    </row>
    <row r="35" spans="2:20" ht="23.1" customHeight="1" x14ac:dyDescent="0.25">
      <c r="B35" s="24" t="s">
        <v>62</v>
      </c>
      <c r="C35" s="50">
        <v>6</v>
      </c>
      <c r="D35" s="50">
        <v>0</v>
      </c>
      <c r="E35" s="50">
        <v>1</v>
      </c>
      <c r="F35" s="50">
        <v>2</v>
      </c>
      <c r="G35" s="50">
        <v>0</v>
      </c>
      <c r="H35" s="50">
        <v>0</v>
      </c>
      <c r="I35" s="50">
        <v>2</v>
      </c>
      <c r="J35" s="50">
        <v>0</v>
      </c>
      <c r="K35" s="50">
        <v>0</v>
      </c>
      <c r="L35" s="50">
        <v>1</v>
      </c>
      <c r="M35" s="50">
        <v>0</v>
      </c>
      <c r="N35" s="50">
        <v>0</v>
      </c>
      <c r="O35" s="15">
        <f t="shared" si="0"/>
        <v>12</v>
      </c>
      <c r="P35" s="15">
        <f t="shared" si="1"/>
        <v>12</v>
      </c>
    </row>
    <row r="36" spans="2:20" ht="23.1" customHeight="1" x14ac:dyDescent="0.25">
      <c r="B36" s="24" t="s">
        <v>63</v>
      </c>
      <c r="C36" s="50">
        <v>5</v>
      </c>
      <c r="D36" s="50">
        <v>0</v>
      </c>
      <c r="E36" s="50">
        <v>0</v>
      </c>
      <c r="F36" s="50">
        <v>4</v>
      </c>
      <c r="G36" s="50">
        <v>0</v>
      </c>
      <c r="H36" s="50">
        <v>0</v>
      </c>
      <c r="I36" s="50">
        <v>2</v>
      </c>
      <c r="J36" s="50">
        <v>1</v>
      </c>
      <c r="K36" s="50">
        <v>0</v>
      </c>
      <c r="L36" s="50">
        <v>0</v>
      </c>
      <c r="M36" s="50">
        <v>1</v>
      </c>
      <c r="N36" s="50">
        <v>0</v>
      </c>
      <c r="O36" s="15">
        <f t="shared" si="0"/>
        <v>12</v>
      </c>
      <c r="P36" s="15">
        <f t="shared" si="1"/>
        <v>13</v>
      </c>
    </row>
    <row r="37" spans="2:20" ht="23.1" customHeight="1" x14ac:dyDescent="0.25">
      <c r="B37" s="23" t="s">
        <v>64</v>
      </c>
      <c r="C37" s="50">
        <v>3</v>
      </c>
      <c r="D37" s="50">
        <v>0</v>
      </c>
      <c r="E37" s="50">
        <v>1</v>
      </c>
      <c r="F37" s="50">
        <v>4</v>
      </c>
      <c r="G37" s="50">
        <v>0</v>
      </c>
      <c r="H37" s="50">
        <v>1</v>
      </c>
      <c r="I37" s="50">
        <v>0</v>
      </c>
      <c r="J37" s="50">
        <v>0</v>
      </c>
      <c r="K37" s="50">
        <v>0</v>
      </c>
      <c r="L37" s="50">
        <v>0</v>
      </c>
      <c r="M37" s="50">
        <v>0</v>
      </c>
      <c r="N37" s="50">
        <v>0</v>
      </c>
      <c r="O37" s="15">
        <f t="shared" si="0"/>
        <v>9</v>
      </c>
      <c r="P37" s="15">
        <f t="shared" si="1"/>
        <v>9</v>
      </c>
    </row>
    <row r="38" spans="2:20" ht="23.1" customHeight="1" x14ac:dyDescent="0.25">
      <c r="B38" s="24" t="s">
        <v>65</v>
      </c>
      <c r="C38" s="50">
        <v>8</v>
      </c>
      <c r="D38" s="50">
        <v>0</v>
      </c>
      <c r="E38" s="50">
        <v>0</v>
      </c>
      <c r="F38" s="50">
        <v>2</v>
      </c>
      <c r="G38" s="50">
        <v>0</v>
      </c>
      <c r="H38" s="50">
        <v>0</v>
      </c>
      <c r="I38" s="50">
        <v>1</v>
      </c>
      <c r="J38" s="50">
        <v>1</v>
      </c>
      <c r="K38" s="50">
        <v>0</v>
      </c>
      <c r="L38" s="50">
        <v>0</v>
      </c>
      <c r="M38" s="50">
        <v>1</v>
      </c>
      <c r="N38" s="50">
        <v>0</v>
      </c>
      <c r="O38" s="15">
        <f t="shared" si="0"/>
        <v>12</v>
      </c>
      <c r="P38" s="15">
        <f t="shared" si="1"/>
        <v>13</v>
      </c>
    </row>
    <row r="39" spans="2:20" ht="23.1" customHeight="1" x14ac:dyDescent="0.25">
      <c r="B39" s="24" t="s">
        <v>66</v>
      </c>
      <c r="C39" s="50">
        <v>6</v>
      </c>
      <c r="D39" s="50">
        <v>0</v>
      </c>
      <c r="E39" s="50">
        <v>0</v>
      </c>
      <c r="F39" s="50">
        <v>1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0</v>
      </c>
      <c r="N39" s="50">
        <v>0</v>
      </c>
      <c r="O39" s="15">
        <f t="shared" si="0"/>
        <v>7</v>
      </c>
      <c r="P39" s="15">
        <f t="shared" si="1"/>
        <v>7</v>
      </c>
    </row>
    <row r="40" spans="2:20" ht="23.1" customHeight="1" x14ac:dyDescent="0.25">
      <c r="B40" s="24" t="s">
        <v>67</v>
      </c>
      <c r="C40" s="50">
        <v>4</v>
      </c>
      <c r="D40" s="50">
        <v>0</v>
      </c>
      <c r="E40" s="50">
        <v>1</v>
      </c>
      <c r="F40" s="50">
        <v>4</v>
      </c>
      <c r="G40" s="50">
        <v>0</v>
      </c>
      <c r="H40" s="50">
        <v>1</v>
      </c>
      <c r="I40" s="50">
        <v>0</v>
      </c>
      <c r="J40" s="50">
        <v>0</v>
      </c>
      <c r="K40" s="50">
        <v>0</v>
      </c>
      <c r="L40" s="50">
        <v>1</v>
      </c>
      <c r="M40" s="50">
        <v>0</v>
      </c>
      <c r="N40" s="50">
        <v>0</v>
      </c>
      <c r="O40" s="15">
        <f t="shared" si="0"/>
        <v>11</v>
      </c>
      <c r="P40" s="15">
        <f t="shared" si="1"/>
        <v>11</v>
      </c>
    </row>
    <row r="41" spans="2:20" ht="23.1" customHeight="1" x14ac:dyDescent="0.25">
      <c r="B41" s="23" t="s">
        <v>68</v>
      </c>
      <c r="C41" s="50">
        <v>5</v>
      </c>
      <c r="D41" s="50">
        <v>0</v>
      </c>
      <c r="E41" s="50">
        <v>2</v>
      </c>
      <c r="F41" s="50">
        <v>3</v>
      </c>
      <c r="G41" s="50">
        <v>0</v>
      </c>
      <c r="H41" s="50">
        <v>0</v>
      </c>
      <c r="I41" s="50">
        <v>4</v>
      </c>
      <c r="J41" s="50">
        <v>0</v>
      </c>
      <c r="K41" s="50">
        <v>0</v>
      </c>
      <c r="L41" s="50">
        <v>0</v>
      </c>
      <c r="M41" s="50">
        <v>0</v>
      </c>
      <c r="N41" s="50">
        <v>0</v>
      </c>
      <c r="O41" s="15">
        <f t="shared" si="0"/>
        <v>14</v>
      </c>
      <c r="P41" s="15">
        <f t="shared" si="1"/>
        <v>14</v>
      </c>
    </row>
    <row r="42" spans="2:20" ht="23.1" customHeight="1" x14ac:dyDescent="0.25">
      <c r="B42" s="24" t="s">
        <v>69</v>
      </c>
      <c r="C42" s="50">
        <v>5</v>
      </c>
      <c r="D42" s="50">
        <v>0</v>
      </c>
      <c r="E42" s="50">
        <v>0</v>
      </c>
      <c r="F42" s="50">
        <v>2</v>
      </c>
      <c r="G42" s="50">
        <v>0</v>
      </c>
      <c r="H42" s="50">
        <v>0</v>
      </c>
      <c r="I42" s="50">
        <v>3</v>
      </c>
      <c r="J42" s="50">
        <v>0</v>
      </c>
      <c r="K42" s="50">
        <v>0</v>
      </c>
      <c r="L42" s="50">
        <v>0</v>
      </c>
      <c r="M42" s="50">
        <v>0</v>
      </c>
      <c r="N42" s="50">
        <v>0</v>
      </c>
      <c r="O42" s="15">
        <f t="shared" si="0"/>
        <v>10</v>
      </c>
      <c r="P42" s="15">
        <f t="shared" si="1"/>
        <v>10</v>
      </c>
    </row>
    <row r="43" spans="2:20" ht="23.1" customHeight="1" x14ac:dyDescent="0.25">
      <c r="B43" s="23" t="s">
        <v>70</v>
      </c>
      <c r="C43" s="50">
        <v>8</v>
      </c>
      <c r="D43" s="50">
        <v>0</v>
      </c>
      <c r="E43" s="50">
        <v>1</v>
      </c>
      <c r="F43" s="50">
        <v>4</v>
      </c>
      <c r="G43" s="50">
        <v>0</v>
      </c>
      <c r="H43" s="50">
        <v>0</v>
      </c>
      <c r="I43" s="50">
        <v>3</v>
      </c>
      <c r="J43" s="50">
        <v>0</v>
      </c>
      <c r="K43" s="50">
        <v>0</v>
      </c>
      <c r="L43" s="50">
        <v>0</v>
      </c>
      <c r="M43" s="50">
        <v>0</v>
      </c>
      <c r="N43" s="50">
        <v>0</v>
      </c>
      <c r="O43" s="15">
        <f t="shared" si="0"/>
        <v>16</v>
      </c>
      <c r="P43" s="15">
        <f t="shared" si="1"/>
        <v>16</v>
      </c>
    </row>
    <row r="44" spans="2:20" ht="23.1" customHeight="1" x14ac:dyDescent="0.25">
      <c r="B44" s="25" t="s">
        <v>71</v>
      </c>
      <c r="C44" s="50">
        <v>3</v>
      </c>
      <c r="D44" s="50">
        <v>0</v>
      </c>
      <c r="E44" s="50">
        <v>3</v>
      </c>
      <c r="F44" s="50">
        <v>1</v>
      </c>
      <c r="G44" s="50">
        <v>0</v>
      </c>
      <c r="H44" s="50">
        <v>0</v>
      </c>
      <c r="I44" s="50">
        <v>1</v>
      </c>
      <c r="J44" s="50">
        <v>0</v>
      </c>
      <c r="K44" s="50">
        <v>0</v>
      </c>
      <c r="L44" s="50">
        <v>0</v>
      </c>
      <c r="M44" s="50">
        <v>0</v>
      </c>
      <c r="N44" s="50">
        <v>0</v>
      </c>
      <c r="O44" s="15">
        <f t="shared" si="0"/>
        <v>8</v>
      </c>
      <c r="P44" s="15">
        <f t="shared" si="1"/>
        <v>8</v>
      </c>
    </row>
    <row r="45" spans="2:20" ht="23.1" customHeight="1" x14ac:dyDescent="0.25">
      <c r="B45" s="23" t="s">
        <v>72</v>
      </c>
      <c r="C45" s="50">
        <v>2</v>
      </c>
      <c r="D45" s="50">
        <v>0</v>
      </c>
      <c r="E45" s="50">
        <v>4</v>
      </c>
      <c r="F45" s="50">
        <v>2</v>
      </c>
      <c r="G45" s="50">
        <v>0</v>
      </c>
      <c r="H45" s="50">
        <v>0</v>
      </c>
      <c r="I45" s="50">
        <v>5</v>
      </c>
      <c r="J45" s="50">
        <v>0</v>
      </c>
      <c r="K45" s="50">
        <v>0</v>
      </c>
      <c r="L45" s="50">
        <v>3</v>
      </c>
      <c r="M45" s="50">
        <v>0</v>
      </c>
      <c r="N45" s="50">
        <v>0</v>
      </c>
      <c r="O45" s="15">
        <f t="shared" si="0"/>
        <v>16</v>
      </c>
      <c r="P45" s="15">
        <f t="shared" si="1"/>
        <v>16</v>
      </c>
    </row>
    <row r="46" spans="2:20" ht="23.1" customHeight="1" x14ac:dyDescent="0.25">
      <c r="B46" s="24" t="s">
        <v>73</v>
      </c>
      <c r="C46" s="50">
        <v>7</v>
      </c>
      <c r="D46" s="50">
        <v>0</v>
      </c>
      <c r="E46" s="50">
        <v>2</v>
      </c>
      <c r="F46" s="50">
        <v>4</v>
      </c>
      <c r="G46" s="50">
        <v>0</v>
      </c>
      <c r="H46" s="50">
        <v>0</v>
      </c>
      <c r="I46" s="50">
        <v>2</v>
      </c>
      <c r="J46" s="50">
        <v>0</v>
      </c>
      <c r="K46" s="50">
        <v>0</v>
      </c>
      <c r="L46" s="50">
        <v>0</v>
      </c>
      <c r="M46" s="50">
        <v>0</v>
      </c>
      <c r="N46" s="50">
        <v>0</v>
      </c>
      <c r="O46" s="15">
        <f t="shared" si="0"/>
        <v>15</v>
      </c>
      <c r="P46" s="15">
        <f t="shared" si="1"/>
        <v>15</v>
      </c>
      <c r="R46" s="8"/>
      <c r="T46"/>
    </row>
    <row r="47" spans="2:20" ht="23.1" customHeight="1" x14ac:dyDescent="0.25">
      <c r="B47" s="24" t="s">
        <v>74</v>
      </c>
      <c r="C47" s="50">
        <v>5</v>
      </c>
      <c r="D47" s="50">
        <v>0</v>
      </c>
      <c r="E47" s="50">
        <v>3</v>
      </c>
      <c r="F47" s="50">
        <v>1</v>
      </c>
      <c r="G47" s="50">
        <v>0</v>
      </c>
      <c r="H47" s="50">
        <v>0</v>
      </c>
      <c r="I47" s="50">
        <v>2</v>
      </c>
      <c r="J47" s="50">
        <v>0</v>
      </c>
      <c r="K47" s="50">
        <v>0</v>
      </c>
      <c r="L47" s="50">
        <v>0</v>
      </c>
      <c r="M47" s="50">
        <v>0</v>
      </c>
      <c r="N47" s="50">
        <v>0</v>
      </c>
      <c r="O47" s="15">
        <f t="shared" si="0"/>
        <v>11</v>
      </c>
      <c r="P47" s="15">
        <f t="shared" si="1"/>
        <v>11</v>
      </c>
      <c r="R47" s="8"/>
      <c r="T47"/>
    </row>
    <row r="48" spans="2:20" ht="23.1" customHeight="1" x14ac:dyDescent="0.25">
      <c r="B48" s="24" t="s">
        <v>75</v>
      </c>
      <c r="C48" s="50">
        <v>5</v>
      </c>
      <c r="D48" s="50">
        <v>0</v>
      </c>
      <c r="E48" s="50">
        <v>1</v>
      </c>
      <c r="F48" s="50">
        <v>4</v>
      </c>
      <c r="G48" s="50">
        <v>0</v>
      </c>
      <c r="H48" s="50">
        <v>0</v>
      </c>
      <c r="I48" s="50">
        <v>4</v>
      </c>
      <c r="J48" s="50">
        <v>0</v>
      </c>
      <c r="K48" s="50">
        <v>0</v>
      </c>
      <c r="L48" s="50">
        <v>0</v>
      </c>
      <c r="M48" s="50">
        <v>0</v>
      </c>
      <c r="N48" s="50">
        <v>0</v>
      </c>
      <c r="O48" s="15">
        <f t="shared" si="0"/>
        <v>14</v>
      </c>
      <c r="P48" s="15">
        <f t="shared" si="1"/>
        <v>14</v>
      </c>
      <c r="R48" s="8"/>
      <c r="T48"/>
    </row>
    <row r="49" spans="2:20" ht="23.1" customHeight="1" x14ac:dyDescent="0.25">
      <c r="B49" s="23" t="s">
        <v>76</v>
      </c>
      <c r="C49" s="50">
        <v>5</v>
      </c>
      <c r="D49" s="50">
        <v>0</v>
      </c>
      <c r="E49" s="50">
        <v>2</v>
      </c>
      <c r="F49" s="50">
        <v>3</v>
      </c>
      <c r="G49" s="50">
        <v>0</v>
      </c>
      <c r="H49" s="50">
        <v>0</v>
      </c>
      <c r="I49" s="50"/>
      <c r="J49" s="50">
        <v>0</v>
      </c>
      <c r="K49" s="50">
        <v>0</v>
      </c>
      <c r="L49" s="50">
        <v>0</v>
      </c>
      <c r="M49" s="50">
        <v>0</v>
      </c>
      <c r="N49" s="50">
        <v>0</v>
      </c>
      <c r="O49" s="15">
        <f t="shared" si="0"/>
        <v>10</v>
      </c>
      <c r="P49" s="15">
        <f t="shared" si="1"/>
        <v>10</v>
      </c>
      <c r="R49" s="8"/>
      <c r="T49"/>
    </row>
    <row r="50" spans="2:20" ht="23.1" customHeight="1" x14ac:dyDescent="0.25">
      <c r="B50" s="24" t="s">
        <v>77</v>
      </c>
      <c r="C50" s="50">
        <v>4</v>
      </c>
      <c r="D50" s="50">
        <v>0</v>
      </c>
      <c r="E50" s="50">
        <v>0</v>
      </c>
      <c r="F50" s="50">
        <v>2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0</v>
      </c>
      <c r="N50" s="50">
        <v>0</v>
      </c>
      <c r="O50" s="15">
        <f t="shared" si="0"/>
        <v>6</v>
      </c>
      <c r="P50" s="15">
        <f t="shared" si="1"/>
        <v>6</v>
      </c>
      <c r="R50" s="8"/>
      <c r="T50"/>
    </row>
    <row r="51" spans="2:20" ht="23.1" customHeight="1" x14ac:dyDescent="0.25">
      <c r="B51" s="24" t="s">
        <v>78</v>
      </c>
      <c r="C51" s="50">
        <v>5</v>
      </c>
      <c r="D51" s="50">
        <v>0</v>
      </c>
      <c r="E51" s="50">
        <v>2</v>
      </c>
      <c r="F51" s="50">
        <v>2</v>
      </c>
      <c r="G51" s="50">
        <v>0</v>
      </c>
      <c r="H51" s="50">
        <v>0</v>
      </c>
      <c r="I51" s="50">
        <v>2</v>
      </c>
      <c r="J51" s="50">
        <v>0</v>
      </c>
      <c r="K51" s="50">
        <v>0</v>
      </c>
      <c r="L51" s="50">
        <v>1</v>
      </c>
      <c r="M51" s="50">
        <v>0</v>
      </c>
      <c r="N51" s="50">
        <v>0</v>
      </c>
      <c r="O51" s="15">
        <f t="shared" si="0"/>
        <v>12</v>
      </c>
      <c r="P51" s="15">
        <f t="shared" si="1"/>
        <v>12</v>
      </c>
      <c r="R51" s="8"/>
      <c r="T51"/>
    </row>
    <row r="52" spans="2:20" ht="23.1" customHeight="1" x14ac:dyDescent="0.25">
      <c r="B52" s="24" t="s">
        <v>79</v>
      </c>
      <c r="C52" s="50">
        <v>3</v>
      </c>
      <c r="D52" s="50">
        <v>0</v>
      </c>
      <c r="E52" s="50">
        <v>2</v>
      </c>
      <c r="F52" s="50">
        <v>0</v>
      </c>
      <c r="G52" s="50">
        <v>0</v>
      </c>
      <c r="H52" s="50">
        <v>1</v>
      </c>
      <c r="I52" s="50">
        <v>0</v>
      </c>
      <c r="J52" s="50">
        <v>0</v>
      </c>
      <c r="K52" s="50">
        <v>0</v>
      </c>
      <c r="L52" s="50">
        <v>0</v>
      </c>
      <c r="M52" s="50">
        <v>0</v>
      </c>
      <c r="N52" s="50">
        <v>0</v>
      </c>
      <c r="O52" s="15">
        <f t="shared" si="0"/>
        <v>6</v>
      </c>
      <c r="P52" s="15">
        <f t="shared" si="1"/>
        <v>6</v>
      </c>
      <c r="R52" s="8"/>
      <c r="T52"/>
    </row>
    <row r="53" spans="2:20" ht="23.1" customHeight="1" x14ac:dyDescent="0.25">
      <c r="B53" s="23" t="s">
        <v>80</v>
      </c>
      <c r="C53" s="50">
        <v>7</v>
      </c>
      <c r="D53" s="50">
        <v>0</v>
      </c>
      <c r="E53" s="50">
        <v>0</v>
      </c>
      <c r="F53" s="50">
        <v>8</v>
      </c>
      <c r="G53" s="50">
        <v>0</v>
      </c>
      <c r="H53" s="50">
        <v>0</v>
      </c>
      <c r="I53" s="50">
        <v>2</v>
      </c>
      <c r="J53" s="50">
        <v>0</v>
      </c>
      <c r="K53" s="50">
        <v>0</v>
      </c>
      <c r="L53" s="50">
        <v>1</v>
      </c>
      <c r="M53" s="50">
        <v>0</v>
      </c>
      <c r="N53" s="50">
        <v>0</v>
      </c>
      <c r="O53" s="15">
        <f t="shared" si="0"/>
        <v>18</v>
      </c>
      <c r="P53" s="15">
        <f t="shared" si="1"/>
        <v>18</v>
      </c>
      <c r="R53" s="8"/>
      <c r="T53"/>
    </row>
    <row r="54" spans="2:20" ht="23.1" customHeight="1" x14ac:dyDescent="0.25">
      <c r="B54" s="23" t="s">
        <v>81</v>
      </c>
      <c r="C54" s="50">
        <v>4</v>
      </c>
      <c r="D54" s="50">
        <v>0</v>
      </c>
      <c r="E54" s="50">
        <v>0</v>
      </c>
      <c r="F54" s="50">
        <v>4</v>
      </c>
      <c r="G54" s="50">
        <v>0</v>
      </c>
      <c r="H54" s="50">
        <v>0</v>
      </c>
      <c r="I54" s="50">
        <v>1</v>
      </c>
      <c r="J54" s="50">
        <v>0</v>
      </c>
      <c r="K54" s="50">
        <v>0</v>
      </c>
      <c r="L54" s="50">
        <v>0</v>
      </c>
      <c r="M54" s="50">
        <v>0</v>
      </c>
      <c r="N54" s="50">
        <v>0</v>
      </c>
      <c r="O54" s="15">
        <f t="shared" si="0"/>
        <v>9</v>
      </c>
      <c r="P54" s="15">
        <f t="shared" si="1"/>
        <v>9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0</v>
      </c>
      <c r="N55" s="50">
        <v>0</v>
      </c>
      <c r="O55" s="15">
        <f t="shared" si="0"/>
        <v>0</v>
      </c>
      <c r="P55" s="15">
        <f t="shared" si="1"/>
        <v>0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0</v>
      </c>
      <c r="N56" s="50">
        <v>0</v>
      </c>
      <c r="O56" s="15">
        <f t="shared" si="0"/>
        <v>0</v>
      </c>
      <c r="P56" s="15">
        <f t="shared" si="1"/>
        <v>0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0</v>
      </c>
      <c r="N57" s="50">
        <v>0</v>
      </c>
      <c r="O57" s="15">
        <f t="shared" si="0"/>
        <v>0</v>
      </c>
      <c r="P57" s="15">
        <f t="shared" si="1"/>
        <v>0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213</v>
      </c>
      <c r="D58" s="16">
        <f t="shared" si="21"/>
        <v>0</v>
      </c>
      <c r="E58" s="16">
        <f t="shared" si="21"/>
        <v>62</v>
      </c>
      <c r="F58" s="16">
        <f t="shared" si="21"/>
        <v>114</v>
      </c>
      <c r="G58" s="16">
        <f t="shared" si="21"/>
        <v>1</v>
      </c>
      <c r="H58" s="16">
        <f t="shared" si="21"/>
        <v>4</v>
      </c>
      <c r="I58" s="16">
        <f t="shared" si="21"/>
        <v>61</v>
      </c>
      <c r="J58" s="16">
        <f t="shared" si="21"/>
        <v>4</v>
      </c>
      <c r="K58" s="16">
        <f t="shared" si="21"/>
        <v>1</v>
      </c>
      <c r="L58" s="16">
        <f t="shared" si="21"/>
        <v>20</v>
      </c>
      <c r="M58" s="16">
        <f t="shared" si="21"/>
        <v>4</v>
      </c>
      <c r="N58" s="16">
        <f t="shared" si="21"/>
        <v>0</v>
      </c>
      <c r="O58" s="16">
        <f t="shared" si="21"/>
        <v>480</v>
      </c>
      <c r="P58" s="16">
        <f t="shared" si="21"/>
        <v>484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0.44008264462809915</v>
      </c>
      <c r="D59" s="43">
        <f t="shared" si="22"/>
        <v>0</v>
      </c>
      <c r="E59" s="43">
        <f t="shared" si="22"/>
        <v>0.128099173553719</v>
      </c>
      <c r="F59" s="43">
        <f t="shared" si="22"/>
        <v>0.23553719008264462</v>
      </c>
      <c r="G59" s="43">
        <f t="shared" si="22"/>
        <v>2.0661157024793389E-3</v>
      </c>
      <c r="H59" s="43">
        <f t="shared" si="22"/>
        <v>8.2644628099173556E-3</v>
      </c>
      <c r="I59" s="43">
        <f t="shared" si="22"/>
        <v>0.12603305785123967</v>
      </c>
      <c r="J59" s="43">
        <f t="shared" si="22"/>
        <v>8.2644628099173556E-3</v>
      </c>
      <c r="K59" s="43">
        <f t="shared" si="22"/>
        <v>2.0661157024793389E-3</v>
      </c>
      <c r="L59" s="43">
        <f t="shared" si="22"/>
        <v>4.1322314049586778E-2</v>
      </c>
      <c r="M59" s="43">
        <f t="shared" si="22"/>
        <v>8.2644628099173556E-3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0.44374999999999998</v>
      </c>
      <c r="D60" s="44">
        <f t="shared" ref="D60:N60" si="23">D58/$O$58</f>
        <v>0</v>
      </c>
      <c r="E60" s="44">
        <f t="shared" si="23"/>
        <v>0.12916666666666668</v>
      </c>
      <c r="F60" s="44">
        <f t="shared" si="23"/>
        <v>0.23749999999999999</v>
      </c>
      <c r="G60" s="44">
        <f t="shared" si="23"/>
        <v>2.0833333333333333E-3</v>
      </c>
      <c r="H60" s="44">
        <f t="shared" si="23"/>
        <v>8.3333333333333332E-3</v>
      </c>
      <c r="I60" s="44">
        <f t="shared" si="23"/>
        <v>0.12708333333333333</v>
      </c>
      <c r="J60" s="44">
        <f t="shared" si="23"/>
        <v>8.3333333333333332E-3</v>
      </c>
      <c r="K60" s="44">
        <f t="shared" si="23"/>
        <v>2.0833333333333333E-3</v>
      </c>
      <c r="L60" s="44">
        <f t="shared" si="23"/>
        <v>4.1666666666666664E-2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F126"/>
  <sheetViews>
    <sheetView view="pageBreakPreview" topLeftCell="A46" zoomScale="60" workbookViewId="0">
      <selection activeCell="G13" sqref="G1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>
        <f>'5.8 KIKORONGO-BWERA'!C3:G3</f>
        <v>0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163</v>
      </c>
      <c r="E5" s="3"/>
      <c r="F5" s="41" t="s">
        <v>1</v>
      </c>
      <c r="G5" s="63">
        <f>'5.8 KIKORONGO-BWERA'!G5:H5</f>
        <v>0</v>
      </c>
      <c r="H5" s="64"/>
      <c r="I5" s="14"/>
      <c r="J5" s="2" t="s">
        <v>5</v>
      </c>
      <c r="K5" s="63">
        <f>'5.8 KIKORONGO-BWERA'!K5:L5</f>
        <v>0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>
        <f>'5.8 KIKORONGO-BWERA'!D6:E6</f>
        <v>0</v>
      </c>
      <c r="E6" s="64"/>
      <c r="F6" s="2" t="s">
        <v>2</v>
      </c>
      <c r="G6" s="63">
        <f>'5.8 KIKORONGO-BWERA'!G6:H6</f>
        <v>0</v>
      </c>
      <c r="H6" s="64"/>
      <c r="J6" s="2" t="s">
        <v>21</v>
      </c>
      <c r="K6" s="63">
        <f>'5.8 KIKORONGO-BWERA'!K6:L6</f>
        <v>0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2</v>
      </c>
      <c r="F10" s="50">
        <v>1</v>
      </c>
      <c r="G10" s="50">
        <v>0</v>
      </c>
      <c r="H10" s="50">
        <v>0</v>
      </c>
      <c r="I10" s="50">
        <v>1</v>
      </c>
      <c r="J10" s="50">
        <v>0</v>
      </c>
      <c r="K10" s="50">
        <v>0</v>
      </c>
      <c r="L10" s="50">
        <v>0</v>
      </c>
      <c r="M10" s="50">
        <v>1</v>
      </c>
      <c r="N10" s="50">
        <v>0</v>
      </c>
      <c r="O10" s="15">
        <f t="shared" ref="O10:O57" si="0">SUM(C10:L10,N10)</f>
        <v>4</v>
      </c>
      <c r="P10" s="15">
        <f t="shared" ref="P10:P57" si="1">SUM(C10:N10)</f>
        <v>5</v>
      </c>
      <c r="R10" s="1" t="s">
        <v>6</v>
      </c>
      <c r="S10" s="17">
        <f t="shared" ref="S10:AF10" si="2">SUM(C10:C13)</f>
        <v>4</v>
      </c>
      <c r="T10" s="17">
        <f t="shared" si="2"/>
        <v>0</v>
      </c>
      <c r="U10" s="17">
        <f t="shared" si="2"/>
        <v>12</v>
      </c>
      <c r="V10" s="17">
        <f t="shared" si="2"/>
        <v>6</v>
      </c>
      <c r="W10" s="17">
        <f t="shared" si="2"/>
        <v>0</v>
      </c>
      <c r="X10" s="17">
        <f t="shared" si="2"/>
        <v>2</v>
      </c>
      <c r="Y10" s="17">
        <f t="shared" si="2"/>
        <v>1</v>
      </c>
      <c r="Z10" s="17">
        <f t="shared" si="2"/>
        <v>0</v>
      </c>
      <c r="AA10" s="17">
        <f t="shared" si="2"/>
        <v>0</v>
      </c>
      <c r="AB10" s="17">
        <f t="shared" si="2"/>
        <v>2</v>
      </c>
      <c r="AC10" s="17">
        <f t="shared" si="2"/>
        <v>17</v>
      </c>
      <c r="AD10" s="17">
        <f t="shared" si="2"/>
        <v>0</v>
      </c>
      <c r="AE10" s="31">
        <f t="shared" si="2"/>
        <v>27</v>
      </c>
      <c r="AF10" s="31">
        <f t="shared" si="2"/>
        <v>44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3</v>
      </c>
      <c r="F11" s="50">
        <v>2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2</v>
      </c>
      <c r="M11" s="50">
        <v>3</v>
      </c>
      <c r="N11" s="50">
        <v>0</v>
      </c>
      <c r="O11" s="15">
        <f t="shared" si="0"/>
        <v>7</v>
      </c>
      <c r="P11" s="15">
        <f t="shared" si="1"/>
        <v>10</v>
      </c>
      <c r="R11" s="1" t="s">
        <v>7</v>
      </c>
      <c r="S11" s="17">
        <f t="shared" ref="S11:AF11" si="3">SUM(C14:C17)</f>
        <v>9</v>
      </c>
      <c r="T11" s="17">
        <f t="shared" si="3"/>
        <v>0</v>
      </c>
      <c r="U11" s="17">
        <f t="shared" si="3"/>
        <v>12</v>
      </c>
      <c r="V11" s="17">
        <f t="shared" si="3"/>
        <v>8</v>
      </c>
      <c r="W11" s="17">
        <f t="shared" si="3"/>
        <v>0</v>
      </c>
      <c r="X11" s="17">
        <f t="shared" si="3"/>
        <v>1</v>
      </c>
      <c r="Y11" s="17">
        <f t="shared" si="3"/>
        <v>1</v>
      </c>
      <c r="Z11" s="17">
        <f t="shared" si="3"/>
        <v>0</v>
      </c>
      <c r="AA11" s="17">
        <f t="shared" si="3"/>
        <v>0</v>
      </c>
      <c r="AB11" s="17">
        <f t="shared" si="3"/>
        <v>1</v>
      </c>
      <c r="AC11" s="17">
        <f t="shared" si="3"/>
        <v>23</v>
      </c>
      <c r="AD11" s="17">
        <f t="shared" si="3"/>
        <v>0</v>
      </c>
      <c r="AE11" s="31">
        <f t="shared" si="3"/>
        <v>32</v>
      </c>
      <c r="AF11" s="31">
        <f t="shared" si="3"/>
        <v>55</v>
      </c>
    </row>
    <row r="12" spans="2:32" ht="23.1" customHeight="1" x14ac:dyDescent="0.25">
      <c r="B12" s="23" t="s">
        <v>39</v>
      </c>
      <c r="C12" s="50">
        <v>2</v>
      </c>
      <c r="D12" s="50">
        <v>0</v>
      </c>
      <c r="E12" s="50">
        <v>5</v>
      </c>
      <c r="F12" s="50">
        <v>1</v>
      </c>
      <c r="G12" s="50">
        <v>0</v>
      </c>
      <c r="H12" s="50">
        <v>1</v>
      </c>
      <c r="I12" s="50">
        <v>0</v>
      </c>
      <c r="J12" s="50">
        <v>0</v>
      </c>
      <c r="K12" s="50">
        <v>0</v>
      </c>
      <c r="L12" s="50">
        <v>0</v>
      </c>
      <c r="M12" s="50">
        <v>5</v>
      </c>
      <c r="N12" s="50">
        <v>0</v>
      </c>
      <c r="O12" s="15">
        <f t="shared" si="0"/>
        <v>9</v>
      </c>
      <c r="P12" s="15">
        <f t="shared" si="1"/>
        <v>14</v>
      </c>
      <c r="R12" s="1" t="s">
        <v>8</v>
      </c>
      <c r="S12" s="17">
        <f t="shared" ref="S12:AF12" si="4">SUM(C18:C21)</f>
        <v>10</v>
      </c>
      <c r="T12" s="17">
        <f t="shared" si="4"/>
        <v>0</v>
      </c>
      <c r="U12" s="17">
        <f t="shared" si="4"/>
        <v>14</v>
      </c>
      <c r="V12" s="17">
        <f t="shared" si="4"/>
        <v>13</v>
      </c>
      <c r="W12" s="17">
        <f t="shared" si="4"/>
        <v>0</v>
      </c>
      <c r="X12" s="17">
        <f t="shared" si="4"/>
        <v>2</v>
      </c>
      <c r="Y12" s="17">
        <f t="shared" si="4"/>
        <v>9</v>
      </c>
      <c r="Z12" s="17">
        <f t="shared" si="4"/>
        <v>0</v>
      </c>
      <c r="AA12" s="17">
        <f t="shared" si="4"/>
        <v>0</v>
      </c>
      <c r="AB12" s="17">
        <f t="shared" si="4"/>
        <v>1</v>
      </c>
      <c r="AC12" s="17">
        <f t="shared" si="4"/>
        <v>18</v>
      </c>
      <c r="AD12" s="17">
        <f t="shared" si="4"/>
        <v>1</v>
      </c>
      <c r="AE12" s="31">
        <f t="shared" si="4"/>
        <v>50</v>
      </c>
      <c r="AF12" s="31">
        <f t="shared" si="4"/>
        <v>68</v>
      </c>
    </row>
    <row r="13" spans="2:32" ht="23.1" customHeight="1" x14ac:dyDescent="0.25">
      <c r="B13" s="23" t="s">
        <v>40</v>
      </c>
      <c r="C13" s="50">
        <v>2</v>
      </c>
      <c r="D13" s="50">
        <v>0</v>
      </c>
      <c r="E13" s="50">
        <v>2</v>
      </c>
      <c r="F13" s="50">
        <v>2</v>
      </c>
      <c r="G13" s="50">
        <v>0</v>
      </c>
      <c r="H13" s="50">
        <v>1</v>
      </c>
      <c r="I13" s="50">
        <v>0</v>
      </c>
      <c r="J13" s="50">
        <v>0</v>
      </c>
      <c r="K13" s="50">
        <v>0</v>
      </c>
      <c r="L13" s="50">
        <v>0</v>
      </c>
      <c r="M13" s="50">
        <v>8</v>
      </c>
      <c r="N13" s="50">
        <v>0</v>
      </c>
      <c r="O13" s="15">
        <f t="shared" si="0"/>
        <v>7</v>
      </c>
      <c r="P13" s="15">
        <f t="shared" si="1"/>
        <v>15</v>
      </c>
      <c r="R13" s="1" t="s">
        <v>9</v>
      </c>
      <c r="S13" s="17">
        <f t="shared" ref="S13:AF13" si="5">SUM(C22:C25)</f>
        <v>11</v>
      </c>
      <c r="T13" s="17">
        <f t="shared" si="5"/>
        <v>0</v>
      </c>
      <c r="U13" s="17">
        <f t="shared" si="5"/>
        <v>14</v>
      </c>
      <c r="V13" s="17">
        <f t="shared" si="5"/>
        <v>8</v>
      </c>
      <c r="W13" s="17">
        <f t="shared" si="5"/>
        <v>0</v>
      </c>
      <c r="X13" s="17">
        <f t="shared" si="5"/>
        <v>1</v>
      </c>
      <c r="Y13" s="17">
        <f t="shared" si="5"/>
        <v>3</v>
      </c>
      <c r="Z13" s="17">
        <f t="shared" si="5"/>
        <v>0</v>
      </c>
      <c r="AA13" s="17">
        <f t="shared" si="5"/>
        <v>0</v>
      </c>
      <c r="AB13" s="17">
        <f t="shared" si="5"/>
        <v>3</v>
      </c>
      <c r="AC13" s="17">
        <f t="shared" si="5"/>
        <v>17</v>
      </c>
      <c r="AD13" s="17">
        <f t="shared" si="5"/>
        <v>0</v>
      </c>
      <c r="AE13" s="31">
        <f t="shared" si="5"/>
        <v>40</v>
      </c>
      <c r="AF13" s="31">
        <f t="shared" si="5"/>
        <v>57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4</v>
      </c>
      <c r="F14" s="50">
        <v>1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8</v>
      </c>
      <c r="N14" s="50">
        <v>0</v>
      </c>
      <c r="O14" s="15">
        <f t="shared" si="0"/>
        <v>5</v>
      </c>
      <c r="P14" s="15">
        <f t="shared" si="1"/>
        <v>13</v>
      </c>
      <c r="R14" s="1" t="s">
        <v>10</v>
      </c>
      <c r="S14" s="17">
        <f t="shared" ref="S14:AF14" si="6">SUM(C26:C29)</f>
        <v>9</v>
      </c>
      <c r="T14" s="17">
        <f t="shared" si="6"/>
        <v>0</v>
      </c>
      <c r="U14" s="17">
        <f t="shared" si="6"/>
        <v>7</v>
      </c>
      <c r="V14" s="17">
        <f t="shared" si="6"/>
        <v>8</v>
      </c>
      <c r="W14" s="17">
        <f t="shared" si="6"/>
        <v>0</v>
      </c>
      <c r="X14" s="17">
        <f t="shared" si="6"/>
        <v>0</v>
      </c>
      <c r="Y14" s="17">
        <f t="shared" si="6"/>
        <v>8</v>
      </c>
      <c r="Z14" s="17">
        <f t="shared" si="6"/>
        <v>0</v>
      </c>
      <c r="AA14" s="17">
        <f t="shared" si="6"/>
        <v>0</v>
      </c>
      <c r="AB14" s="17">
        <f t="shared" si="6"/>
        <v>2</v>
      </c>
      <c r="AC14" s="17">
        <f t="shared" si="6"/>
        <v>15</v>
      </c>
      <c r="AD14" s="17">
        <f t="shared" si="6"/>
        <v>0</v>
      </c>
      <c r="AE14" s="31">
        <f t="shared" si="6"/>
        <v>34</v>
      </c>
      <c r="AF14" s="31">
        <f t="shared" si="6"/>
        <v>49</v>
      </c>
    </row>
    <row r="15" spans="2:32" ht="23.1" customHeight="1" x14ac:dyDescent="0.25">
      <c r="B15" s="23" t="s">
        <v>42</v>
      </c>
      <c r="C15" s="50">
        <v>4</v>
      </c>
      <c r="D15" s="50">
        <v>0</v>
      </c>
      <c r="E15" s="50">
        <v>3</v>
      </c>
      <c r="F15" s="50">
        <v>3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5</v>
      </c>
      <c r="N15" s="50">
        <v>0</v>
      </c>
      <c r="O15" s="15">
        <f t="shared" si="0"/>
        <v>10</v>
      </c>
      <c r="P15" s="15">
        <f t="shared" si="1"/>
        <v>15</v>
      </c>
      <c r="R15" s="1" t="s">
        <v>11</v>
      </c>
      <c r="S15" s="17">
        <f t="shared" ref="S15:AF15" si="7">SUM(C30:C33)</f>
        <v>14</v>
      </c>
      <c r="T15" s="17">
        <f t="shared" si="7"/>
        <v>0</v>
      </c>
      <c r="U15" s="17">
        <f t="shared" si="7"/>
        <v>23</v>
      </c>
      <c r="V15" s="17">
        <f t="shared" si="7"/>
        <v>7</v>
      </c>
      <c r="W15" s="17">
        <f t="shared" si="7"/>
        <v>0</v>
      </c>
      <c r="X15" s="17">
        <f t="shared" si="7"/>
        <v>1</v>
      </c>
      <c r="Y15" s="17">
        <f t="shared" si="7"/>
        <v>3</v>
      </c>
      <c r="Z15" s="17">
        <f t="shared" si="7"/>
        <v>1</v>
      </c>
      <c r="AA15" s="17">
        <f t="shared" si="7"/>
        <v>0</v>
      </c>
      <c r="AB15" s="17">
        <f t="shared" si="7"/>
        <v>2</v>
      </c>
      <c r="AC15" s="17">
        <f t="shared" si="7"/>
        <v>9</v>
      </c>
      <c r="AD15" s="17">
        <f t="shared" si="7"/>
        <v>0</v>
      </c>
      <c r="AE15" s="31">
        <f t="shared" si="7"/>
        <v>51</v>
      </c>
      <c r="AF15" s="31">
        <f t="shared" si="7"/>
        <v>60</v>
      </c>
    </row>
    <row r="16" spans="2:32" ht="23.1" customHeight="1" x14ac:dyDescent="0.25">
      <c r="B16" s="23" t="s">
        <v>43</v>
      </c>
      <c r="C16" s="50">
        <v>4</v>
      </c>
      <c r="D16" s="50">
        <v>0</v>
      </c>
      <c r="E16" s="50">
        <v>2</v>
      </c>
      <c r="F16" s="50">
        <v>2</v>
      </c>
      <c r="G16" s="50">
        <v>0</v>
      </c>
      <c r="H16" s="50">
        <v>1</v>
      </c>
      <c r="I16" s="50">
        <v>0</v>
      </c>
      <c r="J16" s="50">
        <v>0</v>
      </c>
      <c r="K16" s="50">
        <v>0</v>
      </c>
      <c r="L16" s="50">
        <v>0</v>
      </c>
      <c r="M16" s="50">
        <v>5</v>
      </c>
      <c r="N16" s="50">
        <v>0</v>
      </c>
      <c r="O16" s="15">
        <f t="shared" si="0"/>
        <v>9</v>
      </c>
      <c r="P16" s="15">
        <f t="shared" si="1"/>
        <v>14</v>
      </c>
      <c r="R16" s="1" t="s">
        <v>12</v>
      </c>
      <c r="S16" s="17">
        <f t="shared" ref="S16:AF16" si="8">SUM(C34:C37)</f>
        <v>9</v>
      </c>
      <c r="T16" s="17">
        <f t="shared" si="8"/>
        <v>0</v>
      </c>
      <c r="U16" s="17">
        <f t="shared" si="8"/>
        <v>11</v>
      </c>
      <c r="V16" s="17">
        <f t="shared" si="8"/>
        <v>12</v>
      </c>
      <c r="W16" s="17">
        <f t="shared" si="8"/>
        <v>0</v>
      </c>
      <c r="X16" s="17">
        <f t="shared" si="8"/>
        <v>1</v>
      </c>
      <c r="Y16" s="17">
        <f t="shared" si="8"/>
        <v>4</v>
      </c>
      <c r="Z16" s="17">
        <f t="shared" si="8"/>
        <v>0</v>
      </c>
      <c r="AA16" s="17">
        <f t="shared" si="8"/>
        <v>0</v>
      </c>
      <c r="AB16" s="17">
        <f t="shared" si="8"/>
        <v>3</v>
      </c>
      <c r="AC16" s="17">
        <f t="shared" si="8"/>
        <v>14</v>
      </c>
      <c r="AD16" s="17">
        <f t="shared" si="8"/>
        <v>0</v>
      </c>
      <c r="AE16" s="31">
        <f t="shared" si="8"/>
        <v>40</v>
      </c>
      <c r="AF16" s="31">
        <f t="shared" si="8"/>
        <v>54</v>
      </c>
    </row>
    <row r="17" spans="2:32" ht="23.1" customHeight="1" x14ac:dyDescent="0.25">
      <c r="B17" s="23" t="s">
        <v>44</v>
      </c>
      <c r="C17" s="50">
        <v>1</v>
      </c>
      <c r="D17" s="50">
        <v>0</v>
      </c>
      <c r="E17" s="50">
        <v>3</v>
      </c>
      <c r="F17" s="50">
        <v>2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v>1</v>
      </c>
      <c r="M17" s="50">
        <v>5</v>
      </c>
      <c r="N17" s="50">
        <v>0</v>
      </c>
      <c r="O17" s="15">
        <f t="shared" si="0"/>
        <v>8</v>
      </c>
      <c r="P17" s="15">
        <f t="shared" si="1"/>
        <v>13</v>
      </c>
      <c r="R17" s="1" t="s">
        <v>13</v>
      </c>
      <c r="S17" s="17">
        <f t="shared" ref="S17:AF17" si="9">SUM(C38:C41)</f>
        <v>14</v>
      </c>
      <c r="T17" s="17">
        <f t="shared" si="9"/>
        <v>0</v>
      </c>
      <c r="U17" s="17">
        <f t="shared" si="9"/>
        <v>12</v>
      </c>
      <c r="V17" s="17">
        <f t="shared" si="9"/>
        <v>12</v>
      </c>
      <c r="W17" s="17">
        <f t="shared" si="9"/>
        <v>0</v>
      </c>
      <c r="X17" s="17">
        <f t="shared" si="9"/>
        <v>1</v>
      </c>
      <c r="Y17" s="17">
        <f t="shared" si="9"/>
        <v>7</v>
      </c>
      <c r="Z17" s="17">
        <f t="shared" si="9"/>
        <v>3</v>
      </c>
      <c r="AA17" s="17">
        <f t="shared" si="9"/>
        <v>0</v>
      </c>
      <c r="AB17" s="17">
        <f t="shared" si="9"/>
        <v>8</v>
      </c>
      <c r="AC17" s="17">
        <f t="shared" si="9"/>
        <v>8</v>
      </c>
      <c r="AD17" s="17">
        <f t="shared" si="9"/>
        <v>0</v>
      </c>
      <c r="AE17" s="31">
        <f t="shared" si="9"/>
        <v>57</v>
      </c>
      <c r="AF17" s="31">
        <f t="shared" si="9"/>
        <v>65</v>
      </c>
    </row>
    <row r="18" spans="2:32" ht="23.1" customHeight="1" x14ac:dyDescent="0.25">
      <c r="B18" s="23" t="s">
        <v>45</v>
      </c>
      <c r="C18" s="50">
        <v>5</v>
      </c>
      <c r="D18" s="50">
        <v>0</v>
      </c>
      <c r="E18" s="50">
        <v>2</v>
      </c>
      <c r="F18" s="50">
        <v>4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0</v>
      </c>
      <c r="M18" s="50">
        <v>3</v>
      </c>
      <c r="N18" s="50">
        <v>0</v>
      </c>
      <c r="O18" s="15">
        <f t="shared" si="0"/>
        <v>12</v>
      </c>
      <c r="P18" s="15">
        <f t="shared" si="1"/>
        <v>15</v>
      </c>
      <c r="R18" s="1" t="s">
        <v>14</v>
      </c>
      <c r="S18" s="17">
        <f t="shared" ref="S18:AF18" si="10">SUM(C42:C45)</f>
        <v>14</v>
      </c>
      <c r="T18" s="17">
        <f t="shared" si="10"/>
        <v>0</v>
      </c>
      <c r="U18" s="17">
        <f t="shared" si="10"/>
        <v>15</v>
      </c>
      <c r="V18" s="17">
        <f t="shared" si="10"/>
        <v>5</v>
      </c>
      <c r="W18" s="17">
        <f t="shared" si="10"/>
        <v>0</v>
      </c>
      <c r="X18" s="17">
        <f t="shared" si="10"/>
        <v>2</v>
      </c>
      <c r="Y18" s="17">
        <f t="shared" si="10"/>
        <v>10</v>
      </c>
      <c r="Z18" s="17">
        <f t="shared" si="10"/>
        <v>3</v>
      </c>
      <c r="AA18" s="17">
        <f t="shared" si="10"/>
        <v>0</v>
      </c>
      <c r="AB18" s="17">
        <f t="shared" si="10"/>
        <v>5</v>
      </c>
      <c r="AC18" s="17">
        <f t="shared" si="10"/>
        <v>11</v>
      </c>
      <c r="AD18" s="17">
        <f t="shared" si="10"/>
        <v>0</v>
      </c>
      <c r="AE18" s="31">
        <f t="shared" si="10"/>
        <v>54</v>
      </c>
      <c r="AF18" s="31">
        <f t="shared" si="10"/>
        <v>65</v>
      </c>
    </row>
    <row r="19" spans="2:32" ht="23.1" customHeight="1" x14ac:dyDescent="0.25">
      <c r="B19" s="23" t="s">
        <v>46</v>
      </c>
      <c r="C19" s="50">
        <v>1</v>
      </c>
      <c r="D19" s="50">
        <v>0</v>
      </c>
      <c r="E19" s="50">
        <v>3</v>
      </c>
      <c r="F19" s="50">
        <v>5</v>
      </c>
      <c r="G19" s="50">
        <v>0</v>
      </c>
      <c r="H19" s="50">
        <v>0</v>
      </c>
      <c r="I19" s="50">
        <v>2</v>
      </c>
      <c r="J19" s="50">
        <v>0</v>
      </c>
      <c r="K19" s="50">
        <v>0</v>
      </c>
      <c r="L19" s="50">
        <v>0</v>
      </c>
      <c r="M19" s="50">
        <v>7</v>
      </c>
      <c r="N19" s="50">
        <v>0</v>
      </c>
      <c r="O19" s="15">
        <f t="shared" si="0"/>
        <v>11</v>
      </c>
      <c r="P19" s="15">
        <f t="shared" si="1"/>
        <v>18</v>
      </c>
      <c r="R19" s="1" t="s">
        <v>15</v>
      </c>
      <c r="S19" s="17">
        <f t="shared" ref="S19:AF19" si="11">SUM(C46:C49)</f>
        <v>9</v>
      </c>
      <c r="T19" s="17">
        <f t="shared" si="11"/>
        <v>0</v>
      </c>
      <c r="U19" s="17">
        <f t="shared" si="11"/>
        <v>14</v>
      </c>
      <c r="V19" s="17">
        <f t="shared" si="11"/>
        <v>10</v>
      </c>
      <c r="W19" s="17">
        <f t="shared" si="11"/>
        <v>0</v>
      </c>
      <c r="X19" s="17">
        <f t="shared" si="11"/>
        <v>0</v>
      </c>
      <c r="Y19" s="17">
        <f t="shared" si="11"/>
        <v>9</v>
      </c>
      <c r="Z19" s="17">
        <f t="shared" si="11"/>
        <v>0</v>
      </c>
      <c r="AA19" s="17">
        <f t="shared" si="11"/>
        <v>0</v>
      </c>
      <c r="AB19" s="17">
        <f t="shared" si="11"/>
        <v>2</v>
      </c>
      <c r="AC19" s="17">
        <f t="shared" si="11"/>
        <v>18</v>
      </c>
      <c r="AD19" s="17">
        <f t="shared" si="11"/>
        <v>1</v>
      </c>
      <c r="AE19" s="31">
        <f t="shared" si="11"/>
        <v>45</v>
      </c>
      <c r="AF19" s="31">
        <f t="shared" si="11"/>
        <v>63</v>
      </c>
    </row>
    <row r="20" spans="2:32" ht="23.1" customHeight="1" x14ac:dyDescent="0.25">
      <c r="B20" s="23" t="s">
        <v>47</v>
      </c>
      <c r="C20" s="50">
        <v>3</v>
      </c>
      <c r="D20" s="50">
        <v>0</v>
      </c>
      <c r="E20" s="50">
        <v>4</v>
      </c>
      <c r="F20" s="50">
        <v>2</v>
      </c>
      <c r="G20" s="50">
        <v>0</v>
      </c>
      <c r="H20" s="50">
        <v>1</v>
      </c>
      <c r="I20" s="50">
        <v>4</v>
      </c>
      <c r="J20" s="50">
        <v>0</v>
      </c>
      <c r="K20" s="50">
        <v>0</v>
      </c>
      <c r="L20" s="50">
        <v>1</v>
      </c>
      <c r="M20" s="50">
        <v>5</v>
      </c>
      <c r="N20" s="50">
        <v>0</v>
      </c>
      <c r="O20" s="15">
        <f t="shared" si="0"/>
        <v>15</v>
      </c>
      <c r="P20" s="15">
        <f t="shared" si="1"/>
        <v>20</v>
      </c>
      <c r="R20" s="1" t="s">
        <v>16</v>
      </c>
      <c r="S20" s="17">
        <f t="shared" ref="S20:AF20" si="12">SUM(C50:C53)</f>
        <v>15</v>
      </c>
      <c r="T20" s="17">
        <f t="shared" si="12"/>
        <v>0</v>
      </c>
      <c r="U20" s="17">
        <f t="shared" si="12"/>
        <v>14</v>
      </c>
      <c r="V20" s="17">
        <f t="shared" si="12"/>
        <v>8</v>
      </c>
      <c r="W20" s="17">
        <f t="shared" si="12"/>
        <v>0</v>
      </c>
      <c r="X20" s="17">
        <f t="shared" si="12"/>
        <v>0</v>
      </c>
      <c r="Y20" s="17">
        <f t="shared" si="12"/>
        <v>11</v>
      </c>
      <c r="Z20" s="17">
        <f t="shared" si="12"/>
        <v>1</v>
      </c>
      <c r="AA20" s="17">
        <f t="shared" si="12"/>
        <v>0</v>
      </c>
      <c r="AB20" s="17">
        <f t="shared" si="12"/>
        <v>4</v>
      </c>
      <c r="AC20" s="17">
        <f t="shared" si="12"/>
        <v>20</v>
      </c>
      <c r="AD20" s="17">
        <f t="shared" si="12"/>
        <v>0</v>
      </c>
      <c r="AE20" s="31">
        <f t="shared" si="12"/>
        <v>53</v>
      </c>
      <c r="AF20" s="31">
        <f t="shared" si="12"/>
        <v>73</v>
      </c>
    </row>
    <row r="21" spans="2:32" ht="23.1" customHeight="1" x14ac:dyDescent="0.25">
      <c r="B21" s="23" t="s">
        <v>48</v>
      </c>
      <c r="C21" s="50">
        <v>1</v>
      </c>
      <c r="D21" s="50">
        <v>0</v>
      </c>
      <c r="E21" s="50">
        <v>5</v>
      </c>
      <c r="F21" s="50">
        <v>2</v>
      </c>
      <c r="G21" s="50">
        <v>0</v>
      </c>
      <c r="H21" s="50">
        <v>1</v>
      </c>
      <c r="I21" s="50">
        <v>2</v>
      </c>
      <c r="J21" s="50">
        <v>0</v>
      </c>
      <c r="K21" s="50">
        <v>0</v>
      </c>
      <c r="L21" s="50">
        <v>0</v>
      </c>
      <c r="M21" s="50">
        <v>3</v>
      </c>
      <c r="N21" s="50">
        <v>1</v>
      </c>
      <c r="O21" s="15">
        <f t="shared" si="0"/>
        <v>12</v>
      </c>
      <c r="P21" s="15">
        <f t="shared" si="1"/>
        <v>15</v>
      </c>
      <c r="R21" s="36" t="s">
        <v>20</v>
      </c>
      <c r="S21" s="34">
        <f t="shared" ref="S21:AF21" si="13">SUM(C54:C57)</f>
        <v>15</v>
      </c>
      <c r="T21" s="17">
        <f t="shared" si="13"/>
        <v>0</v>
      </c>
      <c r="U21" s="17">
        <f t="shared" si="13"/>
        <v>12</v>
      </c>
      <c r="V21" s="17">
        <f t="shared" si="13"/>
        <v>9</v>
      </c>
      <c r="W21" s="17">
        <f t="shared" si="13"/>
        <v>0</v>
      </c>
      <c r="X21" s="17">
        <f t="shared" si="13"/>
        <v>0</v>
      </c>
      <c r="Y21" s="17">
        <f t="shared" si="13"/>
        <v>5</v>
      </c>
      <c r="Z21" s="17">
        <f t="shared" si="13"/>
        <v>0</v>
      </c>
      <c r="AA21" s="17">
        <f t="shared" si="13"/>
        <v>0</v>
      </c>
      <c r="AB21" s="17">
        <f t="shared" si="13"/>
        <v>2</v>
      </c>
      <c r="AC21" s="17">
        <f t="shared" si="13"/>
        <v>11</v>
      </c>
      <c r="AD21" s="17">
        <f t="shared" si="13"/>
        <v>0</v>
      </c>
      <c r="AE21" s="31">
        <f t="shared" si="13"/>
        <v>43</v>
      </c>
      <c r="AF21" s="31">
        <f t="shared" si="13"/>
        <v>54</v>
      </c>
    </row>
    <row r="22" spans="2:32" ht="23.1" customHeight="1" x14ac:dyDescent="0.25">
      <c r="B22" s="23" t="s">
        <v>49</v>
      </c>
      <c r="C22" s="50">
        <v>2</v>
      </c>
      <c r="D22" s="50">
        <v>0</v>
      </c>
      <c r="E22" s="50">
        <v>3</v>
      </c>
      <c r="F22" s="50">
        <v>3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1</v>
      </c>
      <c r="M22" s="50">
        <v>2</v>
      </c>
      <c r="N22" s="50">
        <v>0</v>
      </c>
      <c r="O22" s="15">
        <f t="shared" si="0"/>
        <v>10</v>
      </c>
      <c r="P22" s="15">
        <f t="shared" si="1"/>
        <v>12</v>
      </c>
      <c r="R22" s="38" t="s">
        <v>90</v>
      </c>
      <c r="S22" s="39">
        <f>MAX(S10:S12)</f>
        <v>10</v>
      </c>
      <c r="T22" s="39">
        <f t="shared" ref="T22:AF22" si="14">MAX(T10:T12)</f>
        <v>0</v>
      </c>
      <c r="U22" s="39">
        <f t="shared" si="14"/>
        <v>14</v>
      </c>
      <c r="V22" s="39">
        <f t="shared" si="14"/>
        <v>13</v>
      </c>
      <c r="W22" s="39">
        <f t="shared" si="14"/>
        <v>0</v>
      </c>
      <c r="X22" s="39">
        <f t="shared" si="14"/>
        <v>2</v>
      </c>
      <c r="Y22" s="39">
        <f t="shared" si="14"/>
        <v>9</v>
      </c>
      <c r="Z22" s="39">
        <f t="shared" si="14"/>
        <v>0</v>
      </c>
      <c r="AA22" s="39">
        <f t="shared" si="14"/>
        <v>0</v>
      </c>
      <c r="AB22" s="39">
        <f t="shared" si="14"/>
        <v>2</v>
      </c>
      <c r="AC22" s="39">
        <f t="shared" si="14"/>
        <v>23</v>
      </c>
      <c r="AD22" s="39">
        <f t="shared" si="14"/>
        <v>1</v>
      </c>
      <c r="AE22" s="40">
        <f t="shared" si="14"/>
        <v>50</v>
      </c>
      <c r="AF22" s="40">
        <f t="shared" si="14"/>
        <v>68</v>
      </c>
    </row>
    <row r="23" spans="2:32" ht="23.1" customHeight="1" x14ac:dyDescent="0.25">
      <c r="B23" s="23" t="s">
        <v>50</v>
      </c>
      <c r="C23" s="50">
        <v>1</v>
      </c>
      <c r="D23" s="50">
        <v>0</v>
      </c>
      <c r="E23" s="50">
        <v>6</v>
      </c>
      <c r="F23" s="50">
        <v>1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5</v>
      </c>
      <c r="N23" s="50">
        <v>0</v>
      </c>
      <c r="O23" s="15">
        <f t="shared" si="0"/>
        <v>8</v>
      </c>
      <c r="P23" s="15">
        <f t="shared" si="1"/>
        <v>13</v>
      </c>
      <c r="R23" s="38" t="s">
        <v>91</v>
      </c>
      <c r="S23" s="39">
        <f>MAX(S13:S18)</f>
        <v>14</v>
      </c>
      <c r="T23" s="39">
        <f t="shared" ref="T23:AF23" si="15">MAX(T13:T18)</f>
        <v>0</v>
      </c>
      <c r="U23" s="39">
        <f t="shared" si="15"/>
        <v>23</v>
      </c>
      <c r="V23" s="39">
        <f t="shared" si="15"/>
        <v>12</v>
      </c>
      <c r="W23" s="39">
        <f t="shared" si="15"/>
        <v>0</v>
      </c>
      <c r="X23" s="39">
        <f t="shared" si="15"/>
        <v>2</v>
      </c>
      <c r="Y23" s="39">
        <f t="shared" si="15"/>
        <v>10</v>
      </c>
      <c r="Z23" s="39">
        <f t="shared" si="15"/>
        <v>3</v>
      </c>
      <c r="AA23" s="39">
        <f t="shared" si="15"/>
        <v>0</v>
      </c>
      <c r="AB23" s="39">
        <f t="shared" si="15"/>
        <v>8</v>
      </c>
      <c r="AC23" s="39">
        <f t="shared" si="15"/>
        <v>17</v>
      </c>
      <c r="AD23" s="39">
        <f t="shared" si="15"/>
        <v>0</v>
      </c>
      <c r="AE23" s="40">
        <f t="shared" si="15"/>
        <v>57</v>
      </c>
      <c r="AF23" s="40">
        <f t="shared" si="15"/>
        <v>65</v>
      </c>
    </row>
    <row r="24" spans="2:32" ht="23.1" customHeight="1" x14ac:dyDescent="0.25">
      <c r="B24" s="23" t="s">
        <v>51</v>
      </c>
      <c r="C24" s="50">
        <v>4</v>
      </c>
      <c r="D24" s="50">
        <v>0</v>
      </c>
      <c r="E24" s="50">
        <v>4</v>
      </c>
      <c r="F24" s="50">
        <v>1</v>
      </c>
      <c r="G24" s="50">
        <v>0</v>
      </c>
      <c r="H24" s="50">
        <v>0</v>
      </c>
      <c r="I24" s="50">
        <v>1</v>
      </c>
      <c r="J24" s="50">
        <v>0</v>
      </c>
      <c r="K24" s="50">
        <v>0</v>
      </c>
      <c r="L24" s="50">
        <v>1</v>
      </c>
      <c r="M24" s="50">
        <v>6</v>
      </c>
      <c r="N24" s="50">
        <v>0</v>
      </c>
      <c r="O24" s="15">
        <f t="shared" si="0"/>
        <v>11</v>
      </c>
      <c r="P24" s="15">
        <f t="shared" si="1"/>
        <v>17</v>
      </c>
      <c r="R24" s="38" t="s">
        <v>92</v>
      </c>
      <c r="S24" s="39">
        <f>MAX(S19:S21)</f>
        <v>15</v>
      </c>
      <c r="T24" s="39">
        <f t="shared" ref="T24:AF24" si="16">MAX(T19:T21)</f>
        <v>0</v>
      </c>
      <c r="U24" s="39">
        <f t="shared" si="16"/>
        <v>14</v>
      </c>
      <c r="V24" s="39">
        <f t="shared" si="16"/>
        <v>10</v>
      </c>
      <c r="W24" s="39">
        <f t="shared" si="16"/>
        <v>0</v>
      </c>
      <c r="X24" s="39">
        <f t="shared" si="16"/>
        <v>0</v>
      </c>
      <c r="Y24" s="39">
        <f t="shared" si="16"/>
        <v>11</v>
      </c>
      <c r="Z24" s="39">
        <f t="shared" si="16"/>
        <v>1</v>
      </c>
      <c r="AA24" s="39">
        <f t="shared" si="16"/>
        <v>0</v>
      </c>
      <c r="AB24" s="39">
        <f t="shared" si="16"/>
        <v>4</v>
      </c>
      <c r="AC24" s="39">
        <f t="shared" si="16"/>
        <v>20</v>
      </c>
      <c r="AD24" s="39">
        <f t="shared" si="16"/>
        <v>1</v>
      </c>
      <c r="AE24" s="40">
        <f t="shared" si="16"/>
        <v>53</v>
      </c>
      <c r="AF24" s="40">
        <f t="shared" si="16"/>
        <v>73</v>
      </c>
    </row>
    <row r="25" spans="2:32" ht="23.1" customHeight="1" x14ac:dyDescent="0.25">
      <c r="B25" s="23" t="s">
        <v>52</v>
      </c>
      <c r="C25" s="50">
        <v>4</v>
      </c>
      <c r="D25" s="50">
        <v>0</v>
      </c>
      <c r="E25" s="50">
        <v>1</v>
      </c>
      <c r="F25" s="50">
        <v>3</v>
      </c>
      <c r="G25" s="50">
        <v>0</v>
      </c>
      <c r="H25" s="50">
        <v>1</v>
      </c>
      <c r="I25" s="50">
        <v>1</v>
      </c>
      <c r="J25" s="50">
        <v>0</v>
      </c>
      <c r="K25" s="50">
        <v>0</v>
      </c>
      <c r="L25" s="50">
        <v>1</v>
      </c>
      <c r="M25" s="50">
        <v>4</v>
      </c>
      <c r="N25" s="50">
        <v>0</v>
      </c>
      <c r="O25" s="15">
        <f t="shared" si="0"/>
        <v>11</v>
      </c>
      <c r="P25" s="15">
        <f t="shared" si="1"/>
        <v>15</v>
      </c>
      <c r="R25" s="37" t="s">
        <v>85</v>
      </c>
      <c r="S25" s="35">
        <f t="shared" ref="S25:AF25" si="17">SUM(S10:S12)</f>
        <v>23</v>
      </c>
      <c r="T25" s="16">
        <f t="shared" si="17"/>
        <v>0</v>
      </c>
      <c r="U25" s="16">
        <f t="shared" si="17"/>
        <v>38</v>
      </c>
      <c r="V25" s="16">
        <f t="shared" si="17"/>
        <v>27</v>
      </c>
      <c r="W25" s="16">
        <f t="shared" si="17"/>
        <v>0</v>
      </c>
      <c r="X25" s="16">
        <f t="shared" si="17"/>
        <v>5</v>
      </c>
      <c r="Y25" s="16">
        <f t="shared" si="17"/>
        <v>11</v>
      </c>
      <c r="Z25" s="16">
        <f t="shared" si="17"/>
        <v>0</v>
      </c>
      <c r="AA25" s="16">
        <f t="shared" si="17"/>
        <v>0</v>
      </c>
      <c r="AB25" s="16">
        <f t="shared" si="17"/>
        <v>4</v>
      </c>
      <c r="AC25" s="16">
        <f t="shared" si="17"/>
        <v>58</v>
      </c>
      <c r="AD25" s="16">
        <f t="shared" si="17"/>
        <v>1</v>
      </c>
      <c r="AE25" s="32">
        <f t="shared" si="17"/>
        <v>109</v>
      </c>
      <c r="AF25" s="32">
        <f t="shared" si="17"/>
        <v>167</v>
      </c>
    </row>
    <row r="26" spans="2:32" ht="23.1" customHeight="1" x14ac:dyDescent="0.25">
      <c r="B26" s="23" t="s">
        <v>53</v>
      </c>
      <c r="C26" s="50">
        <v>2</v>
      </c>
      <c r="D26" s="50">
        <v>0</v>
      </c>
      <c r="E26" s="50">
        <v>1</v>
      </c>
      <c r="F26" s="50">
        <v>1</v>
      </c>
      <c r="G26" s="50">
        <v>0</v>
      </c>
      <c r="H26" s="50">
        <v>0</v>
      </c>
      <c r="I26" s="50">
        <v>2</v>
      </c>
      <c r="J26" s="50">
        <v>0</v>
      </c>
      <c r="K26" s="50">
        <v>0</v>
      </c>
      <c r="L26" s="50">
        <v>0</v>
      </c>
      <c r="M26" s="50">
        <v>3</v>
      </c>
      <c r="N26" s="50">
        <v>0</v>
      </c>
      <c r="O26" s="15">
        <f t="shared" si="0"/>
        <v>6</v>
      </c>
      <c r="P26" s="15">
        <f t="shared" si="1"/>
        <v>9</v>
      </c>
      <c r="R26" s="28" t="s">
        <v>86</v>
      </c>
      <c r="S26" s="16">
        <f t="shared" ref="S26:AF26" si="18">SUM(S13:S18)</f>
        <v>71</v>
      </c>
      <c r="T26" s="16">
        <f t="shared" si="18"/>
        <v>0</v>
      </c>
      <c r="U26" s="16">
        <f t="shared" si="18"/>
        <v>82</v>
      </c>
      <c r="V26" s="16">
        <f t="shared" si="18"/>
        <v>52</v>
      </c>
      <c r="W26" s="16">
        <f t="shared" si="18"/>
        <v>0</v>
      </c>
      <c r="X26" s="16">
        <f t="shared" si="18"/>
        <v>6</v>
      </c>
      <c r="Y26" s="16">
        <f t="shared" si="18"/>
        <v>35</v>
      </c>
      <c r="Z26" s="16">
        <f t="shared" si="18"/>
        <v>7</v>
      </c>
      <c r="AA26" s="16">
        <f t="shared" si="18"/>
        <v>0</v>
      </c>
      <c r="AB26" s="16">
        <f t="shared" si="18"/>
        <v>23</v>
      </c>
      <c r="AC26" s="16">
        <f t="shared" si="18"/>
        <v>74</v>
      </c>
      <c r="AD26" s="16">
        <f t="shared" si="18"/>
        <v>0</v>
      </c>
      <c r="AE26" s="32">
        <f t="shared" si="18"/>
        <v>276</v>
      </c>
      <c r="AF26" s="32">
        <f t="shared" si="18"/>
        <v>350</v>
      </c>
    </row>
    <row r="27" spans="2:32" ht="23.1" customHeight="1" x14ac:dyDescent="0.25">
      <c r="B27" s="23" t="s">
        <v>54</v>
      </c>
      <c r="C27" s="50">
        <v>1</v>
      </c>
      <c r="D27" s="50">
        <v>0</v>
      </c>
      <c r="E27" s="50">
        <v>4</v>
      </c>
      <c r="F27" s="50">
        <v>3</v>
      </c>
      <c r="G27" s="50">
        <v>0</v>
      </c>
      <c r="H27" s="50">
        <v>0</v>
      </c>
      <c r="I27" s="50">
        <v>3</v>
      </c>
      <c r="J27" s="50">
        <v>0</v>
      </c>
      <c r="K27" s="50">
        <v>0</v>
      </c>
      <c r="L27" s="50">
        <v>0</v>
      </c>
      <c r="M27" s="50">
        <v>2</v>
      </c>
      <c r="N27" s="50">
        <v>0</v>
      </c>
      <c r="O27" s="15">
        <f t="shared" si="0"/>
        <v>11</v>
      </c>
      <c r="P27" s="15">
        <f t="shared" si="1"/>
        <v>13</v>
      </c>
      <c r="R27" s="29" t="s">
        <v>87</v>
      </c>
      <c r="S27" s="16">
        <f t="shared" ref="S27:AF27" si="19">SUM(S19:S21)</f>
        <v>39</v>
      </c>
      <c r="T27" s="16">
        <f t="shared" si="19"/>
        <v>0</v>
      </c>
      <c r="U27" s="16">
        <f t="shared" si="19"/>
        <v>40</v>
      </c>
      <c r="V27" s="16">
        <f t="shared" si="19"/>
        <v>27</v>
      </c>
      <c r="W27" s="16">
        <f t="shared" si="19"/>
        <v>0</v>
      </c>
      <c r="X27" s="16">
        <f t="shared" si="19"/>
        <v>0</v>
      </c>
      <c r="Y27" s="16">
        <f t="shared" si="19"/>
        <v>25</v>
      </c>
      <c r="Z27" s="16">
        <f t="shared" si="19"/>
        <v>1</v>
      </c>
      <c r="AA27" s="16">
        <f t="shared" si="19"/>
        <v>0</v>
      </c>
      <c r="AB27" s="16">
        <f t="shared" si="19"/>
        <v>8</v>
      </c>
      <c r="AC27" s="16">
        <f t="shared" si="19"/>
        <v>49</v>
      </c>
      <c r="AD27" s="16">
        <f t="shared" si="19"/>
        <v>1</v>
      </c>
      <c r="AE27" s="32">
        <f t="shared" si="19"/>
        <v>141</v>
      </c>
      <c r="AF27" s="32">
        <f t="shared" si="19"/>
        <v>190</v>
      </c>
    </row>
    <row r="28" spans="2:32" ht="23.1" customHeight="1" x14ac:dyDescent="0.25">
      <c r="B28" s="23" t="s">
        <v>55</v>
      </c>
      <c r="C28" s="50">
        <v>2</v>
      </c>
      <c r="D28" s="50">
        <v>0</v>
      </c>
      <c r="E28" s="50">
        <v>2</v>
      </c>
      <c r="F28" s="50">
        <v>2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2</v>
      </c>
      <c r="M28" s="50">
        <v>6</v>
      </c>
      <c r="N28" s="50">
        <v>0</v>
      </c>
      <c r="O28" s="15">
        <f t="shared" si="0"/>
        <v>9</v>
      </c>
      <c r="P28" s="15">
        <f t="shared" si="1"/>
        <v>15</v>
      </c>
      <c r="R28" s="5" t="s">
        <v>17</v>
      </c>
      <c r="S28" s="16">
        <f t="shared" ref="S28:AF28" si="20">SUM(S10:S21)</f>
        <v>133</v>
      </c>
      <c r="T28" s="16">
        <f t="shared" si="20"/>
        <v>0</v>
      </c>
      <c r="U28" s="16">
        <f t="shared" si="20"/>
        <v>160</v>
      </c>
      <c r="V28" s="16">
        <f t="shared" si="20"/>
        <v>106</v>
      </c>
      <c r="W28" s="16">
        <f t="shared" si="20"/>
        <v>0</v>
      </c>
      <c r="X28" s="16">
        <f t="shared" si="20"/>
        <v>11</v>
      </c>
      <c r="Y28" s="16">
        <f t="shared" si="20"/>
        <v>71</v>
      </c>
      <c r="Z28" s="16">
        <f t="shared" si="20"/>
        <v>8</v>
      </c>
      <c r="AA28" s="16">
        <f t="shared" si="20"/>
        <v>0</v>
      </c>
      <c r="AB28" s="16">
        <f t="shared" si="20"/>
        <v>35</v>
      </c>
      <c r="AC28" s="16">
        <f t="shared" si="20"/>
        <v>181</v>
      </c>
      <c r="AD28" s="16">
        <f t="shared" si="20"/>
        <v>2</v>
      </c>
      <c r="AE28" s="32">
        <f t="shared" si="20"/>
        <v>526</v>
      </c>
      <c r="AF28" s="32">
        <f t="shared" si="20"/>
        <v>707</v>
      </c>
    </row>
    <row r="29" spans="2:32" ht="23.1" customHeight="1" x14ac:dyDescent="0.25">
      <c r="B29" s="23" t="s">
        <v>56</v>
      </c>
      <c r="C29" s="50">
        <v>4</v>
      </c>
      <c r="D29" s="50">
        <v>0</v>
      </c>
      <c r="E29" s="50">
        <v>0</v>
      </c>
      <c r="F29" s="50">
        <v>2</v>
      </c>
      <c r="G29" s="50">
        <v>0</v>
      </c>
      <c r="H29" s="50">
        <v>0</v>
      </c>
      <c r="I29" s="50">
        <v>2</v>
      </c>
      <c r="J29" s="50">
        <v>0</v>
      </c>
      <c r="K29" s="50">
        <v>0</v>
      </c>
      <c r="L29" s="50">
        <v>0</v>
      </c>
      <c r="M29" s="50">
        <v>4</v>
      </c>
      <c r="N29" s="50">
        <v>0</v>
      </c>
      <c r="O29" s="15">
        <f t="shared" si="0"/>
        <v>8</v>
      </c>
      <c r="P29" s="15">
        <f t="shared" si="1"/>
        <v>12</v>
      </c>
      <c r="R29"/>
      <c r="S29" s="20"/>
      <c r="T29" s="19"/>
    </row>
    <row r="30" spans="2:32" ht="23.1" customHeight="1" x14ac:dyDescent="0.25">
      <c r="B30" s="23" t="s">
        <v>57</v>
      </c>
      <c r="C30" s="50">
        <v>4</v>
      </c>
      <c r="D30" s="50">
        <v>0</v>
      </c>
      <c r="E30" s="50">
        <v>5</v>
      </c>
      <c r="F30" s="50">
        <v>2</v>
      </c>
      <c r="G30" s="50">
        <v>0</v>
      </c>
      <c r="H30" s="50">
        <v>0</v>
      </c>
      <c r="I30" s="50">
        <v>1</v>
      </c>
      <c r="J30" s="50">
        <v>0</v>
      </c>
      <c r="K30" s="50">
        <v>0</v>
      </c>
      <c r="L30" s="50">
        <v>1</v>
      </c>
      <c r="M30" s="50">
        <v>1</v>
      </c>
      <c r="N30" s="50">
        <v>0</v>
      </c>
      <c r="O30" s="15">
        <f t="shared" si="0"/>
        <v>13</v>
      </c>
      <c r="P30" s="15">
        <f t="shared" si="1"/>
        <v>14</v>
      </c>
    </row>
    <row r="31" spans="2:32" ht="23.1" customHeight="1" x14ac:dyDescent="0.25">
      <c r="B31" s="24" t="s">
        <v>58</v>
      </c>
      <c r="C31" s="50">
        <v>3</v>
      </c>
      <c r="D31" s="50">
        <v>0</v>
      </c>
      <c r="E31" s="50">
        <v>4</v>
      </c>
      <c r="F31" s="50">
        <v>1</v>
      </c>
      <c r="G31" s="50">
        <v>0</v>
      </c>
      <c r="H31" s="50">
        <v>0</v>
      </c>
      <c r="I31" s="50">
        <v>1</v>
      </c>
      <c r="J31" s="50">
        <v>1</v>
      </c>
      <c r="K31" s="50">
        <v>0</v>
      </c>
      <c r="L31" s="50">
        <v>0</v>
      </c>
      <c r="M31" s="50">
        <v>4</v>
      </c>
      <c r="N31" s="50">
        <v>0</v>
      </c>
      <c r="O31" s="15">
        <f t="shared" si="0"/>
        <v>10</v>
      </c>
      <c r="P31" s="15">
        <f t="shared" si="1"/>
        <v>14</v>
      </c>
    </row>
    <row r="32" spans="2:32" ht="23.1" customHeight="1" x14ac:dyDescent="0.25">
      <c r="B32" s="24" t="s">
        <v>59</v>
      </c>
      <c r="C32" s="50">
        <v>1</v>
      </c>
      <c r="D32" s="50">
        <v>0</v>
      </c>
      <c r="E32" s="50">
        <v>6</v>
      </c>
      <c r="F32" s="50">
        <v>2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1</v>
      </c>
      <c r="M32" s="50">
        <v>1</v>
      </c>
      <c r="N32" s="50">
        <v>0</v>
      </c>
      <c r="O32" s="15">
        <f t="shared" si="0"/>
        <v>10</v>
      </c>
      <c r="P32" s="15">
        <f t="shared" si="1"/>
        <v>11</v>
      </c>
    </row>
    <row r="33" spans="2:20" ht="23.1" customHeight="1" x14ac:dyDescent="0.25">
      <c r="B33" s="23" t="s">
        <v>60</v>
      </c>
      <c r="C33" s="50">
        <v>6</v>
      </c>
      <c r="D33" s="50">
        <v>0</v>
      </c>
      <c r="E33" s="50">
        <v>8</v>
      </c>
      <c r="F33" s="50">
        <v>2</v>
      </c>
      <c r="G33" s="50">
        <v>0</v>
      </c>
      <c r="H33" s="50">
        <v>1</v>
      </c>
      <c r="I33" s="50">
        <v>1</v>
      </c>
      <c r="J33" s="50">
        <v>0</v>
      </c>
      <c r="K33" s="50">
        <v>0</v>
      </c>
      <c r="L33" s="50">
        <v>0</v>
      </c>
      <c r="M33" s="50">
        <v>3</v>
      </c>
      <c r="N33" s="50">
        <v>0</v>
      </c>
      <c r="O33" s="15">
        <f t="shared" si="0"/>
        <v>18</v>
      </c>
      <c r="P33" s="15">
        <f t="shared" si="1"/>
        <v>21</v>
      </c>
    </row>
    <row r="34" spans="2:20" ht="23.1" customHeight="1" x14ac:dyDescent="0.25">
      <c r="B34" s="24" t="s">
        <v>61</v>
      </c>
      <c r="C34" s="50">
        <v>2</v>
      </c>
      <c r="D34" s="50">
        <v>0</v>
      </c>
      <c r="E34" s="50">
        <v>3</v>
      </c>
      <c r="F34" s="50">
        <v>5</v>
      </c>
      <c r="G34" s="50">
        <v>0</v>
      </c>
      <c r="H34" s="50">
        <v>0</v>
      </c>
      <c r="I34" s="50">
        <v>1</v>
      </c>
      <c r="J34" s="50">
        <v>0</v>
      </c>
      <c r="K34" s="50">
        <v>0</v>
      </c>
      <c r="L34" s="50">
        <v>0</v>
      </c>
      <c r="M34" s="50">
        <v>5</v>
      </c>
      <c r="N34" s="50">
        <v>0</v>
      </c>
      <c r="O34" s="15">
        <f t="shared" si="0"/>
        <v>11</v>
      </c>
      <c r="P34" s="15">
        <f t="shared" si="1"/>
        <v>16</v>
      </c>
    </row>
    <row r="35" spans="2:20" ht="23.1" customHeight="1" x14ac:dyDescent="0.25">
      <c r="B35" s="24" t="s">
        <v>62</v>
      </c>
      <c r="C35" s="50">
        <v>4</v>
      </c>
      <c r="D35" s="50">
        <v>0</v>
      </c>
      <c r="E35" s="50">
        <v>0</v>
      </c>
      <c r="F35" s="50">
        <v>2</v>
      </c>
      <c r="G35" s="50">
        <v>0</v>
      </c>
      <c r="H35" s="50">
        <v>0</v>
      </c>
      <c r="I35" s="50">
        <v>1</v>
      </c>
      <c r="J35" s="50">
        <v>0</v>
      </c>
      <c r="K35" s="50">
        <v>0</v>
      </c>
      <c r="L35" s="50">
        <v>0</v>
      </c>
      <c r="M35" s="50">
        <v>2</v>
      </c>
      <c r="N35" s="50">
        <v>0</v>
      </c>
      <c r="O35" s="15">
        <f t="shared" si="0"/>
        <v>7</v>
      </c>
      <c r="P35" s="15">
        <f t="shared" si="1"/>
        <v>9</v>
      </c>
    </row>
    <row r="36" spans="2:20" ht="23.1" customHeight="1" x14ac:dyDescent="0.25">
      <c r="B36" s="24" t="s">
        <v>63</v>
      </c>
      <c r="C36" s="50">
        <v>2</v>
      </c>
      <c r="D36" s="50">
        <v>0</v>
      </c>
      <c r="E36" s="50">
        <v>1</v>
      </c>
      <c r="F36" s="50">
        <v>1</v>
      </c>
      <c r="G36" s="50">
        <v>0</v>
      </c>
      <c r="H36" s="50">
        <v>1</v>
      </c>
      <c r="I36" s="50">
        <v>2</v>
      </c>
      <c r="J36" s="50">
        <v>0</v>
      </c>
      <c r="K36" s="50">
        <v>0</v>
      </c>
      <c r="L36" s="50">
        <v>1</v>
      </c>
      <c r="M36" s="50">
        <v>4</v>
      </c>
      <c r="N36" s="50">
        <v>0</v>
      </c>
      <c r="O36" s="15">
        <f t="shared" si="0"/>
        <v>8</v>
      </c>
      <c r="P36" s="15">
        <f t="shared" si="1"/>
        <v>12</v>
      </c>
    </row>
    <row r="37" spans="2:20" ht="23.1" customHeight="1" x14ac:dyDescent="0.25">
      <c r="B37" s="23" t="s">
        <v>64</v>
      </c>
      <c r="C37" s="50">
        <v>1</v>
      </c>
      <c r="D37" s="50">
        <v>0</v>
      </c>
      <c r="E37" s="50">
        <v>7</v>
      </c>
      <c r="F37" s="50">
        <v>4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2</v>
      </c>
      <c r="M37" s="50">
        <v>3</v>
      </c>
      <c r="N37" s="50">
        <v>0</v>
      </c>
      <c r="O37" s="15">
        <f t="shared" si="0"/>
        <v>14</v>
      </c>
      <c r="P37" s="15">
        <f t="shared" si="1"/>
        <v>17</v>
      </c>
    </row>
    <row r="38" spans="2:20" ht="23.1" customHeight="1" x14ac:dyDescent="0.25">
      <c r="B38" s="24" t="s">
        <v>65</v>
      </c>
      <c r="C38" s="50">
        <v>3</v>
      </c>
      <c r="D38" s="50">
        <v>0</v>
      </c>
      <c r="E38" s="50">
        <v>0</v>
      </c>
      <c r="F38" s="50">
        <v>4</v>
      </c>
      <c r="G38" s="50">
        <v>0</v>
      </c>
      <c r="H38" s="50">
        <v>1</v>
      </c>
      <c r="I38" s="50">
        <v>2</v>
      </c>
      <c r="J38" s="50">
        <v>0</v>
      </c>
      <c r="K38" s="50">
        <v>0</v>
      </c>
      <c r="L38" s="50">
        <v>0</v>
      </c>
      <c r="M38" s="50">
        <v>0</v>
      </c>
      <c r="N38" s="50">
        <v>0</v>
      </c>
      <c r="O38" s="15">
        <f t="shared" si="0"/>
        <v>10</v>
      </c>
      <c r="P38" s="15">
        <f t="shared" si="1"/>
        <v>10</v>
      </c>
    </row>
    <row r="39" spans="2:20" ht="23.1" customHeight="1" x14ac:dyDescent="0.25">
      <c r="B39" s="24" t="s">
        <v>66</v>
      </c>
      <c r="C39" s="50">
        <v>4</v>
      </c>
      <c r="D39" s="50">
        <v>0</v>
      </c>
      <c r="E39" s="50">
        <v>4</v>
      </c>
      <c r="F39" s="50">
        <v>4</v>
      </c>
      <c r="G39" s="50">
        <v>0</v>
      </c>
      <c r="H39" s="50">
        <v>0</v>
      </c>
      <c r="I39" s="50">
        <v>1</v>
      </c>
      <c r="J39" s="50">
        <v>2</v>
      </c>
      <c r="K39" s="50">
        <v>0</v>
      </c>
      <c r="L39" s="50">
        <v>2</v>
      </c>
      <c r="M39" s="50">
        <v>2</v>
      </c>
      <c r="N39" s="50">
        <v>0</v>
      </c>
      <c r="O39" s="15">
        <f t="shared" si="0"/>
        <v>17</v>
      </c>
      <c r="P39" s="15">
        <f t="shared" si="1"/>
        <v>19</v>
      </c>
    </row>
    <row r="40" spans="2:20" ht="23.1" customHeight="1" x14ac:dyDescent="0.25">
      <c r="B40" s="24" t="s">
        <v>67</v>
      </c>
      <c r="C40" s="50">
        <v>3</v>
      </c>
      <c r="D40" s="50">
        <v>0</v>
      </c>
      <c r="E40" s="50">
        <v>4</v>
      </c>
      <c r="F40" s="50">
        <v>2</v>
      </c>
      <c r="G40" s="50">
        <v>0</v>
      </c>
      <c r="H40" s="50">
        <v>0</v>
      </c>
      <c r="I40" s="50">
        <v>2</v>
      </c>
      <c r="J40" s="50">
        <v>0</v>
      </c>
      <c r="K40" s="50">
        <v>0</v>
      </c>
      <c r="L40" s="50">
        <v>3</v>
      </c>
      <c r="M40" s="50">
        <v>3</v>
      </c>
      <c r="N40" s="50">
        <v>0</v>
      </c>
      <c r="O40" s="15">
        <f t="shared" si="0"/>
        <v>14</v>
      </c>
      <c r="P40" s="15">
        <f t="shared" si="1"/>
        <v>17</v>
      </c>
    </row>
    <row r="41" spans="2:20" ht="23.1" customHeight="1" x14ac:dyDescent="0.25">
      <c r="B41" s="23" t="s">
        <v>68</v>
      </c>
      <c r="C41" s="50">
        <v>4</v>
      </c>
      <c r="D41" s="50">
        <v>0</v>
      </c>
      <c r="E41" s="50">
        <v>4</v>
      </c>
      <c r="F41" s="50">
        <v>2</v>
      </c>
      <c r="G41" s="50">
        <v>0</v>
      </c>
      <c r="H41" s="50">
        <v>0</v>
      </c>
      <c r="I41" s="50">
        <v>2</v>
      </c>
      <c r="J41" s="50">
        <v>1</v>
      </c>
      <c r="K41" s="50">
        <v>0</v>
      </c>
      <c r="L41" s="50">
        <v>3</v>
      </c>
      <c r="M41" s="50">
        <v>3</v>
      </c>
      <c r="N41" s="50">
        <v>0</v>
      </c>
      <c r="O41" s="15">
        <f t="shared" si="0"/>
        <v>16</v>
      </c>
      <c r="P41" s="15">
        <f t="shared" si="1"/>
        <v>19</v>
      </c>
    </row>
    <row r="42" spans="2:20" ht="23.1" customHeight="1" x14ac:dyDescent="0.25">
      <c r="B42" s="24" t="s">
        <v>69</v>
      </c>
      <c r="C42" s="50">
        <v>1</v>
      </c>
      <c r="D42" s="50">
        <v>0</v>
      </c>
      <c r="E42" s="50">
        <v>9</v>
      </c>
      <c r="F42" s="50">
        <v>2</v>
      </c>
      <c r="G42" s="50">
        <v>0</v>
      </c>
      <c r="H42" s="50">
        <v>1</v>
      </c>
      <c r="I42" s="50">
        <v>3</v>
      </c>
      <c r="J42" s="50">
        <v>0</v>
      </c>
      <c r="K42" s="50">
        <v>0</v>
      </c>
      <c r="L42" s="50">
        <v>2</v>
      </c>
      <c r="M42" s="50">
        <v>1</v>
      </c>
      <c r="N42" s="50">
        <v>0</v>
      </c>
      <c r="O42" s="15">
        <f t="shared" si="0"/>
        <v>18</v>
      </c>
      <c r="P42" s="15">
        <f t="shared" si="1"/>
        <v>19</v>
      </c>
    </row>
    <row r="43" spans="2:20" ht="23.1" customHeight="1" x14ac:dyDescent="0.25">
      <c r="B43" s="23" t="s">
        <v>70</v>
      </c>
      <c r="C43" s="50">
        <v>4</v>
      </c>
      <c r="D43" s="50">
        <v>0</v>
      </c>
      <c r="E43" s="50">
        <v>1</v>
      </c>
      <c r="F43" s="50">
        <v>2</v>
      </c>
      <c r="G43" s="50">
        <v>0</v>
      </c>
      <c r="H43" s="50">
        <v>1</v>
      </c>
      <c r="I43" s="50">
        <v>2</v>
      </c>
      <c r="J43" s="50">
        <v>3</v>
      </c>
      <c r="K43" s="50">
        <v>0</v>
      </c>
      <c r="L43" s="50">
        <v>0</v>
      </c>
      <c r="M43" s="50">
        <v>5</v>
      </c>
      <c r="N43" s="50">
        <v>0</v>
      </c>
      <c r="O43" s="15">
        <f t="shared" si="0"/>
        <v>13</v>
      </c>
      <c r="P43" s="15">
        <f t="shared" si="1"/>
        <v>18</v>
      </c>
    </row>
    <row r="44" spans="2:20" ht="23.1" customHeight="1" x14ac:dyDescent="0.25">
      <c r="B44" s="25" t="s">
        <v>71</v>
      </c>
      <c r="C44" s="50">
        <v>3</v>
      </c>
      <c r="D44" s="50">
        <v>0</v>
      </c>
      <c r="E44" s="50">
        <v>2</v>
      </c>
      <c r="F44" s="50">
        <v>1</v>
      </c>
      <c r="G44" s="50">
        <v>0</v>
      </c>
      <c r="H44" s="50">
        <v>0</v>
      </c>
      <c r="I44" s="50">
        <v>3</v>
      </c>
      <c r="J44" s="50">
        <v>0</v>
      </c>
      <c r="K44" s="50">
        <v>0</v>
      </c>
      <c r="L44" s="50">
        <v>1</v>
      </c>
      <c r="M44" s="50">
        <v>3</v>
      </c>
      <c r="N44" s="50">
        <v>0</v>
      </c>
      <c r="O44" s="15">
        <f t="shared" si="0"/>
        <v>10</v>
      </c>
      <c r="P44" s="15">
        <f t="shared" si="1"/>
        <v>13</v>
      </c>
    </row>
    <row r="45" spans="2:20" ht="23.1" customHeight="1" x14ac:dyDescent="0.25">
      <c r="B45" s="23" t="s">
        <v>72</v>
      </c>
      <c r="C45" s="50">
        <v>6</v>
      </c>
      <c r="D45" s="50">
        <v>0</v>
      </c>
      <c r="E45" s="50">
        <v>3</v>
      </c>
      <c r="F45" s="50">
        <v>0</v>
      </c>
      <c r="G45" s="50">
        <v>0</v>
      </c>
      <c r="H45" s="50">
        <v>0</v>
      </c>
      <c r="I45" s="50">
        <v>2</v>
      </c>
      <c r="J45" s="50">
        <v>0</v>
      </c>
      <c r="K45" s="50">
        <v>0</v>
      </c>
      <c r="L45" s="50">
        <v>2</v>
      </c>
      <c r="M45" s="50">
        <v>2</v>
      </c>
      <c r="N45" s="50">
        <v>0</v>
      </c>
      <c r="O45" s="15">
        <f t="shared" si="0"/>
        <v>13</v>
      </c>
      <c r="P45" s="15">
        <f t="shared" si="1"/>
        <v>15</v>
      </c>
    </row>
    <row r="46" spans="2:20" ht="23.1" customHeight="1" x14ac:dyDescent="0.25">
      <c r="B46" s="24" t="s">
        <v>73</v>
      </c>
      <c r="C46" s="50">
        <v>1</v>
      </c>
      <c r="D46" s="50">
        <v>0</v>
      </c>
      <c r="E46" s="50">
        <v>4</v>
      </c>
      <c r="F46" s="50">
        <v>3</v>
      </c>
      <c r="G46" s="50">
        <v>0</v>
      </c>
      <c r="H46" s="50">
        <v>0</v>
      </c>
      <c r="I46" s="50">
        <v>2</v>
      </c>
      <c r="J46" s="50">
        <v>0</v>
      </c>
      <c r="K46" s="50">
        <v>0</v>
      </c>
      <c r="L46" s="50">
        <v>1</v>
      </c>
      <c r="M46" s="50">
        <v>3</v>
      </c>
      <c r="N46" s="50">
        <v>0</v>
      </c>
      <c r="O46" s="15">
        <f t="shared" si="0"/>
        <v>11</v>
      </c>
      <c r="P46" s="15">
        <f t="shared" si="1"/>
        <v>14</v>
      </c>
      <c r="R46" s="8"/>
      <c r="T46"/>
    </row>
    <row r="47" spans="2:20" ht="23.1" customHeight="1" x14ac:dyDescent="0.25">
      <c r="B47" s="24" t="s">
        <v>74</v>
      </c>
      <c r="C47" s="50">
        <v>2</v>
      </c>
      <c r="D47" s="50">
        <v>0</v>
      </c>
      <c r="E47" s="50">
        <v>2</v>
      </c>
      <c r="F47" s="50">
        <v>3</v>
      </c>
      <c r="G47" s="50">
        <v>0</v>
      </c>
      <c r="H47" s="50">
        <v>0</v>
      </c>
      <c r="I47" s="50">
        <v>1</v>
      </c>
      <c r="J47" s="50">
        <v>0</v>
      </c>
      <c r="K47" s="50">
        <v>0</v>
      </c>
      <c r="L47" s="50">
        <v>0</v>
      </c>
      <c r="M47" s="50">
        <v>7</v>
      </c>
      <c r="N47" s="50">
        <v>0</v>
      </c>
      <c r="O47" s="15">
        <f t="shared" si="0"/>
        <v>8</v>
      </c>
      <c r="P47" s="15">
        <f t="shared" si="1"/>
        <v>15</v>
      </c>
      <c r="R47" s="8"/>
      <c r="T47"/>
    </row>
    <row r="48" spans="2:20" ht="23.1" customHeight="1" x14ac:dyDescent="0.25">
      <c r="B48" s="24" t="s">
        <v>75</v>
      </c>
      <c r="C48" s="50">
        <v>4</v>
      </c>
      <c r="D48" s="50">
        <v>0</v>
      </c>
      <c r="E48" s="50">
        <v>3</v>
      </c>
      <c r="F48" s="50">
        <v>3</v>
      </c>
      <c r="G48" s="50">
        <v>0</v>
      </c>
      <c r="H48" s="50">
        <v>0</v>
      </c>
      <c r="I48" s="50">
        <v>1</v>
      </c>
      <c r="J48" s="50">
        <v>0</v>
      </c>
      <c r="K48" s="50">
        <v>0</v>
      </c>
      <c r="L48" s="50">
        <v>1</v>
      </c>
      <c r="M48" s="50">
        <v>5</v>
      </c>
      <c r="N48" s="50">
        <v>0</v>
      </c>
      <c r="O48" s="15">
        <f t="shared" si="0"/>
        <v>12</v>
      </c>
      <c r="P48" s="15">
        <f t="shared" si="1"/>
        <v>17</v>
      </c>
      <c r="R48" s="8"/>
      <c r="T48"/>
    </row>
    <row r="49" spans="2:20" ht="23.1" customHeight="1" x14ac:dyDescent="0.25">
      <c r="B49" s="23" t="s">
        <v>76</v>
      </c>
      <c r="C49" s="50">
        <v>2</v>
      </c>
      <c r="D49" s="50">
        <v>0</v>
      </c>
      <c r="E49" s="50">
        <v>5</v>
      </c>
      <c r="F49" s="50">
        <v>1</v>
      </c>
      <c r="G49" s="50">
        <v>0</v>
      </c>
      <c r="H49" s="50">
        <v>0</v>
      </c>
      <c r="I49" s="50">
        <v>5</v>
      </c>
      <c r="J49" s="50">
        <v>0</v>
      </c>
      <c r="K49" s="50">
        <v>0</v>
      </c>
      <c r="L49" s="50">
        <v>0</v>
      </c>
      <c r="M49" s="50">
        <v>3</v>
      </c>
      <c r="N49" s="50">
        <v>1</v>
      </c>
      <c r="O49" s="15">
        <f t="shared" si="0"/>
        <v>14</v>
      </c>
      <c r="P49" s="15">
        <f t="shared" si="1"/>
        <v>17</v>
      </c>
      <c r="R49" s="8"/>
      <c r="T49"/>
    </row>
    <row r="50" spans="2:20" ht="23.1" customHeight="1" x14ac:dyDescent="0.25">
      <c r="B50" s="24" t="s">
        <v>77</v>
      </c>
      <c r="C50" s="50">
        <v>4</v>
      </c>
      <c r="D50" s="50">
        <v>0</v>
      </c>
      <c r="E50" s="50">
        <v>0</v>
      </c>
      <c r="F50" s="50">
        <v>1</v>
      </c>
      <c r="G50" s="50">
        <v>0</v>
      </c>
      <c r="H50" s="50">
        <v>0</v>
      </c>
      <c r="I50" s="50">
        <v>2</v>
      </c>
      <c r="J50" s="50">
        <v>1</v>
      </c>
      <c r="K50" s="50">
        <v>0</v>
      </c>
      <c r="L50" s="50">
        <v>2</v>
      </c>
      <c r="M50" s="50">
        <v>4</v>
      </c>
      <c r="N50" s="50">
        <v>0</v>
      </c>
      <c r="O50" s="15">
        <f t="shared" si="0"/>
        <v>10</v>
      </c>
      <c r="P50" s="15">
        <f t="shared" si="1"/>
        <v>14</v>
      </c>
      <c r="R50" s="8"/>
      <c r="T50"/>
    </row>
    <row r="51" spans="2:20" ht="23.1" customHeight="1" x14ac:dyDescent="0.25">
      <c r="B51" s="24" t="s">
        <v>78</v>
      </c>
      <c r="C51" s="50">
        <v>3</v>
      </c>
      <c r="D51" s="50">
        <v>0</v>
      </c>
      <c r="E51" s="50">
        <v>7</v>
      </c>
      <c r="F51" s="50">
        <v>3</v>
      </c>
      <c r="G51" s="50">
        <v>0</v>
      </c>
      <c r="H51" s="50">
        <v>0</v>
      </c>
      <c r="I51" s="50">
        <v>2</v>
      </c>
      <c r="J51" s="50">
        <v>0</v>
      </c>
      <c r="K51" s="50">
        <v>0</v>
      </c>
      <c r="L51" s="50">
        <v>2</v>
      </c>
      <c r="M51" s="50">
        <v>5</v>
      </c>
      <c r="N51" s="50">
        <v>0</v>
      </c>
      <c r="O51" s="15">
        <f t="shared" si="0"/>
        <v>17</v>
      </c>
      <c r="P51" s="15">
        <f t="shared" si="1"/>
        <v>22</v>
      </c>
      <c r="R51" s="8"/>
      <c r="T51"/>
    </row>
    <row r="52" spans="2:20" ht="23.1" customHeight="1" x14ac:dyDescent="0.25">
      <c r="B52" s="24" t="s">
        <v>79</v>
      </c>
      <c r="C52" s="50">
        <v>3</v>
      </c>
      <c r="D52" s="50">
        <v>0</v>
      </c>
      <c r="E52" s="50">
        <v>2</v>
      </c>
      <c r="F52" s="50">
        <v>3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5</v>
      </c>
      <c r="N52" s="50">
        <v>0</v>
      </c>
      <c r="O52" s="15">
        <f t="shared" si="0"/>
        <v>8</v>
      </c>
      <c r="P52" s="15">
        <f t="shared" si="1"/>
        <v>13</v>
      </c>
      <c r="R52" s="8"/>
      <c r="T52"/>
    </row>
    <row r="53" spans="2:20" ht="23.1" customHeight="1" x14ac:dyDescent="0.25">
      <c r="B53" s="23" t="s">
        <v>80</v>
      </c>
      <c r="C53" s="50">
        <v>5</v>
      </c>
      <c r="D53" s="50">
        <v>0</v>
      </c>
      <c r="E53" s="50">
        <v>5</v>
      </c>
      <c r="F53" s="50">
        <v>1</v>
      </c>
      <c r="G53" s="50">
        <v>0</v>
      </c>
      <c r="H53" s="50">
        <v>0</v>
      </c>
      <c r="I53" s="50">
        <v>7</v>
      </c>
      <c r="J53" s="50">
        <v>0</v>
      </c>
      <c r="K53" s="50">
        <v>0</v>
      </c>
      <c r="L53" s="50">
        <v>0</v>
      </c>
      <c r="M53" s="50">
        <v>6</v>
      </c>
      <c r="N53" s="50">
        <v>0</v>
      </c>
      <c r="O53" s="15">
        <f t="shared" si="0"/>
        <v>18</v>
      </c>
      <c r="P53" s="15">
        <f t="shared" si="1"/>
        <v>24</v>
      </c>
      <c r="R53" s="8"/>
      <c r="T53"/>
    </row>
    <row r="54" spans="2:20" ht="23.1" customHeight="1" x14ac:dyDescent="0.25">
      <c r="B54" s="23" t="s">
        <v>81</v>
      </c>
      <c r="C54" s="50">
        <v>2</v>
      </c>
      <c r="D54" s="50">
        <v>0</v>
      </c>
      <c r="E54" s="50">
        <v>3</v>
      </c>
      <c r="F54" s="50">
        <v>5</v>
      </c>
      <c r="G54" s="50">
        <v>0</v>
      </c>
      <c r="H54" s="50">
        <v>0</v>
      </c>
      <c r="I54" s="50">
        <v>2</v>
      </c>
      <c r="J54" s="50">
        <v>0</v>
      </c>
      <c r="K54" s="50">
        <v>0</v>
      </c>
      <c r="L54" s="50">
        <v>0</v>
      </c>
      <c r="M54" s="50">
        <v>2</v>
      </c>
      <c r="N54" s="50">
        <v>0</v>
      </c>
      <c r="O54" s="15">
        <f t="shared" si="0"/>
        <v>12</v>
      </c>
      <c r="P54" s="15">
        <f t="shared" si="1"/>
        <v>14</v>
      </c>
      <c r="R54" s="8"/>
      <c r="T54"/>
    </row>
    <row r="55" spans="2:20" ht="23.1" customHeight="1" x14ac:dyDescent="0.25">
      <c r="B55" s="23" t="s">
        <v>82</v>
      </c>
      <c r="C55" s="50">
        <v>8</v>
      </c>
      <c r="D55" s="50">
        <v>0</v>
      </c>
      <c r="E55" s="50">
        <v>9</v>
      </c>
      <c r="F55" s="50">
        <v>2</v>
      </c>
      <c r="G55" s="50">
        <v>0</v>
      </c>
      <c r="H55" s="50">
        <v>0</v>
      </c>
      <c r="I55" s="50">
        <v>1</v>
      </c>
      <c r="J55" s="50">
        <v>0</v>
      </c>
      <c r="K55" s="50">
        <v>0</v>
      </c>
      <c r="L55" s="50">
        <v>1</v>
      </c>
      <c r="M55" s="50">
        <v>7</v>
      </c>
      <c r="N55" s="50">
        <v>0</v>
      </c>
      <c r="O55" s="15">
        <f t="shared" si="0"/>
        <v>21</v>
      </c>
      <c r="P55" s="15">
        <f t="shared" si="1"/>
        <v>28</v>
      </c>
      <c r="R55" s="8"/>
      <c r="T55"/>
    </row>
    <row r="56" spans="2:20" ht="23.1" customHeight="1" x14ac:dyDescent="0.25">
      <c r="B56" s="23" t="s">
        <v>83</v>
      </c>
      <c r="C56" s="50">
        <v>3</v>
      </c>
      <c r="D56" s="50">
        <v>0</v>
      </c>
      <c r="E56" s="50">
        <v>0</v>
      </c>
      <c r="F56" s="50">
        <v>1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1</v>
      </c>
      <c r="M56" s="50">
        <v>1</v>
      </c>
      <c r="N56" s="50">
        <v>0</v>
      </c>
      <c r="O56" s="15">
        <f t="shared" si="0"/>
        <v>5</v>
      </c>
      <c r="P56" s="15">
        <f t="shared" si="1"/>
        <v>6</v>
      </c>
      <c r="R56" s="8"/>
      <c r="T56"/>
    </row>
    <row r="57" spans="2:20" ht="23.1" customHeight="1" x14ac:dyDescent="0.25">
      <c r="B57" s="23" t="s">
        <v>84</v>
      </c>
      <c r="C57" s="50">
        <v>2</v>
      </c>
      <c r="D57" s="50">
        <v>0</v>
      </c>
      <c r="E57" s="50">
        <v>0</v>
      </c>
      <c r="F57" s="50">
        <v>1</v>
      </c>
      <c r="G57" s="50">
        <v>0</v>
      </c>
      <c r="H57" s="50">
        <v>0</v>
      </c>
      <c r="I57" s="50">
        <v>2</v>
      </c>
      <c r="J57" s="50">
        <v>0</v>
      </c>
      <c r="K57" s="50">
        <v>0</v>
      </c>
      <c r="L57" s="50">
        <v>0</v>
      </c>
      <c r="M57" s="50">
        <v>1</v>
      </c>
      <c r="N57" s="50">
        <v>0</v>
      </c>
      <c r="O57" s="15">
        <f t="shared" si="0"/>
        <v>5</v>
      </c>
      <c r="P57" s="15">
        <f t="shared" si="1"/>
        <v>6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133</v>
      </c>
      <c r="D58" s="16">
        <f t="shared" si="21"/>
        <v>0</v>
      </c>
      <c r="E58" s="16">
        <f t="shared" si="21"/>
        <v>160</v>
      </c>
      <c r="F58" s="16">
        <f t="shared" si="21"/>
        <v>106</v>
      </c>
      <c r="G58" s="16">
        <f t="shared" si="21"/>
        <v>0</v>
      </c>
      <c r="H58" s="16">
        <f t="shared" si="21"/>
        <v>11</v>
      </c>
      <c r="I58" s="16">
        <f t="shared" si="21"/>
        <v>71</v>
      </c>
      <c r="J58" s="16">
        <f t="shared" si="21"/>
        <v>8</v>
      </c>
      <c r="K58" s="16">
        <f t="shared" si="21"/>
        <v>0</v>
      </c>
      <c r="L58" s="16">
        <f t="shared" si="21"/>
        <v>35</v>
      </c>
      <c r="M58" s="16">
        <f t="shared" si="21"/>
        <v>181</v>
      </c>
      <c r="N58" s="16">
        <f t="shared" si="21"/>
        <v>2</v>
      </c>
      <c r="O58" s="16">
        <f t="shared" si="21"/>
        <v>526</v>
      </c>
      <c r="P58" s="16">
        <f t="shared" si="21"/>
        <v>707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0.18811881188118812</v>
      </c>
      <c r="D59" s="43">
        <f t="shared" si="22"/>
        <v>0</v>
      </c>
      <c r="E59" s="43">
        <f t="shared" si="22"/>
        <v>0.2263083451202263</v>
      </c>
      <c r="F59" s="43">
        <f t="shared" si="22"/>
        <v>0.14992927864214992</v>
      </c>
      <c r="G59" s="43">
        <f t="shared" si="22"/>
        <v>0</v>
      </c>
      <c r="H59" s="43">
        <f t="shared" si="22"/>
        <v>1.5558698727015558E-2</v>
      </c>
      <c r="I59" s="43">
        <f t="shared" si="22"/>
        <v>0.10042432814710042</v>
      </c>
      <c r="J59" s="43">
        <f t="shared" si="22"/>
        <v>1.1315417256011316E-2</v>
      </c>
      <c r="K59" s="43">
        <f t="shared" si="22"/>
        <v>0</v>
      </c>
      <c r="L59" s="43">
        <f t="shared" si="22"/>
        <v>4.9504950495049507E-2</v>
      </c>
      <c r="M59" s="43">
        <f t="shared" si="22"/>
        <v>0.25601131541725602</v>
      </c>
      <c r="N59" s="43">
        <f t="shared" si="22"/>
        <v>2.828854314002829E-3</v>
      </c>
      <c r="R59" s="8"/>
      <c r="T59"/>
    </row>
    <row r="60" spans="2:20" ht="23.1" customHeight="1" x14ac:dyDescent="0.25">
      <c r="B60" s="42" t="s">
        <v>94</v>
      </c>
      <c r="C60" s="44">
        <f>C58/$O$58</f>
        <v>0.25285171102661597</v>
      </c>
      <c r="D60" s="44">
        <f t="shared" ref="D60:N60" si="23">D58/$O$58</f>
        <v>0</v>
      </c>
      <c r="E60" s="44">
        <f t="shared" si="23"/>
        <v>0.30418250950570341</v>
      </c>
      <c r="F60" s="44">
        <f t="shared" si="23"/>
        <v>0.20152091254752852</v>
      </c>
      <c r="G60" s="44">
        <f t="shared" si="23"/>
        <v>0</v>
      </c>
      <c r="H60" s="44">
        <f t="shared" si="23"/>
        <v>2.0912547528517109E-2</v>
      </c>
      <c r="I60" s="44">
        <f t="shared" si="23"/>
        <v>0.13498098859315588</v>
      </c>
      <c r="J60" s="44">
        <f t="shared" si="23"/>
        <v>1.5209125475285171E-2</v>
      </c>
      <c r="K60" s="44">
        <f t="shared" si="23"/>
        <v>0</v>
      </c>
      <c r="L60" s="44">
        <f t="shared" si="23"/>
        <v>6.6539923954372623E-2</v>
      </c>
      <c r="M60" s="44"/>
      <c r="N60" s="44">
        <f t="shared" si="23"/>
        <v>3.8022813688212928E-3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F126"/>
  <sheetViews>
    <sheetView view="pageBreakPreview" topLeftCell="A40" zoomScale="60" workbookViewId="0">
      <selection activeCell="P11" sqref="P11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>
        <f>'5.8 BWERA-KIKORONGO'!C3:G3</f>
        <v>0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'6.8 KIKORONGO-BWERA'!D5</f>
        <v>23.07.19</v>
      </c>
      <c r="E5" s="3"/>
      <c r="F5" s="41" t="s">
        <v>1</v>
      </c>
      <c r="G5" s="63">
        <f>'5.8 KIKORONGO-BWERA'!G5:H5</f>
        <v>0</v>
      </c>
      <c r="H5" s="64"/>
      <c r="I5" s="14"/>
      <c r="J5" s="2" t="s">
        <v>5</v>
      </c>
      <c r="K5" s="63">
        <f>'5.8 KIKORONGO-BWERA'!K5:L5</f>
        <v>0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'5.8 BWERA-KIKORONGO'!D6:E6</f>
        <v>Clocktower</v>
      </c>
      <c r="E6" s="64"/>
      <c r="F6" s="2" t="s">
        <v>2</v>
      </c>
      <c r="G6" s="63" t="str">
        <f>'5.8 BWERA-KIKORONGO'!G6:H6</f>
        <v>Nsambya</v>
      </c>
      <c r="H6" s="64"/>
      <c r="J6" s="2" t="s">
        <v>21</v>
      </c>
      <c r="K6" s="63">
        <f>'5.8 KIKORONGO-BWERA'!K6:L6</f>
        <v>0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4</v>
      </c>
      <c r="D10" s="50">
        <v>0</v>
      </c>
      <c r="E10" s="50">
        <v>1</v>
      </c>
      <c r="F10" s="50">
        <v>2</v>
      </c>
      <c r="G10" s="50">
        <v>0</v>
      </c>
      <c r="H10" s="50">
        <v>0</v>
      </c>
      <c r="I10" s="50">
        <v>1</v>
      </c>
      <c r="J10" s="50">
        <v>0</v>
      </c>
      <c r="K10" s="50">
        <v>0</v>
      </c>
      <c r="L10" s="50">
        <v>0</v>
      </c>
      <c r="M10" s="50">
        <v>0</v>
      </c>
      <c r="N10" s="50">
        <v>0</v>
      </c>
      <c r="O10" s="15">
        <f t="shared" ref="O10:O57" si="0">SUM(C10:L10,N10)</f>
        <v>8</v>
      </c>
      <c r="P10" s="15">
        <f t="shared" ref="P10:P57" si="1">SUM(C10:N10)</f>
        <v>8</v>
      </c>
      <c r="R10" s="1" t="s">
        <v>6</v>
      </c>
      <c r="S10" s="17">
        <f t="shared" ref="S10:AF10" si="2">SUM(C10:C13)</f>
        <v>13</v>
      </c>
      <c r="T10" s="17">
        <f t="shared" si="2"/>
        <v>0</v>
      </c>
      <c r="U10" s="17">
        <f t="shared" si="2"/>
        <v>5</v>
      </c>
      <c r="V10" s="17">
        <f t="shared" si="2"/>
        <v>11</v>
      </c>
      <c r="W10" s="17">
        <f t="shared" si="2"/>
        <v>0</v>
      </c>
      <c r="X10" s="17">
        <f t="shared" si="2"/>
        <v>0</v>
      </c>
      <c r="Y10" s="17">
        <f t="shared" si="2"/>
        <v>10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8</v>
      </c>
      <c r="AD10" s="17">
        <f t="shared" si="2"/>
        <v>0</v>
      </c>
      <c r="AE10" s="31">
        <f t="shared" si="2"/>
        <v>39</v>
      </c>
      <c r="AF10" s="31">
        <f t="shared" si="2"/>
        <v>47</v>
      </c>
    </row>
    <row r="11" spans="2:32" s="6" customFormat="1" ht="23.1" customHeight="1" x14ac:dyDescent="0.25">
      <c r="B11" s="23" t="s">
        <v>38</v>
      </c>
      <c r="C11" s="50">
        <v>2</v>
      </c>
      <c r="D11" s="50">
        <v>0</v>
      </c>
      <c r="E11" s="50">
        <v>3</v>
      </c>
      <c r="F11" s="50">
        <v>2</v>
      </c>
      <c r="G11" s="50">
        <v>0</v>
      </c>
      <c r="H11" s="50">
        <v>0</v>
      </c>
      <c r="I11" s="50">
        <v>2</v>
      </c>
      <c r="J11" s="50">
        <v>0</v>
      </c>
      <c r="K11" s="50">
        <v>0</v>
      </c>
      <c r="L11" s="50">
        <v>0</v>
      </c>
      <c r="M11" s="50">
        <v>2</v>
      </c>
      <c r="N11" s="50">
        <v>0</v>
      </c>
      <c r="O11" s="15">
        <f t="shared" si="0"/>
        <v>9</v>
      </c>
      <c r="P11" s="15">
        <f t="shared" si="1"/>
        <v>11</v>
      </c>
      <c r="R11" s="1" t="s">
        <v>7</v>
      </c>
      <c r="S11" s="17">
        <f t="shared" ref="S11:AF11" si="3">SUM(C14:C17)</f>
        <v>27</v>
      </c>
      <c r="T11" s="17">
        <f t="shared" si="3"/>
        <v>0</v>
      </c>
      <c r="U11" s="17">
        <f t="shared" si="3"/>
        <v>18</v>
      </c>
      <c r="V11" s="17">
        <f t="shared" si="3"/>
        <v>9</v>
      </c>
      <c r="W11" s="17">
        <f t="shared" si="3"/>
        <v>0</v>
      </c>
      <c r="X11" s="17">
        <f t="shared" si="3"/>
        <v>0</v>
      </c>
      <c r="Y11" s="17">
        <f t="shared" si="3"/>
        <v>14</v>
      </c>
      <c r="Z11" s="17">
        <f t="shared" si="3"/>
        <v>1</v>
      </c>
      <c r="AA11" s="17">
        <f t="shared" si="3"/>
        <v>0</v>
      </c>
      <c r="AB11" s="17">
        <f t="shared" si="3"/>
        <v>0</v>
      </c>
      <c r="AC11" s="17">
        <f t="shared" si="3"/>
        <v>19</v>
      </c>
      <c r="AD11" s="17">
        <f t="shared" si="3"/>
        <v>0</v>
      </c>
      <c r="AE11" s="31">
        <f t="shared" si="3"/>
        <v>69</v>
      </c>
      <c r="AF11" s="31">
        <f t="shared" si="3"/>
        <v>88</v>
      </c>
    </row>
    <row r="12" spans="2:32" ht="23.1" customHeight="1" x14ac:dyDescent="0.25">
      <c r="B12" s="23" t="s">
        <v>39</v>
      </c>
      <c r="C12" s="50">
        <v>2</v>
      </c>
      <c r="D12" s="50">
        <v>0</v>
      </c>
      <c r="E12" s="50">
        <v>0</v>
      </c>
      <c r="F12" s="50">
        <v>3</v>
      </c>
      <c r="G12" s="50">
        <v>0</v>
      </c>
      <c r="H12" s="50">
        <v>0</v>
      </c>
      <c r="I12" s="50">
        <v>4</v>
      </c>
      <c r="J12" s="50">
        <v>0</v>
      </c>
      <c r="K12" s="50">
        <v>0</v>
      </c>
      <c r="L12" s="50">
        <v>0</v>
      </c>
      <c r="M12" s="50">
        <v>3</v>
      </c>
      <c r="N12" s="50">
        <v>0</v>
      </c>
      <c r="O12" s="15">
        <f t="shared" si="0"/>
        <v>9</v>
      </c>
      <c r="P12" s="15">
        <f t="shared" si="1"/>
        <v>12</v>
      </c>
      <c r="R12" s="1" t="s">
        <v>8</v>
      </c>
      <c r="S12" s="17">
        <f t="shared" ref="S12:AF12" si="4">SUM(C18:C21)</f>
        <v>16</v>
      </c>
      <c r="T12" s="17">
        <f t="shared" si="4"/>
        <v>0</v>
      </c>
      <c r="U12" s="17">
        <f t="shared" si="4"/>
        <v>12</v>
      </c>
      <c r="V12" s="17">
        <f t="shared" si="4"/>
        <v>13</v>
      </c>
      <c r="W12" s="17">
        <f t="shared" si="4"/>
        <v>0</v>
      </c>
      <c r="X12" s="17">
        <f t="shared" si="4"/>
        <v>0</v>
      </c>
      <c r="Y12" s="17">
        <f t="shared" si="4"/>
        <v>10</v>
      </c>
      <c r="Z12" s="17">
        <f t="shared" si="4"/>
        <v>2</v>
      </c>
      <c r="AA12" s="17">
        <f t="shared" si="4"/>
        <v>0</v>
      </c>
      <c r="AB12" s="17">
        <f t="shared" si="4"/>
        <v>3</v>
      </c>
      <c r="AC12" s="17">
        <f t="shared" si="4"/>
        <v>14</v>
      </c>
      <c r="AD12" s="17">
        <f t="shared" si="4"/>
        <v>0</v>
      </c>
      <c r="AE12" s="31">
        <f t="shared" si="4"/>
        <v>56</v>
      </c>
      <c r="AF12" s="31">
        <f t="shared" si="4"/>
        <v>70</v>
      </c>
    </row>
    <row r="13" spans="2:32" ht="23.1" customHeight="1" x14ac:dyDescent="0.25">
      <c r="B13" s="23" t="s">
        <v>40</v>
      </c>
      <c r="C13" s="50">
        <v>5</v>
      </c>
      <c r="D13" s="50">
        <v>0</v>
      </c>
      <c r="E13" s="50">
        <v>1</v>
      </c>
      <c r="F13" s="50">
        <v>4</v>
      </c>
      <c r="G13" s="50">
        <v>0</v>
      </c>
      <c r="H13" s="50">
        <v>0</v>
      </c>
      <c r="I13" s="50">
        <v>3</v>
      </c>
      <c r="J13" s="50">
        <v>0</v>
      </c>
      <c r="K13" s="50">
        <v>0</v>
      </c>
      <c r="L13" s="50">
        <v>0</v>
      </c>
      <c r="M13" s="50">
        <v>3</v>
      </c>
      <c r="N13" s="50">
        <v>0</v>
      </c>
      <c r="O13" s="15">
        <f t="shared" si="0"/>
        <v>13</v>
      </c>
      <c r="P13" s="15">
        <f t="shared" si="1"/>
        <v>16</v>
      </c>
      <c r="R13" s="1" t="s">
        <v>9</v>
      </c>
      <c r="S13" s="17">
        <f t="shared" ref="S13:AF13" si="5">SUM(C22:C25)</f>
        <v>24</v>
      </c>
      <c r="T13" s="17">
        <f t="shared" si="5"/>
        <v>0</v>
      </c>
      <c r="U13" s="17">
        <f t="shared" si="5"/>
        <v>12</v>
      </c>
      <c r="V13" s="17">
        <f t="shared" si="5"/>
        <v>5</v>
      </c>
      <c r="W13" s="17">
        <f t="shared" si="5"/>
        <v>0</v>
      </c>
      <c r="X13" s="17">
        <f t="shared" si="5"/>
        <v>0</v>
      </c>
      <c r="Y13" s="17">
        <f t="shared" si="5"/>
        <v>6</v>
      </c>
      <c r="Z13" s="17">
        <f t="shared" si="5"/>
        <v>0</v>
      </c>
      <c r="AA13" s="17">
        <f t="shared" si="5"/>
        <v>0</v>
      </c>
      <c r="AB13" s="17">
        <f t="shared" si="5"/>
        <v>9</v>
      </c>
      <c r="AC13" s="17">
        <f t="shared" si="5"/>
        <v>12</v>
      </c>
      <c r="AD13" s="17">
        <f t="shared" si="5"/>
        <v>0</v>
      </c>
      <c r="AE13" s="31">
        <f t="shared" si="5"/>
        <v>56</v>
      </c>
      <c r="AF13" s="31">
        <f t="shared" si="5"/>
        <v>68</v>
      </c>
    </row>
    <row r="14" spans="2:32" ht="23.1" customHeight="1" x14ac:dyDescent="0.25">
      <c r="B14" s="23" t="s">
        <v>41</v>
      </c>
      <c r="C14" s="50">
        <v>4</v>
      </c>
      <c r="D14" s="50">
        <v>0</v>
      </c>
      <c r="E14" s="50">
        <v>6</v>
      </c>
      <c r="F14" s="50">
        <v>1</v>
      </c>
      <c r="G14" s="50">
        <v>0</v>
      </c>
      <c r="H14" s="50">
        <v>0</v>
      </c>
      <c r="I14" s="50">
        <v>3</v>
      </c>
      <c r="J14" s="50">
        <v>0</v>
      </c>
      <c r="K14" s="50">
        <v>0</v>
      </c>
      <c r="L14" s="50">
        <v>0</v>
      </c>
      <c r="M14" s="50">
        <v>3</v>
      </c>
      <c r="N14" s="50">
        <v>0</v>
      </c>
      <c r="O14" s="15">
        <f t="shared" si="0"/>
        <v>14</v>
      </c>
      <c r="P14" s="15">
        <f t="shared" si="1"/>
        <v>17</v>
      </c>
      <c r="R14" s="1" t="s">
        <v>10</v>
      </c>
      <c r="S14" s="17">
        <f t="shared" ref="S14:AF14" si="6">SUM(C26:C29)</f>
        <v>16</v>
      </c>
      <c r="T14" s="17">
        <f t="shared" si="6"/>
        <v>0</v>
      </c>
      <c r="U14" s="17">
        <f t="shared" si="6"/>
        <v>8</v>
      </c>
      <c r="V14" s="17">
        <f t="shared" si="6"/>
        <v>11</v>
      </c>
      <c r="W14" s="17">
        <f t="shared" si="6"/>
        <v>0</v>
      </c>
      <c r="X14" s="17">
        <f t="shared" si="6"/>
        <v>0</v>
      </c>
      <c r="Y14" s="17">
        <f t="shared" si="6"/>
        <v>1</v>
      </c>
      <c r="Z14" s="17">
        <f t="shared" si="6"/>
        <v>2</v>
      </c>
      <c r="AA14" s="17">
        <f t="shared" si="6"/>
        <v>0</v>
      </c>
      <c r="AB14" s="17">
        <f t="shared" si="6"/>
        <v>5</v>
      </c>
      <c r="AC14" s="17">
        <f t="shared" si="6"/>
        <v>22</v>
      </c>
      <c r="AD14" s="17">
        <f t="shared" si="6"/>
        <v>0</v>
      </c>
      <c r="AE14" s="31">
        <f t="shared" si="6"/>
        <v>43</v>
      </c>
      <c r="AF14" s="31">
        <f t="shared" si="6"/>
        <v>65</v>
      </c>
    </row>
    <row r="15" spans="2:32" ht="23.1" customHeight="1" x14ac:dyDescent="0.25">
      <c r="B15" s="23" t="s">
        <v>42</v>
      </c>
      <c r="C15" s="50">
        <v>9</v>
      </c>
      <c r="D15" s="50">
        <v>0</v>
      </c>
      <c r="E15" s="50">
        <v>4</v>
      </c>
      <c r="F15" s="50">
        <v>3</v>
      </c>
      <c r="G15" s="50">
        <v>0</v>
      </c>
      <c r="H15" s="50">
        <v>0</v>
      </c>
      <c r="I15" s="50">
        <v>2</v>
      </c>
      <c r="J15" s="50">
        <v>0</v>
      </c>
      <c r="K15" s="50">
        <v>0</v>
      </c>
      <c r="L15" s="50">
        <v>0</v>
      </c>
      <c r="M15" s="50">
        <v>3</v>
      </c>
      <c r="N15" s="50">
        <v>0</v>
      </c>
      <c r="O15" s="15">
        <f t="shared" si="0"/>
        <v>18</v>
      </c>
      <c r="P15" s="15">
        <f t="shared" si="1"/>
        <v>21</v>
      </c>
      <c r="R15" s="1" t="s">
        <v>11</v>
      </c>
      <c r="S15" s="17">
        <f t="shared" ref="S15:AF15" si="7">SUM(C30:C33)</f>
        <v>17</v>
      </c>
      <c r="T15" s="17">
        <f t="shared" si="7"/>
        <v>0</v>
      </c>
      <c r="U15" s="17">
        <f t="shared" si="7"/>
        <v>14</v>
      </c>
      <c r="V15" s="17">
        <f t="shared" si="7"/>
        <v>8</v>
      </c>
      <c r="W15" s="17">
        <f t="shared" si="7"/>
        <v>0</v>
      </c>
      <c r="X15" s="17">
        <f t="shared" si="7"/>
        <v>1</v>
      </c>
      <c r="Y15" s="17">
        <f t="shared" si="7"/>
        <v>6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11</v>
      </c>
      <c r="AD15" s="17">
        <f t="shared" si="7"/>
        <v>0</v>
      </c>
      <c r="AE15" s="31">
        <f t="shared" si="7"/>
        <v>46</v>
      </c>
      <c r="AF15" s="31">
        <f t="shared" si="7"/>
        <v>57</v>
      </c>
    </row>
    <row r="16" spans="2:32" ht="23.1" customHeight="1" x14ac:dyDescent="0.25">
      <c r="B16" s="23" t="s">
        <v>43</v>
      </c>
      <c r="C16" s="50">
        <v>6</v>
      </c>
      <c r="D16" s="50">
        <v>0</v>
      </c>
      <c r="E16" s="50">
        <v>5</v>
      </c>
      <c r="F16" s="50">
        <v>2</v>
      </c>
      <c r="G16" s="50">
        <v>0</v>
      </c>
      <c r="H16" s="50">
        <v>0</v>
      </c>
      <c r="I16" s="50">
        <v>4</v>
      </c>
      <c r="J16" s="50">
        <v>1</v>
      </c>
      <c r="K16" s="50">
        <v>0</v>
      </c>
      <c r="L16" s="50">
        <v>0</v>
      </c>
      <c r="M16" s="50">
        <v>5</v>
      </c>
      <c r="N16" s="50">
        <v>0</v>
      </c>
      <c r="O16" s="15">
        <f t="shared" si="0"/>
        <v>18</v>
      </c>
      <c r="P16" s="15">
        <f t="shared" si="1"/>
        <v>23</v>
      </c>
      <c r="R16" s="1" t="s">
        <v>12</v>
      </c>
      <c r="S16" s="17">
        <f t="shared" ref="S16:AF16" si="8">SUM(C34:C37)</f>
        <v>25</v>
      </c>
      <c r="T16" s="17">
        <f t="shared" si="8"/>
        <v>0</v>
      </c>
      <c r="U16" s="17">
        <f t="shared" si="8"/>
        <v>7</v>
      </c>
      <c r="V16" s="17">
        <f t="shared" si="8"/>
        <v>5</v>
      </c>
      <c r="W16" s="17">
        <f t="shared" si="8"/>
        <v>1</v>
      </c>
      <c r="X16" s="17">
        <f t="shared" si="8"/>
        <v>0</v>
      </c>
      <c r="Y16" s="17">
        <f t="shared" si="8"/>
        <v>2</v>
      </c>
      <c r="Z16" s="17">
        <f t="shared" si="8"/>
        <v>0</v>
      </c>
      <c r="AA16" s="17">
        <f t="shared" si="8"/>
        <v>0</v>
      </c>
      <c r="AB16" s="17">
        <f t="shared" si="8"/>
        <v>1</v>
      </c>
      <c r="AC16" s="17">
        <f t="shared" si="8"/>
        <v>17</v>
      </c>
      <c r="AD16" s="17">
        <f t="shared" si="8"/>
        <v>0</v>
      </c>
      <c r="AE16" s="31">
        <f t="shared" si="8"/>
        <v>41</v>
      </c>
      <c r="AF16" s="31">
        <f t="shared" si="8"/>
        <v>58</v>
      </c>
    </row>
    <row r="17" spans="2:32" ht="23.1" customHeight="1" x14ac:dyDescent="0.25">
      <c r="B17" s="23" t="s">
        <v>44</v>
      </c>
      <c r="C17" s="50">
        <v>8</v>
      </c>
      <c r="D17" s="50">
        <v>0</v>
      </c>
      <c r="E17" s="50">
        <v>3</v>
      </c>
      <c r="F17" s="50">
        <v>3</v>
      </c>
      <c r="G17" s="50">
        <v>0</v>
      </c>
      <c r="H17" s="50">
        <v>0</v>
      </c>
      <c r="I17" s="50">
        <v>5</v>
      </c>
      <c r="J17" s="50">
        <v>0</v>
      </c>
      <c r="K17" s="50">
        <v>0</v>
      </c>
      <c r="L17" s="50">
        <v>0</v>
      </c>
      <c r="M17" s="50">
        <v>8</v>
      </c>
      <c r="N17" s="50">
        <v>0</v>
      </c>
      <c r="O17" s="15">
        <f t="shared" si="0"/>
        <v>19</v>
      </c>
      <c r="P17" s="15">
        <f t="shared" si="1"/>
        <v>27</v>
      </c>
      <c r="R17" s="1" t="s">
        <v>13</v>
      </c>
      <c r="S17" s="17">
        <f t="shared" ref="S17:AF17" si="9">SUM(C38:C41)</f>
        <v>23</v>
      </c>
      <c r="T17" s="17">
        <f t="shared" si="9"/>
        <v>0</v>
      </c>
      <c r="U17" s="17">
        <f t="shared" si="9"/>
        <v>4</v>
      </c>
      <c r="V17" s="17">
        <f t="shared" si="9"/>
        <v>8</v>
      </c>
      <c r="W17" s="17">
        <f t="shared" si="9"/>
        <v>0</v>
      </c>
      <c r="X17" s="17">
        <f t="shared" si="9"/>
        <v>0</v>
      </c>
      <c r="Y17" s="17">
        <f t="shared" si="9"/>
        <v>4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14</v>
      </c>
      <c r="AD17" s="17">
        <f t="shared" si="9"/>
        <v>0</v>
      </c>
      <c r="AE17" s="31">
        <f t="shared" si="9"/>
        <v>39</v>
      </c>
      <c r="AF17" s="31">
        <f t="shared" si="9"/>
        <v>53</v>
      </c>
    </row>
    <row r="18" spans="2:32" ht="23.1" customHeight="1" x14ac:dyDescent="0.25">
      <c r="B18" s="23" t="s">
        <v>45</v>
      </c>
      <c r="C18" s="50">
        <v>5</v>
      </c>
      <c r="D18" s="50">
        <v>0</v>
      </c>
      <c r="E18" s="50">
        <v>2</v>
      </c>
      <c r="F18" s="50">
        <v>5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2</v>
      </c>
      <c r="M18" s="50">
        <v>2</v>
      </c>
      <c r="N18" s="50">
        <v>0</v>
      </c>
      <c r="O18" s="15">
        <f t="shared" si="0"/>
        <v>15</v>
      </c>
      <c r="P18" s="15">
        <f t="shared" si="1"/>
        <v>17</v>
      </c>
      <c r="R18" s="1" t="s">
        <v>14</v>
      </c>
      <c r="S18" s="17">
        <f t="shared" ref="S18:AF18" si="10">SUM(C42:C45)</f>
        <v>9</v>
      </c>
      <c r="T18" s="17">
        <f t="shared" si="10"/>
        <v>0</v>
      </c>
      <c r="U18" s="17">
        <f t="shared" si="10"/>
        <v>4</v>
      </c>
      <c r="V18" s="17">
        <f t="shared" si="10"/>
        <v>9</v>
      </c>
      <c r="W18" s="17">
        <f t="shared" si="10"/>
        <v>0</v>
      </c>
      <c r="X18" s="17">
        <f t="shared" si="10"/>
        <v>1</v>
      </c>
      <c r="Y18" s="17">
        <f t="shared" si="10"/>
        <v>4</v>
      </c>
      <c r="Z18" s="17">
        <f t="shared" si="10"/>
        <v>0</v>
      </c>
      <c r="AA18" s="17">
        <f t="shared" si="10"/>
        <v>0</v>
      </c>
      <c r="AB18" s="17">
        <f t="shared" si="10"/>
        <v>1</v>
      </c>
      <c r="AC18" s="17">
        <f t="shared" si="10"/>
        <v>10</v>
      </c>
      <c r="AD18" s="17">
        <f t="shared" si="10"/>
        <v>0</v>
      </c>
      <c r="AE18" s="31">
        <f t="shared" si="10"/>
        <v>28</v>
      </c>
      <c r="AF18" s="31">
        <f t="shared" si="10"/>
        <v>38</v>
      </c>
    </row>
    <row r="19" spans="2:32" ht="23.1" customHeight="1" x14ac:dyDescent="0.25">
      <c r="B19" s="23" t="s">
        <v>46</v>
      </c>
      <c r="C19" s="50">
        <v>2</v>
      </c>
      <c r="D19" s="50">
        <v>0</v>
      </c>
      <c r="E19" s="50">
        <v>3</v>
      </c>
      <c r="F19" s="50">
        <v>3</v>
      </c>
      <c r="G19" s="50">
        <v>0</v>
      </c>
      <c r="H19" s="50">
        <v>0</v>
      </c>
      <c r="I19" s="50">
        <v>0</v>
      </c>
      <c r="J19" s="50">
        <v>1</v>
      </c>
      <c r="K19" s="50">
        <v>0</v>
      </c>
      <c r="L19" s="50">
        <v>0</v>
      </c>
      <c r="M19" s="50">
        <v>1</v>
      </c>
      <c r="N19" s="50">
        <v>0</v>
      </c>
      <c r="O19" s="15">
        <f t="shared" si="0"/>
        <v>9</v>
      </c>
      <c r="P19" s="15">
        <f t="shared" si="1"/>
        <v>10</v>
      </c>
      <c r="R19" s="1" t="s">
        <v>15</v>
      </c>
      <c r="S19" s="17">
        <f t="shared" ref="S19:AF19" si="11">SUM(C46:C49)</f>
        <v>18</v>
      </c>
      <c r="T19" s="17">
        <f t="shared" si="11"/>
        <v>0</v>
      </c>
      <c r="U19" s="17">
        <f t="shared" si="11"/>
        <v>7</v>
      </c>
      <c r="V19" s="17">
        <f t="shared" si="11"/>
        <v>12</v>
      </c>
      <c r="W19" s="17">
        <f t="shared" si="11"/>
        <v>0</v>
      </c>
      <c r="X19" s="17">
        <f t="shared" si="11"/>
        <v>0</v>
      </c>
      <c r="Y19" s="17">
        <f t="shared" si="11"/>
        <v>2</v>
      </c>
      <c r="Z19" s="17">
        <f t="shared" si="11"/>
        <v>0</v>
      </c>
      <c r="AA19" s="17">
        <f t="shared" si="11"/>
        <v>0</v>
      </c>
      <c r="AB19" s="17">
        <f t="shared" si="11"/>
        <v>2</v>
      </c>
      <c r="AC19" s="17">
        <f t="shared" si="11"/>
        <v>13</v>
      </c>
      <c r="AD19" s="17">
        <f t="shared" si="11"/>
        <v>0</v>
      </c>
      <c r="AE19" s="31">
        <f t="shared" si="11"/>
        <v>41</v>
      </c>
      <c r="AF19" s="31">
        <f t="shared" si="11"/>
        <v>54</v>
      </c>
    </row>
    <row r="20" spans="2:32" ht="23.1" customHeight="1" x14ac:dyDescent="0.25">
      <c r="B20" s="23" t="s">
        <v>47</v>
      </c>
      <c r="C20" s="50">
        <v>4</v>
      </c>
      <c r="D20" s="50">
        <v>0</v>
      </c>
      <c r="E20" s="50">
        <v>5</v>
      </c>
      <c r="F20" s="50">
        <v>1</v>
      </c>
      <c r="G20" s="50">
        <v>0</v>
      </c>
      <c r="H20" s="50">
        <v>0</v>
      </c>
      <c r="I20" s="50">
        <v>3</v>
      </c>
      <c r="J20" s="50">
        <v>1</v>
      </c>
      <c r="K20" s="50">
        <v>0</v>
      </c>
      <c r="L20" s="50">
        <v>1</v>
      </c>
      <c r="M20" s="50">
        <v>4</v>
      </c>
      <c r="N20" s="50">
        <v>0</v>
      </c>
      <c r="O20" s="15">
        <f t="shared" si="0"/>
        <v>15</v>
      </c>
      <c r="P20" s="15">
        <f t="shared" si="1"/>
        <v>19</v>
      </c>
      <c r="R20" s="1" t="s">
        <v>16</v>
      </c>
      <c r="S20" s="17">
        <f t="shared" ref="S20:AF20" si="12">SUM(C50:C53)</f>
        <v>16</v>
      </c>
      <c r="T20" s="17">
        <f t="shared" si="12"/>
        <v>0</v>
      </c>
      <c r="U20" s="17">
        <f t="shared" si="12"/>
        <v>2</v>
      </c>
      <c r="V20" s="17">
        <f t="shared" si="12"/>
        <v>18</v>
      </c>
      <c r="W20" s="17">
        <f t="shared" si="12"/>
        <v>0</v>
      </c>
      <c r="X20" s="17">
        <f t="shared" si="12"/>
        <v>0</v>
      </c>
      <c r="Y20" s="17">
        <f t="shared" si="12"/>
        <v>2</v>
      </c>
      <c r="Z20" s="17">
        <f t="shared" si="12"/>
        <v>0</v>
      </c>
      <c r="AA20" s="17">
        <f t="shared" si="12"/>
        <v>0</v>
      </c>
      <c r="AB20" s="17">
        <f t="shared" si="12"/>
        <v>2</v>
      </c>
      <c r="AC20" s="17">
        <f t="shared" si="12"/>
        <v>17</v>
      </c>
      <c r="AD20" s="17">
        <f t="shared" si="12"/>
        <v>0</v>
      </c>
      <c r="AE20" s="31">
        <f t="shared" si="12"/>
        <v>40</v>
      </c>
      <c r="AF20" s="31">
        <f t="shared" si="12"/>
        <v>57</v>
      </c>
    </row>
    <row r="21" spans="2:32" ht="23.1" customHeight="1" x14ac:dyDescent="0.25">
      <c r="B21" s="23" t="s">
        <v>48</v>
      </c>
      <c r="C21" s="50">
        <v>5</v>
      </c>
      <c r="D21" s="50">
        <v>0</v>
      </c>
      <c r="E21" s="50">
        <v>2</v>
      </c>
      <c r="F21" s="50">
        <v>4</v>
      </c>
      <c r="G21" s="50">
        <v>0</v>
      </c>
      <c r="H21" s="50">
        <v>0</v>
      </c>
      <c r="I21" s="50">
        <v>6</v>
      </c>
      <c r="J21" s="50">
        <v>0</v>
      </c>
      <c r="K21" s="50">
        <v>0</v>
      </c>
      <c r="L21" s="50">
        <v>0</v>
      </c>
      <c r="M21" s="50">
        <v>7</v>
      </c>
      <c r="N21" s="50">
        <v>0</v>
      </c>
      <c r="O21" s="15">
        <f t="shared" si="0"/>
        <v>17</v>
      </c>
      <c r="P21" s="15">
        <f t="shared" si="1"/>
        <v>24</v>
      </c>
      <c r="R21" s="36" t="s">
        <v>20</v>
      </c>
      <c r="S21" s="34">
        <f t="shared" ref="S21:AF21" si="13">SUM(C54:C57)</f>
        <v>16</v>
      </c>
      <c r="T21" s="17">
        <f t="shared" si="13"/>
        <v>0</v>
      </c>
      <c r="U21" s="17">
        <f t="shared" si="13"/>
        <v>3</v>
      </c>
      <c r="V21" s="17">
        <f t="shared" si="13"/>
        <v>8</v>
      </c>
      <c r="W21" s="17">
        <f t="shared" si="13"/>
        <v>0</v>
      </c>
      <c r="X21" s="17">
        <f t="shared" si="13"/>
        <v>1</v>
      </c>
      <c r="Y21" s="17">
        <f t="shared" si="13"/>
        <v>5</v>
      </c>
      <c r="Z21" s="17">
        <f t="shared" si="13"/>
        <v>0</v>
      </c>
      <c r="AA21" s="17">
        <f t="shared" si="13"/>
        <v>0</v>
      </c>
      <c r="AB21" s="17">
        <f t="shared" si="13"/>
        <v>5</v>
      </c>
      <c r="AC21" s="17">
        <f t="shared" si="13"/>
        <v>13</v>
      </c>
      <c r="AD21" s="17">
        <f t="shared" si="13"/>
        <v>0</v>
      </c>
      <c r="AE21" s="31">
        <f t="shared" si="13"/>
        <v>38</v>
      </c>
      <c r="AF21" s="31">
        <f t="shared" si="13"/>
        <v>51</v>
      </c>
    </row>
    <row r="22" spans="2:32" ht="23.1" customHeight="1" x14ac:dyDescent="0.25">
      <c r="B22" s="23" t="s">
        <v>49</v>
      </c>
      <c r="C22" s="50">
        <v>11</v>
      </c>
      <c r="D22" s="50">
        <v>0</v>
      </c>
      <c r="E22" s="50">
        <v>5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1</v>
      </c>
      <c r="M22" s="50">
        <v>2</v>
      </c>
      <c r="N22" s="50">
        <v>0</v>
      </c>
      <c r="O22" s="15">
        <f t="shared" si="0"/>
        <v>17</v>
      </c>
      <c r="P22" s="15">
        <f t="shared" si="1"/>
        <v>19</v>
      </c>
      <c r="R22" s="38" t="s">
        <v>90</v>
      </c>
      <c r="S22" s="39">
        <f>MAX(S10:S12)</f>
        <v>27</v>
      </c>
      <c r="T22" s="39">
        <f t="shared" ref="T22:AF22" si="14">MAX(T10:T12)</f>
        <v>0</v>
      </c>
      <c r="U22" s="39">
        <f t="shared" si="14"/>
        <v>18</v>
      </c>
      <c r="V22" s="39">
        <f t="shared" si="14"/>
        <v>13</v>
      </c>
      <c r="W22" s="39">
        <f t="shared" si="14"/>
        <v>0</v>
      </c>
      <c r="X22" s="39">
        <f t="shared" si="14"/>
        <v>0</v>
      </c>
      <c r="Y22" s="39">
        <f t="shared" si="14"/>
        <v>14</v>
      </c>
      <c r="Z22" s="39">
        <f t="shared" si="14"/>
        <v>2</v>
      </c>
      <c r="AA22" s="39">
        <f t="shared" si="14"/>
        <v>0</v>
      </c>
      <c r="AB22" s="39">
        <f t="shared" si="14"/>
        <v>3</v>
      </c>
      <c r="AC22" s="39">
        <f t="shared" si="14"/>
        <v>19</v>
      </c>
      <c r="AD22" s="39">
        <f t="shared" si="14"/>
        <v>0</v>
      </c>
      <c r="AE22" s="40">
        <f t="shared" si="14"/>
        <v>69</v>
      </c>
      <c r="AF22" s="40">
        <f t="shared" si="14"/>
        <v>88</v>
      </c>
    </row>
    <row r="23" spans="2:32" ht="23.1" customHeight="1" x14ac:dyDescent="0.25">
      <c r="B23" s="23" t="s">
        <v>50</v>
      </c>
      <c r="C23" s="50">
        <v>5</v>
      </c>
      <c r="D23" s="50">
        <v>0</v>
      </c>
      <c r="E23" s="50">
        <v>3</v>
      </c>
      <c r="F23" s="50">
        <v>3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7</v>
      </c>
      <c r="M23" s="50">
        <v>1</v>
      </c>
      <c r="N23" s="50">
        <v>0</v>
      </c>
      <c r="O23" s="15">
        <f t="shared" si="0"/>
        <v>18</v>
      </c>
      <c r="P23" s="15">
        <f t="shared" si="1"/>
        <v>19</v>
      </c>
      <c r="R23" s="38" t="s">
        <v>91</v>
      </c>
      <c r="S23" s="39">
        <f>MAX(S13:S18)</f>
        <v>25</v>
      </c>
      <c r="T23" s="39">
        <f t="shared" ref="T23:AF23" si="15">MAX(T13:T18)</f>
        <v>0</v>
      </c>
      <c r="U23" s="39">
        <f t="shared" si="15"/>
        <v>14</v>
      </c>
      <c r="V23" s="39">
        <f t="shared" si="15"/>
        <v>11</v>
      </c>
      <c r="W23" s="39">
        <f t="shared" si="15"/>
        <v>1</v>
      </c>
      <c r="X23" s="39">
        <f t="shared" si="15"/>
        <v>1</v>
      </c>
      <c r="Y23" s="39">
        <f t="shared" si="15"/>
        <v>6</v>
      </c>
      <c r="Z23" s="39">
        <f t="shared" si="15"/>
        <v>2</v>
      </c>
      <c r="AA23" s="39">
        <f t="shared" si="15"/>
        <v>0</v>
      </c>
      <c r="AB23" s="39">
        <f t="shared" si="15"/>
        <v>9</v>
      </c>
      <c r="AC23" s="39">
        <f t="shared" si="15"/>
        <v>22</v>
      </c>
      <c r="AD23" s="39">
        <f t="shared" si="15"/>
        <v>0</v>
      </c>
      <c r="AE23" s="40">
        <f t="shared" si="15"/>
        <v>56</v>
      </c>
      <c r="AF23" s="40">
        <f t="shared" si="15"/>
        <v>68</v>
      </c>
    </row>
    <row r="24" spans="2:32" ht="23.1" customHeight="1" x14ac:dyDescent="0.25">
      <c r="B24" s="23" t="s">
        <v>51</v>
      </c>
      <c r="C24" s="50">
        <v>3</v>
      </c>
      <c r="D24" s="50">
        <v>0</v>
      </c>
      <c r="E24" s="50">
        <v>3</v>
      </c>
      <c r="F24" s="50">
        <v>0</v>
      </c>
      <c r="G24" s="50">
        <v>0</v>
      </c>
      <c r="H24" s="50">
        <v>0</v>
      </c>
      <c r="I24" s="50">
        <v>3</v>
      </c>
      <c r="J24" s="50">
        <v>0</v>
      </c>
      <c r="K24" s="50">
        <v>0</v>
      </c>
      <c r="L24" s="50">
        <v>0</v>
      </c>
      <c r="M24" s="50">
        <v>7</v>
      </c>
      <c r="N24" s="50">
        <v>0</v>
      </c>
      <c r="O24" s="15">
        <f t="shared" si="0"/>
        <v>9</v>
      </c>
      <c r="P24" s="15">
        <f t="shared" si="1"/>
        <v>16</v>
      </c>
      <c r="R24" s="38" t="s">
        <v>92</v>
      </c>
      <c r="S24" s="39">
        <f>MAX(S19:S21)</f>
        <v>18</v>
      </c>
      <c r="T24" s="39">
        <f t="shared" ref="T24:AF24" si="16">MAX(T19:T21)</f>
        <v>0</v>
      </c>
      <c r="U24" s="39">
        <f t="shared" si="16"/>
        <v>7</v>
      </c>
      <c r="V24" s="39">
        <f t="shared" si="16"/>
        <v>18</v>
      </c>
      <c r="W24" s="39">
        <f t="shared" si="16"/>
        <v>0</v>
      </c>
      <c r="X24" s="39">
        <f t="shared" si="16"/>
        <v>1</v>
      </c>
      <c r="Y24" s="39">
        <f t="shared" si="16"/>
        <v>5</v>
      </c>
      <c r="Z24" s="39">
        <f t="shared" si="16"/>
        <v>0</v>
      </c>
      <c r="AA24" s="39">
        <f t="shared" si="16"/>
        <v>0</v>
      </c>
      <c r="AB24" s="39">
        <f t="shared" si="16"/>
        <v>5</v>
      </c>
      <c r="AC24" s="39">
        <f t="shared" si="16"/>
        <v>17</v>
      </c>
      <c r="AD24" s="39">
        <f t="shared" si="16"/>
        <v>0</v>
      </c>
      <c r="AE24" s="40">
        <f t="shared" si="16"/>
        <v>41</v>
      </c>
      <c r="AF24" s="40">
        <f t="shared" si="16"/>
        <v>57</v>
      </c>
    </row>
    <row r="25" spans="2:32" ht="23.1" customHeight="1" x14ac:dyDescent="0.25">
      <c r="B25" s="23" t="s">
        <v>52</v>
      </c>
      <c r="C25" s="50">
        <v>5</v>
      </c>
      <c r="D25" s="50">
        <v>0</v>
      </c>
      <c r="E25" s="50">
        <v>1</v>
      </c>
      <c r="F25" s="50">
        <v>2</v>
      </c>
      <c r="G25" s="50">
        <v>0</v>
      </c>
      <c r="H25" s="50">
        <v>0</v>
      </c>
      <c r="I25" s="50">
        <v>3</v>
      </c>
      <c r="J25" s="50">
        <v>0</v>
      </c>
      <c r="K25" s="50">
        <v>0</v>
      </c>
      <c r="L25" s="50">
        <v>1</v>
      </c>
      <c r="M25" s="50">
        <v>2</v>
      </c>
      <c r="N25" s="50">
        <v>0</v>
      </c>
      <c r="O25" s="15">
        <f t="shared" si="0"/>
        <v>12</v>
      </c>
      <c r="P25" s="15">
        <f t="shared" si="1"/>
        <v>14</v>
      </c>
      <c r="R25" s="37" t="s">
        <v>85</v>
      </c>
      <c r="S25" s="35">
        <f t="shared" ref="S25:AF25" si="17">SUM(S10:S12)</f>
        <v>56</v>
      </c>
      <c r="T25" s="16">
        <f t="shared" si="17"/>
        <v>0</v>
      </c>
      <c r="U25" s="16">
        <f t="shared" si="17"/>
        <v>35</v>
      </c>
      <c r="V25" s="16">
        <f t="shared" si="17"/>
        <v>33</v>
      </c>
      <c r="W25" s="16">
        <f t="shared" si="17"/>
        <v>0</v>
      </c>
      <c r="X25" s="16">
        <f t="shared" si="17"/>
        <v>0</v>
      </c>
      <c r="Y25" s="16">
        <f t="shared" si="17"/>
        <v>34</v>
      </c>
      <c r="Z25" s="16">
        <f t="shared" si="17"/>
        <v>3</v>
      </c>
      <c r="AA25" s="16">
        <f t="shared" si="17"/>
        <v>0</v>
      </c>
      <c r="AB25" s="16">
        <f t="shared" si="17"/>
        <v>3</v>
      </c>
      <c r="AC25" s="16">
        <f t="shared" si="17"/>
        <v>41</v>
      </c>
      <c r="AD25" s="16">
        <f t="shared" si="17"/>
        <v>0</v>
      </c>
      <c r="AE25" s="32">
        <f t="shared" si="17"/>
        <v>164</v>
      </c>
      <c r="AF25" s="32">
        <f t="shared" si="17"/>
        <v>205</v>
      </c>
    </row>
    <row r="26" spans="2:32" ht="23.1" customHeight="1" x14ac:dyDescent="0.25">
      <c r="B26" s="23" t="s">
        <v>53</v>
      </c>
      <c r="C26" s="50">
        <v>6</v>
      </c>
      <c r="D26" s="50">
        <v>0</v>
      </c>
      <c r="E26" s="50">
        <v>2</v>
      </c>
      <c r="F26" s="50">
        <v>4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1</v>
      </c>
      <c r="M26" s="50">
        <v>3</v>
      </c>
      <c r="N26" s="50">
        <v>0</v>
      </c>
      <c r="O26" s="15">
        <f t="shared" si="0"/>
        <v>13</v>
      </c>
      <c r="P26" s="15">
        <f t="shared" si="1"/>
        <v>16</v>
      </c>
      <c r="R26" s="28" t="s">
        <v>86</v>
      </c>
      <c r="S26" s="16">
        <f t="shared" ref="S26:AF26" si="18">SUM(S13:S18)</f>
        <v>114</v>
      </c>
      <c r="T26" s="16">
        <f t="shared" si="18"/>
        <v>0</v>
      </c>
      <c r="U26" s="16">
        <f t="shared" si="18"/>
        <v>49</v>
      </c>
      <c r="V26" s="16">
        <f t="shared" si="18"/>
        <v>46</v>
      </c>
      <c r="W26" s="16">
        <f t="shared" si="18"/>
        <v>1</v>
      </c>
      <c r="X26" s="16">
        <f t="shared" si="18"/>
        <v>2</v>
      </c>
      <c r="Y26" s="16">
        <f t="shared" si="18"/>
        <v>23</v>
      </c>
      <c r="Z26" s="16">
        <f t="shared" si="18"/>
        <v>2</v>
      </c>
      <c r="AA26" s="16">
        <f t="shared" si="18"/>
        <v>0</v>
      </c>
      <c r="AB26" s="16">
        <f t="shared" si="18"/>
        <v>16</v>
      </c>
      <c r="AC26" s="16">
        <f t="shared" si="18"/>
        <v>86</v>
      </c>
      <c r="AD26" s="16">
        <f t="shared" si="18"/>
        <v>0</v>
      </c>
      <c r="AE26" s="32">
        <f t="shared" si="18"/>
        <v>253</v>
      </c>
      <c r="AF26" s="32">
        <f t="shared" si="18"/>
        <v>339</v>
      </c>
    </row>
    <row r="27" spans="2:32" ht="23.1" customHeight="1" x14ac:dyDescent="0.25">
      <c r="B27" s="23" t="s">
        <v>54</v>
      </c>
      <c r="C27" s="50">
        <v>3</v>
      </c>
      <c r="D27" s="50">
        <v>0</v>
      </c>
      <c r="E27" s="50">
        <v>3</v>
      </c>
      <c r="F27" s="50">
        <v>2</v>
      </c>
      <c r="G27" s="50">
        <v>0</v>
      </c>
      <c r="H27" s="50">
        <v>0</v>
      </c>
      <c r="I27" s="50">
        <v>0</v>
      </c>
      <c r="J27" s="50">
        <v>1</v>
      </c>
      <c r="K27" s="50">
        <v>0</v>
      </c>
      <c r="L27" s="50">
        <v>2</v>
      </c>
      <c r="M27" s="50">
        <v>1</v>
      </c>
      <c r="N27" s="50">
        <v>0</v>
      </c>
      <c r="O27" s="15">
        <f t="shared" si="0"/>
        <v>11</v>
      </c>
      <c r="P27" s="15">
        <f t="shared" si="1"/>
        <v>12</v>
      </c>
      <c r="R27" s="29" t="s">
        <v>87</v>
      </c>
      <c r="S27" s="16">
        <f t="shared" ref="S27:AF27" si="19">SUM(S19:S21)</f>
        <v>50</v>
      </c>
      <c r="T27" s="16">
        <f t="shared" si="19"/>
        <v>0</v>
      </c>
      <c r="U27" s="16">
        <f t="shared" si="19"/>
        <v>12</v>
      </c>
      <c r="V27" s="16">
        <f t="shared" si="19"/>
        <v>38</v>
      </c>
      <c r="W27" s="16">
        <f t="shared" si="19"/>
        <v>0</v>
      </c>
      <c r="X27" s="16">
        <f t="shared" si="19"/>
        <v>1</v>
      </c>
      <c r="Y27" s="16">
        <f t="shared" si="19"/>
        <v>9</v>
      </c>
      <c r="Z27" s="16">
        <f t="shared" si="19"/>
        <v>0</v>
      </c>
      <c r="AA27" s="16">
        <f t="shared" si="19"/>
        <v>0</v>
      </c>
      <c r="AB27" s="16">
        <f t="shared" si="19"/>
        <v>9</v>
      </c>
      <c r="AC27" s="16">
        <f t="shared" si="19"/>
        <v>43</v>
      </c>
      <c r="AD27" s="16">
        <f t="shared" si="19"/>
        <v>0</v>
      </c>
      <c r="AE27" s="32">
        <f t="shared" si="19"/>
        <v>119</v>
      </c>
      <c r="AF27" s="32">
        <f t="shared" si="19"/>
        <v>162</v>
      </c>
    </row>
    <row r="28" spans="2:32" ht="23.1" customHeight="1" x14ac:dyDescent="0.25">
      <c r="B28" s="23" t="s">
        <v>55</v>
      </c>
      <c r="C28" s="50">
        <v>2</v>
      </c>
      <c r="D28" s="50">
        <v>0</v>
      </c>
      <c r="E28" s="50">
        <v>1</v>
      </c>
      <c r="F28" s="50">
        <v>3</v>
      </c>
      <c r="G28" s="50">
        <v>0</v>
      </c>
      <c r="H28" s="50">
        <v>0</v>
      </c>
      <c r="I28" s="50">
        <v>0</v>
      </c>
      <c r="J28" s="50">
        <v>1</v>
      </c>
      <c r="K28" s="50">
        <v>0</v>
      </c>
      <c r="L28" s="50">
        <v>1</v>
      </c>
      <c r="M28" s="50">
        <v>12</v>
      </c>
      <c r="N28" s="50">
        <v>0</v>
      </c>
      <c r="O28" s="15">
        <f t="shared" si="0"/>
        <v>8</v>
      </c>
      <c r="P28" s="15">
        <f t="shared" si="1"/>
        <v>20</v>
      </c>
      <c r="R28" s="5" t="s">
        <v>17</v>
      </c>
      <c r="S28" s="16">
        <f t="shared" ref="S28:AF28" si="20">SUM(S10:S21)</f>
        <v>220</v>
      </c>
      <c r="T28" s="16">
        <f t="shared" si="20"/>
        <v>0</v>
      </c>
      <c r="U28" s="16">
        <f t="shared" si="20"/>
        <v>96</v>
      </c>
      <c r="V28" s="16">
        <f t="shared" si="20"/>
        <v>117</v>
      </c>
      <c r="W28" s="16">
        <f t="shared" si="20"/>
        <v>1</v>
      </c>
      <c r="X28" s="16">
        <f t="shared" si="20"/>
        <v>3</v>
      </c>
      <c r="Y28" s="16">
        <f t="shared" si="20"/>
        <v>66</v>
      </c>
      <c r="Z28" s="16">
        <f t="shared" si="20"/>
        <v>5</v>
      </c>
      <c r="AA28" s="16">
        <f t="shared" si="20"/>
        <v>0</v>
      </c>
      <c r="AB28" s="16">
        <f t="shared" si="20"/>
        <v>28</v>
      </c>
      <c r="AC28" s="16">
        <f t="shared" si="20"/>
        <v>170</v>
      </c>
      <c r="AD28" s="16">
        <f t="shared" si="20"/>
        <v>0</v>
      </c>
      <c r="AE28" s="32">
        <f t="shared" si="20"/>
        <v>536</v>
      </c>
      <c r="AF28" s="32">
        <f t="shared" si="20"/>
        <v>706</v>
      </c>
    </row>
    <row r="29" spans="2:32" ht="23.1" customHeight="1" x14ac:dyDescent="0.25">
      <c r="B29" s="23" t="s">
        <v>56</v>
      </c>
      <c r="C29" s="50">
        <v>5</v>
      </c>
      <c r="D29" s="50">
        <v>0</v>
      </c>
      <c r="E29" s="50">
        <v>2</v>
      </c>
      <c r="F29" s="50">
        <v>2</v>
      </c>
      <c r="G29" s="50">
        <v>0</v>
      </c>
      <c r="H29" s="50">
        <v>0</v>
      </c>
      <c r="I29" s="50">
        <v>1</v>
      </c>
      <c r="J29" s="50">
        <v>0</v>
      </c>
      <c r="K29" s="50">
        <v>0</v>
      </c>
      <c r="L29" s="50">
        <v>1</v>
      </c>
      <c r="M29" s="50">
        <v>6</v>
      </c>
      <c r="N29" s="50">
        <v>0</v>
      </c>
      <c r="O29" s="15">
        <f t="shared" si="0"/>
        <v>11</v>
      </c>
      <c r="P29" s="15">
        <f t="shared" si="1"/>
        <v>17</v>
      </c>
      <c r="R29"/>
      <c r="S29" s="20"/>
      <c r="T29" s="19"/>
    </row>
    <row r="30" spans="2:32" ht="23.1" customHeight="1" x14ac:dyDescent="0.25">
      <c r="B30" s="23" t="s">
        <v>57</v>
      </c>
      <c r="C30" s="50">
        <v>6</v>
      </c>
      <c r="D30" s="50">
        <v>0</v>
      </c>
      <c r="E30" s="50">
        <v>4</v>
      </c>
      <c r="F30" s="50">
        <v>2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2</v>
      </c>
      <c r="N30" s="50">
        <v>0</v>
      </c>
      <c r="O30" s="15">
        <f t="shared" si="0"/>
        <v>12</v>
      </c>
      <c r="P30" s="15">
        <f t="shared" si="1"/>
        <v>14</v>
      </c>
    </row>
    <row r="31" spans="2:32" ht="23.1" customHeight="1" x14ac:dyDescent="0.25">
      <c r="B31" s="24" t="s">
        <v>58</v>
      </c>
      <c r="C31" s="50">
        <v>6</v>
      </c>
      <c r="D31" s="50">
        <v>0</v>
      </c>
      <c r="E31" s="50">
        <v>3</v>
      </c>
      <c r="F31" s="50">
        <v>1</v>
      </c>
      <c r="G31" s="50">
        <v>0</v>
      </c>
      <c r="H31" s="50">
        <v>0</v>
      </c>
      <c r="I31" s="50">
        <v>2</v>
      </c>
      <c r="J31" s="50">
        <v>0</v>
      </c>
      <c r="K31" s="50">
        <v>0</v>
      </c>
      <c r="L31" s="50">
        <v>0</v>
      </c>
      <c r="M31" s="50">
        <v>3</v>
      </c>
      <c r="N31" s="50">
        <v>0</v>
      </c>
      <c r="O31" s="15">
        <f t="shared" si="0"/>
        <v>12</v>
      </c>
      <c r="P31" s="15">
        <f t="shared" si="1"/>
        <v>15</v>
      </c>
    </row>
    <row r="32" spans="2:32" ht="23.1" customHeight="1" x14ac:dyDescent="0.25">
      <c r="B32" s="24" t="s">
        <v>59</v>
      </c>
      <c r="C32" s="50">
        <v>5</v>
      </c>
      <c r="D32" s="50">
        <v>0</v>
      </c>
      <c r="E32" s="50">
        <v>5</v>
      </c>
      <c r="F32" s="50">
        <v>4</v>
      </c>
      <c r="G32" s="50">
        <v>0</v>
      </c>
      <c r="H32" s="50">
        <v>0</v>
      </c>
      <c r="I32" s="50">
        <v>4</v>
      </c>
      <c r="J32" s="50">
        <v>0</v>
      </c>
      <c r="K32" s="50">
        <v>0</v>
      </c>
      <c r="L32" s="50">
        <v>0</v>
      </c>
      <c r="M32" s="50">
        <v>4</v>
      </c>
      <c r="N32" s="50">
        <v>0</v>
      </c>
      <c r="O32" s="15">
        <f t="shared" si="0"/>
        <v>18</v>
      </c>
      <c r="P32" s="15">
        <f t="shared" si="1"/>
        <v>22</v>
      </c>
    </row>
    <row r="33" spans="2:20" ht="23.1" customHeight="1" x14ac:dyDescent="0.25">
      <c r="B33" s="23" t="s">
        <v>60</v>
      </c>
      <c r="C33" s="50">
        <v>0</v>
      </c>
      <c r="D33" s="50">
        <v>0</v>
      </c>
      <c r="E33" s="50">
        <v>2</v>
      </c>
      <c r="F33" s="50">
        <v>1</v>
      </c>
      <c r="G33" s="50">
        <v>0</v>
      </c>
      <c r="H33" s="50">
        <v>1</v>
      </c>
      <c r="I33" s="50">
        <v>0</v>
      </c>
      <c r="J33" s="50">
        <v>0</v>
      </c>
      <c r="K33" s="50">
        <v>0</v>
      </c>
      <c r="L33" s="50">
        <v>0</v>
      </c>
      <c r="M33" s="50">
        <v>2</v>
      </c>
      <c r="N33" s="50">
        <v>0</v>
      </c>
      <c r="O33" s="15">
        <f t="shared" si="0"/>
        <v>4</v>
      </c>
      <c r="P33" s="15">
        <f t="shared" si="1"/>
        <v>6</v>
      </c>
    </row>
    <row r="34" spans="2:20" ht="23.1" customHeight="1" x14ac:dyDescent="0.25">
      <c r="B34" s="24" t="s">
        <v>61</v>
      </c>
      <c r="C34" s="50">
        <v>3</v>
      </c>
      <c r="D34" s="50">
        <v>0</v>
      </c>
      <c r="E34" s="50">
        <v>4</v>
      </c>
      <c r="F34" s="50">
        <v>1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3</v>
      </c>
      <c r="N34" s="50">
        <v>0</v>
      </c>
      <c r="O34" s="15">
        <f t="shared" si="0"/>
        <v>8</v>
      </c>
      <c r="P34" s="15">
        <f t="shared" si="1"/>
        <v>11</v>
      </c>
    </row>
    <row r="35" spans="2:20" ht="23.1" customHeight="1" x14ac:dyDescent="0.25">
      <c r="B35" s="24" t="s">
        <v>62</v>
      </c>
      <c r="C35" s="50">
        <v>3</v>
      </c>
      <c r="D35" s="50">
        <v>0</v>
      </c>
      <c r="E35" s="50">
        <v>1</v>
      </c>
      <c r="F35" s="50">
        <v>0</v>
      </c>
      <c r="G35" s="50">
        <v>0</v>
      </c>
      <c r="H35" s="50">
        <v>0</v>
      </c>
      <c r="I35" s="50">
        <v>2</v>
      </c>
      <c r="J35" s="50">
        <v>0</v>
      </c>
      <c r="K35" s="50">
        <v>0</v>
      </c>
      <c r="L35" s="50">
        <v>1</v>
      </c>
      <c r="M35" s="50">
        <v>6</v>
      </c>
      <c r="N35" s="50">
        <v>0</v>
      </c>
      <c r="O35" s="15">
        <f t="shared" si="0"/>
        <v>7</v>
      </c>
      <c r="P35" s="15">
        <f t="shared" si="1"/>
        <v>13</v>
      </c>
    </row>
    <row r="36" spans="2:20" ht="23.1" customHeight="1" x14ac:dyDescent="0.25">
      <c r="B36" s="24" t="s">
        <v>63</v>
      </c>
      <c r="C36" s="50">
        <v>11</v>
      </c>
      <c r="D36" s="50">
        <v>0</v>
      </c>
      <c r="E36" s="50">
        <v>1</v>
      </c>
      <c r="F36" s="50">
        <v>2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3</v>
      </c>
      <c r="N36" s="50">
        <v>0</v>
      </c>
      <c r="O36" s="15">
        <f t="shared" si="0"/>
        <v>14</v>
      </c>
      <c r="P36" s="15">
        <f t="shared" si="1"/>
        <v>17</v>
      </c>
    </row>
    <row r="37" spans="2:20" ht="23.1" customHeight="1" x14ac:dyDescent="0.25">
      <c r="B37" s="23" t="s">
        <v>64</v>
      </c>
      <c r="C37" s="50">
        <v>8</v>
      </c>
      <c r="D37" s="50">
        <v>0</v>
      </c>
      <c r="E37" s="50">
        <v>1</v>
      </c>
      <c r="F37" s="50">
        <v>2</v>
      </c>
      <c r="G37" s="50">
        <v>1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5</v>
      </c>
      <c r="N37" s="50">
        <v>0</v>
      </c>
      <c r="O37" s="15">
        <f t="shared" si="0"/>
        <v>12</v>
      </c>
      <c r="P37" s="15">
        <f t="shared" si="1"/>
        <v>17</v>
      </c>
    </row>
    <row r="38" spans="2:20" ht="23.1" customHeight="1" x14ac:dyDescent="0.25">
      <c r="B38" s="24" t="s">
        <v>65</v>
      </c>
      <c r="C38" s="50">
        <v>8</v>
      </c>
      <c r="D38" s="50">
        <v>0</v>
      </c>
      <c r="E38" s="50">
        <v>0</v>
      </c>
      <c r="F38" s="50">
        <v>1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3</v>
      </c>
      <c r="N38" s="50">
        <v>0</v>
      </c>
      <c r="O38" s="15">
        <f t="shared" si="0"/>
        <v>9</v>
      </c>
      <c r="P38" s="15">
        <f t="shared" si="1"/>
        <v>12</v>
      </c>
    </row>
    <row r="39" spans="2:20" ht="23.1" customHeight="1" x14ac:dyDescent="0.25">
      <c r="B39" s="24" t="s">
        <v>66</v>
      </c>
      <c r="C39" s="50">
        <v>5</v>
      </c>
      <c r="D39" s="50">
        <v>0</v>
      </c>
      <c r="E39" s="50">
        <v>2</v>
      </c>
      <c r="F39" s="50">
        <v>3</v>
      </c>
      <c r="G39" s="50">
        <v>0</v>
      </c>
      <c r="H39" s="50">
        <v>0</v>
      </c>
      <c r="I39" s="50">
        <v>2</v>
      </c>
      <c r="J39" s="50">
        <v>0</v>
      </c>
      <c r="K39" s="50">
        <v>0</v>
      </c>
      <c r="L39" s="50">
        <v>0</v>
      </c>
      <c r="M39" s="50">
        <v>4</v>
      </c>
      <c r="N39" s="50">
        <v>0</v>
      </c>
      <c r="O39" s="15">
        <f t="shared" si="0"/>
        <v>12</v>
      </c>
      <c r="P39" s="15">
        <f t="shared" si="1"/>
        <v>16</v>
      </c>
    </row>
    <row r="40" spans="2:20" ht="23.1" customHeight="1" x14ac:dyDescent="0.25">
      <c r="B40" s="24" t="s">
        <v>67</v>
      </c>
      <c r="C40" s="50">
        <v>3</v>
      </c>
      <c r="D40" s="50">
        <v>0</v>
      </c>
      <c r="E40" s="50">
        <v>1</v>
      </c>
      <c r="F40" s="50">
        <v>2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4</v>
      </c>
      <c r="N40" s="50">
        <v>0</v>
      </c>
      <c r="O40" s="15">
        <f t="shared" si="0"/>
        <v>6</v>
      </c>
      <c r="P40" s="15">
        <f t="shared" si="1"/>
        <v>10</v>
      </c>
    </row>
    <row r="41" spans="2:20" ht="23.1" customHeight="1" x14ac:dyDescent="0.25">
      <c r="B41" s="23" t="s">
        <v>68</v>
      </c>
      <c r="C41" s="50">
        <v>7</v>
      </c>
      <c r="D41" s="50">
        <v>0</v>
      </c>
      <c r="E41" s="50">
        <v>1</v>
      </c>
      <c r="F41" s="50">
        <v>2</v>
      </c>
      <c r="G41" s="50">
        <v>0</v>
      </c>
      <c r="H41" s="50">
        <v>0</v>
      </c>
      <c r="I41" s="50">
        <v>2</v>
      </c>
      <c r="J41" s="50">
        <v>0</v>
      </c>
      <c r="K41" s="50">
        <v>0</v>
      </c>
      <c r="L41" s="50">
        <v>0</v>
      </c>
      <c r="M41" s="50">
        <v>3</v>
      </c>
      <c r="N41" s="50">
        <v>0</v>
      </c>
      <c r="O41" s="15">
        <f t="shared" si="0"/>
        <v>12</v>
      </c>
      <c r="P41" s="15">
        <f t="shared" si="1"/>
        <v>15</v>
      </c>
    </row>
    <row r="42" spans="2:20" ht="23.1" customHeight="1" x14ac:dyDescent="0.25">
      <c r="B42" s="24" t="s">
        <v>69</v>
      </c>
      <c r="C42" s="50">
        <v>1</v>
      </c>
      <c r="D42" s="50">
        <v>0</v>
      </c>
      <c r="E42" s="50">
        <v>2</v>
      </c>
      <c r="F42" s="50">
        <v>1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1</v>
      </c>
      <c r="M42" s="50">
        <v>3</v>
      </c>
      <c r="N42" s="50">
        <v>0</v>
      </c>
      <c r="O42" s="15">
        <f t="shared" si="0"/>
        <v>6</v>
      </c>
      <c r="P42" s="15">
        <f t="shared" si="1"/>
        <v>9</v>
      </c>
    </row>
    <row r="43" spans="2:20" ht="23.1" customHeight="1" x14ac:dyDescent="0.25">
      <c r="B43" s="23" t="s">
        <v>70</v>
      </c>
      <c r="C43" s="50">
        <v>4</v>
      </c>
      <c r="D43" s="50">
        <v>0</v>
      </c>
      <c r="E43" s="50">
        <v>0</v>
      </c>
      <c r="F43" s="50">
        <v>3</v>
      </c>
      <c r="G43" s="50">
        <v>0</v>
      </c>
      <c r="H43" s="50">
        <v>0</v>
      </c>
      <c r="I43" s="50">
        <v>1</v>
      </c>
      <c r="J43" s="50">
        <v>0</v>
      </c>
      <c r="K43" s="50">
        <v>0</v>
      </c>
      <c r="L43" s="50">
        <v>0</v>
      </c>
      <c r="M43" s="50">
        <v>2</v>
      </c>
      <c r="N43" s="50">
        <v>0</v>
      </c>
      <c r="O43" s="15">
        <f t="shared" si="0"/>
        <v>8</v>
      </c>
      <c r="P43" s="15">
        <f t="shared" si="1"/>
        <v>10</v>
      </c>
    </row>
    <row r="44" spans="2:20" ht="23.1" customHeight="1" x14ac:dyDescent="0.25">
      <c r="B44" s="25" t="s">
        <v>71</v>
      </c>
      <c r="C44" s="50">
        <v>1</v>
      </c>
      <c r="D44" s="50">
        <v>0</v>
      </c>
      <c r="E44" s="50">
        <v>1</v>
      </c>
      <c r="F44" s="50">
        <v>2</v>
      </c>
      <c r="G44" s="50">
        <v>0</v>
      </c>
      <c r="H44" s="50">
        <v>0</v>
      </c>
      <c r="I44" s="50">
        <v>2</v>
      </c>
      <c r="J44" s="50">
        <v>0</v>
      </c>
      <c r="K44" s="50">
        <v>0</v>
      </c>
      <c r="L44" s="50">
        <v>0</v>
      </c>
      <c r="M44" s="50">
        <v>4</v>
      </c>
      <c r="N44" s="50">
        <v>0</v>
      </c>
      <c r="O44" s="15">
        <f t="shared" si="0"/>
        <v>6</v>
      </c>
      <c r="P44" s="15">
        <f t="shared" si="1"/>
        <v>10</v>
      </c>
    </row>
    <row r="45" spans="2:20" ht="23.1" customHeight="1" x14ac:dyDescent="0.25">
      <c r="B45" s="23" t="s">
        <v>72</v>
      </c>
      <c r="C45" s="50">
        <v>3</v>
      </c>
      <c r="D45" s="50">
        <v>0</v>
      </c>
      <c r="E45" s="50">
        <v>1</v>
      </c>
      <c r="F45" s="50">
        <v>3</v>
      </c>
      <c r="G45" s="50">
        <v>0</v>
      </c>
      <c r="H45" s="50">
        <v>1</v>
      </c>
      <c r="I45" s="50">
        <v>0</v>
      </c>
      <c r="J45" s="50">
        <v>0</v>
      </c>
      <c r="K45" s="50">
        <v>0</v>
      </c>
      <c r="L45" s="50">
        <v>0</v>
      </c>
      <c r="M45" s="50">
        <v>1</v>
      </c>
      <c r="N45" s="50">
        <v>0</v>
      </c>
      <c r="O45" s="15">
        <f t="shared" si="0"/>
        <v>8</v>
      </c>
      <c r="P45" s="15">
        <f t="shared" si="1"/>
        <v>9</v>
      </c>
    </row>
    <row r="46" spans="2:20" ht="23.1" customHeight="1" x14ac:dyDescent="0.25">
      <c r="B46" s="24" t="s">
        <v>73</v>
      </c>
      <c r="C46" s="50">
        <v>3</v>
      </c>
      <c r="D46" s="50">
        <v>0</v>
      </c>
      <c r="E46" s="50">
        <v>0</v>
      </c>
      <c r="F46" s="50">
        <v>1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4</v>
      </c>
      <c r="N46" s="50">
        <v>0</v>
      </c>
      <c r="O46" s="15">
        <f t="shared" si="0"/>
        <v>4</v>
      </c>
      <c r="P46" s="15">
        <f t="shared" si="1"/>
        <v>8</v>
      </c>
      <c r="R46" s="8"/>
      <c r="T46"/>
    </row>
    <row r="47" spans="2:20" ht="23.1" customHeight="1" x14ac:dyDescent="0.25">
      <c r="B47" s="24" t="s">
        <v>74</v>
      </c>
      <c r="C47" s="50">
        <v>7</v>
      </c>
      <c r="D47" s="50">
        <v>0</v>
      </c>
      <c r="E47" s="50">
        <v>2</v>
      </c>
      <c r="F47" s="50">
        <v>4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3</v>
      </c>
      <c r="N47" s="50">
        <v>0</v>
      </c>
      <c r="O47" s="15">
        <f t="shared" si="0"/>
        <v>13</v>
      </c>
      <c r="P47" s="15">
        <f t="shared" si="1"/>
        <v>16</v>
      </c>
      <c r="R47" s="8"/>
      <c r="T47"/>
    </row>
    <row r="48" spans="2:20" ht="23.1" customHeight="1" x14ac:dyDescent="0.25">
      <c r="B48" s="24" t="s">
        <v>75</v>
      </c>
      <c r="C48" s="50">
        <v>2</v>
      </c>
      <c r="D48" s="50">
        <v>0</v>
      </c>
      <c r="E48" s="50">
        <v>2</v>
      </c>
      <c r="F48" s="50">
        <v>2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1</v>
      </c>
      <c r="M48" s="50">
        <v>1</v>
      </c>
      <c r="N48" s="50">
        <v>0</v>
      </c>
      <c r="O48" s="15">
        <f t="shared" si="0"/>
        <v>7</v>
      </c>
      <c r="P48" s="15">
        <f t="shared" si="1"/>
        <v>8</v>
      </c>
      <c r="R48" s="8"/>
      <c r="T48"/>
    </row>
    <row r="49" spans="2:20" ht="23.1" customHeight="1" x14ac:dyDescent="0.25">
      <c r="B49" s="23" t="s">
        <v>76</v>
      </c>
      <c r="C49" s="50">
        <v>6</v>
      </c>
      <c r="D49" s="50">
        <v>0</v>
      </c>
      <c r="E49" s="50">
        <v>3</v>
      </c>
      <c r="F49" s="50">
        <v>5</v>
      </c>
      <c r="G49" s="50">
        <v>0</v>
      </c>
      <c r="H49" s="50">
        <v>0</v>
      </c>
      <c r="I49" s="50">
        <v>2</v>
      </c>
      <c r="J49" s="50">
        <v>0</v>
      </c>
      <c r="K49" s="50">
        <v>0</v>
      </c>
      <c r="L49" s="50">
        <v>1</v>
      </c>
      <c r="M49" s="50">
        <v>5</v>
      </c>
      <c r="N49" s="50">
        <v>0</v>
      </c>
      <c r="O49" s="15">
        <f t="shared" si="0"/>
        <v>17</v>
      </c>
      <c r="P49" s="15">
        <f t="shared" si="1"/>
        <v>22</v>
      </c>
      <c r="R49" s="8"/>
      <c r="T49"/>
    </row>
    <row r="50" spans="2:20" ht="23.1" customHeight="1" x14ac:dyDescent="0.25">
      <c r="B50" s="24" t="s">
        <v>77</v>
      </c>
      <c r="C50" s="50">
        <v>3</v>
      </c>
      <c r="D50" s="50">
        <v>0</v>
      </c>
      <c r="E50" s="50">
        <v>0</v>
      </c>
      <c r="F50" s="50">
        <v>4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0</v>
      </c>
      <c r="N50" s="50">
        <v>0</v>
      </c>
      <c r="O50" s="15">
        <f t="shared" si="0"/>
        <v>7</v>
      </c>
      <c r="P50" s="15">
        <f t="shared" si="1"/>
        <v>7</v>
      </c>
      <c r="R50" s="8"/>
      <c r="T50"/>
    </row>
    <row r="51" spans="2:20" ht="23.1" customHeight="1" x14ac:dyDescent="0.25">
      <c r="B51" s="24" t="s">
        <v>78</v>
      </c>
      <c r="C51" s="50">
        <v>2</v>
      </c>
      <c r="D51" s="50">
        <v>0</v>
      </c>
      <c r="E51" s="50">
        <v>1</v>
      </c>
      <c r="F51" s="50">
        <v>9</v>
      </c>
      <c r="G51" s="50">
        <v>0</v>
      </c>
      <c r="H51" s="50">
        <v>0</v>
      </c>
      <c r="I51" s="50">
        <v>1</v>
      </c>
      <c r="J51" s="50">
        <v>0</v>
      </c>
      <c r="K51" s="50">
        <v>0</v>
      </c>
      <c r="L51" s="50">
        <v>0</v>
      </c>
      <c r="M51" s="50">
        <v>9</v>
      </c>
      <c r="N51" s="50">
        <v>0</v>
      </c>
      <c r="O51" s="15">
        <f t="shared" si="0"/>
        <v>13</v>
      </c>
      <c r="P51" s="15">
        <f t="shared" si="1"/>
        <v>22</v>
      </c>
      <c r="R51" s="8"/>
      <c r="T51"/>
    </row>
    <row r="52" spans="2:20" ht="23.1" customHeight="1" x14ac:dyDescent="0.25">
      <c r="B52" s="24" t="s">
        <v>79</v>
      </c>
      <c r="C52" s="50">
        <v>3</v>
      </c>
      <c r="D52" s="50">
        <v>0</v>
      </c>
      <c r="E52" s="50">
        <v>1</v>
      </c>
      <c r="F52" s="50">
        <v>2</v>
      </c>
      <c r="G52" s="50">
        <v>0</v>
      </c>
      <c r="H52" s="50">
        <v>0</v>
      </c>
      <c r="I52" s="50">
        <v>1</v>
      </c>
      <c r="J52" s="50">
        <v>0</v>
      </c>
      <c r="K52" s="50">
        <v>0</v>
      </c>
      <c r="L52" s="50">
        <v>0</v>
      </c>
      <c r="M52" s="50">
        <v>1</v>
      </c>
      <c r="N52" s="50">
        <v>0</v>
      </c>
      <c r="O52" s="15">
        <f t="shared" si="0"/>
        <v>7</v>
      </c>
      <c r="P52" s="15">
        <f t="shared" si="1"/>
        <v>8</v>
      </c>
      <c r="R52" s="8"/>
      <c r="T52"/>
    </row>
    <row r="53" spans="2:20" ht="23.1" customHeight="1" x14ac:dyDescent="0.25">
      <c r="B53" s="23" t="s">
        <v>80</v>
      </c>
      <c r="C53" s="50">
        <v>8</v>
      </c>
      <c r="D53" s="50">
        <v>0</v>
      </c>
      <c r="E53" s="50">
        <v>0</v>
      </c>
      <c r="F53" s="50">
        <v>3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2</v>
      </c>
      <c r="M53" s="50">
        <v>7</v>
      </c>
      <c r="N53" s="50">
        <v>0</v>
      </c>
      <c r="O53" s="15">
        <f t="shared" si="0"/>
        <v>13</v>
      </c>
      <c r="P53" s="15">
        <f t="shared" si="1"/>
        <v>20</v>
      </c>
      <c r="R53" s="8"/>
      <c r="T53"/>
    </row>
    <row r="54" spans="2:20" ht="23.1" customHeight="1" x14ac:dyDescent="0.25">
      <c r="B54" s="23" t="s">
        <v>81</v>
      </c>
      <c r="C54" s="50">
        <v>1</v>
      </c>
      <c r="D54" s="50">
        <v>0</v>
      </c>
      <c r="E54" s="50">
        <v>0</v>
      </c>
      <c r="F54" s="50">
        <v>0</v>
      </c>
      <c r="G54" s="50">
        <v>0</v>
      </c>
      <c r="H54" s="50">
        <v>0</v>
      </c>
      <c r="I54" s="50">
        <v>1</v>
      </c>
      <c r="J54" s="50">
        <v>0</v>
      </c>
      <c r="K54" s="50">
        <v>0</v>
      </c>
      <c r="L54" s="50">
        <v>1</v>
      </c>
      <c r="M54" s="50">
        <v>0</v>
      </c>
      <c r="N54" s="50">
        <v>0</v>
      </c>
      <c r="O54" s="15">
        <f t="shared" si="0"/>
        <v>3</v>
      </c>
      <c r="P54" s="15">
        <f t="shared" si="1"/>
        <v>3</v>
      </c>
      <c r="R54" s="8"/>
      <c r="T54"/>
    </row>
    <row r="55" spans="2:20" ht="23.1" customHeight="1" x14ac:dyDescent="0.25">
      <c r="B55" s="23" t="s">
        <v>82</v>
      </c>
      <c r="C55" s="50">
        <v>5</v>
      </c>
      <c r="D55" s="50">
        <v>0</v>
      </c>
      <c r="E55" s="50">
        <v>1</v>
      </c>
      <c r="F55" s="50">
        <v>3</v>
      </c>
      <c r="G55" s="50">
        <v>0</v>
      </c>
      <c r="H55" s="50">
        <v>1</v>
      </c>
      <c r="I55" s="50">
        <v>2</v>
      </c>
      <c r="J55" s="50">
        <v>0</v>
      </c>
      <c r="K55" s="50">
        <v>0</v>
      </c>
      <c r="L55" s="50">
        <v>1</v>
      </c>
      <c r="M55" s="50">
        <v>7</v>
      </c>
      <c r="N55" s="50">
        <v>0</v>
      </c>
      <c r="O55" s="15">
        <f t="shared" si="0"/>
        <v>13</v>
      </c>
      <c r="P55" s="15">
        <f t="shared" si="1"/>
        <v>20</v>
      </c>
      <c r="R55" s="8"/>
      <c r="T55"/>
    </row>
    <row r="56" spans="2:20" ht="23.1" customHeight="1" x14ac:dyDescent="0.25">
      <c r="B56" s="23" t="s">
        <v>83</v>
      </c>
      <c r="C56" s="50">
        <v>6</v>
      </c>
      <c r="D56" s="50">
        <v>0</v>
      </c>
      <c r="E56" s="50">
        <v>2</v>
      </c>
      <c r="F56" s="50">
        <v>2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2</v>
      </c>
      <c r="N56" s="50">
        <v>0</v>
      </c>
      <c r="O56" s="15">
        <f t="shared" si="0"/>
        <v>10</v>
      </c>
      <c r="P56" s="15">
        <f t="shared" si="1"/>
        <v>12</v>
      </c>
      <c r="R56" s="8"/>
      <c r="T56"/>
    </row>
    <row r="57" spans="2:20" ht="23.1" customHeight="1" x14ac:dyDescent="0.25">
      <c r="B57" s="23" t="s">
        <v>84</v>
      </c>
      <c r="C57" s="50">
        <v>4</v>
      </c>
      <c r="D57" s="50">
        <v>0</v>
      </c>
      <c r="E57" s="50">
        <v>0</v>
      </c>
      <c r="F57" s="50">
        <v>3</v>
      </c>
      <c r="G57" s="50">
        <v>0</v>
      </c>
      <c r="H57" s="50">
        <v>0</v>
      </c>
      <c r="I57" s="50">
        <v>2</v>
      </c>
      <c r="J57" s="50">
        <v>0</v>
      </c>
      <c r="K57" s="50">
        <v>0</v>
      </c>
      <c r="L57" s="50">
        <v>3</v>
      </c>
      <c r="M57" s="50">
        <v>4</v>
      </c>
      <c r="N57" s="50">
        <v>0</v>
      </c>
      <c r="O57" s="15">
        <f t="shared" si="0"/>
        <v>12</v>
      </c>
      <c r="P57" s="15">
        <f t="shared" si="1"/>
        <v>16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220</v>
      </c>
      <c r="D58" s="16">
        <f t="shared" si="21"/>
        <v>0</v>
      </c>
      <c r="E58" s="16">
        <f t="shared" si="21"/>
        <v>96</v>
      </c>
      <c r="F58" s="16">
        <f t="shared" si="21"/>
        <v>117</v>
      </c>
      <c r="G58" s="16">
        <f t="shared" si="21"/>
        <v>1</v>
      </c>
      <c r="H58" s="16">
        <f t="shared" si="21"/>
        <v>3</v>
      </c>
      <c r="I58" s="16">
        <f t="shared" si="21"/>
        <v>66</v>
      </c>
      <c r="J58" s="16">
        <f t="shared" si="21"/>
        <v>5</v>
      </c>
      <c r="K58" s="16">
        <f t="shared" si="21"/>
        <v>0</v>
      </c>
      <c r="L58" s="16">
        <f t="shared" si="21"/>
        <v>28</v>
      </c>
      <c r="M58" s="16">
        <f t="shared" si="21"/>
        <v>170</v>
      </c>
      <c r="N58" s="16">
        <f t="shared" si="21"/>
        <v>0</v>
      </c>
      <c r="O58" s="16">
        <f t="shared" si="21"/>
        <v>536</v>
      </c>
      <c r="P58" s="16">
        <f t="shared" si="21"/>
        <v>706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0.31161473087818697</v>
      </c>
      <c r="D59" s="43">
        <f t="shared" si="22"/>
        <v>0</v>
      </c>
      <c r="E59" s="43">
        <f t="shared" si="22"/>
        <v>0.1359773371104816</v>
      </c>
      <c r="F59" s="43">
        <f t="shared" si="22"/>
        <v>0.16572237960339944</v>
      </c>
      <c r="G59" s="43">
        <f t="shared" si="22"/>
        <v>1.4164305949008499E-3</v>
      </c>
      <c r="H59" s="43">
        <f t="shared" si="22"/>
        <v>4.24929178470255E-3</v>
      </c>
      <c r="I59" s="43">
        <f t="shared" si="22"/>
        <v>9.3484419263456089E-2</v>
      </c>
      <c r="J59" s="43">
        <f t="shared" si="22"/>
        <v>7.0821529745042494E-3</v>
      </c>
      <c r="K59" s="43">
        <f t="shared" si="22"/>
        <v>0</v>
      </c>
      <c r="L59" s="43">
        <f t="shared" si="22"/>
        <v>3.9660056657223795E-2</v>
      </c>
      <c r="M59" s="43">
        <f t="shared" si="22"/>
        <v>0.24079320113314448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0.41044776119402987</v>
      </c>
      <c r="D60" s="44">
        <f t="shared" ref="D60:N60" si="23">D58/$O$58</f>
        <v>0</v>
      </c>
      <c r="E60" s="44">
        <f t="shared" si="23"/>
        <v>0.17910447761194029</v>
      </c>
      <c r="F60" s="44">
        <f t="shared" si="23"/>
        <v>0.21828358208955223</v>
      </c>
      <c r="G60" s="44">
        <f t="shared" si="23"/>
        <v>1.8656716417910447E-3</v>
      </c>
      <c r="H60" s="44">
        <f t="shared" si="23"/>
        <v>5.597014925373134E-3</v>
      </c>
      <c r="I60" s="44">
        <f t="shared" si="23"/>
        <v>0.12313432835820895</v>
      </c>
      <c r="J60" s="44">
        <f t="shared" si="23"/>
        <v>9.3283582089552231E-3</v>
      </c>
      <c r="K60" s="44">
        <f t="shared" si="23"/>
        <v>0</v>
      </c>
      <c r="L60" s="44">
        <f t="shared" si="23"/>
        <v>5.2238805970149252E-2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F126"/>
  <sheetViews>
    <sheetView view="pageBreakPreview" topLeftCell="A49" zoomScale="60" workbookViewId="0">
      <selection activeCell="D15" sqref="D1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>
        <f>'5.8 KIKORONGO-BWERA'!C3:G3</f>
        <v>0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170</v>
      </c>
      <c r="E5" s="3"/>
      <c r="F5" s="41" t="s">
        <v>1</v>
      </c>
      <c r="G5" s="63"/>
      <c r="H5" s="64"/>
      <c r="I5" s="14"/>
      <c r="J5" s="2" t="s">
        <v>5</v>
      </c>
      <c r="K5" s="63"/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/>
      <c r="E6" s="64"/>
      <c r="F6" s="2" t="s">
        <v>2</v>
      </c>
      <c r="G6" s="63"/>
      <c r="H6" s="64"/>
      <c r="J6" s="2" t="s">
        <v>21</v>
      </c>
      <c r="K6" s="63"/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</v>
      </c>
      <c r="D10" s="50">
        <v>0</v>
      </c>
      <c r="E10" s="50">
        <v>2</v>
      </c>
      <c r="F10" s="50">
        <v>4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2</v>
      </c>
      <c r="N10" s="50">
        <v>0</v>
      </c>
      <c r="O10" s="15">
        <f t="shared" ref="O10:O57" si="0">SUM(C10:L10,N10)</f>
        <v>7</v>
      </c>
      <c r="P10" s="15">
        <f t="shared" ref="P10:P57" si="1">SUM(C10:N10)</f>
        <v>9</v>
      </c>
      <c r="R10" s="1" t="s">
        <v>6</v>
      </c>
      <c r="S10" s="17">
        <f t="shared" ref="S10:AF10" si="2">SUM(C10:C13)</f>
        <v>8</v>
      </c>
      <c r="T10" s="17">
        <f t="shared" si="2"/>
        <v>0</v>
      </c>
      <c r="U10" s="17">
        <f t="shared" si="2"/>
        <v>5</v>
      </c>
      <c r="V10" s="17">
        <f t="shared" si="2"/>
        <v>11</v>
      </c>
      <c r="W10" s="17">
        <f t="shared" si="2"/>
        <v>0</v>
      </c>
      <c r="X10" s="17">
        <f t="shared" si="2"/>
        <v>2</v>
      </c>
      <c r="Y10" s="17">
        <f t="shared" si="2"/>
        <v>3</v>
      </c>
      <c r="Z10" s="17">
        <f t="shared" si="2"/>
        <v>0</v>
      </c>
      <c r="AA10" s="17">
        <f t="shared" si="2"/>
        <v>3</v>
      </c>
      <c r="AB10" s="17">
        <f t="shared" si="2"/>
        <v>0</v>
      </c>
      <c r="AC10" s="17">
        <f t="shared" si="2"/>
        <v>21</v>
      </c>
      <c r="AD10" s="17">
        <f t="shared" si="2"/>
        <v>0</v>
      </c>
      <c r="AE10" s="31">
        <f t="shared" si="2"/>
        <v>32</v>
      </c>
      <c r="AF10" s="31">
        <f t="shared" si="2"/>
        <v>53</v>
      </c>
    </row>
    <row r="11" spans="2:32" s="6" customFormat="1" ht="23.1" customHeight="1" x14ac:dyDescent="0.25">
      <c r="B11" s="23" t="s">
        <v>38</v>
      </c>
      <c r="C11" s="50">
        <v>3</v>
      </c>
      <c r="D11" s="50">
        <v>0</v>
      </c>
      <c r="E11" s="50">
        <v>2</v>
      </c>
      <c r="F11" s="50">
        <v>2</v>
      </c>
      <c r="G11" s="50">
        <v>0</v>
      </c>
      <c r="H11" s="50">
        <v>0</v>
      </c>
      <c r="I11" s="50">
        <v>2</v>
      </c>
      <c r="J11" s="50">
        <v>0</v>
      </c>
      <c r="K11" s="50">
        <v>2</v>
      </c>
      <c r="L11" s="50">
        <v>0</v>
      </c>
      <c r="M11" s="50">
        <v>7</v>
      </c>
      <c r="N11" s="50">
        <v>0</v>
      </c>
      <c r="O11" s="15">
        <f t="shared" si="0"/>
        <v>11</v>
      </c>
      <c r="P11" s="15">
        <f t="shared" si="1"/>
        <v>18</v>
      </c>
      <c r="R11" s="1" t="s">
        <v>7</v>
      </c>
      <c r="S11" s="17">
        <f t="shared" ref="S11:AF11" si="3">SUM(C14:C17)</f>
        <v>7</v>
      </c>
      <c r="T11" s="17">
        <f t="shared" si="3"/>
        <v>0</v>
      </c>
      <c r="U11" s="17">
        <f t="shared" si="3"/>
        <v>8</v>
      </c>
      <c r="V11" s="17">
        <f t="shared" si="3"/>
        <v>16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18</v>
      </c>
      <c r="AD11" s="17">
        <f t="shared" si="3"/>
        <v>0</v>
      </c>
      <c r="AE11" s="31">
        <f t="shared" si="3"/>
        <v>31</v>
      </c>
      <c r="AF11" s="31">
        <f t="shared" si="3"/>
        <v>49</v>
      </c>
    </row>
    <row r="12" spans="2:32" ht="23.1" customHeight="1" x14ac:dyDescent="0.25">
      <c r="B12" s="23" t="s">
        <v>39</v>
      </c>
      <c r="C12" s="50">
        <v>2</v>
      </c>
      <c r="D12" s="50">
        <v>0</v>
      </c>
      <c r="E12" s="50">
        <v>1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5</v>
      </c>
      <c r="N12" s="50">
        <v>0</v>
      </c>
      <c r="O12" s="15">
        <f t="shared" si="0"/>
        <v>3</v>
      </c>
      <c r="P12" s="15">
        <f t="shared" si="1"/>
        <v>8</v>
      </c>
      <c r="R12" s="1" t="s">
        <v>8</v>
      </c>
      <c r="S12" s="17">
        <f t="shared" ref="S12:AF12" si="4">SUM(C18:C21)</f>
        <v>14</v>
      </c>
      <c r="T12" s="17">
        <f t="shared" si="4"/>
        <v>0</v>
      </c>
      <c r="U12" s="17">
        <f t="shared" si="4"/>
        <v>4</v>
      </c>
      <c r="V12" s="17">
        <f t="shared" si="4"/>
        <v>10</v>
      </c>
      <c r="W12" s="17">
        <f t="shared" si="4"/>
        <v>0</v>
      </c>
      <c r="X12" s="17">
        <f t="shared" si="4"/>
        <v>1</v>
      </c>
      <c r="Y12" s="17">
        <f t="shared" si="4"/>
        <v>1</v>
      </c>
      <c r="Z12" s="17">
        <f t="shared" si="4"/>
        <v>0</v>
      </c>
      <c r="AA12" s="17">
        <f t="shared" si="4"/>
        <v>1</v>
      </c>
      <c r="AB12" s="17">
        <f t="shared" si="4"/>
        <v>1</v>
      </c>
      <c r="AC12" s="17">
        <f t="shared" si="4"/>
        <v>14</v>
      </c>
      <c r="AD12" s="17">
        <f t="shared" si="4"/>
        <v>0</v>
      </c>
      <c r="AE12" s="31">
        <f t="shared" si="4"/>
        <v>32</v>
      </c>
      <c r="AF12" s="31">
        <f t="shared" si="4"/>
        <v>46</v>
      </c>
    </row>
    <row r="13" spans="2:32" ht="23.1" customHeight="1" x14ac:dyDescent="0.25">
      <c r="B13" s="23" t="s">
        <v>40</v>
      </c>
      <c r="C13" s="50">
        <v>2</v>
      </c>
      <c r="D13" s="50">
        <v>0</v>
      </c>
      <c r="E13" s="50">
        <v>0</v>
      </c>
      <c r="F13" s="50">
        <v>5</v>
      </c>
      <c r="G13" s="50">
        <v>0</v>
      </c>
      <c r="H13" s="50">
        <v>2</v>
      </c>
      <c r="I13" s="50">
        <v>1</v>
      </c>
      <c r="J13" s="50">
        <v>0</v>
      </c>
      <c r="K13" s="50">
        <v>1</v>
      </c>
      <c r="L13" s="50">
        <v>0</v>
      </c>
      <c r="M13" s="50">
        <v>7</v>
      </c>
      <c r="N13" s="50">
        <v>0</v>
      </c>
      <c r="O13" s="15">
        <f t="shared" si="0"/>
        <v>11</v>
      </c>
      <c r="P13" s="15">
        <f t="shared" si="1"/>
        <v>18</v>
      </c>
      <c r="R13" s="1" t="s">
        <v>9</v>
      </c>
      <c r="S13" s="17">
        <f t="shared" ref="S13:AF13" si="5">SUM(C22:C25)</f>
        <v>4</v>
      </c>
      <c r="T13" s="17">
        <f t="shared" si="5"/>
        <v>0</v>
      </c>
      <c r="U13" s="17">
        <f t="shared" si="5"/>
        <v>9</v>
      </c>
      <c r="V13" s="17">
        <f t="shared" si="5"/>
        <v>14</v>
      </c>
      <c r="W13" s="17">
        <f t="shared" si="5"/>
        <v>0</v>
      </c>
      <c r="X13" s="17">
        <f t="shared" si="5"/>
        <v>1</v>
      </c>
      <c r="Y13" s="17">
        <f t="shared" si="5"/>
        <v>5</v>
      </c>
      <c r="Z13" s="17">
        <f t="shared" si="5"/>
        <v>0</v>
      </c>
      <c r="AA13" s="17">
        <f t="shared" si="5"/>
        <v>5</v>
      </c>
      <c r="AB13" s="17">
        <f t="shared" si="5"/>
        <v>0</v>
      </c>
      <c r="AC13" s="17">
        <f t="shared" si="5"/>
        <v>12</v>
      </c>
      <c r="AD13" s="17">
        <f t="shared" si="5"/>
        <v>0</v>
      </c>
      <c r="AE13" s="31">
        <f t="shared" si="5"/>
        <v>38</v>
      </c>
      <c r="AF13" s="31">
        <f t="shared" si="5"/>
        <v>50</v>
      </c>
    </row>
    <row r="14" spans="2:32" ht="23.1" customHeight="1" x14ac:dyDescent="0.25">
      <c r="B14" s="23" t="s">
        <v>41</v>
      </c>
      <c r="C14" s="50">
        <v>3</v>
      </c>
      <c r="D14" s="50">
        <v>0</v>
      </c>
      <c r="E14" s="50">
        <v>3</v>
      </c>
      <c r="F14" s="50">
        <v>5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6</v>
      </c>
      <c r="N14" s="50">
        <v>0</v>
      </c>
      <c r="O14" s="15">
        <f t="shared" si="0"/>
        <v>11</v>
      </c>
      <c r="P14" s="15">
        <f t="shared" si="1"/>
        <v>17</v>
      </c>
      <c r="R14" s="1" t="s">
        <v>10</v>
      </c>
      <c r="S14" s="17">
        <f t="shared" ref="S14:AF14" si="6">SUM(C26:C29)</f>
        <v>13</v>
      </c>
      <c r="T14" s="17">
        <f t="shared" si="6"/>
        <v>0</v>
      </c>
      <c r="U14" s="17">
        <f t="shared" si="6"/>
        <v>5</v>
      </c>
      <c r="V14" s="17">
        <f t="shared" si="6"/>
        <v>5</v>
      </c>
      <c r="W14" s="17">
        <f t="shared" si="6"/>
        <v>0</v>
      </c>
      <c r="X14" s="17">
        <f t="shared" si="6"/>
        <v>0</v>
      </c>
      <c r="Y14" s="17">
        <f t="shared" si="6"/>
        <v>2</v>
      </c>
      <c r="Z14" s="17">
        <f t="shared" si="6"/>
        <v>1</v>
      </c>
      <c r="AA14" s="17">
        <f t="shared" si="6"/>
        <v>4</v>
      </c>
      <c r="AB14" s="17">
        <f t="shared" si="6"/>
        <v>4</v>
      </c>
      <c r="AC14" s="17">
        <f t="shared" si="6"/>
        <v>20</v>
      </c>
      <c r="AD14" s="17">
        <f t="shared" si="6"/>
        <v>0</v>
      </c>
      <c r="AE14" s="31">
        <f t="shared" si="6"/>
        <v>34</v>
      </c>
      <c r="AF14" s="31">
        <f t="shared" si="6"/>
        <v>54</v>
      </c>
    </row>
    <row r="15" spans="2:32" ht="23.1" customHeight="1" x14ac:dyDescent="0.25">
      <c r="B15" s="23" t="s">
        <v>42</v>
      </c>
      <c r="C15" s="50">
        <v>3</v>
      </c>
      <c r="D15" s="50" t="s">
        <v>171</v>
      </c>
      <c r="E15" s="50">
        <v>4</v>
      </c>
      <c r="F15" s="50">
        <v>6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7</v>
      </c>
      <c r="N15" s="50">
        <v>0</v>
      </c>
      <c r="O15" s="15">
        <f t="shared" si="0"/>
        <v>13</v>
      </c>
      <c r="P15" s="15">
        <f t="shared" si="1"/>
        <v>20</v>
      </c>
      <c r="R15" s="1" t="s">
        <v>11</v>
      </c>
      <c r="S15" s="17">
        <f t="shared" ref="S15:AF15" si="7">SUM(C30:C33)</f>
        <v>9</v>
      </c>
      <c r="T15" s="17">
        <f t="shared" si="7"/>
        <v>0</v>
      </c>
      <c r="U15" s="17">
        <f t="shared" si="7"/>
        <v>9</v>
      </c>
      <c r="V15" s="17">
        <f t="shared" si="7"/>
        <v>5</v>
      </c>
      <c r="W15" s="17">
        <f t="shared" si="7"/>
        <v>0</v>
      </c>
      <c r="X15" s="17">
        <f t="shared" si="7"/>
        <v>1</v>
      </c>
      <c r="Y15" s="17">
        <f t="shared" si="7"/>
        <v>4</v>
      </c>
      <c r="Z15" s="17">
        <f t="shared" si="7"/>
        <v>1</v>
      </c>
      <c r="AA15" s="17">
        <f t="shared" si="7"/>
        <v>2</v>
      </c>
      <c r="AB15" s="17">
        <f t="shared" si="7"/>
        <v>2</v>
      </c>
      <c r="AC15" s="17">
        <f t="shared" si="7"/>
        <v>7</v>
      </c>
      <c r="AD15" s="17">
        <f t="shared" si="7"/>
        <v>0</v>
      </c>
      <c r="AE15" s="31">
        <f t="shared" si="7"/>
        <v>33</v>
      </c>
      <c r="AF15" s="31">
        <f t="shared" si="7"/>
        <v>40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1</v>
      </c>
      <c r="F16" s="50">
        <v>1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1</v>
      </c>
      <c r="N16" s="50">
        <v>0</v>
      </c>
      <c r="O16" s="15">
        <f t="shared" si="0"/>
        <v>2</v>
      </c>
      <c r="P16" s="15">
        <f t="shared" si="1"/>
        <v>3</v>
      </c>
      <c r="R16" s="1" t="s">
        <v>12</v>
      </c>
      <c r="S16" s="17">
        <f t="shared" ref="S16:AF16" si="8">SUM(C34:C37)</f>
        <v>12</v>
      </c>
      <c r="T16" s="17">
        <f t="shared" si="8"/>
        <v>0</v>
      </c>
      <c r="U16" s="17">
        <f t="shared" si="8"/>
        <v>9</v>
      </c>
      <c r="V16" s="17">
        <f t="shared" si="8"/>
        <v>12</v>
      </c>
      <c r="W16" s="17">
        <f t="shared" si="8"/>
        <v>0</v>
      </c>
      <c r="X16" s="17">
        <f t="shared" si="8"/>
        <v>2</v>
      </c>
      <c r="Y16" s="17">
        <f t="shared" si="8"/>
        <v>5</v>
      </c>
      <c r="Z16" s="17">
        <f t="shared" si="8"/>
        <v>0</v>
      </c>
      <c r="AA16" s="17">
        <f t="shared" si="8"/>
        <v>5</v>
      </c>
      <c r="AB16" s="17">
        <f t="shared" si="8"/>
        <v>5</v>
      </c>
      <c r="AC16" s="17">
        <f t="shared" si="8"/>
        <v>19</v>
      </c>
      <c r="AD16" s="17">
        <f t="shared" si="8"/>
        <v>0</v>
      </c>
      <c r="AE16" s="31">
        <f t="shared" si="8"/>
        <v>50</v>
      </c>
      <c r="AF16" s="31">
        <f t="shared" si="8"/>
        <v>69</v>
      </c>
    </row>
    <row r="17" spans="2:32" ht="23.1" customHeight="1" x14ac:dyDescent="0.25">
      <c r="B17" s="23" t="s">
        <v>44</v>
      </c>
      <c r="C17" s="50">
        <v>1</v>
      </c>
      <c r="D17" s="50">
        <v>0</v>
      </c>
      <c r="E17" s="50">
        <v>0</v>
      </c>
      <c r="F17" s="50">
        <v>4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4</v>
      </c>
      <c r="N17" s="50">
        <v>0</v>
      </c>
      <c r="O17" s="15">
        <f t="shared" si="0"/>
        <v>5</v>
      </c>
      <c r="P17" s="15">
        <f t="shared" si="1"/>
        <v>9</v>
      </c>
      <c r="R17" s="1" t="s">
        <v>13</v>
      </c>
      <c r="S17" s="17">
        <f t="shared" ref="S17:AF17" si="9">SUM(C38:C41)</f>
        <v>12</v>
      </c>
      <c r="T17" s="17">
        <f t="shared" si="9"/>
        <v>0</v>
      </c>
      <c r="U17" s="17">
        <f t="shared" si="9"/>
        <v>11</v>
      </c>
      <c r="V17" s="17">
        <f t="shared" si="9"/>
        <v>7</v>
      </c>
      <c r="W17" s="17">
        <f t="shared" si="9"/>
        <v>0</v>
      </c>
      <c r="X17" s="17">
        <f t="shared" si="9"/>
        <v>0</v>
      </c>
      <c r="Y17" s="17">
        <f t="shared" si="9"/>
        <v>5</v>
      </c>
      <c r="Z17" s="17">
        <f t="shared" si="9"/>
        <v>0</v>
      </c>
      <c r="AA17" s="17">
        <f t="shared" si="9"/>
        <v>5</v>
      </c>
      <c r="AB17" s="17">
        <f t="shared" si="9"/>
        <v>3</v>
      </c>
      <c r="AC17" s="17">
        <f t="shared" si="9"/>
        <v>9</v>
      </c>
      <c r="AD17" s="17">
        <f t="shared" si="9"/>
        <v>0</v>
      </c>
      <c r="AE17" s="31">
        <f t="shared" si="9"/>
        <v>43</v>
      </c>
      <c r="AF17" s="31">
        <f t="shared" si="9"/>
        <v>52</v>
      </c>
    </row>
    <row r="18" spans="2:32" ht="23.1" customHeight="1" x14ac:dyDescent="0.25">
      <c r="B18" s="23" t="s">
        <v>45</v>
      </c>
      <c r="C18" s="50">
        <v>5</v>
      </c>
      <c r="D18" s="50">
        <v>0</v>
      </c>
      <c r="E18" s="50">
        <v>0</v>
      </c>
      <c r="F18" s="50">
        <v>1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1</v>
      </c>
      <c r="N18" s="50">
        <v>0</v>
      </c>
      <c r="O18" s="15">
        <f t="shared" si="0"/>
        <v>6</v>
      </c>
      <c r="P18" s="15">
        <f t="shared" si="1"/>
        <v>7</v>
      </c>
      <c r="R18" s="1" t="s">
        <v>14</v>
      </c>
      <c r="S18" s="17">
        <f t="shared" ref="S18:AF18" si="10">SUM(C42:C45)</f>
        <v>7</v>
      </c>
      <c r="T18" s="17">
        <f t="shared" si="10"/>
        <v>0</v>
      </c>
      <c r="U18" s="17">
        <f t="shared" si="10"/>
        <v>11</v>
      </c>
      <c r="V18" s="17">
        <f t="shared" si="10"/>
        <v>11</v>
      </c>
      <c r="W18" s="17">
        <f t="shared" si="10"/>
        <v>0</v>
      </c>
      <c r="X18" s="17">
        <f t="shared" si="10"/>
        <v>1</v>
      </c>
      <c r="Y18" s="17">
        <f t="shared" si="10"/>
        <v>6</v>
      </c>
      <c r="Z18" s="17">
        <f t="shared" si="10"/>
        <v>0</v>
      </c>
      <c r="AA18" s="17">
        <f t="shared" si="10"/>
        <v>6</v>
      </c>
      <c r="AB18" s="17">
        <f t="shared" si="10"/>
        <v>1</v>
      </c>
      <c r="AC18" s="17">
        <f t="shared" si="10"/>
        <v>11</v>
      </c>
      <c r="AD18" s="17">
        <f t="shared" si="10"/>
        <v>0</v>
      </c>
      <c r="AE18" s="31">
        <f t="shared" si="10"/>
        <v>43</v>
      </c>
      <c r="AF18" s="31">
        <f t="shared" si="10"/>
        <v>54</v>
      </c>
    </row>
    <row r="19" spans="2:32" ht="23.1" customHeight="1" x14ac:dyDescent="0.25">
      <c r="B19" s="23" t="s">
        <v>46</v>
      </c>
      <c r="C19" s="50">
        <v>2</v>
      </c>
      <c r="D19" s="50">
        <v>0</v>
      </c>
      <c r="E19" s="50">
        <v>2</v>
      </c>
      <c r="F19" s="50">
        <v>4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7</v>
      </c>
      <c r="N19" s="50">
        <v>0</v>
      </c>
      <c r="O19" s="15">
        <f t="shared" si="0"/>
        <v>8</v>
      </c>
      <c r="P19" s="15">
        <f t="shared" si="1"/>
        <v>15</v>
      </c>
      <c r="R19" s="1" t="s">
        <v>15</v>
      </c>
      <c r="S19" s="17">
        <f t="shared" ref="S19:AF19" si="11">SUM(C46:C49)</f>
        <v>11</v>
      </c>
      <c r="T19" s="17">
        <f t="shared" si="11"/>
        <v>0</v>
      </c>
      <c r="U19" s="17">
        <f t="shared" si="11"/>
        <v>13</v>
      </c>
      <c r="V19" s="17">
        <f t="shared" si="11"/>
        <v>8</v>
      </c>
      <c r="W19" s="17">
        <f t="shared" si="11"/>
        <v>0</v>
      </c>
      <c r="X19" s="17">
        <f t="shared" si="11"/>
        <v>2</v>
      </c>
      <c r="Y19" s="17">
        <f t="shared" si="11"/>
        <v>6</v>
      </c>
      <c r="Z19" s="17">
        <f t="shared" si="11"/>
        <v>1</v>
      </c>
      <c r="AA19" s="17">
        <f t="shared" si="11"/>
        <v>4</v>
      </c>
      <c r="AB19" s="17">
        <f t="shared" si="11"/>
        <v>3</v>
      </c>
      <c r="AC19" s="17">
        <f t="shared" si="11"/>
        <v>7</v>
      </c>
      <c r="AD19" s="17">
        <f t="shared" si="11"/>
        <v>0</v>
      </c>
      <c r="AE19" s="31">
        <f t="shared" si="11"/>
        <v>48</v>
      </c>
      <c r="AF19" s="31">
        <f t="shared" si="11"/>
        <v>55</v>
      </c>
    </row>
    <row r="20" spans="2:32" ht="23.1" customHeight="1" x14ac:dyDescent="0.25">
      <c r="B20" s="23" t="s">
        <v>47</v>
      </c>
      <c r="C20" s="50">
        <v>2</v>
      </c>
      <c r="D20" s="50">
        <v>0</v>
      </c>
      <c r="E20" s="50">
        <v>1</v>
      </c>
      <c r="F20" s="50">
        <v>1</v>
      </c>
      <c r="G20" s="50">
        <v>0</v>
      </c>
      <c r="H20" s="50">
        <v>1</v>
      </c>
      <c r="I20" s="50">
        <v>0</v>
      </c>
      <c r="J20" s="50">
        <v>0</v>
      </c>
      <c r="K20" s="50">
        <v>0</v>
      </c>
      <c r="L20" s="50">
        <v>0</v>
      </c>
      <c r="M20" s="50">
        <v>2</v>
      </c>
      <c r="N20" s="50">
        <v>0</v>
      </c>
      <c r="O20" s="15">
        <f t="shared" si="0"/>
        <v>5</v>
      </c>
      <c r="P20" s="15">
        <f t="shared" si="1"/>
        <v>7</v>
      </c>
      <c r="R20" s="1" t="s">
        <v>16</v>
      </c>
      <c r="S20" s="17">
        <f t="shared" ref="S20:AF20" si="12">SUM(C50:C53)</f>
        <v>13</v>
      </c>
      <c r="T20" s="17">
        <f t="shared" si="12"/>
        <v>0</v>
      </c>
      <c r="U20" s="17">
        <f t="shared" si="12"/>
        <v>17</v>
      </c>
      <c r="V20" s="17">
        <f t="shared" si="12"/>
        <v>11</v>
      </c>
      <c r="W20" s="17">
        <f t="shared" si="12"/>
        <v>0</v>
      </c>
      <c r="X20" s="17">
        <f t="shared" si="12"/>
        <v>2</v>
      </c>
      <c r="Y20" s="17">
        <f t="shared" si="12"/>
        <v>2</v>
      </c>
      <c r="Z20" s="17">
        <f t="shared" si="12"/>
        <v>0</v>
      </c>
      <c r="AA20" s="17">
        <f t="shared" si="12"/>
        <v>2</v>
      </c>
      <c r="AB20" s="17">
        <f t="shared" si="12"/>
        <v>2</v>
      </c>
      <c r="AC20" s="17">
        <f t="shared" si="12"/>
        <v>15</v>
      </c>
      <c r="AD20" s="17">
        <f t="shared" si="12"/>
        <v>0</v>
      </c>
      <c r="AE20" s="31">
        <f t="shared" si="12"/>
        <v>49</v>
      </c>
      <c r="AF20" s="31">
        <f t="shared" si="12"/>
        <v>64</v>
      </c>
    </row>
    <row r="21" spans="2:32" ht="23.1" customHeight="1" x14ac:dyDescent="0.25">
      <c r="B21" s="23" t="s">
        <v>48</v>
      </c>
      <c r="C21" s="50">
        <v>5</v>
      </c>
      <c r="D21" s="50">
        <v>0</v>
      </c>
      <c r="E21" s="50">
        <v>1</v>
      </c>
      <c r="F21" s="50">
        <v>4</v>
      </c>
      <c r="G21" s="50">
        <v>0</v>
      </c>
      <c r="H21" s="50">
        <v>0</v>
      </c>
      <c r="I21" s="50">
        <v>1</v>
      </c>
      <c r="J21" s="50">
        <v>0</v>
      </c>
      <c r="K21" s="50">
        <v>1</v>
      </c>
      <c r="L21" s="50">
        <v>1</v>
      </c>
      <c r="M21" s="50">
        <v>4</v>
      </c>
      <c r="N21" s="50">
        <v>0</v>
      </c>
      <c r="O21" s="15">
        <f t="shared" si="0"/>
        <v>13</v>
      </c>
      <c r="P21" s="15">
        <f t="shared" si="1"/>
        <v>17</v>
      </c>
      <c r="R21" s="36" t="s">
        <v>20</v>
      </c>
      <c r="S21" s="34">
        <f t="shared" ref="S21:AF21" si="13">SUM(C54:C57)</f>
        <v>10</v>
      </c>
      <c r="T21" s="17">
        <f t="shared" si="13"/>
        <v>0</v>
      </c>
      <c r="U21" s="17">
        <f t="shared" si="13"/>
        <v>17</v>
      </c>
      <c r="V21" s="17">
        <f t="shared" si="13"/>
        <v>13</v>
      </c>
      <c r="W21" s="17">
        <f t="shared" si="13"/>
        <v>0</v>
      </c>
      <c r="X21" s="17">
        <f t="shared" si="13"/>
        <v>0</v>
      </c>
      <c r="Y21" s="17">
        <f t="shared" si="13"/>
        <v>6</v>
      </c>
      <c r="Z21" s="17">
        <f t="shared" si="13"/>
        <v>2</v>
      </c>
      <c r="AA21" s="17">
        <f t="shared" si="13"/>
        <v>4</v>
      </c>
      <c r="AB21" s="17">
        <f t="shared" si="13"/>
        <v>0</v>
      </c>
      <c r="AC21" s="17">
        <f t="shared" si="13"/>
        <v>16</v>
      </c>
      <c r="AD21" s="17">
        <f t="shared" si="13"/>
        <v>0</v>
      </c>
      <c r="AE21" s="31">
        <f t="shared" si="13"/>
        <v>52</v>
      </c>
      <c r="AF21" s="31">
        <f t="shared" si="13"/>
        <v>68</v>
      </c>
    </row>
    <row r="22" spans="2:32" ht="23.1" customHeight="1" x14ac:dyDescent="0.25">
      <c r="B22" s="23" t="s">
        <v>49</v>
      </c>
      <c r="C22" s="50">
        <v>2</v>
      </c>
      <c r="D22" s="50">
        <v>0</v>
      </c>
      <c r="E22" s="50">
        <v>3</v>
      </c>
      <c r="F22" s="50">
        <v>5</v>
      </c>
      <c r="G22" s="50">
        <v>0</v>
      </c>
      <c r="H22" s="50">
        <v>0</v>
      </c>
      <c r="I22" s="50">
        <v>2</v>
      </c>
      <c r="J22" s="50">
        <v>0</v>
      </c>
      <c r="K22" s="50">
        <v>2</v>
      </c>
      <c r="L22" s="50">
        <v>0</v>
      </c>
      <c r="M22" s="50">
        <v>6</v>
      </c>
      <c r="N22" s="50">
        <v>0</v>
      </c>
      <c r="O22" s="15">
        <f t="shared" si="0"/>
        <v>14</v>
      </c>
      <c r="P22" s="15">
        <f t="shared" si="1"/>
        <v>20</v>
      </c>
      <c r="R22" s="38" t="s">
        <v>90</v>
      </c>
      <c r="S22" s="39">
        <f>MAX(S10:S12)</f>
        <v>14</v>
      </c>
      <c r="T22" s="39">
        <f t="shared" ref="T22:AF22" si="14">MAX(T10:T12)</f>
        <v>0</v>
      </c>
      <c r="U22" s="39">
        <f t="shared" si="14"/>
        <v>8</v>
      </c>
      <c r="V22" s="39">
        <f t="shared" si="14"/>
        <v>16</v>
      </c>
      <c r="W22" s="39">
        <f t="shared" si="14"/>
        <v>0</v>
      </c>
      <c r="X22" s="39">
        <f t="shared" si="14"/>
        <v>2</v>
      </c>
      <c r="Y22" s="39">
        <f t="shared" si="14"/>
        <v>3</v>
      </c>
      <c r="Z22" s="39">
        <f t="shared" si="14"/>
        <v>0</v>
      </c>
      <c r="AA22" s="39">
        <f t="shared" si="14"/>
        <v>3</v>
      </c>
      <c r="AB22" s="39">
        <f t="shared" si="14"/>
        <v>1</v>
      </c>
      <c r="AC22" s="39">
        <f t="shared" si="14"/>
        <v>21</v>
      </c>
      <c r="AD22" s="39">
        <f t="shared" si="14"/>
        <v>0</v>
      </c>
      <c r="AE22" s="40">
        <f t="shared" si="14"/>
        <v>32</v>
      </c>
      <c r="AF22" s="40">
        <f t="shared" si="14"/>
        <v>53</v>
      </c>
    </row>
    <row r="23" spans="2:32" ht="23.1" customHeight="1" x14ac:dyDescent="0.25">
      <c r="B23" s="23" t="s">
        <v>50</v>
      </c>
      <c r="C23" s="50">
        <v>1</v>
      </c>
      <c r="D23" s="50">
        <v>0</v>
      </c>
      <c r="E23" s="50">
        <v>1</v>
      </c>
      <c r="F23" s="50">
        <v>4</v>
      </c>
      <c r="G23" s="50">
        <v>0</v>
      </c>
      <c r="H23" s="50">
        <v>0</v>
      </c>
      <c r="I23" s="50">
        <v>1</v>
      </c>
      <c r="J23" s="50">
        <v>0</v>
      </c>
      <c r="K23" s="50">
        <v>1</v>
      </c>
      <c r="L23" s="50">
        <v>0</v>
      </c>
      <c r="M23" s="50">
        <v>1</v>
      </c>
      <c r="N23" s="50">
        <v>0</v>
      </c>
      <c r="O23" s="15">
        <f t="shared" si="0"/>
        <v>8</v>
      </c>
      <c r="P23" s="15">
        <f t="shared" si="1"/>
        <v>9</v>
      </c>
      <c r="R23" s="38" t="s">
        <v>91</v>
      </c>
      <c r="S23" s="39">
        <f>MAX(S13:S18)</f>
        <v>13</v>
      </c>
      <c r="T23" s="39">
        <f t="shared" ref="T23:AF23" si="15">MAX(T13:T18)</f>
        <v>0</v>
      </c>
      <c r="U23" s="39">
        <f t="shared" si="15"/>
        <v>11</v>
      </c>
      <c r="V23" s="39">
        <f t="shared" si="15"/>
        <v>14</v>
      </c>
      <c r="W23" s="39">
        <f t="shared" si="15"/>
        <v>0</v>
      </c>
      <c r="X23" s="39">
        <f t="shared" si="15"/>
        <v>2</v>
      </c>
      <c r="Y23" s="39">
        <f t="shared" si="15"/>
        <v>6</v>
      </c>
      <c r="Z23" s="39">
        <f t="shared" si="15"/>
        <v>1</v>
      </c>
      <c r="AA23" s="39">
        <f t="shared" si="15"/>
        <v>6</v>
      </c>
      <c r="AB23" s="39">
        <f t="shared" si="15"/>
        <v>5</v>
      </c>
      <c r="AC23" s="39">
        <f t="shared" si="15"/>
        <v>20</v>
      </c>
      <c r="AD23" s="39">
        <f t="shared" si="15"/>
        <v>0</v>
      </c>
      <c r="AE23" s="40">
        <f t="shared" si="15"/>
        <v>50</v>
      </c>
      <c r="AF23" s="40">
        <f t="shared" si="15"/>
        <v>69</v>
      </c>
    </row>
    <row r="24" spans="2:32" ht="23.1" customHeight="1" x14ac:dyDescent="0.25">
      <c r="B24" s="23" t="s">
        <v>51</v>
      </c>
      <c r="C24" s="50">
        <v>0</v>
      </c>
      <c r="D24" s="50">
        <v>0</v>
      </c>
      <c r="E24" s="50">
        <v>3</v>
      </c>
      <c r="F24" s="50">
        <v>3</v>
      </c>
      <c r="G24" s="50">
        <v>0</v>
      </c>
      <c r="H24" s="50">
        <v>1</v>
      </c>
      <c r="I24" s="50">
        <v>1</v>
      </c>
      <c r="J24" s="50">
        <v>0</v>
      </c>
      <c r="K24" s="50">
        <v>1</v>
      </c>
      <c r="L24" s="50">
        <v>0</v>
      </c>
      <c r="M24" s="50">
        <v>2</v>
      </c>
      <c r="N24" s="50">
        <v>0</v>
      </c>
      <c r="O24" s="15">
        <f t="shared" si="0"/>
        <v>9</v>
      </c>
      <c r="P24" s="15">
        <f t="shared" si="1"/>
        <v>11</v>
      </c>
      <c r="R24" s="38" t="s">
        <v>92</v>
      </c>
      <c r="S24" s="39">
        <f>MAX(S19:S21)</f>
        <v>13</v>
      </c>
      <c r="T24" s="39">
        <f t="shared" ref="T24:AF24" si="16">MAX(T19:T21)</f>
        <v>0</v>
      </c>
      <c r="U24" s="39">
        <f t="shared" si="16"/>
        <v>17</v>
      </c>
      <c r="V24" s="39">
        <f t="shared" si="16"/>
        <v>13</v>
      </c>
      <c r="W24" s="39">
        <f t="shared" si="16"/>
        <v>0</v>
      </c>
      <c r="X24" s="39">
        <f t="shared" si="16"/>
        <v>2</v>
      </c>
      <c r="Y24" s="39">
        <f t="shared" si="16"/>
        <v>6</v>
      </c>
      <c r="Z24" s="39">
        <f t="shared" si="16"/>
        <v>2</v>
      </c>
      <c r="AA24" s="39">
        <f t="shared" si="16"/>
        <v>4</v>
      </c>
      <c r="AB24" s="39">
        <f t="shared" si="16"/>
        <v>3</v>
      </c>
      <c r="AC24" s="39">
        <f t="shared" si="16"/>
        <v>16</v>
      </c>
      <c r="AD24" s="39">
        <f t="shared" si="16"/>
        <v>0</v>
      </c>
      <c r="AE24" s="40">
        <f t="shared" si="16"/>
        <v>52</v>
      </c>
      <c r="AF24" s="40">
        <f t="shared" si="16"/>
        <v>68</v>
      </c>
    </row>
    <row r="25" spans="2:32" ht="23.1" customHeight="1" x14ac:dyDescent="0.25">
      <c r="B25" s="23" t="s">
        <v>52</v>
      </c>
      <c r="C25" s="50">
        <v>1</v>
      </c>
      <c r="D25" s="50">
        <v>0</v>
      </c>
      <c r="E25" s="50">
        <v>2</v>
      </c>
      <c r="F25" s="50">
        <v>2</v>
      </c>
      <c r="G25" s="50">
        <v>0</v>
      </c>
      <c r="H25" s="50">
        <v>0</v>
      </c>
      <c r="I25" s="50">
        <v>1</v>
      </c>
      <c r="J25" s="50">
        <v>0</v>
      </c>
      <c r="K25" s="50">
        <v>1</v>
      </c>
      <c r="L25" s="50">
        <v>0</v>
      </c>
      <c r="M25" s="50">
        <v>3</v>
      </c>
      <c r="N25" s="50">
        <v>0</v>
      </c>
      <c r="O25" s="15">
        <f t="shared" si="0"/>
        <v>7</v>
      </c>
      <c r="P25" s="15">
        <f t="shared" si="1"/>
        <v>10</v>
      </c>
      <c r="R25" s="37" t="s">
        <v>85</v>
      </c>
      <c r="S25" s="35">
        <f t="shared" ref="S25:AF25" si="17">SUM(S10:S12)</f>
        <v>29</v>
      </c>
      <c r="T25" s="16">
        <f t="shared" si="17"/>
        <v>0</v>
      </c>
      <c r="U25" s="16">
        <f t="shared" si="17"/>
        <v>17</v>
      </c>
      <c r="V25" s="16">
        <f t="shared" si="17"/>
        <v>37</v>
      </c>
      <c r="W25" s="16">
        <f t="shared" si="17"/>
        <v>0</v>
      </c>
      <c r="X25" s="16">
        <f t="shared" si="17"/>
        <v>3</v>
      </c>
      <c r="Y25" s="16">
        <f t="shared" si="17"/>
        <v>4</v>
      </c>
      <c r="Z25" s="16">
        <f t="shared" si="17"/>
        <v>0</v>
      </c>
      <c r="AA25" s="16">
        <f t="shared" si="17"/>
        <v>4</v>
      </c>
      <c r="AB25" s="16">
        <f t="shared" si="17"/>
        <v>1</v>
      </c>
      <c r="AC25" s="16">
        <f t="shared" si="17"/>
        <v>53</v>
      </c>
      <c r="AD25" s="16">
        <f t="shared" si="17"/>
        <v>0</v>
      </c>
      <c r="AE25" s="32">
        <f t="shared" si="17"/>
        <v>95</v>
      </c>
      <c r="AF25" s="32">
        <f t="shared" si="17"/>
        <v>148</v>
      </c>
    </row>
    <row r="26" spans="2:32" ht="23.1" customHeight="1" x14ac:dyDescent="0.25">
      <c r="B26" s="23" t="s">
        <v>53</v>
      </c>
      <c r="C26" s="50">
        <v>5</v>
      </c>
      <c r="D26" s="50">
        <v>0</v>
      </c>
      <c r="E26" s="50">
        <v>1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4</v>
      </c>
      <c r="N26" s="50">
        <v>0</v>
      </c>
      <c r="O26" s="15">
        <f t="shared" si="0"/>
        <v>6</v>
      </c>
      <c r="P26" s="15">
        <f t="shared" si="1"/>
        <v>10</v>
      </c>
      <c r="R26" s="28" t="s">
        <v>86</v>
      </c>
      <c r="S26" s="16">
        <f t="shared" ref="S26:AF26" si="18">SUM(S13:S18)</f>
        <v>57</v>
      </c>
      <c r="T26" s="16">
        <f t="shared" si="18"/>
        <v>0</v>
      </c>
      <c r="U26" s="16">
        <f t="shared" si="18"/>
        <v>54</v>
      </c>
      <c r="V26" s="16">
        <f t="shared" si="18"/>
        <v>54</v>
      </c>
      <c r="W26" s="16">
        <f t="shared" si="18"/>
        <v>0</v>
      </c>
      <c r="X26" s="16">
        <f t="shared" si="18"/>
        <v>5</v>
      </c>
      <c r="Y26" s="16">
        <f t="shared" si="18"/>
        <v>27</v>
      </c>
      <c r="Z26" s="16">
        <f t="shared" si="18"/>
        <v>2</v>
      </c>
      <c r="AA26" s="16">
        <f t="shared" si="18"/>
        <v>27</v>
      </c>
      <c r="AB26" s="16">
        <f t="shared" si="18"/>
        <v>15</v>
      </c>
      <c r="AC26" s="16">
        <f t="shared" si="18"/>
        <v>78</v>
      </c>
      <c r="AD26" s="16">
        <f t="shared" si="18"/>
        <v>0</v>
      </c>
      <c r="AE26" s="32">
        <f t="shared" si="18"/>
        <v>241</v>
      </c>
      <c r="AF26" s="32">
        <f t="shared" si="18"/>
        <v>319</v>
      </c>
    </row>
    <row r="27" spans="2:32" ht="23.1" customHeight="1" x14ac:dyDescent="0.25">
      <c r="B27" s="23" t="s">
        <v>54</v>
      </c>
      <c r="C27" s="50">
        <v>4</v>
      </c>
      <c r="D27" s="50">
        <v>0</v>
      </c>
      <c r="E27" s="50">
        <v>0</v>
      </c>
      <c r="F27" s="50">
        <v>3</v>
      </c>
      <c r="G27" s="50">
        <v>0</v>
      </c>
      <c r="H27" s="50">
        <v>0</v>
      </c>
      <c r="I27" s="50">
        <v>0</v>
      </c>
      <c r="J27" s="50">
        <v>1</v>
      </c>
      <c r="K27" s="50">
        <v>2</v>
      </c>
      <c r="L27" s="50">
        <v>0</v>
      </c>
      <c r="M27" s="50">
        <v>3</v>
      </c>
      <c r="N27" s="50">
        <v>0</v>
      </c>
      <c r="O27" s="15">
        <f t="shared" si="0"/>
        <v>10</v>
      </c>
      <c r="P27" s="15">
        <f t="shared" si="1"/>
        <v>13</v>
      </c>
      <c r="R27" s="29" t="s">
        <v>87</v>
      </c>
      <c r="S27" s="16">
        <f t="shared" ref="S27:AF27" si="19">SUM(S19:S21)</f>
        <v>34</v>
      </c>
      <c r="T27" s="16">
        <f t="shared" si="19"/>
        <v>0</v>
      </c>
      <c r="U27" s="16">
        <f t="shared" si="19"/>
        <v>47</v>
      </c>
      <c r="V27" s="16">
        <f t="shared" si="19"/>
        <v>32</v>
      </c>
      <c r="W27" s="16">
        <f t="shared" si="19"/>
        <v>0</v>
      </c>
      <c r="X27" s="16">
        <f t="shared" si="19"/>
        <v>4</v>
      </c>
      <c r="Y27" s="16">
        <f t="shared" si="19"/>
        <v>14</v>
      </c>
      <c r="Z27" s="16">
        <f t="shared" si="19"/>
        <v>3</v>
      </c>
      <c r="AA27" s="16">
        <f t="shared" si="19"/>
        <v>10</v>
      </c>
      <c r="AB27" s="16">
        <f t="shared" si="19"/>
        <v>5</v>
      </c>
      <c r="AC27" s="16">
        <f t="shared" si="19"/>
        <v>38</v>
      </c>
      <c r="AD27" s="16">
        <f t="shared" si="19"/>
        <v>0</v>
      </c>
      <c r="AE27" s="32">
        <f t="shared" si="19"/>
        <v>149</v>
      </c>
      <c r="AF27" s="32">
        <f t="shared" si="19"/>
        <v>187</v>
      </c>
    </row>
    <row r="28" spans="2:32" ht="23.1" customHeight="1" x14ac:dyDescent="0.25">
      <c r="B28" s="23" t="s">
        <v>55</v>
      </c>
      <c r="C28" s="50">
        <v>2</v>
      </c>
      <c r="D28" s="50">
        <v>0</v>
      </c>
      <c r="E28" s="50">
        <v>1</v>
      </c>
      <c r="F28" s="50">
        <v>2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1</v>
      </c>
      <c r="M28" s="50">
        <v>6</v>
      </c>
      <c r="N28" s="50">
        <v>0</v>
      </c>
      <c r="O28" s="15">
        <f t="shared" si="0"/>
        <v>6</v>
      </c>
      <c r="P28" s="15">
        <f t="shared" si="1"/>
        <v>12</v>
      </c>
      <c r="R28" s="5" t="s">
        <v>17</v>
      </c>
      <c r="S28" s="16">
        <f t="shared" ref="S28:AF28" si="20">SUM(S10:S21)</f>
        <v>120</v>
      </c>
      <c r="T28" s="16">
        <f t="shared" si="20"/>
        <v>0</v>
      </c>
      <c r="U28" s="16">
        <f t="shared" si="20"/>
        <v>118</v>
      </c>
      <c r="V28" s="16">
        <f t="shared" si="20"/>
        <v>123</v>
      </c>
      <c r="W28" s="16">
        <f t="shared" si="20"/>
        <v>0</v>
      </c>
      <c r="X28" s="16">
        <f t="shared" si="20"/>
        <v>12</v>
      </c>
      <c r="Y28" s="16">
        <f t="shared" si="20"/>
        <v>45</v>
      </c>
      <c r="Z28" s="16">
        <f t="shared" si="20"/>
        <v>5</v>
      </c>
      <c r="AA28" s="16">
        <f t="shared" si="20"/>
        <v>41</v>
      </c>
      <c r="AB28" s="16">
        <f t="shared" si="20"/>
        <v>21</v>
      </c>
      <c r="AC28" s="16">
        <f t="shared" si="20"/>
        <v>169</v>
      </c>
      <c r="AD28" s="16">
        <f t="shared" si="20"/>
        <v>0</v>
      </c>
      <c r="AE28" s="32">
        <f t="shared" si="20"/>
        <v>485</v>
      </c>
      <c r="AF28" s="32">
        <f t="shared" si="20"/>
        <v>654</v>
      </c>
    </row>
    <row r="29" spans="2:32" ht="23.1" customHeight="1" x14ac:dyDescent="0.25">
      <c r="B29" s="23" t="s">
        <v>56</v>
      </c>
      <c r="C29" s="50">
        <v>2</v>
      </c>
      <c r="D29" s="50">
        <v>0</v>
      </c>
      <c r="E29" s="50">
        <v>3</v>
      </c>
      <c r="F29" s="50">
        <v>0</v>
      </c>
      <c r="G29" s="50">
        <v>0</v>
      </c>
      <c r="H29" s="50">
        <v>0</v>
      </c>
      <c r="I29" s="50">
        <v>2</v>
      </c>
      <c r="J29" s="50">
        <v>0</v>
      </c>
      <c r="K29" s="50">
        <v>2</v>
      </c>
      <c r="L29" s="50">
        <v>3</v>
      </c>
      <c r="M29" s="50">
        <v>7</v>
      </c>
      <c r="N29" s="50">
        <v>0</v>
      </c>
      <c r="O29" s="15">
        <f t="shared" si="0"/>
        <v>12</v>
      </c>
      <c r="P29" s="15">
        <f t="shared" si="1"/>
        <v>19</v>
      </c>
      <c r="R29"/>
      <c r="S29" s="20"/>
      <c r="T29" s="19"/>
    </row>
    <row r="30" spans="2:32" ht="23.1" customHeight="1" x14ac:dyDescent="0.25">
      <c r="B30" s="23" t="s">
        <v>57</v>
      </c>
      <c r="C30" s="50">
        <v>2</v>
      </c>
      <c r="D30" s="50">
        <v>0</v>
      </c>
      <c r="E30" s="50">
        <v>2</v>
      </c>
      <c r="F30" s="50">
        <v>2</v>
      </c>
      <c r="G30" s="50">
        <v>0</v>
      </c>
      <c r="H30" s="50">
        <v>0</v>
      </c>
      <c r="I30" s="50">
        <v>3</v>
      </c>
      <c r="J30" s="50">
        <v>1</v>
      </c>
      <c r="K30" s="50">
        <v>1</v>
      </c>
      <c r="L30" s="50">
        <v>0</v>
      </c>
      <c r="M30" s="50">
        <v>3</v>
      </c>
      <c r="N30" s="50">
        <v>0</v>
      </c>
      <c r="O30" s="15">
        <f t="shared" si="0"/>
        <v>11</v>
      </c>
      <c r="P30" s="15">
        <f t="shared" si="1"/>
        <v>14</v>
      </c>
    </row>
    <row r="31" spans="2:32" ht="23.1" customHeight="1" x14ac:dyDescent="0.25">
      <c r="B31" s="24" t="s">
        <v>58</v>
      </c>
      <c r="C31" s="50">
        <v>3</v>
      </c>
      <c r="D31" s="50">
        <v>0</v>
      </c>
      <c r="E31" s="50">
        <v>3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2</v>
      </c>
      <c r="M31" s="50">
        <v>3</v>
      </c>
      <c r="N31" s="50">
        <v>0</v>
      </c>
      <c r="O31" s="15">
        <f t="shared" si="0"/>
        <v>8</v>
      </c>
      <c r="P31" s="15">
        <f t="shared" si="1"/>
        <v>11</v>
      </c>
    </row>
    <row r="32" spans="2:32" ht="23.1" customHeight="1" x14ac:dyDescent="0.25">
      <c r="B32" s="24" t="s">
        <v>59</v>
      </c>
      <c r="C32" s="50">
        <v>1</v>
      </c>
      <c r="D32" s="50">
        <v>0</v>
      </c>
      <c r="E32" s="50">
        <v>3</v>
      </c>
      <c r="F32" s="50">
        <v>1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0</v>
      </c>
      <c r="N32" s="50">
        <v>0</v>
      </c>
      <c r="O32" s="15">
        <f t="shared" si="0"/>
        <v>5</v>
      </c>
      <c r="P32" s="15">
        <f t="shared" si="1"/>
        <v>5</v>
      </c>
    </row>
    <row r="33" spans="2:20" ht="23.1" customHeight="1" x14ac:dyDescent="0.25">
      <c r="B33" s="23" t="s">
        <v>60</v>
      </c>
      <c r="C33" s="50">
        <v>3</v>
      </c>
      <c r="D33" s="50">
        <v>0</v>
      </c>
      <c r="E33" s="50">
        <v>1</v>
      </c>
      <c r="F33" s="50">
        <v>2</v>
      </c>
      <c r="G33" s="50">
        <v>0</v>
      </c>
      <c r="H33" s="50">
        <v>1</v>
      </c>
      <c r="I33" s="50">
        <v>1</v>
      </c>
      <c r="J33" s="50">
        <v>0</v>
      </c>
      <c r="K33" s="50">
        <v>1</v>
      </c>
      <c r="L33" s="50">
        <v>0</v>
      </c>
      <c r="M33" s="50">
        <v>1</v>
      </c>
      <c r="N33" s="50">
        <v>0</v>
      </c>
      <c r="O33" s="15">
        <f t="shared" si="0"/>
        <v>9</v>
      </c>
      <c r="P33" s="15">
        <f t="shared" si="1"/>
        <v>10</v>
      </c>
    </row>
    <row r="34" spans="2:20" ht="23.1" customHeight="1" x14ac:dyDescent="0.25">
      <c r="B34" s="24" t="s">
        <v>61</v>
      </c>
      <c r="C34" s="50">
        <v>4</v>
      </c>
      <c r="D34" s="50">
        <v>0</v>
      </c>
      <c r="E34" s="50">
        <v>3</v>
      </c>
      <c r="F34" s="50">
        <v>2</v>
      </c>
      <c r="G34" s="50">
        <v>0</v>
      </c>
      <c r="H34" s="50">
        <v>1</v>
      </c>
      <c r="I34" s="50">
        <v>1</v>
      </c>
      <c r="J34" s="50">
        <v>0</v>
      </c>
      <c r="K34" s="50">
        <v>1</v>
      </c>
      <c r="L34" s="50">
        <v>2</v>
      </c>
      <c r="M34" s="50">
        <v>5</v>
      </c>
      <c r="N34" s="50">
        <v>0</v>
      </c>
      <c r="O34" s="15">
        <f t="shared" si="0"/>
        <v>14</v>
      </c>
      <c r="P34" s="15">
        <f t="shared" si="1"/>
        <v>19</v>
      </c>
    </row>
    <row r="35" spans="2:20" ht="23.1" customHeight="1" x14ac:dyDescent="0.25">
      <c r="B35" s="24" t="s">
        <v>62</v>
      </c>
      <c r="C35" s="50">
        <v>2</v>
      </c>
      <c r="D35" s="50">
        <v>0</v>
      </c>
      <c r="E35" s="50">
        <v>0</v>
      </c>
      <c r="F35" s="50">
        <v>2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1</v>
      </c>
      <c r="M35" s="50">
        <v>3</v>
      </c>
      <c r="N35" s="50">
        <v>0</v>
      </c>
      <c r="O35" s="15">
        <f t="shared" si="0"/>
        <v>5</v>
      </c>
      <c r="P35" s="15">
        <f t="shared" si="1"/>
        <v>8</v>
      </c>
    </row>
    <row r="36" spans="2:20" ht="23.1" customHeight="1" x14ac:dyDescent="0.25">
      <c r="B36" s="24" t="s">
        <v>63</v>
      </c>
      <c r="C36" s="50">
        <v>5</v>
      </c>
      <c r="D36" s="50">
        <v>0</v>
      </c>
      <c r="E36" s="50">
        <v>0</v>
      </c>
      <c r="F36" s="50">
        <v>5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6</v>
      </c>
      <c r="N36" s="50">
        <v>0</v>
      </c>
      <c r="O36" s="15">
        <f t="shared" si="0"/>
        <v>10</v>
      </c>
      <c r="P36" s="15">
        <f t="shared" si="1"/>
        <v>16</v>
      </c>
    </row>
    <row r="37" spans="2:20" ht="23.1" customHeight="1" x14ac:dyDescent="0.25">
      <c r="B37" s="23" t="s">
        <v>64</v>
      </c>
      <c r="C37" s="50">
        <v>1</v>
      </c>
      <c r="D37" s="50">
        <v>0</v>
      </c>
      <c r="E37" s="50">
        <v>6</v>
      </c>
      <c r="F37" s="50">
        <v>3</v>
      </c>
      <c r="G37" s="50">
        <v>0</v>
      </c>
      <c r="H37" s="50">
        <v>1</v>
      </c>
      <c r="I37" s="50">
        <v>4</v>
      </c>
      <c r="J37" s="50">
        <v>0</v>
      </c>
      <c r="K37" s="50">
        <v>4</v>
      </c>
      <c r="L37" s="50">
        <v>2</v>
      </c>
      <c r="M37" s="50">
        <v>5</v>
      </c>
      <c r="N37" s="50">
        <v>0</v>
      </c>
      <c r="O37" s="15">
        <f t="shared" si="0"/>
        <v>21</v>
      </c>
      <c r="P37" s="15">
        <f t="shared" si="1"/>
        <v>26</v>
      </c>
    </row>
    <row r="38" spans="2:20" ht="23.1" customHeight="1" x14ac:dyDescent="0.25">
      <c r="B38" s="24" t="s">
        <v>65</v>
      </c>
      <c r="C38" s="50">
        <v>3</v>
      </c>
      <c r="D38" s="50">
        <v>0</v>
      </c>
      <c r="E38" s="50">
        <v>3</v>
      </c>
      <c r="F38" s="50">
        <v>2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2</v>
      </c>
      <c r="M38" s="50">
        <v>3</v>
      </c>
      <c r="N38" s="50">
        <v>0</v>
      </c>
      <c r="O38" s="15">
        <f t="shared" si="0"/>
        <v>10</v>
      </c>
      <c r="P38" s="15">
        <f t="shared" si="1"/>
        <v>13</v>
      </c>
    </row>
    <row r="39" spans="2:20" ht="23.1" customHeight="1" x14ac:dyDescent="0.25">
      <c r="B39" s="24" t="s">
        <v>66</v>
      </c>
      <c r="C39" s="50">
        <v>2</v>
      </c>
      <c r="D39" s="50">
        <v>0</v>
      </c>
      <c r="E39" s="50">
        <v>2</v>
      </c>
      <c r="F39" s="50">
        <v>2</v>
      </c>
      <c r="G39" s="50">
        <v>0</v>
      </c>
      <c r="H39" s="50">
        <v>0</v>
      </c>
      <c r="I39" s="50">
        <v>2</v>
      </c>
      <c r="J39" s="50">
        <v>0</v>
      </c>
      <c r="K39" s="50">
        <v>2</v>
      </c>
      <c r="L39" s="50">
        <v>0</v>
      </c>
      <c r="M39" s="50">
        <v>1</v>
      </c>
      <c r="N39" s="50">
        <v>0</v>
      </c>
      <c r="O39" s="15">
        <f t="shared" si="0"/>
        <v>10</v>
      </c>
      <c r="P39" s="15">
        <f t="shared" si="1"/>
        <v>11</v>
      </c>
    </row>
    <row r="40" spans="2:20" ht="23.1" customHeight="1" x14ac:dyDescent="0.25">
      <c r="B40" s="24" t="s">
        <v>67</v>
      </c>
      <c r="C40" s="50">
        <v>2</v>
      </c>
      <c r="D40" s="50">
        <v>0</v>
      </c>
      <c r="E40" s="50">
        <v>1</v>
      </c>
      <c r="F40" s="50">
        <v>2</v>
      </c>
      <c r="G40" s="50">
        <v>0</v>
      </c>
      <c r="H40" s="50">
        <v>0</v>
      </c>
      <c r="I40" s="50">
        <v>1</v>
      </c>
      <c r="J40" s="50">
        <v>0</v>
      </c>
      <c r="K40" s="50">
        <v>1</v>
      </c>
      <c r="L40" s="50">
        <v>1</v>
      </c>
      <c r="M40" s="50">
        <v>3</v>
      </c>
      <c r="N40" s="50">
        <v>0</v>
      </c>
      <c r="O40" s="15">
        <f t="shared" si="0"/>
        <v>8</v>
      </c>
      <c r="P40" s="15">
        <f t="shared" si="1"/>
        <v>11</v>
      </c>
    </row>
    <row r="41" spans="2:20" ht="23.1" customHeight="1" x14ac:dyDescent="0.25">
      <c r="B41" s="23" t="s">
        <v>68</v>
      </c>
      <c r="C41" s="50">
        <v>5</v>
      </c>
      <c r="D41" s="50">
        <v>0</v>
      </c>
      <c r="E41" s="50">
        <v>5</v>
      </c>
      <c r="F41" s="50">
        <v>1</v>
      </c>
      <c r="G41" s="50">
        <v>0</v>
      </c>
      <c r="H41" s="50">
        <v>0</v>
      </c>
      <c r="I41" s="50">
        <v>2</v>
      </c>
      <c r="J41" s="50">
        <v>0</v>
      </c>
      <c r="K41" s="50">
        <v>2</v>
      </c>
      <c r="L41" s="50">
        <v>0</v>
      </c>
      <c r="M41" s="50">
        <v>2</v>
      </c>
      <c r="N41" s="50">
        <v>0</v>
      </c>
      <c r="O41" s="15">
        <f t="shared" si="0"/>
        <v>15</v>
      </c>
      <c r="P41" s="15">
        <f t="shared" si="1"/>
        <v>17</v>
      </c>
    </row>
    <row r="42" spans="2:20" ht="23.1" customHeight="1" x14ac:dyDescent="0.25">
      <c r="B42" s="24" t="s">
        <v>69</v>
      </c>
      <c r="C42" s="50">
        <v>0</v>
      </c>
      <c r="D42" s="50">
        <v>0</v>
      </c>
      <c r="E42" s="50">
        <v>0</v>
      </c>
      <c r="F42" s="50">
        <v>4</v>
      </c>
      <c r="G42" s="50">
        <v>0</v>
      </c>
      <c r="H42" s="50">
        <v>0</v>
      </c>
      <c r="I42" s="50">
        <v>2</v>
      </c>
      <c r="J42" s="50">
        <v>0</v>
      </c>
      <c r="K42" s="50">
        <v>2</v>
      </c>
      <c r="L42" s="50">
        <v>1</v>
      </c>
      <c r="M42" s="50">
        <v>5</v>
      </c>
      <c r="N42" s="50">
        <v>0</v>
      </c>
      <c r="O42" s="15">
        <f t="shared" si="0"/>
        <v>9</v>
      </c>
      <c r="P42" s="15">
        <f t="shared" si="1"/>
        <v>14</v>
      </c>
    </row>
    <row r="43" spans="2:20" ht="23.1" customHeight="1" x14ac:dyDescent="0.25">
      <c r="B43" s="23" t="s">
        <v>70</v>
      </c>
      <c r="C43" s="50">
        <v>1</v>
      </c>
      <c r="D43" s="50">
        <v>0</v>
      </c>
      <c r="E43" s="50">
        <v>1</v>
      </c>
      <c r="F43" s="50">
        <v>2</v>
      </c>
      <c r="G43" s="50">
        <v>0</v>
      </c>
      <c r="H43" s="50">
        <v>1</v>
      </c>
      <c r="I43" s="50">
        <v>2</v>
      </c>
      <c r="J43" s="50">
        <v>0</v>
      </c>
      <c r="K43" s="50">
        <v>2</v>
      </c>
      <c r="L43" s="50">
        <v>0</v>
      </c>
      <c r="M43" s="50">
        <v>0</v>
      </c>
      <c r="N43" s="50">
        <v>0</v>
      </c>
      <c r="O43" s="15">
        <f t="shared" si="0"/>
        <v>9</v>
      </c>
      <c r="P43" s="15">
        <f t="shared" si="1"/>
        <v>9</v>
      </c>
    </row>
    <row r="44" spans="2:20" ht="23.1" customHeight="1" x14ac:dyDescent="0.25">
      <c r="B44" s="25" t="s">
        <v>71</v>
      </c>
      <c r="C44" s="50">
        <v>2</v>
      </c>
      <c r="D44" s="50">
        <v>0</v>
      </c>
      <c r="E44" s="50">
        <v>3</v>
      </c>
      <c r="F44" s="50">
        <v>3</v>
      </c>
      <c r="G44" s="50">
        <v>0</v>
      </c>
      <c r="H44" s="50">
        <v>0</v>
      </c>
      <c r="I44" s="50">
        <v>2</v>
      </c>
      <c r="J44" s="50">
        <v>0</v>
      </c>
      <c r="K44" s="50">
        <v>2</v>
      </c>
      <c r="L44" s="50">
        <v>0</v>
      </c>
      <c r="M44" s="50">
        <v>2</v>
      </c>
      <c r="N44" s="50">
        <v>0</v>
      </c>
      <c r="O44" s="15">
        <f t="shared" si="0"/>
        <v>12</v>
      </c>
      <c r="P44" s="15">
        <f t="shared" si="1"/>
        <v>14</v>
      </c>
    </row>
    <row r="45" spans="2:20" ht="23.1" customHeight="1" x14ac:dyDescent="0.25">
      <c r="B45" s="23" t="s">
        <v>72</v>
      </c>
      <c r="C45" s="50">
        <v>4</v>
      </c>
      <c r="D45" s="50">
        <v>0</v>
      </c>
      <c r="E45" s="50">
        <v>7</v>
      </c>
      <c r="F45" s="50">
        <v>2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4</v>
      </c>
      <c r="N45" s="50">
        <v>0</v>
      </c>
      <c r="O45" s="15">
        <f t="shared" si="0"/>
        <v>13</v>
      </c>
      <c r="P45" s="15">
        <f t="shared" si="1"/>
        <v>17</v>
      </c>
    </row>
    <row r="46" spans="2:20" ht="23.1" customHeight="1" x14ac:dyDescent="0.25">
      <c r="B46" s="24" t="s">
        <v>73</v>
      </c>
      <c r="C46" s="50">
        <v>4</v>
      </c>
      <c r="D46" s="50">
        <v>0</v>
      </c>
      <c r="E46" s="50">
        <v>4</v>
      </c>
      <c r="F46" s="50">
        <v>1</v>
      </c>
      <c r="G46" s="50">
        <v>0</v>
      </c>
      <c r="H46" s="50">
        <v>1</v>
      </c>
      <c r="I46" s="50">
        <v>2</v>
      </c>
      <c r="J46" s="50">
        <v>1</v>
      </c>
      <c r="K46" s="50">
        <v>0</v>
      </c>
      <c r="L46" s="50">
        <v>1</v>
      </c>
      <c r="M46" s="50">
        <v>0</v>
      </c>
      <c r="N46" s="50">
        <v>0</v>
      </c>
      <c r="O46" s="15">
        <f t="shared" si="0"/>
        <v>14</v>
      </c>
      <c r="P46" s="15">
        <f t="shared" si="1"/>
        <v>14</v>
      </c>
      <c r="R46" s="8"/>
      <c r="T46"/>
    </row>
    <row r="47" spans="2:20" ht="23.1" customHeight="1" x14ac:dyDescent="0.25">
      <c r="B47" s="24" t="s">
        <v>74</v>
      </c>
      <c r="C47" s="50">
        <v>3</v>
      </c>
      <c r="D47" s="50">
        <v>0</v>
      </c>
      <c r="E47" s="50">
        <v>1</v>
      </c>
      <c r="F47" s="50">
        <v>2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2</v>
      </c>
      <c r="N47" s="50">
        <v>0</v>
      </c>
      <c r="O47" s="15">
        <f t="shared" si="0"/>
        <v>6</v>
      </c>
      <c r="P47" s="15">
        <f t="shared" si="1"/>
        <v>8</v>
      </c>
      <c r="R47" s="8"/>
      <c r="T47"/>
    </row>
    <row r="48" spans="2:20" ht="23.1" customHeight="1" x14ac:dyDescent="0.25">
      <c r="B48" s="24" t="s">
        <v>75</v>
      </c>
      <c r="C48" s="50">
        <v>2</v>
      </c>
      <c r="D48" s="50">
        <v>0</v>
      </c>
      <c r="E48" s="50">
        <v>3</v>
      </c>
      <c r="F48" s="50">
        <v>3</v>
      </c>
      <c r="G48" s="50">
        <v>0</v>
      </c>
      <c r="H48" s="50">
        <v>0</v>
      </c>
      <c r="I48" s="50">
        <v>1</v>
      </c>
      <c r="J48" s="50">
        <v>0</v>
      </c>
      <c r="K48" s="50">
        <v>1</v>
      </c>
      <c r="L48" s="50">
        <v>0</v>
      </c>
      <c r="M48" s="50">
        <v>4</v>
      </c>
      <c r="N48" s="50">
        <v>0</v>
      </c>
      <c r="O48" s="15">
        <f t="shared" si="0"/>
        <v>10</v>
      </c>
      <c r="P48" s="15">
        <f t="shared" si="1"/>
        <v>14</v>
      </c>
      <c r="R48" s="8"/>
      <c r="T48"/>
    </row>
    <row r="49" spans="2:20" ht="23.1" customHeight="1" x14ac:dyDescent="0.25">
      <c r="B49" s="23" t="s">
        <v>76</v>
      </c>
      <c r="C49" s="50">
        <v>2</v>
      </c>
      <c r="D49" s="50">
        <v>0</v>
      </c>
      <c r="E49" s="50">
        <v>5</v>
      </c>
      <c r="F49" s="50">
        <v>2</v>
      </c>
      <c r="G49" s="50">
        <v>0</v>
      </c>
      <c r="H49" s="50">
        <v>1</v>
      </c>
      <c r="I49" s="50">
        <v>3</v>
      </c>
      <c r="J49" s="50">
        <v>0</v>
      </c>
      <c r="K49" s="50">
        <v>3</v>
      </c>
      <c r="L49" s="50">
        <v>2</v>
      </c>
      <c r="M49" s="50">
        <v>1</v>
      </c>
      <c r="N49" s="50">
        <v>0</v>
      </c>
      <c r="O49" s="15">
        <f t="shared" si="0"/>
        <v>18</v>
      </c>
      <c r="P49" s="15">
        <f t="shared" si="1"/>
        <v>19</v>
      </c>
      <c r="R49" s="8"/>
      <c r="T49"/>
    </row>
    <row r="50" spans="2:20" ht="23.1" customHeight="1" x14ac:dyDescent="0.25">
      <c r="B50" s="24" t="s">
        <v>77</v>
      </c>
      <c r="C50" s="50">
        <v>4</v>
      </c>
      <c r="D50" s="50">
        <v>0</v>
      </c>
      <c r="E50" s="50">
        <v>4</v>
      </c>
      <c r="F50" s="50">
        <v>1</v>
      </c>
      <c r="G50" s="50">
        <v>0</v>
      </c>
      <c r="H50" s="50">
        <v>1</v>
      </c>
      <c r="I50" s="50">
        <v>0</v>
      </c>
      <c r="J50" s="50">
        <v>0</v>
      </c>
      <c r="K50" s="50">
        <v>0</v>
      </c>
      <c r="L50" s="50">
        <v>2</v>
      </c>
      <c r="M50" s="50">
        <v>3</v>
      </c>
      <c r="N50" s="50">
        <v>0</v>
      </c>
      <c r="O50" s="15">
        <f t="shared" si="0"/>
        <v>12</v>
      </c>
      <c r="P50" s="15">
        <f t="shared" si="1"/>
        <v>15</v>
      </c>
      <c r="R50" s="8"/>
      <c r="T50"/>
    </row>
    <row r="51" spans="2:20" ht="23.1" customHeight="1" x14ac:dyDescent="0.25">
      <c r="B51" s="24" t="s">
        <v>78</v>
      </c>
      <c r="C51" s="50">
        <v>3</v>
      </c>
      <c r="D51" s="50">
        <v>0</v>
      </c>
      <c r="E51" s="50">
        <v>5</v>
      </c>
      <c r="F51" s="50">
        <v>4</v>
      </c>
      <c r="G51" s="50">
        <v>0</v>
      </c>
      <c r="H51" s="50">
        <v>1</v>
      </c>
      <c r="I51" s="50">
        <v>1</v>
      </c>
      <c r="J51" s="50">
        <v>0</v>
      </c>
      <c r="K51" s="50">
        <v>1</v>
      </c>
      <c r="L51" s="50">
        <v>0</v>
      </c>
      <c r="M51" s="50">
        <v>2</v>
      </c>
      <c r="N51" s="50">
        <v>0</v>
      </c>
      <c r="O51" s="15">
        <f t="shared" si="0"/>
        <v>15</v>
      </c>
      <c r="P51" s="15">
        <f t="shared" si="1"/>
        <v>17</v>
      </c>
      <c r="R51" s="8"/>
      <c r="T51"/>
    </row>
    <row r="52" spans="2:20" ht="23.1" customHeight="1" x14ac:dyDescent="0.25">
      <c r="B52" s="24" t="s">
        <v>79</v>
      </c>
      <c r="C52" s="50">
        <v>5</v>
      </c>
      <c r="D52" s="50">
        <v>0</v>
      </c>
      <c r="E52" s="50">
        <v>5</v>
      </c>
      <c r="F52" s="50">
        <v>2</v>
      </c>
      <c r="G52" s="50">
        <v>0</v>
      </c>
      <c r="H52" s="50">
        <v>0</v>
      </c>
      <c r="I52" s="50">
        <v>1</v>
      </c>
      <c r="J52" s="50">
        <v>0</v>
      </c>
      <c r="K52" s="50">
        <v>1</v>
      </c>
      <c r="L52" s="50">
        <v>0</v>
      </c>
      <c r="M52" s="50">
        <v>6</v>
      </c>
      <c r="N52" s="50">
        <v>0</v>
      </c>
      <c r="O52" s="15">
        <f t="shared" si="0"/>
        <v>14</v>
      </c>
      <c r="P52" s="15">
        <f t="shared" si="1"/>
        <v>20</v>
      </c>
      <c r="R52" s="8"/>
      <c r="T52"/>
    </row>
    <row r="53" spans="2:20" ht="23.1" customHeight="1" x14ac:dyDescent="0.25">
      <c r="B53" s="23" t="s">
        <v>80</v>
      </c>
      <c r="C53" s="50">
        <v>1</v>
      </c>
      <c r="D53" s="50">
        <v>0</v>
      </c>
      <c r="E53" s="50">
        <v>3</v>
      </c>
      <c r="F53" s="50">
        <v>4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4</v>
      </c>
      <c r="N53" s="50">
        <v>0</v>
      </c>
      <c r="O53" s="15">
        <f t="shared" si="0"/>
        <v>8</v>
      </c>
      <c r="P53" s="15">
        <f t="shared" si="1"/>
        <v>12</v>
      </c>
      <c r="R53" s="8"/>
      <c r="T53"/>
    </row>
    <row r="54" spans="2:20" ht="23.1" customHeight="1" x14ac:dyDescent="0.25">
      <c r="B54" s="23" t="s">
        <v>81</v>
      </c>
      <c r="C54" s="50">
        <v>2</v>
      </c>
      <c r="D54" s="50">
        <v>0</v>
      </c>
      <c r="E54" s="50">
        <v>3</v>
      </c>
      <c r="F54" s="50">
        <v>3</v>
      </c>
      <c r="G54" s="50">
        <v>0</v>
      </c>
      <c r="H54" s="50">
        <v>0</v>
      </c>
      <c r="I54" s="50">
        <v>2</v>
      </c>
      <c r="J54" s="50">
        <v>0</v>
      </c>
      <c r="K54" s="50">
        <v>2</v>
      </c>
      <c r="L54" s="50">
        <v>0</v>
      </c>
      <c r="M54" s="50">
        <v>5</v>
      </c>
      <c r="N54" s="50">
        <v>0</v>
      </c>
      <c r="O54" s="15">
        <f t="shared" si="0"/>
        <v>12</v>
      </c>
      <c r="P54" s="15">
        <f t="shared" si="1"/>
        <v>17</v>
      </c>
      <c r="R54" s="8"/>
      <c r="T54"/>
    </row>
    <row r="55" spans="2:20" ht="23.1" customHeight="1" x14ac:dyDescent="0.25">
      <c r="B55" s="23" t="s">
        <v>82</v>
      </c>
      <c r="C55" s="50">
        <v>5</v>
      </c>
      <c r="D55" s="50">
        <v>0</v>
      </c>
      <c r="E55" s="50">
        <v>5</v>
      </c>
      <c r="F55" s="50">
        <v>3</v>
      </c>
      <c r="G55" s="50">
        <v>0</v>
      </c>
      <c r="H55" s="50">
        <v>0</v>
      </c>
      <c r="I55" s="50">
        <v>2</v>
      </c>
      <c r="J55" s="50">
        <v>1</v>
      </c>
      <c r="K55" s="50">
        <v>0</v>
      </c>
      <c r="L55" s="50">
        <v>0</v>
      </c>
      <c r="M55" s="50">
        <v>4</v>
      </c>
      <c r="N55" s="50">
        <v>0</v>
      </c>
      <c r="O55" s="15">
        <f t="shared" si="0"/>
        <v>16</v>
      </c>
      <c r="P55" s="15">
        <f t="shared" si="1"/>
        <v>20</v>
      </c>
      <c r="R55" s="8"/>
      <c r="T55"/>
    </row>
    <row r="56" spans="2:20" ht="23.1" customHeight="1" x14ac:dyDescent="0.25">
      <c r="B56" s="23" t="s">
        <v>83</v>
      </c>
      <c r="C56" s="50">
        <v>2</v>
      </c>
      <c r="D56" s="50">
        <v>0</v>
      </c>
      <c r="E56" s="50">
        <v>3</v>
      </c>
      <c r="F56" s="50">
        <v>4</v>
      </c>
      <c r="G56" s="50">
        <v>0</v>
      </c>
      <c r="H56" s="50">
        <v>0</v>
      </c>
      <c r="I56" s="50">
        <v>1</v>
      </c>
      <c r="J56" s="50">
        <v>0</v>
      </c>
      <c r="K56" s="50">
        <v>1</v>
      </c>
      <c r="L56" s="50">
        <v>0</v>
      </c>
      <c r="M56" s="50">
        <v>6</v>
      </c>
      <c r="N56" s="50">
        <v>0</v>
      </c>
      <c r="O56" s="15">
        <f t="shared" si="0"/>
        <v>11</v>
      </c>
      <c r="P56" s="15">
        <f t="shared" si="1"/>
        <v>17</v>
      </c>
      <c r="R56" s="8"/>
      <c r="T56"/>
    </row>
    <row r="57" spans="2:20" ht="23.1" customHeight="1" x14ac:dyDescent="0.25">
      <c r="B57" s="23" t="s">
        <v>84</v>
      </c>
      <c r="C57" s="50">
        <v>1</v>
      </c>
      <c r="D57" s="50">
        <v>0</v>
      </c>
      <c r="E57" s="50">
        <v>6</v>
      </c>
      <c r="F57" s="50">
        <v>3</v>
      </c>
      <c r="G57" s="50">
        <v>0</v>
      </c>
      <c r="H57" s="50">
        <v>0</v>
      </c>
      <c r="I57" s="50">
        <v>1</v>
      </c>
      <c r="J57" s="50">
        <v>1</v>
      </c>
      <c r="K57" s="50">
        <v>1</v>
      </c>
      <c r="L57" s="50">
        <v>0</v>
      </c>
      <c r="M57" s="50">
        <v>1</v>
      </c>
      <c r="N57" s="50">
        <v>0</v>
      </c>
      <c r="O57" s="15">
        <f t="shared" si="0"/>
        <v>13</v>
      </c>
      <c r="P57" s="15">
        <f t="shared" si="1"/>
        <v>14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120</v>
      </c>
      <c r="D58" s="16">
        <f t="shared" si="21"/>
        <v>0</v>
      </c>
      <c r="E58" s="16">
        <f t="shared" si="21"/>
        <v>118</v>
      </c>
      <c r="F58" s="16">
        <f t="shared" si="21"/>
        <v>123</v>
      </c>
      <c r="G58" s="16">
        <f t="shared" si="21"/>
        <v>0</v>
      </c>
      <c r="H58" s="16">
        <f t="shared" si="21"/>
        <v>12</v>
      </c>
      <c r="I58" s="16">
        <f t="shared" si="21"/>
        <v>45</v>
      </c>
      <c r="J58" s="16">
        <f t="shared" si="21"/>
        <v>5</v>
      </c>
      <c r="K58" s="16">
        <f t="shared" si="21"/>
        <v>41</v>
      </c>
      <c r="L58" s="16">
        <f t="shared" si="21"/>
        <v>21</v>
      </c>
      <c r="M58" s="16">
        <f t="shared" si="21"/>
        <v>169</v>
      </c>
      <c r="N58" s="16">
        <f t="shared" si="21"/>
        <v>0</v>
      </c>
      <c r="O58" s="16">
        <f t="shared" si="21"/>
        <v>485</v>
      </c>
      <c r="P58" s="16">
        <f t="shared" si="21"/>
        <v>654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0.1834862385321101</v>
      </c>
      <c r="D59" s="43">
        <f t="shared" si="22"/>
        <v>0</v>
      </c>
      <c r="E59" s="43">
        <f t="shared" si="22"/>
        <v>0.18042813455657492</v>
      </c>
      <c r="F59" s="43">
        <f t="shared" si="22"/>
        <v>0.18807339449541285</v>
      </c>
      <c r="G59" s="43">
        <f t="shared" si="22"/>
        <v>0</v>
      </c>
      <c r="H59" s="43">
        <f t="shared" si="22"/>
        <v>1.834862385321101E-2</v>
      </c>
      <c r="I59" s="43">
        <f t="shared" si="22"/>
        <v>6.8807339449541288E-2</v>
      </c>
      <c r="J59" s="43">
        <f t="shared" si="22"/>
        <v>7.6452599388379203E-3</v>
      </c>
      <c r="K59" s="43">
        <f t="shared" si="22"/>
        <v>6.2691131498470942E-2</v>
      </c>
      <c r="L59" s="43">
        <f t="shared" si="22"/>
        <v>3.2110091743119268E-2</v>
      </c>
      <c r="M59" s="43">
        <f t="shared" si="22"/>
        <v>0.25840978593272174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0.24742268041237114</v>
      </c>
      <c r="D60" s="44">
        <f t="shared" ref="D60:N60" si="23">D58/$O$58</f>
        <v>0</v>
      </c>
      <c r="E60" s="44">
        <f t="shared" si="23"/>
        <v>0.24329896907216494</v>
      </c>
      <c r="F60" s="44">
        <f t="shared" si="23"/>
        <v>0.2536082474226804</v>
      </c>
      <c r="G60" s="44">
        <f t="shared" si="23"/>
        <v>0</v>
      </c>
      <c r="H60" s="44">
        <f t="shared" si="23"/>
        <v>2.4742268041237112E-2</v>
      </c>
      <c r="I60" s="44">
        <f t="shared" si="23"/>
        <v>9.2783505154639179E-2</v>
      </c>
      <c r="J60" s="44">
        <f t="shared" si="23"/>
        <v>1.0309278350515464E-2</v>
      </c>
      <c r="K60" s="44">
        <f t="shared" si="23"/>
        <v>8.4536082474226809E-2</v>
      </c>
      <c r="L60" s="44">
        <f t="shared" si="23"/>
        <v>4.3298969072164947E-2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AF126"/>
  <sheetViews>
    <sheetView view="pageBreakPreview" topLeftCell="A43" zoomScale="60" workbookViewId="0">
      <selection activeCell="V58" sqref="V5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>
        <f>'5.8 BWERA-KIKORONGO'!C3:G3</f>
        <v>0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'7.8 KIKORONGO-BWERA'!D5</f>
        <v>7.8.19</v>
      </c>
      <c r="E5" s="3"/>
      <c r="F5" s="41" t="s">
        <v>1</v>
      </c>
      <c r="G5" s="63">
        <f>'5.8 KIKORONGO-BWERA'!G5:H5</f>
        <v>0</v>
      </c>
      <c r="H5" s="64"/>
      <c r="I5" s="14"/>
      <c r="J5" s="2" t="s">
        <v>5</v>
      </c>
      <c r="K5" s="63">
        <f>'5.8 KIKORONGO-BWERA'!K5:L5</f>
        <v>0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'5.8 BWERA-KIKORONGO'!D6:E6</f>
        <v>Clocktower</v>
      </c>
      <c r="E6" s="64"/>
      <c r="F6" s="2" t="s">
        <v>2</v>
      </c>
      <c r="G6" s="63" t="str">
        <f>'5.8 BWERA-KIKORONGO'!G6:H6</f>
        <v>Nsambya</v>
      </c>
      <c r="H6" s="64"/>
      <c r="J6" s="2" t="s">
        <v>21</v>
      </c>
      <c r="K6" s="63">
        <f>'5.8 KIKORONGO-BWERA'!K6:L6</f>
        <v>0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</v>
      </c>
      <c r="D10" s="50">
        <v>0</v>
      </c>
      <c r="E10" s="50">
        <v>0</v>
      </c>
      <c r="F10" s="50">
        <v>1</v>
      </c>
      <c r="G10" s="50">
        <v>0</v>
      </c>
      <c r="H10" s="50">
        <v>0</v>
      </c>
      <c r="I10" s="50">
        <v>3</v>
      </c>
      <c r="J10" s="50">
        <v>0</v>
      </c>
      <c r="K10" s="50">
        <v>0</v>
      </c>
      <c r="L10" s="50">
        <v>2</v>
      </c>
      <c r="M10" s="50">
        <v>1</v>
      </c>
      <c r="N10" s="50">
        <v>0</v>
      </c>
      <c r="O10" s="15">
        <f t="shared" ref="O10:O57" si="0">SUM(C10:L10,N10)</f>
        <v>9</v>
      </c>
      <c r="P10" s="15">
        <f t="shared" ref="P10:P57" si="1">SUM(C10:N10)</f>
        <v>10</v>
      </c>
      <c r="R10" s="1" t="s">
        <v>6</v>
      </c>
      <c r="S10" s="17">
        <f t="shared" ref="S10:AF10" si="2">SUM(C10:C13)</f>
        <v>6</v>
      </c>
      <c r="T10" s="17">
        <f t="shared" si="2"/>
        <v>0</v>
      </c>
      <c r="U10" s="17">
        <f t="shared" si="2"/>
        <v>5</v>
      </c>
      <c r="V10" s="17">
        <f t="shared" si="2"/>
        <v>1</v>
      </c>
      <c r="W10" s="17">
        <f t="shared" si="2"/>
        <v>1</v>
      </c>
      <c r="X10" s="17">
        <f t="shared" si="2"/>
        <v>1</v>
      </c>
      <c r="Y10" s="17">
        <f t="shared" si="2"/>
        <v>8</v>
      </c>
      <c r="Z10" s="17">
        <f t="shared" si="2"/>
        <v>0</v>
      </c>
      <c r="AA10" s="17">
        <f t="shared" si="2"/>
        <v>0</v>
      </c>
      <c r="AB10" s="17">
        <f t="shared" si="2"/>
        <v>2</v>
      </c>
      <c r="AC10" s="17">
        <f t="shared" si="2"/>
        <v>13</v>
      </c>
      <c r="AD10" s="17">
        <f t="shared" si="2"/>
        <v>0</v>
      </c>
      <c r="AE10" s="31">
        <f t="shared" si="2"/>
        <v>24</v>
      </c>
      <c r="AF10" s="31">
        <f t="shared" si="2"/>
        <v>37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2</v>
      </c>
      <c r="F11" s="50">
        <v>0</v>
      </c>
      <c r="G11" s="50">
        <v>0</v>
      </c>
      <c r="H11" s="50">
        <v>1</v>
      </c>
      <c r="I11" s="50">
        <v>3</v>
      </c>
      <c r="J11" s="50">
        <v>0</v>
      </c>
      <c r="K11" s="50">
        <v>0</v>
      </c>
      <c r="L11" s="50">
        <v>0</v>
      </c>
      <c r="M11" s="50">
        <v>1</v>
      </c>
      <c r="N11" s="50">
        <v>0</v>
      </c>
      <c r="O11" s="15">
        <f t="shared" si="0"/>
        <v>6</v>
      </c>
      <c r="P11" s="15">
        <f t="shared" si="1"/>
        <v>7</v>
      </c>
      <c r="R11" s="1" t="s">
        <v>7</v>
      </c>
      <c r="S11" s="17">
        <f t="shared" ref="S11:AF11" si="3">SUM(C14:C17)</f>
        <v>6</v>
      </c>
      <c r="T11" s="17">
        <f t="shared" si="3"/>
        <v>0</v>
      </c>
      <c r="U11" s="17">
        <f t="shared" si="3"/>
        <v>7</v>
      </c>
      <c r="V11" s="17">
        <f t="shared" si="3"/>
        <v>8</v>
      </c>
      <c r="W11" s="17">
        <f t="shared" si="3"/>
        <v>0</v>
      </c>
      <c r="X11" s="17">
        <f t="shared" si="3"/>
        <v>0</v>
      </c>
      <c r="Y11" s="17">
        <f t="shared" si="3"/>
        <v>1</v>
      </c>
      <c r="Z11" s="17">
        <f t="shared" si="3"/>
        <v>2</v>
      </c>
      <c r="AA11" s="17">
        <f t="shared" si="3"/>
        <v>0</v>
      </c>
      <c r="AB11" s="17">
        <f t="shared" si="3"/>
        <v>0</v>
      </c>
      <c r="AC11" s="17">
        <f t="shared" si="3"/>
        <v>20</v>
      </c>
      <c r="AD11" s="17">
        <f t="shared" si="3"/>
        <v>0</v>
      </c>
      <c r="AE11" s="31">
        <f t="shared" si="3"/>
        <v>24</v>
      </c>
      <c r="AF11" s="31">
        <f t="shared" si="3"/>
        <v>44</v>
      </c>
    </row>
    <row r="12" spans="2:32" ht="23.1" customHeight="1" x14ac:dyDescent="0.25">
      <c r="B12" s="23" t="s">
        <v>39</v>
      </c>
      <c r="C12" s="50">
        <v>1</v>
      </c>
      <c r="D12" s="50">
        <v>0</v>
      </c>
      <c r="E12" s="50">
        <v>1</v>
      </c>
      <c r="F12" s="50">
        <v>0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0</v>
      </c>
      <c r="M12" s="50">
        <v>5</v>
      </c>
      <c r="N12" s="50">
        <v>0</v>
      </c>
      <c r="O12" s="15">
        <f t="shared" si="0"/>
        <v>3</v>
      </c>
      <c r="P12" s="15">
        <f t="shared" si="1"/>
        <v>8</v>
      </c>
      <c r="R12" s="1" t="s">
        <v>8</v>
      </c>
      <c r="S12" s="17">
        <f t="shared" ref="S12:AF12" si="4">SUM(C18:C21)</f>
        <v>13</v>
      </c>
      <c r="T12" s="17">
        <f t="shared" si="4"/>
        <v>0</v>
      </c>
      <c r="U12" s="17">
        <f t="shared" si="4"/>
        <v>12</v>
      </c>
      <c r="V12" s="17">
        <f t="shared" si="4"/>
        <v>10</v>
      </c>
      <c r="W12" s="17">
        <f t="shared" si="4"/>
        <v>0</v>
      </c>
      <c r="X12" s="17">
        <f t="shared" si="4"/>
        <v>0</v>
      </c>
      <c r="Y12" s="17">
        <f t="shared" si="4"/>
        <v>3</v>
      </c>
      <c r="Z12" s="17">
        <f t="shared" si="4"/>
        <v>3</v>
      </c>
      <c r="AA12" s="17">
        <f t="shared" si="4"/>
        <v>0</v>
      </c>
      <c r="AB12" s="17">
        <f t="shared" si="4"/>
        <v>0</v>
      </c>
      <c r="AC12" s="17">
        <f t="shared" si="4"/>
        <v>19</v>
      </c>
      <c r="AD12" s="17">
        <f t="shared" si="4"/>
        <v>0</v>
      </c>
      <c r="AE12" s="31">
        <f t="shared" si="4"/>
        <v>41</v>
      </c>
      <c r="AF12" s="31">
        <f t="shared" si="4"/>
        <v>60</v>
      </c>
    </row>
    <row r="13" spans="2:32" ht="23.1" customHeight="1" x14ac:dyDescent="0.25">
      <c r="B13" s="23" t="s">
        <v>40</v>
      </c>
      <c r="C13" s="50">
        <v>2</v>
      </c>
      <c r="D13" s="50">
        <v>0</v>
      </c>
      <c r="E13" s="50">
        <v>2</v>
      </c>
      <c r="F13" s="50">
        <v>0</v>
      </c>
      <c r="G13" s="50">
        <v>1</v>
      </c>
      <c r="H13" s="50">
        <v>0</v>
      </c>
      <c r="I13" s="50">
        <v>1</v>
      </c>
      <c r="J13" s="50">
        <v>0</v>
      </c>
      <c r="K13" s="50">
        <v>0</v>
      </c>
      <c r="L13" s="50">
        <v>0</v>
      </c>
      <c r="M13" s="50">
        <v>6</v>
      </c>
      <c r="N13" s="50">
        <v>0</v>
      </c>
      <c r="O13" s="15">
        <f t="shared" si="0"/>
        <v>6</v>
      </c>
      <c r="P13" s="15">
        <f t="shared" si="1"/>
        <v>12</v>
      </c>
      <c r="R13" s="1" t="s">
        <v>9</v>
      </c>
      <c r="S13" s="17">
        <f t="shared" ref="S13:AF13" si="5">SUM(C22:C25)</f>
        <v>24</v>
      </c>
      <c r="T13" s="17">
        <f t="shared" si="5"/>
        <v>0</v>
      </c>
      <c r="U13" s="17">
        <f t="shared" si="5"/>
        <v>8</v>
      </c>
      <c r="V13" s="17">
        <f t="shared" si="5"/>
        <v>6</v>
      </c>
      <c r="W13" s="17">
        <f t="shared" si="5"/>
        <v>0</v>
      </c>
      <c r="X13" s="17">
        <f t="shared" si="5"/>
        <v>0</v>
      </c>
      <c r="Y13" s="17">
        <f t="shared" si="5"/>
        <v>6</v>
      </c>
      <c r="Z13" s="17">
        <f t="shared" si="5"/>
        <v>3</v>
      </c>
      <c r="AA13" s="17">
        <f t="shared" si="5"/>
        <v>0</v>
      </c>
      <c r="AB13" s="17">
        <f t="shared" si="5"/>
        <v>3</v>
      </c>
      <c r="AC13" s="17">
        <f t="shared" si="5"/>
        <v>21</v>
      </c>
      <c r="AD13" s="17">
        <f t="shared" si="5"/>
        <v>0</v>
      </c>
      <c r="AE13" s="31">
        <f t="shared" si="5"/>
        <v>50</v>
      </c>
      <c r="AF13" s="31">
        <f t="shared" si="5"/>
        <v>71</v>
      </c>
    </row>
    <row r="14" spans="2:32" ht="23.1" customHeight="1" x14ac:dyDescent="0.25">
      <c r="B14" s="23" t="s">
        <v>41</v>
      </c>
      <c r="C14" s="50">
        <v>3</v>
      </c>
      <c r="D14" s="50">
        <v>0</v>
      </c>
      <c r="E14" s="50">
        <v>2</v>
      </c>
      <c r="F14" s="50">
        <v>3</v>
      </c>
      <c r="G14" s="50">
        <v>0</v>
      </c>
      <c r="H14" s="50">
        <v>0</v>
      </c>
      <c r="I14" s="50">
        <v>1</v>
      </c>
      <c r="J14" s="50">
        <v>1</v>
      </c>
      <c r="K14" s="50">
        <v>0</v>
      </c>
      <c r="L14" s="50">
        <v>0</v>
      </c>
      <c r="M14" s="50">
        <v>5</v>
      </c>
      <c r="N14" s="50">
        <v>0</v>
      </c>
      <c r="O14" s="15">
        <f t="shared" si="0"/>
        <v>10</v>
      </c>
      <c r="P14" s="15">
        <f t="shared" si="1"/>
        <v>15</v>
      </c>
      <c r="R14" s="1" t="s">
        <v>10</v>
      </c>
      <c r="S14" s="17">
        <f t="shared" ref="S14:AF14" si="6">SUM(C26:C29)</f>
        <v>16</v>
      </c>
      <c r="T14" s="17">
        <f t="shared" si="6"/>
        <v>0</v>
      </c>
      <c r="U14" s="17">
        <f t="shared" si="6"/>
        <v>12</v>
      </c>
      <c r="V14" s="17">
        <f t="shared" si="6"/>
        <v>17</v>
      </c>
      <c r="W14" s="17">
        <f t="shared" si="6"/>
        <v>0</v>
      </c>
      <c r="X14" s="17">
        <f t="shared" si="6"/>
        <v>0</v>
      </c>
      <c r="Y14" s="17">
        <f t="shared" si="6"/>
        <v>0</v>
      </c>
      <c r="Z14" s="17">
        <f t="shared" si="6"/>
        <v>0</v>
      </c>
      <c r="AA14" s="17">
        <f t="shared" si="6"/>
        <v>0</v>
      </c>
      <c r="AB14" s="17">
        <f t="shared" si="6"/>
        <v>4</v>
      </c>
      <c r="AC14" s="17">
        <f t="shared" si="6"/>
        <v>20</v>
      </c>
      <c r="AD14" s="17">
        <f t="shared" si="6"/>
        <v>0</v>
      </c>
      <c r="AE14" s="31">
        <f t="shared" si="6"/>
        <v>49</v>
      </c>
      <c r="AF14" s="31">
        <f t="shared" si="6"/>
        <v>69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3</v>
      </c>
      <c r="F15" s="50">
        <v>1</v>
      </c>
      <c r="G15" s="50">
        <v>0</v>
      </c>
      <c r="H15" s="50">
        <v>0</v>
      </c>
      <c r="I15" s="50">
        <v>0</v>
      </c>
      <c r="J15" s="50">
        <v>1</v>
      </c>
      <c r="K15" s="50">
        <v>0</v>
      </c>
      <c r="L15" s="50">
        <v>0</v>
      </c>
      <c r="M15" s="50">
        <v>8</v>
      </c>
      <c r="N15" s="50">
        <v>0</v>
      </c>
      <c r="O15" s="15">
        <f t="shared" si="0"/>
        <v>5</v>
      </c>
      <c r="P15" s="15">
        <f t="shared" si="1"/>
        <v>13</v>
      </c>
      <c r="R15" s="1" t="s">
        <v>11</v>
      </c>
      <c r="S15" s="17">
        <f t="shared" ref="S15:AF15" si="7">SUM(C30:C33)</f>
        <v>10</v>
      </c>
      <c r="T15" s="17">
        <f t="shared" si="7"/>
        <v>0</v>
      </c>
      <c r="U15" s="17">
        <f t="shared" si="7"/>
        <v>6</v>
      </c>
      <c r="V15" s="17">
        <f t="shared" si="7"/>
        <v>8</v>
      </c>
      <c r="W15" s="17">
        <f t="shared" si="7"/>
        <v>0</v>
      </c>
      <c r="X15" s="17">
        <f t="shared" si="7"/>
        <v>0</v>
      </c>
      <c r="Y15" s="17">
        <f t="shared" si="7"/>
        <v>3</v>
      </c>
      <c r="Z15" s="17">
        <f t="shared" si="7"/>
        <v>5</v>
      </c>
      <c r="AA15" s="17">
        <f t="shared" si="7"/>
        <v>0</v>
      </c>
      <c r="AB15" s="17">
        <f t="shared" si="7"/>
        <v>3</v>
      </c>
      <c r="AC15" s="17">
        <f t="shared" si="7"/>
        <v>18</v>
      </c>
      <c r="AD15" s="17">
        <f t="shared" si="7"/>
        <v>0</v>
      </c>
      <c r="AE15" s="31">
        <f t="shared" si="7"/>
        <v>35</v>
      </c>
      <c r="AF15" s="31">
        <f t="shared" si="7"/>
        <v>53</v>
      </c>
    </row>
    <row r="16" spans="2:32" ht="23.1" customHeight="1" x14ac:dyDescent="0.25">
      <c r="B16" s="23" t="s">
        <v>43</v>
      </c>
      <c r="C16" s="50">
        <v>1</v>
      </c>
      <c r="D16" s="50">
        <v>0</v>
      </c>
      <c r="E16" s="50">
        <v>0</v>
      </c>
      <c r="F16" s="50">
        <v>4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4</v>
      </c>
      <c r="N16" s="50">
        <v>0</v>
      </c>
      <c r="O16" s="15">
        <f t="shared" si="0"/>
        <v>5</v>
      </c>
      <c r="P16" s="15">
        <f t="shared" si="1"/>
        <v>9</v>
      </c>
      <c r="R16" s="1" t="s">
        <v>12</v>
      </c>
      <c r="S16" s="17">
        <f t="shared" ref="S16:AF16" si="8">SUM(C34:C37)</f>
        <v>21</v>
      </c>
      <c r="T16" s="17">
        <f t="shared" si="8"/>
        <v>0</v>
      </c>
      <c r="U16" s="17">
        <f t="shared" si="8"/>
        <v>5</v>
      </c>
      <c r="V16" s="17">
        <f t="shared" si="8"/>
        <v>12</v>
      </c>
      <c r="W16" s="17">
        <f t="shared" si="8"/>
        <v>0</v>
      </c>
      <c r="X16" s="17">
        <f t="shared" si="8"/>
        <v>1</v>
      </c>
      <c r="Y16" s="17">
        <f t="shared" si="8"/>
        <v>0</v>
      </c>
      <c r="Z16" s="17">
        <f t="shared" si="8"/>
        <v>3</v>
      </c>
      <c r="AA16" s="17">
        <f t="shared" si="8"/>
        <v>0</v>
      </c>
      <c r="AB16" s="17">
        <f t="shared" si="8"/>
        <v>0</v>
      </c>
      <c r="AC16" s="17">
        <f t="shared" si="8"/>
        <v>14</v>
      </c>
      <c r="AD16" s="17">
        <f t="shared" si="8"/>
        <v>0</v>
      </c>
      <c r="AE16" s="31">
        <f t="shared" si="8"/>
        <v>42</v>
      </c>
      <c r="AF16" s="31">
        <f t="shared" si="8"/>
        <v>56</v>
      </c>
    </row>
    <row r="17" spans="2:32" ht="23.1" customHeight="1" x14ac:dyDescent="0.25">
      <c r="B17" s="23" t="s">
        <v>44</v>
      </c>
      <c r="C17" s="50">
        <v>2</v>
      </c>
      <c r="D17" s="50">
        <v>0</v>
      </c>
      <c r="E17" s="50">
        <v>2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3</v>
      </c>
      <c r="N17" s="50">
        <v>0</v>
      </c>
      <c r="O17" s="15">
        <f t="shared" si="0"/>
        <v>4</v>
      </c>
      <c r="P17" s="15">
        <f t="shared" si="1"/>
        <v>7</v>
      </c>
      <c r="R17" s="1" t="s">
        <v>13</v>
      </c>
      <c r="S17" s="17">
        <f t="shared" ref="S17:AF17" si="9">SUM(C38:C41)</f>
        <v>12</v>
      </c>
      <c r="T17" s="17">
        <f t="shared" si="9"/>
        <v>0</v>
      </c>
      <c r="U17" s="17">
        <f t="shared" si="9"/>
        <v>9</v>
      </c>
      <c r="V17" s="17">
        <f t="shared" si="9"/>
        <v>11</v>
      </c>
      <c r="W17" s="17">
        <f t="shared" si="9"/>
        <v>0</v>
      </c>
      <c r="X17" s="17">
        <f t="shared" si="9"/>
        <v>0</v>
      </c>
      <c r="Y17" s="17">
        <f t="shared" si="9"/>
        <v>0</v>
      </c>
      <c r="Z17" s="17">
        <f t="shared" si="9"/>
        <v>1</v>
      </c>
      <c r="AA17" s="17">
        <f t="shared" si="9"/>
        <v>0</v>
      </c>
      <c r="AB17" s="17">
        <f t="shared" si="9"/>
        <v>1</v>
      </c>
      <c r="AC17" s="17">
        <f t="shared" si="9"/>
        <v>17</v>
      </c>
      <c r="AD17" s="17">
        <f t="shared" si="9"/>
        <v>0</v>
      </c>
      <c r="AE17" s="31">
        <f t="shared" si="9"/>
        <v>34</v>
      </c>
      <c r="AF17" s="31">
        <f t="shared" si="9"/>
        <v>51</v>
      </c>
    </row>
    <row r="18" spans="2:32" ht="23.1" customHeight="1" x14ac:dyDescent="0.25">
      <c r="B18" s="23" t="s">
        <v>45</v>
      </c>
      <c r="C18" s="50">
        <v>1</v>
      </c>
      <c r="D18" s="50">
        <v>0</v>
      </c>
      <c r="E18" s="50">
        <v>2</v>
      </c>
      <c r="F18" s="50">
        <v>3</v>
      </c>
      <c r="G18" s="50">
        <v>0</v>
      </c>
      <c r="H18" s="50">
        <v>0</v>
      </c>
      <c r="I18" s="50">
        <v>1</v>
      </c>
      <c r="J18" s="50">
        <v>1</v>
      </c>
      <c r="K18" s="50">
        <v>0</v>
      </c>
      <c r="L18" s="50">
        <v>0</v>
      </c>
      <c r="M18" s="50">
        <v>6</v>
      </c>
      <c r="N18" s="50">
        <v>0</v>
      </c>
      <c r="O18" s="15">
        <f t="shared" si="0"/>
        <v>8</v>
      </c>
      <c r="P18" s="15">
        <f t="shared" si="1"/>
        <v>14</v>
      </c>
      <c r="R18" s="1" t="s">
        <v>14</v>
      </c>
      <c r="S18" s="17">
        <f t="shared" ref="S18:AF18" si="10">SUM(C42:C45)</f>
        <v>12</v>
      </c>
      <c r="T18" s="17">
        <f t="shared" si="10"/>
        <v>0</v>
      </c>
      <c r="U18" s="17">
        <f t="shared" si="10"/>
        <v>6</v>
      </c>
      <c r="V18" s="17">
        <f t="shared" si="10"/>
        <v>9</v>
      </c>
      <c r="W18" s="17">
        <f t="shared" si="10"/>
        <v>0</v>
      </c>
      <c r="X18" s="17">
        <f t="shared" si="10"/>
        <v>0</v>
      </c>
      <c r="Y18" s="17">
        <f t="shared" si="10"/>
        <v>0</v>
      </c>
      <c r="Z18" s="17">
        <f t="shared" si="10"/>
        <v>7</v>
      </c>
      <c r="AA18" s="17">
        <f t="shared" si="10"/>
        <v>0</v>
      </c>
      <c r="AB18" s="17">
        <f t="shared" si="10"/>
        <v>3</v>
      </c>
      <c r="AC18" s="17">
        <f t="shared" si="10"/>
        <v>13</v>
      </c>
      <c r="AD18" s="17">
        <f t="shared" si="10"/>
        <v>0</v>
      </c>
      <c r="AE18" s="31">
        <f t="shared" si="10"/>
        <v>37</v>
      </c>
      <c r="AF18" s="31">
        <f t="shared" si="10"/>
        <v>50</v>
      </c>
    </row>
    <row r="19" spans="2:32" ht="23.1" customHeight="1" x14ac:dyDescent="0.25">
      <c r="B19" s="23" t="s">
        <v>46</v>
      </c>
      <c r="C19" s="50">
        <v>2</v>
      </c>
      <c r="D19" s="50">
        <v>0</v>
      </c>
      <c r="E19" s="50">
        <v>5</v>
      </c>
      <c r="F19" s="50">
        <v>2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3</v>
      </c>
      <c r="N19" s="50">
        <v>0</v>
      </c>
      <c r="O19" s="15">
        <f t="shared" si="0"/>
        <v>9</v>
      </c>
      <c r="P19" s="15">
        <f t="shared" si="1"/>
        <v>12</v>
      </c>
      <c r="R19" s="1" t="s">
        <v>15</v>
      </c>
      <c r="S19" s="17">
        <f t="shared" ref="S19:AF19" si="11">SUM(C46:C49)</f>
        <v>13</v>
      </c>
      <c r="T19" s="17">
        <f t="shared" si="11"/>
        <v>0</v>
      </c>
      <c r="U19" s="17">
        <f t="shared" si="11"/>
        <v>9</v>
      </c>
      <c r="V19" s="17">
        <f t="shared" si="11"/>
        <v>8</v>
      </c>
      <c r="W19" s="17">
        <f t="shared" si="11"/>
        <v>0</v>
      </c>
      <c r="X19" s="17">
        <f t="shared" si="11"/>
        <v>1</v>
      </c>
      <c r="Y19" s="17">
        <f t="shared" si="11"/>
        <v>0</v>
      </c>
      <c r="Z19" s="17">
        <f t="shared" si="11"/>
        <v>3</v>
      </c>
      <c r="AA19" s="17">
        <f t="shared" si="11"/>
        <v>0</v>
      </c>
      <c r="AB19" s="17">
        <f t="shared" si="11"/>
        <v>5</v>
      </c>
      <c r="AC19" s="17">
        <f t="shared" si="11"/>
        <v>12</v>
      </c>
      <c r="AD19" s="17">
        <f t="shared" si="11"/>
        <v>0</v>
      </c>
      <c r="AE19" s="31">
        <f t="shared" si="11"/>
        <v>39</v>
      </c>
      <c r="AF19" s="31">
        <f t="shared" si="11"/>
        <v>51</v>
      </c>
    </row>
    <row r="20" spans="2:32" ht="23.1" customHeight="1" x14ac:dyDescent="0.25">
      <c r="B20" s="23" t="s">
        <v>47</v>
      </c>
      <c r="C20" s="50">
        <v>4</v>
      </c>
      <c r="D20" s="50">
        <v>0</v>
      </c>
      <c r="E20" s="50">
        <v>1</v>
      </c>
      <c r="F20" s="50">
        <v>2</v>
      </c>
      <c r="G20" s="50">
        <v>0</v>
      </c>
      <c r="H20" s="50">
        <v>0</v>
      </c>
      <c r="I20" s="50">
        <v>2</v>
      </c>
      <c r="J20" s="50">
        <v>2</v>
      </c>
      <c r="K20" s="50">
        <v>0</v>
      </c>
      <c r="L20" s="50">
        <v>0</v>
      </c>
      <c r="M20" s="50">
        <v>4</v>
      </c>
      <c r="N20" s="50">
        <v>0</v>
      </c>
      <c r="O20" s="15">
        <f t="shared" si="0"/>
        <v>11</v>
      </c>
      <c r="P20" s="15">
        <f t="shared" si="1"/>
        <v>15</v>
      </c>
      <c r="R20" s="1" t="s">
        <v>16</v>
      </c>
      <c r="S20" s="17">
        <f t="shared" ref="S20:AF20" si="12">SUM(C50:C53)</f>
        <v>12</v>
      </c>
      <c r="T20" s="17">
        <f t="shared" si="12"/>
        <v>0</v>
      </c>
      <c r="U20" s="17">
        <f t="shared" si="12"/>
        <v>6</v>
      </c>
      <c r="V20" s="17">
        <f t="shared" si="12"/>
        <v>12</v>
      </c>
      <c r="W20" s="17">
        <f t="shared" si="12"/>
        <v>0</v>
      </c>
      <c r="X20" s="17">
        <f t="shared" si="12"/>
        <v>1</v>
      </c>
      <c r="Y20" s="17">
        <f t="shared" si="12"/>
        <v>0</v>
      </c>
      <c r="Z20" s="17">
        <f t="shared" si="12"/>
        <v>0</v>
      </c>
      <c r="AA20" s="17">
        <f t="shared" si="12"/>
        <v>0</v>
      </c>
      <c r="AB20" s="17">
        <f t="shared" si="12"/>
        <v>2</v>
      </c>
      <c r="AC20" s="17">
        <f t="shared" si="12"/>
        <v>20</v>
      </c>
      <c r="AD20" s="17">
        <f t="shared" si="12"/>
        <v>0</v>
      </c>
      <c r="AE20" s="31">
        <f t="shared" si="12"/>
        <v>33</v>
      </c>
      <c r="AF20" s="31">
        <f t="shared" si="12"/>
        <v>53</v>
      </c>
    </row>
    <row r="21" spans="2:32" ht="23.1" customHeight="1" x14ac:dyDescent="0.25">
      <c r="B21" s="23" t="s">
        <v>48</v>
      </c>
      <c r="C21" s="50">
        <v>6</v>
      </c>
      <c r="D21" s="50">
        <v>0</v>
      </c>
      <c r="E21" s="50">
        <v>4</v>
      </c>
      <c r="F21" s="50">
        <v>3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6</v>
      </c>
      <c r="N21" s="50">
        <v>0</v>
      </c>
      <c r="O21" s="15">
        <f t="shared" si="0"/>
        <v>13</v>
      </c>
      <c r="P21" s="15">
        <f t="shared" si="1"/>
        <v>19</v>
      </c>
      <c r="R21" s="36" t="s">
        <v>20</v>
      </c>
      <c r="S21" s="34">
        <f t="shared" ref="S21:AF21" si="13">SUM(C54:C57)</f>
        <v>16</v>
      </c>
      <c r="T21" s="17">
        <f t="shared" si="13"/>
        <v>0</v>
      </c>
      <c r="U21" s="17">
        <f t="shared" si="13"/>
        <v>4</v>
      </c>
      <c r="V21" s="17">
        <f t="shared" si="13"/>
        <v>17</v>
      </c>
      <c r="W21" s="17">
        <f t="shared" si="13"/>
        <v>0</v>
      </c>
      <c r="X21" s="17">
        <f t="shared" si="13"/>
        <v>0</v>
      </c>
      <c r="Y21" s="17">
        <f t="shared" si="13"/>
        <v>0</v>
      </c>
      <c r="Z21" s="17">
        <f t="shared" si="13"/>
        <v>6</v>
      </c>
      <c r="AA21" s="17">
        <f t="shared" si="13"/>
        <v>0</v>
      </c>
      <c r="AB21" s="17">
        <f t="shared" si="13"/>
        <v>4</v>
      </c>
      <c r="AC21" s="17">
        <f t="shared" si="13"/>
        <v>22</v>
      </c>
      <c r="AD21" s="17">
        <f t="shared" si="13"/>
        <v>0</v>
      </c>
      <c r="AE21" s="31">
        <f t="shared" si="13"/>
        <v>47</v>
      </c>
      <c r="AF21" s="31">
        <f t="shared" si="13"/>
        <v>69</v>
      </c>
    </row>
    <row r="22" spans="2:32" ht="23.1" customHeight="1" x14ac:dyDescent="0.25">
      <c r="B22" s="23" t="s">
        <v>49</v>
      </c>
      <c r="C22" s="50">
        <v>4</v>
      </c>
      <c r="D22" s="50">
        <v>0</v>
      </c>
      <c r="E22" s="50">
        <v>1</v>
      </c>
      <c r="F22" s="50">
        <v>1</v>
      </c>
      <c r="G22" s="50">
        <v>0</v>
      </c>
      <c r="H22" s="50">
        <v>0</v>
      </c>
      <c r="I22" s="50">
        <v>1</v>
      </c>
      <c r="J22" s="50">
        <v>3</v>
      </c>
      <c r="K22" s="50">
        <v>0</v>
      </c>
      <c r="L22" s="50">
        <v>0</v>
      </c>
      <c r="M22" s="50">
        <v>3</v>
      </c>
      <c r="N22" s="50">
        <v>0</v>
      </c>
      <c r="O22" s="15">
        <f t="shared" si="0"/>
        <v>10</v>
      </c>
      <c r="P22" s="15">
        <f t="shared" si="1"/>
        <v>13</v>
      </c>
      <c r="R22" s="38" t="s">
        <v>90</v>
      </c>
      <c r="S22" s="39">
        <f>MAX(S10:S12)</f>
        <v>13</v>
      </c>
      <c r="T22" s="39">
        <f t="shared" ref="T22:AF22" si="14">MAX(T10:T12)</f>
        <v>0</v>
      </c>
      <c r="U22" s="39">
        <f t="shared" si="14"/>
        <v>12</v>
      </c>
      <c r="V22" s="39">
        <f t="shared" si="14"/>
        <v>10</v>
      </c>
      <c r="W22" s="39">
        <f t="shared" si="14"/>
        <v>1</v>
      </c>
      <c r="X22" s="39">
        <f t="shared" si="14"/>
        <v>1</v>
      </c>
      <c r="Y22" s="39">
        <f t="shared" si="14"/>
        <v>8</v>
      </c>
      <c r="Z22" s="39">
        <f t="shared" si="14"/>
        <v>3</v>
      </c>
      <c r="AA22" s="39">
        <f t="shared" si="14"/>
        <v>0</v>
      </c>
      <c r="AB22" s="39">
        <f t="shared" si="14"/>
        <v>2</v>
      </c>
      <c r="AC22" s="39">
        <f t="shared" si="14"/>
        <v>20</v>
      </c>
      <c r="AD22" s="39">
        <f t="shared" si="14"/>
        <v>0</v>
      </c>
      <c r="AE22" s="40">
        <f t="shared" si="14"/>
        <v>41</v>
      </c>
      <c r="AF22" s="40">
        <f t="shared" si="14"/>
        <v>60</v>
      </c>
    </row>
    <row r="23" spans="2:32" ht="23.1" customHeight="1" x14ac:dyDescent="0.25">
      <c r="B23" s="23" t="s">
        <v>50</v>
      </c>
      <c r="C23" s="50">
        <v>6</v>
      </c>
      <c r="D23" s="50">
        <v>0</v>
      </c>
      <c r="E23" s="50">
        <v>5</v>
      </c>
      <c r="F23" s="50">
        <v>1</v>
      </c>
      <c r="G23" s="50">
        <v>0</v>
      </c>
      <c r="H23" s="50">
        <v>0</v>
      </c>
      <c r="I23" s="50">
        <v>2</v>
      </c>
      <c r="J23" s="50">
        <v>0</v>
      </c>
      <c r="K23" s="50">
        <v>0</v>
      </c>
      <c r="L23" s="50">
        <v>0</v>
      </c>
      <c r="M23" s="50">
        <v>9</v>
      </c>
      <c r="N23" s="50">
        <v>0</v>
      </c>
      <c r="O23" s="15">
        <f t="shared" si="0"/>
        <v>14</v>
      </c>
      <c r="P23" s="15">
        <f t="shared" si="1"/>
        <v>23</v>
      </c>
      <c r="R23" s="38" t="s">
        <v>91</v>
      </c>
      <c r="S23" s="39">
        <f>MAX(S13:S18)</f>
        <v>24</v>
      </c>
      <c r="T23" s="39">
        <f t="shared" ref="T23:AF23" si="15">MAX(T13:T18)</f>
        <v>0</v>
      </c>
      <c r="U23" s="39">
        <f t="shared" si="15"/>
        <v>12</v>
      </c>
      <c r="V23" s="39">
        <f t="shared" si="15"/>
        <v>17</v>
      </c>
      <c r="W23" s="39">
        <f t="shared" si="15"/>
        <v>0</v>
      </c>
      <c r="X23" s="39">
        <f t="shared" si="15"/>
        <v>1</v>
      </c>
      <c r="Y23" s="39">
        <f t="shared" si="15"/>
        <v>6</v>
      </c>
      <c r="Z23" s="39">
        <f t="shared" si="15"/>
        <v>7</v>
      </c>
      <c r="AA23" s="39">
        <f t="shared" si="15"/>
        <v>0</v>
      </c>
      <c r="AB23" s="39">
        <f t="shared" si="15"/>
        <v>4</v>
      </c>
      <c r="AC23" s="39">
        <f t="shared" si="15"/>
        <v>21</v>
      </c>
      <c r="AD23" s="39">
        <f t="shared" si="15"/>
        <v>0</v>
      </c>
      <c r="AE23" s="40">
        <f t="shared" si="15"/>
        <v>50</v>
      </c>
      <c r="AF23" s="40">
        <f t="shared" si="15"/>
        <v>71</v>
      </c>
    </row>
    <row r="24" spans="2:32" ht="23.1" customHeight="1" x14ac:dyDescent="0.25">
      <c r="B24" s="23" t="s">
        <v>51</v>
      </c>
      <c r="C24" s="50">
        <v>7</v>
      </c>
      <c r="D24" s="50">
        <v>0</v>
      </c>
      <c r="E24" s="50">
        <v>1</v>
      </c>
      <c r="F24" s="50">
        <v>2</v>
      </c>
      <c r="G24" s="50">
        <v>0</v>
      </c>
      <c r="H24" s="50">
        <v>0</v>
      </c>
      <c r="I24" s="50">
        <v>2</v>
      </c>
      <c r="J24" s="50">
        <v>0</v>
      </c>
      <c r="K24" s="50">
        <v>0</v>
      </c>
      <c r="L24" s="50">
        <v>2</v>
      </c>
      <c r="M24" s="50">
        <v>2</v>
      </c>
      <c r="N24" s="50">
        <v>0</v>
      </c>
      <c r="O24" s="15">
        <f t="shared" si="0"/>
        <v>14</v>
      </c>
      <c r="P24" s="15">
        <f t="shared" si="1"/>
        <v>16</v>
      </c>
      <c r="R24" s="38" t="s">
        <v>92</v>
      </c>
      <c r="S24" s="39">
        <f>MAX(S19:S21)</f>
        <v>16</v>
      </c>
      <c r="T24" s="39">
        <f t="shared" ref="T24:AF24" si="16">MAX(T19:T21)</f>
        <v>0</v>
      </c>
      <c r="U24" s="39">
        <f t="shared" si="16"/>
        <v>9</v>
      </c>
      <c r="V24" s="39">
        <f t="shared" si="16"/>
        <v>17</v>
      </c>
      <c r="W24" s="39">
        <f t="shared" si="16"/>
        <v>0</v>
      </c>
      <c r="X24" s="39">
        <f t="shared" si="16"/>
        <v>1</v>
      </c>
      <c r="Y24" s="39">
        <f t="shared" si="16"/>
        <v>0</v>
      </c>
      <c r="Z24" s="39">
        <f t="shared" si="16"/>
        <v>6</v>
      </c>
      <c r="AA24" s="39">
        <f t="shared" si="16"/>
        <v>0</v>
      </c>
      <c r="AB24" s="39">
        <f t="shared" si="16"/>
        <v>5</v>
      </c>
      <c r="AC24" s="39">
        <f t="shared" si="16"/>
        <v>22</v>
      </c>
      <c r="AD24" s="39">
        <f t="shared" si="16"/>
        <v>0</v>
      </c>
      <c r="AE24" s="40">
        <f t="shared" si="16"/>
        <v>47</v>
      </c>
      <c r="AF24" s="40">
        <f t="shared" si="16"/>
        <v>69</v>
      </c>
    </row>
    <row r="25" spans="2:32" ht="23.1" customHeight="1" x14ac:dyDescent="0.25">
      <c r="B25" s="23" t="s">
        <v>52</v>
      </c>
      <c r="C25" s="50">
        <v>7</v>
      </c>
      <c r="D25" s="50">
        <v>0</v>
      </c>
      <c r="E25" s="50">
        <v>1</v>
      </c>
      <c r="F25" s="50">
        <v>2</v>
      </c>
      <c r="G25" s="50">
        <v>0</v>
      </c>
      <c r="H25" s="50">
        <v>0</v>
      </c>
      <c r="I25" s="50">
        <v>1</v>
      </c>
      <c r="J25" s="50">
        <v>0</v>
      </c>
      <c r="K25" s="50">
        <v>0</v>
      </c>
      <c r="L25" s="50">
        <v>1</v>
      </c>
      <c r="M25" s="50">
        <v>7</v>
      </c>
      <c r="N25" s="50">
        <v>0</v>
      </c>
      <c r="O25" s="15">
        <f t="shared" si="0"/>
        <v>12</v>
      </c>
      <c r="P25" s="15">
        <f t="shared" si="1"/>
        <v>19</v>
      </c>
      <c r="R25" s="37" t="s">
        <v>85</v>
      </c>
      <c r="S25" s="35">
        <f t="shared" ref="S25:AF25" si="17">SUM(S10:S12)</f>
        <v>25</v>
      </c>
      <c r="T25" s="16">
        <f t="shared" si="17"/>
        <v>0</v>
      </c>
      <c r="U25" s="16">
        <f t="shared" si="17"/>
        <v>24</v>
      </c>
      <c r="V25" s="16">
        <f t="shared" si="17"/>
        <v>19</v>
      </c>
      <c r="W25" s="16">
        <f t="shared" si="17"/>
        <v>1</v>
      </c>
      <c r="X25" s="16">
        <f t="shared" si="17"/>
        <v>1</v>
      </c>
      <c r="Y25" s="16">
        <f t="shared" si="17"/>
        <v>12</v>
      </c>
      <c r="Z25" s="16">
        <f t="shared" si="17"/>
        <v>5</v>
      </c>
      <c r="AA25" s="16">
        <f t="shared" si="17"/>
        <v>0</v>
      </c>
      <c r="AB25" s="16">
        <f t="shared" si="17"/>
        <v>2</v>
      </c>
      <c r="AC25" s="16">
        <f t="shared" si="17"/>
        <v>52</v>
      </c>
      <c r="AD25" s="16">
        <f t="shared" si="17"/>
        <v>0</v>
      </c>
      <c r="AE25" s="32">
        <f t="shared" si="17"/>
        <v>89</v>
      </c>
      <c r="AF25" s="32">
        <f t="shared" si="17"/>
        <v>141</v>
      </c>
    </row>
    <row r="26" spans="2:32" ht="23.1" customHeight="1" x14ac:dyDescent="0.25">
      <c r="B26" s="23" t="s">
        <v>53</v>
      </c>
      <c r="C26" s="50">
        <v>4</v>
      </c>
      <c r="D26" s="50">
        <v>0</v>
      </c>
      <c r="E26" s="50">
        <v>4</v>
      </c>
      <c r="F26" s="50">
        <v>6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1</v>
      </c>
      <c r="M26" s="50">
        <v>6</v>
      </c>
      <c r="N26" s="50">
        <v>0</v>
      </c>
      <c r="O26" s="15">
        <f t="shared" si="0"/>
        <v>15</v>
      </c>
      <c r="P26" s="15">
        <f t="shared" si="1"/>
        <v>21</v>
      </c>
      <c r="R26" s="28" t="s">
        <v>86</v>
      </c>
      <c r="S26" s="16">
        <f t="shared" ref="S26:AF26" si="18">SUM(S13:S18)</f>
        <v>95</v>
      </c>
      <c r="T26" s="16">
        <f t="shared" si="18"/>
        <v>0</v>
      </c>
      <c r="U26" s="16">
        <f t="shared" si="18"/>
        <v>46</v>
      </c>
      <c r="V26" s="16">
        <f t="shared" si="18"/>
        <v>63</v>
      </c>
      <c r="W26" s="16">
        <f t="shared" si="18"/>
        <v>0</v>
      </c>
      <c r="X26" s="16">
        <f t="shared" si="18"/>
        <v>1</v>
      </c>
      <c r="Y26" s="16">
        <f t="shared" si="18"/>
        <v>9</v>
      </c>
      <c r="Z26" s="16">
        <f t="shared" si="18"/>
        <v>19</v>
      </c>
      <c r="AA26" s="16">
        <f t="shared" si="18"/>
        <v>0</v>
      </c>
      <c r="AB26" s="16">
        <f t="shared" si="18"/>
        <v>14</v>
      </c>
      <c r="AC26" s="16">
        <f t="shared" si="18"/>
        <v>103</v>
      </c>
      <c r="AD26" s="16">
        <f t="shared" si="18"/>
        <v>0</v>
      </c>
      <c r="AE26" s="32">
        <f t="shared" si="18"/>
        <v>247</v>
      </c>
      <c r="AF26" s="32">
        <f t="shared" si="18"/>
        <v>350</v>
      </c>
    </row>
    <row r="27" spans="2:32" ht="23.1" customHeight="1" x14ac:dyDescent="0.25">
      <c r="B27" s="23" t="s">
        <v>54</v>
      </c>
      <c r="C27" s="50">
        <v>4</v>
      </c>
      <c r="D27" s="50">
        <v>0</v>
      </c>
      <c r="E27" s="50">
        <v>4</v>
      </c>
      <c r="F27" s="50">
        <v>5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6</v>
      </c>
      <c r="N27" s="50">
        <v>0</v>
      </c>
      <c r="O27" s="15">
        <f t="shared" si="0"/>
        <v>13</v>
      </c>
      <c r="P27" s="15">
        <f t="shared" si="1"/>
        <v>19</v>
      </c>
      <c r="R27" s="29" t="s">
        <v>87</v>
      </c>
      <c r="S27" s="16">
        <f t="shared" ref="S27:AF27" si="19">SUM(S19:S21)</f>
        <v>41</v>
      </c>
      <c r="T27" s="16">
        <f t="shared" si="19"/>
        <v>0</v>
      </c>
      <c r="U27" s="16">
        <f t="shared" si="19"/>
        <v>19</v>
      </c>
      <c r="V27" s="16">
        <f t="shared" si="19"/>
        <v>37</v>
      </c>
      <c r="W27" s="16">
        <f t="shared" si="19"/>
        <v>0</v>
      </c>
      <c r="X27" s="16">
        <f t="shared" si="19"/>
        <v>2</v>
      </c>
      <c r="Y27" s="16">
        <f t="shared" si="19"/>
        <v>0</v>
      </c>
      <c r="Z27" s="16">
        <f t="shared" si="19"/>
        <v>9</v>
      </c>
      <c r="AA27" s="16">
        <f t="shared" si="19"/>
        <v>0</v>
      </c>
      <c r="AB27" s="16">
        <f t="shared" si="19"/>
        <v>11</v>
      </c>
      <c r="AC27" s="16">
        <f t="shared" si="19"/>
        <v>54</v>
      </c>
      <c r="AD27" s="16">
        <f t="shared" si="19"/>
        <v>0</v>
      </c>
      <c r="AE27" s="32">
        <f t="shared" si="19"/>
        <v>119</v>
      </c>
      <c r="AF27" s="32">
        <f t="shared" si="19"/>
        <v>173</v>
      </c>
    </row>
    <row r="28" spans="2:32" ht="23.1" customHeight="1" x14ac:dyDescent="0.25">
      <c r="B28" s="23" t="s">
        <v>55</v>
      </c>
      <c r="C28" s="50">
        <v>3</v>
      </c>
      <c r="D28" s="50">
        <v>0</v>
      </c>
      <c r="E28" s="50">
        <v>2</v>
      </c>
      <c r="F28" s="50">
        <v>1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4</v>
      </c>
      <c r="N28" s="50">
        <v>0</v>
      </c>
      <c r="O28" s="15">
        <f t="shared" si="0"/>
        <v>6</v>
      </c>
      <c r="P28" s="15">
        <f t="shared" si="1"/>
        <v>10</v>
      </c>
      <c r="R28" s="5" t="s">
        <v>17</v>
      </c>
      <c r="S28" s="16">
        <f t="shared" ref="S28:AF28" si="20">SUM(S10:S21)</f>
        <v>161</v>
      </c>
      <c r="T28" s="16">
        <f t="shared" si="20"/>
        <v>0</v>
      </c>
      <c r="U28" s="16">
        <f t="shared" si="20"/>
        <v>89</v>
      </c>
      <c r="V28" s="16">
        <f t="shared" si="20"/>
        <v>119</v>
      </c>
      <c r="W28" s="16">
        <f t="shared" si="20"/>
        <v>1</v>
      </c>
      <c r="X28" s="16">
        <f t="shared" si="20"/>
        <v>4</v>
      </c>
      <c r="Y28" s="16">
        <f t="shared" si="20"/>
        <v>21</v>
      </c>
      <c r="Z28" s="16">
        <f t="shared" si="20"/>
        <v>33</v>
      </c>
      <c r="AA28" s="16">
        <f t="shared" si="20"/>
        <v>0</v>
      </c>
      <c r="AB28" s="16">
        <f t="shared" si="20"/>
        <v>27</v>
      </c>
      <c r="AC28" s="16">
        <f t="shared" si="20"/>
        <v>209</v>
      </c>
      <c r="AD28" s="16">
        <f t="shared" si="20"/>
        <v>0</v>
      </c>
      <c r="AE28" s="32">
        <f t="shared" si="20"/>
        <v>455</v>
      </c>
      <c r="AF28" s="32">
        <f t="shared" si="20"/>
        <v>664</v>
      </c>
    </row>
    <row r="29" spans="2:32" ht="23.1" customHeight="1" x14ac:dyDescent="0.25">
      <c r="B29" s="23" t="s">
        <v>56</v>
      </c>
      <c r="C29" s="50">
        <v>5</v>
      </c>
      <c r="D29" s="50">
        <v>0</v>
      </c>
      <c r="E29" s="50">
        <v>2</v>
      </c>
      <c r="F29" s="50">
        <v>5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3</v>
      </c>
      <c r="M29" s="50">
        <v>4</v>
      </c>
      <c r="N29" s="50">
        <v>0</v>
      </c>
      <c r="O29" s="15">
        <f t="shared" si="0"/>
        <v>15</v>
      </c>
      <c r="P29" s="15">
        <f t="shared" si="1"/>
        <v>19</v>
      </c>
      <c r="R29"/>
      <c r="S29" s="20"/>
      <c r="T29" s="19"/>
    </row>
    <row r="30" spans="2:32" ht="23.1" customHeight="1" x14ac:dyDescent="0.25">
      <c r="B30" s="23" t="s">
        <v>57</v>
      </c>
      <c r="C30" s="50">
        <v>3</v>
      </c>
      <c r="D30" s="50">
        <v>0</v>
      </c>
      <c r="E30" s="50">
        <v>2</v>
      </c>
      <c r="F30" s="50">
        <v>1</v>
      </c>
      <c r="G30" s="50">
        <v>0</v>
      </c>
      <c r="H30" s="50">
        <v>0</v>
      </c>
      <c r="I30" s="50">
        <v>2</v>
      </c>
      <c r="J30" s="50">
        <v>3</v>
      </c>
      <c r="K30" s="50">
        <v>0</v>
      </c>
      <c r="L30" s="50">
        <v>1</v>
      </c>
      <c r="M30" s="50">
        <v>4</v>
      </c>
      <c r="N30" s="50">
        <v>0</v>
      </c>
      <c r="O30" s="15">
        <f t="shared" si="0"/>
        <v>12</v>
      </c>
      <c r="P30" s="15">
        <f t="shared" si="1"/>
        <v>16</v>
      </c>
    </row>
    <row r="31" spans="2:32" ht="23.1" customHeight="1" x14ac:dyDescent="0.25">
      <c r="B31" s="24" t="s">
        <v>58</v>
      </c>
      <c r="C31" s="50">
        <v>5</v>
      </c>
      <c r="D31" s="50">
        <v>0</v>
      </c>
      <c r="E31" s="50">
        <v>1</v>
      </c>
      <c r="F31" s="50">
        <v>3</v>
      </c>
      <c r="G31" s="50">
        <v>0</v>
      </c>
      <c r="H31" s="50">
        <v>0</v>
      </c>
      <c r="I31" s="50">
        <v>1</v>
      </c>
      <c r="J31" s="50">
        <v>0</v>
      </c>
      <c r="K31" s="50">
        <v>0</v>
      </c>
      <c r="L31" s="50">
        <v>1</v>
      </c>
      <c r="M31" s="50">
        <v>4</v>
      </c>
      <c r="N31" s="50">
        <v>0</v>
      </c>
      <c r="O31" s="15">
        <f t="shared" si="0"/>
        <v>11</v>
      </c>
      <c r="P31" s="15">
        <f t="shared" si="1"/>
        <v>15</v>
      </c>
    </row>
    <row r="32" spans="2:32" ht="23.1" customHeight="1" x14ac:dyDescent="0.25">
      <c r="B32" s="24" t="s">
        <v>59</v>
      </c>
      <c r="C32" s="50">
        <v>2</v>
      </c>
      <c r="D32" s="50">
        <v>0</v>
      </c>
      <c r="E32" s="50">
        <v>0</v>
      </c>
      <c r="F32" s="50">
        <v>2</v>
      </c>
      <c r="G32" s="50">
        <v>0</v>
      </c>
      <c r="H32" s="50">
        <v>0</v>
      </c>
      <c r="I32" s="50">
        <v>0</v>
      </c>
      <c r="J32" s="50">
        <v>2</v>
      </c>
      <c r="K32" s="50">
        <v>0</v>
      </c>
      <c r="L32" s="50">
        <v>1</v>
      </c>
      <c r="M32" s="50">
        <v>5</v>
      </c>
      <c r="N32" s="50">
        <v>0</v>
      </c>
      <c r="O32" s="15">
        <f t="shared" si="0"/>
        <v>7</v>
      </c>
      <c r="P32" s="15">
        <f t="shared" si="1"/>
        <v>12</v>
      </c>
    </row>
    <row r="33" spans="2:20" ht="23.1" customHeight="1" x14ac:dyDescent="0.25">
      <c r="B33" s="23" t="s">
        <v>60</v>
      </c>
      <c r="C33" s="50">
        <v>0</v>
      </c>
      <c r="D33" s="50">
        <v>0</v>
      </c>
      <c r="E33" s="50">
        <v>3</v>
      </c>
      <c r="F33" s="50">
        <v>2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5</v>
      </c>
      <c r="N33" s="50">
        <v>0</v>
      </c>
      <c r="O33" s="15">
        <f t="shared" si="0"/>
        <v>5</v>
      </c>
      <c r="P33" s="15">
        <f t="shared" si="1"/>
        <v>10</v>
      </c>
    </row>
    <row r="34" spans="2:20" ht="23.1" customHeight="1" x14ac:dyDescent="0.25">
      <c r="B34" s="24" t="s">
        <v>61</v>
      </c>
      <c r="C34" s="50">
        <v>6</v>
      </c>
      <c r="D34" s="50">
        <v>0</v>
      </c>
      <c r="E34" s="50">
        <v>2</v>
      </c>
      <c r="F34" s="50">
        <v>1</v>
      </c>
      <c r="G34" s="50">
        <v>0</v>
      </c>
      <c r="H34" s="50">
        <v>0</v>
      </c>
      <c r="I34" s="50">
        <v>0</v>
      </c>
      <c r="J34" s="50">
        <v>2</v>
      </c>
      <c r="K34" s="50">
        <v>0</v>
      </c>
      <c r="L34" s="50">
        <v>0</v>
      </c>
      <c r="M34" s="50">
        <v>4</v>
      </c>
      <c r="N34" s="50">
        <v>0</v>
      </c>
      <c r="O34" s="15">
        <f t="shared" si="0"/>
        <v>11</v>
      </c>
      <c r="P34" s="15">
        <f t="shared" si="1"/>
        <v>15</v>
      </c>
    </row>
    <row r="35" spans="2:20" ht="23.1" customHeight="1" x14ac:dyDescent="0.25">
      <c r="B35" s="24" t="s">
        <v>62</v>
      </c>
      <c r="C35" s="50">
        <v>7</v>
      </c>
      <c r="D35" s="50">
        <v>0</v>
      </c>
      <c r="E35" s="50">
        <v>0</v>
      </c>
      <c r="F35" s="50">
        <v>2</v>
      </c>
      <c r="G35" s="50">
        <v>0</v>
      </c>
      <c r="H35" s="50">
        <v>1</v>
      </c>
      <c r="I35" s="50">
        <v>0</v>
      </c>
      <c r="J35" s="50">
        <v>1</v>
      </c>
      <c r="K35" s="50">
        <v>0</v>
      </c>
      <c r="L35" s="50">
        <v>0</v>
      </c>
      <c r="M35" s="50">
        <v>4</v>
      </c>
      <c r="N35" s="50">
        <v>0</v>
      </c>
      <c r="O35" s="15">
        <f t="shared" si="0"/>
        <v>11</v>
      </c>
      <c r="P35" s="15">
        <f t="shared" si="1"/>
        <v>15</v>
      </c>
    </row>
    <row r="36" spans="2:20" ht="23.1" customHeight="1" x14ac:dyDescent="0.25">
      <c r="B36" s="24" t="s">
        <v>63</v>
      </c>
      <c r="C36" s="50">
        <v>6</v>
      </c>
      <c r="D36" s="50">
        <v>0</v>
      </c>
      <c r="E36" s="50">
        <v>2</v>
      </c>
      <c r="F36" s="50">
        <v>4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3</v>
      </c>
      <c r="N36" s="50">
        <v>0</v>
      </c>
      <c r="O36" s="15">
        <f t="shared" si="0"/>
        <v>12</v>
      </c>
      <c r="P36" s="15">
        <f t="shared" si="1"/>
        <v>15</v>
      </c>
    </row>
    <row r="37" spans="2:20" ht="23.1" customHeight="1" x14ac:dyDescent="0.25">
      <c r="B37" s="23" t="s">
        <v>64</v>
      </c>
      <c r="C37" s="50">
        <v>2</v>
      </c>
      <c r="D37" s="50">
        <v>0</v>
      </c>
      <c r="E37" s="50">
        <v>1</v>
      </c>
      <c r="F37" s="50">
        <v>5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3</v>
      </c>
      <c r="N37" s="50">
        <v>0</v>
      </c>
      <c r="O37" s="15">
        <f t="shared" si="0"/>
        <v>8</v>
      </c>
      <c r="P37" s="15">
        <f t="shared" si="1"/>
        <v>11</v>
      </c>
    </row>
    <row r="38" spans="2:20" ht="23.1" customHeight="1" x14ac:dyDescent="0.25">
      <c r="B38" s="24" t="s">
        <v>65</v>
      </c>
      <c r="C38" s="50">
        <v>4</v>
      </c>
      <c r="D38" s="50">
        <v>0</v>
      </c>
      <c r="E38" s="50">
        <v>4</v>
      </c>
      <c r="F38" s="50">
        <v>3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3</v>
      </c>
      <c r="N38" s="50">
        <v>0</v>
      </c>
      <c r="O38" s="15">
        <f t="shared" si="0"/>
        <v>11</v>
      </c>
      <c r="P38" s="15">
        <f t="shared" si="1"/>
        <v>14</v>
      </c>
    </row>
    <row r="39" spans="2:20" ht="23.1" customHeight="1" x14ac:dyDescent="0.25">
      <c r="B39" s="24" t="s">
        <v>66</v>
      </c>
      <c r="C39" s="50">
        <v>1</v>
      </c>
      <c r="D39" s="50">
        <v>0</v>
      </c>
      <c r="E39" s="50">
        <v>4</v>
      </c>
      <c r="F39" s="50">
        <v>3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1</v>
      </c>
      <c r="M39" s="50">
        <v>6</v>
      </c>
      <c r="N39" s="50">
        <v>0</v>
      </c>
      <c r="O39" s="15">
        <f t="shared" si="0"/>
        <v>9</v>
      </c>
      <c r="P39" s="15">
        <f t="shared" si="1"/>
        <v>15</v>
      </c>
    </row>
    <row r="40" spans="2:20" ht="23.1" customHeight="1" x14ac:dyDescent="0.25">
      <c r="B40" s="24" t="s">
        <v>67</v>
      </c>
      <c r="C40" s="50">
        <v>1</v>
      </c>
      <c r="D40" s="50">
        <v>0</v>
      </c>
      <c r="E40" s="50">
        <v>0</v>
      </c>
      <c r="F40" s="50">
        <v>3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5</v>
      </c>
      <c r="N40" s="50">
        <v>0</v>
      </c>
      <c r="O40" s="15">
        <f t="shared" si="0"/>
        <v>4</v>
      </c>
      <c r="P40" s="15">
        <f t="shared" si="1"/>
        <v>9</v>
      </c>
    </row>
    <row r="41" spans="2:20" ht="23.1" customHeight="1" x14ac:dyDescent="0.25">
      <c r="B41" s="23" t="s">
        <v>68</v>
      </c>
      <c r="C41" s="50">
        <v>6</v>
      </c>
      <c r="D41" s="50">
        <v>0</v>
      </c>
      <c r="E41" s="50">
        <v>1</v>
      </c>
      <c r="F41" s="50">
        <v>2</v>
      </c>
      <c r="G41" s="50">
        <v>0</v>
      </c>
      <c r="H41" s="50">
        <v>0</v>
      </c>
      <c r="I41" s="50">
        <v>0</v>
      </c>
      <c r="J41" s="50">
        <v>1</v>
      </c>
      <c r="K41" s="50">
        <v>0</v>
      </c>
      <c r="L41" s="50">
        <v>0</v>
      </c>
      <c r="M41" s="50">
        <v>3</v>
      </c>
      <c r="N41" s="50">
        <v>0</v>
      </c>
      <c r="O41" s="15">
        <f t="shared" si="0"/>
        <v>10</v>
      </c>
      <c r="P41" s="15">
        <f t="shared" si="1"/>
        <v>13</v>
      </c>
    </row>
    <row r="42" spans="2:20" ht="23.1" customHeight="1" x14ac:dyDescent="0.25">
      <c r="B42" s="24" t="s">
        <v>69</v>
      </c>
      <c r="C42" s="50">
        <v>3</v>
      </c>
      <c r="D42" s="50">
        <v>0</v>
      </c>
      <c r="E42" s="50">
        <v>2</v>
      </c>
      <c r="F42" s="50">
        <v>2</v>
      </c>
      <c r="G42" s="50">
        <v>0</v>
      </c>
      <c r="H42" s="50">
        <v>0</v>
      </c>
      <c r="I42" s="50">
        <v>0</v>
      </c>
      <c r="J42" s="50">
        <v>2</v>
      </c>
      <c r="K42" s="50">
        <v>0</v>
      </c>
      <c r="L42" s="50">
        <v>0</v>
      </c>
      <c r="M42" s="50">
        <v>2</v>
      </c>
      <c r="N42" s="50">
        <v>0</v>
      </c>
      <c r="O42" s="15">
        <f t="shared" si="0"/>
        <v>9</v>
      </c>
      <c r="P42" s="15">
        <f t="shared" si="1"/>
        <v>11</v>
      </c>
    </row>
    <row r="43" spans="2:20" ht="23.1" customHeight="1" x14ac:dyDescent="0.25">
      <c r="B43" s="23" t="s">
        <v>70</v>
      </c>
      <c r="C43" s="50">
        <v>6</v>
      </c>
      <c r="D43" s="50">
        <v>0</v>
      </c>
      <c r="E43" s="50">
        <v>1</v>
      </c>
      <c r="F43" s="50">
        <v>4</v>
      </c>
      <c r="G43" s="50">
        <v>0</v>
      </c>
      <c r="H43" s="50">
        <v>0</v>
      </c>
      <c r="I43" s="50">
        <v>0</v>
      </c>
      <c r="J43" s="50">
        <v>2</v>
      </c>
      <c r="K43" s="50">
        <v>0</v>
      </c>
      <c r="L43" s="50">
        <v>0</v>
      </c>
      <c r="M43" s="50">
        <v>4</v>
      </c>
      <c r="N43" s="50">
        <v>0</v>
      </c>
      <c r="O43" s="15">
        <f t="shared" si="0"/>
        <v>13</v>
      </c>
      <c r="P43" s="15">
        <f t="shared" si="1"/>
        <v>17</v>
      </c>
    </row>
    <row r="44" spans="2:20" ht="23.1" customHeight="1" x14ac:dyDescent="0.25">
      <c r="B44" s="25" t="s">
        <v>71</v>
      </c>
      <c r="C44" s="50">
        <v>2</v>
      </c>
      <c r="D44" s="50">
        <v>0</v>
      </c>
      <c r="E44" s="50">
        <v>1</v>
      </c>
      <c r="F44" s="50">
        <v>3</v>
      </c>
      <c r="G44" s="50">
        <v>0</v>
      </c>
      <c r="H44" s="50">
        <v>0</v>
      </c>
      <c r="I44" s="50">
        <v>0</v>
      </c>
      <c r="J44" s="50">
        <v>2</v>
      </c>
      <c r="K44" s="50">
        <v>0</v>
      </c>
      <c r="L44" s="50">
        <v>1</v>
      </c>
      <c r="M44" s="50">
        <v>4</v>
      </c>
      <c r="N44" s="50">
        <v>0</v>
      </c>
      <c r="O44" s="15">
        <f t="shared" si="0"/>
        <v>9</v>
      </c>
      <c r="P44" s="15">
        <f t="shared" si="1"/>
        <v>13</v>
      </c>
    </row>
    <row r="45" spans="2:20" ht="23.1" customHeight="1" x14ac:dyDescent="0.25">
      <c r="B45" s="23" t="s">
        <v>72</v>
      </c>
      <c r="C45" s="50">
        <v>1</v>
      </c>
      <c r="D45" s="50">
        <v>0</v>
      </c>
      <c r="E45" s="50">
        <v>2</v>
      </c>
      <c r="F45" s="50">
        <v>0</v>
      </c>
      <c r="G45" s="50">
        <v>0</v>
      </c>
      <c r="H45" s="50">
        <v>0</v>
      </c>
      <c r="I45" s="50">
        <v>0</v>
      </c>
      <c r="J45" s="50">
        <v>1</v>
      </c>
      <c r="K45" s="50">
        <v>0</v>
      </c>
      <c r="L45" s="50">
        <v>2</v>
      </c>
      <c r="M45" s="50">
        <v>3</v>
      </c>
      <c r="N45" s="50">
        <v>0</v>
      </c>
      <c r="O45" s="15">
        <f t="shared" si="0"/>
        <v>6</v>
      </c>
      <c r="P45" s="15">
        <f t="shared" si="1"/>
        <v>9</v>
      </c>
    </row>
    <row r="46" spans="2:20" ht="23.1" customHeight="1" x14ac:dyDescent="0.25">
      <c r="B46" s="24" t="s">
        <v>73</v>
      </c>
      <c r="C46" s="50">
        <v>5</v>
      </c>
      <c r="D46" s="50">
        <v>0</v>
      </c>
      <c r="E46" s="50">
        <v>2</v>
      </c>
      <c r="F46" s="50">
        <v>1</v>
      </c>
      <c r="G46" s="50">
        <v>0</v>
      </c>
      <c r="H46" s="50">
        <v>0</v>
      </c>
      <c r="I46" s="50">
        <v>0</v>
      </c>
      <c r="J46" s="50">
        <v>1</v>
      </c>
      <c r="K46" s="50">
        <v>0</v>
      </c>
      <c r="L46" s="50">
        <v>0</v>
      </c>
      <c r="M46" s="50">
        <v>3</v>
      </c>
      <c r="N46" s="50">
        <v>0</v>
      </c>
      <c r="O46" s="15">
        <f t="shared" si="0"/>
        <v>9</v>
      </c>
      <c r="P46" s="15">
        <f t="shared" si="1"/>
        <v>12</v>
      </c>
      <c r="R46" s="8"/>
      <c r="T46"/>
    </row>
    <row r="47" spans="2:20" ht="23.1" customHeight="1" x14ac:dyDescent="0.25">
      <c r="B47" s="24" t="s">
        <v>74</v>
      </c>
      <c r="C47" s="50">
        <v>2</v>
      </c>
      <c r="D47" s="50">
        <v>0</v>
      </c>
      <c r="E47" s="50">
        <v>1</v>
      </c>
      <c r="F47" s="50">
        <v>4</v>
      </c>
      <c r="G47" s="50">
        <v>0</v>
      </c>
      <c r="H47" s="50">
        <v>0</v>
      </c>
      <c r="I47" s="50">
        <v>0</v>
      </c>
      <c r="J47" s="50">
        <v>1</v>
      </c>
      <c r="K47" s="50">
        <v>0</v>
      </c>
      <c r="L47" s="50">
        <v>4</v>
      </c>
      <c r="M47" s="50">
        <v>1</v>
      </c>
      <c r="N47" s="50">
        <v>0</v>
      </c>
      <c r="O47" s="15">
        <f t="shared" si="0"/>
        <v>12</v>
      </c>
      <c r="P47" s="15">
        <f t="shared" si="1"/>
        <v>13</v>
      </c>
      <c r="R47" s="8"/>
      <c r="T47"/>
    </row>
    <row r="48" spans="2:20" ht="23.1" customHeight="1" x14ac:dyDescent="0.25">
      <c r="B48" s="24" t="s">
        <v>75</v>
      </c>
      <c r="C48" s="50">
        <v>2</v>
      </c>
      <c r="D48" s="50">
        <v>0</v>
      </c>
      <c r="E48" s="50">
        <v>5</v>
      </c>
      <c r="F48" s="50">
        <v>0</v>
      </c>
      <c r="G48" s="50">
        <v>0</v>
      </c>
      <c r="H48" s="50">
        <v>1</v>
      </c>
      <c r="I48" s="50">
        <v>0</v>
      </c>
      <c r="J48" s="50">
        <v>1</v>
      </c>
      <c r="K48" s="50">
        <v>0</v>
      </c>
      <c r="L48" s="50">
        <v>1</v>
      </c>
      <c r="M48" s="50">
        <v>2</v>
      </c>
      <c r="N48" s="50">
        <v>0</v>
      </c>
      <c r="O48" s="15">
        <f t="shared" si="0"/>
        <v>10</v>
      </c>
      <c r="P48" s="15">
        <f t="shared" si="1"/>
        <v>12</v>
      </c>
      <c r="R48" s="8"/>
      <c r="T48"/>
    </row>
    <row r="49" spans="2:20" ht="23.1" customHeight="1" x14ac:dyDescent="0.25">
      <c r="B49" s="23" t="s">
        <v>76</v>
      </c>
      <c r="C49" s="50">
        <v>4</v>
      </c>
      <c r="D49" s="50">
        <v>0</v>
      </c>
      <c r="E49" s="50">
        <v>1</v>
      </c>
      <c r="F49" s="50">
        <v>3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6</v>
      </c>
      <c r="N49" s="50">
        <v>0</v>
      </c>
      <c r="O49" s="15">
        <f t="shared" si="0"/>
        <v>8</v>
      </c>
      <c r="P49" s="15">
        <f t="shared" si="1"/>
        <v>14</v>
      </c>
      <c r="R49" s="8"/>
      <c r="T49"/>
    </row>
    <row r="50" spans="2:20" ht="23.1" customHeight="1" x14ac:dyDescent="0.25">
      <c r="B50" s="24" t="s">
        <v>77</v>
      </c>
      <c r="C50" s="50">
        <v>2</v>
      </c>
      <c r="D50" s="50">
        <v>0</v>
      </c>
      <c r="E50" s="50">
        <v>5</v>
      </c>
      <c r="F50" s="50">
        <v>2</v>
      </c>
      <c r="G50" s="50">
        <v>0</v>
      </c>
      <c r="H50" s="50">
        <v>1</v>
      </c>
      <c r="I50" s="50">
        <v>0</v>
      </c>
      <c r="J50" s="50">
        <v>0</v>
      </c>
      <c r="K50" s="50">
        <v>0</v>
      </c>
      <c r="L50" s="50">
        <v>1</v>
      </c>
      <c r="M50" s="50">
        <v>9</v>
      </c>
      <c r="N50" s="50">
        <v>0</v>
      </c>
      <c r="O50" s="15">
        <f t="shared" si="0"/>
        <v>11</v>
      </c>
      <c r="P50" s="15">
        <f t="shared" si="1"/>
        <v>20</v>
      </c>
      <c r="R50" s="8"/>
      <c r="T50"/>
    </row>
    <row r="51" spans="2:20" ht="23.1" customHeight="1" x14ac:dyDescent="0.25">
      <c r="B51" s="24" t="s">
        <v>78</v>
      </c>
      <c r="C51" s="50">
        <v>3</v>
      </c>
      <c r="D51" s="50">
        <v>0</v>
      </c>
      <c r="E51" s="50">
        <v>0</v>
      </c>
      <c r="F51" s="50">
        <v>3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1</v>
      </c>
      <c r="M51" s="50">
        <v>4</v>
      </c>
      <c r="N51" s="50">
        <v>0</v>
      </c>
      <c r="O51" s="15">
        <f t="shared" si="0"/>
        <v>7</v>
      </c>
      <c r="P51" s="15">
        <f t="shared" si="1"/>
        <v>11</v>
      </c>
      <c r="R51" s="8"/>
      <c r="T51"/>
    </row>
    <row r="52" spans="2:20" ht="23.1" customHeight="1" x14ac:dyDescent="0.25">
      <c r="B52" s="24" t="s">
        <v>79</v>
      </c>
      <c r="C52" s="50">
        <v>2</v>
      </c>
      <c r="D52" s="50">
        <v>0</v>
      </c>
      <c r="E52" s="50">
        <v>0</v>
      </c>
      <c r="F52" s="50">
        <v>5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3</v>
      </c>
      <c r="N52" s="50">
        <v>0</v>
      </c>
      <c r="O52" s="15">
        <f t="shared" si="0"/>
        <v>7</v>
      </c>
      <c r="P52" s="15">
        <f t="shared" si="1"/>
        <v>10</v>
      </c>
      <c r="R52" s="8"/>
      <c r="T52"/>
    </row>
    <row r="53" spans="2:20" ht="23.1" customHeight="1" x14ac:dyDescent="0.25">
      <c r="B53" s="23" t="s">
        <v>80</v>
      </c>
      <c r="C53" s="50">
        <v>5</v>
      </c>
      <c r="D53" s="50">
        <v>0</v>
      </c>
      <c r="E53" s="50">
        <v>1</v>
      </c>
      <c r="F53" s="50">
        <v>2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4</v>
      </c>
      <c r="N53" s="50">
        <v>0</v>
      </c>
      <c r="O53" s="15">
        <f t="shared" si="0"/>
        <v>8</v>
      </c>
      <c r="P53" s="15">
        <f t="shared" si="1"/>
        <v>12</v>
      </c>
      <c r="R53" s="8"/>
      <c r="T53"/>
    </row>
    <row r="54" spans="2:20" ht="23.1" customHeight="1" x14ac:dyDescent="0.25">
      <c r="B54" s="23" t="s">
        <v>81</v>
      </c>
      <c r="C54" s="50">
        <v>4</v>
      </c>
      <c r="D54" s="50">
        <v>0</v>
      </c>
      <c r="E54" s="50">
        <v>2</v>
      </c>
      <c r="F54" s="50">
        <v>3</v>
      </c>
      <c r="G54" s="50">
        <v>0</v>
      </c>
      <c r="H54" s="50">
        <v>0</v>
      </c>
      <c r="I54" s="50">
        <v>0</v>
      </c>
      <c r="J54" s="50">
        <v>2</v>
      </c>
      <c r="K54" s="50">
        <v>0</v>
      </c>
      <c r="L54" s="50">
        <v>1</v>
      </c>
      <c r="M54" s="50">
        <v>9</v>
      </c>
      <c r="N54" s="50">
        <v>0</v>
      </c>
      <c r="O54" s="15">
        <f t="shared" si="0"/>
        <v>12</v>
      </c>
      <c r="P54" s="15">
        <f t="shared" si="1"/>
        <v>21</v>
      </c>
      <c r="R54" s="8"/>
      <c r="T54"/>
    </row>
    <row r="55" spans="2:20" ht="23.1" customHeight="1" x14ac:dyDescent="0.25">
      <c r="B55" s="23" t="s">
        <v>82</v>
      </c>
      <c r="C55" s="50">
        <v>2</v>
      </c>
      <c r="D55" s="50">
        <v>0</v>
      </c>
      <c r="E55" s="50">
        <v>0</v>
      </c>
      <c r="F55" s="50">
        <v>5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1</v>
      </c>
      <c r="M55" s="50">
        <v>4</v>
      </c>
      <c r="N55" s="50">
        <v>0</v>
      </c>
      <c r="O55" s="15">
        <f t="shared" si="0"/>
        <v>8</v>
      </c>
      <c r="P55" s="15">
        <f t="shared" si="1"/>
        <v>12</v>
      </c>
      <c r="R55" s="8"/>
      <c r="T55"/>
    </row>
    <row r="56" spans="2:20" ht="23.1" customHeight="1" x14ac:dyDescent="0.25">
      <c r="B56" s="23" t="s">
        <v>83</v>
      </c>
      <c r="C56" s="50">
        <v>4</v>
      </c>
      <c r="D56" s="50">
        <v>0</v>
      </c>
      <c r="E56" s="50">
        <v>2</v>
      </c>
      <c r="F56" s="50">
        <v>4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2</v>
      </c>
      <c r="M56" s="50">
        <v>4</v>
      </c>
      <c r="N56" s="50">
        <v>0</v>
      </c>
      <c r="O56" s="15">
        <f t="shared" si="0"/>
        <v>12</v>
      </c>
      <c r="P56" s="15">
        <f t="shared" si="1"/>
        <v>16</v>
      </c>
      <c r="R56" s="8"/>
      <c r="T56"/>
    </row>
    <row r="57" spans="2:20" ht="23.1" customHeight="1" x14ac:dyDescent="0.25">
      <c r="B57" s="23" t="s">
        <v>84</v>
      </c>
      <c r="C57" s="50">
        <v>6</v>
      </c>
      <c r="D57" s="50">
        <v>0</v>
      </c>
      <c r="E57" s="50">
        <v>0</v>
      </c>
      <c r="F57" s="50">
        <v>5</v>
      </c>
      <c r="G57" s="50">
        <v>0</v>
      </c>
      <c r="H57" s="50">
        <v>0</v>
      </c>
      <c r="I57" s="50">
        <v>0</v>
      </c>
      <c r="J57" s="50">
        <v>4</v>
      </c>
      <c r="K57" s="50">
        <v>0</v>
      </c>
      <c r="L57" s="50">
        <v>0</v>
      </c>
      <c r="M57" s="50">
        <v>5</v>
      </c>
      <c r="N57" s="50">
        <v>0</v>
      </c>
      <c r="O57" s="15">
        <f t="shared" si="0"/>
        <v>15</v>
      </c>
      <c r="P57" s="15">
        <f t="shared" si="1"/>
        <v>20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161</v>
      </c>
      <c r="D58" s="16">
        <f t="shared" si="21"/>
        <v>0</v>
      </c>
      <c r="E58" s="16">
        <f t="shared" si="21"/>
        <v>89</v>
      </c>
      <c r="F58" s="16">
        <f t="shared" si="21"/>
        <v>119</v>
      </c>
      <c r="G58" s="16">
        <f t="shared" si="21"/>
        <v>1</v>
      </c>
      <c r="H58" s="16">
        <f t="shared" si="21"/>
        <v>4</v>
      </c>
      <c r="I58" s="16">
        <f t="shared" si="21"/>
        <v>21</v>
      </c>
      <c r="J58" s="16">
        <f t="shared" si="21"/>
        <v>33</v>
      </c>
      <c r="K58" s="16">
        <f t="shared" si="21"/>
        <v>0</v>
      </c>
      <c r="L58" s="16">
        <f t="shared" si="21"/>
        <v>27</v>
      </c>
      <c r="M58" s="16">
        <f t="shared" si="21"/>
        <v>209</v>
      </c>
      <c r="N58" s="16">
        <f t="shared" si="21"/>
        <v>0</v>
      </c>
      <c r="O58" s="16">
        <f t="shared" si="21"/>
        <v>455</v>
      </c>
      <c r="P58" s="16">
        <f t="shared" si="21"/>
        <v>664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0.24246987951807228</v>
      </c>
      <c r="D59" s="43">
        <f t="shared" si="22"/>
        <v>0</v>
      </c>
      <c r="E59" s="43">
        <f t="shared" si="22"/>
        <v>0.13403614457831325</v>
      </c>
      <c r="F59" s="43">
        <f t="shared" si="22"/>
        <v>0.17921686746987953</v>
      </c>
      <c r="G59" s="43">
        <f t="shared" si="22"/>
        <v>1.5060240963855422E-3</v>
      </c>
      <c r="H59" s="43">
        <f t="shared" si="22"/>
        <v>6.024096385542169E-3</v>
      </c>
      <c r="I59" s="43">
        <f t="shared" si="22"/>
        <v>3.1626506024096383E-2</v>
      </c>
      <c r="J59" s="43">
        <f t="shared" si="22"/>
        <v>4.9698795180722892E-2</v>
      </c>
      <c r="K59" s="43">
        <f t="shared" si="22"/>
        <v>0</v>
      </c>
      <c r="L59" s="43">
        <f t="shared" si="22"/>
        <v>4.0662650602409638E-2</v>
      </c>
      <c r="M59" s="43">
        <f t="shared" si="22"/>
        <v>0.31475903614457829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0.35384615384615387</v>
      </c>
      <c r="D60" s="44">
        <f t="shared" ref="D60:N60" si="23">D58/$O$58</f>
        <v>0</v>
      </c>
      <c r="E60" s="44">
        <f t="shared" si="23"/>
        <v>0.1956043956043956</v>
      </c>
      <c r="F60" s="44">
        <f t="shared" si="23"/>
        <v>0.26153846153846155</v>
      </c>
      <c r="G60" s="44">
        <f t="shared" si="23"/>
        <v>2.1978021978021978E-3</v>
      </c>
      <c r="H60" s="44">
        <f t="shared" si="23"/>
        <v>8.7912087912087912E-3</v>
      </c>
      <c r="I60" s="44">
        <f t="shared" si="23"/>
        <v>4.6153846153846156E-2</v>
      </c>
      <c r="J60" s="44">
        <f t="shared" si="23"/>
        <v>7.2527472527472533E-2</v>
      </c>
      <c r="K60" s="44">
        <f t="shared" si="23"/>
        <v>0</v>
      </c>
      <c r="L60" s="44">
        <f t="shared" si="23"/>
        <v>5.9340659340659338E-2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2" tint="-0.249977111117893"/>
  </sheetPr>
  <dimension ref="B1:AF174"/>
  <sheetViews>
    <sheetView view="pageBreakPreview" topLeftCell="A47" zoomScale="60" workbookViewId="0">
      <selection activeCell="G15" sqref="G1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>
        <f>'5.8 KIKORONGO-BWERA'!C3:G3</f>
        <v>0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169</v>
      </c>
      <c r="E5" s="3"/>
      <c r="F5" s="41" t="s">
        <v>1</v>
      </c>
      <c r="G5" s="63">
        <f>'9.8 BWERA-KIKORONGO'!G5:H5</f>
        <v>0</v>
      </c>
      <c r="H5" s="64"/>
      <c r="I5" s="14"/>
      <c r="J5" s="2" t="s">
        <v>5</v>
      </c>
      <c r="K5" s="63">
        <f>'9.8 BWERA-KIKORONGO'!K5:L5</f>
        <v>0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>
        <f>'5.8 KIKORONGO-BWERA'!D6:E6</f>
        <v>0</v>
      </c>
      <c r="E6" s="64"/>
      <c r="F6" s="2" t="s">
        <v>2</v>
      </c>
      <c r="G6" s="63">
        <f>'5.8 KIKORONGO-BWERA'!G6:H6</f>
        <v>0</v>
      </c>
      <c r="H6" s="64"/>
      <c r="J6" s="2" t="s">
        <v>21</v>
      </c>
      <c r="K6" s="63">
        <f>'9.8 BWERA-KIKORONGO'!K6:L6</f>
        <v>0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0</v>
      </c>
      <c r="D10" s="50">
        <v>0</v>
      </c>
      <c r="E10" s="50">
        <v>3</v>
      </c>
      <c r="F10" s="50">
        <v>0</v>
      </c>
      <c r="G10" s="50">
        <v>0</v>
      </c>
      <c r="H10" s="50">
        <v>0</v>
      </c>
      <c r="I10" s="50">
        <v>1</v>
      </c>
      <c r="J10" s="50">
        <v>0</v>
      </c>
      <c r="K10" s="50">
        <v>0</v>
      </c>
      <c r="L10" s="50">
        <v>1</v>
      </c>
      <c r="M10" s="50">
        <v>2</v>
      </c>
      <c r="N10" s="50">
        <v>0</v>
      </c>
      <c r="O10" s="15">
        <f t="shared" ref="O10:O57" si="0">SUM(C10:L10,N10)</f>
        <v>5</v>
      </c>
      <c r="P10" s="15">
        <f t="shared" ref="P10:P57" si="1">SUM(C10:N10)</f>
        <v>7</v>
      </c>
      <c r="R10" s="1" t="s">
        <v>6</v>
      </c>
      <c r="S10" s="17">
        <f t="shared" ref="S10:AF10" si="2">SUM(C10:C13)</f>
        <v>17</v>
      </c>
      <c r="T10" s="17">
        <f t="shared" si="2"/>
        <v>0</v>
      </c>
      <c r="U10" s="17">
        <f t="shared" si="2"/>
        <v>4</v>
      </c>
      <c r="V10" s="17">
        <f t="shared" si="2"/>
        <v>2</v>
      </c>
      <c r="W10" s="17">
        <f t="shared" si="2"/>
        <v>0</v>
      </c>
      <c r="X10" s="17">
        <f t="shared" si="2"/>
        <v>1</v>
      </c>
      <c r="Y10" s="17">
        <f t="shared" si="2"/>
        <v>4</v>
      </c>
      <c r="Z10" s="17">
        <f t="shared" si="2"/>
        <v>0</v>
      </c>
      <c r="AA10" s="17">
        <f t="shared" si="2"/>
        <v>0</v>
      </c>
      <c r="AB10" s="17">
        <f t="shared" si="2"/>
        <v>1</v>
      </c>
      <c r="AC10" s="17">
        <f t="shared" si="2"/>
        <v>13</v>
      </c>
      <c r="AD10" s="17">
        <f t="shared" si="2"/>
        <v>0</v>
      </c>
      <c r="AE10" s="31">
        <f t="shared" si="2"/>
        <v>29</v>
      </c>
      <c r="AF10" s="31">
        <f t="shared" si="2"/>
        <v>42</v>
      </c>
    </row>
    <row r="11" spans="2:32" s="6" customFormat="1" ht="23.1" customHeight="1" x14ac:dyDescent="0.25">
      <c r="B11" s="45" t="s">
        <v>38</v>
      </c>
      <c r="C11" s="50">
        <v>1</v>
      </c>
      <c r="D11" s="50">
        <v>0</v>
      </c>
      <c r="E11" s="50">
        <v>1</v>
      </c>
      <c r="F11" s="50">
        <v>0</v>
      </c>
      <c r="G11" s="50">
        <v>0</v>
      </c>
      <c r="H11" s="50">
        <v>0</v>
      </c>
      <c r="I11" s="50">
        <v>1</v>
      </c>
      <c r="J11" s="50">
        <v>0</v>
      </c>
      <c r="K11" s="50">
        <v>0</v>
      </c>
      <c r="L11" s="50">
        <v>0</v>
      </c>
      <c r="M11" s="50">
        <v>2</v>
      </c>
      <c r="N11" s="50">
        <v>0</v>
      </c>
      <c r="O11" s="15">
        <f t="shared" si="0"/>
        <v>3</v>
      </c>
      <c r="P11" s="15">
        <f t="shared" si="1"/>
        <v>5</v>
      </c>
      <c r="R11" s="1" t="s">
        <v>7</v>
      </c>
      <c r="S11" s="17">
        <f t="shared" ref="S11:AF11" si="3">SUM(C14:C17)</f>
        <v>20</v>
      </c>
      <c r="T11" s="17">
        <f t="shared" si="3"/>
        <v>0</v>
      </c>
      <c r="U11" s="17">
        <f t="shared" si="3"/>
        <v>3</v>
      </c>
      <c r="V11" s="17">
        <f t="shared" si="3"/>
        <v>9</v>
      </c>
      <c r="W11" s="17">
        <f t="shared" si="3"/>
        <v>0</v>
      </c>
      <c r="X11" s="17">
        <f t="shared" si="3"/>
        <v>2</v>
      </c>
      <c r="Y11" s="17">
        <f t="shared" si="3"/>
        <v>1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22</v>
      </c>
      <c r="AD11" s="17">
        <f t="shared" si="3"/>
        <v>0</v>
      </c>
      <c r="AE11" s="31">
        <f t="shared" si="3"/>
        <v>35</v>
      </c>
      <c r="AF11" s="31">
        <f t="shared" si="3"/>
        <v>57</v>
      </c>
    </row>
    <row r="12" spans="2:32" ht="23.1" customHeight="1" x14ac:dyDescent="0.25">
      <c r="B12" s="45" t="s">
        <v>39</v>
      </c>
      <c r="C12" s="50">
        <v>10</v>
      </c>
      <c r="D12" s="50">
        <v>0</v>
      </c>
      <c r="E12" s="50">
        <v>0</v>
      </c>
      <c r="F12" s="50">
        <v>2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0</v>
      </c>
      <c r="M12" s="50">
        <v>2</v>
      </c>
      <c r="N12" s="50">
        <v>0</v>
      </c>
      <c r="O12" s="15">
        <f t="shared" si="0"/>
        <v>13</v>
      </c>
      <c r="P12" s="15">
        <f t="shared" si="1"/>
        <v>15</v>
      </c>
      <c r="R12" s="1" t="s">
        <v>8</v>
      </c>
      <c r="S12" s="17">
        <f t="shared" ref="S12:AF12" si="4">SUM(C18:C21)</f>
        <v>18</v>
      </c>
      <c r="T12" s="17">
        <f t="shared" si="4"/>
        <v>0</v>
      </c>
      <c r="U12" s="17">
        <f t="shared" si="4"/>
        <v>15</v>
      </c>
      <c r="V12" s="17">
        <f t="shared" si="4"/>
        <v>8</v>
      </c>
      <c r="W12" s="17">
        <f t="shared" si="4"/>
        <v>0</v>
      </c>
      <c r="X12" s="17">
        <f t="shared" si="4"/>
        <v>3</v>
      </c>
      <c r="Y12" s="17">
        <f t="shared" si="4"/>
        <v>1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10</v>
      </c>
      <c r="AD12" s="17">
        <f t="shared" si="4"/>
        <v>0</v>
      </c>
      <c r="AE12" s="31">
        <f t="shared" si="4"/>
        <v>45</v>
      </c>
      <c r="AF12" s="31">
        <f t="shared" si="4"/>
        <v>55</v>
      </c>
    </row>
    <row r="13" spans="2:32" ht="23.1" customHeight="1" x14ac:dyDescent="0.25">
      <c r="B13" s="45" t="s">
        <v>40</v>
      </c>
      <c r="C13" s="50">
        <v>6</v>
      </c>
      <c r="D13" s="50">
        <v>0</v>
      </c>
      <c r="E13" s="50">
        <v>0</v>
      </c>
      <c r="F13" s="50">
        <v>0</v>
      </c>
      <c r="G13" s="50">
        <v>0</v>
      </c>
      <c r="H13" s="50">
        <v>1</v>
      </c>
      <c r="I13" s="50">
        <v>1</v>
      </c>
      <c r="J13" s="50">
        <v>0</v>
      </c>
      <c r="K13" s="50">
        <v>0</v>
      </c>
      <c r="L13" s="50">
        <v>0</v>
      </c>
      <c r="M13" s="50">
        <v>7</v>
      </c>
      <c r="N13" s="50">
        <v>0</v>
      </c>
      <c r="O13" s="15">
        <f t="shared" si="0"/>
        <v>8</v>
      </c>
      <c r="P13" s="15">
        <f t="shared" si="1"/>
        <v>15</v>
      </c>
      <c r="R13" s="1" t="s">
        <v>9</v>
      </c>
      <c r="S13" s="17">
        <f t="shared" ref="S13:AF13" si="5">SUM(C22:C25)</f>
        <v>13</v>
      </c>
      <c r="T13" s="17">
        <f t="shared" si="5"/>
        <v>0</v>
      </c>
      <c r="U13" s="17">
        <f t="shared" si="5"/>
        <v>5</v>
      </c>
      <c r="V13" s="17">
        <f t="shared" si="5"/>
        <v>9</v>
      </c>
      <c r="W13" s="17">
        <f t="shared" si="5"/>
        <v>0</v>
      </c>
      <c r="X13" s="17">
        <f t="shared" si="5"/>
        <v>1</v>
      </c>
      <c r="Y13" s="17">
        <f t="shared" si="5"/>
        <v>4</v>
      </c>
      <c r="Z13" s="17">
        <f t="shared" si="5"/>
        <v>0</v>
      </c>
      <c r="AA13" s="17">
        <f t="shared" si="5"/>
        <v>3</v>
      </c>
      <c r="AB13" s="17">
        <f t="shared" si="5"/>
        <v>4</v>
      </c>
      <c r="AC13" s="17">
        <f t="shared" si="5"/>
        <v>10</v>
      </c>
      <c r="AD13" s="17">
        <f t="shared" si="5"/>
        <v>0</v>
      </c>
      <c r="AE13" s="31">
        <f t="shared" si="5"/>
        <v>39</v>
      </c>
      <c r="AF13" s="31">
        <f t="shared" si="5"/>
        <v>49</v>
      </c>
    </row>
    <row r="14" spans="2:32" ht="23.1" customHeight="1" x14ac:dyDescent="0.25">
      <c r="B14" s="45" t="s">
        <v>41</v>
      </c>
      <c r="C14" s="50">
        <v>8</v>
      </c>
      <c r="D14" s="50">
        <v>0</v>
      </c>
      <c r="E14" s="50">
        <v>0</v>
      </c>
      <c r="F14" s="50">
        <v>3</v>
      </c>
      <c r="G14" s="50">
        <v>0</v>
      </c>
      <c r="H14" s="50">
        <v>1</v>
      </c>
      <c r="I14" s="50">
        <v>1</v>
      </c>
      <c r="J14" s="50">
        <v>0</v>
      </c>
      <c r="K14" s="50">
        <v>0</v>
      </c>
      <c r="L14" s="50">
        <v>0</v>
      </c>
      <c r="M14" s="50">
        <v>5</v>
      </c>
      <c r="N14" s="50">
        <v>0</v>
      </c>
      <c r="O14" s="15">
        <f t="shared" si="0"/>
        <v>13</v>
      </c>
      <c r="P14" s="15">
        <f t="shared" si="1"/>
        <v>18</v>
      </c>
      <c r="R14" s="1" t="s">
        <v>10</v>
      </c>
      <c r="S14" s="17">
        <f t="shared" ref="S14:AF14" si="6">SUM(C26:C29)</f>
        <v>12</v>
      </c>
      <c r="T14" s="17">
        <f t="shared" si="6"/>
        <v>0</v>
      </c>
      <c r="U14" s="17">
        <f t="shared" si="6"/>
        <v>3</v>
      </c>
      <c r="V14" s="17">
        <f t="shared" si="6"/>
        <v>11</v>
      </c>
      <c r="W14" s="17">
        <f t="shared" si="6"/>
        <v>0</v>
      </c>
      <c r="X14" s="17">
        <f t="shared" si="6"/>
        <v>0</v>
      </c>
      <c r="Y14" s="17">
        <f t="shared" si="6"/>
        <v>3</v>
      </c>
      <c r="Z14" s="17">
        <f t="shared" si="6"/>
        <v>0</v>
      </c>
      <c r="AA14" s="17">
        <f t="shared" si="6"/>
        <v>0</v>
      </c>
      <c r="AB14" s="17">
        <f t="shared" si="6"/>
        <v>4</v>
      </c>
      <c r="AC14" s="17">
        <f t="shared" si="6"/>
        <v>8</v>
      </c>
      <c r="AD14" s="17">
        <f t="shared" si="6"/>
        <v>0</v>
      </c>
      <c r="AE14" s="31">
        <f t="shared" si="6"/>
        <v>33</v>
      </c>
      <c r="AF14" s="31">
        <f t="shared" si="6"/>
        <v>41</v>
      </c>
    </row>
    <row r="15" spans="2:32" ht="23.1" customHeight="1" x14ac:dyDescent="0.25">
      <c r="B15" s="45" t="s">
        <v>42</v>
      </c>
      <c r="C15" s="50">
        <v>6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10</v>
      </c>
      <c r="N15" s="50">
        <v>0</v>
      </c>
      <c r="O15" s="15">
        <f t="shared" si="0"/>
        <v>6</v>
      </c>
      <c r="P15" s="15">
        <f t="shared" si="1"/>
        <v>16</v>
      </c>
      <c r="R15" s="1" t="s">
        <v>11</v>
      </c>
      <c r="S15" s="17">
        <f t="shared" ref="S15:AF15" si="7">SUM(C30:C33)</f>
        <v>21</v>
      </c>
      <c r="T15" s="17">
        <f t="shared" si="7"/>
        <v>0</v>
      </c>
      <c r="U15" s="17">
        <f t="shared" si="7"/>
        <v>9</v>
      </c>
      <c r="V15" s="17">
        <f t="shared" si="7"/>
        <v>7</v>
      </c>
      <c r="W15" s="17">
        <f t="shared" si="7"/>
        <v>0</v>
      </c>
      <c r="X15" s="17">
        <f t="shared" si="7"/>
        <v>1</v>
      </c>
      <c r="Y15" s="17">
        <f t="shared" si="7"/>
        <v>5</v>
      </c>
      <c r="Z15" s="17">
        <f t="shared" si="7"/>
        <v>0</v>
      </c>
      <c r="AA15" s="17">
        <f t="shared" si="7"/>
        <v>1</v>
      </c>
      <c r="AB15" s="17">
        <f t="shared" si="7"/>
        <v>4</v>
      </c>
      <c r="AC15" s="17">
        <f t="shared" si="7"/>
        <v>14</v>
      </c>
      <c r="AD15" s="17">
        <f t="shared" si="7"/>
        <v>0</v>
      </c>
      <c r="AE15" s="31">
        <f t="shared" si="7"/>
        <v>48</v>
      </c>
      <c r="AF15" s="31">
        <f t="shared" si="7"/>
        <v>62</v>
      </c>
    </row>
    <row r="16" spans="2:32" ht="23.1" customHeight="1" x14ac:dyDescent="0.25">
      <c r="B16" s="45" t="s">
        <v>43</v>
      </c>
      <c r="C16" s="50">
        <v>2</v>
      </c>
      <c r="D16" s="50">
        <v>0</v>
      </c>
      <c r="E16" s="50">
        <v>1</v>
      </c>
      <c r="F16" s="50">
        <v>2</v>
      </c>
      <c r="G16" s="50">
        <v>0</v>
      </c>
      <c r="H16" s="50">
        <v>1</v>
      </c>
      <c r="I16" s="50">
        <v>0</v>
      </c>
      <c r="J16" s="50">
        <v>0</v>
      </c>
      <c r="K16" s="50">
        <v>0</v>
      </c>
      <c r="L16" s="50">
        <v>0</v>
      </c>
      <c r="M16" s="50">
        <v>4</v>
      </c>
      <c r="N16" s="50">
        <v>0</v>
      </c>
      <c r="O16" s="15">
        <f t="shared" si="0"/>
        <v>6</v>
      </c>
      <c r="P16" s="15">
        <f t="shared" si="1"/>
        <v>10</v>
      </c>
      <c r="R16" s="1" t="s">
        <v>12</v>
      </c>
      <c r="S16" s="17">
        <f t="shared" ref="S16:AF16" si="8">SUM(C34:C37)</f>
        <v>15</v>
      </c>
      <c r="T16" s="17">
        <f t="shared" si="8"/>
        <v>0</v>
      </c>
      <c r="U16" s="17">
        <f t="shared" si="8"/>
        <v>8</v>
      </c>
      <c r="V16" s="17">
        <f t="shared" si="8"/>
        <v>6</v>
      </c>
      <c r="W16" s="17">
        <f t="shared" si="8"/>
        <v>0</v>
      </c>
      <c r="X16" s="17">
        <f t="shared" si="8"/>
        <v>1</v>
      </c>
      <c r="Y16" s="17">
        <f t="shared" si="8"/>
        <v>5</v>
      </c>
      <c r="Z16" s="17">
        <f t="shared" si="8"/>
        <v>0</v>
      </c>
      <c r="AA16" s="17">
        <f t="shared" si="8"/>
        <v>0</v>
      </c>
      <c r="AB16" s="17">
        <f t="shared" si="8"/>
        <v>4</v>
      </c>
      <c r="AC16" s="17">
        <f t="shared" si="8"/>
        <v>11</v>
      </c>
      <c r="AD16" s="17">
        <f t="shared" si="8"/>
        <v>0</v>
      </c>
      <c r="AE16" s="31">
        <f t="shared" si="8"/>
        <v>39</v>
      </c>
      <c r="AF16" s="31">
        <f t="shared" si="8"/>
        <v>50</v>
      </c>
    </row>
    <row r="17" spans="2:32" ht="23.1" customHeight="1" x14ac:dyDescent="0.25">
      <c r="B17" s="45" t="s">
        <v>44</v>
      </c>
      <c r="C17" s="50">
        <v>4</v>
      </c>
      <c r="D17" s="50">
        <v>0</v>
      </c>
      <c r="E17" s="50">
        <v>2</v>
      </c>
      <c r="F17" s="50">
        <v>4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3</v>
      </c>
      <c r="N17" s="50">
        <v>0</v>
      </c>
      <c r="O17" s="15">
        <f t="shared" si="0"/>
        <v>10</v>
      </c>
      <c r="P17" s="15">
        <f t="shared" si="1"/>
        <v>13</v>
      </c>
      <c r="R17" s="1" t="s">
        <v>13</v>
      </c>
      <c r="S17" s="17">
        <f t="shared" ref="S17:AF17" si="9">SUM(C38:C41)</f>
        <v>16</v>
      </c>
      <c r="T17" s="17">
        <f t="shared" si="9"/>
        <v>0</v>
      </c>
      <c r="U17" s="17">
        <f t="shared" si="9"/>
        <v>10</v>
      </c>
      <c r="V17" s="17">
        <f t="shared" si="9"/>
        <v>6</v>
      </c>
      <c r="W17" s="17">
        <f t="shared" si="9"/>
        <v>0</v>
      </c>
      <c r="X17" s="17">
        <f t="shared" si="9"/>
        <v>0</v>
      </c>
      <c r="Y17" s="17">
        <f t="shared" si="9"/>
        <v>7</v>
      </c>
      <c r="Z17" s="17">
        <f t="shared" si="9"/>
        <v>0</v>
      </c>
      <c r="AA17" s="17">
        <f t="shared" si="9"/>
        <v>0</v>
      </c>
      <c r="AB17" s="17">
        <f t="shared" si="9"/>
        <v>1</v>
      </c>
      <c r="AC17" s="17">
        <f t="shared" si="9"/>
        <v>8</v>
      </c>
      <c r="AD17" s="17">
        <f t="shared" si="9"/>
        <v>0</v>
      </c>
      <c r="AE17" s="31">
        <f t="shared" si="9"/>
        <v>40</v>
      </c>
      <c r="AF17" s="31">
        <f t="shared" si="9"/>
        <v>48</v>
      </c>
    </row>
    <row r="18" spans="2:32" ht="23.1" customHeight="1" x14ac:dyDescent="0.25">
      <c r="B18" s="45" t="s">
        <v>45</v>
      </c>
      <c r="C18" s="50">
        <v>9</v>
      </c>
      <c r="D18" s="50">
        <v>0</v>
      </c>
      <c r="E18" s="50">
        <v>1</v>
      </c>
      <c r="F18" s="50">
        <v>3</v>
      </c>
      <c r="G18" s="50">
        <v>0</v>
      </c>
      <c r="H18" s="50">
        <v>1</v>
      </c>
      <c r="I18" s="50">
        <v>0</v>
      </c>
      <c r="J18" s="50">
        <v>0</v>
      </c>
      <c r="K18" s="50">
        <v>0</v>
      </c>
      <c r="L18" s="50">
        <v>0</v>
      </c>
      <c r="M18" s="50">
        <v>0</v>
      </c>
      <c r="N18" s="50">
        <v>0</v>
      </c>
      <c r="O18" s="15">
        <f t="shared" si="0"/>
        <v>14</v>
      </c>
      <c r="P18" s="15">
        <f t="shared" si="1"/>
        <v>14</v>
      </c>
      <c r="R18" s="1" t="s">
        <v>14</v>
      </c>
      <c r="S18" s="17">
        <f t="shared" ref="S18:AF18" si="10">SUM(C42:C45)</f>
        <v>18</v>
      </c>
      <c r="T18" s="17">
        <f t="shared" si="10"/>
        <v>0</v>
      </c>
      <c r="U18" s="17">
        <f t="shared" si="10"/>
        <v>12</v>
      </c>
      <c r="V18" s="17">
        <f t="shared" si="10"/>
        <v>9</v>
      </c>
      <c r="W18" s="17">
        <f t="shared" si="10"/>
        <v>0</v>
      </c>
      <c r="X18" s="17">
        <f t="shared" si="10"/>
        <v>1</v>
      </c>
      <c r="Y18" s="17">
        <f t="shared" si="10"/>
        <v>7</v>
      </c>
      <c r="Z18" s="17">
        <f t="shared" si="10"/>
        <v>0</v>
      </c>
      <c r="AA18" s="17">
        <f t="shared" si="10"/>
        <v>0</v>
      </c>
      <c r="AB18" s="17">
        <f t="shared" si="10"/>
        <v>5</v>
      </c>
      <c r="AC18" s="17">
        <f t="shared" si="10"/>
        <v>9</v>
      </c>
      <c r="AD18" s="17">
        <f t="shared" si="10"/>
        <v>0</v>
      </c>
      <c r="AE18" s="31">
        <f t="shared" si="10"/>
        <v>52</v>
      </c>
      <c r="AF18" s="31">
        <f t="shared" si="10"/>
        <v>61</v>
      </c>
    </row>
    <row r="19" spans="2:32" ht="23.1" customHeight="1" x14ac:dyDescent="0.25">
      <c r="B19" s="45" t="s">
        <v>46</v>
      </c>
      <c r="C19" s="50">
        <v>2</v>
      </c>
      <c r="D19" s="50">
        <v>0</v>
      </c>
      <c r="E19" s="50">
        <v>4</v>
      </c>
      <c r="F19" s="50">
        <v>3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1</v>
      </c>
      <c r="N19" s="50">
        <v>0</v>
      </c>
      <c r="O19" s="15">
        <f t="shared" si="0"/>
        <v>9</v>
      </c>
      <c r="P19" s="15">
        <f t="shared" si="1"/>
        <v>10</v>
      </c>
      <c r="R19" s="1" t="s">
        <v>15</v>
      </c>
      <c r="S19" s="17">
        <f t="shared" ref="S19:AF19" si="11">SUM(C46:C49)</f>
        <v>22</v>
      </c>
      <c r="T19" s="17">
        <f t="shared" si="11"/>
        <v>0</v>
      </c>
      <c r="U19" s="17">
        <f t="shared" si="11"/>
        <v>8</v>
      </c>
      <c r="V19" s="17">
        <f t="shared" si="11"/>
        <v>10</v>
      </c>
      <c r="W19" s="17">
        <f t="shared" si="11"/>
        <v>1</v>
      </c>
      <c r="X19" s="17">
        <f t="shared" si="11"/>
        <v>1</v>
      </c>
      <c r="Y19" s="17">
        <f t="shared" si="11"/>
        <v>6</v>
      </c>
      <c r="Z19" s="17">
        <f t="shared" si="11"/>
        <v>0</v>
      </c>
      <c r="AA19" s="17">
        <f t="shared" si="11"/>
        <v>0</v>
      </c>
      <c r="AB19" s="17">
        <f t="shared" si="11"/>
        <v>4</v>
      </c>
      <c r="AC19" s="17">
        <f t="shared" si="11"/>
        <v>20</v>
      </c>
      <c r="AD19" s="17">
        <f t="shared" si="11"/>
        <v>0</v>
      </c>
      <c r="AE19" s="31">
        <f t="shared" si="11"/>
        <v>52</v>
      </c>
      <c r="AF19" s="31">
        <f t="shared" si="11"/>
        <v>72</v>
      </c>
    </row>
    <row r="20" spans="2:32" ht="23.1" customHeight="1" x14ac:dyDescent="0.25">
      <c r="B20" s="45" t="s">
        <v>47</v>
      </c>
      <c r="C20" s="50">
        <v>1</v>
      </c>
      <c r="D20" s="50">
        <v>0</v>
      </c>
      <c r="E20" s="50">
        <v>6</v>
      </c>
      <c r="F20" s="50">
        <v>0</v>
      </c>
      <c r="G20" s="50">
        <v>0</v>
      </c>
      <c r="H20" s="50">
        <v>1</v>
      </c>
      <c r="I20" s="50">
        <v>0</v>
      </c>
      <c r="J20" s="50">
        <v>0</v>
      </c>
      <c r="K20" s="50">
        <v>0</v>
      </c>
      <c r="L20" s="50">
        <v>0</v>
      </c>
      <c r="M20" s="50">
        <v>7</v>
      </c>
      <c r="N20" s="50">
        <v>0</v>
      </c>
      <c r="O20" s="15">
        <f t="shared" si="0"/>
        <v>8</v>
      </c>
      <c r="P20" s="15">
        <f t="shared" si="1"/>
        <v>15</v>
      </c>
      <c r="R20" s="1" t="s">
        <v>16</v>
      </c>
      <c r="S20" s="17">
        <f t="shared" ref="S20:AF20" si="12">SUM(C50:C53)</f>
        <v>25</v>
      </c>
      <c r="T20" s="17">
        <f t="shared" si="12"/>
        <v>0</v>
      </c>
      <c r="U20" s="17">
        <f t="shared" si="12"/>
        <v>17</v>
      </c>
      <c r="V20" s="17">
        <f t="shared" si="12"/>
        <v>13</v>
      </c>
      <c r="W20" s="17">
        <f t="shared" si="12"/>
        <v>0</v>
      </c>
      <c r="X20" s="17">
        <f t="shared" si="12"/>
        <v>1</v>
      </c>
      <c r="Y20" s="17">
        <f t="shared" si="12"/>
        <v>8</v>
      </c>
      <c r="Z20" s="17">
        <f t="shared" si="12"/>
        <v>0</v>
      </c>
      <c r="AA20" s="17">
        <f t="shared" si="12"/>
        <v>1</v>
      </c>
      <c r="AB20" s="17">
        <f t="shared" si="12"/>
        <v>3</v>
      </c>
      <c r="AC20" s="17">
        <f t="shared" si="12"/>
        <v>11</v>
      </c>
      <c r="AD20" s="17">
        <f t="shared" si="12"/>
        <v>0</v>
      </c>
      <c r="AE20" s="31">
        <f t="shared" si="12"/>
        <v>68</v>
      </c>
      <c r="AF20" s="31">
        <f t="shared" si="12"/>
        <v>79</v>
      </c>
    </row>
    <row r="21" spans="2:32" ht="23.1" customHeight="1" x14ac:dyDescent="0.25">
      <c r="B21" s="45" t="s">
        <v>48</v>
      </c>
      <c r="C21" s="50">
        <v>6</v>
      </c>
      <c r="D21" s="50">
        <v>0</v>
      </c>
      <c r="E21" s="50">
        <v>4</v>
      </c>
      <c r="F21" s="50">
        <v>2</v>
      </c>
      <c r="G21" s="50">
        <v>0</v>
      </c>
      <c r="H21" s="50">
        <v>1</v>
      </c>
      <c r="I21" s="50">
        <v>1</v>
      </c>
      <c r="J21" s="50">
        <v>0</v>
      </c>
      <c r="K21" s="50">
        <v>0</v>
      </c>
      <c r="L21" s="50">
        <v>0</v>
      </c>
      <c r="M21" s="50">
        <v>2</v>
      </c>
      <c r="N21" s="50">
        <v>0</v>
      </c>
      <c r="O21" s="15">
        <f t="shared" si="0"/>
        <v>14</v>
      </c>
      <c r="P21" s="15">
        <f t="shared" si="1"/>
        <v>16</v>
      </c>
      <c r="R21" s="36" t="s">
        <v>20</v>
      </c>
      <c r="S21" s="34">
        <f t="shared" ref="S21:AF21" si="13">SUM(C54:C57)</f>
        <v>9</v>
      </c>
      <c r="T21" s="17">
        <f t="shared" si="13"/>
        <v>0</v>
      </c>
      <c r="U21" s="17">
        <f t="shared" si="13"/>
        <v>6</v>
      </c>
      <c r="V21" s="17">
        <f t="shared" si="13"/>
        <v>8</v>
      </c>
      <c r="W21" s="17">
        <f t="shared" si="13"/>
        <v>0</v>
      </c>
      <c r="X21" s="17">
        <f t="shared" si="13"/>
        <v>0</v>
      </c>
      <c r="Y21" s="17">
        <f t="shared" si="13"/>
        <v>3</v>
      </c>
      <c r="Z21" s="17">
        <f t="shared" si="13"/>
        <v>0</v>
      </c>
      <c r="AA21" s="17">
        <f t="shared" si="13"/>
        <v>0</v>
      </c>
      <c r="AB21" s="17">
        <f t="shared" si="13"/>
        <v>8</v>
      </c>
      <c r="AC21" s="17">
        <f t="shared" si="13"/>
        <v>6</v>
      </c>
      <c r="AD21" s="17">
        <f t="shared" si="13"/>
        <v>0</v>
      </c>
      <c r="AE21" s="31">
        <f t="shared" si="13"/>
        <v>34</v>
      </c>
      <c r="AF21" s="31">
        <f t="shared" si="13"/>
        <v>40</v>
      </c>
    </row>
    <row r="22" spans="2:32" ht="23.1" customHeight="1" x14ac:dyDescent="0.25">
      <c r="B22" s="45" t="s">
        <v>49</v>
      </c>
      <c r="C22" s="50">
        <v>3</v>
      </c>
      <c r="D22" s="50">
        <v>0</v>
      </c>
      <c r="E22" s="50">
        <v>1</v>
      </c>
      <c r="F22" s="50">
        <v>4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6</v>
      </c>
      <c r="N22" s="50">
        <v>0</v>
      </c>
      <c r="O22" s="15">
        <f t="shared" si="0"/>
        <v>8</v>
      </c>
      <c r="P22" s="15">
        <f t="shared" si="1"/>
        <v>14</v>
      </c>
      <c r="R22" s="36" t="s">
        <v>146</v>
      </c>
      <c r="S22" s="34">
        <f>SUM(C58:C61)</f>
        <v>22</v>
      </c>
      <c r="T22" s="34">
        <f t="shared" ref="T22:AF22" si="14">SUM(D58:D61)</f>
        <v>0</v>
      </c>
      <c r="U22" s="34">
        <f t="shared" si="14"/>
        <v>7</v>
      </c>
      <c r="V22" s="34">
        <f t="shared" si="14"/>
        <v>4</v>
      </c>
      <c r="W22" s="34">
        <f t="shared" si="14"/>
        <v>0</v>
      </c>
      <c r="X22" s="34">
        <f t="shared" si="14"/>
        <v>2</v>
      </c>
      <c r="Y22" s="34">
        <f t="shared" si="14"/>
        <v>5</v>
      </c>
      <c r="Z22" s="34">
        <f t="shared" si="14"/>
        <v>2</v>
      </c>
      <c r="AA22" s="34">
        <f t="shared" si="14"/>
        <v>0</v>
      </c>
      <c r="AB22" s="34">
        <f t="shared" si="14"/>
        <v>6</v>
      </c>
      <c r="AC22" s="34">
        <f t="shared" si="14"/>
        <v>10</v>
      </c>
      <c r="AD22" s="34">
        <f t="shared" si="14"/>
        <v>0</v>
      </c>
      <c r="AE22" s="31">
        <f t="shared" si="14"/>
        <v>48</v>
      </c>
      <c r="AF22" s="31">
        <f t="shared" si="14"/>
        <v>58</v>
      </c>
    </row>
    <row r="23" spans="2:32" ht="23.1" customHeight="1" x14ac:dyDescent="0.25">
      <c r="B23" s="45" t="s">
        <v>50</v>
      </c>
      <c r="C23" s="50">
        <v>2</v>
      </c>
      <c r="D23" s="50">
        <v>0</v>
      </c>
      <c r="E23" s="50">
        <v>2</v>
      </c>
      <c r="F23" s="50">
        <v>0</v>
      </c>
      <c r="G23" s="50">
        <v>0</v>
      </c>
      <c r="H23" s="50">
        <v>0</v>
      </c>
      <c r="I23" s="50">
        <v>1</v>
      </c>
      <c r="J23" s="50">
        <v>0</v>
      </c>
      <c r="K23" s="50">
        <v>1</v>
      </c>
      <c r="L23" s="50">
        <v>1</v>
      </c>
      <c r="M23" s="50">
        <v>2</v>
      </c>
      <c r="N23" s="50">
        <v>0</v>
      </c>
      <c r="O23" s="15">
        <f t="shared" si="0"/>
        <v>7</v>
      </c>
      <c r="P23" s="15">
        <f t="shared" si="1"/>
        <v>9</v>
      </c>
      <c r="R23" s="36" t="s">
        <v>147</v>
      </c>
      <c r="S23" s="34">
        <f>SUM(C62:C65)</f>
        <v>11</v>
      </c>
      <c r="T23" s="34">
        <f t="shared" ref="T23:AF23" si="15">SUM(D62:D65)</f>
        <v>0</v>
      </c>
      <c r="U23" s="34">
        <f t="shared" si="15"/>
        <v>1</v>
      </c>
      <c r="V23" s="34">
        <f t="shared" si="15"/>
        <v>0</v>
      </c>
      <c r="W23" s="34">
        <f t="shared" si="15"/>
        <v>0</v>
      </c>
      <c r="X23" s="34">
        <f t="shared" si="15"/>
        <v>0</v>
      </c>
      <c r="Y23" s="34">
        <f t="shared" si="15"/>
        <v>5</v>
      </c>
      <c r="Z23" s="34">
        <f t="shared" si="15"/>
        <v>0</v>
      </c>
      <c r="AA23" s="34">
        <f t="shared" si="15"/>
        <v>0</v>
      </c>
      <c r="AB23" s="34">
        <f t="shared" si="15"/>
        <v>3</v>
      </c>
      <c r="AC23" s="34">
        <f t="shared" si="15"/>
        <v>5</v>
      </c>
      <c r="AD23" s="34">
        <f t="shared" si="15"/>
        <v>0</v>
      </c>
      <c r="AE23" s="31">
        <f t="shared" si="15"/>
        <v>20</v>
      </c>
      <c r="AF23" s="31">
        <f t="shared" si="15"/>
        <v>25</v>
      </c>
    </row>
    <row r="24" spans="2:32" ht="23.1" customHeight="1" x14ac:dyDescent="0.25">
      <c r="B24" s="45" t="s">
        <v>51</v>
      </c>
      <c r="C24" s="50">
        <v>3</v>
      </c>
      <c r="D24" s="50">
        <v>0</v>
      </c>
      <c r="E24" s="50">
        <v>1</v>
      </c>
      <c r="F24" s="50">
        <v>4</v>
      </c>
      <c r="G24" s="50">
        <v>0</v>
      </c>
      <c r="H24" s="50">
        <v>0</v>
      </c>
      <c r="I24" s="50">
        <v>1</v>
      </c>
      <c r="J24" s="50">
        <v>0</v>
      </c>
      <c r="K24" s="50">
        <v>0</v>
      </c>
      <c r="L24" s="50">
        <v>1</v>
      </c>
      <c r="M24" s="50">
        <v>1</v>
      </c>
      <c r="N24" s="50">
        <v>0</v>
      </c>
      <c r="O24" s="15">
        <f t="shared" si="0"/>
        <v>10</v>
      </c>
      <c r="P24" s="15">
        <f t="shared" si="1"/>
        <v>11</v>
      </c>
      <c r="R24" s="36" t="s">
        <v>148</v>
      </c>
      <c r="S24" s="34">
        <f>SUM(C66:C69)</f>
        <v>5</v>
      </c>
      <c r="T24" s="34">
        <f t="shared" ref="T24:AF24" si="16">SUM(D66:D69)</f>
        <v>0</v>
      </c>
      <c r="U24" s="34">
        <f t="shared" si="16"/>
        <v>1</v>
      </c>
      <c r="V24" s="34">
        <f t="shared" si="16"/>
        <v>0</v>
      </c>
      <c r="W24" s="34">
        <f t="shared" si="16"/>
        <v>0</v>
      </c>
      <c r="X24" s="34">
        <f t="shared" si="16"/>
        <v>3</v>
      </c>
      <c r="Y24" s="34">
        <f t="shared" si="16"/>
        <v>8</v>
      </c>
      <c r="Z24" s="34">
        <f t="shared" si="16"/>
        <v>0</v>
      </c>
      <c r="AA24" s="34">
        <f t="shared" si="16"/>
        <v>0</v>
      </c>
      <c r="AB24" s="34">
        <f t="shared" si="16"/>
        <v>1</v>
      </c>
      <c r="AC24" s="34">
        <f t="shared" si="16"/>
        <v>0</v>
      </c>
      <c r="AD24" s="34">
        <f t="shared" si="16"/>
        <v>0</v>
      </c>
      <c r="AE24" s="31">
        <f t="shared" si="16"/>
        <v>18</v>
      </c>
      <c r="AF24" s="31">
        <f t="shared" si="16"/>
        <v>18</v>
      </c>
    </row>
    <row r="25" spans="2:32" ht="23.1" customHeight="1" x14ac:dyDescent="0.25">
      <c r="B25" s="45" t="s">
        <v>52</v>
      </c>
      <c r="C25" s="50">
        <v>5</v>
      </c>
      <c r="D25" s="50">
        <v>0</v>
      </c>
      <c r="E25" s="50">
        <v>1</v>
      </c>
      <c r="F25" s="50">
        <v>1</v>
      </c>
      <c r="G25" s="50">
        <v>0</v>
      </c>
      <c r="H25" s="50">
        <v>1</v>
      </c>
      <c r="I25" s="50">
        <v>2</v>
      </c>
      <c r="J25" s="50">
        <v>0</v>
      </c>
      <c r="K25" s="50">
        <v>2</v>
      </c>
      <c r="L25" s="50">
        <v>2</v>
      </c>
      <c r="M25" s="50">
        <v>1</v>
      </c>
      <c r="N25" s="50">
        <v>0</v>
      </c>
      <c r="O25" s="15">
        <f t="shared" si="0"/>
        <v>14</v>
      </c>
      <c r="P25" s="15">
        <f t="shared" si="1"/>
        <v>15</v>
      </c>
      <c r="R25" s="36" t="s">
        <v>149</v>
      </c>
      <c r="S25" s="34">
        <f>SUM(C70:C73)</f>
        <v>4</v>
      </c>
      <c r="T25" s="34">
        <f t="shared" ref="T25:AF25" si="17">SUM(D70:D73)</f>
        <v>0</v>
      </c>
      <c r="U25" s="34">
        <f t="shared" si="17"/>
        <v>0</v>
      </c>
      <c r="V25" s="34">
        <f t="shared" si="17"/>
        <v>0</v>
      </c>
      <c r="W25" s="34">
        <f t="shared" si="17"/>
        <v>0</v>
      </c>
      <c r="X25" s="34">
        <f t="shared" si="17"/>
        <v>1</v>
      </c>
      <c r="Y25" s="34">
        <f t="shared" si="17"/>
        <v>7</v>
      </c>
      <c r="Z25" s="34">
        <f t="shared" si="17"/>
        <v>0</v>
      </c>
      <c r="AA25" s="34">
        <f t="shared" si="17"/>
        <v>0</v>
      </c>
      <c r="AB25" s="34">
        <f t="shared" si="17"/>
        <v>1</v>
      </c>
      <c r="AC25" s="34">
        <f t="shared" si="17"/>
        <v>1</v>
      </c>
      <c r="AD25" s="34">
        <f t="shared" si="17"/>
        <v>0</v>
      </c>
      <c r="AE25" s="31">
        <f t="shared" si="17"/>
        <v>13</v>
      </c>
      <c r="AF25" s="31">
        <f t="shared" si="17"/>
        <v>14</v>
      </c>
    </row>
    <row r="26" spans="2:32" ht="23.1" customHeight="1" x14ac:dyDescent="0.25">
      <c r="B26" s="45" t="s">
        <v>53</v>
      </c>
      <c r="C26" s="50">
        <v>4</v>
      </c>
      <c r="D26" s="50">
        <v>0</v>
      </c>
      <c r="E26" s="50">
        <v>1</v>
      </c>
      <c r="F26" s="50">
        <v>2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1</v>
      </c>
      <c r="N26" s="50">
        <v>0</v>
      </c>
      <c r="O26" s="15">
        <f t="shared" si="0"/>
        <v>7</v>
      </c>
      <c r="P26" s="15">
        <f t="shared" si="1"/>
        <v>8</v>
      </c>
      <c r="R26" s="36" t="s">
        <v>150</v>
      </c>
      <c r="S26" s="34">
        <f>SUM(C74:C77)</f>
        <v>0</v>
      </c>
      <c r="T26" s="34">
        <f t="shared" ref="T26:AF26" si="18">SUM(D74:D77)</f>
        <v>0</v>
      </c>
      <c r="U26" s="34">
        <f t="shared" si="18"/>
        <v>0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0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1</v>
      </c>
      <c r="AD26" s="34">
        <f t="shared" si="18"/>
        <v>0</v>
      </c>
      <c r="AE26" s="31">
        <f t="shared" si="18"/>
        <v>0</v>
      </c>
      <c r="AF26" s="31">
        <f t="shared" si="18"/>
        <v>1</v>
      </c>
    </row>
    <row r="27" spans="2:32" ht="23.1" customHeight="1" x14ac:dyDescent="0.25">
      <c r="B27" s="45" t="s">
        <v>54</v>
      </c>
      <c r="C27" s="50">
        <v>3</v>
      </c>
      <c r="D27" s="50">
        <v>0</v>
      </c>
      <c r="E27" s="50">
        <v>0</v>
      </c>
      <c r="F27" s="50">
        <v>2</v>
      </c>
      <c r="G27" s="50">
        <v>0</v>
      </c>
      <c r="H27" s="50">
        <v>0</v>
      </c>
      <c r="I27" s="50">
        <v>1</v>
      </c>
      <c r="J27" s="50">
        <v>0</v>
      </c>
      <c r="K27" s="50">
        <v>0</v>
      </c>
      <c r="L27" s="50">
        <v>2</v>
      </c>
      <c r="M27" s="50">
        <v>3</v>
      </c>
      <c r="N27" s="50">
        <v>0</v>
      </c>
      <c r="O27" s="15">
        <f t="shared" si="0"/>
        <v>8</v>
      </c>
      <c r="P27" s="15">
        <f t="shared" si="1"/>
        <v>11</v>
      </c>
      <c r="R27" s="36" t="s">
        <v>151</v>
      </c>
      <c r="S27" s="34">
        <f>SUM(C78:C81)</f>
        <v>0</v>
      </c>
      <c r="T27" s="34">
        <f t="shared" ref="T27:AF27" si="19">SUM(D78:D81)</f>
        <v>0</v>
      </c>
      <c r="U27" s="34">
        <f t="shared" si="19"/>
        <v>1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0</v>
      </c>
      <c r="AD27" s="34">
        <f t="shared" si="19"/>
        <v>0</v>
      </c>
      <c r="AE27" s="31">
        <f t="shared" si="19"/>
        <v>1</v>
      </c>
      <c r="AF27" s="31">
        <f t="shared" si="19"/>
        <v>1</v>
      </c>
    </row>
    <row r="28" spans="2:32" ht="23.1" customHeight="1" x14ac:dyDescent="0.25">
      <c r="B28" s="45" t="s">
        <v>55</v>
      </c>
      <c r="C28" s="50">
        <v>4</v>
      </c>
      <c r="D28" s="50">
        <v>0</v>
      </c>
      <c r="E28" s="50">
        <v>1</v>
      </c>
      <c r="F28" s="50">
        <v>3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1</v>
      </c>
      <c r="M28" s="50">
        <v>2</v>
      </c>
      <c r="N28" s="50">
        <v>0</v>
      </c>
      <c r="O28" s="15">
        <f t="shared" si="0"/>
        <v>10</v>
      </c>
      <c r="P28" s="15">
        <f t="shared" si="1"/>
        <v>12</v>
      </c>
      <c r="R28" s="36" t="s">
        <v>152</v>
      </c>
      <c r="S28" s="34">
        <f>SUM(C82:C85)</f>
        <v>0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0</v>
      </c>
      <c r="AD28" s="34">
        <f t="shared" si="20"/>
        <v>0</v>
      </c>
      <c r="AE28" s="31">
        <f t="shared" si="20"/>
        <v>0</v>
      </c>
      <c r="AF28" s="31">
        <f t="shared" si="20"/>
        <v>0</v>
      </c>
    </row>
    <row r="29" spans="2:32" ht="23.1" customHeight="1" x14ac:dyDescent="0.25">
      <c r="B29" s="45" t="s">
        <v>56</v>
      </c>
      <c r="C29" s="50">
        <v>1</v>
      </c>
      <c r="D29" s="50">
        <v>0</v>
      </c>
      <c r="E29" s="50">
        <v>1</v>
      </c>
      <c r="F29" s="50">
        <v>4</v>
      </c>
      <c r="G29" s="50">
        <v>0</v>
      </c>
      <c r="H29" s="50">
        <v>0</v>
      </c>
      <c r="I29" s="50">
        <v>1</v>
      </c>
      <c r="J29" s="50">
        <v>0</v>
      </c>
      <c r="K29" s="50">
        <v>0</v>
      </c>
      <c r="L29" s="50">
        <v>1</v>
      </c>
      <c r="M29" s="50">
        <v>2</v>
      </c>
      <c r="N29" s="50">
        <v>0</v>
      </c>
      <c r="O29" s="15">
        <f t="shared" si="0"/>
        <v>8</v>
      </c>
      <c r="P29" s="15">
        <f t="shared" si="1"/>
        <v>10</v>
      </c>
      <c r="R29" s="36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0</v>
      </c>
      <c r="AF29" s="31">
        <f t="shared" si="21"/>
        <v>0</v>
      </c>
    </row>
    <row r="30" spans="2:32" ht="23.1" customHeight="1" x14ac:dyDescent="0.25">
      <c r="B30" s="45" t="s">
        <v>57</v>
      </c>
      <c r="C30" s="50">
        <v>1</v>
      </c>
      <c r="D30" s="50">
        <v>0</v>
      </c>
      <c r="E30" s="50">
        <v>1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1</v>
      </c>
      <c r="M30" s="50">
        <v>6</v>
      </c>
      <c r="N30" s="50">
        <v>0</v>
      </c>
      <c r="O30" s="15">
        <f t="shared" si="0"/>
        <v>3</v>
      </c>
      <c r="P30" s="15">
        <f t="shared" si="1"/>
        <v>9</v>
      </c>
      <c r="R30" s="36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0</v>
      </c>
      <c r="AD30" s="34">
        <f t="shared" si="22"/>
        <v>0</v>
      </c>
      <c r="AE30" s="31">
        <f t="shared" si="22"/>
        <v>0</v>
      </c>
      <c r="AF30" s="31">
        <f t="shared" si="22"/>
        <v>0</v>
      </c>
    </row>
    <row r="31" spans="2:32" ht="23.1" customHeight="1" x14ac:dyDescent="0.25">
      <c r="B31" s="46" t="s">
        <v>58</v>
      </c>
      <c r="C31" s="50">
        <v>9</v>
      </c>
      <c r="D31" s="50">
        <v>0</v>
      </c>
      <c r="E31" s="50">
        <v>4</v>
      </c>
      <c r="F31" s="50">
        <v>3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2</v>
      </c>
      <c r="N31" s="50">
        <v>0</v>
      </c>
      <c r="O31" s="15">
        <f t="shared" si="0"/>
        <v>16</v>
      </c>
      <c r="P31" s="15">
        <f t="shared" si="1"/>
        <v>18</v>
      </c>
      <c r="R31" s="36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31">
        <f t="shared" si="23"/>
        <v>0</v>
      </c>
      <c r="AF31" s="31">
        <f t="shared" si="23"/>
        <v>0</v>
      </c>
    </row>
    <row r="32" spans="2:32" ht="23.1" customHeight="1" x14ac:dyDescent="0.25">
      <c r="B32" s="46" t="s">
        <v>59</v>
      </c>
      <c r="C32" s="50">
        <v>6</v>
      </c>
      <c r="D32" s="50">
        <v>0</v>
      </c>
      <c r="E32" s="50">
        <v>2</v>
      </c>
      <c r="F32" s="50">
        <v>2</v>
      </c>
      <c r="G32" s="50">
        <v>0</v>
      </c>
      <c r="H32" s="50">
        <v>1</v>
      </c>
      <c r="I32" s="50">
        <v>4</v>
      </c>
      <c r="J32" s="50">
        <v>0</v>
      </c>
      <c r="K32" s="50">
        <v>0</v>
      </c>
      <c r="L32" s="50">
        <v>2</v>
      </c>
      <c r="M32" s="50">
        <v>3</v>
      </c>
      <c r="N32" s="50">
        <v>0</v>
      </c>
      <c r="O32" s="15">
        <f t="shared" si="0"/>
        <v>17</v>
      </c>
      <c r="P32" s="15">
        <f t="shared" si="1"/>
        <v>20</v>
      </c>
      <c r="R32" s="33" t="s">
        <v>156</v>
      </c>
      <c r="S32" s="34">
        <f>SUM(C98:C101)</f>
        <v>1</v>
      </c>
      <c r="T32" s="34">
        <f t="shared" ref="T32:AF32" si="24">SUM(D98:D101)</f>
        <v>0</v>
      </c>
      <c r="U32" s="34">
        <f t="shared" si="24"/>
        <v>2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0</v>
      </c>
      <c r="AD32" s="34">
        <f t="shared" si="24"/>
        <v>0</v>
      </c>
      <c r="AE32" s="31">
        <f t="shared" si="24"/>
        <v>3</v>
      </c>
      <c r="AF32" s="31">
        <f t="shared" si="24"/>
        <v>3</v>
      </c>
    </row>
    <row r="33" spans="2:32" ht="23.1" customHeight="1" x14ac:dyDescent="0.25">
      <c r="B33" s="45" t="s">
        <v>60</v>
      </c>
      <c r="C33" s="50">
        <v>5</v>
      </c>
      <c r="D33" s="50">
        <v>0</v>
      </c>
      <c r="E33" s="50">
        <v>2</v>
      </c>
      <c r="F33" s="50">
        <v>2</v>
      </c>
      <c r="G33" s="50">
        <v>0</v>
      </c>
      <c r="H33" s="50">
        <v>0</v>
      </c>
      <c r="I33" s="50">
        <v>1</v>
      </c>
      <c r="J33" s="50">
        <v>0</v>
      </c>
      <c r="K33" s="50">
        <v>1</v>
      </c>
      <c r="L33" s="50">
        <v>1</v>
      </c>
      <c r="M33" s="50">
        <v>3</v>
      </c>
      <c r="N33" s="50">
        <v>0</v>
      </c>
      <c r="O33" s="15">
        <f t="shared" si="0"/>
        <v>12</v>
      </c>
      <c r="P33" s="15">
        <f t="shared" si="1"/>
        <v>15</v>
      </c>
      <c r="R33" s="33" t="s">
        <v>157</v>
      </c>
      <c r="S33" s="34">
        <f>SUM(C102:C105)</f>
        <v>9</v>
      </c>
      <c r="T33" s="34">
        <f t="shared" ref="T33:AF33" si="25">SUM(D102:D105)</f>
        <v>0</v>
      </c>
      <c r="U33" s="34">
        <f t="shared" si="25"/>
        <v>3</v>
      </c>
      <c r="V33" s="34">
        <f t="shared" si="25"/>
        <v>4</v>
      </c>
      <c r="W33" s="34">
        <f t="shared" si="25"/>
        <v>0</v>
      </c>
      <c r="X33" s="34">
        <f t="shared" si="25"/>
        <v>0</v>
      </c>
      <c r="Y33" s="34">
        <f t="shared" si="25"/>
        <v>3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5.5331198355023705</v>
      </c>
      <c r="AD33" s="34">
        <f t="shared" si="25"/>
        <v>0</v>
      </c>
      <c r="AE33" s="31">
        <f t="shared" si="25"/>
        <v>19</v>
      </c>
      <c r="AF33" s="31">
        <f t="shared" si="25"/>
        <v>24.533119835502369</v>
      </c>
    </row>
    <row r="34" spans="2:32" ht="23.1" customHeight="1" x14ac:dyDescent="0.25">
      <c r="B34" s="46" t="s">
        <v>61</v>
      </c>
      <c r="C34" s="50">
        <v>6</v>
      </c>
      <c r="D34" s="50">
        <v>0</v>
      </c>
      <c r="E34" s="50">
        <v>2</v>
      </c>
      <c r="F34" s="50">
        <v>0</v>
      </c>
      <c r="G34" s="50">
        <v>0</v>
      </c>
      <c r="H34" s="50">
        <v>1</v>
      </c>
      <c r="I34" s="50">
        <v>1</v>
      </c>
      <c r="J34" s="50">
        <v>0</v>
      </c>
      <c r="K34" s="50">
        <v>0</v>
      </c>
      <c r="L34" s="50">
        <v>1</v>
      </c>
      <c r="M34" s="50">
        <v>1</v>
      </c>
      <c r="N34" s="50">
        <v>0</v>
      </c>
      <c r="O34" s="15">
        <f t="shared" si="0"/>
        <v>11</v>
      </c>
      <c r="P34" s="15">
        <f t="shared" si="1"/>
        <v>12</v>
      </c>
      <c r="R34" s="38" t="s">
        <v>90</v>
      </c>
      <c r="S34" s="39">
        <f t="shared" ref="S34:AF34" si="26">MAX(S10:S12)</f>
        <v>20</v>
      </c>
      <c r="T34" s="39">
        <f t="shared" si="26"/>
        <v>0</v>
      </c>
      <c r="U34" s="39">
        <f t="shared" si="26"/>
        <v>15</v>
      </c>
      <c r="V34" s="39">
        <f t="shared" si="26"/>
        <v>9</v>
      </c>
      <c r="W34" s="39">
        <f t="shared" si="26"/>
        <v>0</v>
      </c>
      <c r="X34" s="39">
        <f t="shared" si="26"/>
        <v>3</v>
      </c>
      <c r="Y34" s="39">
        <f t="shared" si="26"/>
        <v>4</v>
      </c>
      <c r="Z34" s="39">
        <f t="shared" si="26"/>
        <v>0</v>
      </c>
      <c r="AA34" s="39">
        <f t="shared" si="26"/>
        <v>0</v>
      </c>
      <c r="AB34" s="39">
        <f t="shared" si="26"/>
        <v>1</v>
      </c>
      <c r="AC34" s="39">
        <f t="shared" si="26"/>
        <v>22</v>
      </c>
      <c r="AD34" s="39">
        <f t="shared" si="26"/>
        <v>0</v>
      </c>
      <c r="AE34" s="40">
        <f t="shared" si="26"/>
        <v>45</v>
      </c>
      <c r="AF34" s="40">
        <f t="shared" si="26"/>
        <v>57</v>
      </c>
    </row>
    <row r="35" spans="2:32" ht="23.1" customHeight="1" x14ac:dyDescent="0.25">
      <c r="B35" s="46" t="s">
        <v>62</v>
      </c>
      <c r="C35" s="50">
        <v>3</v>
      </c>
      <c r="D35" s="50">
        <v>0</v>
      </c>
      <c r="E35" s="50">
        <v>3</v>
      </c>
      <c r="F35" s="50">
        <v>1</v>
      </c>
      <c r="G35" s="50">
        <v>0</v>
      </c>
      <c r="H35" s="50">
        <v>0</v>
      </c>
      <c r="I35" s="50">
        <v>2</v>
      </c>
      <c r="J35" s="50">
        <v>0</v>
      </c>
      <c r="K35" s="50">
        <v>0</v>
      </c>
      <c r="L35" s="50">
        <v>1</v>
      </c>
      <c r="M35" s="50">
        <v>2</v>
      </c>
      <c r="N35" s="50">
        <v>0</v>
      </c>
      <c r="O35" s="15">
        <f t="shared" si="0"/>
        <v>10</v>
      </c>
      <c r="P35" s="15">
        <f t="shared" si="1"/>
        <v>12</v>
      </c>
      <c r="R35" s="38" t="s">
        <v>91</v>
      </c>
      <c r="S35" s="39">
        <f t="shared" ref="S35:AF35" si="27">MAX(S13:S18)</f>
        <v>21</v>
      </c>
      <c r="T35" s="39">
        <f t="shared" si="27"/>
        <v>0</v>
      </c>
      <c r="U35" s="39">
        <f t="shared" si="27"/>
        <v>12</v>
      </c>
      <c r="V35" s="39">
        <f t="shared" si="27"/>
        <v>11</v>
      </c>
      <c r="W35" s="39">
        <f t="shared" si="27"/>
        <v>0</v>
      </c>
      <c r="X35" s="39">
        <f t="shared" si="27"/>
        <v>1</v>
      </c>
      <c r="Y35" s="39">
        <f t="shared" si="27"/>
        <v>7</v>
      </c>
      <c r="Z35" s="39">
        <f t="shared" si="27"/>
        <v>0</v>
      </c>
      <c r="AA35" s="39">
        <f t="shared" si="27"/>
        <v>3</v>
      </c>
      <c r="AB35" s="39">
        <f t="shared" si="27"/>
        <v>5</v>
      </c>
      <c r="AC35" s="39">
        <f t="shared" si="27"/>
        <v>14</v>
      </c>
      <c r="AD35" s="39">
        <f t="shared" si="27"/>
        <v>0</v>
      </c>
      <c r="AE35" s="40">
        <f t="shared" si="27"/>
        <v>52</v>
      </c>
      <c r="AF35" s="40">
        <f t="shared" si="27"/>
        <v>62</v>
      </c>
    </row>
    <row r="36" spans="2:32" ht="23.1" customHeight="1" x14ac:dyDescent="0.25">
      <c r="B36" s="46" t="s">
        <v>63</v>
      </c>
      <c r="C36" s="50">
        <v>4</v>
      </c>
      <c r="D36" s="50">
        <v>0</v>
      </c>
      <c r="E36" s="50">
        <v>3</v>
      </c>
      <c r="F36" s="50">
        <v>3</v>
      </c>
      <c r="G36" s="50">
        <v>0</v>
      </c>
      <c r="H36" s="50">
        <v>0</v>
      </c>
      <c r="I36" s="50">
        <v>1</v>
      </c>
      <c r="J36" s="50">
        <v>0</v>
      </c>
      <c r="K36" s="50">
        <v>0</v>
      </c>
      <c r="L36" s="50">
        <v>1</v>
      </c>
      <c r="M36" s="50">
        <v>4</v>
      </c>
      <c r="N36" s="50">
        <v>0</v>
      </c>
      <c r="O36" s="15">
        <f t="shared" si="0"/>
        <v>12</v>
      </c>
      <c r="P36" s="15">
        <f t="shared" si="1"/>
        <v>16</v>
      </c>
      <c r="R36" s="38" t="s">
        <v>92</v>
      </c>
      <c r="S36" s="39">
        <f t="shared" ref="S36:AF36" si="28">MAX(S19:S21)</f>
        <v>25</v>
      </c>
      <c r="T36" s="39">
        <f t="shared" si="28"/>
        <v>0</v>
      </c>
      <c r="U36" s="39">
        <f t="shared" si="28"/>
        <v>17</v>
      </c>
      <c r="V36" s="39">
        <f t="shared" si="28"/>
        <v>13</v>
      </c>
      <c r="W36" s="39">
        <f t="shared" si="28"/>
        <v>1</v>
      </c>
      <c r="X36" s="39">
        <f t="shared" si="28"/>
        <v>1</v>
      </c>
      <c r="Y36" s="39">
        <f t="shared" si="28"/>
        <v>8</v>
      </c>
      <c r="Z36" s="39">
        <f t="shared" si="28"/>
        <v>0</v>
      </c>
      <c r="AA36" s="39">
        <f t="shared" si="28"/>
        <v>1</v>
      </c>
      <c r="AB36" s="39">
        <f t="shared" si="28"/>
        <v>8</v>
      </c>
      <c r="AC36" s="39">
        <f t="shared" si="28"/>
        <v>20</v>
      </c>
      <c r="AD36" s="39">
        <f t="shared" si="28"/>
        <v>0</v>
      </c>
      <c r="AE36" s="40">
        <f t="shared" si="28"/>
        <v>68</v>
      </c>
      <c r="AF36" s="40">
        <f t="shared" si="28"/>
        <v>79</v>
      </c>
    </row>
    <row r="37" spans="2:32" ht="23.1" customHeight="1" x14ac:dyDescent="0.25">
      <c r="B37" s="45" t="s">
        <v>64</v>
      </c>
      <c r="C37" s="50">
        <v>2</v>
      </c>
      <c r="D37" s="50">
        <v>0</v>
      </c>
      <c r="E37" s="50">
        <v>0</v>
      </c>
      <c r="F37" s="50">
        <v>2</v>
      </c>
      <c r="G37" s="50">
        <v>0</v>
      </c>
      <c r="H37" s="50">
        <v>0</v>
      </c>
      <c r="I37" s="50">
        <v>1</v>
      </c>
      <c r="J37" s="50">
        <v>0</v>
      </c>
      <c r="K37" s="50">
        <v>0</v>
      </c>
      <c r="L37" s="50">
        <v>1</v>
      </c>
      <c r="M37" s="50">
        <v>4</v>
      </c>
      <c r="N37" s="50">
        <v>0</v>
      </c>
      <c r="O37" s="15">
        <f t="shared" si="0"/>
        <v>6</v>
      </c>
      <c r="P37" s="15">
        <f t="shared" si="1"/>
        <v>10</v>
      </c>
      <c r="R37" s="37" t="s">
        <v>85</v>
      </c>
      <c r="S37" s="35">
        <f t="shared" ref="S37:AF37" si="29">SUM(S10:S12)</f>
        <v>55</v>
      </c>
      <c r="T37" s="16">
        <f t="shared" si="29"/>
        <v>0</v>
      </c>
      <c r="U37" s="16">
        <f t="shared" si="29"/>
        <v>22</v>
      </c>
      <c r="V37" s="16">
        <f t="shared" si="29"/>
        <v>19</v>
      </c>
      <c r="W37" s="16">
        <f t="shared" si="29"/>
        <v>0</v>
      </c>
      <c r="X37" s="16">
        <f t="shared" si="29"/>
        <v>6</v>
      </c>
      <c r="Y37" s="16">
        <f t="shared" si="29"/>
        <v>6</v>
      </c>
      <c r="Z37" s="16">
        <f t="shared" si="29"/>
        <v>0</v>
      </c>
      <c r="AA37" s="16">
        <f t="shared" si="29"/>
        <v>0</v>
      </c>
      <c r="AB37" s="16">
        <f t="shared" si="29"/>
        <v>1</v>
      </c>
      <c r="AC37" s="16">
        <f t="shared" si="29"/>
        <v>45</v>
      </c>
      <c r="AD37" s="16">
        <f t="shared" si="29"/>
        <v>0</v>
      </c>
      <c r="AE37" s="32">
        <f t="shared" si="29"/>
        <v>109</v>
      </c>
      <c r="AF37" s="32">
        <f t="shared" si="29"/>
        <v>154</v>
      </c>
    </row>
    <row r="38" spans="2:32" ht="23.1" customHeight="1" x14ac:dyDescent="0.25">
      <c r="B38" s="46" t="s">
        <v>65</v>
      </c>
      <c r="C38" s="50">
        <v>3</v>
      </c>
      <c r="D38" s="50">
        <v>0</v>
      </c>
      <c r="E38" s="50">
        <v>3</v>
      </c>
      <c r="F38" s="50">
        <v>2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1</v>
      </c>
      <c r="N38" s="50">
        <v>0</v>
      </c>
      <c r="O38" s="15">
        <f t="shared" si="0"/>
        <v>8</v>
      </c>
      <c r="P38" s="15">
        <f t="shared" si="1"/>
        <v>9</v>
      </c>
      <c r="R38" s="28" t="s">
        <v>86</v>
      </c>
      <c r="S38" s="16">
        <f t="shared" ref="S38:AF38" si="30">SUM(S13:S18)</f>
        <v>95</v>
      </c>
      <c r="T38" s="16">
        <f t="shared" si="30"/>
        <v>0</v>
      </c>
      <c r="U38" s="16">
        <f t="shared" si="30"/>
        <v>47</v>
      </c>
      <c r="V38" s="16">
        <f t="shared" si="30"/>
        <v>48</v>
      </c>
      <c r="W38" s="16">
        <f t="shared" si="30"/>
        <v>0</v>
      </c>
      <c r="X38" s="16">
        <f t="shared" si="30"/>
        <v>4</v>
      </c>
      <c r="Y38" s="16">
        <f t="shared" si="30"/>
        <v>31</v>
      </c>
      <c r="Z38" s="16">
        <f t="shared" si="30"/>
        <v>0</v>
      </c>
      <c r="AA38" s="16">
        <f t="shared" si="30"/>
        <v>4</v>
      </c>
      <c r="AB38" s="16">
        <f t="shared" si="30"/>
        <v>22</v>
      </c>
      <c r="AC38" s="16">
        <f t="shared" si="30"/>
        <v>60</v>
      </c>
      <c r="AD38" s="16">
        <f t="shared" si="30"/>
        <v>0</v>
      </c>
      <c r="AE38" s="32">
        <f t="shared" si="30"/>
        <v>251</v>
      </c>
      <c r="AF38" s="32">
        <f t="shared" si="30"/>
        <v>311</v>
      </c>
    </row>
    <row r="39" spans="2:32" ht="23.1" customHeight="1" x14ac:dyDescent="0.25">
      <c r="B39" s="46" t="s">
        <v>66</v>
      </c>
      <c r="C39" s="50">
        <v>2</v>
      </c>
      <c r="D39" s="50">
        <v>0</v>
      </c>
      <c r="E39" s="50">
        <v>2</v>
      </c>
      <c r="F39" s="50">
        <v>2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0</v>
      </c>
      <c r="M39" s="50">
        <v>4</v>
      </c>
      <c r="N39" s="50">
        <v>0</v>
      </c>
      <c r="O39" s="15">
        <f t="shared" si="0"/>
        <v>7</v>
      </c>
      <c r="P39" s="15">
        <f t="shared" si="1"/>
        <v>11</v>
      </c>
      <c r="R39" s="29" t="s">
        <v>87</v>
      </c>
      <c r="S39" s="16">
        <f t="shared" ref="S39:AF39" si="31">SUM(S19:S21)</f>
        <v>56</v>
      </c>
      <c r="T39" s="16">
        <f t="shared" si="31"/>
        <v>0</v>
      </c>
      <c r="U39" s="16">
        <f t="shared" si="31"/>
        <v>31</v>
      </c>
      <c r="V39" s="16">
        <f t="shared" si="31"/>
        <v>31</v>
      </c>
      <c r="W39" s="16">
        <f t="shared" si="31"/>
        <v>1</v>
      </c>
      <c r="X39" s="16">
        <f t="shared" si="31"/>
        <v>2</v>
      </c>
      <c r="Y39" s="16">
        <f t="shared" si="31"/>
        <v>17</v>
      </c>
      <c r="Z39" s="16">
        <f t="shared" si="31"/>
        <v>0</v>
      </c>
      <c r="AA39" s="16">
        <f t="shared" si="31"/>
        <v>1</v>
      </c>
      <c r="AB39" s="16">
        <f t="shared" si="31"/>
        <v>15</v>
      </c>
      <c r="AC39" s="16">
        <f t="shared" si="31"/>
        <v>37</v>
      </c>
      <c r="AD39" s="16">
        <f t="shared" si="31"/>
        <v>0</v>
      </c>
      <c r="AE39" s="32">
        <f t="shared" si="31"/>
        <v>154</v>
      </c>
      <c r="AF39" s="32">
        <f t="shared" si="31"/>
        <v>191</v>
      </c>
    </row>
    <row r="40" spans="2:32" ht="23.1" customHeight="1" x14ac:dyDescent="0.25">
      <c r="B40" s="46" t="s">
        <v>67</v>
      </c>
      <c r="C40" s="50">
        <v>6</v>
      </c>
      <c r="D40" s="50">
        <v>0</v>
      </c>
      <c r="E40" s="50">
        <v>4</v>
      </c>
      <c r="F40" s="50">
        <v>1</v>
      </c>
      <c r="G40" s="50">
        <v>0</v>
      </c>
      <c r="H40" s="50">
        <v>0</v>
      </c>
      <c r="I40" s="50">
        <v>2</v>
      </c>
      <c r="J40" s="50">
        <v>0</v>
      </c>
      <c r="K40" s="50">
        <v>0</v>
      </c>
      <c r="L40" s="50">
        <v>1</v>
      </c>
      <c r="M40" s="50">
        <v>0</v>
      </c>
      <c r="N40" s="50">
        <v>0</v>
      </c>
      <c r="O40" s="15">
        <f t="shared" si="0"/>
        <v>14</v>
      </c>
      <c r="P40" s="15">
        <f t="shared" si="1"/>
        <v>14</v>
      </c>
      <c r="R40" s="5" t="s">
        <v>17</v>
      </c>
      <c r="S40" s="16">
        <f t="shared" ref="S40:AF40" si="32">SUM(S10:S21)</f>
        <v>206</v>
      </c>
      <c r="T40" s="16">
        <f t="shared" si="32"/>
        <v>0</v>
      </c>
      <c r="U40" s="16">
        <f t="shared" si="32"/>
        <v>100</v>
      </c>
      <c r="V40" s="16">
        <f t="shared" si="32"/>
        <v>98</v>
      </c>
      <c r="W40" s="16">
        <f t="shared" si="32"/>
        <v>1</v>
      </c>
      <c r="X40" s="16">
        <f t="shared" si="32"/>
        <v>12</v>
      </c>
      <c r="Y40" s="16">
        <f t="shared" si="32"/>
        <v>54</v>
      </c>
      <c r="Z40" s="16">
        <f t="shared" si="32"/>
        <v>0</v>
      </c>
      <c r="AA40" s="16">
        <f t="shared" si="32"/>
        <v>5</v>
      </c>
      <c r="AB40" s="16">
        <f t="shared" si="32"/>
        <v>38</v>
      </c>
      <c r="AC40" s="16">
        <f t="shared" si="32"/>
        <v>142</v>
      </c>
      <c r="AD40" s="16">
        <f t="shared" si="32"/>
        <v>0</v>
      </c>
      <c r="AE40" s="32">
        <f t="shared" si="32"/>
        <v>514</v>
      </c>
      <c r="AF40" s="32">
        <f t="shared" si="32"/>
        <v>656</v>
      </c>
    </row>
    <row r="41" spans="2:32" ht="23.1" customHeight="1" x14ac:dyDescent="0.25">
      <c r="B41" s="45" t="s">
        <v>68</v>
      </c>
      <c r="C41" s="50">
        <v>5</v>
      </c>
      <c r="D41" s="50">
        <v>0</v>
      </c>
      <c r="E41" s="50">
        <v>1</v>
      </c>
      <c r="F41" s="50">
        <v>1</v>
      </c>
      <c r="G41" s="50">
        <v>0</v>
      </c>
      <c r="H41" s="50">
        <v>0</v>
      </c>
      <c r="I41" s="50">
        <v>4</v>
      </c>
      <c r="J41" s="50">
        <v>0</v>
      </c>
      <c r="K41" s="50">
        <v>0</v>
      </c>
      <c r="L41" s="50">
        <v>0</v>
      </c>
      <c r="M41" s="50">
        <v>3</v>
      </c>
      <c r="N41" s="50">
        <v>0</v>
      </c>
      <c r="O41" s="15">
        <f t="shared" si="0"/>
        <v>11</v>
      </c>
      <c r="P41" s="15">
        <f t="shared" si="1"/>
        <v>14</v>
      </c>
      <c r="R41" s="5" t="s">
        <v>159</v>
      </c>
      <c r="S41" s="16">
        <f>SUM(S10:S33)</f>
        <v>258</v>
      </c>
      <c r="T41" s="16">
        <f t="shared" ref="T41:AF41" si="33">SUM(T10:T33)</f>
        <v>0</v>
      </c>
      <c r="U41" s="16">
        <f t="shared" si="33"/>
        <v>115</v>
      </c>
      <c r="V41" s="16">
        <f t="shared" si="33"/>
        <v>106</v>
      </c>
      <c r="W41" s="16">
        <f t="shared" si="33"/>
        <v>1</v>
      </c>
      <c r="X41" s="16">
        <f t="shared" si="33"/>
        <v>18</v>
      </c>
      <c r="Y41" s="16">
        <f t="shared" si="33"/>
        <v>82</v>
      </c>
      <c r="Z41" s="16">
        <f t="shared" si="33"/>
        <v>2</v>
      </c>
      <c r="AA41" s="16">
        <f t="shared" si="33"/>
        <v>5</v>
      </c>
      <c r="AB41" s="16">
        <f t="shared" si="33"/>
        <v>49</v>
      </c>
      <c r="AC41" s="16">
        <f t="shared" si="33"/>
        <v>164.53311983550236</v>
      </c>
      <c r="AD41" s="16">
        <f t="shared" si="33"/>
        <v>0</v>
      </c>
      <c r="AE41" s="32">
        <f t="shared" si="33"/>
        <v>636</v>
      </c>
      <c r="AF41" s="32">
        <f t="shared" si="33"/>
        <v>800.53311983550236</v>
      </c>
    </row>
    <row r="42" spans="2:32" ht="23.1" customHeight="1" x14ac:dyDescent="0.25">
      <c r="B42" s="46" t="s">
        <v>69</v>
      </c>
      <c r="C42" s="50">
        <v>4</v>
      </c>
      <c r="D42" s="50">
        <v>0</v>
      </c>
      <c r="E42" s="50">
        <v>2</v>
      </c>
      <c r="F42" s="50">
        <v>3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2</v>
      </c>
      <c r="N42" s="50">
        <v>0</v>
      </c>
      <c r="O42" s="15">
        <f t="shared" si="0"/>
        <v>9</v>
      </c>
      <c r="P42" s="15">
        <f t="shared" si="1"/>
        <v>11</v>
      </c>
      <c r="R42" s="5" t="s">
        <v>160</v>
      </c>
      <c r="S42" s="48">
        <f>S41/S40</f>
        <v>1.2524271844660195</v>
      </c>
      <c r="T42" s="48" t="e">
        <f t="shared" ref="T42:AF42" si="34">T41/T40</f>
        <v>#DIV/0!</v>
      </c>
      <c r="U42" s="48">
        <f t="shared" si="34"/>
        <v>1.1499999999999999</v>
      </c>
      <c r="V42" s="48">
        <f t="shared" si="34"/>
        <v>1.0816326530612246</v>
      </c>
      <c r="W42" s="48">
        <f t="shared" si="34"/>
        <v>1</v>
      </c>
      <c r="X42" s="48">
        <f t="shared" si="34"/>
        <v>1.5</v>
      </c>
      <c r="Y42" s="48">
        <f t="shared" si="34"/>
        <v>1.5185185185185186</v>
      </c>
      <c r="Z42" s="48" t="e">
        <f t="shared" si="34"/>
        <v>#DIV/0!</v>
      </c>
      <c r="AA42" s="48">
        <f t="shared" si="34"/>
        <v>1</v>
      </c>
      <c r="AB42" s="48">
        <f t="shared" si="34"/>
        <v>1.2894736842105263</v>
      </c>
      <c r="AC42" s="48">
        <f t="shared" si="34"/>
        <v>1.1586839425035378</v>
      </c>
      <c r="AD42" s="48" t="e">
        <f t="shared" si="34"/>
        <v>#DIV/0!</v>
      </c>
      <c r="AE42" s="48">
        <f t="shared" si="34"/>
        <v>1.2373540856031129</v>
      </c>
      <c r="AF42" s="48">
        <f t="shared" si="34"/>
        <v>1.2203248777980218</v>
      </c>
    </row>
    <row r="43" spans="2:32" ht="23.1" customHeight="1" x14ac:dyDescent="0.25">
      <c r="B43" s="45" t="s">
        <v>70</v>
      </c>
      <c r="C43" s="50">
        <v>5</v>
      </c>
      <c r="D43" s="50">
        <v>0</v>
      </c>
      <c r="E43" s="50">
        <v>3</v>
      </c>
      <c r="F43" s="50">
        <v>0</v>
      </c>
      <c r="G43" s="50">
        <v>0</v>
      </c>
      <c r="H43" s="50">
        <v>1</v>
      </c>
      <c r="I43" s="50">
        <v>4</v>
      </c>
      <c r="J43" s="50">
        <v>0</v>
      </c>
      <c r="K43" s="50">
        <v>0</v>
      </c>
      <c r="L43" s="50">
        <v>4</v>
      </c>
      <c r="M43" s="50">
        <v>4</v>
      </c>
      <c r="N43" s="50">
        <v>0</v>
      </c>
      <c r="O43" s="15">
        <f t="shared" si="0"/>
        <v>17</v>
      </c>
      <c r="P43" s="15">
        <f t="shared" si="1"/>
        <v>21</v>
      </c>
    </row>
    <row r="44" spans="2:32" ht="23.1" customHeight="1" x14ac:dyDescent="0.25">
      <c r="B44" s="47" t="s">
        <v>71</v>
      </c>
      <c r="C44" s="50">
        <v>5</v>
      </c>
      <c r="D44" s="50">
        <v>0</v>
      </c>
      <c r="E44" s="50">
        <v>3</v>
      </c>
      <c r="F44" s="50">
        <v>1</v>
      </c>
      <c r="G44" s="50">
        <v>0</v>
      </c>
      <c r="H44" s="50">
        <v>0</v>
      </c>
      <c r="I44" s="50">
        <v>1</v>
      </c>
      <c r="J44" s="50">
        <v>0</v>
      </c>
      <c r="K44" s="50">
        <v>0</v>
      </c>
      <c r="L44" s="50">
        <v>0</v>
      </c>
      <c r="M44" s="50">
        <v>1</v>
      </c>
      <c r="N44" s="50">
        <v>0</v>
      </c>
      <c r="O44" s="15">
        <f t="shared" si="0"/>
        <v>10</v>
      </c>
      <c r="P44" s="15">
        <f t="shared" si="1"/>
        <v>11</v>
      </c>
    </row>
    <row r="45" spans="2:32" ht="23.1" customHeight="1" x14ac:dyDescent="0.25">
      <c r="B45" s="45" t="s">
        <v>72</v>
      </c>
      <c r="C45" s="50">
        <v>4</v>
      </c>
      <c r="D45" s="50">
        <v>0</v>
      </c>
      <c r="E45" s="50">
        <v>4</v>
      </c>
      <c r="F45" s="50">
        <v>5</v>
      </c>
      <c r="G45" s="50">
        <v>0</v>
      </c>
      <c r="H45" s="50">
        <v>0</v>
      </c>
      <c r="I45" s="50">
        <v>2</v>
      </c>
      <c r="J45" s="50">
        <v>0</v>
      </c>
      <c r="K45" s="50">
        <v>0</v>
      </c>
      <c r="L45" s="50">
        <v>1</v>
      </c>
      <c r="M45" s="50">
        <v>2</v>
      </c>
      <c r="N45" s="50">
        <v>0</v>
      </c>
      <c r="O45" s="15">
        <f t="shared" si="0"/>
        <v>16</v>
      </c>
      <c r="P45" s="15">
        <f t="shared" si="1"/>
        <v>18</v>
      </c>
    </row>
    <row r="46" spans="2:32" ht="23.1" customHeight="1" x14ac:dyDescent="0.25">
      <c r="B46" s="46" t="s">
        <v>73</v>
      </c>
      <c r="C46" s="50">
        <v>5</v>
      </c>
      <c r="D46" s="50">
        <v>0</v>
      </c>
      <c r="E46" s="50">
        <v>3</v>
      </c>
      <c r="F46" s="50">
        <v>3</v>
      </c>
      <c r="G46" s="50">
        <v>0</v>
      </c>
      <c r="H46" s="50">
        <v>0</v>
      </c>
      <c r="I46" s="50">
        <v>3</v>
      </c>
      <c r="J46" s="50">
        <v>0</v>
      </c>
      <c r="K46" s="50">
        <v>0</v>
      </c>
      <c r="L46" s="50">
        <v>2</v>
      </c>
      <c r="M46" s="50">
        <v>2</v>
      </c>
      <c r="N46" s="50">
        <v>0</v>
      </c>
      <c r="O46" s="15">
        <f t="shared" si="0"/>
        <v>16</v>
      </c>
      <c r="P46" s="15">
        <f t="shared" si="1"/>
        <v>18</v>
      </c>
      <c r="R46" s="8"/>
      <c r="T46"/>
    </row>
    <row r="47" spans="2:32" ht="23.1" customHeight="1" x14ac:dyDescent="0.25">
      <c r="B47" s="46" t="s">
        <v>74</v>
      </c>
      <c r="C47" s="50">
        <v>8</v>
      </c>
      <c r="D47" s="50">
        <v>0</v>
      </c>
      <c r="E47" s="50">
        <v>2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4</v>
      </c>
      <c r="N47" s="50">
        <v>0</v>
      </c>
      <c r="O47" s="15">
        <f t="shared" si="0"/>
        <v>10</v>
      </c>
      <c r="P47" s="15">
        <f t="shared" si="1"/>
        <v>14</v>
      </c>
      <c r="R47" s="8"/>
      <c r="T47"/>
    </row>
    <row r="48" spans="2:32" ht="23.1" customHeight="1" x14ac:dyDescent="0.25">
      <c r="B48" s="46" t="s">
        <v>75</v>
      </c>
      <c r="C48" s="50">
        <v>3</v>
      </c>
      <c r="D48" s="50">
        <v>0</v>
      </c>
      <c r="E48" s="50">
        <v>1</v>
      </c>
      <c r="F48" s="50">
        <v>4</v>
      </c>
      <c r="G48" s="50">
        <v>1</v>
      </c>
      <c r="H48" s="50">
        <v>1</v>
      </c>
      <c r="I48" s="50">
        <v>3</v>
      </c>
      <c r="J48" s="50">
        <v>0</v>
      </c>
      <c r="K48" s="50">
        <v>0</v>
      </c>
      <c r="L48" s="50">
        <v>2</v>
      </c>
      <c r="M48" s="50">
        <v>6</v>
      </c>
      <c r="N48" s="50">
        <v>0</v>
      </c>
      <c r="O48" s="15">
        <f t="shared" si="0"/>
        <v>15</v>
      </c>
      <c r="P48" s="15">
        <f t="shared" si="1"/>
        <v>21</v>
      </c>
      <c r="R48" s="8"/>
      <c r="T48"/>
    </row>
    <row r="49" spans="2:20" ht="23.1" customHeight="1" x14ac:dyDescent="0.25">
      <c r="B49" s="45" t="s">
        <v>76</v>
      </c>
      <c r="C49" s="50">
        <v>6</v>
      </c>
      <c r="D49" s="50">
        <v>0</v>
      </c>
      <c r="E49" s="50">
        <v>2</v>
      </c>
      <c r="F49" s="50">
        <v>3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8</v>
      </c>
      <c r="N49" s="50">
        <v>0</v>
      </c>
      <c r="O49" s="15">
        <f t="shared" si="0"/>
        <v>11</v>
      </c>
      <c r="P49" s="15">
        <f t="shared" si="1"/>
        <v>19</v>
      </c>
      <c r="R49" s="8"/>
      <c r="T49"/>
    </row>
    <row r="50" spans="2:20" ht="23.1" customHeight="1" x14ac:dyDescent="0.25">
      <c r="B50" s="46" t="s">
        <v>77</v>
      </c>
      <c r="C50" s="50">
        <v>5</v>
      </c>
      <c r="D50" s="50">
        <v>0</v>
      </c>
      <c r="E50" s="50">
        <v>6</v>
      </c>
      <c r="F50" s="50">
        <v>3</v>
      </c>
      <c r="G50" s="50">
        <v>0</v>
      </c>
      <c r="H50" s="50">
        <v>1</v>
      </c>
      <c r="I50" s="50">
        <v>0</v>
      </c>
      <c r="J50" s="50">
        <v>0</v>
      </c>
      <c r="K50" s="50">
        <v>0</v>
      </c>
      <c r="L50" s="50">
        <v>1</v>
      </c>
      <c r="M50" s="50">
        <v>5</v>
      </c>
      <c r="N50" s="50">
        <v>0</v>
      </c>
      <c r="O50" s="15">
        <f t="shared" si="0"/>
        <v>16</v>
      </c>
      <c r="P50" s="15">
        <f t="shared" si="1"/>
        <v>21</v>
      </c>
      <c r="R50" s="8"/>
      <c r="T50"/>
    </row>
    <row r="51" spans="2:20" ht="23.1" customHeight="1" x14ac:dyDescent="0.25">
      <c r="B51" s="46" t="s">
        <v>78</v>
      </c>
      <c r="C51" s="50">
        <v>7</v>
      </c>
      <c r="D51" s="50">
        <v>0</v>
      </c>
      <c r="E51" s="50">
        <v>6</v>
      </c>
      <c r="F51" s="50">
        <v>2</v>
      </c>
      <c r="G51" s="50">
        <v>0</v>
      </c>
      <c r="H51" s="50">
        <v>0</v>
      </c>
      <c r="I51" s="50">
        <v>2</v>
      </c>
      <c r="J51" s="50">
        <v>0</v>
      </c>
      <c r="K51" s="50">
        <v>0</v>
      </c>
      <c r="L51" s="50">
        <v>0</v>
      </c>
      <c r="M51" s="50">
        <v>5</v>
      </c>
      <c r="N51" s="50">
        <v>0</v>
      </c>
      <c r="O51" s="15">
        <f t="shared" si="0"/>
        <v>17</v>
      </c>
      <c r="P51" s="15">
        <f t="shared" si="1"/>
        <v>22</v>
      </c>
      <c r="R51" s="8"/>
      <c r="T51"/>
    </row>
    <row r="52" spans="2:20" ht="23.1" customHeight="1" x14ac:dyDescent="0.25">
      <c r="B52" s="46" t="s">
        <v>79</v>
      </c>
      <c r="C52" s="50">
        <v>8</v>
      </c>
      <c r="D52" s="50">
        <v>0</v>
      </c>
      <c r="E52" s="50">
        <v>3</v>
      </c>
      <c r="F52" s="50">
        <v>4</v>
      </c>
      <c r="G52" s="50">
        <v>0</v>
      </c>
      <c r="H52" s="50">
        <v>0</v>
      </c>
      <c r="I52" s="50">
        <v>6</v>
      </c>
      <c r="J52" s="50">
        <v>0</v>
      </c>
      <c r="K52" s="50">
        <v>0</v>
      </c>
      <c r="L52" s="50">
        <v>1</v>
      </c>
      <c r="M52" s="50">
        <v>0</v>
      </c>
      <c r="N52" s="50">
        <v>0</v>
      </c>
      <c r="O52" s="15">
        <f t="shared" si="0"/>
        <v>22</v>
      </c>
      <c r="P52" s="15">
        <f t="shared" si="1"/>
        <v>22</v>
      </c>
      <c r="R52" s="8"/>
      <c r="T52"/>
    </row>
    <row r="53" spans="2:20" ht="23.1" customHeight="1" x14ac:dyDescent="0.25">
      <c r="B53" s="45" t="s">
        <v>80</v>
      </c>
      <c r="C53" s="50">
        <v>5</v>
      </c>
      <c r="D53" s="50">
        <v>0</v>
      </c>
      <c r="E53" s="50">
        <v>2</v>
      </c>
      <c r="F53" s="50">
        <v>4</v>
      </c>
      <c r="G53" s="50">
        <v>0</v>
      </c>
      <c r="H53" s="50">
        <v>0</v>
      </c>
      <c r="I53" s="50">
        <v>0</v>
      </c>
      <c r="J53" s="50">
        <v>0</v>
      </c>
      <c r="K53" s="50">
        <v>1</v>
      </c>
      <c r="L53" s="50">
        <v>1</v>
      </c>
      <c r="M53" s="50">
        <v>1</v>
      </c>
      <c r="N53" s="50">
        <v>0</v>
      </c>
      <c r="O53" s="15">
        <f t="shared" si="0"/>
        <v>13</v>
      </c>
      <c r="P53" s="15">
        <f t="shared" si="1"/>
        <v>14</v>
      </c>
      <c r="R53" s="8"/>
      <c r="T53"/>
    </row>
    <row r="54" spans="2:20" ht="23.1" customHeight="1" x14ac:dyDescent="0.25">
      <c r="B54" s="45" t="s">
        <v>81</v>
      </c>
      <c r="C54" s="50">
        <v>2</v>
      </c>
      <c r="D54" s="50">
        <v>0</v>
      </c>
      <c r="E54" s="50">
        <v>3</v>
      </c>
      <c r="F54" s="50">
        <v>2</v>
      </c>
      <c r="G54" s="50">
        <v>0</v>
      </c>
      <c r="H54" s="50">
        <v>0</v>
      </c>
      <c r="I54" s="50">
        <v>3</v>
      </c>
      <c r="J54" s="50">
        <v>0</v>
      </c>
      <c r="K54" s="50">
        <v>0</v>
      </c>
      <c r="L54" s="50">
        <v>3</v>
      </c>
      <c r="M54" s="50">
        <v>3</v>
      </c>
      <c r="N54" s="50">
        <v>0</v>
      </c>
      <c r="O54" s="15">
        <f t="shared" si="0"/>
        <v>13</v>
      </c>
      <c r="P54" s="15">
        <f t="shared" si="1"/>
        <v>16</v>
      </c>
      <c r="R54" s="8"/>
      <c r="T54"/>
    </row>
    <row r="55" spans="2:20" ht="23.1" customHeight="1" x14ac:dyDescent="0.25">
      <c r="B55" s="45" t="s">
        <v>82</v>
      </c>
      <c r="C55" s="50">
        <v>1</v>
      </c>
      <c r="D55" s="50">
        <v>0</v>
      </c>
      <c r="E55" s="50">
        <v>2</v>
      </c>
      <c r="F55" s="50">
        <v>5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2</v>
      </c>
      <c r="M55" s="50">
        <v>0</v>
      </c>
      <c r="N55" s="50">
        <v>0</v>
      </c>
      <c r="O55" s="15">
        <f t="shared" si="0"/>
        <v>10</v>
      </c>
      <c r="P55" s="15">
        <f t="shared" si="1"/>
        <v>10</v>
      </c>
      <c r="R55" s="8"/>
      <c r="T55"/>
    </row>
    <row r="56" spans="2:20" ht="23.1" customHeight="1" x14ac:dyDescent="0.25">
      <c r="B56" s="45" t="s">
        <v>83</v>
      </c>
      <c r="C56" s="50">
        <v>4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3</v>
      </c>
      <c r="N56" s="50">
        <v>0</v>
      </c>
      <c r="O56" s="15">
        <f t="shared" si="0"/>
        <v>4</v>
      </c>
      <c r="P56" s="15">
        <f t="shared" si="1"/>
        <v>7</v>
      </c>
      <c r="R56" s="8"/>
      <c r="T56"/>
    </row>
    <row r="57" spans="2:20" ht="23.1" customHeight="1" x14ac:dyDescent="0.25">
      <c r="B57" s="45" t="s">
        <v>84</v>
      </c>
      <c r="C57" s="50">
        <v>2</v>
      </c>
      <c r="D57" s="50">
        <v>0</v>
      </c>
      <c r="E57" s="50">
        <v>1</v>
      </c>
      <c r="F57" s="50">
        <v>1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3</v>
      </c>
      <c r="M57" s="50">
        <v>0</v>
      </c>
      <c r="N57" s="50">
        <v>0</v>
      </c>
      <c r="O57" s="15">
        <f t="shared" si="0"/>
        <v>7</v>
      </c>
      <c r="P57" s="15">
        <f t="shared" si="1"/>
        <v>7</v>
      </c>
      <c r="R57" s="8"/>
      <c r="T57"/>
    </row>
    <row r="58" spans="2:20" ht="23.1" customHeight="1" x14ac:dyDescent="0.25">
      <c r="B58" s="45" t="s">
        <v>99</v>
      </c>
      <c r="C58" s="50">
        <v>3</v>
      </c>
      <c r="D58" s="50">
        <v>0</v>
      </c>
      <c r="E58" s="50">
        <v>6</v>
      </c>
      <c r="F58" s="50">
        <v>3</v>
      </c>
      <c r="G58" s="50">
        <v>0</v>
      </c>
      <c r="H58" s="50">
        <v>2</v>
      </c>
      <c r="I58" s="50">
        <v>2</v>
      </c>
      <c r="J58" s="50">
        <v>1</v>
      </c>
      <c r="K58" s="50">
        <v>0</v>
      </c>
      <c r="L58" s="50">
        <v>4</v>
      </c>
      <c r="M58" s="50">
        <v>2</v>
      </c>
      <c r="N58" s="50">
        <v>0</v>
      </c>
      <c r="O58" s="15">
        <f t="shared" ref="O58:O105" si="35">SUM(C58:L58,N58)</f>
        <v>21</v>
      </c>
      <c r="P58" s="15">
        <f t="shared" ref="P58:P105" si="36">SUM(C58:N58)</f>
        <v>23</v>
      </c>
      <c r="R58" s="8"/>
      <c r="T58"/>
    </row>
    <row r="59" spans="2:20" ht="23.1" customHeight="1" x14ac:dyDescent="0.25">
      <c r="B59" s="45" t="s">
        <v>100</v>
      </c>
      <c r="C59" s="50">
        <v>4</v>
      </c>
      <c r="D59" s="50">
        <v>0</v>
      </c>
      <c r="E59" s="50">
        <v>1</v>
      </c>
      <c r="F59" s="50">
        <v>0</v>
      </c>
      <c r="G59" s="50">
        <v>0</v>
      </c>
      <c r="H59" s="50">
        <v>0</v>
      </c>
      <c r="I59" s="50">
        <v>1</v>
      </c>
      <c r="J59" s="50">
        <v>0</v>
      </c>
      <c r="K59" s="50">
        <v>0</v>
      </c>
      <c r="L59" s="50">
        <v>1</v>
      </c>
      <c r="M59" s="50">
        <v>5</v>
      </c>
      <c r="N59" s="50">
        <v>0</v>
      </c>
      <c r="O59" s="15">
        <f t="shared" si="35"/>
        <v>7</v>
      </c>
      <c r="P59" s="15">
        <f t="shared" si="36"/>
        <v>12</v>
      </c>
      <c r="R59" s="8"/>
      <c r="T59"/>
    </row>
    <row r="60" spans="2:20" ht="23.1" customHeight="1" x14ac:dyDescent="0.25">
      <c r="B60" s="45" t="s">
        <v>101</v>
      </c>
      <c r="C60" s="50">
        <v>8</v>
      </c>
      <c r="D60" s="50">
        <v>0</v>
      </c>
      <c r="E60" s="50">
        <v>0</v>
      </c>
      <c r="F60" s="50">
        <v>1</v>
      </c>
      <c r="G60" s="50">
        <v>0</v>
      </c>
      <c r="H60" s="50">
        <v>0</v>
      </c>
      <c r="I60" s="50">
        <v>0</v>
      </c>
      <c r="J60" s="50">
        <v>1</v>
      </c>
      <c r="K60" s="50">
        <v>0</v>
      </c>
      <c r="L60" s="50">
        <v>0</v>
      </c>
      <c r="M60" s="50">
        <v>1</v>
      </c>
      <c r="N60" s="50">
        <v>0</v>
      </c>
      <c r="O60" s="15">
        <f t="shared" si="35"/>
        <v>10</v>
      </c>
      <c r="P60" s="15">
        <f t="shared" si="36"/>
        <v>11</v>
      </c>
      <c r="R60" s="8"/>
      <c r="T60"/>
    </row>
    <row r="61" spans="2:20" ht="23.1" customHeight="1" x14ac:dyDescent="0.25">
      <c r="B61" s="45" t="s">
        <v>102</v>
      </c>
      <c r="C61" s="50">
        <v>7</v>
      </c>
      <c r="D61" s="50">
        <v>0</v>
      </c>
      <c r="E61" s="50">
        <v>0</v>
      </c>
      <c r="F61" s="50">
        <v>0</v>
      </c>
      <c r="G61" s="50">
        <v>0</v>
      </c>
      <c r="H61" s="50">
        <v>0</v>
      </c>
      <c r="I61" s="50">
        <v>2</v>
      </c>
      <c r="J61" s="50">
        <v>0</v>
      </c>
      <c r="K61" s="50">
        <v>0</v>
      </c>
      <c r="L61" s="50">
        <v>1</v>
      </c>
      <c r="M61" s="50">
        <v>2</v>
      </c>
      <c r="N61" s="50">
        <v>0</v>
      </c>
      <c r="O61" s="15">
        <f t="shared" si="35"/>
        <v>10</v>
      </c>
      <c r="P61" s="15">
        <f t="shared" si="36"/>
        <v>12</v>
      </c>
      <c r="R61" s="8"/>
      <c r="T61"/>
    </row>
    <row r="62" spans="2:20" ht="23.1" customHeight="1" x14ac:dyDescent="0.25">
      <c r="B62" s="45" t="s">
        <v>107</v>
      </c>
      <c r="C62" s="50">
        <v>4</v>
      </c>
      <c r="D62" s="50">
        <v>0</v>
      </c>
      <c r="E62" s="50">
        <v>1</v>
      </c>
      <c r="F62" s="50">
        <v>0</v>
      </c>
      <c r="G62" s="50">
        <v>0</v>
      </c>
      <c r="H62" s="50">
        <v>0</v>
      </c>
      <c r="I62" s="50">
        <v>1</v>
      </c>
      <c r="J62" s="50">
        <v>0</v>
      </c>
      <c r="K62" s="50">
        <v>0</v>
      </c>
      <c r="L62" s="50">
        <v>2</v>
      </c>
      <c r="M62" s="50">
        <v>2</v>
      </c>
      <c r="N62" s="50">
        <v>0</v>
      </c>
      <c r="O62" s="15">
        <f t="shared" si="35"/>
        <v>8</v>
      </c>
      <c r="P62" s="15">
        <f t="shared" si="36"/>
        <v>10</v>
      </c>
      <c r="R62" s="8"/>
      <c r="T62"/>
    </row>
    <row r="63" spans="2:20" ht="23.1" customHeight="1" x14ac:dyDescent="0.25">
      <c r="B63" s="45" t="s">
        <v>108</v>
      </c>
      <c r="C63" s="50">
        <v>3</v>
      </c>
      <c r="D63" s="50">
        <v>0</v>
      </c>
      <c r="E63" s="50">
        <v>0</v>
      </c>
      <c r="F63" s="50">
        <v>0</v>
      </c>
      <c r="G63" s="50">
        <v>0</v>
      </c>
      <c r="H63" s="50">
        <v>0</v>
      </c>
      <c r="I63" s="50">
        <v>1</v>
      </c>
      <c r="J63" s="50">
        <v>0</v>
      </c>
      <c r="K63" s="50">
        <v>0</v>
      </c>
      <c r="L63" s="50">
        <v>1</v>
      </c>
      <c r="M63" s="50">
        <v>2</v>
      </c>
      <c r="N63" s="50">
        <v>0</v>
      </c>
      <c r="O63" s="15">
        <f t="shared" si="35"/>
        <v>5</v>
      </c>
      <c r="P63" s="15">
        <f t="shared" si="36"/>
        <v>7</v>
      </c>
      <c r="R63" s="8"/>
      <c r="T63"/>
    </row>
    <row r="64" spans="2:20" ht="23.1" customHeight="1" x14ac:dyDescent="0.25">
      <c r="B64" s="45" t="s">
        <v>109</v>
      </c>
      <c r="C64" s="50">
        <v>1</v>
      </c>
      <c r="D64" s="50">
        <v>0</v>
      </c>
      <c r="E64" s="50">
        <v>0</v>
      </c>
      <c r="F64" s="50">
        <v>0</v>
      </c>
      <c r="G64" s="50">
        <v>0</v>
      </c>
      <c r="H64" s="50">
        <v>0</v>
      </c>
      <c r="I64" s="50">
        <v>3</v>
      </c>
      <c r="J64" s="50">
        <v>0</v>
      </c>
      <c r="K64" s="50">
        <v>0</v>
      </c>
      <c r="L64" s="50">
        <v>0</v>
      </c>
      <c r="M64" s="50">
        <v>0</v>
      </c>
      <c r="N64" s="50">
        <v>0</v>
      </c>
      <c r="O64" s="15">
        <f t="shared" si="35"/>
        <v>4</v>
      </c>
      <c r="P64" s="15">
        <f t="shared" si="36"/>
        <v>4</v>
      </c>
      <c r="R64" s="8"/>
      <c r="T64"/>
    </row>
    <row r="65" spans="2:20" ht="23.1" customHeight="1" x14ac:dyDescent="0.25">
      <c r="B65" s="45" t="s">
        <v>158</v>
      </c>
      <c r="C65" s="50">
        <v>3</v>
      </c>
      <c r="D65" s="50">
        <v>0</v>
      </c>
      <c r="E65" s="50">
        <v>0</v>
      </c>
      <c r="F65" s="50">
        <v>0</v>
      </c>
      <c r="G65" s="50">
        <v>0</v>
      </c>
      <c r="H65" s="50">
        <v>0</v>
      </c>
      <c r="I65" s="50">
        <v>0</v>
      </c>
      <c r="J65" s="50">
        <v>0</v>
      </c>
      <c r="K65" s="50">
        <v>0</v>
      </c>
      <c r="L65" s="50">
        <v>0</v>
      </c>
      <c r="M65" s="50">
        <v>1</v>
      </c>
      <c r="N65" s="50">
        <v>0</v>
      </c>
      <c r="O65" s="15">
        <f t="shared" si="35"/>
        <v>3</v>
      </c>
      <c r="P65" s="15">
        <f t="shared" si="36"/>
        <v>4</v>
      </c>
      <c r="R65" s="8"/>
      <c r="T65"/>
    </row>
    <row r="66" spans="2:20" ht="23.1" customHeight="1" x14ac:dyDescent="0.25">
      <c r="B66" s="45" t="s">
        <v>103</v>
      </c>
      <c r="C66" s="50">
        <v>1</v>
      </c>
      <c r="D66" s="50">
        <v>0</v>
      </c>
      <c r="E66" s="50">
        <v>0</v>
      </c>
      <c r="F66" s="50">
        <v>0</v>
      </c>
      <c r="G66" s="50">
        <v>0</v>
      </c>
      <c r="H66" s="50">
        <v>2</v>
      </c>
      <c r="I66" s="50">
        <v>3</v>
      </c>
      <c r="J66" s="50">
        <v>0</v>
      </c>
      <c r="K66" s="50">
        <v>0</v>
      </c>
      <c r="L66" s="50">
        <v>0</v>
      </c>
      <c r="M66" s="50">
        <v>0</v>
      </c>
      <c r="N66" s="50">
        <v>0</v>
      </c>
      <c r="O66" s="15">
        <f t="shared" si="35"/>
        <v>6</v>
      </c>
      <c r="P66" s="15">
        <f t="shared" si="36"/>
        <v>6</v>
      </c>
      <c r="R66" s="8"/>
      <c r="T66"/>
    </row>
    <row r="67" spans="2:20" ht="23.1" customHeight="1" x14ac:dyDescent="0.25">
      <c r="B67" s="45" t="s">
        <v>104</v>
      </c>
      <c r="C67" s="50">
        <v>1</v>
      </c>
      <c r="D67" s="50">
        <v>0</v>
      </c>
      <c r="E67" s="50">
        <v>0</v>
      </c>
      <c r="F67" s="50">
        <v>0</v>
      </c>
      <c r="G67" s="50">
        <v>0</v>
      </c>
      <c r="H67" s="50">
        <v>1</v>
      </c>
      <c r="I67" s="50">
        <v>1</v>
      </c>
      <c r="J67" s="50">
        <v>0</v>
      </c>
      <c r="K67" s="50">
        <v>0</v>
      </c>
      <c r="L67" s="50">
        <v>0</v>
      </c>
      <c r="M67" s="50">
        <v>0</v>
      </c>
      <c r="N67" s="50">
        <v>0</v>
      </c>
      <c r="O67" s="15">
        <f t="shared" si="35"/>
        <v>3</v>
      </c>
      <c r="P67" s="15">
        <f t="shared" si="36"/>
        <v>3</v>
      </c>
      <c r="R67" s="8"/>
      <c r="T67"/>
    </row>
    <row r="68" spans="2:20" ht="23.1" customHeight="1" x14ac:dyDescent="0.25">
      <c r="B68" s="45" t="s">
        <v>105</v>
      </c>
      <c r="C68" s="50">
        <v>3</v>
      </c>
      <c r="D68" s="50">
        <v>0</v>
      </c>
      <c r="E68" s="50">
        <v>1</v>
      </c>
      <c r="F68" s="50">
        <v>0</v>
      </c>
      <c r="G68" s="50">
        <v>0</v>
      </c>
      <c r="H68" s="50">
        <v>0</v>
      </c>
      <c r="I68" s="50">
        <v>2</v>
      </c>
      <c r="J68" s="50">
        <v>0</v>
      </c>
      <c r="K68" s="50">
        <v>0</v>
      </c>
      <c r="L68" s="50">
        <v>0</v>
      </c>
      <c r="M68" s="50">
        <v>0</v>
      </c>
      <c r="N68" s="50">
        <v>0</v>
      </c>
      <c r="O68" s="15">
        <f t="shared" si="35"/>
        <v>6</v>
      </c>
      <c r="P68" s="15">
        <f t="shared" si="36"/>
        <v>6</v>
      </c>
      <c r="R68" s="8"/>
      <c r="T68"/>
    </row>
    <row r="69" spans="2:20" ht="23.1" customHeight="1" x14ac:dyDescent="0.25">
      <c r="B69" s="45" t="s">
        <v>106</v>
      </c>
      <c r="C69" s="50">
        <v>0</v>
      </c>
      <c r="D69" s="50">
        <v>0</v>
      </c>
      <c r="E69" s="50">
        <v>0</v>
      </c>
      <c r="F69" s="50">
        <v>0</v>
      </c>
      <c r="G69" s="50">
        <v>0</v>
      </c>
      <c r="H69" s="50">
        <v>0</v>
      </c>
      <c r="I69" s="50">
        <v>2</v>
      </c>
      <c r="J69" s="50">
        <v>0</v>
      </c>
      <c r="K69" s="50">
        <v>0</v>
      </c>
      <c r="L69" s="50">
        <v>1</v>
      </c>
      <c r="M69" s="50">
        <v>0</v>
      </c>
      <c r="N69" s="50">
        <v>0</v>
      </c>
      <c r="O69" s="15">
        <f t="shared" si="35"/>
        <v>3</v>
      </c>
      <c r="P69" s="15">
        <f t="shared" si="36"/>
        <v>3</v>
      </c>
      <c r="R69" s="8"/>
      <c r="T69"/>
    </row>
    <row r="70" spans="2:20" ht="23.1" customHeight="1" x14ac:dyDescent="0.25">
      <c r="B70" s="45" t="s">
        <v>110</v>
      </c>
      <c r="C70" s="50">
        <v>1</v>
      </c>
      <c r="D70" s="50">
        <v>0</v>
      </c>
      <c r="E70" s="50">
        <v>0</v>
      </c>
      <c r="F70" s="50">
        <v>0</v>
      </c>
      <c r="G70" s="50">
        <v>0</v>
      </c>
      <c r="H70" s="50">
        <v>0</v>
      </c>
      <c r="I70" s="50">
        <v>2</v>
      </c>
      <c r="J70" s="50">
        <v>0</v>
      </c>
      <c r="K70" s="50">
        <v>0</v>
      </c>
      <c r="L70" s="50">
        <v>0</v>
      </c>
      <c r="M70" s="50">
        <v>1</v>
      </c>
      <c r="N70" s="50">
        <v>0</v>
      </c>
      <c r="O70" s="15">
        <f t="shared" si="35"/>
        <v>3</v>
      </c>
      <c r="P70" s="15">
        <f t="shared" si="36"/>
        <v>4</v>
      </c>
      <c r="R70" s="8"/>
      <c r="T70"/>
    </row>
    <row r="71" spans="2:20" ht="23.1" customHeight="1" x14ac:dyDescent="0.25">
      <c r="B71" s="45" t="s">
        <v>111</v>
      </c>
      <c r="C71" s="50">
        <v>3</v>
      </c>
      <c r="D71" s="50">
        <v>0</v>
      </c>
      <c r="E71" s="50">
        <v>0</v>
      </c>
      <c r="F71" s="50">
        <v>0</v>
      </c>
      <c r="G71" s="50">
        <v>0</v>
      </c>
      <c r="H71" s="50">
        <v>1</v>
      </c>
      <c r="I71" s="50">
        <v>1</v>
      </c>
      <c r="J71" s="50">
        <v>0</v>
      </c>
      <c r="K71" s="50">
        <v>0</v>
      </c>
      <c r="L71" s="50">
        <v>1</v>
      </c>
      <c r="M71" s="50">
        <v>0</v>
      </c>
      <c r="N71" s="50">
        <v>0</v>
      </c>
      <c r="O71" s="15">
        <f t="shared" si="35"/>
        <v>6</v>
      </c>
      <c r="P71" s="15">
        <f t="shared" si="36"/>
        <v>6</v>
      </c>
      <c r="R71" s="8"/>
      <c r="T71"/>
    </row>
    <row r="72" spans="2:20" ht="23.1" customHeight="1" x14ac:dyDescent="0.25">
      <c r="B72" s="45" t="s">
        <v>112</v>
      </c>
      <c r="C72" s="50">
        <v>0</v>
      </c>
      <c r="D72" s="50">
        <v>0</v>
      </c>
      <c r="E72" s="50">
        <v>0</v>
      </c>
      <c r="F72" s="50">
        <v>0</v>
      </c>
      <c r="G72" s="50">
        <v>0</v>
      </c>
      <c r="H72" s="50">
        <v>0</v>
      </c>
      <c r="I72" s="50">
        <v>2</v>
      </c>
      <c r="J72" s="50">
        <v>0</v>
      </c>
      <c r="K72" s="50">
        <v>0</v>
      </c>
      <c r="L72" s="50">
        <v>0</v>
      </c>
      <c r="M72" s="50">
        <v>0</v>
      </c>
      <c r="N72" s="50">
        <v>0</v>
      </c>
      <c r="O72" s="15">
        <f t="shared" si="35"/>
        <v>2</v>
      </c>
      <c r="P72" s="15">
        <f t="shared" si="36"/>
        <v>2</v>
      </c>
      <c r="R72" s="8"/>
      <c r="T72"/>
    </row>
    <row r="73" spans="2:20" ht="23.1" customHeight="1" x14ac:dyDescent="0.25">
      <c r="B73" s="45" t="s">
        <v>113</v>
      </c>
      <c r="C73" s="50">
        <v>0</v>
      </c>
      <c r="D73" s="50">
        <v>0</v>
      </c>
      <c r="E73" s="50">
        <v>0</v>
      </c>
      <c r="F73" s="50">
        <v>0</v>
      </c>
      <c r="G73" s="50">
        <v>0</v>
      </c>
      <c r="H73" s="50">
        <v>0</v>
      </c>
      <c r="I73" s="50">
        <v>2</v>
      </c>
      <c r="J73" s="50">
        <v>0</v>
      </c>
      <c r="K73" s="50">
        <v>0</v>
      </c>
      <c r="L73" s="50">
        <v>0</v>
      </c>
      <c r="M73" s="50">
        <v>0</v>
      </c>
      <c r="N73" s="50">
        <v>0</v>
      </c>
      <c r="O73" s="15">
        <f t="shared" si="35"/>
        <v>2</v>
      </c>
      <c r="P73" s="15">
        <f t="shared" si="36"/>
        <v>2</v>
      </c>
      <c r="R73" s="8"/>
      <c r="T73"/>
    </row>
    <row r="74" spans="2:20" ht="23.1" customHeight="1" x14ac:dyDescent="0.25">
      <c r="B74" s="45" t="s">
        <v>114</v>
      </c>
      <c r="C74" s="50">
        <v>0</v>
      </c>
      <c r="D74" s="50">
        <v>0</v>
      </c>
      <c r="E74" s="50">
        <v>0</v>
      </c>
      <c r="F74" s="50">
        <v>0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v>0</v>
      </c>
      <c r="M74" s="50">
        <v>0</v>
      </c>
      <c r="N74" s="50">
        <v>0</v>
      </c>
      <c r="O74" s="15">
        <f t="shared" si="35"/>
        <v>0</v>
      </c>
      <c r="P74" s="15">
        <f t="shared" si="36"/>
        <v>0</v>
      </c>
      <c r="R74" s="8"/>
      <c r="T74"/>
    </row>
    <row r="75" spans="2:20" ht="23.1" customHeight="1" x14ac:dyDescent="0.25">
      <c r="B75" s="45" t="s">
        <v>115</v>
      </c>
      <c r="C75" s="50">
        <v>0</v>
      </c>
      <c r="D75" s="50">
        <v>0</v>
      </c>
      <c r="E75" s="50">
        <v>0</v>
      </c>
      <c r="F75" s="50">
        <v>0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1</v>
      </c>
      <c r="N75" s="50">
        <v>0</v>
      </c>
      <c r="O75" s="15">
        <f t="shared" si="35"/>
        <v>0</v>
      </c>
      <c r="P75" s="15">
        <f t="shared" si="36"/>
        <v>1</v>
      </c>
      <c r="R75" s="8"/>
      <c r="T75"/>
    </row>
    <row r="76" spans="2:20" ht="23.1" customHeight="1" x14ac:dyDescent="0.25">
      <c r="B76" s="45" t="s">
        <v>116</v>
      </c>
      <c r="C76" s="50">
        <v>0</v>
      </c>
      <c r="D76" s="50">
        <v>0</v>
      </c>
      <c r="E76" s="50">
        <v>0</v>
      </c>
      <c r="F76" s="50">
        <v>0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0</v>
      </c>
      <c r="N76" s="50">
        <v>0</v>
      </c>
      <c r="O76" s="15">
        <f t="shared" si="35"/>
        <v>0</v>
      </c>
      <c r="P76" s="15">
        <f t="shared" si="36"/>
        <v>0</v>
      </c>
      <c r="R76" s="8"/>
      <c r="T76"/>
    </row>
    <row r="77" spans="2:20" ht="23.1" customHeight="1" x14ac:dyDescent="0.25">
      <c r="B77" s="45" t="s">
        <v>117</v>
      </c>
      <c r="C77" s="50">
        <v>0</v>
      </c>
      <c r="D77" s="50">
        <v>0</v>
      </c>
      <c r="E77" s="50">
        <v>0</v>
      </c>
      <c r="F77" s="50">
        <v>0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0</v>
      </c>
      <c r="N77" s="50">
        <v>0</v>
      </c>
      <c r="O77" s="15">
        <f t="shared" si="35"/>
        <v>0</v>
      </c>
      <c r="P77" s="15">
        <f t="shared" si="36"/>
        <v>0</v>
      </c>
      <c r="R77" s="8"/>
      <c r="T77"/>
    </row>
    <row r="78" spans="2:20" ht="23.1" customHeight="1" x14ac:dyDescent="0.25">
      <c r="B78" s="46" t="s">
        <v>118</v>
      </c>
      <c r="C78" s="50">
        <v>0</v>
      </c>
      <c r="D78" s="50">
        <v>0</v>
      </c>
      <c r="E78" s="50">
        <v>1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0</v>
      </c>
      <c r="N78" s="50">
        <v>0</v>
      </c>
      <c r="O78" s="15">
        <f t="shared" si="35"/>
        <v>1</v>
      </c>
      <c r="P78" s="15">
        <f t="shared" si="36"/>
        <v>1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0</v>
      </c>
      <c r="N79" s="50">
        <v>0</v>
      </c>
      <c r="O79" s="15">
        <f t="shared" si="35"/>
        <v>0</v>
      </c>
      <c r="P79" s="15">
        <f t="shared" si="36"/>
        <v>0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0</v>
      </c>
      <c r="N80" s="50">
        <v>0</v>
      </c>
      <c r="O80" s="15">
        <f t="shared" si="35"/>
        <v>0</v>
      </c>
      <c r="P80" s="15">
        <f t="shared" si="36"/>
        <v>0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0</v>
      </c>
      <c r="N81" s="50">
        <v>0</v>
      </c>
      <c r="O81" s="15">
        <f t="shared" si="35"/>
        <v>0</v>
      </c>
      <c r="P81" s="15">
        <f t="shared" si="36"/>
        <v>0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0</v>
      </c>
      <c r="N82" s="50">
        <v>0</v>
      </c>
      <c r="O82" s="15">
        <f t="shared" si="35"/>
        <v>0</v>
      </c>
      <c r="P82" s="15">
        <f t="shared" si="36"/>
        <v>0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0</v>
      </c>
      <c r="N83" s="50">
        <v>0</v>
      </c>
      <c r="O83" s="15">
        <f t="shared" si="35"/>
        <v>0</v>
      </c>
      <c r="P83" s="15">
        <f t="shared" si="36"/>
        <v>0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0</v>
      </c>
      <c r="N84" s="50">
        <v>0</v>
      </c>
      <c r="O84" s="15">
        <f t="shared" si="35"/>
        <v>0</v>
      </c>
      <c r="P84" s="15">
        <f t="shared" si="36"/>
        <v>0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0</v>
      </c>
      <c r="N85" s="50">
        <v>0</v>
      </c>
      <c r="O85" s="15">
        <f t="shared" si="35"/>
        <v>0</v>
      </c>
      <c r="P85" s="15">
        <f t="shared" si="36"/>
        <v>0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0</v>
      </c>
      <c r="N86" s="50"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0</v>
      </c>
      <c r="N90" s="50">
        <v>0</v>
      </c>
      <c r="O90" s="15">
        <f t="shared" si="35"/>
        <v>0</v>
      </c>
      <c r="P90" s="15">
        <f t="shared" si="36"/>
        <v>0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0</v>
      </c>
      <c r="N92" s="50"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5"/>
        <v>0</v>
      </c>
      <c r="P93" s="15">
        <f t="shared" si="36"/>
        <v>0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5"/>
        <v>0</v>
      </c>
      <c r="P96" s="15">
        <f t="shared" si="36"/>
        <v>0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0</v>
      </c>
      <c r="N97" s="50"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1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0</v>
      </c>
      <c r="N98" s="50">
        <v>0</v>
      </c>
      <c r="O98" s="15">
        <f t="shared" si="35"/>
        <v>1</v>
      </c>
      <c r="P98" s="15">
        <f t="shared" si="36"/>
        <v>1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1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0</v>
      </c>
      <c r="N99" s="50">
        <v>0</v>
      </c>
      <c r="O99" s="15">
        <f t="shared" si="35"/>
        <v>1</v>
      </c>
      <c r="P99" s="15">
        <f t="shared" si="36"/>
        <v>1</v>
      </c>
      <c r="R99" s="8"/>
      <c r="T99"/>
    </row>
    <row r="100" spans="2:20" ht="23.1" customHeight="1" x14ac:dyDescent="0.25">
      <c r="B100" s="47" t="s">
        <v>140</v>
      </c>
      <c r="C100" s="50">
        <v>1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0</v>
      </c>
      <c r="N100" s="50">
        <v>0</v>
      </c>
      <c r="O100" s="15">
        <f t="shared" si="35"/>
        <v>1</v>
      </c>
      <c r="P100" s="15">
        <f t="shared" si="36"/>
        <v>1</v>
      </c>
      <c r="R100" s="8"/>
      <c r="T100"/>
    </row>
    <row r="101" spans="2:20" ht="23.1" customHeight="1" x14ac:dyDescent="0.25">
      <c r="B101" s="45" t="s">
        <v>141</v>
      </c>
      <c r="C101" s="50">
        <v>0</v>
      </c>
      <c r="D101" s="50">
        <v>0</v>
      </c>
      <c r="E101" s="50">
        <v>0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0</v>
      </c>
      <c r="N101" s="50">
        <v>0</v>
      </c>
      <c r="O101" s="15">
        <f t="shared" si="35"/>
        <v>0</v>
      </c>
      <c r="P101" s="15">
        <f t="shared" si="36"/>
        <v>0</v>
      </c>
      <c r="R101" s="8"/>
      <c r="T101"/>
    </row>
    <row r="102" spans="2:20" ht="23.1" customHeight="1" x14ac:dyDescent="0.25">
      <c r="B102" s="46" t="s">
        <v>142</v>
      </c>
      <c r="C102" s="50">
        <v>1</v>
      </c>
      <c r="D102" s="50">
        <v>0</v>
      </c>
      <c r="E102" s="50">
        <v>1</v>
      </c>
      <c r="F102" s="50">
        <v>0</v>
      </c>
      <c r="G102" s="50">
        <v>0</v>
      </c>
      <c r="H102" s="50">
        <v>0</v>
      </c>
      <c r="I102" s="50">
        <v>2</v>
      </c>
      <c r="J102" s="50">
        <v>0</v>
      </c>
      <c r="K102" s="50">
        <v>0</v>
      </c>
      <c r="L102" s="50">
        <v>0</v>
      </c>
      <c r="M102" s="50">
        <v>1</v>
      </c>
      <c r="N102" s="50">
        <v>0</v>
      </c>
      <c r="O102" s="15">
        <f t="shared" si="35"/>
        <v>4</v>
      </c>
      <c r="P102" s="15">
        <f t="shared" si="36"/>
        <v>5</v>
      </c>
      <c r="R102" s="8"/>
      <c r="T102"/>
    </row>
    <row r="103" spans="2:20" ht="23.1" customHeight="1" x14ac:dyDescent="0.25">
      <c r="B103" s="45" t="s">
        <v>143</v>
      </c>
      <c r="C103" s="50">
        <v>3</v>
      </c>
      <c r="D103" s="50">
        <v>0</v>
      </c>
      <c r="E103" s="50">
        <v>0</v>
      </c>
      <c r="F103" s="50">
        <v>0</v>
      </c>
      <c r="G103" s="50">
        <v>0</v>
      </c>
      <c r="H103" s="50">
        <v>0</v>
      </c>
      <c r="I103" s="50">
        <v>1</v>
      </c>
      <c r="J103" s="50">
        <v>0</v>
      </c>
      <c r="K103" s="50">
        <v>0</v>
      </c>
      <c r="L103" s="50">
        <v>0</v>
      </c>
      <c r="M103" s="50">
        <v>3</v>
      </c>
      <c r="N103" s="50">
        <v>0</v>
      </c>
      <c r="O103" s="15">
        <f t="shared" si="35"/>
        <v>4</v>
      </c>
      <c r="P103" s="15">
        <f t="shared" si="36"/>
        <v>7</v>
      </c>
      <c r="R103" s="8"/>
      <c r="T103"/>
    </row>
    <row r="104" spans="2:20" ht="23.1" customHeight="1" x14ac:dyDescent="0.25">
      <c r="B104" s="47" t="s">
        <v>144</v>
      </c>
      <c r="C104" s="50">
        <v>3</v>
      </c>
      <c r="D104" s="50">
        <v>0</v>
      </c>
      <c r="E104" s="50">
        <v>2</v>
      </c>
      <c r="F104" s="50">
        <v>2</v>
      </c>
      <c r="G104" s="50">
        <v>0</v>
      </c>
      <c r="H104" s="50">
        <v>0</v>
      </c>
      <c r="I104" s="50">
        <v>0</v>
      </c>
      <c r="J104" s="50">
        <v>0</v>
      </c>
      <c r="K104" s="50">
        <v>0</v>
      </c>
      <c r="L104" s="50">
        <v>0</v>
      </c>
      <c r="M104" s="50">
        <v>0</v>
      </c>
      <c r="N104" s="50">
        <v>0</v>
      </c>
      <c r="O104" s="15">
        <f t="shared" si="35"/>
        <v>7</v>
      </c>
      <c r="P104" s="15">
        <f t="shared" si="36"/>
        <v>7</v>
      </c>
      <c r="R104" s="8"/>
      <c r="T104"/>
    </row>
    <row r="105" spans="2:20" ht="23.1" customHeight="1" x14ac:dyDescent="0.25">
      <c r="B105" s="45" t="s">
        <v>145</v>
      </c>
      <c r="C105" s="50">
        <v>2</v>
      </c>
      <c r="D105" s="50">
        <v>0</v>
      </c>
      <c r="E105" s="50">
        <v>0</v>
      </c>
      <c r="F105" s="50">
        <v>2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v>0</v>
      </c>
      <c r="M105" s="50">
        <v>1.5331198355023701</v>
      </c>
      <c r="N105" s="50">
        <v>0</v>
      </c>
      <c r="O105" s="15">
        <f t="shared" si="35"/>
        <v>4</v>
      </c>
      <c r="P105" s="15">
        <f t="shared" si="36"/>
        <v>5.5331198355023705</v>
      </c>
      <c r="R105" s="8"/>
      <c r="T105"/>
    </row>
    <row r="106" spans="2:20" ht="23.1" customHeight="1" x14ac:dyDescent="0.25">
      <c r="B106" s="26" t="s">
        <v>18</v>
      </c>
      <c r="C106" s="16">
        <v>4</v>
      </c>
      <c r="D106" s="16">
        <f t="shared" ref="D106:P106" si="37">SUM(D10:D105)</f>
        <v>0</v>
      </c>
      <c r="E106" s="16"/>
      <c r="F106" s="16"/>
      <c r="G106" s="16"/>
      <c r="H106" s="16"/>
      <c r="I106" s="16">
        <v>2</v>
      </c>
      <c r="J106" s="16"/>
      <c r="K106" s="16"/>
      <c r="L106" s="16">
        <f t="shared" si="37"/>
        <v>49</v>
      </c>
      <c r="M106" s="16">
        <v>1</v>
      </c>
      <c r="N106" s="16"/>
      <c r="O106" s="16">
        <f t="shared" si="37"/>
        <v>636</v>
      </c>
      <c r="P106" s="16">
        <f t="shared" si="37"/>
        <v>800.53311983550236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4.9966702199928225E-3</v>
      </c>
      <c r="D107" s="43">
        <f t="shared" si="38"/>
        <v>0</v>
      </c>
      <c r="E107" s="43">
        <f t="shared" si="38"/>
        <v>0</v>
      </c>
      <c r="F107" s="43">
        <f t="shared" si="38"/>
        <v>0</v>
      </c>
      <c r="G107" s="43">
        <f t="shared" si="38"/>
        <v>0</v>
      </c>
      <c r="H107" s="43">
        <f t="shared" si="38"/>
        <v>0</v>
      </c>
      <c r="I107" s="43">
        <f t="shared" si="38"/>
        <v>2.4983351099964113E-3</v>
      </c>
      <c r="J107" s="43">
        <f t="shared" si="38"/>
        <v>0</v>
      </c>
      <c r="K107" s="43">
        <f t="shared" si="38"/>
        <v>0</v>
      </c>
      <c r="L107" s="43">
        <f t="shared" si="38"/>
        <v>6.1209210194912073E-2</v>
      </c>
      <c r="M107" s="43">
        <f t="shared" si="38"/>
        <v>1.2491675549982056E-3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6.2893081761006293E-3</v>
      </c>
      <c r="D108" s="44">
        <f t="shared" ref="D108:N108" si="39">D106/$O$106</f>
        <v>0</v>
      </c>
      <c r="E108" s="44">
        <f t="shared" si="39"/>
        <v>0</v>
      </c>
      <c r="F108" s="44">
        <f t="shared" si="39"/>
        <v>0</v>
      </c>
      <c r="G108" s="44">
        <f t="shared" si="39"/>
        <v>0</v>
      </c>
      <c r="H108" s="44">
        <f t="shared" si="39"/>
        <v>0</v>
      </c>
      <c r="I108" s="44">
        <f t="shared" si="39"/>
        <v>3.1446540880503146E-3</v>
      </c>
      <c r="J108" s="44">
        <f t="shared" si="39"/>
        <v>0</v>
      </c>
      <c r="K108" s="44">
        <f t="shared" si="39"/>
        <v>0</v>
      </c>
      <c r="L108" s="44">
        <f t="shared" si="39"/>
        <v>7.7044025157232701E-2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honeticPr fontId="14" type="noConversion"/>
  <pageMargins left="0" right="0" top="0" bottom="0" header="0.15748031496063" footer="0.118110236220472"/>
  <pageSetup paperSize="9" scale="4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2" tint="-0.249977111117893"/>
  </sheetPr>
  <dimension ref="B1:AF174"/>
  <sheetViews>
    <sheetView view="pageBreakPreview" topLeftCell="A55" zoomScale="60" workbookViewId="0">
      <selection activeCell="K18" sqref="K1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>
        <f>'5.8 KIKORONGO-BWERA'!C3:G3</f>
        <v>0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'8.8 KIKORONGO-BWERA-24hr'!D5</f>
        <v>1.10.19</v>
      </c>
      <c r="E5" s="3"/>
      <c r="F5" s="41" t="s">
        <v>1</v>
      </c>
      <c r="G5" s="63">
        <f>'8.8 KIKORONGO-BWERA-24hr'!G5:H5</f>
        <v>0</v>
      </c>
      <c r="H5" s="64"/>
      <c r="I5" s="14"/>
      <c r="J5" s="2" t="s">
        <v>5</v>
      </c>
      <c r="K5" s="63">
        <f>'8.8 KIKORONGO-BWERA-24hr'!K5:L5</f>
        <v>0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'5.8 BWERA-KIKORONGO'!D6:E6</f>
        <v>Clocktower</v>
      </c>
      <c r="E6" s="64"/>
      <c r="F6" s="2" t="s">
        <v>2</v>
      </c>
      <c r="G6" s="63" t="str">
        <f>'6.8 BWERA-KIKORONGO'!G6:H6</f>
        <v>Nsambya</v>
      </c>
      <c r="H6" s="64"/>
      <c r="J6" s="2" t="s">
        <v>21</v>
      </c>
      <c r="K6" s="63">
        <f>'8.8 KIKORONGO-BWERA-24hr'!K6:L6</f>
        <v>0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2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2</v>
      </c>
      <c r="K10" s="50">
        <v>0</v>
      </c>
      <c r="L10" s="50">
        <v>0</v>
      </c>
      <c r="M10" s="50">
        <v>1</v>
      </c>
      <c r="N10" s="50">
        <v>0</v>
      </c>
      <c r="O10" s="15">
        <f t="shared" ref="O10:O73" si="0">SUM(C10:L10,N10)</f>
        <v>4</v>
      </c>
      <c r="P10" s="15">
        <f t="shared" ref="P10:P73" si="1">SUM(C10:N10)</f>
        <v>5</v>
      </c>
      <c r="R10" s="1" t="s">
        <v>6</v>
      </c>
      <c r="S10" s="17">
        <f t="shared" ref="S10:AF10" si="2">SUM(C10:C13)</f>
        <v>8</v>
      </c>
      <c r="T10" s="17">
        <f t="shared" si="2"/>
        <v>0</v>
      </c>
      <c r="U10" s="17">
        <f t="shared" si="2"/>
        <v>2</v>
      </c>
      <c r="V10" s="17">
        <f t="shared" si="2"/>
        <v>2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7</v>
      </c>
      <c r="AA10" s="17">
        <f t="shared" si="2"/>
        <v>4</v>
      </c>
      <c r="AB10" s="17">
        <f t="shared" si="2"/>
        <v>0</v>
      </c>
      <c r="AC10" s="17">
        <f t="shared" si="2"/>
        <v>7</v>
      </c>
      <c r="AD10" s="17">
        <f t="shared" si="2"/>
        <v>0</v>
      </c>
      <c r="AE10" s="31">
        <f t="shared" si="2"/>
        <v>23</v>
      </c>
      <c r="AF10" s="31">
        <f t="shared" si="2"/>
        <v>30</v>
      </c>
    </row>
    <row r="11" spans="2:32" s="6" customFormat="1" ht="23.1" customHeight="1" x14ac:dyDescent="0.25">
      <c r="B11" s="45" t="s">
        <v>38</v>
      </c>
      <c r="C11" s="50">
        <v>3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2</v>
      </c>
      <c r="K11" s="50">
        <v>1</v>
      </c>
      <c r="L11" s="50">
        <v>0</v>
      </c>
      <c r="M11" s="50">
        <v>2</v>
      </c>
      <c r="N11" s="50">
        <v>0</v>
      </c>
      <c r="O11" s="15">
        <f t="shared" si="0"/>
        <v>6</v>
      </c>
      <c r="P11" s="15">
        <f t="shared" si="1"/>
        <v>8</v>
      </c>
      <c r="R11" s="1" t="s">
        <v>7</v>
      </c>
      <c r="S11" s="17">
        <f t="shared" ref="S11:AF11" si="3">SUM(C14:C17)</f>
        <v>14</v>
      </c>
      <c r="T11" s="17">
        <f t="shared" si="3"/>
        <v>0</v>
      </c>
      <c r="U11" s="17">
        <f t="shared" si="3"/>
        <v>15</v>
      </c>
      <c r="V11" s="17">
        <f t="shared" si="3"/>
        <v>6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3</v>
      </c>
      <c r="AA11" s="17">
        <f t="shared" si="3"/>
        <v>0</v>
      </c>
      <c r="AB11" s="17">
        <f t="shared" si="3"/>
        <v>2</v>
      </c>
      <c r="AC11" s="17">
        <f t="shared" si="3"/>
        <v>18</v>
      </c>
      <c r="AD11" s="17">
        <f t="shared" si="3"/>
        <v>0</v>
      </c>
      <c r="AE11" s="31">
        <f t="shared" si="3"/>
        <v>40</v>
      </c>
      <c r="AF11" s="31">
        <f t="shared" si="3"/>
        <v>58</v>
      </c>
    </row>
    <row r="12" spans="2:32" ht="23.1" customHeight="1" x14ac:dyDescent="0.25">
      <c r="B12" s="45" t="s">
        <v>39</v>
      </c>
      <c r="C12" s="50">
        <v>0</v>
      </c>
      <c r="D12" s="50">
        <v>0</v>
      </c>
      <c r="E12" s="50">
        <v>1</v>
      </c>
      <c r="F12" s="50">
        <v>2</v>
      </c>
      <c r="G12" s="50">
        <v>0</v>
      </c>
      <c r="H12" s="50">
        <v>0</v>
      </c>
      <c r="I12" s="50">
        <v>0</v>
      </c>
      <c r="J12" s="50">
        <v>3</v>
      </c>
      <c r="K12" s="50">
        <v>0</v>
      </c>
      <c r="L12" s="50">
        <v>0</v>
      </c>
      <c r="M12" s="50">
        <v>2</v>
      </c>
      <c r="N12" s="50">
        <v>0</v>
      </c>
      <c r="O12" s="15">
        <f t="shared" si="0"/>
        <v>6</v>
      </c>
      <c r="P12" s="15">
        <f t="shared" si="1"/>
        <v>8</v>
      </c>
      <c r="R12" s="1" t="s">
        <v>8</v>
      </c>
      <c r="S12" s="17">
        <f t="shared" ref="S12:AF12" si="4">SUM(C18:C21)</f>
        <v>25</v>
      </c>
      <c r="T12" s="17">
        <f t="shared" si="4"/>
        <v>0</v>
      </c>
      <c r="U12" s="17">
        <f t="shared" si="4"/>
        <v>14</v>
      </c>
      <c r="V12" s="17">
        <f t="shared" si="4"/>
        <v>9</v>
      </c>
      <c r="W12" s="17">
        <f t="shared" si="4"/>
        <v>0</v>
      </c>
      <c r="X12" s="17">
        <f t="shared" si="4"/>
        <v>0</v>
      </c>
      <c r="Y12" s="17">
        <f t="shared" si="4"/>
        <v>0</v>
      </c>
      <c r="Z12" s="17">
        <f t="shared" si="4"/>
        <v>6</v>
      </c>
      <c r="AA12" s="17">
        <f t="shared" si="4"/>
        <v>0</v>
      </c>
      <c r="AB12" s="17">
        <f t="shared" si="4"/>
        <v>0</v>
      </c>
      <c r="AC12" s="17">
        <f t="shared" si="4"/>
        <v>13</v>
      </c>
      <c r="AD12" s="17">
        <f t="shared" si="4"/>
        <v>0</v>
      </c>
      <c r="AE12" s="31">
        <f t="shared" si="4"/>
        <v>54</v>
      </c>
      <c r="AF12" s="31">
        <f t="shared" si="4"/>
        <v>67</v>
      </c>
    </row>
    <row r="13" spans="2:32" ht="23.1" customHeight="1" x14ac:dyDescent="0.25">
      <c r="B13" s="45" t="s">
        <v>40</v>
      </c>
      <c r="C13" s="50">
        <v>3</v>
      </c>
      <c r="D13" s="50">
        <v>0</v>
      </c>
      <c r="E13" s="50">
        <v>1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3</v>
      </c>
      <c r="L13" s="50">
        <v>0</v>
      </c>
      <c r="M13" s="50">
        <v>2</v>
      </c>
      <c r="N13" s="50">
        <v>0</v>
      </c>
      <c r="O13" s="15">
        <f t="shared" si="0"/>
        <v>7</v>
      </c>
      <c r="P13" s="15">
        <f t="shared" si="1"/>
        <v>9</v>
      </c>
      <c r="R13" s="1" t="s">
        <v>9</v>
      </c>
      <c r="S13" s="17">
        <f t="shared" ref="S13:AF13" si="5">SUM(C22:C25)</f>
        <v>22</v>
      </c>
      <c r="T13" s="17">
        <f t="shared" si="5"/>
        <v>0</v>
      </c>
      <c r="U13" s="17">
        <f t="shared" si="5"/>
        <v>11</v>
      </c>
      <c r="V13" s="17">
        <f t="shared" si="5"/>
        <v>36</v>
      </c>
      <c r="W13" s="17">
        <f t="shared" si="5"/>
        <v>0</v>
      </c>
      <c r="X13" s="17">
        <f t="shared" si="5"/>
        <v>2</v>
      </c>
      <c r="Y13" s="17">
        <f t="shared" si="5"/>
        <v>0</v>
      </c>
      <c r="Z13" s="17">
        <f t="shared" si="5"/>
        <v>11</v>
      </c>
      <c r="AA13" s="17">
        <f t="shared" si="5"/>
        <v>0</v>
      </c>
      <c r="AB13" s="17">
        <f t="shared" si="5"/>
        <v>0</v>
      </c>
      <c r="AC13" s="17">
        <f t="shared" si="5"/>
        <v>10</v>
      </c>
      <c r="AD13" s="17">
        <f t="shared" si="5"/>
        <v>0</v>
      </c>
      <c r="AE13" s="31">
        <f t="shared" si="5"/>
        <v>82</v>
      </c>
      <c r="AF13" s="31">
        <f t="shared" si="5"/>
        <v>92</v>
      </c>
    </row>
    <row r="14" spans="2:32" ht="23.1" customHeight="1" x14ac:dyDescent="0.25">
      <c r="B14" s="45" t="s">
        <v>41</v>
      </c>
      <c r="C14" s="50">
        <v>3</v>
      </c>
      <c r="D14" s="50">
        <v>0</v>
      </c>
      <c r="E14" s="50">
        <v>2</v>
      </c>
      <c r="F14" s="50">
        <v>1</v>
      </c>
      <c r="G14" s="50">
        <v>0</v>
      </c>
      <c r="H14" s="50">
        <v>0</v>
      </c>
      <c r="I14" s="50">
        <v>0</v>
      </c>
      <c r="J14" s="50">
        <v>1</v>
      </c>
      <c r="K14" s="50">
        <v>0</v>
      </c>
      <c r="L14" s="50">
        <v>1</v>
      </c>
      <c r="M14" s="50">
        <v>5</v>
      </c>
      <c r="N14" s="50">
        <v>0</v>
      </c>
      <c r="O14" s="15">
        <f t="shared" si="0"/>
        <v>8</v>
      </c>
      <c r="P14" s="15">
        <f t="shared" si="1"/>
        <v>13</v>
      </c>
      <c r="R14" s="1" t="s">
        <v>10</v>
      </c>
      <c r="S14" s="17">
        <f t="shared" ref="S14:AF14" si="6">SUM(C26:C29)</f>
        <v>29</v>
      </c>
      <c r="T14" s="17">
        <f t="shared" si="6"/>
        <v>0</v>
      </c>
      <c r="U14" s="17">
        <f t="shared" si="6"/>
        <v>14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0</v>
      </c>
      <c r="Z14" s="17">
        <f t="shared" si="6"/>
        <v>10</v>
      </c>
      <c r="AA14" s="17">
        <f t="shared" si="6"/>
        <v>0</v>
      </c>
      <c r="AB14" s="17">
        <f t="shared" si="6"/>
        <v>0</v>
      </c>
      <c r="AC14" s="17">
        <f t="shared" si="6"/>
        <v>15</v>
      </c>
      <c r="AD14" s="17">
        <f t="shared" si="6"/>
        <v>0</v>
      </c>
      <c r="AE14" s="31">
        <f t="shared" si="6"/>
        <v>53</v>
      </c>
      <c r="AF14" s="31">
        <f t="shared" si="6"/>
        <v>68</v>
      </c>
    </row>
    <row r="15" spans="2:32" ht="23.1" customHeight="1" x14ac:dyDescent="0.25">
      <c r="B15" s="45" t="s">
        <v>42</v>
      </c>
      <c r="C15" s="50">
        <v>5</v>
      </c>
      <c r="D15" s="50">
        <v>0</v>
      </c>
      <c r="E15" s="50">
        <v>2</v>
      </c>
      <c r="F15" s="50">
        <v>1</v>
      </c>
      <c r="G15" s="50">
        <v>0</v>
      </c>
      <c r="H15" s="50">
        <v>0</v>
      </c>
      <c r="I15" s="50">
        <v>0</v>
      </c>
      <c r="J15" s="50">
        <v>1</v>
      </c>
      <c r="K15" s="50">
        <v>0</v>
      </c>
      <c r="L15" s="50">
        <v>0</v>
      </c>
      <c r="M15" s="50">
        <v>3</v>
      </c>
      <c r="N15" s="50">
        <v>0</v>
      </c>
      <c r="O15" s="15">
        <f t="shared" si="0"/>
        <v>9</v>
      </c>
      <c r="P15" s="15">
        <f t="shared" si="1"/>
        <v>12</v>
      </c>
      <c r="R15" s="1" t="s">
        <v>11</v>
      </c>
      <c r="S15" s="17">
        <f t="shared" ref="S15:AF15" si="7">SUM(C30:C33)</f>
        <v>19</v>
      </c>
      <c r="T15" s="17">
        <f t="shared" si="7"/>
        <v>0</v>
      </c>
      <c r="U15" s="17">
        <f t="shared" si="7"/>
        <v>0</v>
      </c>
      <c r="V15" s="17">
        <f t="shared" si="7"/>
        <v>27</v>
      </c>
      <c r="W15" s="17">
        <f t="shared" si="7"/>
        <v>0</v>
      </c>
      <c r="X15" s="17">
        <f t="shared" si="7"/>
        <v>0</v>
      </c>
      <c r="Y15" s="17">
        <f t="shared" si="7"/>
        <v>0</v>
      </c>
      <c r="Z15" s="17">
        <f t="shared" si="7"/>
        <v>10</v>
      </c>
      <c r="AA15" s="17">
        <f t="shared" si="7"/>
        <v>0</v>
      </c>
      <c r="AB15" s="17">
        <f t="shared" si="7"/>
        <v>0</v>
      </c>
      <c r="AC15" s="17">
        <f t="shared" si="7"/>
        <v>24</v>
      </c>
      <c r="AD15" s="17">
        <f t="shared" si="7"/>
        <v>0</v>
      </c>
      <c r="AE15" s="31">
        <f t="shared" si="7"/>
        <v>56</v>
      </c>
      <c r="AF15" s="31">
        <f t="shared" si="7"/>
        <v>80</v>
      </c>
    </row>
    <row r="16" spans="2:32" ht="23.1" customHeight="1" x14ac:dyDescent="0.25">
      <c r="B16" s="45" t="s">
        <v>43</v>
      </c>
      <c r="C16" s="50">
        <v>1</v>
      </c>
      <c r="D16" s="50">
        <v>0</v>
      </c>
      <c r="E16" s="50">
        <v>3</v>
      </c>
      <c r="F16" s="50">
        <v>1</v>
      </c>
      <c r="G16" s="50">
        <v>0</v>
      </c>
      <c r="H16" s="50">
        <v>0</v>
      </c>
      <c r="I16" s="50">
        <v>0</v>
      </c>
      <c r="J16" s="50">
        <v>1</v>
      </c>
      <c r="K16" s="50">
        <v>0</v>
      </c>
      <c r="L16" s="50">
        <v>0</v>
      </c>
      <c r="M16" s="50">
        <v>3</v>
      </c>
      <c r="N16" s="50">
        <v>0</v>
      </c>
      <c r="O16" s="15">
        <f t="shared" si="0"/>
        <v>6</v>
      </c>
      <c r="P16" s="15">
        <f t="shared" si="1"/>
        <v>9</v>
      </c>
      <c r="R16" s="1" t="s">
        <v>12</v>
      </c>
      <c r="S16" s="17">
        <f t="shared" ref="S16:AF16" si="8">SUM(C34:C37)</f>
        <v>36</v>
      </c>
      <c r="T16" s="17">
        <f t="shared" si="8"/>
        <v>0</v>
      </c>
      <c r="U16" s="17">
        <f t="shared" si="8"/>
        <v>17</v>
      </c>
      <c r="V16" s="17">
        <f t="shared" si="8"/>
        <v>22</v>
      </c>
      <c r="W16" s="17">
        <f t="shared" si="8"/>
        <v>0</v>
      </c>
      <c r="X16" s="17">
        <f t="shared" si="8"/>
        <v>7</v>
      </c>
      <c r="Y16" s="17">
        <f t="shared" si="8"/>
        <v>0</v>
      </c>
      <c r="Z16" s="17">
        <f t="shared" si="8"/>
        <v>10</v>
      </c>
      <c r="AA16" s="17">
        <f t="shared" si="8"/>
        <v>0</v>
      </c>
      <c r="AB16" s="17">
        <f t="shared" si="8"/>
        <v>0</v>
      </c>
      <c r="AC16" s="17">
        <f t="shared" si="8"/>
        <v>21</v>
      </c>
      <c r="AD16" s="17">
        <f t="shared" si="8"/>
        <v>0</v>
      </c>
      <c r="AE16" s="31">
        <f t="shared" si="8"/>
        <v>92</v>
      </c>
      <c r="AF16" s="31">
        <f t="shared" si="8"/>
        <v>113</v>
      </c>
    </row>
    <row r="17" spans="2:32" ht="23.1" customHeight="1" x14ac:dyDescent="0.25">
      <c r="B17" s="45" t="s">
        <v>44</v>
      </c>
      <c r="C17" s="50">
        <v>5</v>
      </c>
      <c r="D17" s="50">
        <v>0</v>
      </c>
      <c r="E17" s="50">
        <v>8</v>
      </c>
      <c r="F17" s="50">
        <v>3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1</v>
      </c>
      <c r="M17" s="50">
        <v>7</v>
      </c>
      <c r="N17" s="50">
        <v>0</v>
      </c>
      <c r="O17" s="15">
        <f t="shared" si="0"/>
        <v>17</v>
      </c>
      <c r="P17" s="15">
        <f t="shared" si="1"/>
        <v>24</v>
      </c>
      <c r="R17" s="1" t="s">
        <v>13</v>
      </c>
      <c r="S17" s="17">
        <f t="shared" ref="S17:AF17" si="9">SUM(C38:C41)</f>
        <v>39</v>
      </c>
      <c r="T17" s="17">
        <f t="shared" si="9"/>
        <v>0</v>
      </c>
      <c r="U17" s="17">
        <f t="shared" si="9"/>
        <v>19</v>
      </c>
      <c r="V17" s="17">
        <f t="shared" si="9"/>
        <v>30</v>
      </c>
      <c r="W17" s="17">
        <f t="shared" si="9"/>
        <v>0</v>
      </c>
      <c r="X17" s="17">
        <f t="shared" si="9"/>
        <v>5</v>
      </c>
      <c r="Y17" s="17">
        <f t="shared" si="9"/>
        <v>0</v>
      </c>
      <c r="Z17" s="17">
        <f t="shared" si="9"/>
        <v>9</v>
      </c>
      <c r="AA17" s="17">
        <f t="shared" si="9"/>
        <v>0</v>
      </c>
      <c r="AB17" s="17">
        <f t="shared" si="9"/>
        <v>0</v>
      </c>
      <c r="AC17" s="17">
        <f t="shared" si="9"/>
        <v>25</v>
      </c>
      <c r="AD17" s="17">
        <f t="shared" si="9"/>
        <v>1</v>
      </c>
      <c r="AE17" s="31">
        <f t="shared" si="9"/>
        <v>103</v>
      </c>
      <c r="AF17" s="31">
        <f t="shared" si="9"/>
        <v>128</v>
      </c>
    </row>
    <row r="18" spans="2:32" ht="23.1" customHeight="1" x14ac:dyDescent="0.25">
      <c r="B18" s="45" t="s">
        <v>45</v>
      </c>
      <c r="C18" s="50">
        <v>6</v>
      </c>
      <c r="D18" s="50">
        <v>0</v>
      </c>
      <c r="E18" s="50">
        <v>5</v>
      </c>
      <c r="F18" s="50">
        <v>6</v>
      </c>
      <c r="G18" s="50">
        <v>0</v>
      </c>
      <c r="H18" s="50">
        <v>0</v>
      </c>
      <c r="I18" s="50">
        <v>0</v>
      </c>
      <c r="J18" s="50">
        <v>5</v>
      </c>
      <c r="K18" s="50">
        <v>0</v>
      </c>
      <c r="L18" s="50">
        <v>0</v>
      </c>
      <c r="M18" s="50">
        <v>3</v>
      </c>
      <c r="N18" s="50">
        <v>0</v>
      </c>
      <c r="O18" s="15">
        <f t="shared" si="0"/>
        <v>22</v>
      </c>
      <c r="P18" s="15">
        <f t="shared" si="1"/>
        <v>25</v>
      </c>
      <c r="R18" s="1" t="s">
        <v>14</v>
      </c>
      <c r="S18" s="17">
        <f t="shared" ref="S18:AF18" si="10">SUM(C42:C45)</f>
        <v>23</v>
      </c>
      <c r="T18" s="17">
        <f t="shared" si="10"/>
        <v>0</v>
      </c>
      <c r="U18" s="17">
        <f t="shared" si="10"/>
        <v>15</v>
      </c>
      <c r="V18" s="17">
        <f t="shared" si="10"/>
        <v>14</v>
      </c>
      <c r="W18" s="17">
        <f t="shared" si="10"/>
        <v>0</v>
      </c>
      <c r="X18" s="17">
        <f t="shared" si="10"/>
        <v>0</v>
      </c>
      <c r="Y18" s="17">
        <f t="shared" si="10"/>
        <v>0</v>
      </c>
      <c r="Z18" s="17">
        <f t="shared" si="10"/>
        <v>9</v>
      </c>
      <c r="AA18" s="17">
        <f t="shared" si="10"/>
        <v>0</v>
      </c>
      <c r="AB18" s="17">
        <f t="shared" si="10"/>
        <v>0</v>
      </c>
      <c r="AC18" s="17">
        <f t="shared" si="10"/>
        <v>17</v>
      </c>
      <c r="AD18" s="17">
        <f t="shared" si="10"/>
        <v>0</v>
      </c>
      <c r="AE18" s="31">
        <f t="shared" si="10"/>
        <v>61</v>
      </c>
      <c r="AF18" s="31">
        <f t="shared" si="10"/>
        <v>78</v>
      </c>
    </row>
    <row r="19" spans="2:32" ht="23.1" customHeight="1" x14ac:dyDescent="0.25">
      <c r="B19" s="45" t="s">
        <v>46</v>
      </c>
      <c r="C19" s="50">
        <v>3</v>
      </c>
      <c r="D19" s="50">
        <v>0</v>
      </c>
      <c r="E19" s="50">
        <v>3</v>
      </c>
      <c r="F19" s="50">
        <v>3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3</v>
      </c>
      <c r="N19" s="50">
        <v>0</v>
      </c>
      <c r="O19" s="15">
        <f t="shared" si="0"/>
        <v>9</v>
      </c>
      <c r="P19" s="15">
        <f t="shared" si="1"/>
        <v>12</v>
      </c>
      <c r="R19" s="1" t="s">
        <v>15</v>
      </c>
      <c r="S19" s="17">
        <f t="shared" ref="S19:AF19" si="11">SUM(C46:C49)</f>
        <v>27</v>
      </c>
      <c r="T19" s="17">
        <f t="shared" si="11"/>
        <v>0</v>
      </c>
      <c r="U19" s="17">
        <f t="shared" si="11"/>
        <v>23</v>
      </c>
      <c r="V19" s="17">
        <f t="shared" si="11"/>
        <v>22</v>
      </c>
      <c r="W19" s="17">
        <f t="shared" si="11"/>
        <v>0</v>
      </c>
      <c r="X19" s="17">
        <f t="shared" si="11"/>
        <v>2</v>
      </c>
      <c r="Y19" s="17">
        <f t="shared" si="11"/>
        <v>0</v>
      </c>
      <c r="Z19" s="17">
        <f t="shared" si="11"/>
        <v>10</v>
      </c>
      <c r="AA19" s="17">
        <f t="shared" si="11"/>
        <v>0</v>
      </c>
      <c r="AB19" s="17">
        <f t="shared" si="11"/>
        <v>6</v>
      </c>
      <c r="AC19" s="17">
        <f t="shared" si="11"/>
        <v>16</v>
      </c>
      <c r="AD19" s="17">
        <f t="shared" si="11"/>
        <v>0</v>
      </c>
      <c r="AE19" s="31">
        <f t="shared" si="11"/>
        <v>90</v>
      </c>
      <c r="AF19" s="31">
        <f t="shared" si="11"/>
        <v>106</v>
      </c>
    </row>
    <row r="20" spans="2:32" ht="23.1" customHeight="1" x14ac:dyDescent="0.25">
      <c r="B20" s="45" t="s">
        <v>47</v>
      </c>
      <c r="C20" s="50">
        <v>6</v>
      </c>
      <c r="D20" s="50">
        <v>0</v>
      </c>
      <c r="E20" s="50">
        <v>2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5</v>
      </c>
      <c r="N20" s="50">
        <v>0</v>
      </c>
      <c r="O20" s="15">
        <f t="shared" si="0"/>
        <v>8</v>
      </c>
      <c r="P20" s="15">
        <f t="shared" si="1"/>
        <v>13</v>
      </c>
      <c r="R20" s="1" t="s">
        <v>16</v>
      </c>
      <c r="S20" s="17">
        <f t="shared" ref="S20:AF20" si="12">SUM(C50:C53)</f>
        <v>18</v>
      </c>
      <c r="T20" s="17">
        <f t="shared" si="12"/>
        <v>0</v>
      </c>
      <c r="U20" s="17">
        <f t="shared" si="12"/>
        <v>19</v>
      </c>
      <c r="V20" s="17">
        <f t="shared" si="12"/>
        <v>21</v>
      </c>
      <c r="W20" s="17">
        <f t="shared" si="12"/>
        <v>0</v>
      </c>
      <c r="X20" s="17">
        <f t="shared" si="12"/>
        <v>1</v>
      </c>
      <c r="Y20" s="17">
        <f t="shared" si="12"/>
        <v>0</v>
      </c>
      <c r="Z20" s="17">
        <f t="shared" si="12"/>
        <v>10</v>
      </c>
      <c r="AA20" s="17">
        <f t="shared" si="12"/>
        <v>0</v>
      </c>
      <c r="AB20" s="17">
        <f t="shared" si="12"/>
        <v>7</v>
      </c>
      <c r="AC20" s="17">
        <f t="shared" si="12"/>
        <v>8</v>
      </c>
      <c r="AD20" s="17">
        <f t="shared" si="12"/>
        <v>0</v>
      </c>
      <c r="AE20" s="31">
        <f t="shared" si="12"/>
        <v>76</v>
      </c>
      <c r="AF20" s="31">
        <f t="shared" si="12"/>
        <v>84</v>
      </c>
    </row>
    <row r="21" spans="2:32" ht="23.1" customHeight="1" x14ac:dyDescent="0.25">
      <c r="B21" s="45" t="s">
        <v>48</v>
      </c>
      <c r="C21" s="50">
        <v>10</v>
      </c>
      <c r="D21" s="50">
        <v>0</v>
      </c>
      <c r="E21" s="50">
        <v>4</v>
      </c>
      <c r="F21" s="50">
        <v>0</v>
      </c>
      <c r="G21" s="50">
        <v>0</v>
      </c>
      <c r="H21" s="50">
        <v>0</v>
      </c>
      <c r="I21" s="50">
        <v>0</v>
      </c>
      <c r="J21" s="50">
        <v>1</v>
      </c>
      <c r="K21" s="50">
        <v>0</v>
      </c>
      <c r="L21" s="50">
        <v>0</v>
      </c>
      <c r="M21" s="50">
        <v>2</v>
      </c>
      <c r="N21" s="50">
        <v>0</v>
      </c>
      <c r="O21" s="15">
        <f t="shared" si="0"/>
        <v>15</v>
      </c>
      <c r="P21" s="15">
        <f t="shared" si="1"/>
        <v>17</v>
      </c>
      <c r="R21" s="36" t="s">
        <v>20</v>
      </c>
      <c r="S21" s="34">
        <f t="shared" ref="S21:AF21" si="13">SUM(C54:C57)</f>
        <v>11</v>
      </c>
      <c r="T21" s="17">
        <f t="shared" si="13"/>
        <v>0</v>
      </c>
      <c r="U21" s="17">
        <f t="shared" si="13"/>
        <v>21</v>
      </c>
      <c r="V21" s="17">
        <f t="shared" si="13"/>
        <v>10</v>
      </c>
      <c r="W21" s="17">
        <f t="shared" si="13"/>
        <v>0</v>
      </c>
      <c r="X21" s="17">
        <f t="shared" si="13"/>
        <v>2</v>
      </c>
      <c r="Y21" s="17">
        <f t="shared" si="13"/>
        <v>0</v>
      </c>
      <c r="Z21" s="17">
        <f t="shared" si="13"/>
        <v>8</v>
      </c>
      <c r="AA21" s="17">
        <f t="shared" si="13"/>
        <v>0</v>
      </c>
      <c r="AB21" s="17">
        <f t="shared" si="13"/>
        <v>0</v>
      </c>
      <c r="AC21" s="17">
        <f t="shared" si="13"/>
        <v>13</v>
      </c>
      <c r="AD21" s="17">
        <f t="shared" si="13"/>
        <v>1</v>
      </c>
      <c r="AE21" s="31">
        <f t="shared" si="13"/>
        <v>53</v>
      </c>
      <c r="AF21" s="31">
        <f t="shared" si="13"/>
        <v>66</v>
      </c>
    </row>
    <row r="22" spans="2:32" ht="23.1" customHeight="1" x14ac:dyDescent="0.25">
      <c r="B22" s="45" t="s">
        <v>49</v>
      </c>
      <c r="C22" s="50">
        <v>7</v>
      </c>
      <c r="D22" s="50">
        <v>0</v>
      </c>
      <c r="E22" s="50">
        <v>3</v>
      </c>
      <c r="F22" s="50">
        <v>8</v>
      </c>
      <c r="G22" s="50">
        <v>0</v>
      </c>
      <c r="H22" s="50">
        <v>1</v>
      </c>
      <c r="I22" s="50">
        <v>0</v>
      </c>
      <c r="J22" s="50">
        <v>3</v>
      </c>
      <c r="K22" s="50">
        <v>0</v>
      </c>
      <c r="L22" s="50">
        <v>0</v>
      </c>
      <c r="M22" s="50">
        <v>3</v>
      </c>
      <c r="N22" s="50">
        <v>0</v>
      </c>
      <c r="O22" s="15">
        <f t="shared" si="0"/>
        <v>22</v>
      </c>
      <c r="P22" s="15">
        <f t="shared" si="1"/>
        <v>25</v>
      </c>
      <c r="R22" s="36" t="s">
        <v>146</v>
      </c>
      <c r="S22" s="34">
        <f>SUM(C58:C61)</f>
        <v>22</v>
      </c>
      <c r="T22" s="34">
        <f t="shared" ref="T22:AF22" si="14">SUM(D58:D61)</f>
        <v>0</v>
      </c>
      <c r="U22" s="34">
        <f t="shared" si="14"/>
        <v>5</v>
      </c>
      <c r="V22" s="34">
        <f t="shared" si="14"/>
        <v>10</v>
      </c>
      <c r="W22" s="34">
        <f t="shared" si="14"/>
        <v>0</v>
      </c>
      <c r="X22" s="34">
        <f t="shared" si="14"/>
        <v>1</v>
      </c>
      <c r="Y22" s="34">
        <f t="shared" si="14"/>
        <v>0</v>
      </c>
      <c r="Z22" s="34">
        <f t="shared" si="14"/>
        <v>4</v>
      </c>
      <c r="AA22" s="34">
        <f t="shared" si="14"/>
        <v>0</v>
      </c>
      <c r="AB22" s="34">
        <f t="shared" si="14"/>
        <v>0</v>
      </c>
      <c r="AC22" s="34">
        <f t="shared" si="14"/>
        <v>14</v>
      </c>
      <c r="AD22" s="34">
        <f t="shared" si="14"/>
        <v>0</v>
      </c>
      <c r="AE22" s="31">
        <f t="shared" si="14"/>
        <v>42</v>
      </c>
      <c r="AF22" s="31">
        <f t="shared" si="14"/>
        <v>56</v>
      </c>
    </row>
    <row r="23" spans="2:32" ht="23.1" customHeight="1" x14ac:dyDescent="0.25">
      <c r="B23" s="45" t="s">
        <v>50</v>
      </c>
      <c r="C23" s="50">
        <v>3</v>
      </c>
      <c r="D23" s="50">
        <v>0</v>
      </c>
      <c r="E23" s="50">
        <v>5</v>
      </c>
      <c r="F23" s="50">
        <v>13</v>
      </c>
      <c r="G23" s="50">
        <v>0</v>
      </c>
      <c r="H23" s="50">
        <v>0</v>
      </c>
      <c r="I23" s="50">
        <v>0</v>
      </c>
      <c r="J23" s="50">
        <v>2</v>
      </c>
      <c r="K23" s="50">
        <v>0</v>
      </c>
      <c r="L23" s="50">
        <v>0</v>
      </c>
      <c r="M23" s="50">
        <v>4</v>
      </c>
      <c r="N23" s="50">
        <v>0</v>
      </c>
      <c r="O23" s="15">
        <f t="shared" si="0"/>
        <v>23</v>
      </c>
      <c r="P23" s="15">
        <f t="shared" si="1"/>
        <v>27</v>
      </c>
      <c r="R23" s="36" t="s">
        <v>147</v>
      </c>
      <c r="S23" s="34">
        <f>SUM(C62:C65)</f>
        <v>14</v>
      </c>
      <c r="T23" s="34">
        <f t="shared" ref="T23:AF23" si="15">SUM(D62:D65)</f>
        <v>0</v>
      </c>
      <c r="U23" s="34">
        <f t="shared" si="15"/>
        <v>6</v>
      </c>
      <c r="V23" s="34">
        <f t="shared" si="15"/>
        <v>9</v>
      </c>
      <c r="W23" s="34">
        <f t="shared" si="15"/>
        <v>0</v>
      </c>
      <c r="X23" s="34">
        <f t="shared" si="15"/>
        <v>0</v>
      </c>
      <c r="Y23" s="34">
        <f t="shared" si="15"/>
        <v>0</v>
      </c>
      <c r="Z23" s="34">
        <f t="shared" si="15"/>
        <v>4</v>
      </c>
      <c r="AA23" s="34">
        <f t="shared" si="15"/>
        <v>0</v>
      </c>
      <c r="AB23" s="34">
        <f t="shared" si="15"/>
        <v>1</v>
      </c>
      <c r="AC23" s="34">
        <f t="shared" si="15"/>
        <v>7</v>
      </c>
      <c r="AD23" s="34">
        <f t="shared" si="15"/>
        <v>1</v>
      </c>
      <c r="AE23" s="31">
        <f t="shared" si="15"/>
        <v>35</v>
      </c>
      <c r="AF23" s="31">
        <f t="shared" si="15"/>
        <v>42</v>
      </c>
    </row>
    <row r="24" spans="2:32" ht="23.1" customHeight="1" x14ac:dyDescent="0.25">
      <c r="B24" s="45" t="s">
        <v>51</v>
      </c>
      <c r="C24" s="50">
        <v>12</v>
      </c>
      <c r="D24" s="50">
        <v>0</v>
      </c>
      <c r="E24" s="50">
        <v>3</v>
      </c>
      <c r="F24" s="50">
        <v>7</v>
      </c>
      <c r="G24" s="50">
        <v>0</v>
      </c>
      <c r="H24" s="50">
        <v>1</v>
      </c>
      <c r="I24" s="50">
        <v>0</v>
      </c>
      <c r="J24" s="50">
        <v>4</v>
      </c>
      <c r="K24" s="50">
        <v>0</v>
      </c>
      <c r="L24" s="50">
        <v>0</v>
      </c>
      <c r="M24" s="50">
        <v>2</v>
      </c>
      <c r="N24" s="50">
        <v>0</v>
      </c>
      <c r="O24" s="15">
        <f t="shared" si="0"/>
        <v>27</v>
      </c>
      <c r="P24" s="15">
        <f t="shared" si="1"/>
        <v>29</v>
      </c>
      <c r="R24" s="36" t="s">
        <v>148</v>
      </c>
      <c r="S24" s="34">
        <f>SUM(C66:C69)</f>
        <v>6</v>
      </c>
      <c r="T24" s="34">
        <f t="shared" ref="T24:AF24" si="16">SUM(D66:D69)</f>
        <v>0</v>
      </c>
      <c r="U24" s="34">
        <f t="shared" si="16"/>
        <v>15</v>
      </c>
      <c r="V24" s="34">
        <f t="shared" si="16"/>
        <v>0</v>
      </c>
      <c r="W24" s="34">
        <f t="shared" si="16"/>
        <v>0</v>
      </c>
      <c r="X24" s="34">
        <f t="shared" si="16"/>
        <v>0</v>
      </c>
      <c r="Y24" s="34">
        <f t="shared" si="16"/>
        <v>0</v>
      </c>
      <c r="Z24" s="34">
        <f t="shared" si="16"/>
        <v>2</v>
      </c>
      <c r="AA24" s="34">
        <f t="shared" si="16"/>
        <v>0</v>
      </c>
      <c r="AB24" s="34">
        <f t="shared" si="16"/>
        <v>1</v>
      </c>
      <c r="AC24" s="34">
        <f t="shared" si="16"/>
        <v>1</v>
      </c>
      <c r="AD24" s="34">
        <f t="shared" si="16"/>
        <v>0</v>
      </c>
      <c r="AE24" s="31">
        <f t="shared" si="16"/>
        <v>24</v>
      </c>
      <c r="AF24" s="31">
        <f t="shared" si="16"/>
        <v>25</v>
      </c>
    </row>
    <row r="25" spans="2:32" ht="23.1" customHeight="1" x14ac:dyDescent="0.25">
      <c r="B25" s="45" t="s">
        <v>52</v>
      </c>
      <c r="C25" s="50">
        <v>0</v>
      </c>
      <c r="D25" s="50">
        <v>0</v>
      </c>
      <c r="E25" s="50">
        <v>0</v>
      </c>
      <c r="F25" s="50">
        <v>8</v>
      </c>
      <c r="G25" s="50">
        <v>0</v>
      </c>
      <c r="H25" s="50">
        <v>0</v>
      </c>
      <c r="I25" s="50">
        <v>0</v>
      </c>
      <c r="J25" s="50">
        <v>2</v>
      </c>
      <c r="K25" s="50">
        <v>0</v>
      </c>
      <c r="L25" s="50">
        <v>0</v>
      </c>
      <c r="M25" s="50">
        <v>1</v>
      </c>
      <c r="N25" s="50">
        <v>0</v>
      </c>
      <c r="O25" s="15">
        <f t="shared" si="0"/>
        <v>10</v>
      </c>
      <c r="P25" s="15">
        <f t="shared" si="1"/>
        <v>11</v>
      </c>
      <c r="R25" s="36" t="s">
        <v>149</v>
      </c>
      <c r="S25" s="34">
        <f>SUM(C70:C73)</f>
        <v>6</v>
      </c>
      <c r="T25" s="34">
        <f t="shared" ref="T25:AF25" si="17">SUM(D70:D73)</f>
        <v>0</v>
      </c>
      <c r="U25" s="34">
        <f t="shared" si="17"/>
        <v>2</v>
      </c>
      <c r="V25" s="34">
        <f t="shared" si="17"/>
        <v>0</v>
      </c>
      <c r="W25" s="34">
        <f t="shared" si="17"/>
        <v>0</v>
      </c>
      <c r="X25" s="34">
        <f t="shared" si="17"/>
        <v>0</v>
      </c>
      <c r="Y25" s="34">
        <f t="shared" si="17"/>
        <v>0</v>
      </c>
      <c r="Z25" s="34">
        <f t="shared" si="17"/>
        <v>2</v>
      </c>
      <c r="AA25" s="34">
        <f t="shared" si="17"/>
        <v>0</v>
      </c>
      <c r="AB25" s="34">
        <f t="shared" si="17"/>
        <v>0</v>
      </c>
      <c r="AC25" s="34">
        <f t="shared" si="17"/>
        <v>0</v>
      </c>
      <c r="AD25" s="34">
        <f t="shared" si="17"/>
        <v>0</v>
      </c>
      <c r="AE25" s="31">
        <f t="shared" si="17"/>
        <v>10</v>
      </c>
      <c r="AF25" s="31">
        <f t="shared" si="17"/>
        <v>10</v>
      </c>
    </row>
    <row r="26" spans="2:32" ht="23.1" customHeight="1" x14ac:dyDescent="0.25">
      <c r="B26" s="45" t="s">
        <v>53</v>
      </c>
      <c r="C26" s="50">
        <v>7</v>
      </c>
      <c r="D26" s="50">
        <v>0</v>
      </c>
      <c r="E26" s="50">
        <v>1</v>
      </c>
      <c r="F26" s="50">
        <v>0</v>
      </c>
      <c r="G26" s="50">
        <v>0</v>
      </c>
      <c r="H26" s="50">
        <v>0</v>
      </c>
      <c r="I26" s="50">
        <v>0</v>
      </c>
      <c r="J26" s="50">
        <v>2</v>
      </c>
      <c r="K26" s="50">
        <v>0</v>
      </c>
      <c r="L26" s="50">
        <v>0</v>
      </c>
      <c r="M26" s="50">
        <v>2</v>
      </c>
      <c r="N26" s="50">
        <v>0</v>
      </c>
      <c r="O26" s="15">
        <f t="shared" si="0"/>
        <v>10</v>
      </c>
      <c r="P26" s="15">
        <f t="shared" si="1"/>
        <v>12</v>
      </c>
      <c r="R26" s="36" t="s">
        <v>150</v>
      </c>
      <c r="S26" s="34">
        <f>SUM(C74:C77)</f>
        <v>4</v>
      </c>
      <c r="T26" s="34">
        <f t="shared" ref="T26:AF26" si="18">SUM(D74:D77)</f>
        <v>0</v>
      </c>
      <c r="U26" s="34">
        <f t="shared" si="18"/>
        <v>4</v>
      </c>
      <c r="V26" s="34">
        <f t="shared" si="18"/>
        <v>0</v>
      </c>
      <c r="W26" s="34">
        <f t="shared" si="18"/>
        <v>0</v>
      </c>
      <c r="X26" s="34">
        <f t="shared" si="18"/>
        <v>3</v>
      </c>
      <c r="Y26" s="34">
        <f t="shared" si="18"/>
        <v>3</v>
      </c>
      <c r="Z26" s="34">
        <f t="shared" si="18"/>
        <v>2</v>
      </c>
      <c r="AA26" s="34">
        <f t="shared" si="18"/>
        <v>0</v>
      </c>
      <c r="AB26" s="34">
        <f t="shared" si="18"/>
        <v>1</v>
      </c>
      <c r="AC26" s="34">
        <f t="shared" si="18"/>
        <v>1</v>
      </c>
      <c r="AD26" s="34">
        <f t="shared" si="18"/>
        <v>0</v>
      </c>
      <c r="AE26" s="31">
        <f t="shared" si="18"/>
        <v>17</v>
      </c>
      <c r="AF26" s="31">
        <f t="shared" si="18"/>
        <v>18</v>
      </c>
    </row>
    <row r="27" spans="2:32" ht="23.1" customHeight="1" x14ac:dyDescent="0.25">
      <c r="B27" s="45" t="s">
        <v>54</v>
      </c>
      <c r="C27" s="50">
        <v>9</v>
      </c>
      <c r="D27" s="50">
        <v>0</v>
      </c>
      <c r="E27" s="50">
        <v>7</v>
      </c>
      <c r="F27" s="50">
        <v>0</v>
      </c>
      <c r="G27" s="50">
        <v>0</v>
      </c>
      <c r="H27" s="50">
        <v>0</v>
      </c>
      <c r="I27" s="50">
        <v>0</v>
      </c>
      <c r="J27" s="50">
        <v>3</v>
      </c>
      <c r="K27" s="50">
        <v>0</v>
      </c>
      <c r="L27" s="50">
        <v>0</v>
      </c>
      <c r="M27" s="50">
        <v>4</v>
      </c>
      <c r="N27" s="50">
        <v>0</v>
      </c>
      <c r="O27" s="15">
        <f t="shared" si="0"/>
        <v>19</v>
      </c>
      <c r="P27" s="15">
        <f t="shared" si="1"/>
        <v>23</v>
      </c>
      <c r="R27" s="36" t="s">
        <v>151</v>
      </c>
      <c r="S27" s="34">
        <f>SUM(C78:C81)</f>
        <v>0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0</v>
      </c>
      <c r="W27" s="34">
        <f t="shared" si="19"/>
        <v>0</v>
      </c>
      <c r="X27" s="34">
        <f t="shared" si="19"/>
        <v>1</v>
      </c>
      <c r="Y27" s="34">
        <f t="shared" si="19"/>
        <v>0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0</v>
      </c>
      <c r="AD27" s="34">
        <f t="shared" si="19"/>
        <v>0</v>
      </c>
      <c r="AE27" s="31">
        <f t="shared" si="19"/>
        <v>1</v>
      </c>
      <c r="AF27" s="31">
        <f t="shared" si="19"/>
        <v>1</v>
      </c>
    </row>
    <row r="28" spans="2:32" ht="23.1" customHeight="1" x14ac:dyDescent="0.25">
      <c r="B28" s="45" t="s">
        <v>55</v>
      </c>
      <c r="C28" s="50">
        <v>3</v>
      </c>
      <c r="D28" s="50">
        <v>0</v>
      </c>
      <c r="E28" s="50">
        <v>3</v>
      </c>
      <c r="F28" s="50">
        <v>0</v>
      </c>
      <c r="G28" s="50">
        <v>0</v>
      </c>
      <c r="H28" s="50">
        <v>0</v>
      </c>
      <c r="I28" s="50">
        <v>0</v>
      </c>
      <c r="J28" s="50">
        <v>1</v>
      </c>
      <c r="K28" s="50">
        <v>0</v>
      </c>
      <c r="L28" s="50">
        <v>0</v>
      </c>
      <c r="M28" s="50">
        <v>4</v>
      </c>
      <c r="N28" s="50">
        <v>0</v>
      </c>
      <c r="O28" s="15">
        <f t="shared" si="0"/>
        <v>7</v>
      </c>
      <c r="P28" s="15">
        <f t="shared" si="1"/>
        <v>11</v>
      </c>
      <c r="R28" s="36" t="s">
        <v>152</v>
      </c>
      <c r="S28" s="34">
        <f>SUM(C82:C85)</f>
        <v>0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1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1</v>
      </c>
      <c r="AD28" s="34">
        <f t="shared" si="20"/>
        <v>0</v>
      </c>
      <c r="AE28" s="31">
        <f t="shared" si="20"/>
        <v>1</v>
      </c>
      <c r="AF28" s="31">
        <f t="shared" si="20"/>
        <v>2</v>
      </c>
    </row>
    <row r="29" spans="2:32" ht="23.1" customHeight="1" x14ac:dyDescent="0.25">
      <c r="B29" s="45" t="s">
        <v>56</v>
      </c>
      <c r="C29" s="50">
        <v>10</v>
      </c>
      <c r="D29" s="50">
        <v>0</v>
      </c>
      <c r="E29" s="50">
        <v>3</v>
      </c>
      <c r="F29" s="50">
        <v>0</v>
      </c>
      <c r="G29" s="50">
        <v>0</v>
      </c>
      <c r="H29" s="50">
        <v>0</v>
      </c>
      <c r="I29" s="50">
        <v>0</v>
      </c>
      <c r="J29" s="50">
        <v>4</v>
      </c>
      <c r="K29" s="50">
        <v>0</v>
      </c>
      <c r="L29" s="50">
        <v>0</v>
      </c>
      <c r="M29" s="50">
        <v>5</v>
      </c>
      <c r="N29" s="50">
        <v>0</v>
      </c>
      <c r="O29" s="15">
        <f t="shared" si="0"/>
        <v>17</v>
      </c>
      <c r="P29" s="15">
        <f t="shared" si="1"/>
        <v>22</v>
      </c>
      <c r="R29" s="36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0</v>
      </c>
      <c r="AF29" s="31">
        <f t="shared" si="21"/>
        <v>0</v>
      </c>
    </row>
    <row r="30" spans="2:32" ht="23.1" customHeight="1" x14ac:dyDescent="0.25">
      <c r="B30" s="45" t="s">
        <v>57</v>
      </c>
      <c r="C30" s="50">
        <v>8</v>
      </c>
      <c r="D30" s="50">
        <v>0</v>
      </c>
      <c r="E30" s="50">
        <v>0</v>
      </c>
      <c r="F30" s="50">
        <v>3</v>
      </c>
      <c r="G30" s="50">
        <v>0</v>
      </c>
      <c r="H30" s="50">
        <v>0</v>
      </c>
      <c r="I30" s="50">
        <v>0</v>
      </c>
      <c r="J30" s="50">
        <v>3</v>
      </c>
      <c r="K30" s="50">
        <v>0</v>
      </c>
      <c r="L30" s="50">
        <v>0</v>
      </c>
      <c r="M30" s="50">
        <v>11</v>
      </c>
      <c r="N30" s="50">
        <v>0</v>
      </c>
      <c r="O30" s="15">
        <f t="shared" si="0"/>
        <v>14</v>
      </c>
      <c r="P30" s="15">
        <f t="shared" si="1"/>
        <v>25</v>
      </c>
      <c r="R30" s="36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0</v>
      </c>
      <c r="AD30" s="34">
        <f t="shared" si="22"/>
        <v>0</v>
      </c>
      <c r="AE30" s="31">
        <f t="shared" si="22"/>
        <v>0</v>
      </c>
      <c r="AF30" s="31">
        <f t="shared" si="22"/>
        <v>0</v>
      </c>
    </row>
    <row r="31" spans="2:32" ht="23.1" customHeight="1" x14ac:dyDescent="0.25">
      <c r="B31" s="46" t="s">
        <v>58</v>
      </c>
      <c r="C31" s="50">
        <v>6</v>
      </c>
      <c r="D31" s="50">
        <v>0</v>
      </c>
      <c r="E31" s="50">
        <v>0</v>
      </c>
      <c r="F31" s="50">
        <v>8</v>
      </c>
      <c r="G31" s="50">
        <v>0</v>
      </c>
      <c r="H31" s="50">
        <v>0</v>
      </c>
      <c r="I31" s="50">
        <v>0</v>
      </c>
      <c r="J31" s="50">
        <v>2</v>
      </c>
      <c r="K31" s="50">
        <v>0</v>
      </c>
      <c r="L31" s="50">
        <v>0</v>
      </c>
      <c r="M31" s="50">
        <v>6</v>
      </c>
      <c r="N31" s="50">
        <v>0</v>
      </c>
      <c r="O31" s="15">
        <f t="shared" si="0"/>
        <v>16</v>
      </c>
      <c r="P31" s="15">
        <f t="shared" si="1"/>
        <v>22</v>
      </c>
      <c r="R31" s="36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1</v>
      </c>
      <c r="Y31" s="34">
        <f t="shared" si="23"/>
        <v>3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31">
        <f t="shared" si="23"/>
        <v>4</v>
      </c>
      <c r="AF31" s="31">
        <f t="shared" si="23"/>
        <v>4</v>
      </c>
    </row>
    <row r="32" spans="2:32" ht="23.1" customHeight="1" x14ac:dyDescent="0.25">
      <c r="B32" s="46" t="s">
        <v>59</v>
      </c>
      <c r="C32" s="50">
        <v>2</v>
      </c>
      <c r="D32" s="50">
        <v>0</v>
      </c>
      <c r="E32" s="50">
        <v>0</v>
      </c>
      <c r="F32" s="50">
        <v>13</v>
      </c>
      <c r="G32" s="50">
        <v>0</v>
      </c>
      <c r="H32" s="50">
        <v>0</v>
      </c>
      <c r="I32" s="50">
        <v>0</v>
      </c>
      <c r="J32" s="50">
        <v>3</v>
      </c>
      <c r="K32" s="50">
        <v>0</v>
      </c>
      <c r="L32" s="50">
        <v>0</v>
      </c>
      <c r="M32" s="50">
        <v>4</v>
      </c>
      <c r="N32" s="50">
        <v>0</v>
      </c>
      <c r="O32" s="15">
        <f t="shared" si="0"/>
        <v>18</v>
      </c>
      <c r="P32" s="15">
        <f t="shared" si="1"/>
        <v>22</v>
      </c>
      <c r="R32" s="33" t="s">
        <v>156</v>
      </c>
      <c r="S32" s="34">
        <f>SUM(C98:C101)</f>
        <v>2</v>
      </c>
      <c r="T32" s="34">
        <f t="shared" ref="T32:AF32" si="24">SUM(D98:D101)</f>
        <v>0</v>
      </c>
      <c r="U32" s="34">
        <f t="shared" si="24"/>
        <v>2</v>
      </c>
      <c r="V32" s="34">
        <f t="shared" si="24"/>
        <v>0</v>
      </c>
      <c r="W32" s="34">
        <f t="shared" si="24"/>
        <v>0</v>
      </c>
      <c r="X32" s="34">
        <f t="shared" si="24"/>
        <v>1</v>
      </c>
      <c r="Y32" s="34">
        <f t="shared" si="24"/>
        <v>3</v>
      </c>
      <c r="Z32" s="34">
        <f t="shared" si="24"/>
        <v>3</v>
      </c>
      <c r="AA32" s="34">
        <f t="shared" si="24"/>
        <v>0</v>
      </c>
      <c r="AB32" s="34">
        <f t="shared" si="24"/>
        <v>2</v>
      </c>
      <c r="AC32" s="34">
        <f t="shared" si="24"/>
        <v>0</v>
      </c>
      <c r="AD32" s="34">
        <f t="shared" si="24"/>
        <v>0</v>
      </c>
      <c r="AE32" s="31">
        <f t="shared" si="24"/>
        <v>13</v>
      </c>
      <c r="AF32" s="31">
        <f t="shared" si="24"/>
        <v>13</v>
      </c>
    </row>
    <row r="33" spans="2:32" ht="23.1" customHeight="1" x14ac:dyDescent="0.25">
      <c r="B33" s="45" t="s">
        <v>60</v>
      </c>
      <c r="C33" s="50">
        <v>3</v>
      </c>
      <c r="D33" s="50">
        <v>0</v>
      </c>
      <c r="E33" s="50">
        <v>0</v>
      </c>
      <c r="F33" s="50">
        <v>3</v>
      </c>
      <c r="G33" s="50">
        <v>0</v>
      </c>
      <c r="H33" s="50">
        <v>0</v>
      </c>
      <c r="I33" s="50">
        <v>0</v>
      </c>
      <c r="J33" s="50">
        <v>2</v>
      </c>
      <c r="K33" s="50">
        <v>0</v>
      </c>
      <c r="L33" s="50">
        <v>0</v>
      </c>
      <c r="M33" s="50">
        <v>3</v>
      </c>
      <c r="N33" s="50">
        <v>0</v>
      </c>
      <c r="O33" s="15">
        <f t="shared" si="0"/>
        <v>8</v>
      </c>
      <c r="P33" s="15">
        <f t="shared" si="1"/>
        <v>11</v>
      </c>
      <c r="R33" s="33" t="s">
        <v>157</v>
      </c>
      <c r="S33" s="34">
        <f>SUM(C102:C105)</f>
        <v>6</v>
      </c>
      <c r="T33" s="34">
        <f t="shared" ref="T33:AF33" si="25">SUM(D102:D105)</f>
        <v>0</v>
      </c>
      <c r="U33" s="34">
        <f t="shared" si="25"/>
        <v>3</v>
      </c>
      <c r="V33" s="34">
        <f t="shared" si="25"/>
        <v>3</v>
      </c>
      <c r="W33" s="34">
        <f t="shared" si="25"/>
        <v>0</v>
      </c>
      <c r="X33" s="34">
        <f t="shared" si="25"/>
        <v>2</v>
      </c>
      <c r="Y33" s="34">
        <f t="shared" si="25"/>
        <v>8</v>
      </c>
      <c r="Z33" s="34">
        <f t="shared" si="25"/>
        <v>3</v>
      </c>
      <c r="AA33" s="34">
        <f t="shared" si="25"/>
        <v>0</v>
      </c>
      <c r="AB33" s="34">
        <f t="shared" si="25"/>
        <v>0</v>
      </c>
      <c r="AC33" s="34">
        <f t="shared" si="25"/>
        <v>1</v>
      </c>
      <c r="AD33" s="34">
        <f t="shared" si="25"/>
        <v>0</v>
      </c>
      <c r="AE33" s="31">
        <f t="shared" si="25"/>
        <v>25</v>
      </c>
      <c r="AF33" s="31">
        <f t="shared" si="25"/>
        <v>26</v>
      </c>
    </row>
    <row r="34" spans="2:32" ht="23.1" customHeight="1" x14ac:dyDescent="0.25">
      <c r="B34" s="46" t="s">
        <v>61</v>
      </c>
      <c r="C34" s="50">
        <v>9</v>
      </c>
      <c r="D34" s="50">
        <v>0</v>
      </c>
      <c r="E34" s="50">
        <v>3</v>
      </c>
      <c r="F34" s="50">
        <v>8</v>
      </c>
      <c r="G34" s="50">
        <v>0</v>
      </c>
      <c r="H34" s="50">
        <v>1</v>
      </c>
      <c r="I34" s="50">
        <v>0</v>
      </c>
      <c r="J34" s="50">
        <v>1</v>
      </c>
      <c r="K34" s="50">
        <v>0</v>
      </c>
      <c r="L34" s="50">
        <v>0</v>
      </c>
      <c r="M34" s="50">
        <v>4</v>
      </c>
      <c r="N34" s="50">
        <v>0</v>
      </c>
      <c r="O34" s="15">
        <f t="shared" si="0"/>
        <v>22</v>
      </c>
      <c r="P34" s="15">
        <f t="shared" si="1"/>
        <v>26</v>
      </c>
      <c r="R34" s="38" t="s">
        <v>90</v>
      </c>
      <c r="S34" s="39">
        <f t="shared" ref="S34:AF34" si="26">MAX(S10:S12)</f>
        <v>25</v>
      </c>
      <c r="T34" s="39">
        <f t="shared" si="26"/>
        <v>0</v>
      </c>
      <c r="U34" s="39">
        <f t="shared" si="26"/>
        <v>15</v>
      </c>
      <c r="V34" s="39">
        <f t="shared" si="26"/>
        <v>9</v>
      </c>
      <c r="W34" s="39">
        <f t="shared" si="26"/>
        <v>0</v>
      </c>
      <c r="X34" s="39">
        <f t="shared" si="26"/>
        <v>0</v>
      </c>
      <c r="Y34" s="39">
        <f t="shared" si="26"/>
        <v>0</v>
      </c>
      <c r="Z34" s="39">
        <f t="shared" si="26"/>
        <v>7</v>
      </c>
      <c r="AA34" s="39">
        <f t="shared" si="26"/>
        <v>4</v>
      </c>
      <c r="AB34" s="39">
        <f t="shared" si="26"/>
        <v>2</v>
      </c>
      <c r="AC34" s="39">
        <f t="shared" si="26"/>
        <v>18</v>
      </c>
      <c r="AD34" s="39">
        <f t="shared" si="26"/>
        <v>0</v>
      </c>
      <c r="AE34" s="40">
        <f t="shared" si="26"/>
        <v>54</v>
      </c>
      <c r="AF34" s="40">
        <f t="shared" si="26"/>
        <v>67</v>
      </c>
    </row>
    <row r="35" spans="2:32" ht="23.1" customHeight="1" x14ac:dyDescent="0.25">
      <c r="B35" s="46" t="s">
        <v>62</v>
      </c>
      <c r="C35" s="50">
        <v>7</v>
      </c>
      <c r="D35" s="50">
        <v>0</v>
      </c>
      <c r="E35" s="50">
        <v>3</v>
      </c>
      <c r="F35" s="50">
        <v>11</v>
      </c>
      <c r="G35" s="50">
        <v>0</v>
      </c>
      <c r="H35" s="50">
        <v>1</v>
      </c>
      <c r="I35" s="50">
        <v>0</v>
      </c>
      <c r="J35" s="50">
        <v>3</v>
      </c>
      <c r="K35" s="50">
        <v>0</v>
      </c>
      <c r="L35" s="50">
        <v>0</v>
      </c>
      <c r="M35" s="50">
        <v>4</v>
      </c>
      <c r="N35" s="50">
        <v>0</v>
      </c>
      <c r="O35" s="15">
        <f t="shared" si="0"/>
        <v>25</v>
      </c>
      <c r="P35" s="15">
        <f t="shared" si="1"/>
        <v>29</v>
      </c>
      <c r="R35" s="38" t="s">
        <v>91</v>
      </c>
      <c r="S35" s="39">
        <f t="shared" ref="S35:AF35" si="27">MAX(S13:S18)</f>
        <v>39</v>
      </c>
      <c r="T35" s="39">
        <f t="shared" si="27"/>
        <v>0</v>
      </c>
      <c r="U35" s="39">
        <f t="shared" si="27"/>
        <v>19</v>
      </c>
      <c r="V35" s="39">
        <f t="shared" si="27"/>
        <v>36</v>
      </c>
      <c r="W35" s="39">
        <f t="shared" si="27"/>
        <v>0</v>
      </c>
      <c r="X35" s="39">
        <f t="shared" si="27"/>
        <v>7</v>
      </c>
      <c r="Y35" s="39">
        <f t="shared" si="27"/>
        <v>0</v>
      </c>
      <c r="Z35" s="39">
        <f t="shared" si="27"/>
        <v>11</v>
      </c>
      <c r="AA35" s="39">
        <f t="shared" si="27"/>
        <v>0</v>
      </c>
      <c r="AB35" s="39">
        <f t="shared" si="27"/>
        <v>0</v>
      </c>
      <c r="AC35" s="39">
        <f t="shared" si="27"/>
        <v>25</v>
      </c>
      <c r="AD35" s="39">
        <f t="shared" si="27"/>
        <v>1</v>
      </c>
      <c r="AE35" s="40">
        <f t="shared" si="27"/>
        <v>103</v>
      </c>
      <c r="AF35" s="40">
        <f t="shared" si="27"/>
        <v>128</v>
      </c>
    </row>
    <row r="36" spans="2:32" ht="23.1" customHeight="1" x14ac:dyDescent="0.25">
      <c r="B36" s="46" t="s">
        <v>63</v>
      </c>
      <c r="C36" s="50">
        <v>9</v>
      </c>
      <c r="D36" s="50">
        <v>0</v>
      </c>
      <c r="E36" s="50">
        <v>0</v>
      </c>
      <c r="F36" s="50">
        <v>3</v>
      </c>
      <c r="G36" s="50">
        <v>0</v>
      </c>
      <c r="H36" s="50">
        <v>2</v>
      </c>
      <c r="I36" s="50">
        <v>0</v>
      </c>
      <c r="J36" s="50">
        <v>3</v>
      </c>
      <c r="K36" s="50">
        <v>0</v>
      </c>
      <c r="L36" s="50">
        <v>0</v>
      </c>
      <c r="M36" s="50">
        <v>8</v>
      </c>
      <c r="N36" s="50">
        <v>0</v>
      </c>
      <c r="O36" s="15">
        <f t="shared" si="0"/>
        <v>17</v>
      </c>
      <c r="P36" s="15">
        <f t="shared" si="1"/>
        <v>25</v>
      </c>
      <c r="R36" s="38" t="s">
        <v>92</v>
      </c>
      <c r="S36" s="39">
        <f t="shared" ref="S36:AF36" si="28">MAX(S19:S21)</f>
        <v>27</v>
      </c>
      <c r="T36" s="39">
        <f t="shared" si="28"/>
        <v>0</v>
      </c>
      <c r="U36" s="39">
        <f t="shared" si="28"/>
        <v>23</v>
      </c>
      <c r="V36" s="39">
        <f t="shared" si="28"/>
        <v>22</v>
      </c>
      <c r="W36" s="39">
        <f t="shared" si="28"/>
        <v>0</v>
      </c>
      <c r="X36" s="39">
        <f t="shared" si="28"/>
        <v>2</v>
      </c>
      <c r="Y36" s="39">
        <f t="shared" si="28"/>
        <v>0</v>
      </c>
      <c r="Z36" s="39">
        <f t="shared" si="28"/>
        <v>10</v>
      </c>
      <c r="AA36" s="39">
        <f t="shared" si="28"/>
        <v>0</v>
      </c>
      <c r="AB36" s="39">
        <f t="shared" si="28"/>
        <v>7</v>
      </c>
      <c r="AC36" s="39">
        <f t="shared" si="28"/>
        <v>16</v>
      </c>
      <c r="AD36" s="39">
        <f t="shared" si="28"/>
        <v>1</v>
      </c>
      <c r="AE36" s="40">
        <f t="shared" si="28"/>
        <v>90</v>
      </c>
      <c r="AF36" s="40">
        <f t="shared" si="28"/>
        <v>106</v>
      </c>
    </row>
    <row r="37" spans="2:32" ht="23.1" customHeight="1" x14ac:dyDescent="0.25">
      <c r="B37" s="45" t="s">
        <v>64</v>
      </c>
      <c r="C37" s="50">
        <v>11</v>
      </c>
      <c r="D37" s="50">
        <v>0</v>
      </c>
      <c r="E37" s="50">
        <v>11</v>
      </c>
      <c r="F37" s="50">
        <v>0</v>
      </c>
      <c r="G37" s="50">
        <v>0</v>
      </c>
      <c r="H37" s="50">
        <v>3</v>
      </c>
      <c r="I37" s="50">
        <v>0</v>
      </c>
      <c r="J37" s="50">
        <v>3</v>
      </c>
      <c r="K37" s="50">
        <v>0</v>
      </c>
      <c r="L37" s="50">
        <v>0</v>
      </c>
      <c r="M37" s="50">
        <v>5</v>
      </c>
      <c r="N37" s="50">
        <v>0</v>
      </c>
      <c r="O37" s="15">
        <f t="shared" si="0"/>
        <v>28</v>
      </c>
      <c r="P37" s="15">
        <f t="shared" si="1"/>
        <v>33</v>
      </c>
      <c r="R37" s="37" t="s">
        <v>85</v>
      </c>
      <c r="S37" s="35">
        <f t="shared" ref="S37:AF37" si="29">SUM(S10:S12)</f>
        <v>47</v>
      </c>
      <c r="T37" s="16">
        <f t="shared" si="29"/>
        <v>0</v>
      </c>
      <c r="U37" s="16">
        <f t="shared" si="29"/>
        <v>31</v>
      </c>
      <c r="V37" s="16">
        <f t="shared" si="29"/>
        <v>17</v>
      </c>
      <c r="W37" s="16">
        <f t="shared" si="29"/>
        <v>0</v>
      </c>
      <c r="X37" s="16">
        <f t="shared" si="29"/>
        <v>0</v>
      </c>
      <c r="Y37" s="16">
        <f t="shared" si="29"/>
        <v>0</v>
      </c>
      <c r="Z37" s="16">
        <f t="shared" si="29"/>
        <v>16</v>
      </c>
      <c r="AA37" s="16">
        <f t="shared" si="29"/>
        <v>4</v>
      </c>
      <c r="AB37" s="16">
        <f t="shared" si="29"/>
        <v>2</v>
      </c>
      <c r="AC37" s="16">
        <f t="shared" si="29"/>
        <v>38</v>
      </c>
      <c r="AD37" s="16">
        <f t="shared" si="29"/>
        <v>0</v>
      </c>
      <c r="AE37" s="32">
        <f t="shared" si="29"/>
        <v>117</v>
      </c>
      <c r="AF37" s="32">
        <f t="shared" si="29"/>
        <v>155</v>
      </c>
    </row>
    <row r="38" spans="2:32" ht="23.1" customHeight="1" x14ac:dyDescent="0.25">
      <c r="B38" s="46" t="s">
        <v>65</v>
      </c>
      <c r="C38" s="50">
        <v>6</v>
      </c>
      <c r="D38" s="50">
        <v>0</v>
      </c>
      <c r="E38" s="50">
        <v>7</v>
      </c>
      <c r="F38" s="50">
        <v>4</v>
      </c>
      <c r="G38" s="50">
        <v>0</v>
      </c>
      <c r="H38" s="50">
        <v>1</v>
      </c>
      <c r="I38" s="50">
        <v>0</v>
      </c>
      <c r="J38" s="50">
        <v>2</v>
      </c>
      <c r="K38" s="50">
        <v>0</v>
      </c>
      <c r="L38" s="50">
        <v>0</v>
      </c>
      <c r="M38" s="50">
        <v>4</v>
      </c>
      <c r="N38" s="50">
        <v>1</v>
      </c>
      <c r="O38" s="15">
        <f t="shared" si="0"/>
        <v>21</v>
      </c>
      <c r="P38" s="15">
        <f t="shared" si="1"/>
        <v>25</v>
      </c>
      <c r="R38" s="28" t="s">
        <v>86</v>
      </c>
      <c r="S38" s="16">
        <f t="shared" ref="S38:AF38" si="30">SUM(S13:S18)</f>
        <v>168</v>
      </c>
      <c r="T38" s="16">
        <f t="shared" si="30"/>
        <v>0</v>
      </c>
      <c r="U38" s="16">
        <f t="shared" si="30"/>
        <v>76</v>
      </c>
      <c r="V38" s="16">
        <f t="shared" si="30"/>
        <v>129</v>
      </c>
      <c r="W38" s="16">
        <f t="shared" si="30"/>
        <v>0</v>
      </c>
      <c r="X38" s="16">
        <f t="shared" si="30"/>
        <v>14</v>
      </c>
      <c r="Y38" s="16">
        <f t="shared" si="30"/>
        <v>0</v>
      </c>
      <c r="Z38" s="16">
        <f t="shared" si="30"/>
        <v>59</v>
      </c>
      <c r="AA38" s="16">
        <f t="shared" si="30"/>
        <v>0</v>
      </c>
      <c r="AB38" s="16">
        <f t="shared" si="30"/>
        <v>0</v>
      </c>
      <c r="AC38" s="16">
        <f t="shared" si="30"/>
        <v>112</v>
      </c>
      <c r="AD38" s="16">
        <f t="shared" si="30"/>
        <v>1</v>
      </c>
      <c r="AE38" s="32">
        <f t="shared" si="30"/>
        <v>447</v>
      </c>
      <c r="AF38" s="32">
        <f t="shared" si="30"/>
        <v>559</v>
      </c>
    </row>
    <row r="39" spans="2:32" ht="23.1" customHeight="1" x14ac:dyDescent="0.25">
      <c r="B39" s="46" t="s">
        <v>66</v>
      </c>
      <c r="C39" s="50">
        <v>10</v>
      </c>
      <c r="D39" s="50">
        <v>0</v>
      </c>
      <c r="E39" s="50">
        <v>4</v>
      </c>
      <c r="F39" s="50">
        <v>7</v>
      </c>
      <c r="G39" s="50">
        <v>0</v>
      </c>
      <c r="H39" s="50">
        <v>2</v>
      </c>
      <c r="I39" s="50">
        <v>0</v>
      </c>
      <c r="J39" s="50">
        <v>0</v>
      </c>
      <c r="K39" s="50">
        <v>0</v>
      </c>
      <c r="L39" s="50">
        <v>0</v>
      </c>
      <c r="M39" s="50">
        <v>6</v>
      </c>
      <c r="N39" s="50">
        <v>0</v>
      </c>
      <c r="O39" s="15">
        <f t="shared" si="0"/>
        <v>23</v>
      </c>
      <c r="P39" s="15">
        <f t="shared" si="1"/>
        <v>29</v>
      </c>
      <c r="R39" s="29" t="s">
        <v>87</v>
      </c>
      <c r="S39" s="16">
        <f t="shared" ref="S39:AF39" si="31">SUM(S19:S21)</f>
        <v>56</v>
      </c>
      <c r="T39" s="16">
        <f t="shared" si="31"/>
        <v>0</v>
      </c>
      <c r="U39" s="16">
        <f t="shared" si="31"/>
        <v>63</v>
      </c>
      <c r="V39" s="16">
        <f t="shared" si="31"/>
        <v>53</v>
      </c>
      <c r="W39" s="16">
        <f t="shared" si="31"/>
        <v>0</v>
      </c>
      <c r="X39" s="16">
        <f t="shared" si="31"/>
        <v>5</v>
      </c>
      <c r="Y39" s="16">
        <f t="shared" si="31"/>
        <v>0</v>
      </c>
      <c r="Z39" s="16">
        <f t="shared" si="31"/>
        <v>28</v>
      </c>
      <c r="AA39" s="16">
        <f t="shared" si="31"/>
        <v>0</v>
      </c>
      <c r="AB39" s="16">
        <f t="shared" si="31"/>
        <v>13</v>
      </c>
      <c r="AC39" s="16">
        <f t="shared" si="31"/>
        <v>37</v>
      </c>
      <c r="AD39" s="16">
        <f t="shared" si="31"/>
        <v>1</v>
      </c>
      <c r="AE39" s="32">
        <f t="shared" si="31"/>
        <v>219</v>
      </c>
      <c r="AF39" s="32">
        <f t="shared" si="31"/>
        <v>256</v>
      </c>
    </row>
    <row r="40" spans="2:32" ht="23.1" customHeight="1" x14ac:dyDescent="0.25">
      <c r="B40" s="46" t="s">
        <v>67</v>
      </c>
      <c r="C40" s="50">
        <v>4</v>
      </c>
      <c r="D40" s="50">
        <v>0</v>
      </c>
      <c r="E40" s="50">
        <v>4</v>
      </c>
      <c r="F40" s="50">
        <v>3</v>
      </c>
      <c r="G40" s="50">
        <v>0</v>
      </c>
      <c r="H40" s="50">
        <v>1</v>
      </c>
      <c r="I40" s="50">
        <v>0</v>
      </c>
      <c r="J40" s="50">
        <v>3</v>
      </c>
      <c r="K40" s="50">
        <v>0</v>
      </c>
      <c r="L40" s="50">
        <v>0</v>
      </c>
      <c r="M40" s="50">
        <v>6</v>
      </c>
      <c r="N40" s="50">
        <v>0</v>
      </c>
      <c r="O40" s="15">
        <f t="shared" si="0"/>
        <v>15</v>
      </c>
      <c r="P40" s="15">
        <f t="shared" si="1"/>
        <v>21</v>
      </c>
      <c r="R40" s="5" t="s">
        <v>17</v>
      </c>
      <c r="S40" s="16">
        <f t="shared" ref="S40:AF40" si="32">SUM(S10:S21)</f>
        <v>271</v>
      </c>
      <c r="T40" s="16">
        <f t="shared" si="32"/>
        <v>0</v>
      </c>
      <c r="U40" s="16">
        <f t="shared" si="32"/>
        <v>170</v>
      </c>
      <c r="V40" s="16">
        <f t="shared" si="32"/>
        <v>199</v>
      </c>
      <c r="W40" s="16">
        <f t="shared" si="32"/>
        <v>0</v>
      </c>
      <c r="X40" s="16">
        <f t="shared" si="32"/>
        <v>19</v>
      </c>
      <c r="Y40" s="16">
        <f t="shared" si="32"/>
        <v>0</v>
      </c>
      <c r="Z40" s="16">
        <f t="shared" si="32"/>
        <v>103</v>
      </c>
      <c r="AA40" s="16">
        <f t="shared" si="32"/>
        <v>4</v>
      </c>
      <c r="AB40" s="16">
        <f t="shared" si="32"/>
        <v>15</v>
      </c>
      <c r="AC40" s="16">
        <f t="shared" si="32"/>
        <v>187</v>
      </c>
      <c r="AD40" s="16">
        <f t="shared" si="32"/>
        <v>2</v>
      </c>
      <c r="AE40" s="32">
        <f t="shared" si="32"/>
        <v>783</v>
      </c>
      <c r="AF40" s="32">
        <f t="shared" si="32"/>
        <v>970</v>
      </c>
    </row>
    <row r="41" spans="2:32" ht="23.1" customHeight="1" x14ac:dyDescent="0.25">
      <c r="B41" s="45" t="s">
        <v>68</v>
      </c>
      <c r="C41" s="50">
        <v>19</v>
      </c>
      <c r="D41" s="50">
        <v>0</v>
      </c>
      <c r="E41" s="50">
        <v>4</v>
      </c>
      <c r="F41" s="50">
        <v>16</v>
      </c>
      <c r="G41" s="50">
        <v>0</v>
      </c>
      <c r="H41" s="50">
        <v>1</v>
      </c>
      <c r="I41" s="50">
        <v>0</v>
      </c>
      <c r="J41" s="50">
        <v>4</v>
      </c>
      <c r="K41" s="50">
        <v>0</v>
      </c>
      <c r="L41" s="50">
        <v>0</v>
      </c>
      <c r="M41" s="50">
        <v>9</v>
      </c>
      <c r="N41" s="50">
        <v>0</v>
      </c>
      <c r="O41" s="15">
        <f t="shared" si="0"/>
        <v>44</v>
      </c>
      <c r="P41" s="15">
        <f t="shared" si="1"/>
        <v>53</v>
      </c>
      <c r="R41" s="5" t="s">
        <v>159</v>
      </c>
      <c r="S41" s="16">
        <f>SUM(S10:S33)</f>
        <v>331</v>
      </c>
      <c r="T41" s="16">
        <f t="shared" ref="T41:AF41" si="33">SUM(T10:T33)</f>
        <v>0</v>
      </c>
      <c r="U41" s="16">
        <f t="shared" si="33"/>
        <v>207</v>
      </c>
      <c r="V41" s="16">
        <f t="shared" si="33"/>
        <v>221</v>
      </c>
      <c r="W41" s="16">
        <f t="shared" si="33"/>
        <v>0</v>
      </c>
      <c r="X41" s="16">
        <f t="shared" si="33"/>
        <v>28</v>
      </c>
      <c r="Y41" s="16">
        <f t="shared" si="33"/>
        <v>18</v>
      </c>
      <c r="Z41" s="16">
        <f t="shared" si="33"/>
        <v>123</v>
      </c>
      <c r="AA41" s="16">
        <f t="shared" si="33"/>
        <v>4</v>
      </c>
      <c r="AB41" s="16">
        <f t="shared" si="33"/>
        <v>20</v>
      </c>
      <c r="AC41" s="16">
        <f t="shared" si="33"/>
        <v>212</v>
      </c>
      <c r="AD41" s="16">
        <f t="shared" si="33"/>
        <v>3</v>
      </c>
      <c r="AE41" s="32">
        <f t="shared" si="33"/>
        <v>955</v>
      </c>
      <c r="AF41" s="32">
        <f t="shared" si="33"/>
        <v>1167</v>
      </c>
    </row>
    <row r="42" spans="2:32" ht="23.1" customHeight="1" x14ac:dyDescent="0.25">
      <c r="B42" s="46" t="s">
        <v>69</v>
      </c>
      <c r="C42" s="50">
        <v>4</v>
      </c>
      <c r="D42" s="50">
        <v>0</v>
      </c>
      <c r="E42" s="50">
        <v>2</v>
      </c>
      <c r="F42" s="50">
        <v>3</v>
      </c>
      <c r="G42" s="50">
        <v>0</v>
      </c>
      <c r="H42" s="50">
        <v>0</v>
      </c>
      <c r="I42" s="50">
        <v>0</v>
      </c>
      <c r="J42" s="50">
        <v>2</v>
      </c>
      <c r="K42" s="50">
        <v>0</v>
      </c>
      <c r="L42" s="50">
        <v>0</v>
      </c>
      <c r="M42" s="50">
        <v>3</v>
      </c>
      <c r="N42" s="50">
        <v>0</v>
      </c>
      <c r="O42" s="15">
        <f t="shared" si="0"/>
        <v>11</v>
      </c>
      <c r="P42" s="15">
        <f t="shared" si="1"/>
        <v>14</v>
      </c>
      <c r="R42" s="5" t="s">
        <v>160</v>
      </c>
      <c r="S42" s="48">
        <f>S41/S40</f>
        <v>1.2214022140221403</v>
      </c>
      <c r="T42" s="48" t="e">
        <f t="shared" ref="T42:AF42" si="34">T41/T40</f>
        <v>#DIV/0!</v>
      </c>
      <c r="U42" s="48">
        <f t="shared" si="34"/>
        <v>1.2176470588235293</v>
      </c>
      <c r="V42" s="48">
        <f t="shared" si="34"/>
        <v>1.1105527638190955</v>
      </c>
      <c r="W42" s="48" t="e">
        <f t="shared" si="34"/>
        <v>#DIV/0!</v>
      </c>
      <c r="X42" s="48">
        <f t="shared" si="34"/>
        <v>1.4736842105263157</v>
      </c>
      <c r="Y42" s="48" t="e">
        <f t="shared" si="34"/>
        <v>#DIV/0!</v>
      </c>
      <c r="Z42" s="48">
        <f t="shared" si="34"/>
        <v>1.1941747572815533</v>
      </c>
      <c r="AA42" s="48">
        <f t="shared" si="34"/>
        <v>1</v>
      </c>
      <c r="AB42" s="48">
        <f t="shared" si="34"/>
        <v>1.3333333333333333</v>
      </c>
      <c r="AC42" s="48">
        <f t="shared" si="34"/>
        <v>1.1336898395721926</v>
      </c>
      <c r="AD42" s="48">
        <f t="shared" si="34"/>
        <v>1.5</v>
      </c>
      <c r="AE42" s="48">
        <f t="shared" si="34"/>
        <v>1.2196679438058748</v>
      </c>
      <c r="AF42" s="48">
        <f t="shared" si="34"/>
        <v>1.2030927835051546</v>
      </c>
    </row>
    <row r="43" spans="2:32" ht="23.1" customHeight="1" x14ac:dyDescent="0.25">
      <c r="B43" s="45" t="s">
        <v>70</v>
      </c>
      <c r="C43" s="50">
        <v>12</v>
      </c>
      <c r="D43" s="50">
        <v>0</v>
      </c>
      <c r="E43" s="50">
        <v>3</v>
      </c>
      <c r="F43" s="50">
        <v>0</v>
      </c>
      <c r="G43" s="50">
        <v>0</v>
      </c>
      <c r="H43" s="50">
        <v>0</v>
      </c>
      <c r="I43" s="50">
        <v>0</v>
      </c>
      <c r="J43" s="50">
        <v>1</v>
      </c>
      <c r="K43" s="50">
        <v>0</v>
      </c>
      <c r="L43" s="50">
        <v>0</v>
      </c>
      <c r="M43" s="50">
        <v>3</v>
      </c>
      <c r="N43" s="50">
        <v>0</v>
      </c>
      <c r="O43" s="15">
        <f t="shared" si="0"/>
        <v>16</v>
      </c>
      <c r="P43" s="15">
        <f t="shared" si="1"/>
        <v>19</v>
      </c>
    </row>
    <row r="44" spans="2:32" ht="23.1" customHeight="1" x14ac:dyDescent="0.25">
      <c r="B44" s="47" t="s">
        <v>71</v>
      </c>
      <c r="C44" s="50">
        <v>3</v>
      </c>
      <c r="D44" s="50">
        <v>0</v>
      </c>
      <c r="E44" s="50">
        <v>2</v>
      </c>
      <c r="F44" s="50">
        <v>4</v>
      </c>
      <c r="G44" s="50">
        <v>0</v>
      </c>
      <c r="H44" s="50">
        <v>0</v>
      </c>
      <c r="I44" s="50">
        <v>0</v>
      </c>
      <c r="J44" s="50">
        <v>6</v>
      </c>
      <c r="K44" s="50">
        <v>0</v>
      </c>
      <c r="L44" s="50">
        <v>0</v>
      </c>
      <c r="M44" s="50">
        <v>6</v>
      </c>
      <c r="N44" s="50">
        <v>0</v>
      </c>
      <c r="O44" s="15">
        <f t="shared" si="0"/>
        <v>15</v>
      </c>
      <c r="P44" s="15">
        <f t="shared" si="1"/>
        <v>21</v>
      </c>
    </row>
    <row r="45" spans="2:32" ht="23.1" customHeight="1" x14ac:dyDescent="0.25">
      <c r="B45" s="45" t="s">
        <v>72</v>
      </c>
      <c r="C45" s="50">
        <v>4</v>
      </c>
      <c r="D45" s="50">
        <v>0</v>
      </c>
      <c r="E45" s="50">
        <v>8</v>
      </c>
      <c r="F45" s="50">
        <v>7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5</v>
      </c>
      <c r="N45" s="50">
        <v>0</v>
      </c>
      <c r="O45" s="15">
        <f t="shared" si="0"/>
        <v>19</v>
      </c>
      <c r="P45" s="15">
        <f t="shared" si="1"/>
        <v>24</v>
      </c>
    </row>
    <row r="46" spans="2:32" ht="23.1" customHeight="1" x14ac:dyDescent="0.25">
      <c r="B46" s="46" t="s">
        <v>73</v>
      </c>
      <c r="C46" s="50">
        <v>7</v>
      </c>
      <c r="D46" s="50">
        <v>0</v>
      </c>
      <c r="E46" s="50">
        <v>2</v>
      </c>
      <c r="F46" s="50">
        <v>5</v>
      </c>
      <c r="G46" s="50">
        <v>0</v>
      </c>
      <c r="H46" s="50">
        <v>0</v>
      </c>
      <c r="I46" s="50">
        <v>0</v>
      </c>
      <c r="J46" s="50">
        <v>3</v>
      </c>
      <c r="K46" s="50">
        <v>0</v>
      </c>
      <c r="L46" s="50">
        <v>3</v>
      </c>
      <c r="M46" s="50">
        <v>2</v>
      </c>
      <c r="N46" s="50">
        <v>0</v>
      </c>
      <c r="O46" s="15">
        <f t="shared" si="0"/>
        <v>20</v>
      </c>
      <c r="P46" s="15">
        <f t="shared" si="1"/>
        <v>22</v>
      </c>
      <c r="R46" s="8"/>
      <c r="T46"/>
    </row>
    <row r="47" spans="2:32" ht="23.1" customHeight="1" x14ac:dyDescent="0.25">
      <c r="B47" s="46" t="s">
        <v>74</v>
      </c>
      <c r="C47" s="50">
        <v>3</v>
      </c>
      <c r="D47" s="50">
        <v>0</v>
      </c>
      <c r="E47" s="50">
        <v>5</v>
      </c>
      <c r="F47" s="50">
        <v>3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2</v>
      </c>
      <c r="M47" s="50">
        <v>1</v>
      </c>
      <c r="N47" s="50">
        <v>0</v>
      </c>
      <c r="O47" s="15">
        <f t="shared" si="0"/>
        <v>13</v>
      </c>
      <c r="P47" s="15">
        <f t="shared" si="1"/>
        <v>14</v>
      </c>
      <c r="R47" s="8"/>
      <c r="T47"/>
    </row>
    <row r="48" spans="2:32" ht="23.1" customHeight="1" x14ac:dyDescent="0.25">
      <c r="B48" s="46" t="s">
        <v>75</v>
      </c>
      <c r="C48" s="50">
        <v>13</v>
      </c>
      <c r="D48" s="50">
        <v>0</v>
      </c>
      <c r="E48" s="50">
        <v>8</v>
      </c>
      <c r="F48" s="50">
        <v>7</v>
      </c>
      <c r="G48" s="50">
        <v>0</v>
      </c>
      <c r="H48" s="50">
        <v>2</v>
      </c>
      <c r="I48" s="50">
        <v>0</v>
      </c>
      <c r="J48" s="50">
        <v>2</v>
      </c>
      <c r="K48" s="50">
        <v>0</v>
      </c>
      <c r="L48" s="50">
        <v>1</v>
      </c>
      <c r="M48" s="50">
        <v>4</v>
      </c>
      <c r="N48" s="50">
        <v>0</v>
      </c>
      <c r="O48" s="15">
        <f t="shared" si="0"/>
        <v>33</v>
      </c>
      <c r="P48" s="15">
        <f t="shared" si="1"/>
        <v>37</v>
      </c>
      <c r="R48" s="8"/>
      <c r="T48"/>
    </row>
    <row r="49" spans="2:20" ht="23.1" customHeight="1" x14ac:dyDescent="0.25">
      <c r="B49" s="45" t="s">
        <v>76</v>
      </c>
      <c r="C49" s="50">
        <v>4</v>
      </c>
      <c r="D49" s="50">
        <v>0</v>
      </c>
      <c r="E49" s="50">
        <v>8</v>
      </c>
      <c r="F49" s="50">
        <v>7</v>
      </c>
      <c r="G49" s="50">
        <v>0</v>
      </c>
      <c r="H49" s="50">
        <v>0</v>
      </c>
      <c r="I49" s="50">
        <v>0</v>
      </c>
      <c r="J49" s="50">
        <v>5</v>
      </c>
      <c r="K49" s="50">
        <v>0</v>
      </c>
      <c r="L49" s="50">
        <v>0</v>
      </c>
      <c r="M49" s="50">
        <v>9</v>
      </c>
      <c r="N49" s="50">
        <v>0</v>
      </c>
      <c r="O49" s="15">
        <f t="shared" si="0"/>
        <v>24</v>
      </c>
      <c r="P49" s="15">
        <f t="shared" si="1"/>
        <v>33</v>
      </c>
      <c r="R49" s="8"/>
      <c r="T49"/>
    </row>
    <row r="50" spans="2:20" ht="23.1" customHeight="1" x14ac:dyDescent="0.25">
      <c r="B50" s="46" t="s">
        <v>77</v>
      </c>
      <c r="C50" s="50">
        <v>1</v>
      </c>
      <c r="D50" s="50">
        <v>0</v>
      </c>
      <c r="E50" s="50">
        <v>4</v>
      </c>
      <c r="F50" s="50">
        <v>8</v>
      </c>
      <c r="G50" s="50">
        <v>0</v>
      </c>
      <c r="H50" s="50">
        <v>1</v>
      </c>
      <c r="I50" s="50">
        <v>0</v>
      </c>
      <c r="J50" s="50">
        <v>3</v>
      </c>
      <c r="K50" s="50">
        <v>0</v>
      </c>
      <c r="L50" s="50">
        <v>2</v>
      </c>
      <c r="M50" s="50">
        <v>3</v>
      </c>
      <c r="N50" s="50">
        <v>0</v>
      </c>
      <c r="O50" s="15">
        <f t="shared" si="0"/>
        <v>19</v>
      </c>
      <c r="P50" s="15">
        <f t="shared" si="1"/>
        <v>22</v>
      </c>
      <c r="R50" s="8"/>
      <c r="T50"/>
    </row>
    <row r="51" spans="2:20" ht="23.1" customHeight="1" x14ac:dyDescent="0.25">
      <c r="B51" s="46" t="s">
        <v>78</v>
      </c>
      <c r="C51" s="50">
        <v>7</v>
      </c>
      <c r="D51" s="50">
        <v>0</v>
      </c>
      <c r="E51" s="50">
        <v>2</v>
      </c>
      <c r="F51" s="50">
        <v>3</v>
      </c>
      <c r="G51" s="50">
        <v>0</v>
      </c>
      <c r="H51" s="50">
        <v>0</v>
      </c>
      <c r="I51" s="50">
        <v>0</v>
      </c>
      <c r="J51" s="50">
        <v>3</v>
      </c>
      <c r="K51" s="50">
        <v>0</v>
      </c>
      <c r="L51" s="50">
        <v>1</v>
      </c>
      <c r="M51" s="50">
        <v>2</v>
      </c>
      <c r="N51" s="50">
        <v>0</v>
      </c>
      <c r="O51" s="15">
        <f t="shared" si="0"/>
        <v>16</v>
      </c>
      <c r="P51" s="15">
        <f t="shared" si="1"/>
        <v>18</v>
      </c>
      <c r="R51" s="8"/>
      <c r="T51"/>
    </row>
    <row r="52" spans="2:20" ht="23.1" customHeight="1" x14ac:dyDescent="0.25">
      <c r="B52" s="46" t="s">
        <v>79</v>
      </c>
      <c r="C52" s="50">
        <v>6</v>
      </c>
      <c r="D52" s="50">
        <v>0</v>
      </c>
      <c r="E52" s="50">
        <v>7</v>
      </c>
      <c r="F52" s="50">
        <v>8</v>
      </c>
      <c r="G52" s="50">
        <v>0</v>
      </c>
      <c r="H52" s="50">
        <v>0</v>
      </c>
      <c r="I52" s="50">
        <v>0</v>
      </c>
      <c r="J52" s="50">
        <v>3</v>
      </c>
      <c r="K52" s="50">
        <v>0</v>
      </c>
      <c r="L52" s="50">
        <v>4</v>
      </c>
      <c r="M52" s="50">
        <v>3</v>
      </c>
      <c r="N52" s="50">
        <v>0</v>
      </c>
      <c r="O52" s="15">
        <f t="shared" si="0"/>
        <v>28</v>
      </c>
      <c r="P52" s="15">
        <f t="shared" si="1"/>
        <v>31</v>
      </c>
      <c r="R52" s="8"/>
      <c r="T52"/>
    </row>
    <row r="53" spans="2:20" ht="23.1" customHeight="1" x14ac:dyDescent="0.25">
      <c r="B53" s="45" t="s">
        <v>80</v>
      </c>
      <c r="C53" s="50">
        <v>4</v>
      </c>
      <c r="D53" s="50">
        <v>0</v>
      </c>
      <c r="E53" s="50">
        <v>6</v>
      </c>
      <c r="F53" s="50">
        <v>2</v>
      </c>
      <c r="G53" s="50">
        <v>0</v>
      </c>
      <c r="H53" s="50">
        <v>0</v>
      </c>
      <c r="I53" s="50">
        <v>0</v>
      </c>
      <c r="J53" s="50">
        <v>1</v>
      </c>
      <c r="K53" s="50">
        <v>0</v>
      </c>
      <c r="L53" s="50">
        <v>0</v>
      </c>
      <c r="M53" s="50">
        <v>0</v>
      </c>
      <c r="N53" s="50">
        <v>0</v>
      </c>
      <c r="O53" s="15">
        <f t="shared" si="0"/>
        <v>13</v>
      </c>
      <c r="P53" s="15">
        <f t="shared" si="1"/>
        <v>13</v>
      </c>
      <c r="R53" s="8"/>
      <c r="T53"/>
    </row>
    <row r="54" spans="2:20" ht="23.1" customHeight="1" x14ac:dyDescent="0.25">
      <c r="B54" s="45" t="s">
        <v>81</v>
      </c>
      <c r="C54" s="50">
        <v>3</v>
      </c>
      <c r="D54" s="50">
        <v>0</v>
      </c>
      <c r="E54" s="50">
        <v>2</v>
      </c>
      <c r="F54" s="50">
        <v>0</v>
      </c>
      <c r="G54" s="50">
        <v>0</v>
      </c>
      <c r="H54" s="50">
        <v>0</v>
      </c>
      <c r="I54" s="50">
        <v>0</v>
      </c>
      <c r="J54" s="50">
        <v>2</v>
      </c>
      <c r="K54" s="50">
        <v>0</v>
      </c>
      <c r="L54" s="50">
        <v>0</v>
      </c>
      <c r="M54" s="50">
        <v>2</v>
      </c>
      <c r="N54" s="50">
        <v>0</v>
      </c>
      <c r="O54" s="15">
        <f t="shared" si="0"/>
        <v>7</v>
      </c>
      <c r="P54" s="15">
        <f t="shared" si="1"/>
        <v>9</v>
      </c>
      <c r="R54" s="8"/>
      <c r="T54"/>
    </row>
    <row r="55" spans="2:20" ht="23.1" customHeight="1" x14ac:dyDescent="0.25">
      <c r="B55" s="45" t="s">
        <v>82</v>
      </c>
      <c r="C55" s="50">
        <v>2</v>
      </c>
      <c r="D55" s="50">
        <v>0</v>
      </c>
      <c r="E55" s="50">
        <v>7</v>
      </c>
      <c r="F55" s="50">
        <v>3</v>
      </c>
      <c r="G55" s="50">
        <v>0</v>
      </c>
      <c r="H55" s="50">
        <v>0</v>
      </c>
      <c r="I55" s="50">
        <v>0</v>
      </c>
      <c r="J55" s="50">
        <v>2</v>
      </c>
      <c r="K55" s="50">
        <v>0</v>
      </c>
      <c r="L55" s="50">
        <v>0</v>
      </c>
      <c r="M55" s="50">
        <v>4</v>
      </c>
      <c r="N55" s="50">
        <v>0</v>
      </c>
      <c r="O55" s="15">
        <f t="shared" si="0"/>
        <v>14</v>
      </c>
      <c r="P55" s="15">
        <f t="shared" si="1"/>
        <v>18</v>
      </c>
      <c r="R55" s="8"/>
      <c r="T55"/>
    </row>
    <row r="56" spans="2:20" ht="23.1" customHeight="1" x14ac:dyDescent="0.25">
      <c r="B56" s="45" t="s">
        <v>83</v>
      </c>
      <c r="C56" s="50">
        <v>3</v>
      </c>
      <c r="D56" s="50">
        <v>0</v>
      </c>
      <c r="E56" s="50">
        <v>4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0</v>
      </c>
      <c r="N56" s="50">
        <v>0</v>
      </c>
      <c r="O56" s="15">
        <f t="shared" si="0"/>
        <v>7</v>
      </c>
      <c r="P56" s="15">
        <f t="shared" si="1"/>
        <v>7</v>
      </c>
      <c r="R56" s="8"/>
      <c r="T56"/>
    </row>
    <row r="57" spans="2:20" ht="23.1" customHeight="1" x14ac:dyDescent="0.25">
      <c r="B57" s="45" t="s">
        <v>84</v>
      </c>
      <c r="C57" s="50">
        <v>3</v>
      </c>
      <c r="D57" s="50">
        <v>0</v>
      </c>
      <c r="E57" s="50">
        <v>8</v>
      </c>
      <c r="F57" s="50">
        <v>7</v>
      </c>
      <c r="G57" s="50">
        <v>0</v>
      </c>
      <c r="H57" s="50">
        <v>2</v>
      </c>
      <c r="I57" s="50">
        <v>0</v>
      </c>
      <c r="J57" s="50">
        <v>4</v>
      </c>
      <c r="K57" s="50">
        <v>0</v>
      </c>
      <c r="L57" s="50">
        <v>0</v>
      </c>
      <c r="M57" s="50">
        <v>7</v>
      </c>
      <c r="N57" s="50">
        <v>1</v>
      </c>
      <c r="O57" s="15">
        <f t="shared" si="0"/>
        <v>25</v>
      </c>
      <c r="P57" s="15">
        <f t="shared" si="1"/>
        <v>32</v>
      </c>
      <c r="R57" s="8"/>
      <c r="T57"/>
    </row>
    <row r="58" spans="2:20" ht="23.1" customHeight="1" x14ac:dyDescent="0.25">
      <c r="B58" s="45" t="s">
        <v>99</v>
      </c>
      <c r="C58" s="50">
        <v>4</v>
      </c>
      <c r="D58" s="50">
        <v>0</v>
      </c>
      <c r="E58" s="50">
        <v>0</v>
      </c>
      <c r="F58" s="50">
        <v>2</v>
      </c>
      <c r="G58" s="50">
        <v>0</v>
      </c>
      <c r="H58" s="50">
        <v>0</v>
      </c>
      <c r="I58" s="50">
        <v>0</v>
      </c>
      <c r="J58" s="50">
        <v>2</v>
      </c>
      <c r="K58" s="50">
        <v>0</v>
      </c>
      <c r="L58" s="50">
        <v>0</v>
      </c>
      <c r="M58" s="50">
        <v>4</v>
      </c>
      <c r="N58" s="50">
        <v>0</v>
      </c>
      <c r="O58" s="15">
        <f t="shared" si="0"/>
        <v>8</v>
      </c>
      <c r="P58" s="15">
        <f t="shared" si="1"/>
        <v>12</v>
      </c>
      <c r="R58" s="8"/>
      <c r="T58"/>
    </row>
    <row r="59" spans="2:20" ht="23.1" customHeight="1" x14ac:dyDescent="0.25">
      <c r="B59" s="45" t="s">
        <v>100</v>
      </c>
      <c r="C59" s="50">
        <v>8</v>
      </c>
      <c r="D59" s="50">
        <v>0</v>
      </c>
      <c r="E59" s="50">
        <v>2</v>
      </c>
      <c r="F59" s="50">
        <v>3</v>
      </c>
      <c r="G59" s="50">
        <v>0</v>
      </c>
      <c r="H59" s="50">
        <v>0</v>
      </c>
      <c r="I59" s="50">
        <v>0</v>
      </c>
      <c r="J59" s="50">
        <v>1</v>
      </c>
      <c r="K59" s="50">
        <v>0</v>
      </c>
      <c r="L59" s="50">
        <v>0</v>
      </c>
      <c r="M59" s="50">
        <v>7</v>
      </c>
      <c r="N59" s="50">
        <v>0</v>
      </c>
      <c r="O59" s="15">
        <f t="shared" si="0"/>
        <v>14</v>
      </c>
      <c r="P59" s="15">
        <f t="shared" si="1"/>
        <v>21</v>
      </c>
      <c r="R59" s="8"/>
      <c r="T59"/>
    </row>
    <row r="60" spans="2:20" ht="23.1" customHeight="1" x14ac:dyDescent="0.25">
      <c r="B60" s="45" t="s">
        <v>101</v>
      </c>
      <c r="C60" s="50">
        <v>5</v>
      </c>
      <c r="D60" s="50">
        <v>0</v>
      </c>
      <c r="E60" s="50">
        <v>2</v>
      </c>
      <c r="F60" s="50">
        <v>4</v>
      </c>
      <c r="G60" s="50">
        <v>0</v>
      </c>
      <c r="H60" s="50">
        <v>1</v>
      </c>
      <c r="I60" s="50">
        <v>0</v>
      </c>
      <c r="J60" s="50">
        <v>0</v>
      </c>
      <c r="K60" s="50">
        <v>0</v>
      </c>
      <c r="L60" s="50">
        <v>0</v>
      </c>
      <c r="M60" s="50">
        <v>0</v>
      </c>
      <c r="N60" s="50">
        <v>0</v>
      </c>
      <c r="O60" s="15">
        <f t="shared" si="0"/>
        <v>12</v>
      </c>
      <c r="P60" s="15">
        <f t="shared" si="1"/>
        <v>12</v>
      </c>
      <c r="R60" s="8"/>
      <c r="T60"/>
    </row>
    <row r="61" spans="2:20" ht="23.1" customHeight="1" x14ac:dyDescent="0.25">
      <c r="B61" s="45" t="s">
        <v>102</v>
      </c>
      <c r="C61" s="50">
        <v>5</v>
      </c>
      <c r="D61" s="50">
        <v>0</v>
      </c>
      <c r="E61" s="50">
        <v>1</v>
      </c>
      <c r="F61" s="50">
        <v>1</v>
      </c>
      <c r="G61" s="50">
        <v>0</v>
      </c>
      <c r="H61" s="50">
        <v>0</v>
      </c>
      <c r="I61" s="50">
        <v>0</v>
      </c>
      <c r="J61" s="50">
        <v>1</v>
      </c>
      <c r="K61" s="50">
        <v>0</v>
      </c>
      <c r="L61" s="50">
        <v>0</v>
      </c>
      <c r="M61" s="50">
        <v>3</v>
      </c>
      <c r="N61" s="50">
        <v>0</v>
      </c>
      <c r="O61" s="15">
        <f t="shared" si="0"/>
        <v>8</v>
      </c>
      <c r="P61" s="15">
        <f t="shared" si="1"/>
        <v>11</v>
      </c>
      <c r="R61" s="8"/>
      <c r="T61"/>
    </row>
    <row r="62" spans="2:20" ht="23.1" customHeight="1" x14ac:dyDescent="0.25">
      <c r="B62" s="45" t="s">
        <v>107</v>
      </c>
      <c r="C62" s="50">
        <v>6</v>
      </c>
      <c r="D62" s="50">
        <v>0</v>
      </c>
      <c r="E62" s="50">
        <v>0</v>
      </c>
      <c r="F62" s="50">
        <v>2</v>
      </c>
      <c r="G62" s="50">
        <v>0</v>
      </c>
      <c r="H62" s="50">
        <v>0</v>
      </c>
      <c r="I62" s="50">
        <v>0</v>
      </c>
      <c r="J62" s="50">
        <v>1</v>
      </c>
      <c r="K62" s="50">
        <v>0</v>
      </c>
      <c r="L62" s="50">
        <v>0</v>
      </c>
      <c r="M62" s="50">
        <v>2</v>
      </c>
      <c r="N62" s="50">
        <v>0</v>
      </c>
      <c r="O62" s="15">
        <f t="shared" si="0"/>
        <v>9</v>
      </c>
      <c r="P62" s="15">
        <f t="shared" si="1"/>
        <v>11</v>
      </c>
      <c r="R62" s="8"/>
      <c r="T62"/>
    </row>
    <row r="63" spans="2:20" ht="23.1" customHeight="1" x14ac:dyDescent="0.25">
      <c r="B63" s="45" t="s">
        <v>108</v>
      </c>
      <c r="C63" s="50">
        <v>0</v>
      </c>
      <c r="D63" s="50">
        <v>0</v>
      </c>
      <c r="E63" s="50">
        <v>2</v>
      </c>
      <c r="F63" s="50">
        <v>3</v>
      </c>
      <c r="G63" s="50">
        <v>0</v>
      </c>
      <c r="H63" s="50">
        <v>0</v>
      </c>
      <c r="I63" s="50">
        <v>0</v>
      </c>
      <c r="J63" s="50">
        <v>0</v>
      </c>
      <c r="K63" s="50">
        <v>0</v>
      </c>
      <c r="L63" s="50">
        <v>0</v>
      </c>
      <c r="M63" s="50">
        <v>3</v>
      </c>
      <c r="N63" s="50">
        <v>0</v>
      </c>
      <c r="O63" s="15">
        <f t="shared" si="0"/>
        <v>5</v>
      </c>
      <c r="P63" s="15">
        <f t="shared" si="1"/>
        <v>8</v>
      </c>
      <c r="R63" s="8"/>
      <c r="T63"/>
    </row>
    <row r="64" spans="2:20" ht="23.1" customHeight="1" x14ac:dyDescent="0.25">
      <c r="B64" s="45" t="s">
        <v>109</v>
      </c>
      <c r="C64" s="50">
        <v>4</v>
      </c>
      <c r="D64" s="50">
        <v>0</v>
      </c>
      <c r="E64" s="50">
        <v>3</v>
      </c>
      <c r="F64" s="50">
        <v>2</v>
      </c>
      <c r="G64" s="50">
        <v>0</v>
      </c>
      <c r="H64" s="50">
        <v>0</v>
      </c>
      <c r="I64" s="50">
        <v>0</v>
      </c>
      <c r="J64" s="50">
        <v>1</v>
      </c>
      <c r="K64" s="50">
        <v>0</v>
      </c>
      <c r="L64" s="50">
        <v>1</v>
      </c>
      <c r="M64" s="50">
        <v>1</v>
      </c>
      <c r="N64" s="50">
        <v>1</v>
      </c>
      <c r="O64" s="15">
        <f t="shared" si="0"/>
        <v>12</v>
      </c>
      <c r="P64" s="15">
        <f t="shared" si="1"/>
        <v>13</v>
      </c>
      <c r="R64" s="8"/>
      <c r="T64"/>
    </row>
    <row r="65" spans="2:20" ht="23.1" customHeight="1" x14ac:dyDescent="0.25">
      <c r="B65" s="45" t="s">
        <v>158</v>
      </c>
      <c r="C65" s="50">
        <v>4</v>
      </c>
      <c r="D65" s="50">
        <v>0</v>
      </c>
      <c r="E65" s="50">
        <v>1</v>
      </c>
      <c r="F65" s="50">
        <v>2</v>
      </c>
      <c r="G65" s="50">
        <v>0</v>
      </c>
      <c r="H65" s="50">
        <v>0</v>
      </c>
      <c r="I65" s="50">
        <v>0</v>
      </c>
      <c r="J65" s="50">
        <v>2</v>
      </c>
      <c r="K65" s="50">
        <v>0</v>
      </c>
      <c r="L65" s="50">
        <v>0</v>
      </c>
      <c r="M65" s="50">
        <v>1</v>
      </c>
      <c r="N65" s="50">
        <v>0</v>
      </c>
      <c r="O65" s="15">
        <f t="shared" si="0"/>
        <v>9</v>
      </c>
      <c r="P65" s="15">
        <f t="shared" si="1"/>
        <v>10</v>
      </c>
      <c r="R65" s="8"/>
      <c r="T65"/>
    </row>
    <row r="66" spans="2:20" ht="23.1" customHeight="1" x14ac:dyDescent="0.25">
      <c r="B66" s="45" t="s">
        <v>103</v>
      </c>
      <c r="C66" s="50">
        <v>2</v>
      </c>
      <c r="D66" s="50">
        <v>0</v>
      </c>
      <c r="E66" s="50">
        <v>3</v>
      </c>
      <c r="F66" s="50">
        <v>0</v>
      </c>
      <c r="G66" s="50">
        <v>0</v>
      </c>
      <c r="H66" s="50">
        <v>0</v>
      </c>
      <c r="I66" s="50">
        <v>0</v>
      </c>
      <c r="J66" s="50">
        <v>1</v>
      </c>
      <c r="K66" s="50">
        <v>0</v>
      </c>
      <c r="L66" s="50">
        <v>0</v>
      </c>
      <c r="M66" s="50">
        <v>0</v>
      </c>
      <c r="N66" s="50">
        <v>0</v>
      </c>
      <c r="O66" s="15">
        <f t="shared" si="0"/>
        <v>6</v>
      </c>
      <c r="P66" s="15">
        <f t="shared" si="1"/>
        <v>6</v>
      </c>
      <c r="R66" s="8"/>
      <c r="T66"/>
    </row>
    <row r="67" spans="2:20" ht="23.1" customHeight="1" x14ac:dyDescent="0.25">
      <c r="B67" s="45" t="s">
        <v>104</v>
      </c>
      <c r="C67" s="50">
        <v>0</v>
      </c>
      <c r="D67" s="50">
        <v>0</v>
      </c>
      <c r="E67" s="50">
        <v>0</v>
      </c>
      <c r="F67" s="50">
        <v>0</v>
      </c>
      <c r="G67" s="50">
        <v>0</v>
      </c>
      <c r="H67" s="50">
        <v>0</v>
      </c>
      <c r="I67" s="50">
        <v>0</v>
      </c>
      <c r="J67" s="50">
        <v>1</v>
      </c>
      <c r="K67" s="50">
        <v>0</v>
      </c>
      <c r="L67" s="50">
        <v>0</v>
      </c>
      <c r="M67" s="50">
        <v>1</v>
      </c>
      <c r="N67" s="50">
        <v>0</v>
      </c>
      <c r="O67" s="15">
        <f t="shared" si="0"/>
        <v>1</v>
      </c>
      <c r="P67" s="15">
        <f t="shared" si="1"/>
        <v>2</v>
      </c>
      <c r="R67" s="8"/>
      <c r="T67"/>
    </row>
    <row r="68" spans="2:20" ht="23.1" customHeight="1" x14ac:dyDescent="0.25">
      <c r="B68" s="45" t="s">
        <v>105</v>
      </c>
      <c r="C68" s="50">
        <v>2</v>
      </c>
      <c r="D68" s="50">
        <v>0</v>
      </c>
      <c r="E68" s="50">
        <v>1</v>
      </c>
      <c r="F68" s="50">
        <v>0</v>
      </c>
      <c r="G68" s="50">
        <v>0</v>
      </c>
      <c r="H68" s="50">
        <v>0</v>
      </c>
      <c r="I68" s="50">
        <v>0</v>
      </c>
      <c r="J68" s="50">
        <v>0</v>
      </c>
      <c r="K68" s="50">
        <v>0</v>
      </c>
      <c r="L68" s="50">
        <v>0</v>
      </c>
      <c r="M68" s="50">
        <v>0</v>
      </c>
      <c r="N68" s="50">
        <v>0</v>
      </c>
      <c r="O68" s="15">
        <f t="shared" si="0"/>
        <v>3</v>
      </c>
      <c r="P68" s="15">
        <f t="shared" si="1"/>
        <v>3</v>
      </c>
      <c r="R68" s="8"/>
      <c r="T68"/>
    </row>
    <row r="69" spans="2:20" ht="23.1" customHeight="1" x14ac:dyDescent="0.25">
      <c r="B69" s="45" t="s">
        <v>106</v>
      </c>
      <c r="C69" s="50">
        <v>2</v>
      </c>
      <c r="D69" s="50">
        <v>0</v>
      </c>
      <c r="E69" s="50">
        <v>11</v>
      </c>
      <c r="F69" s="50">
        <v>0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1</v>
      </c>
      <c r="M69" s="50">
        <v>0</v>
      </c>
      <c r="N69" s="50">
        <v>0</v>
      </c>
      <c r="O69" s="15">
        <f t="shared" si="0"/>
        <v>14</v>
      </c>
      <c r="P69" s="15">
        <f t="shared" si="1"/>
        <v>14</v>
      </c>
      <c r="R69" s="8"/>
      <c r="T69"/>
    </row>
    <row r="70" spans="2:20" ht="23.1" customHeight="1" x14ac:dyDescent="0.25">
      <c r="B70" s="45" t="s">
        <v>110</v>
      </c>
      <c r="C70" s="50">
        <v>3</v>
      </c>
      <c r="D70" s="50">
        <v>0</v>
      </c>
      <c r="E70" s="50">
        <v>2</v>
      </c>
      <c r="F70" s="50">
        <v>0</v>
      </c>
      <c r="G70" s="50">
        <v>0</v>
      </c>
      <c r="H70" s="50">
        <v>0</v>
      </c>
      <c r="I70" s="50">
        <v>0</v>
      </c>
      <c r="J70" s="50">
        <v>1</v>
      </c>
      <c r="K70" s="50">
        <v>0</v>
      </c>
      <c r="L70" s="50">
        <v>0</v>
      </c>
      <c r="M70" s="50">
        <v>0</v>
      </c>
      <c r="N70" s="50">
        <v>0</v>
      </c>
      <c r="O70" s="15">
        <f t="shared" si="0"/>
        <v>6</v>
      </c>
      <c r="P70" s="15">
        <f t="shared" si="1"/>
        <v>6</v>
      </c>
      <c r="R70" s="8"/>
      <c r="T70"/>
    </row>
    <row r="71" spans="2:20" ht="23.1" customHeight="1" x14ac:dyDescent="0.25">
      <c r="B71" s="45" t="s">
        <v>111</v>
      </c>
      <c r="C71" s="50">
        <v>1</v>
      </c>
      <c r="D71" s="50">
        <v>0</v>
      </c>
      <c r="E71" s="50">
        <v>0</v>
      </c>
      <c r="F71" s="50">
        <v>0</v>
      </c>
      <c r="G71" s="50">
        <v>0</v>
      </c>
      <c r="H71" s="50">
        <v>0</v>
      </c>
      <c r="I71" s="50">
        <v>0</v>
      </c>
      <c r="J71" s="50">
        <v>1</v>
      </c>
      <c r="K71" s="50">
        <v>0</v>
      </c>
      <c r="L71" s="50">
        <v>0</v>
      </c>
      <c r="M71" s="50">
        <v>0</v>
      </c>
      <c r="N71" s="50">
        <v>0</v>
      </c>
      <c r="O71" s="15">
        <f t="shared" si="0"/>
        <v>2</v>
      </c>
      <c r="P71" s="15">
        <f t="shared" si="1"/>
        <v>2</v>
      </c>
      <c r="R71" s="8"/>
      <c r="T71"/>
    </row>
    <row r="72" spans="2:20" ht="23.1" customHeight="1" x14ac:dyDescent="0.25">
      <c r="B72" s="45" t="s">
        <v>112</v>
      </c>
      <c r="C72" s="50">
        <v>1</v>
      </c>
      <c r="D72" s="50">
        <v>0</v>
      </c>
      <c r="E72" s="50">
        <v>0</v>
      </c>
      <c r="F72" s="50">
        <v>0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0</v>
      </c>
      <c r="M72" s="50">
        <v>0</v>
      </c>
      <c r="N72" s="50">
        <v>0</v>
      </c>
      <c r="O72" s="15">
        <f t="shared" si="0"/>
        <v>1</v>
      </c>
      <c r="P72" s="15">
        <f t="shared" si="1"/>
        <v>1</v>
      </c>
      <c r="R72" s="8"/>
      <c r="T72"/>
    </row>
    <row r="73" spans="2:20" ht="23.1" customHeight="1" x14ac:dyDescent="0.25">
      <c r="B73" s="45" t="s">
        <v>113</v>
      </c>
      <c r="C73" s="50">
        <v>1</v>
      </c>
      <c r="D73" s="50">
        <v>0</v>
      </c>
      <c r="E73" s="50">
        <v>0</v>
      </c>
      <c r="F73" s="50">
        <v>0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0</v>
      </c>
      <c r="N73" s="50">
        <v>0</v>
      </c>
      <c r="O73" s="15">
        <f t="shared" si="0"/>
        <v>1</v>
      </c>
      <c r="P73" s="15">
        <f t="shared" si="1"/>
        <v>1</v>
      </c>
      <c r="R73" s="8"/>
      <c r="T73"/>
    </row>
    <row r="74" spans="2:20" ht="23.1" customHeight="1" x14ac:dyDescent="0.25">
      <c r="B74" s="45" t="s">
        <v>114</v>
      </c>
      <c r="C74" s="50">
        <v>3</v>
      </c>
      <c r="D74" s="50">
        <v>0</v>
      </c>
      <c r="E74" s="50">
        <v>3</v>
      </c>
      <c r="F74" s="50">
        <v>0</v>
      </c>
      <c r="G74" s="50">
        <v>0</v>
      </c>
      <c r="H74" s="50">
        <v>0</v>
      </c>
      <c r="I74" s="50">
        <v>1</v>
      </c>
      <c r="J74" s="50">
        <v>1</v>
      </c>
      <c r="K74" s="50">
        <v>0</v>
      </c>
      <c r="L74" s="50">
        <v>0</v>
      </c>
      <c r="M74" s="50">
        <v>1</v>
      </c>
      <c r="N74" s="50">
        <v>0</v>
      </c>
      <c r="O74" s="15">
        <f t="shared" ref="O74:O105" si="35">SUM(C74:L74,N74)</f>
        <v>8</v>
      </c>
      <c r="P74" s="15">
        <f t="shared" ref="P74:P105" si="36">SUM(C74:N74)</f>
        <v>9</v>
      </c>
      <c r="R74" s="8"/>
      <c r="T74"/>
    </row>
    <row r="75" spans="2:20" ht="23.1" customHeight="1" x14ac:dyDescent="0.25">
      <c r="B75" s="45" t="s">
        <v>115</v>
      </c>
      <c r="C75" s="50">
        <v>0</v>
      </c>
      <c r="D75" s="50">
        <v>0</v>
      </c>
      <c r="E75" s="50">
        <v>1</v>
      </c>
      <c r="F75" s="50">
        <v>0</v>
      </c>
      <c r="G75" s="50">
        <v>0</v>
      </c>
      <c r="H75" s="50">
        <v>2</v>
      </c>
      <c r="I75" s="50">
        <v>1</v>
      </c>
      <c r="J75" s="50">
        <v>0</v>
      </c>
      <c r="K75" s="50">
        <v>0</v>
      </c>
      <c r="L75" s="50">
        <v>1</v>
      </c>
      <c r="M75" s="50">
        <v>0</v>
      </c>
      <c r="N75" s="50">
        <v>0</v>
      </c>
      <c r="O75" s="15">
        <f t="shared" si="35"/>
        <v>5</v>
      </c>
      <c r="P75" s="15">
        <f t="shared" si="36"/>
        <v>5</v>
      </c>
      <c r="R75" s="8"/>
      <c r="T75"/>
    </row>
    <row r="76" spans="2:20" ht="23.1" customHeight="1" x14ac:dyDescent="0.25">
      <c r="B76" s="45" t="s">
        <v>116</v>
      </c>
      <c r="C76" s="50">
        <v>1</v>
      </c>
      <c r="D76" s="50">
        <v>0</v>
      </c>
      <c r="E76" s="50">
        <v>0</v>
      </c>
      <c r="F76" s="50">
        <v>0</v>
      </c>
      <c r="G76" s="50">
        <v>0</v>
      </c>
      <c r="H76" s="50">
        <v>1</v>
      </c>
      <c r="I76" s="50">
        <v>0</v>
      </c>
      <c r="J76" s="50">
        <v>0</v>
      </c>
      <c r="K76" s="50">
        <v>0</v>
      </c>
      <c r="L76" s="50">
        <v>0</v>
      </c>
      <c r="M76" s="50">
        <v>0</v>
      </c>
      <c r="N76" s="50">
        <v>0</v>
      </c>
      <c r="O76" s="15">
        <f t="shared" si="35"/>
        <v>2</v>
      </c>
      <c r="P76" s="15">
        <f t="shared" si="36"/>
        <v>2</v>
      </c>
      <c r="R76" s="8"/>
      <c r="T76"/>
    </row>
    <row r="77" spans="2:20" ht="23.1" customHeight="1" x14ac:dyDescent="0.25">
      <c r="B77" s="45" t="s">
        <v>117</v>
      </c>
      <c r="C77" s="50">
        <v>0</v>
      </c>
      <c r="D77" s="50">
        <v>0</v>
      </c>
      <c r="E77" s="50">
        <v>0</v>
      </c>
      <c r="F77" s="50">
        <v>0</v>
      </c>
      <c r="G77" s="50">
        <v>0</v>
      </c>
      <c r="H77" s="50">
        <v>0</v>
      </c>
      <c r="I77" s="50">
        <v>1</v>
      </c>
      <c r="J77" s="50">
        <v>1</v>
      </c>
      <c r="K77" s="50">
        <v>0</v>
      </c>
      <c r="L77" s="50">
        <v>0</v>
      </c>
      <c r="M77" s="50">
        <v>0</v>
      </c>
      <c r="N77" s="50">
        <v>0</v>
      </c>
      <c r="O77" s="15">
        <f t="shared" si="35"/>
        <v>2</v>
      </c>
      <c r="P77" s="15">
        <f t="shared" si="36"/>
        <v>2</v>
      </c>
      <c r="R77" s="8"/>
      <c r="T77"/>
    </row>
    <row r="78" spans="2:20" ht="23.1" customHeight="1" x14ac:dyDescent="0.25">
      <c r="B78" s="46" t="s">
        <v>118</v>
      </c>
      <c r="C78" s="50">
        <v>0</v>
      </c>
      <c r="D78" s="50">
        <v>0</v>
      </c>
      <c r="E78" s="50">
        <v>0</v>
      </c>
      <c r="F78" s="50">
        <v>0</v>
      </c>
      <c r="G78" s="50">
        <v>0</v>
      </c>
      <c r="H78" s="50">
        <v>1</v>
      </c>
      <c r="I78" s="50">
        <v>0</v>
      </c>
      <c r="J78" s="50">
        <v>0</v>
      </c>
      <c r="K78" s="50">
        <v>0</v>
      </c>
      <c r="L78" s="50">
        <v>0</v>
      </c>
      <c r="M78" s="50">
        <v>0</v>
      </c>
      <c r="N78" s="50">
        <v>0</v>
      </c>
      <c r="O78" s="15">
        <f t="shared" si="35"/>
        <v>1</v>
      </c>
      <c r="P78" s="15">
        <f t="shared" si="36"/>
        <v>1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0</v>
      </c>
      <c r="N79" s="50">
        <v>0</v>
      </c>
      <c r="O79" s="15">
        <f t="shared" si="35"/>
        <v>0</v>
      </c>
      <c r="P79" s="15">
        <f t="shared" si="36"/>
        <v>0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0</v>
      </c>
      <c r="N80" s="50">
        <v>0</v>
      </c>
      <c r="O80" s="15">
        <f t="shared" si="35"/>
        <v>0</v>
      </c>
      <c r="P80" s="15">
        <f t="shared" si="36"/>
        <v>0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0</v>
      </c>
      <c r="N81" s="50">
        <v>0</v>
      </c>
      <c r="O81" s="15">
        <f t="shared" si="35"/>
        <v>0</v>
      </c>
      <c r="P81" s="15">
        <f t="shared" si="36"/>
        <v>0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1</v>
      </c>
      <c r="N82" s="50">
        <v>0</v>
      </c>
      <c r="O82" s="15">
        <f t="shared" si="35"/>
        <v>0</v>
      </c>
      <c r="P82" s="15">
        <f t="shared" si="36"/>
        <v>1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1</v>
      </c>
      <c r="J83" s="50">
        <v>0</v>
      </c>
      <c r="K83" s="50">
        <v>0</v>
      </c>
      <c r="L83" s="50">
        <v>0</v>
      </c>
      <c r="M83" s="50">
        <v>0</v>
      </c>
      <c r="N83" s="50">
        <v>0</v>
      </c>
      <c r="O83" s="15">
        <f t="shared" si="35"/>
        <v>1</v>
      </c>
      <c r="P83" s="15">
        <f t="shared" si="36"/>
        <v>1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0</v>
      </c>
      <c r="N84" s="50">
        <v>0</v>
      </c>
      <c r="O84" s="15">
        <f t="shared" si="35"/>
        <v>0</v>
      </c>
      <c r="P84" s="15">
        <f t="shared" si="36"/>
        <v>0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0</v>
      </c>
      <c r="N85" s="50">
        <v>0</v>
      </c>
      <c r="O85" s="15">
        <f t="shared" si="35"/>
        <v>0</v>
      </c>
      <c r="P85" s="15">
        <f t="shared" si="36"/>
        <v>0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0</v>
      </c>
      <c r="N86" s="50"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0</v>
      </c>
      <c r="N90" s="50">
        <v>0</v>
      </c>
      <c r="O90" s="15">
        <f t="shared" si="35"/>
        <v>0</v>
      </c>
      <c r="P90" s="15">
        <f t="shared" si="36"/>
        <v>0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0</v>
      </c>
      <c r="N92" s="50"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5"/>
        <v>0</v>
      </c>
      <c r="P93" s="15">
        <f t="shared" si="36"/>
        <v>0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1</v>
      </c>
      <c r="I96" s="50">
        <v>2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5"/>
        <v>3</v>
      </c>
      <c r="P96" s="15">
        <f t="shared" si="36"/>
        <v>3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1</v>
      </c>
      <c r="J97" s="50">
        <v>0</v>
      </c>
      <c r="K97" s="50">
        <v>0</v>
      </c>
      <c r="L97" s="50">
        <v>0</v>
      </c>
      <c r="M97" s="50">
        <v>0</v>
      </c>
      <c r="N97" s="50">
        <v>0</v>
      </c>
      <c r="O97" s="15">
        <f t="shared" si="35"/>
        <v>1</v>
      </c>
      <c r="P97" s="15">
        <f t="shared" si="36"/>
        <v>1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1</v>
      </c>
      <c r="F98" s="50">
        <v>0</v>
      </c>
      <c r="G98" s="50">
        <v>0</v>
      </c>
      <c r="H98" s="50">
        <v>1</v>
      </c>
      <c r="I98" s="50">
        <v>0</v>
      </c>
      <c r="J98" s="50">
        <v>0</v>
      </c>
      <c r="K98" s="50">
        <v>0</v>
      </c>
      <c r="L98" s="50">
        <v>0</v>
      </c>
      <c r="M98" s="50">
        <v>0</v>
      </c>
      <c r="N98" s="50">
        <v>0</v>
      </c>
      <c r="O98" s="15">
        <f t="shared" si="35"/>
        <v>2</v>
      </c>
      <c r="P98" s="15">
        <f t="shared" si="36"/>
        <v>2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1</v>
      </c>
      <c r="J99" s="50">
        <v>0</v>
      </c>
      <c r="K99" s="50">
        <v>0</v>
      </c>
      <c r="L99" s="50">
        <v>1</v>
      </c>
      <c r="M99" s="50">
        <v>0</v>
      </c>
      <c r="N99" s="50">
        <v>0</v>
      </c>
      <c r="O99" s="15">
        <f t="shared" si="35"/>
        <v>2</v>
      </c>
      <c r="P99" s="15">
        <f t="shared" si="36"/>
        <v>2</v>
      </c>
      <c r="R99" s="8"/>
      <c r="T99"/>
    </row>
    <row r="100" spans="2:20" ht="23.1" customHeight="1" x14ac:dyDescent="0.25">
      <c r="B100" s="47" t="s">
        <v>140</v>
      </c>
      <c r="C100" s="50">
        <v>1</v>
      </c>
      <c r="D100" s="50">
        <v>0</v>
      </c>
      <c r="E100" s="50">
        <v>1</v>
      </c>
      <c r="F100" s="50">
        <v>0</v>
      </c>
      <c r="G100" s="50">
        <v>0</v>
      </c>
      <c r="H100" s="50">
        <v>0</v>
      </c>
      <c r="I100" s="50">
        <v>1</v>
      </c>
      <c r="J100" s="50">
        <v>0</v>
      </c>
      <c r="K100" s="50">
        <v>0</v>
      </c>
      <c r="L100" s="50">
        <v>0</v>
      </c>
      <c r="M100" s="50">
        <v>0</v>
      </c>
      <c r="N100" s="50">
        <v>0</v>
      </c>
      <c r="O100" s="15">
        <f t="shared" si="35"/>
        <v>3</v>
      </c>
      <c r="P100" s="15">
        <f t="shared" si="36"/>
        <v>3</v>
      </c>
      <c r="R100" s="8"/>
      <c r="T100"/>
    </row>
    <row r="101" spans="2:20" ht="23.1" customHeight="1" x14ac:dyDescent="0.25">
      <c r="B101" s="45" t="s">
        <v>141</v>
      </c>
      <c r="C101" s="50">
        <v>1</v>
      </c>
      <c r="D101" s="50">
        <v>0</v>
      </c>
      <c r="E101" s="50">
        <v>0</v>
      </c>
      <c r="F101" s="50">
        <v>0</v>
      </c>
      <c r="G101" s="50">
        <v>0</v>
      </c>
      <c r="H101" s="50">
        <v>0</v>
      </c>
      <c r="I101" s="50">
        <v>1</v>
      </c>
      <c r="J101" s="50">
        <v>3</v>
      </c>
      <c r="K101" s="50">
        <v>0</v>
      </c>
      <c r="L101" s="50">
        <v>1</v>
      </c>
      <c r="M101" s="50">
        <v>0</v>
      </c>
      <c r="N101" s="50">
        <v>0</v>
      </c>
      <c r="O101" s="15">
        <f t="shared" si="35"/>
        <v>6</v>
      </c>
      <c r="P101" s="15">
        <f t="shared" si="36"/>
        <v>6</v>
      </c>
      <c r="R101" s="8"/>
      <c r="T101"/>
    </row>
    <row r="102" spans="2:20" ht="23.1" customHeight="1" x14ac:dyDescent="0.25">
      <c r="B102" s="46" t="s">
        <v>142</v>
      </c>
      <c r="C102" s="50">
        <v>1</v>
      </c>
      <c r="D102" s="50">
        <v>0</v>
      </c>
      <c r="E102" s="50">
        <v>0</v>
      </c>
      <c r="F102" s="50">
        <v>0</v>
      </c>
      <c r="G102" s="50">
        <v>0</v>
      </c>
      <c r="H102" s="50">
        <v>1</v>
      </c>
      <c r="I102" s="50">
        <v>2</v>
      </c>
      <c r="J102" s="50">
        <v>1</v>
      </c>
      <c r="K102" s="50">
        <v>0</v>
      </c>
      <c r="L102" s="50">
        <v>0</v>
      </c>
      <c r="M102" s="50">
        <v>0</v>
      </c>
      <c r="N102" s="50">
        <v>0</v>
      </c>
      <c r="O102" s="15">
        <f t="shared" si="35"/>
        <v>5</v>
      </c>
      <c r="P102" s="15">
        <f t="shared" si="36"/>
        <v>5</v>
      </c>
      <c r="R102" s="8"/>
      <c r="T102"/>
    </row>
    <row r="103" spans="2:20" ht="23.1" customHeight="1" x14ac:dyDescent="0.25">
      <c r="B103" s="45" t="s">
        <v>143</v>
      </c>
      <c r="C103" s="50">
        <v>1</v>
      </c>
      <c r="D103" s="50">
        <v>0</v>
      </c>
      <c r="E103" s="50">
        <v>0</v>
      </c>
      <c r="F103" s="50">
        <v>0</v>
      </c>
      <c r="G103" s="50">
        <v>0</v>
      </c>
      <c r="H103" s="50">
        <v>1</v>
      </c>
      <c r="I103" s="50">
        <v>1</v>
      </c>
      <c r="J103" s="50">
        <v>0</v>
      </c>
      <c r="K103" s="50">
        <v>0</v>
      </c>
      <c r="L103" s="50">
        <v>0</v>
      </c>
      <c r="M103" s="50">
        <v>0</v>
      </c>
      <c r="N103" s="50">
        <v>0</v>
      </c>
      <c r="O103" s="15">
        <f t="shared" si="35"/>
        <v>3</v>
      </c>
      <c r="P103" s="15">
        <f t="shared" si="36"/>
        <v>3</v>
      </c>
      <c r="R103" s="8"/>
      <c r="T103"/>
    </row>
    <row r="104" spans="2:20" ht="23.1" customHeight="1" x14ac:dyDescent="0.25">
      <c r="B104" s="47" t="s">
        <v>144</v>
      </c>
      <c r="C104" s="50">
        <v>3</v>
      </c>
      <c r="D104" s="50">
        <v>0</v>
      </c>
      <c r="E104" s="50">
        <v>3</v>
      </c>
      <c r="F104" s="50">
        <v>3</v>
      </c>
      <c r="G104" s="50">
        <v>0</v>
      </c>
      <c r="H104" s="50">
        <v>0</v>
      </c>
      <c r="I104" s="50">
        <v>1</v>
      </c>
      <c r="J104" s="50">
        <v>1</v>
      </c>
      <c r="K104" s="50">
        <v>0</v>
      </c>
      <c r="L104" s="50">
        <v>0</v>
      </c>
      <c r="M104" s="50">
        <v>0</v>
      </c>
      <c r="N104" s="50">
        <v>0</v>
      </c>
      <c r="O104" s="15">
        <f t="shared" si="35"/>
        <v>11</v>
      </c>
      <c r="P104" s="15">
        <f t="shared" si="36"/>
        <v>11</v>
      </c>
      <c r="R104" s="8"/>
      <c r="T104"/>
    </row>
    <row r="105" spans="2:20" ht="23.1" customHeight="1" x14ac:dyDescent="0.25">
      <c r="B105" s="45" t="s">
        <v>145</v>
      </c>
      <c r="C105" s="50">
        <v>1</v>
      </c>
      <c r="D105" s="50">
        <v>0</v>
      </c>
      <c r="E105" s="50">
        <v>0</v>
      </c>
      <c r="F105" s="50">
        <v>0</v>
      </c>
      <c r="G105" s="50">
        <v>0</v>
      </c>
      <c r="H105" s="50">
        <v>0</v>
      </c>
      <c r="I105" s="50">
        <v>4</v>
      </c>
      <c r="J105" s="50">
        <v>1</v>
      </c>
      <c r="K105" s="50">
        <v>0</v>
      </c>
      <c r="L105" s="50">
        <v>0</v>
      </c>
      <c r="M105" s="50">
        <v>1</v>
      </c>
      <c r="N105" s="50">
        <v>0</v>
      </c>
      <c r="O105" s="15">
        <f t="shared" si="35"/>
        <v>6</v>
      </c>
      <c r="P105" s="15">
        <f t="shared" si="36"/>
        <v>7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331</v>
      </c>
      <c r="D106" s="16">
        <f t="shared" ref="D106:P106" si="37">SUM(D10:D105)</f>
        <v>0</v>
      </c>
      <c r="E106" s="16">
        <f t="shared" si="37"/>
        <v>207</v>
      </c>
      <c r="F106" s="16">
        <f t="shared" si="37"/>
        <v>221</v>
      </c>
      <c r="G106" s="16">
        <f t="shared" si="37"/>
        <v>0</v>
      </c>
      <c r="H106" s="16">
        <f t="shared" si="37"/>
        <v>28</v>
      </c>
      <c r="I106" s="16">
        <f t="shared" si="37"/>
        <v>18</v>
      </c>
      <c r="J106" s="16">
        <f t="shared" si="37"/>
        <v>123</v>
      </c>
      <c r="K106" s="16">
        <f t="shared" si="37"/>
        <v>4</v>
      </c>
      <c r="L106" s="16">
        <f t="shared" si="37"/>
        <v>20</v>
      </c>
      <c r="M106" s="16">
        <f t="shared" si="37"/>
        <v>212</v>
      </c>
      <c r="N106" s="16">
        <f t="shared" si="37"/>
        <v>3</v>
      </c>
      <c r="O106" s="16">
        <f t="shared" si="37"/>
        <v>955</v>
      </c>
      <c r="P106" s="16">
        <f t="shared" si="37"/>
        <v>1167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0.28363324764353043</v>
      </c>
      <c r="D107" s="43">
        <f t="shared" si="38"/>
        <v>0</v>
      </c>
      <c r="E107" s="43">
        <f t="shared" si="38"/>
        <v>0.17737789203084833</v>
      </c>
      <c r="F107" s="43">
        <f t="shared" si="38"/>
        <v>0.18937446443873179</v>
      </c>
      <c r="G107" s="43">
        <f t="shared" si="38"/>
        <v>0</v>
      </c>
      <c r="H107" s="43">
        <f t="shared" si="38"/>
        <v>2.3993144815766924E-2</v>
      </c>
      <c r="I107" s="43">
        <f t="shared" si="38"/>
        <v>1.5424164524421594E-2</v>
      </c>
      <c r="J107" s="43">
        <f t="shared" si="38"/>
        <v>0.10539845758354756</v>
      </c>
      <c r="K107" s="43">
        <f t="shared" si="38"/>
        <v>3.4275921165381321E-3</v>
      </c>
      <c r="L107" s="43">
        <f t="shared" si="38"/>
        <v>1.713796058269066E-2</v>
      </c>
      <c r="M107" s="43">
        <f t="shared" si="38"/>
        <v>0.181662382176521</v>
      </c>
      <c r="N107" s="43">
        <f t="shared" si="38"/>
        <v>2.5706940874035988E-3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0.34659685863874345</v>
      </c>
      <c r="D108" s="44">
        <f t="shared" ref="D108:N108" si="39">D106/$O$106</f>
        <v>0</v>
      </c>
      <c r="E108" s="44">
        <f t="shared" si="39"/>
        <v>0.21675392670157068</v>
      </c>
      <c r="F108" s="44">
        <f t="shared" si="39"/>
        <v>0.23141361256544501</v>
      </c>
      <c r="G108" s="44">
        <f t="shared" si="39"/>
        <v>0</v>
      </c>
      <c r="H108" s="44">
        <f t="shared" si="39"/>
        <v>2.9319371727748691E-2</v>
      </c>
      <c r="I108" s="44">
        <f t="shared" si="39"/>
        <v>1.8848167539267015E-2</v>
      </c>
      <c r="J108" s="44">
        <f t="shared" si="39"/>
        <v>0.12879581151832462</v>
      </c>
      <c r="K108" s="44">
        <f t="shared" si="39"/>
        <v>4.1884816753926706E-3</v>
      </c>
      <c r="L108" s="44">
        <f t="shared" si="39"/>
        <v>2.0942408376963352E-2</v>
      </c>
      <c r="M108" s="44"/>
      <c r="N108" s="44">
        <f t="shared" si="39"/>
        <v>3.1413612565445027E-3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AF126"/>
  <sheetViews>
    <sheetView view="pageBreakPreview" topLeftCell="A44" zoomScale="60" workbookViewId="0">
      <selection activeCell="H54" sqref="H5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>
        <f>'5.8 KIKORONGO-BWERA'!C3:G3</f>
        <v>0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/>
      <c r="E5" s="3"/>
      <c r="F5" s="41" t="s">
        <v>1</v>
      </c>
      <c r="G5" s="63"/>
      <c r="H5" s="64"/>
      <c r="I5" s="14"/>
      <c r="J5" s="2" t="s">
        <v>5</v>
      </c>
      <c r="K5" s="63"/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/>
      <c r="E6" s="64"/>
      <c r="F6" s="2" t="s">
        <v>2</v>
      </c>
      <c r="G6" s="63"/>
      <c r="H6" s="64"/>
      <c r="J6" s="2" t="s">
        <v>21</v>
      </c>
      <c r="K6" s="63"/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4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2</v>
      </c>
      <c r="J10" s="50">
        <v>0</v>
      </c>
      <c r="K10" s="50">
        <v>0</v>
      </c>
      <c r="L10" s="50">
        <v>0</v>
      </c>
      <c r="M10" s="50">
        <v>1</v>
      </c>
      <c r="N10" s="50">
        <v>0</v>
      </c>
      <c r="O10" s="15">
        <f t="shared" ref="O10:O57" si="0">SUM(C10:L10,N10)</f>
        <v>6</v>
      </c>
      <c r="P10" s="15">
        <f t="shared" ref="P10:P57" si="1">SUM(C10:N10)</f>
        <v>7</v>
      </c>
      <c r="R10" s="1" t="s">
        <v>6</v>
      </c>
      <c r="S10" s="17">
        <f t="shared" ref="S10:AF10" si="2">SUM(C10:C13)</f>
        <v>24</v>
      </c>
      <c r="T10" s="17">
        <f t="shared" si="2"/>
        <v>0</v>
      </c>
      <c r="U10" s="17">
        <f t="shared" si="2"/>
        <v>4</v>
      </c>
      <c r="V10" s="17">
        <f t="shared" si="2"/>
        <v>4</v>
      </c>
      <c r="W10" s="17">
        <f t="shared" si="2"/>
        <v>0</v>
      </c>
      <c r="X10" s="17">
        <f t="shared" si="2"/>
        <v>1</v>
      </c>
      <c r="Y10" s="17">
        <f t="shared" si="2"/>
        <v>2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21</v>
      </c>
      <c r="AD10" s="17">
        <f t="shared" si="2"/>
        <v>0</v>
      </c>
      <c r="AE10" s="31">
        <f t="shared" si="2"/>
        <v>35</v>
      </c>
      <c r="AF10" s="31">
        <f t="shared" si="2"/>
        <v>56</v>
      </c>
    </row>
    <row r="11" spans="2:32" s="6" customFormat="1" ht="23.1" customHeight="1" x14ac:dyDescent="0.25">
      <c r="B11" s="23" t="s">
        <v>38</v>
      </c>
      <c r="C11" s="50">
        <v>4</v>
      </c>
      <c r="D11" s="50">
        <v>0</v>
      </c>
      <c r="E11" s="50">
        <v>1</v>
      </c>
      <c r="F11" s="50">
        <v>2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3</v>
      </c>
      <c r="N11" s="50">
        <v>0</v>
      </c>
      <c r="O11" s="15">
        <f t="shared" si="0"/>
        <v>7</v>
      </c>
      <c r="P11" s="15">
        <f t="shared" si="1"/>
        <v>10</v>
      </c>
      <c r="R11" s="1" t="s">
        <v>7</v>
      </c>
      <c r="S11" s="17">
        <f t="shared" ref="S11:AF11" si="3">SUM(C14:C17)</f>
        <v>18</v>
      </c>
      <c r="T11" s="17">
        <f t="shared" si="3"/>
        <v>0</v>
      </c>
      <c r="U11" s="17">
        <f t="shared" si="3"/>
        <v>1</v>
      </c>
      <c r="V11" s="17">
        <f t="shared" si="3"/>
        <v>10</v>
      </c>
      <c r="W11" s="17">
        <f t="shared" si="3"/>
        <v>0</v>
      </c>
      <c r="X11" s="17">
        <f t="shared" si="3"/>
        <v>1</v>
      </c>
      <c r="Y11" s="17">
        <f t="shared" si="3"/>
        <v>0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17</v>
      </c>
      <c r="AD11" s="17">
        <f t="shared" si="3"/>
        <v>0</v>
      </c>
      <c r="AE11" s="31">
        <f t="shared" si="3"/>
        <v>30</v>
      </c>
      <c r="AF11" s="31">
        <f t="shared" si="3"/>
        <v>47</v>
      </c>
    </row>
    <row r="12" spans="2:32" ht="23.1" customHeight="1" x14ac:dyDescent="0.25">
      <c r="B12" s="23" t="s">
        <v>39</v>
      </c>
      <c r="C12" s="50">
        <v>9</v>
      </c>
      <c r="D12" s="50">
        <v>0</v>
      </c>
      <c r="E12" s="50">
        <v>1</v>
      </c>
      <c r="F12" s="50">
        <v>1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8</v>
      </c>
      <c r="N12" s="50">
        <v>0</v>
      </c>
      <c r="O12" s="15">
        <f t="shared" si="0"/>
        <v>11</v>
      </c>
      <c r="P12" s="15">
        <f t="shared" si="1"/>
        <v>19</v>
      </c>
      <c r="R12" s="1" t="s">
        <v>8</v>
      </c>
      <c r="S12" s="17">
        <f t="shared" ref="S12:AF12" si="4">SUM(C18:C21)</f>
        <v>16</v>
      </c>
      <c r="T12" s="17">
        <f t="shared" si="4"/>
        <v>0</v>
      </c>
      <c r="U12" s="17">
        <f t="shared" si="4"/>
        <v>7</v>
      </c>
      <c r="V12" s="17">
        <f t="shared" si="4"/>
        <v>6</v>
      </c>
      <c r="W12" s="17">
        <f t="shared" si="4"/>
        <v>0</v>
      </c>
      <c r="X12" s="17">
        <f t="shared" si="4"/>
        <v>2</v>
      </c>
      <c r="Y12" s="17">
        <f t="shared" si="4"/>
        <v>3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21</v>
      </c>
      <c r="AD12" s="17">
        <f t="shared" si="4"/>
        <v>0</v>
      </c>
      <c r="AE12" s="31">
        <f t="shared" si="4"/>
        <v>34</v>
      </c>
      <c r="AF12" s="31">
        <f t="shared" si="4"/>
        <v>55</v>
      </c>
    </row>
    <row r="13" spans="2:32" ht="23.1" customHeight="1" x14ac:dyDescent="0.25">
      <c r="B13" s="23" t="s">
        <v>40</v>
      </c>
      <c r="C13" s="50">
        <v>7</v>
      </c>
      <c r="D13" s="50">
        <v>0</v>
      </c>
      <c r="E13" s="50">
        <v>2</v>
      </c>
      <c r="F13" s="50">
        <v>1</v>
      </c>
      <c r="G13" s="50">
        <v>0</v>
      </c>
      <c r="H13" s="50">
        <v>1</v>
      </c>
      <c r="I13" s="50">
        <v>0</v>
      </c>
      <c r="J13" s="50">
        <v>0</v>
      </c>
      <c r="K13" s="50">
        <v>0</v>
      </c>
      <c r="L13" s="50">
        <v>0</v>
      </c>
      <c r="M13" s="50">
        <v>9</v>
      </c>
      <c r="N13" s="50">
        <v>0</v>
      </c>
      <c r="O13" s="15">
        <f t="shared" si="0"/>
        <v>11</v>
      </c>
      <c r="P13" s="15">
        <f t="shared" si="1"/>
        <v>20</v>
      </c>
      <c r="R13" s="1" t="s">
        <v>9</v>
      </c>
      <c r="S13" s="17">
        <f t="shared" ref="S13:AF13" si="5">SUM(C22:C25)</f>
        <v>16</v>
      </c>
      <c r="T13" s="17">
        <f t="shared" si="5"/>
        <v>0</v>
      </c>
      <c r="U13" s="17">
        <f t="shared" si="5"/>
        <v>4</v>
      </c>
      <c r="V13" s="17">
        <f t="shared" si="5"/>
        <v>6</v>
      </c>
      <c r="W13" s="17">
        <f t="shared" si="5"/>
        <v>0</v>
      </c>
      <c r="X13" s="17">
        <f t="shared" si="5"/>
        <v>0</v>
      </c>
      <c r="Y13" s="17">
        <f t="shared" si="5"/>
        <v>9</v>
      </c>
      <c r="Z13" s="17">
        <f t="shared" si="5"/>
        <v>0</v>
      </c>
      <c r="AA13" s="17">
        <f t="shared" si="5"/>
        <v>0</v>
      </c>
      <c r="AB13" s="17">
        <f t="shared" si="5"/>
        <v>1</v>
      </c>
      <c r="AC13" s="17">
        <f t="shared" si="5"/>
        <v>11</v>
      </c>
      <c r="AD13" s="17">
        <f t="shared" si="5"/>
        <v>0</v>
      </c>
      <c r="AE13" s="31">
        <f t="shared" si="5"/>
        <v>36</v>
      </c>
      <c r="AF13" s="31">
        <f t="shared" si="5"/>
        <v>47</v>
      </c>
    </row>
    <row r="14" spans="2:32" ht="23.1" customHeight="1" x14ac:dyDescent="0.25">
      <c r="B14" s="23" t="s">
        <v>41</v>
      </c>
      <c r="C14" s="50">
        <v>3</v>
      </c>
      <c r="D14" s="50">
        <v>0</v>
      </c>
      <c r="E14" s="50">
        <v>0</v>
      </c>
      <c r="F14" s="50">
        <v>3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3</v>
      </c>
      <c r="N14" s="50">
        <v>0</v>
      </c>
      <c r="O14" s="15">
        <f t="shared" si="0"/>
        <v>6</v>
      </c>
      <c r="P14" s="15">
        <f t="shared" si="1"/>
        <v>9</v>
      </c>
      <c r="R14" s="1" t="s">
        <v>10</v>
      </c>
      <c r="S14" s="17">
        <f t="shared" ref="S14:AF14" si="6">SUM(C26:C29)</f>
        <v>21</v>
      </c>
      <c r="T14" s="17">
        <f t="shared" si="6"/>
        <v>0</v>
      </c>
      <c r="U14" s="17">
        <f t="shared" si="6"/>
        <v>2</v>
      </c>
      <c r="V14" s="17">
        <f t="shared" si="6"/>
        <v>2</v>
      </c>
      <c r="W14" s="17">
        <f t="shared" si="6"/>
        <v>0</v>
      </c>
      <c r="X14" s="17">
        <f t="shared" si="6"/>
        <v>1</v>
      </c>
      <c r="Y14" s="17">
        <f t="shared" si="6"/>
        <v>1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18</v>
      </c>
      <c r="AD14" s="17">
        <f t="shared" si="6"/>
        <v>0</v>
      </c>
      <c r="AE14" s="31">
        <f t="shared" si="6"/>
        <v>27</v>
      </c>
      <c r="AF14" s="31">
        <f t="shared" si="6"/>
        <v>45</v>
      </c>
    </row>
    <row r="15" spans="2:32" ht="23.1" customHeight="1" x14ac:dyDescent="0.25">
      <c r="B15" s="23" t="s">
        <v>42</v>
      </c>
      <c r="C15" s="50">
        <v>6</v>
      </c>
      <c r="D15" s="50">
        <v>0</v>
      </c>
      <c r="E15" s="50">
        <v>0</v>
      </c>
      <c r="F15" s="50">
        <v>2</v>
      </c>
      <c r="G15" s="50">
        <v>0</v>
      </c>
      <c r="H15" s="50">
        <v>1</v>
      </c>
      <c r="I15" s="50">
        <v>0</v>
      </c>
      <c r="J15" s="50">
        <v>0</v>
      </c>
      <c r="K15" s="50">
        <v>0</v>
      </c>
      <c r="L15" s="50">
        <v>0</v>
      </c>
      <c r="M15" s="50">
        <v>8</v>
      </c>
      <c r="N15" s="50">
        <v>0</v>
      </c>
      <c r="O15" s="15">
        <f t="shared" si="0"/>
        <v>9</v>
      </c>
      <c r="P15" s="15">
        <f t="shared" si="1"/>
        <v>17</v>
      </c>
      <c r="R15" s="1" t="s">
        <v>11</v>
      </c>
      <c r="S15" s="17">
        <f t="shared" ref="S15:AF15" si="7">SUM(C30:C33)</f>
        <v>19</v>
      </c>
      <c r="T15" s="17">
        <f t="shared" si="7"/>
        <v>0</v>
      </c>
      <c r="U15" s="17">
        <f t="shared" si="7"/>
        <v>8</v>
      </c>
      <c r="V15" s="17">
        <f t="shared" si="7"/>
        <v>18</v>
      </c>
      <c r="W15" s="17">
        <f t="shared" si="7"/>
        <v>0</v>
      </c>
      <c r="X15" s="17">
        <f t="shared" si="7"/>
        <v>1</v>
      </c>
      <c r="Y15" s="17">
        <f t="shared" si="7"/>
        <v>13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18</v>
      </c>
      <c r="AD15" s="17">
        <f t="shared" si="7"/>
        <v>0</v>
      </c>
      <c r="AE15" s="31">
        <f t="shared" si="7"/>
        <v>59</v>
      </c>
      <c r="AF15" s="31">
        <f t="shared" si="7"/>
        <v>77</v>
      </c>
    </row>
    <row r="16" spans="2:32" ht="23.1" customHeight="1" x14ac:dyDescent="0.25">
      <c r="B16" s="23" t="s">
        <v>43</v>
      </c>
      <c r="C16" s="50">
        <v>8</v>
      </c>
      <c r="D16" s="50">
        <v>0</v>
      </c>
      <c r="E16" s="50">
        <v>0</v>
      </c>
      <c r="F16" s="50">
        <v>2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3</v>
      </c>
      <c r="N16" s="50">
        <v>0</v>
      </c>
      <c r="O16" s="15">
        <f t="shared" si="0"/>
        <v>10</v>
      </c>
      <c r="P16" s="15">
        <f t="shared" si="1"/>
        <v>13</v>
      </c>
      <c r="R16" s="1" t="s">
        <v>12</v>
      </c>
      <c r="S16" s="17">
        <f t="shared" ref="S16:AF16" si="8">SUM(C34:C37)</f>
        <v>17</v>
      </c>
      <c r="T16" s="17">
        <f t="shared" si="8"/>
        <v>0</v>
      </c>
      <c r="U16" s="17">
        <f t="shared" si="8"/>
        <v>14</v>
      </c>
      <c r="V16" s="17">
        <f t="shared" si="8"/>
        <v>8</v>
      </c>
      <c r="W16" s="17">
        <f t="shared" si="8"/>
        <v>0</v>
      </c>
      <c r="X16" s="17">
        <f t="shared" si="8"/>
        <v>1</v>
      </c>
      <c r="Y16" s="17">
        <f t="shared" si="8"/>
        <v>8</v>
      </c>
      <c r="Z16" s="17">
        <f t="shared" si="8"/>
        <v>0</v>
      </c>
      <c r="AA16" s="17">
        <f t="shared" si="8"/>
        <v>0</v>
      </c>
      <c r="AB16" s="17">
        <f t="shared" si="8"/>
        <v>1</v>
      </c>
      <c r="AC16" s="17">
        <f t="shared" si="8"/>
        <v>10</v>
      </c>
      <c r="AD16" s="17">
        <f t="shared" si="8"/>
        <v>0</v>
      </c>
      <c r="AE16" s="31">
        <f t="shared" si="8"/>
        <v>49</v>
      </c>
      <c r="AF16" s="31">
        <f t="shared" si="8"/>
        <v>59</v>
      </c>
    </row>
    <row r="17" spans="2:32" ht="23.1" customHeight="1" x14ac:dyDescent="0.25">
      <c r="B17" s="23" t="s">
        <v>44</v>
      </c>
      <c r="C17" s="50">
        <v>1</v>
      </c>
      <c r="D17" s="50">
        <v>0</v>
      </c>
      <c r="E17" s="50">
        <v>1</v>
      </c>
      <c r="F17" s="50">
        <v>3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3</v>
      </c>
      <c r="N17" s="50">
        <v>0</v>
      </c>
      <c r="O17" s="15">
        <f t="shared" si="0"/>
        <v>5</v>
      </c>
      <c r="P17" s="15">
        <f t="shared" si="1"/>
        <v>8</v>
      </c>
      <c r="R17" s="1" t="s">
        <v>13</v>
      </c>
      <c r="S17" s="17">
        <f t="shared" ref="S17:AF17" si="9">SUM(C38:C41)</f>
        <v>23</v>
      </c>
      <c r="T17" s="17">
        <f t="shared" si="9"/>
        <v>0</v>
      </c>
      <c r="U17" s="17">
        <f t="shared" si="9"/>
        <v>7</v>
      </c>
      <c r="V17" s="17">
        <f t="shared" si="9"/>
        <v>11</v>
      </c>
      <c r="W17" s="17">
        <f t="shared" si="9"/>
        <v>0</v>
      </c>
      <c r="X17" s="17">
        <f t="shared" si="9"/>
        <v>1</v>
      </c>
      <c r="Y17" s="17">
        <f t="shared" si="9"/>
        <v>0</v>
      </c>
      <c r="Z17" s="17">
        <f t="shared" si="9"/>
        <v>0</v>
      </c>
      <c r="AA17" s="17">
        <f t="shared" si="9"/>
        <v>0</v>
      </c>
      <c r="AB17" s="17">
        <f t="shared" si="9"/>
        <v>2</v>
      </c>
      <c r="AC17" s="17">
        <f t="shared" si="9"/>
        <v>10</v>
      </c>
      <c r="AD17" s="17">
        <f t="shared" si="9"/>
        <v>0</v>
      </c>
      <c r="AE17" s="31">
        <f t="shared" si="9"/>
        <v>44</v>
      </c>
      <c r="AF17" s="31">
        <f t="shared" si="9"/>
        <v>54</v>
      </c>
    </row>
    <row r="18" spans="2:32" ht="23.1" customHeight="1" x14ac:dyDescent="0.25">
      <c r="B18" s="23" t="s">
        <v>45</v>
      </c>
      <c r="C18" s="50">
        <v>7</v>
      </c>
      <c r="D18" s="50">
        <v>0</v>
      </c>
      <c r="E18" s="50">
        <v>1</v>
      </c>
      <c r="F18" s="50">
        <v>1</v>
      </c>
      <c r="G18" s="50">
        <v>0</v>
      </c>
      <c r="H18" s="50">
        <v>1</v>
      </c>
      <c r="I18" s="50">
        <v>0</v>
      </c>
      <c r="J18" s="50">
        <v>0</v>
      </c>
      <c r="K18" s="50">
        <v>0</v>
      </c>
      <c r="L18" s="50">
        <v>0</v>
      </c>
      <c r="M18" s="50">
        <v>6</v>
      </c>
      <c r="N18" s="50">
        <v>0</v>
      </c>
      <c r="O18" s="15">
        <f t="shared" si="0"/>
        <v>10</v>
      </c>
      <c r="P18" s="15">
        <f t="shared" si="1"/>
        <v>16</v>
      </c>
      <c r="R18" s="1" t="s">
        <v>14</v>
      </c>
      <c r="S18" s="17">
        <f t="shared" ref="S18:AF18" si="10">SUM(C42:C45)</f>
        <v>22</v>
      </c>
      <c r="T18" s="17">
        <f t="shared" si="10"/>
        <v>0</v>
      </c>
      <c r="U18" s="17">
        <f t="shared" si="10"/>
        <v>6</v>
      </c>
      <c r="V18" s="17">
        <f t="shared" si="10"/>
        <v>16</v>
      </c>
      <c r="W18" s="17">
        <f t="shared" si="10"/>
        <v>0</v>
      </c>
      <c r="X18" s="17">
        <f t="shared" si="10"/>
        <v>0</v>
      </c>
      <c r="Y18" s="17">
        <f t="shared" si="10"/>
        <v>10</v>
      </c>
      <c r="Z18" s="17">
        <f t="shared" si="10"/>
        <v>0</v>
      </c>
      <c r="AA18" s="17">
        <f t="shared" si="10"/>
        <v>1</v>
      </c>
      <c r="AB18" s="17">
        <f t="shared" si="10"/>
        <v>3</v>
      </c>
      <c r="AC18" s="17">
        <f t="shared" si="10"/>
        <v>15</v>
      </c>
      <c r="AD18" s="17">
        <f t="shared" si="10"/>
        <v>0</v>
      </c>
      <c r="AE18" s="31">
        <f t="shared" si="10"/>
        <v>58</v>
      </c>
      <c r="AF18" s="31">
        <f t="shared" si="10"/>
        <v>73</v>
      </c>
    </row>
    <row r="19" spans="2:32" ht="23.1" customHeight="1" x14ac:dyDescent="0.25">
      <c r="B19" s="23" t="s">
        <v>46</v>
      </c>
      <c r="C19" s="50">
        <v>1</v>
      </c>
      <c r="D19" s="50">
        <v>0</v>
      </c>
      <c r="E19" s="50">
        <v>2</v>
      </c>
      <c r="F19" s="50">
        <v>2</v>
      </c>
      <c r="G19" s="50">
        <v>0</v>
      </c>
      <c r="H19" s="50">
        <v>0</v>
      </c>
      <c r="I19" s="50">
        <v>1</v>
      </c>
      <c r="J19" s="50">
        <v>0</v>
      </c>
      <c r="K19" s="50">
        <v>0</v>
      </c>
      <c r="L19" s="50">
        <v>0</v>
      </c>
      <c r="M19" s="50">
        <v>2</v>
      </c>
      <c r="N19" s="50">
        <v>0</v>
      </c>
      <c r="O19" s="15">
        <f t="shared" si="0"/>
        <v>6</v>
      </c>
      <c r="P19" s="15">
        <f t="shared" si="1"/>
        <v>8</v>
      </c>
      <c r="R19" s="1" t="s">
        <v>15</v>
      </c>
      <c r="S19" s="17">
        <f t="shared" ref="S19:AF19" si="11">SUM(C46:C49)</f>
        <v>20</v>
      </c>
      <c r="T19" s="17">
        <f t="shared" si="11"/>
        <v>0</v>
      </c>
      <c r="U19" s="17">
        <f t="shared" si="11"/>
        <v>6</v>
      </c>
      <c r="V19" s="17">
        <f t="shared" si="11"/>
        <v>6</v>
      </c>
      <c r="W19" s="17">
        <f t="shared" si="11"/>
        <v>0</v>
      </c>
      <c r="X19" s="17">
        <f t="shared" si="11"/>
        <v>1</v>
      </c>
      <c r="Y19" s="17">
        <f t="shared" si="11"/>
        <v>9</v>
      </c>
      <c r="Z19" s="17">
        <f t="shared" si="11"/>
        <v>0</v>
      </c>
      <c r="AA19" s="17">
        <f t="shared" si="11"/>
        <v>0</v>
      </c>
      <c r="AB19" s="17">
        <f t="shared" si="11"/>
        <v>1</v>
      </c>
      <c r="AC19" s="17">
        <f t="shared" si="11"/>
        <v>4</v>
      </c>
      <c r="AD19" s="17">
        <f t="shared" si="11"/>
        <v>0</v>
      </c>
      <c r="AE19" s="31">
        <f t="shared" si="11"/>
        <v>43</v>
      </c>
      <c r="AF19" s="31">
        <f t="shared" si="11"/>
        <v>47</v>
      </c>
    </row>
    <row r="20" spans="2:32" ht="23.1" customHeight="1" x14ac:dyDescent="0.25">
      <c r="B20" s="23" t="s">
        <v>47</v>
      </c>
      <c r="C20" s="50">
        <v>4</v>
      </c>
      <c r="D20" s="50">
        <v>0</v>
      </c>
      <c r="E20" s="50">
        <v>1</v>
      </c>
      <c r="F20" s="50">
        <v>1</v>
      </c>
      <c r="G20" s="50">
        <v>0</v>
      </c>
      <c r="H20" s="50">
        <v>1</v>
      </c>
      <c r="I20" s="50">
        <v>2</v>
      </c>
      <c r="J20" s="50">
        <v>0</v>
      </c>
      <c r="K20" s="50">
        <v>0</v>
      </c>
      <c r="L20" s="50">
        <v>0</v>
      </c>
      <c r="M20" s="50">
        <v>8</v>
      </c>
      <c r="N20" s="50">
        <v>0</v>
      </c>
      <c r="O20" s="15">
        <f t="shared" si="0"/>
        <v>9</v>
      </c>
      <c r="P20" s="15">
        <f t="shared" si="1"/>
        <v>17</v>
      </c>
      <c r="R20" s="1" t="s">
        <v>16</v>
      </c>
      <c r="S20" s="17">
        <f t="shared" ref="S20:AF20" si="12">SUM(C50:C53)</f>
        <v>19</v>
      </c>
      <c r="T20" s="17">
        <f t="shared" si="12"/>
        <v>0</v>
      </c>
      <c r="U20" s="17">
        <f t="shared" si="12"/>
        <v>8</v>
      </c>
      <c r="V20" s="17">
        <f t="shared" si="12"/>
        <v>16</v>
      </c>
      <c r="W20" s="17">
        <f t="shared" si="12"/>
        <v>0</v>
      </c>
      <c r="X20" s="17">
        <f t="shared" si="12"/>
        <v>1</v>
      </c>
      <c r="Y20" s="17">
        <f t="shared" si="12"/>
        <v>9</v>
      </c>
      <c r="Z20" s="17">
        <f t="shared" si="12"/>
        <v>0</v>
      </c>
      <c r="AA20" s="17">
        <f t="shared" si="12"/>
        <v>0</v>
      </c>
      <c r="AB20" s="17">
        <f t="shared" si="12"/>
        <v>2</v>
      </c>
      <c r="AC20" s="17">
        <f t="shared" si="12"/>
        <v>13</v>
      </c>
      <c r="AD20" s="17">
        <f t="shared" si="12"/>
        <v>0</v>
      </c>
      <c r="AE20" s="31">
        <f t="shared" si="12"/>
        <v>55</v>
      </c>
      <c r="AF20" s="31">
        <f t="shared" si="12"/>
        <v>68</v>
      </c>
    </row>
    <row r="21" spans="2:32" ht="23.1" customHeight="1" x14ac:dyDescent="0.25">
      <c r="B21" s="23" t="s">
        <v>48</v>
      </c>
      <c r="C21" s="50">
        <v>4</v>
      </c>
      <c r="D21" s="50">
        <v>0</v>
      </c>
      <c r="E21" s="50">
        <v>3</v>
      </c>
      <c r="F21" s="50">
        <v>2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5</v>
      </c>
      <c r="N21" s="50">
        <v>0</v>
      </c>
      <c r="O21" s="15">
        <f t="shared" si="0"/>
        <v>9</v>
      </c>
      <c r="P21" s="15">
        <f t="shared" si="1"/>
        <v>14</v>
      </c>
      <c r="R21" s="36" t="s">
        <v>20</v>
      </c>
      <c r="S21" s="34">
        <f t="shared" ref="S21:AF21" si="13">SUM(C54:C57)</f>
        <v>19</v>
      </c>
      <c r="T21" s="17">
        <f t="shared" si="13"/>
        <v>0</v>
      </c>
      <c r="U21" s="17">
        <f t="shared" si="13"/>
        <v>13</v>
      </c>
      <c r="V21" s="17">
        <f t="shared" si="13"/>
        <v>12</v>
      </c>
      <c r="W21" s="17">
        <f t="shared" si="13"/>
        <v>0</v>
      </c>
      <c r="X21" s="17">
        <f t="shared" si="13"/>
        <v>0</v>
      </c>
      <c r="Y21" s="17">
        <f t="shared" si="13"/>
        <v>15</v>
      </c>
      <c r="Z21" s="17">
        <f t="shared" si="13"/>
        <v>0</v>
      </c>
      <c r="AA21" s="17">
        <f t="shared" si="13"/>
        <v>0</v>
      </c>
      <c r="AB21" s="17">
        <f t="shared" si="13"/>
        <v>7</v>
      </c>
      <c r="AC21" s="17">
        <f t="shared" si="13"/>
        <v>19</v>
      </c>
      <c r="AD21" s="17">
        <f t="shared" si="13"/>
        <v>0</v>
      </c>
      <c r="AE21" s="31">
        <f t="shared" si="13"/>
        <v>66</v>
      </c>
      <c r="AF21" s="31">
        <f t="shared" si="13"/>
        <v>85</v>
      </c>
    </row>
    <row r="22" spans="2:32" ht="23.1" customHeight="1" x14ac:dyDescent="0.25">
      <c r="B22" s="23" t="s">
        <v>49</v>
      </c>
      <c r="C22" s="50">
        <v>1</v>
      </c>
      <c r="D22" s="50">
        <v>0</v>
      </c>
      <c r="E22" s="50">
        <v>0</v>
      </c>
      <c r="F22" s="50">
        <v>3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1</v>
      </c>
      <c r="M22" s="50">
        <v>4</v>
      </c>
      <c r="N22" s="50">
        <v>0</v>
      </c>
      <c r="O22" s="15">
        <f t="shared" si="0"/>
        <v>5</v>
      </c>
      <c r="P22" s="15">
        <f t="shared" si="1"/>
        <v>9</v>
      </c>
      <c r="R22" s="38" t="s">
        <v>90</v>
      </c>
      <c r="S22" s="39">
        <f>MAX(S10:S12)</f>
        <v>24</v>
      </c>
      <c r="T22" s="39">
        <f t="shared" ref="T22:AF22" si="14">MAX(T10:T12)</f>
        <v>0</v>
      </c>
      <c r="U22" s="39">
        <f t="shared" si="14"/>
        <v>7</v>
      </c>
      <c r="V22" s="39">
        <f t="shared" si="14"/>
        <v>10</v>
      </c>
      <c r="W22" s="39">
        <f t="shared" si="14"/>
        <v>0</v>
      </c>
      <c r="X22" s="39">
        <f t="shared" si="14"/>
        <v>2</v>
      </c>
      <c r="Y22" s="39">
        <f t="shared" si="14"/>
        <v>3</v>
      </c>
      <c r="Z22" s="39">
        <f t="shared" si="14"/>
        <v>0</v>
      </c>
      <c r="AA22" s="39">
        <f t="shared" si="14"/>
        <v>0</v>
      </c>
      <c r="AB22" s="39">
        <f t="shared" si="14"/>
        <v>0</v>
      </c>
      <c r="AC22" s="39">
        <f t="shared" si="14"/>
        <v>21</v>
      </c>
      <c r="AD22" s="39">
        <f t="shared" si="14"/>
        <v>0</v>
      </c>
      <c r="AE22" s="40">
        <f t="shared" si="14"/>
        <v>35</v>
      </c>
      <c r="AF22" s="40">
        <f t="shared" si="14"/>
        <v>56</v>
      </c>
    </row>
    <row r="23" spans="2:32" ht="23.1" customHeight="1" x14ac:dyDescent="0.25">
      <c r="B23" s="23" t="s">
        <v>50</v>
      </c>
      <c r="C23" s="50">
        <v>3</v>
      </c>
      <c r="D23" s="50">
        <v>0</v>
      </c>
      <c r="E23" s="50">
        <v>0</v>
      </c>
      <c r="F23" s="50">
        <v>1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4</v>
      </c>
      <c r="N23" s="50">
        <v>0</v>
      </c>
      <c r="O23" s="15">
        <f t="shared" si="0"/>
        <v>4</v>
      </c>
      <c r="P23" s="15">
        <f t="shared" si="1"/>
        <v>8</v>
      </c>
      <c r="R23" s="38" t="s">
        <v>91</v>
      </c>
      <c r="S23" s="39">
        <f>MAX(S13:S18)</f>
        <v>23</v>
      </c>
      <c r="T23" s="39">
        <f t="shared" ref="T23:AF23" si="15">MAX(T13:T18)</f>
        <v>0</v>
      </c>
      <c r="U23" s="39">
        <f t="shared" si="15"/>
        <v>14</v>
      </c>
      <c r="V23" s="39">
        <f t="shared" si="15"/>
        <v>18</v>
      </c>
      <c r="W23" s="39">
        <f t="shared" si="15"/>
        <v>0</v>
      </c>
      <c r="X23" s="39">
        <f t="shared" si="15"/>
        <v>1</v>
      </c>
      <c r="Y23" s="39">
        <f t="shared" si="15"/>
        <v>13</v>
      </c>
      <c r="Z23" s="39">
        <f t="shared" si="15"/>
        <v>0</v>
      </c>
      <c r="AA23" s="39">
        <f t="shared" si="15"/>
        <v>1</v>
      </c>
      <c r="AB23" s="39">
        <f t="shared" si="15"/>
        <v>3</v>
      </c>
      <c r="AC23" s="39">
        <f t="shared" si="15"/>
        <v>18</v>
      </c>
      <c r="AD23" s="39">
        <f t="shared" si="15"/>
        <v>0</v>
      </c>
      <c r="AE23" s="40">
        <f t="shared" si="15"/>
        <v>59</v>
      </c>
      <c r="AF23" s="40">
        <f t="shared" si="15"/>
        <v>77</v>
      </c>
    </row>
    <row r="24" spans="2:32" ht="23.1" customHeight="1" x14ac:dyDescent="0.25">
      <c r="B24" s="23" t="s">
        <v>51</v>
      </c>
      <c r="C24" s="50">
        <v>7</v>
      </c>
      <c r="D24" s="50">
        <v>0</v>
      </c>
      <c r="E24" s="50">
        <v>1</v>
      </c>
      <c r="F24" s="50">
        <v>2</v>
      </c>
      <c r="G24" s="50">
        <v>0</v>
      </c>
      <c r="H24" s="50">
        <v>0</v>
      </c>
      <c r="I24" s="50">
        <v>2</v>
      </c>
      <c r="J24" s="50">
        <v>0</v>
      </c>
      <c r="K24" s="50">
        <v>0</v>
      </c>
      <c r="L24" s="50">
        <v>0</v>
      </c>
      <c r="M24" s="50">
        <v>2</v>
      </c>
      <c r="N24" s="50">
        <v>0</v>
      </c>
      <c r="O24" s="15">
        <f t="shared" si="0"/>
        <v>12</v>
      </c>
      <c r="P24" s="15">
        <f t="shared" si="1"/>
        <v>14</v>
      </c>
      <c r="R24" s="38" t="s">
        <v>92</v>
      </c>
      <c r="S24" s="39">
        <f>MAX(S19:S21)</f>
        <v>20</v>
      </c>
      <c r="T24" s="39">
        <f t="shared" ref="T24:AF24" si="16">MAX(T19:T21)</f>
        <v>0</v>
      </c>
      <c r="U24" s="39">
        <f t="shared" si="16"/>
        <v>13</v>
      </c>
      <c r="V24" s="39">
        <f t="shared" si="16"/>
        <v>16</v>
      </c>
      <c r="W24" s="39">
        <f t="shared" si="16"/>
        <v>0</v>
      </c>
      <c r="X24" s="39">
        <f t="shared" si="16"/>
        <v>1</v>
      </c>
      <c r="Y24" s="39">
        <f t="shared" si="16"/>
        <v>15</v>
      </c>
      <c r="Z24" s="39">
        <f t="shared" si="16"/>
        <v>0</v>
      </c>
      <c r="AA24" s="39">
        <f t="shared" si="16"/>
        <v>0</v>
      </c>
      <c r="AB24" s="39">
        <f t="shared" si="16"/>
        <v>7</v>
      </c>
      <c r="AC24" s="39">
        <f t="shared" si="16"/>
        <v>19</v>
      </c>
      <c r="AD24" s="39">
        <f t="shared" si="16"/>
        <v>0</v>
      </c>
      <c r="AE24" s="40">
        <f t="shared" si="16"/>
        <v>66</v>
      </c>
      <c r="AF24" s="40">
        <f t="shared" si="16"/>
        <v>85</v>
      </c>
    </row>
    <row r="25" spans="2:32" ht="23.1" customHeight="1" x14ac:dyDescent="0.25">
      <c r="B25" s="23" t="s">
        <v>52</v>
      </c>
      <c r="C25" s="50">
        <v>5</v>
      </c>
      <c r="D25" s="50">
        <v>0</v>
      </c>
      <c r="E25" s="50">
        <v>3</v>
      </c>
      <c r="F25" s="50">
        <v>0</v>
      </c>
      <c r="G25" s="50">
        <v>0</v>
      </c>
      <c r="H25" s="50">
        <v>0</v>
      </c>
      <c r="I25" s="50">
        <v>7</v>
      </c>
      <c r="J25" s="50">
        <v>0</v>
      </c>
      <c r="K25" s="50">
        <v>0</v>
      </c>
      <c r="L25" s="50">
        <v>0</v>
      </c>
      <c r="M25" s="50">
        <v>1</v>
      </c>
      <c r="N25" s="50">
        <v>0</v>
      </c>
      <c r="O25" s="15">
        <f t="shared" si="0"/>
        <v>15</v>
      </c>
      <c r="P25" s="15">
        <f t="shared" si="1"/>
        <v>16</v>
      </c>
      <c r="R25" s="37" t="s">
        <v>85</v>
      </c>
      <c r="S25" s="35">
        <f t="shared" ref="S25:AF25" si="17">SUM(S10:S12)</f>
        <v>58</v>
      </c>
      <c r="T25" s="16">
        <f t="shared" si="17"/>
        <v>0</v>
      </c>
      <c r="U25" s="16">
        <f t="shared" si="17"/>
        <v>12</v>
      </c>
      <c r="V25" s="16">
        <f t="shared" si="17"/>
        <v>20</v>
      </c>
      <c r="W25" s="16">
        <f t="shared" si="17"/>
        <v>0</v>
      </c>
      <c r="X25" s="16">
        <f t="shared" si="17"/>
        <v>4</v>
      </c>
      <c r="Y25" s="16">
        <f t="shared" si="17"/>
        <v>5</v>
      </c>
      <c r="Z25" s="16">
        <f t="shared" si="17"/>
        <v>0</v>
      </c>
      <c r="AA25" s="16">
        <f t="shared" si="17"/>
        <v>0</v>
      </c>
      <c r="AB25" s="16">
        <f t="shared" si="17"/>
        <v>0</v>
      </c>
      <c r="AC25" s="16">
        <f t="shared" si="17"/>
        <v>59</v>
      </c>
      <c r="AD25" s="16">
        <f t="shared" si="17"/>
        <v>0</v>
      </c>
      <c r="AE25" s="32">
        <f t="shared" si="17"/>
        <v>99</v>
      </c>
      <c r="AF25" s="32">
        <f t="shared" si="17"/>
        <v>158</v>
      </c>
    </row>
    <row r="26" spans="2:32" ht="23.1" customHeight="1" x14ac:dyDescent="0.25">
      <c r="B26" s="23" t="s">
        <v>53</v>
      </c>
      <c r="C26" s="50">
        <v>5</v>
      </c>
      <c r="D26" s="50">
        <v>0</v>
      </c>
      <c r="E26" s="50">
        <v>0</v>
      </c>
      <c r="F26" s="50">
        <v>0</v>
      </c>
      <c r="G26" s="50">
        <v>0</v>
      </c>
      <c r="H26" s="50">
        <v>1</v>
      </c>
      <c r="I26" s="50">
        <v>0</v>
      </c>
      <c r="J26" s="50">
        <v>0</v>
      </c>
      <c r="K26" s="50">
        <v>0</v>
      </c>
      <c r="L26" s="50">
        <v>0</v>
      </c>
      <c r="M26" s="50">
        <v>3</v>
      </c>
      <c r="N26" s="50">
        <v>0</v>
      </c>
      <c r="O26" s="15">
        <f t="shared" si="0"/>
        <v>6</v>
      </c>
      <c r="P26" s="15">
        <f t="shared" si="1"/>
        <v>9</v>
      </c>
      <c r="R26" s="28" t="s">
        <v>86</v>
      </c>
      <c r="S26" s="16">
        <f t="shared" ref="S26:AF26" si="18">SUM(S13:S18)</f>
        <v>118</v>
      </c>
      <c r="T26" s="16">
        <f t="shared" si="18"/>
        <v>0</v>
      </c>
      <c r="U26" s="16">
        <f t="shared" si="18"/>
        <v>41</v>
      </c>
      <c r="V26" s="16">
        <f t="shared" si="18"/>
        <v>61</v>
      </c>
      <c r="W26" s="16">
        <f t="shared" si="18"/>
        <v>0</v>
      </c>
      <c r="X26" s="16">
        <f t="shared" si="18"/>
        <v>4</v>
      </c>
      <c r="Y26" s="16">
        <f t="shared" si="18"/>
        <v>41</v>
      </c>
      <c r="Z26" s="16">
        <f t="shared" si="18"/>
        <v>0</v>
      </c>
      <c r="AA26" s="16">
        <f t="shared" si="18"/>
        <v>1</v>
      </c>
      <c r="AB26" s="16">
        <f t="shared" si="18"/>
        <v>7</v>
      </c>
      <c r="AC26" s="16">
        <f t="shared" si="18"/>
        <v>82</v>
      </c>
      <c r="AD26" s="16">
        <f t="shared" si="18"/>
        <v>0</v>
      </c>
      <c r="AE26" s="32">
        <f t="shared" si="18"/>
        <v>273</v>
      </c>
      <c r="AF26" s="32">
        <f t="shared" si="18"/>
        <v>355</v>
      </c>
    </row>
    <row r="27" spans="2:32" ht="23.1" customHeight="1" x14ac:dyDescent="0.25">
      <c r="B27" s="23" t="s">
        <v>54</v>
      </c>
      <c r="C27" s="50">
        <v>6</v>
      </c>
      <c r="D27" s="50">
        <v>0</v>
      </c>
      <c r="E27" s="50">
        <v>2</v>
      </c>
      <c r="F27" s="50">
        <v>1</v>
      </c>
      <c r="G27" s="50">
        <v>0</v>
      </c>
      <c r="H27" s="50">
        <v>0</v>
      </c>
      <c r="I27" s="50">
        <v>1</v>
      </c>
      <c r="J27" s="50">
        <v>0</v>
      </c>
      <c r="K27" s="50">
        <v>0</v>
      </c>
      <c r="L27" s="50">
        <v>0</v>
      </c>
      <c r="M27" s="50">
        <v>6</v>
      </c>
      <c r="N27" s="50">
        <v>0</v>
      </c>
      <c r="O27" s="15">
        <f t="shared" si="0"/>
        <v>10</v>
      </c>
      <c r="P27" s="15">
        <f t="shared" si="1"/>
        <v>16</v>
      </c>
      <c r="R27" s="29" t="s">
        <v>87</v>
      </c>
      <c r="S27" s="16">
        <f t="shared" ref="S27:AF27" si="19">SUM(S19:S21)</f>
        <v>58</v>
      </c>
      <c r="T27" s="16">
        <f t="shared" si="19"/>
        <v>0</v>
      </c>
      <c r="U27" s="16">
        <f t="shared" si="19"/>
        <v>27</v>
      </c>
      <c r="V27" s="16">
        <f t="shared" si="19"/>
        <v>34</v>
      </c>
      <c r="W27" s="16">
        <f t="shared" si="19"/>
        <v>0</v>
      </c>
      <c r="X27" s="16">
        <f t="shared" si="19"/>
        <v>2</v>
      </c>
      <c r="Y27" s="16">
        <f t="shared" si="19"/>
        <v>33</v>
      </c>
      <c r="Z27" s="16">
        <f t="shared" si="19"/>
        <v>0</v>
      </c>
      <c r="AA27" s="16">
        <f t="shared" si="19"/>
        <v>0</v>
      </c>
      <c r="AB27" s="16">
        <f t="shared" si="19"/>
        <v>10</v>
      </c>
      <c r="AC27" s="16">
        <f t="shared" si="19"/>
        <v>36</v>
      </c>
      <c r="AD27" s="16">
        <f t="shared" si="19"/>
        <v>0</v>
      </c>
      <c r="AE27" s="32">
        <f t="shared" si="19"/>
        <v>164</v>
      </c>
      <c r="AF27" s="32">
        <f t="shared" si="19"/>
        <v>200</v>
      </c>
    </row>
    <row r="28" spans="2:32" ht="23.1" customHeight="1" x14ac:dyDescent="0.25">
      <c r="B28" s="23" t="s">
        <v>55</v>
      </c>
      <c r="C28" s="50">
        <v>5</v>
      </c>
      <c r="D28" s="50">
        <v>0</v>
      </c>
      <c r="E28" s="50">
        <v>0</v>
      </c>
      <c r="F28" s="50">
        <v>1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7</v>
      </c>
      <c r="N28" s="50">
        <v>0</v>
      </c>
      <c r="O28" s="15">
        <f t="shared" si="0"/>
        <v>6</v>
      </c>
      <c r="P28" s="15">
        <f t="shared" si="1"/>
        <v>13</v>
      </c>
      <c r="R28" s="5" t="s">
        <v>17</v>
      </c>
      <c r="S28" s="16">
        <f t="shared" ref="S28:AF28" si="20">SUM(S10:S21)</f>
        <v>234</v>
      </c>
      <c r="T28" s="16">
        <f t="shared" si="20"/>
        <v>0</v>
      </c>
      <c r="U28" s="16">
        <f t="shared" si="20"/>
        <v>80</v>
      </c>
      <c r="V28" s="16">
        <f t="shared" si="20"/>
        <v>115</v>
      </c>
      <c r="W28" s="16">
        <f t="shared" si="20"/>
        <v>0</v>
      </c>
      <c r="X28" s="16">
        <f t="shared" si="20"/>
        <v>10</v>
      </c>
      <c r="Y28" s="16">
        <f t="shared" si="20"/>
        <v>79</v>
      </c>
      <c r="Z28" s="16">
        <f t="shared" si="20"/>
        <v>0</v>
      </c>
      <c r="AA28" s="16">
        <f t="shared" si="20"/>
        <v>1</v>
      </c>
      <c r="AB28" s="16">
        <f t="shared" si="20"/>
        <v>17</v>
      </c>
      <c r="AC28" s="16">
        <f t="shared" si="20"/>
        <v>177</v>
      </c>
      <c r="AD28" s="16">
        <f t="shared" si="20"/>
        <v>0</v>
      </c>
      <c r="AE28" s="32">
        <f t="shared" si="20"/>
        <v>536</v>
      </c>
      <c r="AF28" s="32">
        <f t="shared" si="20"/>
        <v>713</v>
      </c>
    </row>
    <row r="29" spans="2:32" ht="23.1" customHeight="1" x14ac:dyDescent="0.25">
      <c r="B29" s="23" t="s">
        <v>56</v>
      </c>
      <c r="C29" s="50">
        <v>5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2</v>
      </c>
      <c r="N29" s="50">
        <v>0</v>
      </c>
      <c r="O29" s="15">
        <f t="shared" si="0"/>
        <v>5</v>
      </c>
      <c r="P29" s="15">
        <f t="shared" si="1"/>
        <v>7</v>
      </c>
      <c r="R29"/>
      <c r="S29" s="20"/>
      <c r="T29" s="19"/>
    </row>
    <row r="30" spans="2:32" ht="23.1" customHeight="1" x14ac:dyDescent="0.25">
      <c r="B30" s="23" t="s">
        <v>57</v>
      </c>
      <c r="C30" s="50">
        <v>5</v>
      </c>
      <c r="D30" s="50">
        <v>0</v>
      </c>
      <c r="E30" s="50">
        <v>4</v>
      </c>
      <c r="F30" s="50">
        <v>5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5</v>
      </c>
      <c r="N30" s="50">
        <v>0</v>
      </c>
      <c r="O30" s="15">
        <f t="shared" si="0"/>
        <v>14</v>
      </c>
      <c r="P30" s="15">
        <f t="shared" si="1"/>
        <v>19</v>
      </c>
    </row>
    <row r="31" spans="2:32" ht="23.1" customHeight="1" x14ac:dyDescent="0.25">
      <c r="B31" s="24" t="s">
        <v>58</v>
      </c>
      <c r="C31" s="50">
        <v>5</v>
      </c>
      <c r="D31" s="50">
        <v>0</v>
      </c>
      <c r="E31" s="50">
        <v>0</v>
      </c>
      <c r="F31" s="50">
        <v>2</v>
      </c>
      <c r="G31" s="50">
        <v>0</v>
      </c>
      <c r="H31" s="50">
        <v>0</v>
      </c>
      <c r="I31" s="50">
        <v>4</v>
      </c>
      <c r="J31" s="50">
        <v>0</v>
      </c>
      <c r="K31" s="50">
        <v>0</v>
      </c>
      <c r="L31" s="50">
        <v>0</v>
      </c>
      <c r="M31" s="50">
        <v>4</v>
      </c>
      <c r="N31" s="50">
        <v>0</v>
      </c>
      <c r="O31" s="15">
        <f t="shared" si="0"/>
        <v>11</v>
      </c>
      <c r="P31" s="15">
        <f t="shared" si="1"/>
        <v>15</v>
      </c>
    </row>
    <row r="32" spans="2:32" ht="23.1" customHeight="1" x14ac:dyDescent="0.25">
      <c r="B32" s="24" t="s">
        <v>59</v>
      </c>
      <c r="C32" s="50">
        <v>4</v>
      </c>
      <c r="D32" s="50">
        <v>0</v>
      </c>
      <c r="E32" s="50">
        <v>1</v>
      </c>
      <c r="F32" s="50">
        <v>7</v>
      </c>
      <c r="G32" s="50">
        <v>0</v>
      </c>
      <c r="H32" s="50">
        <v>1</v>
      </c>
      <c r="I32" s="50">
        <v>3</v>
      </c>
      <c r="J32" s="50">
        <v>0</v>
      </c>
      <c r="K32" s="50">
        <v>0</v>
      </c>
      <c r="L32" s="50">
        <v>0</v>
      </c>
      <c r="M32" s="50">
        <v>6</v>
      </c>
      <c r="N32" s="50">
        <v>0</v>
      </c>
      <c r="O32" s="15">
        <f t="shared" si="0"/>
        <v>16</v>
      </c>
      <c r="P32" s="15">
        <f t="shared" si="1"/>
        <v>22</v>
      </c>
    </row>
    <row r="33" spans="2:20" ht="23.1" customHeight="1" x14ac:dyDescent="0.25">
      <c r="B33" s="23" t="s">
        <v>60</v>
      </c>
      <c r="C33" s="50">
        <v>5</v>
      </c>
      <c r="D33" s="50">
        <v>0</v>
      </c>
      <c r="E33" s="50">
        <v>3</v>
      </c>
      <c r="F33" s="50">
        <v>4</v>
      </c>
      <c r="G33" s="50">
        <v>0</v>
      </c>
      <c r="H33" s="50">
        <v>0</v>
      </c>
      <c r="I33" s="50">
        <v>6</v>
      </c>
      <c r="J33" s="50">
        <v>0</v>
      </c>
      <c r="K33" s="50">
        <v>0</v>
      </c>
      <c r="L33" s="50">
        <v>0</v>
      </c>
      <c r="M33" s="50">
        <v>3</v>
      </c>
      <c r="N33" s="50">
        <v>0</v>
      </c>
      <c r="O33" s="15">
        <f t="shared" si="0"/>
        <v>18</v>
      </c>
      <c r="P33" s="15">
        <f t="shared" si="1"/>
        <v>21</v>
      </c>
    </row>
    <row r="34" spans="2:20" ht="23.1" customHeight="1" x14ac:dyDescent="0.25">
      <c r="B34" s="24" t="s">
        <v>61</v>
      </c>
      <c r="C34" s="50">
        <v>7</v>
      </c>
      <c r="D34" s="50">
        <v>0</v>
      </c>
      <c r="E34" s="50">
        <v>3</v>
      </c>
      <c r="F34" s="50">
        <v>2</v>
      </c>
      <c r="G34" s="50">
        <v>0</v>
      </c>
      <c r="H34" s="50">
        <v>0</v>
      </c>
      <c r="I34" s="50">
        <v>1</v>
      </c>
      <c r="J34" s="50">
        <v>0</v>
      </c>
      <c r="K34" s="50">
        <v>0</v>
      </c>
      <c r="L34" s="50">
        <v>0</v>
      </c>
      <c r="M34" s="50">
        <v>2</v>
      </c>
      <c r="N34" s="50">
        <v>0</v>
      </c>
      <c r="O34" s="15">
        <f t="shared" si="0"/>
        <v>13</v>
      </c>
      <c r="P34" s="15">
        <f t="shared" si="1"/>
        <v>15</v>
      </c>
    </row>
    <row r="35" spans="2:20" ht="23.1" customHeight="1" x14ac:dyDescent="0.25">
      <c r="B35" s="24" t="s">
        <v>62</v>
      </c>
      <c r="C35" s="50">
        <v>8</v>
      </c>
      <c r="D35" s="50">
        <v>0</v>
      </c>
      <c r="E35" s="50">
        <v>4</v>
      </c>
      <c r="F35" s="50">
        <v>2</v>
      </c>
      <c r="G35" s="50">
        <v>0</v>
      </c>
      <c r="H35" s="50">
        <v>1</v>
      </c>
      <c r="I35" s="50">
        <v>1</v>
      </c>
      <c r="J35" s="50">
        <v>0</v>
      </c>
      <c r="K35" s="50">
        <v>0</v>
      </c>
      <c r="L35" s="50">
        <v>0</v>
      </c>
      <c r="M35" s="50">
        <v>3</v>
      </c>
      <c r="N35" s="50">
        <v>0</v>
      </c>
      <c r="O35" s="15">
        <f t="shared" si="0"/>
        <v>16</v>
      </c>
      <c r="P35" s="15">
        <f t="shared" si="1"/>
        <v>19</v>
      </c>
    </row>
    <row r="36" spans="2:20" ht="23.1" customHeight="1" x14ac:dyDescent="0.25">
      <c r="B36" s="24" t="s">
        <v>63</v>
      </c>
      <c r="C36" s="50">
        <v>2</v>
      </c>
      <c r="D36" s="50">
        <v>0</v>
      </c>
      <c r="E36" s="50">
        <v>2</v>
      </c>
      <c r="F36" s="50">
        <v>3</v>
      </c>
      <c r="G36" s="50">
        <v>0</v>
      </c>
      <c r="H36" s="50">
        <v>0</v>
      </c>
      <c r="I36" s="50">
        <v>5</v>
      </c>
      <c r="J36" s="50">
        <v>0</v>
      </c>
      <c r="K36" s="50">
        <v>0</v>
      </c>
      <c r="L36" s="50">
        <v>0</v>
      </c>
      <c r="M36" s="50">
        <v>3</v>
      </c>
      <c r="N36" s="50">
        <v>0</v>
      </c>
      <c r="O36" s="15">
        <f t="shared" si="0"/>
        <v>12</v>
      </c>
      <c r="P36" s="15">
        <f t="shared" si="1"/>
        <v>15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5</v>
      </c>
      <c r="F37" s="50">
        <v>1</v>
      </c>
      <c r="G37" s="50">
        <v>0</v>
      </c>
      <c r="H37" s="50">
        <v>0</v>
      </c>
      <c r="I37" s="50">
        <v>1</v>
      </c>
      <c r="J37" s="50">
        <v>0</v>
      </c>
      <c r="K37" s="50">
        <v>0</v>
      </c>
      <c r="L37" s="50">
        <v>1</v>
      </c>
      <c r="M37" s="50">
        <v>2</v>
      </c>
      <c r="N37" s="50">
        <v>0</v>
      </c>
      <c r="O37" s="15">
        <f t="shared" si="0"/>
        <v>8</v>
      </c>
      <c r="P37" s="15">
        <f t="shared" si="1"/>
        <v>10</v>
      </c>
    </row>
    <row r="38" spans="2:20" ht="23.1" customHeight="1" x14ac:dyDescent="0.25">
      <c r="B38" s="24" t="s">
        <v>65</v>
      </c>
      <c r="C38" s="50">
        <v>3</v>
      </c>
      <c r="D38" s="50">
        <v>0</v>
      </c>
      <c r="E38" s="50">
        <v>2</v>
      </c>
      <c r="F38" s="50">
        <v>3</v>
      </c>
      <c r="G38" s="50">
        <v>0</v>
      </c>
      <c r="H38" s="50">
        <v>1</v>
      </c>
      <c r="I38" s="50">
        <v>0</v>
      </c>
      <c r="J38" s="50">
        <v>0</v>
      </c>
      <c r="K38" s="50">
        <v>0</v>
      </c>
      <c r="L38" s="50">
        <v>1</v>
      </c>
      <c r="M38" s="50">
        <v>2</v>
      </c>
      <c r="N38" s="50">
        <v>0</v>
      </c>
      <c r="O38" s="15">
        <f t="shared" si="0"/>
        <v>10</v>
      </c>
      <c r="P38" s="15">
        <f t="shared" si="1"/>
        <v>12</v>
      </c>
    </row>
    <row r="39" spans="2:20" ht="23.1" customHeight="1" x14ac:dyDescent="0.25">
      <c r="B39" s="24" t="s">
        <v>66</v>
      </c>
      <c r="C39" s="50">
        <v>5</v>
      </c>
      <c r="D39" s="50">
        <v>0</v>
      </c>
      <c r="E39" s="50">
        <v>1</v>
      </c>
      <c r="F39" s="50">
        <v>4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3</v>
      </c>
      <c r="N39" s="50">
        <v>0</v>
      </c>
      <c r="O39" s="15">
        <f t="shared" si="0"/>
        <v>10</v>
      </c>
      <c r="P39" s="15">
        <f t="shared" si="1"/>
        <v>13</v>
      </c>
    </row>
    <row r="40" spans="2:20" ht="23.1" customHeight="1" x14ac:dyDescent="0.25">
      <c r="B40" s="24" t="s">
        <v>67</v>
      </c>
      <c r="C40" s="50">
        <v>8</v>
      </c>
      <c r="D40" s="50">
        <v>0</v>
      </c>
      <c r="E40" s="50">
        <v>2</v>
      </c>
      <c r="F40" s="50">
        <v>2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1</v>
      </c>
      <c r="N40" s="50">
        <v>0</v>
      </c>
      <c r="O40" s="15">
        <f t="shared" si="0"/>
        <v>12</v>
      </c>
      <c r="P40" s="15">
        <f t="shared" si="1"/>
        <v>13</v>
      </c>
    </row>
    <row r="41" spans="2:20" ht="23.1" customHeight="1" x14ac:dyDescent="0.25">
      <c r="B41" s="23" t="s">
        <v>68</v>
      </c>
      <c r="C41" s="50">
        <v>7</v>
      </c>
      <c r="D41" s="50">
        <v>0</v>
      </c>
      <c r="E41" s="50">
        <v>2</v>
      </c>
      <c r="F41" s="50">
        <v>2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1</v>
      </c>
      <c r="M41" s="50">
        <v>4</v>
      </c>
      <c r="N41" s="50">
        <v>0</v>
      </c>
      <c r="O41" s="15">
        <f t="shared" si="0"/>
        <v>12</v>
      </c>
      <c r="P41" s="15">
        <f t="shared" si="1"/>
        <v>16</v>
      </c>
    </row>
    <row r="42" spans="2:20" ht="23.1" customHeight="1" x14ac:dyDescent="0.25">
      <c r="B42" s="24" t="s">
        <v>69</v>
      </c>
      <c r="C42" s="50">
        <v>9</v>
      </c>
      <c r="D42" s="50">
        <v>0</v>
      </c>
      <c r="E42" s="50">
        <v>0</v>
      </c>
      <c r="F42" s="50">
        <v>4</v>
      </c>
      <c r="G42" s="50">
        <v>0</v>
      </c>
      <c r="H42" s="50">
        <v>0</v>
      </c>
      <c r="I42" s="50">
        <v>1</v>
      </c>
      <c r="J42" s="50">
        <v>0</v>
      </c>
      <c r="K42" s="50">
        <v>1</v>
      </c>
      <c r="L42" s="50">
        <v>0</v>
      </c>
      <c r="M42" s="50">
        <v>5</v>
      </c>
      <c r="N42" s="50">
        <v>0</v>
      </c>
      <c r="O42" s="15">
        <f t="shared" si="0"/>
        <v>15</v>
      </c>
      <c r="P42" s="15">
        <f t="shared" si="1"/>
        <v>20</v>
      </c>
    </row>
    <row r="43" spans="2:20" ht="23.1" customHeight="1" x14ac:dyDescent="0.25">
      <c r="B43" s="23" t="s">
        <v>70</v>
      </c>
      <c r="C43" s="50">
        <v>5</v>
      </c>
      <c r="D43" s="50">
        <v>0</v>
      </c>
      <c r="E43" s="50">
        <v>0</v>
      </c>
      <c r="F43" s="50">
        <v>2</v>
      </c>
      <c r="G43" s="50">
        <v>0</v>
      </c>
      <c r="H43" s="50">
        <v>0</v>
      </c>
      <c r="I43" s="50">
        <v>2</v>
      </c>
      <c r="J43" s="50">
        <v>0</v>
      </c>
      <c r="K43" s="50">
        <v>0</v>
      </c>
      <c r="L43" s="50">
        <v>1</v>
      </c>
      <c r="M43" s="50">
        <v>1</v>
      </c>
      <c r="N43" s="50">
        <v>0</v>
      </c>
      <c r="O43" s="15">
        <f t="shared" si="0"/>
        <v>10</v>
      </c>
      <c r="P43" s="15">
        <f t="shared" si="1"/>
        <v>11</v>
      </c>
    </row>
    <row r="44" spans="2:20" ht="23.1" customHeight="1" x14ac:dyDescent="0.25">
      <c r="B44" s="25" t="s">
        <v>71</v>
      </c>
      <c r="C44" s="50">
        <v>3</v>
      </c>
      <c r="D44" s="50">
        <v>0</v>
      </c>
      <c r="E44" s="50">
        <v>1</v>
      </c>
      <c r="F44" s="50">
        <v>5</v>
      </c>
      <c r="G44" s="50">
        <v>0</v>
      </c>
      <c r="H44" s="50">
        <v>0</v>
      </c>
      <c r="I44" s="50">
        <v>3</v>
      </c>
      <c r="J44" s="50">
        <v>0</v>
      </c>
      <c r="K44" s="50">
        <v>0</v>
      </c>
      <c r="L44" s="50">
        <v>2</v>
      </c>
      <c r="M44" s="50">
        <v>5</v>
      </c>
      <c r="N44" s="50">
        <v>0</v>
      </c>
      <c r="O44" s="15">
        <f t="shared" si="0"/>
        <v>14</v>
      </c>
      <c r="P44" s="15">
        <f t="shared" si="1"/>
        <v>19</v>
      </c>
    </row>
    <row r="45" spans="2:20" ht="23.1" customHeight="1" x14ac:dyDescent="0.25">
      <c r="B45" s="23" t="s">
        <v>72</v>
      </c>
      <c r="C45" s="50">
        <v>5</v>
      </c>
      <c r="D45" s="50">
        <v>0</v>
      </c>
      <c r="E45" s="50">
        <v>5</v>
      </c>
      <c r="F45" s="50">
        <v>5</v>
      </c>
      <c r="G45" s="50">
        <v>0</v>
      </c>
      <c r="H45" s="50">
        <v>0</v>
      </c>
      <c r="I45" s="50">
        <v>4</v>
      </c>
      <c r="J45" s="50">
        <v>0</v>
      </c>
      <c r="K45" s="50">
        <v>0</v>
      </c>
      <c r="L45" s="50">
        <v>0</v>
      </c>
      <c r="M45" s="50">
        <v>4</v>
      </c>
      <c r="N45" s="50">
        <v>0</v>
      </c>
      <c r="O45" s="15">
        <f t="shared" si="0"/>
        <v>19</v>
      </c>
      <c r="P45" s="15">
        <f t="shared" si="1"/>
        <v>23</v>
      </c>
    </row>
    <row r="46" spans="2:20" ht="23.1" customHeight="1" x14ac:dyDescent="0.25">
      <c r="B46" s="24" t="s">
        <v>73</v>
      </c>
      <c r="C46" s="50">
        <v>9</v>
      </c>
      <c r="D46" s="50">
        <v>0</v>
      </c>
      <c r="E46" s="50">
        <v>0</v>
      </c>
      <c r="F46" s="50">
        <v>2</v>
      </c>
      <c r="G46" s="50">
        <v>0</v>
      </c>
      <c r="H46" s="50">
        <v>1</v>
      </c>
      <c r="I46" s="50">
        <v>3</v>
      </c>
      <c r="J46" s="50">
        <v>0</v>
      </c>
      <c r="K46" s="50">
        <v>0</v>
      </c>
      <c r="L46" s="50">
        <v>1</v>
      </c>
      <c r="M46" s="50">
        <v>0</v>
      </c>
      <c r="N46" s="50">
        <v>0</v>
      </c>
      <c r="O46" s="15">
        <f t="shared" si="0"/>
        <v>16</v>
      </c>
      <c r="P46" s="15">
        <f t="shared" si="1"/>
        <v>16</v>
      </c>
      <c r="R46" s="8"/>
      <c r="T46"/>
    </row>
    <row r="47" spans="2:20" ht="23.1" customHeight="1" x14ac:dyDescent="0.25">
      <c r="B47" s="24" t="s">
        <v>74</v>
      </c>
      <c r="C47" s="50">
        <v>3</v>
      </c>
      <c r="D47" s="50">
        <v>0</v>
      </c>
      <c r="E47" s="50">
        <v>3</v>
      </c>
      <c r="F47" s="50">
        <v>1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0</v>
      </c>
      <c r="N47" s="50">
        <v>0</v>
      </c>
      <c r="O47" s="15">
        <f t="shared" si="0"/>
        <v>7</v>
      </c>
      <c r="P47" s="15">
        <f t="shared" si="1"/>
        <v>7</v>
      </c>
      <c r="R47" s="8"/>
      <c r="T47"/>
    </row>
    <row r="48" spans="2:20" ht="23.1" customHeight="1" x14ac:dyDescent="0.25">
      <c r="B48" s="24" t="s">
        <v>75</v>
      </c>
      <c r="C48" s="50">
        <v>3</v>
      </c>
      <c r="D48" s="50">
        <v>0</v>
      </c>
      <c r="E48" s="50">
        <v>1</v>
      </c>
      <c r="F48" s="50">
        <v>2</v>
      </c>
      <c r="G48" s="50">
        <v>0</v>
      </c>
      <c r="H48" s="50">
        <v>0</v>
      </c>
      <c r="I48" s="50">
        <v>2</v>
      </c>
      <c r="J48" s="50">
        <v>0</v>
      </c>
      <c r="K48" s="50">
        <v>0</v>
      </c>
      <c r="L48" s="50">
        <v>0</v>
      </c>
      <c r="M48" s="50">
        <v>1</v>
      </c>
      <c r="N48" s="50">
        <v>0</v>
      </c>
      <c r="O48" s="15">
        <f t="shared" si="0"/>
        <v>8</v>
      </c>
      <c r="P48" s="15">
        <f t="shared" si="1"/>
        <v>9</v>
      </c>
      <c r="R48" s="8"/>
      <c r="T48"/>
    </row>
    <row r="49" spans="2:20" ht="23.1" customHeight="1" x14ac:dyDescent="0.25">
      <c r="B49" s="23" t="s">
        <v>76</v>
      </c>
      <c r="C49" s="50">
        <v>5</v>
      </c>
      <c r="D49" s="50">
        <v>0</v>
      </c>
      <c r="E49" s="50">
        <v>2</v>
      </c>
      <c r="F49" s="50">
        <v>1</v>
      </c>
      <c r="G49" s="50">
        <v>0</v>
      </c>
      <c r="H49" s="50">
        <v>0</v>
      </c>
      <c r="I49" s="50">
        <v>4</v>
      </c>
      <c r="J49" s="50">
        <v>0</v>
      </c>
      <c r="K49" s="50">
        <v>0</v>
      </c>
      <c r="L49" s="50">
        <v>0</v>
      </c>
      <c r="M49" s="50">
        <v>3</v>
      </c>
      <c r="N49" s="50">
        <v>0</v>
      </c>
      <c r="O49" s="15">
        <f t="shared" si="0"/>
        <v>12</v>
      </c>
      <c r="P49" s="15">
        <f t="shared" si="1"/>
        <v>15</v>
      </c>
      <c r="R49" s="8"/>
      <c r="T49"/>
    </row>
    <row r="50" spans="2:20" ht="23.1" customHeight="1" x14ac:dyDescent="0.25">
      <c r="B50" s="24" t="s">
        <v>77</v>
      </c>
      <c r="C50" s="50">
        <v>7</v>
      </c>
      <c r="D50" s="50">
        <v>0</v>
      </c>
      <c r="E50" s="50">
        <v>3</v>
      </c>
      <c r="F50" s="50">
        <v>8</v>
      </c>
      <c r="G50" s="50">
        <v>0</v>
      </c>
      <c r="H50" s="50">
        <v>0</v>
      </c>
      <c r="I50" s="50">
        <v>1</v>
      </c>
      <c r="J50" s="50">
        <v>0</v>
      </c>
      <c r="K50" s="50">
        <v>0</v>
      </c>
      <c r="L50" s="50">
        <v>2</v>
      </c>
      <c r="M50" s="50">
        <v>5</v>
      </c>
      <c r="N50" s="50">
        <v>0</v>
      </c>
      <c r="O50" s="15">
        <f t="shared" si="0"/>
        <v>21</v>
      </c>
      <c r="P50" s="15">
        <f t="shared" si="1"/>
        <v>26</v>
      </c>
      <c r="R50" s="8"/>
      <c r="T50"/>
    </row>
    <row r="51" spans="2:20" ht="23.1" customHeight="1" x14ac:dyDescent="0.25">
      <c r="B51" s="24" t="s">
        <v>78</v>
      </c>
      <c r="C51" s="50">
        <v>4</v>
      </c>
      <c r="D51" s="50">
        <v>0</v>
      </c>
      <c r="E51" s="50">
        <v>4</v>
      </c>
      <c r="F51" s="50">
        <v>4</v>
      </c>
      <c r="G51" s="50">
        <v>0</v>
      </c>
      <c r="H51" s="50">
        <v>0</v>
      </c>
      <c r="I51" s="50">
        <v>2</v>
      </c>
      <c r="J51" s="50">
        <v>0</v>
      </c>
      <c r="K51" s="50">
        <v>0</v>
      </c>
      <c r="L51" s="50">
        <v>0</v>
      </c>
      <c r="M51" s="50">
        <v>1</v>
      </c>
      <c r="N51" s="50">
        <v>0</v>
      </c>
      <c r="O51" s="15">
        <f t="shared" si="0"/>
        <v>14</v>
      </c>
      <c r="P51" s="15">
        <f t="shared" si="1"/>
        <v>15</v>
      </c>
      <c r="R51" s="8"/>
      <c r="T51"/>
    </row>
    <row r="52" spans="2:20" ht="23.1" customHeight="1" x14ac:dyDescent="0.25">
      <c r="B52" s="24" t="s">
        <v>79</v>
      </c>
      <c r="C52" s="50">
        <v>3</v>
      </c>
      <c r="D52" s="50">
        <v>0</v>
      </c>
      <c r="E52" s="50">
        <v>1</v>
      </c>
      <c r="F52" s="50">
        <v>3</v>
      </c>
      <c r="G52" s="50">
        <v>0</v>
      </c>
      <c r="H52" s="50">
        <v>1</v>
      </c>
      <c r="I52" s="50">
        <v>3</v>
      </c>
      <c r="J52" s="50">
        <v>0</v>
      </c>
      <c r="K52" s="50">
        <v>0</v>
      </c>
      <c r="L52" s="50">
        <v>0</v>
      </c>
      <c r="M52" s="50">
        <v>3</v>
      </c>
      <c r="N52" s="50">
        <v>0</v>
      </c>
      <c r="O52" s="15">
        <f t="shared" si="0"/>
        <v>11</v>
      </c>
      <c r="P52" s="15">
        <f t="shared" si="1"/>
        <v>14</v>
      </c>
      <c r="R52" s="8"/>
      <c r="T52"/>
    </row>
    <row r="53" spans="2:20" ht="23.1" customHeight="1" x14ac:dyDescent="0.25">
      <c r="B53" s="23" t="s">
        <v>80</v>
      </c>
      <c r="C53" s="50">
        <v>5</v>
      </c>
      <c r="D53" s="50">
        <v>0</v>
      </c>
      <c r="E53" s="50">
        <v>0</v>
      </c>
      <c r="F53" s="50">
        <v>1</v>
      </c>
      <c r="G53" s="50">
        <v>0</v>
      </c>
      <c r="H53" s="50">
        <v>0</v>
      </c>
      <c r="I53" s="50">
        <v>3</v>
      </c>
      <c r="J53" s="50">
        <v>0</v>
      </c>
      <c r="K53" s="50">
        <v>0</v>
      </c>
      <c r="L53" s="50">
        <v>0</v>
      </c>
      <c r="M53" s="50">
        <v>4</v>
      </c>
      <c r="N53" s="50">
        <v>0</v>
      </c>
      <c r="O53" s="15">
        <f t="shared" si="0"/>
        <v>9</v>
      </c>
      <c r="P53" s="15">
        <f t="shared" si="1"/>
        <v>13</v>
      </c>
      <c r="R53" s="8"/>
      <c r="T53"/>
    </row>
    <row r="54" spans="2:20" ht="23.1" customHeight="1" x14ac:dyDescent="0.25">
      <c r="B54" s="23" t="s">
        <v>81</v>
      </c>
      <c r="C54" s="50">
        <v>3</v>
      </c>
      <c r="D54" s="50">
        <v>0</v>
      </c>
      <c r="E54" s="50">
        <v>2</v>
      </c>
      <c r="F54" s="50">
        <v>6</v>
      </c>
      <c r="G54" s="50">
        <v>0</v>
      </c>
      <c r="H54" s="50">
        <v>0</v>
      </c>
      <c r="I54" s="50">
        <v>4</v>
      </c>
      <c r="J54" s="50">
        <v>0</v>
      </c>
      <c r="K54" s="50">
        <v>0</v>
      </c>
      <c r="L54" s="50">
        <v>0</v>
      </c>
      <c r="M54" s="50">
        <v>8</v>
      </c>
      <c r="N54" s="50">
        <v>0</v>
      </c>
      <c r="O54" s="15">
        <f t="shared" si="0"/>
        <v>15</v>
      </c>
      <c r="P54" s="15">
        <f t="shared" si="1"/>
        <v>23</v>
      </c>
      <c r="R54" s="8"/>
      <c r="T54"/>
    </row>
    <row r="55" spans="2:20" ht="23.1" customHeight="1" x14ac:dyDescent="0.25">
      <c r="B55" s="23" t="s">
        <v>82</v>
      </c>
      <c r="C55" s="50">
        <v>7</v>
      </c>
      <c r="D55" s="50">
        <v>0</v>
      </c>
      <c r="E55" s="50">
        <v>5</v>
      </c>
      <c r="F55" s="50">
        <v>5</v>
      </c>
      <c r="G55" s="50">
        <v>0</v>
      </c>
      <c r="H55" s="50">
        <v>0</v>
      </c>
      <c r="I55" s="50">
        <v>4</v>
      </c>
      <c r="J55" s="50">
        <v>0</v>
      </c>
      <c r="K55" s="50">
        <v>0</v>
      </c>
      <c r="L55" s="50">
        <v>1</v>
      </c>
      <c r="M55" s="50">
        <v>1</v>
      </c>
      <c r="N55" s="50">
        <v>0</v>
      </c>
      <c r="O55" s="15">
        <f t="shared" si="0"/>
        <v>22</v>
      </c>
      <c r="P55" s="15">
        <f t="shared" si="1"/>
        <v>23</v>
      </c>
      <c r="R55" s="8"/>
      <c r="T55"/>
    </row>
    <row r="56" spans="2:20" ht="23.1" customHeight="1" x14ac:dyDescent="0.25">
      <c r="B56" s="23" t="s">
        <v>83</v>
      </c>
      <c r="C56" s="50">
        <v>5</v>
      </c>
      <c r="D56" s="50">
        <v>0</v>
      </c>
      <c r="E56" s="50">
        <v>4</v>
      </c>
      <c r="F56" s="50">
        <v>1</v>
      </c>
      <c r="G56" s="50">
        <v>0</v>
      </c>
      <c r="H56" s="50">
        <v>0</v>
      </c>
      <c r="I56" s="50">
        <v>6</v>
      </c>
      <c r="J56" s="50">
        <v>0</v>
      </c>
      <c r="K56" s="50">
        <v>0</v>
      </c>
      <c r="L56" s="50">
        <v>2</v>
      </c>
      <c r="M56" s="50">
        <v>6</v>
      </c>
      <c r="N56" s="50">
        <v>0</v>
      </c>
      <c r="O56" s="15">
        <f t="shared" si="0"/>
        <v>18</v>
      </c>
      <c r="P56" s="15">
        <f t="shared" si="1"/>
        <v>24</v>
      </c>
      <c r="R56" s="8"/>
      <c r="T56"/>
    </row>
    <row r="57" spans="2:20" ht="23.1" customHeight="1" x14ac:dyDescent="0.25">
      <c r="B57" s="23" t="s">
        <v>84</v>
      </c>
      <c r="C57" s="50">
        <v>4</v>
      </c>
      <c r="D57" s="50">
        <v>0</v>
      </c>
      <c r="E57" s="50">
        <v>2</v>
      </c>
      <c r="F57" s="50">
        <v>0</v>
      </c>
      <c r="G57" s="50">
        <v>0</v>
      </c>
      <c r="H57" s="50">
        <v>0</v>
      </c>
      <c r="I57" s="50">
        <v>1</v>
      </c>
      <c r="J57" s="50">
        <v>0</v>
      </c>
      <c r="K57" s="50">
        <v>0</v>
      </c>
      <c r="L57" s="50">
        <v>4</v>
      </c>
      <c r="M57" s="50">
        <v>4</v>
      </c>
      <c r="N57" s="50">
        <v>0</v>
      </c>
      <c r="O57" s="15">
        <f t="shared" si="0"/>
        <v>11</v>
      </c>
      <c r="P57" s="15">
        <f t="shared" si="1"/>
        <v>15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234</v>
      </c>
      <c r="D58" s="16">
        <f t="shared" si="21"/>
        <v>0</v>
      </c>
      <c r="E58" s="16">
        <f t="shared" si="21"/>
        <v>80</v>
      </c>
      <c r="F58" s="16">
        <f t="shared" si="21"/>
        <v>115</v>
      </c>
      <c r="G58" s="16">
        <f t="shared" si="21"/>
        <v>0</v>
      </c>
      <c r="H58" s="16">
        <f t="shared" si="21"/>
        <v>10</v>
      </c>
      <c r="I58" s="16">
        <f t="shared" si="21"/>
        <v>79</v>
      </c>
      <c r="J58" s="16">
        <f t="shared" si="21"/>
        <v>0</v>
      </c>
      <c r="K58" s="16">
        <f t="shared" si="21"/>
        <v>1</v>
      </c>
      <c r="L58" s="16">
        <f t="shared" si="21"/>
        <v>17</v>
      </c>
      <c r="M58" s="16">
        <f t="shared" si="21"/>
        <v>177</v>
      </c>
      <c r="N58" s="16">
        <f t="shared" si="21"/>
        <v>0</v>
      </c>
      <c r="O58" s="16">
        <f t="shared" si="21"/>
        <v>536</v>
      </c>
      <c r="P58" s="16">
        <f t="shared" si="21"/>
        <v>713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0.32819074333800841</v>
      </c>
      <c r="D59" s="43">
        <f t="shared" si="22"/>
        <v>0</v>
      </c>
      <c r="E59" s="43">
        <f t="shared" si="22"/>
        <v>0.11220196353436185</v>
      </c>
      <c r="F59" s="43">
        <f t="shared" si="22"/>
        <v>0.16129032258064516</v>
      </c>
      <c r="G59" s="43">
        <f t="shared" si="22"/>
        <v>0</v>
      </c>
      <c r="H59" s="43">
        <f t="shared" si="22"/>
        <v>1.4025245441795231E-2</v>
      </c>
      <c r="I59" s="43">
        <f t="shared" si="22"/>
        <v>0.11079943899018233</v>
      </c>
      <c r="J59" s="43">
        <f t="shared" si="22"/>
        <v>0</v>
      </c>
      <c r="K59" s="43">
        <f t="shared" si="22"/>
        <v>1.4025245441795231E-3</v>
      </c>
      <c r="L59" s="43">
        <f t="shared" si="22"/>
        <v>2.3842917251051893E-2</v>
      </c>
      <c r="M59" s="43">
        <f t="shared" si="22"/>
        <v>0.24824684431977559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0.43656716417910446</v>
      </c>
      <c r="D60" s="44">
        <f t="shared" ref="D60:N60" si="23">D58/$O$58</f>
        <v>0</v>
      </c>
      <c r="E60" s="44">
        <f t="shared" si="23"/>
        <v>0.14925373134328357</v>
      </c>
      <c r="F60" s="44">
        <f t="shared" si="23"/>
        <v>0.21455223880597016</v>
      </c>
      <c r="G60" s="44">
        <f t="shared" si="23"/>
        <v>0</v>
      </c>
      <c r="H60" s="44">
        <f t="shared" si="23"/>
        <v>1.8656716417910446E-2</v>
      </c>
      <c r="I60" s="44">
        <f t="shared" si="23"/>
        <v>0.14738805970149255</v>
      </c>
      <c r="J60" s="44">
        <f t="shared" si="23"/>
        <v>0</v>
      </c>
      <c r="K60" s="44">
        <f t="shared" si="23"/>
        <v>1.8656716417910447E-3</v>
      </c>
      <c r="L60" s="44">
        <f t="shared" si="23"/>
        <v>3.1716417910447763E-2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AF126"/>
  <sheetViews>
    <sheetView view="pageBreakPreview" topLeftCell="A44" zoomScale="60" workbookViewId="0">
      <selection activeCell="J54" sqref="J5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>
        <f>'5.8 BWERA-KIKORONGO'!C3:G3</f>
        <v>0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>
        <f>'9.8 KIKORONGO-BWERA'!D5</f>
        <v>0</v>
      </c>
      <c r="E5" s="3"/>
      <c r="F5" s="41" t="s">
        <v>1</v>
      </c>
      <c r="G5" s="63">
        <f>'9.8 KIKORONGO-BWERA'!G5:H5</f>
        <v>0</v>
      </c>
      <c r="H5" s="64"/>
      <c r="I5" s="14"/>
      <c r="J5" s="2" t="s">
        <v>5</v>
      </c>
      <c r="K5" s="63">
        <f>'9.8 KIKORONGO-BWERA'!K5:L5</f>
        <v>0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'5.8 BWERA-KIKORONGO'!D6:E6</f>
        <v>Clocktower</v>
      </c>
      <c r="E6" s="64"/>
      <c r="F6" s="2" t="s">
        <v>2</v>
      </c>
      <c r="G6" s="63" t="str">
        <f>'5.8 BWERA-KIKORONGO'!G6:H6</f>
        <v>Nsambya</v>
      </c>
      <c r="H6" s="64"/>
      <c r="J6" s="2" t="s">
        <v>21</v>
      </c>
      <c r="K6" s="63">
        <f>'9.8 KIKORONGO-BWERA'!K6:L6</f>
        <v>0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</v>
      </c>
      <c r="D10" s="50">
        <v>0</v>
      </c>
      <c r="E10" s="50">
        <v>1</v>
      </c>
      <c r="F10" s="50">
        <v>3</v>
      </c>
      <c r="G10" s="50">
        <v>0</v>
      </c>
      <c r="H10" s="50">
        <v>0</v>
      </c>
      <c r="I10" s="50">
        <v>2</v>
      </c>
      <c r="J10" s="50">
        <v>0</v>
      </c>
      <c r="K10" s="50">
        <v>0</v>
      </c>
      <c r="L10" s="50">
        <v>1</v>
      </c>
      <c r="M10" s="50">
        <v>3</v>
      </c>
      <c r="N10" s="50">
        <v>0</v>
      </c>
      <c r="O10" s="15">
        <f t="shared" ref="O10:O57" si="0">SUM(C10:L10,N10)</f>
        <v>10</v>
      </c>
      <c r="P10" s="15">
        <f t="shared" ref="P10:P57" si="1">SUM(C10:N10)</f>
        <v>13</v>
      </c>
      <c r="R10" s="1" t="s">
        <v>6</v>
      </c>
      <c r="S10" s="17">
        <f>SUM(C10:C13)</f>
        <v>14</v>
      </c>
      <c r="T10" s="17">
        <f t="shared" ref="T10:AF10" si="2">SUM(D10:D13)</f>
        <v>0</v>
      </c>
      <c r="U10" s="17">
        <f t="shared" si="2"/>
        <v>4</v>
      </c>
      <c r="V10" s="17">
        <f t="shared" si="2"/>
        <v>6</v>
      </c>
      <c r="W10" s="17">
        <f t="shared" si="2"/>
        <v>0</v>
      </c>
      <c r="X10" s="17">
        <f t="shared" si="2"/>
        <v>0</v>
      </c>
      <c r="Y10" s="17">
        <f t="shared" si="2"/>
        <v>9</v>
      </c>
      <c r="Z10" s="17">
        <f t="shared" si="2"/>
        <v>1</v>
      </c>
      <c r="AA10" s="17">
        <f t="shared" si="2"/>
        <v>0</v>
      </c>
      <c r="AB10" s="17">
        <f t="shared" si="2"/>
        <v>2</v>
      </c>
      <c r="AC10" s="17">
        <f t="shared" si="2"/>
        <v>15</v>
      </c>
      <c r="AD10" s="17">
        <f t="shared" si="2"/>
        <v>0</v>
      </c>
      <c r="AE10" s="31">
        <f t="shared" si="2"/>
        <v>36</v>
      </c>
      <c r="AF10" s="31">
        <f t="shared" si="2"/>
        <v>51</v>
      </c>
    </row>
    <row r="11" spans="2:32" s="6" customFormat="1" ht="23.1" customHeight="1" x14ac:dyDescent="0.25">
      <c r="B11" s="23" t="s">
        <v>38</v>
      </c>
      <c r="C11" s="50">
        <v>3</v>
      </c>
      <c r="D11" s="50">
        <v>0</v>
      </c>
      <c r="E11" s="50">
        <v>0</v>
      </c>
      <c r="F11" s="50">
        <v>1</v>
      </c>
      <c r="G11" s="50">
        <v>0</v>
      </c>
      <c r="H11" s="50">
        <v>0</v>
      </c>
      <c r="I11" s="50">
        <v>1</v>
      </c>
      <c r="J11" s="50">
        <v>1</v>
      </c>
      <c r="K11" s="50">
        <v>0</v>
      </c>
      <c r="L11" s="50">
        <v>1</v>
      </c>
      <c r="M11" s="50">
        <v>2</v>
      </c>
      <c r="N11" s="50">
        <v>0</v>
      </c>
      <c r="O11" s="15">
        <f t="shared" si="0"/>
        <v>7</v>
      </c>
      <c r="P11" s="15">
        <f t="shared" si="1"/>
        <v>9</v>
      </c>
      <c r="R11" s="1" t="s">
        <v>7</v>
      </c>
      <c r="S11" s="17">
        <f>SUM(C14:C17)</f>
        <v>15</v>
      </c>
      <c r="T11" s="17">
        <f t="shared" ref="T11:AF11" si="3">SUM(D14:D17)</f>
        <v>0</v>
      </c>
      <c r="U11" s="17">
        <f t="shared" si="3"/>
        <v>6</v>
      </c>
      <c r="V11" s="17">
        <f t="shared" si="3"/>
        <v>11</v>
      </c>
      <c r="W11" s="17">
        <f t="shared" si="3"/>
        <v>0</v>
      </c>
      <c r="X11" s="17">
        <f t="shared" si="3"/>
        <v>0</v>
      </c>
      <c r="Y11" s="17">
        <f t="shared" si="3"/>
        <v>9</v>
      </c>
      <c r="Z11" s="17">
        <f t="shared" si="3"/>
        <v>2</v>
      </c>
      <c r="AA11" s="17">
        <f t="shared" si="3"/>
        <v>2</v>
      </c>
      <c r="AB11" s="17">
        <f t="shared" si="3"/>
        <v>0</v>
      </c>
      <c r="AC11" s="17">
        <f t="shared" si="3"/>
        <v>28</v>
      </c>
      <c r="AD11" s="17">
        <f t="shared" si="3"/>
        <v>0</v>
      </c>
      <c r="AE11" s="31">
        <f t="shared" si="3"/>
        <v>45</v>
      </c>
      <c r="AF11" s="31">
        <f t="shared" si="3"/>
        <v>73</v>
      </c>
    </row>
    <row r="12" spans="2:32" ht="23.1" customHeight="1" x14ac:dyDescent="0.25">
      <c r="B12" s="23" t="s">
        <v>39</v>
      </c>
      <c r="C12" s="50">
        <v>6</v>
      </c>
      <c r="D12" s="50">
        <v>0</v>
      </c>
      <c r="E12" s="50">
        <v>3</v>
      </c>
      <c r="F12" s="50">
        <v>1</v>
      </c>
      <c r="G12" s="50">
        <v>0</v>
      </c>
      <c r="H12" s="50">
        <v>0</v>
      </c>
      <c r="I12" s="50">
        <v>3</v>
      </c>
      <c r="J12" s="50">
        <v>0</v>
      </c>
      <c r="K12" s="50">
        <v>0</v>
      </c>
      <c r="L12" s="50">
        <v>0</v>
      </c>
      <c r="M12" s="50">
        <v>4</v>
      </c>
      <c r="N12" s="50">
        <v>0</v>
      </c>
      <c r="O12" s="15">
        <f t="shared" si="0"/>
        <v>13</v>
      </c>
      <c r="P12" s="15">
        <f t="shared" si="1"/>
        <v>17</v>
      </c>
      <c r="R12" s="1" t="s">
        <v>8</v>
      </c>
      <c r="S12" s="17">
        <f>SUM(C18:C21)</f>
        <v>28</v>
      </c>
      <c r="T12" s="17">
        <f t="shared" ref="T12:AF12" si="4">SUM(D18:D21)</f>
        <v>0</v>
      </c>
      <c r="U12" s="17">
        <f t="shared" si="4"/>
        <v>12</v>
      </c>
      <c r="V12" s="17">
        <f t="shared" si="4"/>
        <v>7</v>
      </c>
      <c r="W12" s="17">
        <f t="shared" si="4"/>
        <v>0</v>
      </c>
      <c r="X12" s="17">
        <f t="shared" si="4"/>
        <v>1</v>
      </c>
      <c r="Y12" s="17">
        <f t="shared" si="4"/>
        <v>11</v>
      </c>
      <c r="Z12" s="17">
        <f t="shared" si="4"/>
        <v>3</v>
      </c>
      <c r="AA12" s="17">
        <f t="shared" si="4"/>
        <v>1</v>
      </c>
      <c r="AB12" s="17">
        <f t="shared" si="4"/>
        <v>0</v>
      </c>
      <c r="AC12" s="17">
        <f t="shared" si="4"/>
        <v>15</v>
      </c>
      <c r="AD12" s="17">
        <f t="shared" si="4"/>
        <v>0</v>
      </c>
      <c r="AE12" s="31">
        <f t="shared" si="4"/>
        <v>63</v>
      </c>
      <c r="AF12" s="31">
        <f t="shared" si="4"/>
        <v>78</v>
      </c>
    </row>
    <row r="13" spans="2:32" ht="23.1" customHeight="1" x14ac:dyDescent="0.25">
      <c r="B13" s="23" t="s">
        <v>40</v>
      </c>
      <c r="C13" s="50">
        <v>2</v>
      </c>
      <c r="D13" s="50">
        <v>0</v>
      </c>
      <c r="E13" s="50">
        <v>0</v>
      </c>
      <c r="F13" s="50">
        <v>1</v>
      </c>
      <c r="G13" s="50">
        <v>0</v>
      </c>
      <c r="H13" s="50">
        <v>0</v>
      </c>
      <c r="I13" s="50">
        <v>3</v>
      </c>
      <c r="J13" s="50">
        <v>0</v>
      </c>
      <c r="K13" s="50">
        <v>0</v>
      </c>
      <c r="L13" s="50">
        <v>0</v>
      </c>
      <c r="M13" s="50">
        <v>6</v>
      </c>
      <c r="N13" s="50">
        <v>0</v>
      </c>
      <c r="O13" s="15">
        <f t="shared" si="0"/>
        <v>6</v>
      </c>
      <c r="P13" s="15">
        <f t="shared" si="1"/>
        <v>12</v>
      </c>
      <c r="R13" s="1" t="s">
        <v>9</v>
      </c>
      <c r="S13" s="17">
        <f>SUM(C22:C25)</f>
        <v>21</v>
      </c>
      <c r="T13" s="17">
        <f t="shared" ref="T13:AF13" si="5">SUM(D22:D25)</f>
        <v>0</v>
      </c>
      <c r="U13" s="17">
        <f t="shared" si="5"/>
        <v>14</v>
      </c>
      <c r="V13" s="17">
        <f t="shared" si="5"/>
        <v>10</v>
      </c>
      <c r="W13" s="17">
        <f t="shared" si="5"/>
        <v>0</v>
      </c>
      <c r="X13" s="17">
        <f t="shared" si="5"/>
        <v>0</v>
      </c>
      <c r="Y13" s="17">
        <f t="shared" si="5"/>
        <v>7</v>
      </c>
      <c r="Z13" s="17">
        <f t="shared" si="5"/>
        <v>2</v>
      </c>
      <c r="AA13" s="17">
        <f t="shared" si="5"/>
        <v>1</v>
      </c>
      <c r="AB13" s="17">
        <f t="shared" si="5"/>
        <v>2</v>
      </c>
      <c r="AC13" s="17">
        <f t="shared" si="5"/>
        <v>23</v>
      </c>
      <c r="AD13" s="17">
        <f t="shared" si="5"/>
        <v>0</v>
      </c>
      <c r="AE13" s="31">
        <f t="shared" si="5"/>
        <v>57</v>
      </c>
      <c r="AF13" s="31">
        <f t="shared" si="5"/>
        <v>80</v>
      </c>
    </row>
    <row r="14" spans="2:32" ht="23.1" customHeight="1" x14ac:dyDescent="0.25">
      <c r="B14" s="23" t="s">
        <v>41</v>
      </c>
      <c r="C14" s="50">
        <v>6</v>
      </c>
      <c r="D14" s="50">
        <v>0</v>
      </c>
      <c r="E14" s="50">
        <v>1</v>
      </c>
      <c r="F14" s="50">
        <v>3</v>
      </c>
      <c r="G14" s="50">
        <v>0</v>
      </c>
      <c r="H14" s="50">
        <v>0</v>
      </c>
      <c r="I14" s="50">
        <v>3</v>
      </c>
      <c r="J14" s="50">
        <v>1</v>
      </c>
      <c r="K14" s="50">
        <v>0</v>
      </c>
      <c r="L14" s="50">
        <v>0</v>
      </c>
      <c r="M14" s="50">
        <v>11</v>
      </c>
      <c r="N14" s="50">
        <v>0</v>
      </c>
      <c r="O14" s="15">
        <f t="shared" si="0"/>
        <v>14</v>
      </c>
      <c r="P14" s="15">
        <f t="shared" si="1"/>
        <v>25</v>
      </c>
      <c r="R14" s="1" t="s">
        <v>10</v>
      </c>
      <c r="S14" s="17">
        <f>SUM(C26:C29)</f>
        <v>26</v>
      </c>
      <c r="T14" s="17">
        <f t="shared" ref="T14:AF14" si="6">SUM(D26:D29)</f>
        <v>0</v>
      </c>
      <c r="U14" s="17">
        <f t="shared" si="6"/>
        <v>3</v>
      </c>
      <c r="V14" s="17">
        <f t="shared" si="6"/>
        <v>13</v>
      </c>
      <c r="W14" s="17">
        <f t="shared" si="6"/>
        <v>0</v>
      </c>
      <c r="X14" s="17">
        <f t="shared" si="6"/>
        <v>0</v>
      </c>
      <c r="Y14" s="17">
        <f t="shared" si="6"/>
        <v>5</v>
      </c>
      <c r="Z14" s="17">
        <f t="shared" si="6"/>
        <v>6</v>
      </c>
      <c r="AA14" s="17">
        <f t="shared" si="6"/>
        <v>0</v>
      </c>
      <c r="AB14" s="17">
        <f t="shared" si="6"/>
        <v>0</v>
      </c>
      <c r="AC14" s="17">
        <f t="shared" si="6"/>
        <v>39</v>
      </c>
      <c r="AD14" s="17">
        <f t="shared" si="6"/>
        <v>0</v>
      </c>
      <c r="AE14" s="31">
        <f t="shared" si="6"/>
        <v>53</v>
      </c>
      <c r="AF14" s="31">
        <f t="shared" si="6"/>
        <v>92</v>
      </c>
    </row>
    <row r="15" spans="2:32" ht="23.1" customHeight="1" x14ac:dyDescent="0.25">
      <c r="B15" s="23" t="s">
        <v>42</v>
      </c>
      <c r="C15" s="50">
        <v>3</v>
      </c>
      <c r="D15" s="50">
        <v>0</v>
      </c>
      <c r="E15" s="50">
        <v>1</v>
      </c>
      <c r="F15" s="50">
        <v>2</v>
      </c>
      <c r="G15" s="50">
        <v>0</v>
      </c>
      <c r="H15" s="50">
        <v>0</v>
      </c>
      <c r="I15" s="50">
        <v>3</v>
      </c>
      <c r="J15" s="50">
        <v>0</v>
      </c>
      <c r="K15" s="50">
        <v>0</v>
      </c>
      <c r="L15" s="50">
        <v>0</v>
      </c>
      <c r="M15" s="50">
        <v>12</v>
      </c>
      <c r="N15" s="50">
        <v>0</v>
      </c>
      <c r="O15" s="15">
        <f t="shared" si="0"/>
        <v>9</v>
      </c>
      <c r="P15" s="15">
        <f t="shared" si="1"/>
        <v>21</v>
      </c>
      <c r="R15" s="1" t="s">
        <v>11</v>
      </c>
      <c r="S15" s="17">
        <f>SUM(C30:C33)</f>
        <v>27</v>
      </c>
      <c r="T15" s="17">
        <f t="shared" ref="T15:AF15" si="7">SUM(D30:D33)</f>
        <v>0</v>
      </c>
      <c r="U15" s="17">
        <f t="shared" si="7"/>
        <v>4</v>
      </c>
      <c r="V15" s="17">
        <f t="shared" si="7"/>
        <v>4</v>
      </c>
      <c r="W15" s="17">
        <f t="shared" si="7"/>
        <v>0</v>
      </c>
      <c r="X15" s="17">
        <f t="shared" si="7"/>
        <v>0</v>
      </c>
      <c r="Y15" s="17">
        <f t="shared" si="7"/>
        <v>6</v>
      </c>
      <c r="Z15" s="17">
        <f t="shared" si="7"/>
        <v>0</v>
      </c>
      <c r="AA15" s="17">
        <f t="shared" si="7"/>
        <v>0</v>
      </c>
      <c r="AB15" s="17">
        <f t="shared" si="7"/>
        <v>2</v>
      </c>
      <c r="AC15" s="17">
        <f t="shared" si="7"/>
        <v>35</v>
      </c>
      <c r="AD15" s="17">
        <f t="shared" si="7"/>
        <v>0</v>
      </c>
      <c r="AE15" s="31">
        <f t="shared" si="7"/>
        <v>43</v>
      </c>
      <c r="AF15" s="31">
        <f t="shared" si="7"/>
        <v>78</v>
      </c>
    </row>
    <row r="16" spans="2:32" ht="23.1" customHeight="1" x14ac:dyDescent="0.25">
      <c r="B16" s="23" t="s">
        <v>43</v>
      </c>
      <c r="C16" s="50">
        <v>2</v>
      </c>
      <c r="D16" s="50">
        <v>0</v>
      </c>
      <c r="E16" s="50">
        <v>1</v>
      </c>
      <c r="F16" s="50">
        <v>5</v>
      </c>
      <c r="G16" s="50">
        <v>0</v>
      </c>
      <c r="H16" s="50">
        <v>0</v>
      </c>
      <c r="I16" s="50">
        <v>2</v>
      </c>
      <c r="J16" s="50">
        <v>1</v>
      </c>
      <c r="K16" s="50">
        <v>1</v>
      </c>
      <c r="L16" s="50">
        <v>0</v>
      </c>
      <c r="M16" s="50">
        <v>4</v>
      </c>
      <c r="N16" s="50">
        <v>0</v>
      </c>
      <c r="O16" s="15">
        <f t="shared" si="0"/>
        <v>12</v>
      </c>
      <c r="P16" s="15">
        <f t="shared" si="1"/>
        <v>16</v>
      </c>
      <c r="R16" s="1" t="s">
        <v>12</v>
      </c>
      <c r="S16" s="17">
        <f>SUM(C34:C37)</f>
        <v>30</v>
      </c>
      <c r="T16" s="17">
        <f t="shared" ref="T16:AF16" si="8">SUM(D34:D37)</f>
        <v>0</v>
      </c>
      <c r="U16" s="17">
        <f t="shared" si="8"/>
        <v>6</v>
      </c>
      <c r="V16" s="17">
        <f t="shared" si="8"/>
        <v>12</v>
      </c>
      <c r="W16" s="17">
        <f t="shared" si="8"/>
        <v>1</v>
      </c>
      <c r="X16" s="17">
        <f t="shared" si="8"/>
        <v>1</v>
      </c>
      <c r="Y16" s="17">
        <f t="shared" si="8"/>
        <v>12</v>
      </c>
      <c r="Z16" s="17">
        <f t="shared" si="8"/>
        <v>1</v>
      </c>
      <c r="AA16" s="17">
        <f t="shared" si="8"/>
        <v>0</v>
      </c>
      <c r="AB16" s="17">
        <f t="shared" si="8"/>
        <v>0</v>
      </c>
      <c r="AC16" s="17">
        <f t="shared" si="8"/>
        <v>16</v>
      </c>
      <c r="AD16" s="17">
        <f t="shared" si="8"/>
        <v>1</v>
      </c>
      <c r="AE16" s="31">
        <f t="shared" si="8"/>
        <v>64</v>
      </c>
      <c r="AF16" s="31">
        <f t="shared" si="8"/>
        <v>80</v>
      </c>
    </row>
    <row r="17" spans="2:32" ht="23.1" customHeight="1" x14ac:dyDescent="0.25">
      <c r="B17" s="23" t="s">
        <v>44</v>
      </c>
      <c r="C17" s="50">
        <v>4</v>
      </c>
      <c r="D17" s="50">
        <v>0</v>
      </c>
      <c r="E17" s="50">
        <v>3</v>
      </c>
      <c r="F17" s="50">
        <v>1</v>
      </c>
      <c r="G17" s="50">
        <v>0</v>
      </c>
      <c r="H17" s="50">
        <v>0</v>
      </c>
      <c r="I17" s="50">
        <v>1</v>
      </c>
      <c r="J17" s="50">
        <v>0</v>
      </c>
      <c r="K17" s="50">
        <v>1</v>
      </c>
      <c r="L17" s="50">
        <v>0</v>
      </c>
      <c r="M17" s="50">
        <v>1</v>
      </c>
      <c r="N17" s="50">
        <v>0</v>
      </c>
      <c r="O17" s="15">
        <f t="shared" si="0"/>
        <v>10</v>
      </c>
      <c r="P17" s="15">
        <f t="shared" si="1"/>
        <v>11</v>
      </c>
      <c r="R17" s="1" t="s">
        <v>13</v>
      </c>
      <c r="S17" s="17">
        <f>SUM(C38:C41)</f>
        <v>25</v>
      </c>
      <c r="T17" s="17">
        <f t="shared" ref="T17:AF17" si="9">SUM(D38:D41)</f>
        <v>0</v>
      </c>
      <c r="U17" s="17">
        <f t="shared" si="9"/>
        <v>14</v>
      </c>
      <c r="V17" s="17">
        <f t="shared" si="9"/>
        <v>13</v>
      </c>
      <c r="W17" s="17">
        <f t="shared" si="9"/>
        <v>0</v>
      </c>
      <c r="X17" s="17">
        <f t="shared" si="9"/>
        <v>1</v>
      </c>
      <c r="Y17" s="17">
        <f t="shared" si="9"/>
        <v>4</v>
      </c>
      <c r="Z17" s="17">
        <f t="shared" si="9"/>
        <v>1</v>
      </c>
      <c r="AA17" s="17">
        <f t="shared" si="9"/>
        <v>0</v>
      </c>
      <c r="AB17" s="17">
        <f t="shared" si="9"/>
        <v>0</v>
      </c>
      <c r="AC17" s="17">
        <f t="shared" si="9"/>
        <v>24</v>
      </c>
      <c r="AD17" s="17">
        <f t="shared" si="9"/>
        <v>0</v>
      </c>
      <c r="AE17" s="31">
        <f t="shared" si="9"/>
        <v>58</v>
      </c>
      <c r="AF17" s="31">
        <f t="shared" si="9"/>
        <v>82</v>
      </c>
    </row>
    <row r="18" spans="2:32" ht="23.1" customHeight="1" x14ac:dyDescent="0.25">
      <c r="B18" s="23" t="s">
        <v>45</v>
      </c>
      <c r="C18" s="50">
        <v>9</v>
      </c>
      <c r="D18" s="50">
        <v>0</v>
      </c>
      <c r="E18" s="50">
        <v>5</v>
      </c>
      <c r="F18" s="50">
        <v>2</v>
      </c>
      <c r="G18" s="50">
        <v>0</v>
      </c>
      <c r="H18" s="50">
        <v>0</v>
      </c>
      <c r="I18" s="50">
        <v>3</v>
      </c>
      <c r="J18" s="50">
        <v>2</v>
      </c>
      <c r="K18" s="50">
        <v>0</v>
      </c>
      <c r="L18" s="50">
        <v>0</v>
      </c>
      <c r="M18" s="50">
        <v>4</v>
      </c>
      <c r="N18" s="50">
        <v>0</v>
      </c>
      <c r="O18" s="15">
        <f t="shared" si="0"/>
        <v>21</v>
      </c>
      <c r="P18" s="15">
        <f t="shared" si="1"/>
        <v>25</v>
      </c>
      <c r="R18" s="1" t="s">
        <v>14</v>
      </c>
      <c r="S18" s="17">
        <f>SUM(C42:C45)</f>
        <v>17</v>
      </c>
      <c r="T18" s="17">
        <f t="shared" ref="T18:AF18" si="10">SUM(D42:D45)</f>
        <v>0</v>
      </c>
      <c r="U18" s="17">
        <f t="shared" si="10"/>
        <v>6</v>
      </c>
      <c r="V18" s="17">
        <f t="shared" si="10"/>
        <v>16</v>
      </c>
      <c r="W18" s="17">
        <f t="shared" si="10"/>
        <v>0</v>
      </c>
      <c r="X18" s="17">
        <f t="shared" si="10"/>
        <v>0</v>
      </c>
      <c r="Y18" s="17">
        <f t="shared" si="10"/>
        <v>4</v>
      </c>
      <c r="Z18" s="17">
        <f t="shared" si="10"/>
        <v>3</v>
      </c>
      <c r="AA18" s="17">
        <f t="shared" si="10"/>
        <v>3</v>
      </c>
      <c r="AB18" s="17">
        <f t="shared" si="10"/>
        <v>0</v>
      </c>
      <c r="AC18" s="17">
        <f t="shared" si="10"/>
        <v>19</v>
      </c>
      <c r="AD18" s="17">
        <f t="shared" si="10"/>
        <v>0</v>
      </c>
      <c r="AE18" s="31">
        <f t="shared" si="10"/>
        <v>49</v>
      </c>
      <c r="AF18" s="31">
        <f t="shared" si="10"/>
        <v>68</v>
      </c>
    </row>
    <row r="19" spans="2:32" ht="23.1" customHeight="1" x14ac:dyDescent="0.25">
      <c r="B19" s="23" t="s">
        <v>46</v>
      </c>
      <c r="C19" s="50">
        <v>5</v>
      </c>
      <c r="D19" s="50">
        <v>0</v>
      </c>
      <c r="E19" s="50">
        <v>2</v>
      </c>
      <c r="F19" s="50">
        <v>0</v>
      </c>
      <c r="G19" s="50">
        <v>0</v>
      </c>
      <c r="H19" s="50">
        <v>0</v>
      </c>
      <c r="I19" s="50">
        <v>7</v>
      </c>
      <c r="J19" s="50">
        <v>1</v>
      </c>
      <c r="K19" s="50">
        <v>1</v>
      </c>
      <c r="L19" s="50">
        <v>0</v>
      </c>
      <c r="M19" s="50">
        <v>9</v>
      </c>
      <c r="N19" s="50">
        <v>0</v>
      </c>
      <c r="O19" s="15">
        <f t="shared" si="0"/>
        <v>16</v>
      </c>
      <c r="P19" s="15">
        <f t="shared" si="1"/>
        <v>25</v>
      </c>
      <c r="R19" s="1" t="s">
        <v>15</v>
      </c>
      <c r="S19" s="17">
        <f>SUM(C46:C49)</f>
        <v>18</v>
      </c>
      <c r="T19" s="17">
        <f t="shared" ref="T19:AF19" si="11">SUM(D46:D49)</f>
        <v>0</v>
      </c>
      <c r="U19" s="17">
        <f t="shared" si="11"/>
        <v>13</v>
      </c>
      <c r="V19" s="17">
        <f t="shared" si="11"/>
        <v>12</v>
      </c>
      <c r="W19" s="17">
        <f t="shared" si="11"/>
        <v>0</v>
      </c>
      <c r="X19" s="17">
        <f t="shared" si="11"/>
        <v>0</v>
      </c>
      <c r="Y19" s="17">
        <f t="shared" si="11"/>
        <v>4</v>
      </c>
      <c r="Z19" s="17">
        <f t="shared" si="11"/>
        <v>6</v>
      </c>
      <c r="AA19" s="17">
        <f t="shared" si="11"/>
        <v>2</v>
      </c>
      <c r="AB19" s="17">
        <f t="shared" si="11"/>
        <v>2</v>
      </c>
      <c r="AC19" s="17">
        <f t="shared" si="11"/>
        <v>14</v>
      </c>
      <c r="AD19" s="17">
        <f t="shared" si="11"/>
        <v>1</v>
      </c>
      <c r="AE19" s="31">
        <f t="shared" si="11"/>
        <v>58</v>
      </c>
      <c r="AF19" s="31">
        <f t="shared" si="11"/>
        <v>72</v>
      </c>
    </row>
    <row r="20" spans="2:32" ht="23.1" customHeight="1" x14ac:dyDescent="0.25">
      <c r="B20" s="23" t="s">
        <v>47</v>
      </c>
      <c r="C20" s="50">
        <v>6</v>
      </c>
      <c r="D20" s="50">
        <v>0</v>
      </c>
      <c r="E20" s="50">
        <v>3</v>
      </c>
      <c r="F20" s="50">
        <v>2</v>
      </c>
      <c r="G20" s="50">
        <v>0</v>
      </c>
      <c r="H20" s="50">
        <v>1</v>
      </c>
      <c r="I20" s="50">
        <v>1</v>
      </c>
      <c r="J20" s="50">
        <v>0</v>
      </c>
      <c r="K20" s="50">
        <v>0</v>
      </c>
      <c r="L20" s="50">
        <v>0</v>
      </c>
      <c r="M20" s="50">
        <v>0</v>
      </c>
      <c r="N20" s="50">
        <v>0</v>
      </c>
      <c r="O20" s="15">
        <f t="shared" si="0"/>
        <v>13</v>
      </c>
      <c r="P20" s="15">
        <f t="shared" si="1"/>
        <v>13</v>
      </c>
      <c r="R20" s="1" t="s">
        <v>16</v>
      </c>
      <c r="S20" s="17">
        <f>SUM(C50:C53)</f>
        <v>24</v>
      </c>
      <c r="T20" s="17">
        <f t="shared" ref="T20:AF20" si="12">SUM(D50:D53)</f>
        <v>0</v>
      </c>
      <c r="U20" s="17">
        <f t="shared" si="12"/>
        <v>10</v>
      </c>
      <c r="V20" s="17">
        <f t="shared" si="12"/>
        <v>12</v>
      </c>
      <c r="W20" s="17">
        <f t="shared" si="12"/>
        <v>0</v>
      </c>
      <c r="X20" s="17">
        <f t="shared" si="12"/>
        <v>1</v>
      </c>
      <c r="Y20" s="17">
        <f t="shared" si="12"/>
        <v>0</v>
      </c>
      <c r="Z20" s="17">
        <f t="shared" si="12"/>
        <v>6</v>
      </c>
      <c r="AA20" s="17">
        <f t="shared" si="12"/>
        <v>0</v>
      </c>
      <c r="AB20" s="17">
        <f t="shared" si="12"/>
        <v>0</v>
      </c>
      <c r="AC20" s="17">
        <f t="shared" si="12"/>
        <v>20</v>
      </c>
      <c r="AD20" s="17">
        <f t="shared" si="12"/>
        <v>0</v>
      </c>
      <c r="AE20" s="31">
        <f t="shared" si="12"/>
        <v>53</v>
      </c>
      <c r="AF20" s="31">
        <f t="shared" si="12"/>
        <v>73</v>
      </c>
    </row>
    <row r="21" spans="2:32" ht="23.1" customHeight="1" x14ac:dyDescent="0.25">
      <c r="B21" s="23" t="s">
        <v>48</v>
      </c>
      <c r="C21" s="50">
        <v>8</v>
      </c>
      <c r="D21" s="50">
        <v>0</v>
      </c>
      <c r="E21" s="50">
        <v>2</v>
      </c>
      <c r="F21" s="50">
        <v>3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2</v>
      </c>
      <c r="N21" s="50">
        <v>0</v>
      </c>
      <c r="O21" s="15">
        <f t="shared" si="0"/>
        <v>13</v>
      </c>
      <c r="P21" s="15">
        <f t="shared" si="1"/>
        <v>15</v>
      </c>
      <c r="R21" s="36" t="s">
        <v>20</v>
      </c>
      <c r="S21" s="34">
        <f>SUM(C54:C57)</f>
        <v>16</v>
      </c>
      <c r="T21" s="17">
        <f t="shared" ref="T21:AF21" si="13">SUM(D54:D57)</f>
        <v>0</v>
      </c>
      <c r="U21" s="17">
        <f t="shared" si="13"/>
        <v>7</v>
      </c>
      <c r="V21" s="17">
        <f t="shared" si="13"/>
        <v>15</v>
      </c>
      <c r="W21" s="17">
        <f t="shared" si="13"/>
        <v>0</v>
      </c>
      <c r="X21" s="17">
        <f t="shared" si="13"/>
        <v>0</v>
      </c>
      <c r="Y21" s="17">
        <f t="shared" si="13"/>
        <v>1</v>
      </c>
      <c r="Z21" s="17">
        <f t="shared" si="13"/>
        <v>1</v>
      </c>
      <c r="AA21" s="17">
        <f t="shared" si="13"/>
        <v>2</v>
      </c>
      <c r="AB21" s="17">
        <f t="shared" si="13"/>
        <v>0</v>
      </c>
      <c r="AC21" s="17">
        <f t="shared" si="13"/>
        <v>8</v>
      </c>
      <c r="AD21" s="17">
        <f t="shared" si="13"/>
        <v>0</v>
      </c>
      <c r="AE21" s="31">
        <f t="shared" si="13"/>
        <v>42</v>
      </c>
      <c r="AF21" s="31">
        <f t="shared" si="13"/>
        <v>50</v>
      </c>
    </row>
    <row r="22" spans="2:32" ht="23.1" customHeight="1" x14ac:dyDescent="0.25">
      <c r="B22" s="23" t="s">
        <v>49</v>
      </c>
      <c r="C22" s="50">
        <v>8</v>
      </c>
      <c r="D22" s="50">
        <v>0</v>
      </c>
      <c r="E22" s="50">
        <v>1</v>
      </c>
      <c r="F22" s="50">
        <v>1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3</v>
      </c>
      <c r="N22" s="50">
        <v>0</v>
      </c>
      <c r="O22" s="15">
        <f t="shared" si="0"/>
        <v>11</v>
      </c>
      <c r="P22" s="15">
        <f t="shared" si="1"/>
        <v>14</v>
      </c>
      <c r="R22" s="38" t="s">
        <v>90</v>
      </c>
      <c r="S22" s="39">
        <f>MAX(S10:S12)</f>
        <v>28</v>
      </c>
      <c r="T22" s="39">
        <f t="shared" ref="T22:AF22" si="14">MAX(T10:T12)</f>
        <v>0</v>
      </c>
      <c r="U22" s="39">
        <f t="shared" si="14"/>
        <v>12</v>
      </c>
      <c r="V22" s="39">
        <f t="shared" si="14"/>
        <v>11</v>
      </c>
      <c r="W22" s="39">
        <f t="shared" si="14"/>
        <v>0</v>
      </c>
      <c r="X22" s="39">
        <f t="shared" si="14"/>
        <v>1</v>
      </c>
      <c r="Y22" s="39">
        <f t="shared" si="14"/>
        <v>11</v>
      </c>
      <c r="Z22" s="39">
        <f t="shared" si="14"/>
        <v>3</v>
      </c>
      <c r="AA22" s="39">
        <f t="shared" si="14"/>
        <v>2</v>
      </c>
      <c r="AB22" s="39">
        <f t="shared" si="14"/>
        <v>2</v>
      </c>
      <c r="AC22" s="39">
        <f t="shared" si="14"/>
        <v>28</v>
      </c>
      <c r="AD22" s="39">
        <f t="shared" si="14"/>
        <v>0</v>
      </c>
      <c r="AE22" s="40">
        <f t="shared" si="14"/>
        <v>63</v>
      </c>
      <c r="AF22" s="40">
        <f t="shared" si="14"/>
        <v>78</v>
      </c>
    </row>
    <row r="23" spans="2:32" ht="23.1" customHeight="1" x14ac:dyDescent="0.25">
      <c r="B23" s="23" t="s">
        <v>50</v>
      </c>
      <c r="C23" s="50">
        <v>2</v>
      </c>
      <c r="D23" s="50">
        <v>0</v>
      </c>
      <c r="E23" s="50">
        <v>3</v>
      </c>
      <c r="F23" s="50">
        <v>2</v>
      </c>
      <c r="G23" s="50">
        <v>0</v>
      </c>
      <c r="H23" s="50">
        <v>0</v>
      </c>
      <c r="I23" s="50">
        <v>3</v>
      </c>
      <c r="J23" s="50">
        <v>0</v>
      </c>
      <c r="K23" s="50">
        <v>1</v>
      </c>
      <c r="L23" s="50">
        <v>1</v>
      </c>
      <c r="M23" s="50">
        <v>7</v>
      </c>
      <c r="N23" s="50">
        <v>0</v>
      </c>
      <c r="O23" s="15">
        <f t="shared" si="0"/>
        <v>12</v>
      </c>
      <c r="P23" s="15">
        <f t="shared" si="1"/>
        <v>19</v>
      </c>
      <c r="R23" s="38" t="s">
        <v>91</v>
      </c>
      <c r="S23" s="39">
        <f>MAX(S13:S18)</f>
        <v>30</v>
      </c>
      <c r="T23" s="39">
        <f t="shared" ref="T23:AF23" si="15">MAX(T13:T18)</f>
        <v>0</v>
      </c>
      <c r="U23" s="39">
        <f t="shared" si="15"/>
        <v>14</v>
      </c>
      <c r="V23" s="39">
        <f t="shared" si="15"/>
        <v>16</v>
      </c>
      <c r="W23" s="39">
        <f t="shared" si="15"/>
        <v>1</v>
      </c>
      <c r="X23" s="39">
        <f t="shared" si="15"/>
        <v>1</v>
      </c>
      <c r="Y23" s="39">
        <f t="shared" si="15"/>
        <v>12</v>
      </c>
      <c r="Z23" s="39">
        <f t="shared" si="15"/>
        <v>6</v>
      </c>
      <c r="AA23" s="39">
        <f t="shared" si="15"/>
        <v>3</v>
      </c>
      <c r="AB23" s="39">
        <f t="shared" si="15"/>
        <v>2</v>
      </c>
      <c r="AC23" s="39">
        <f t="shared" si="15"/>
        <v>39</v>
      </c>
      <c r="AD23" s="39">
        <f t="shared" si="15"/>
        <v>1</v>
      </c>
      <c r="AE23" s="40">
        <f t="shared" si="15"/>
        <v>64</v>
      </c>
      <c r="AF23" s="40">
        <f t="shared" si="15"/>
        <v>92</v>
      </c>
    </row>
    <row r="24" spans="2:32" ht="23.1" customHeight="1" x14ac:dyDescent="0.25">
      <c r="B24" s="23" t="s">
        <v>51</v>
      </c>
      <c r="C24" s="50">
        <v>3</v>
      </c>
      <c r="D24" s="50">
        <v>0</v>
      </c>
      <c r="E24" s="50">
        <v>3</v>
      </c>
      <c r="F24" s="50">
        <v>6</v>
      </c>
      <c r="G24" s="50">
        <v>0</v>
      </c>
      <c r="H24" s="50">
        <v>0</v>
      </c>
      <c r="I24" s="50">
        <v>2</v>
      </c>
      <c r="J24" s="50">
        <v>1</v>
      </c>
      <c r="K24" s="50">
        <v>0</v>
      </c>
      <c r="L24" s="50">
        <v>1</v>
      </c>
      <c r="M24" s="50">
        <v>7</v>
      </c>
      <c r="N24" s="50">
        <v>0</v>
      </c>
      <c r="O24" s="15">
        <f t="shared" si="0"/>
        <v>16</v>
      </c>
      <c r="P24" s="15">
        <f t="shared" si="1"/>
        <v>23</v>
      </c>
      <c r="R24" s="38" t="s">
        <v>92</v>
      </c>
      <c r="S24" s="39">
        <f>MAX(S19:S21)</f>
        <v>24</v>
      </c>
      <c r="T24" s="39">
        <f t="shared" ref="T24:AF24" si="16">MAX(T19:T21)</f>
        <v>0</v>
      </c>
      <c r="U24" s="39">
        <f t="shared" si="16"/>
        <v>13</v>
      </c>
      <c r="V24" s="39">
        <f t="shared" si="16"/>
        <v>15</v>
      </c>
      <c r="W24" s="39">
        <f t="shared" si="16"/>
        <v>0</v>
      </c>
      <c r="X24" s="39">
        <f t="shared" si="16"/>
        <v>1</v>
      </c>
      <c r="Y24" s="39">
        <f t="shared" si="16"/>
        <v>4</v>
      </c>
      <c r="Z24" s="39">
        <f t="shared" si="16"/>
        <v>6</v>
      </c>
      <c r="AA24" s="39">
        <f t="shared" si="16"/>
        <v>2</v>
      </c>
      <c r="AB24" s="39">
        <f t="shared" si="16"/>
        <v>2</v>
      </c>
      <c r="AC24" s="39">
        <f t="shared" si="16"/>
        <v>20</v>
      </c>
      <c r="AD24" s="39">
        <f t="shared" si="16"/>
        <v>1</v>
      </c>
      <c r="AE24" s="40">
        <f t="shared" si="16"/>
        <v>58</v>
      </c>
      <c r="AF24" s="40">
        <f t="shared" si="16"/>
        <v>73</v>
      </c>
    </row>
    <row r="25" spans="2:32" ht="23.1" customHeight="1" x14ac:dyDescent="0.25">
      <c r="B25" s="23" t="s">
        <v>52</v>
      </c>
      <c r="C25" s="50">
        <v>8</v>
      </c>
      <c r="D25" s="50">
        <v>0</v>
      </c>
      <c r="E25" s="50">
        <v>7</v>
      </c>
      <c r="F25" s="50">
        <v>1</v>
      </c>
      <c r="G25" s="50">
        <v>0</v>
      </c>
      <c r="H25" s="50">
        <v>0</v>
      </c>
      <c r="I25" s="50">
        <v>1</v>
      </c>
      <c r="J25" s="50">
        <v>1</v>
      </c>
      <c r="K25" s="50">
        <v>0</v>
      </c>
      <c r="L25" s="50">
        <v>0</v>
      </c>
      <c r="M25" s="50">
        <v>6</v>
      </c>
      <c r="N25" s="50">
        <v>0</v>
      </c>
      <c r="O25" s="15">
        <f t="shared" si="0"/>
        <v>18</v>
      </c>
      <c r="P25" s="15">
        <f t="shared" si="1"/>
        <v>24</v>
      </c>
      <c r="R25" s="37" t="s">
        <v>85</v>
      </c>
      <c r="S25" s="35">
        <f t="shared" ref="S25:AF25" si="17">SUM(S10:S12)</f>
        <v>57</v>
      </c>
      <c r="T25" s="16">
        <f t="shared" si="17"/>
        <v>0</v>
      </c>
      <c r="U25" s="16">
        <f t="shared" si="17"/>
        <v>22</v>
      </c>
      <c r="V25" s="16">
        <f t="shared" si="17"/>
        <v>24</v>
      </c>
      <c r="W25" s="16">
        <f t="shared" si="17"/>
        <v>0</v>
      </c>
      <c r="X25" s="16">
        <f t="shared" si="17"/>
        <v>1</v>
      </c>
      <c r="Y25" s="16">
        <f t="shared" si="17"/>
        <v>29</v>
      </c>
      <c r="Z25" s="16">
        <f t="shared" si="17"/>
        <v>6</v>
      </c>
      <c r="AA25" s="16">
        <f t="shared" si="17"/>
        <v>3</v>
      </c>
      <c r="AB25" s="16">
        <f t="shared" si="17"/>
        <v>2</v>
      </c>
      <c r="AC25" s="16">
        <f t="shared" si="17"/>
        <v>58</v>
      </c>
      <c r="AD25" s="16">
        <f t="shared" si="17"/>
        <v>0</v>
      </c>
      <c r="AE25" s="32">
        <f t="shared" si="17"/>
        <v>144</v>
      </c>
      <c r="AF25" s="32">
        <f t="shared" si="17"/>
        <v>202</v>
      </c>
    </row>
    <row r="26" spans="2:32" ht="23.1" customHeight="1" x14ac:dyDescent="0.25">
      <c r="B26" s="23" t="s">
        <v>53</v>
      </c>
      <c r="C26" s="50">
        <v>8</v>
      </c>
      <c r="D26" s="50">
        <v>0</v>
      </c>
      <c r="E26" s="50">
        <v>2</v>
      </c>
      <c r="F26" s="50">
        <v>3</v>
      </c>
      <c r="G26" s="50">
        <v>0</v>
      </c>
      <c r="H26" s="50">
        <v>0</v>
      </c>
      <c r="I26" s="50">
        <v>4</v>
      </c>
      <c r="J26" s="50">
        <v>1</v>
      </c>
      <c r="K26" s="50">
        <v>0</v>
      </c>
      <c r="L26" s="50">
        <v>0</v>
      </c>
      <c r="M26" s="50">
        <v>9</v>
      </c>
      <c r="N26" s="50">
        <v>0</v>
      </c>
      <c r="O26" s="15">
        <f t="shared" si="0"/>
        <v>18</v>
      </c>
      <c r="P26" s="15">
        <f t="shared" si="1"/>
        <v>27</v>
      </c>
      <c r="R26" s="28" t="s">
        <v>86</v>
      </c>
      <c r="S26" s="16">
        <f t="shared" ref="S26:AF26" si="18">SUM(S13:S18)</f>
        <v>146</v>
      </c>
      <c r="T26" s="16">
        <f t="shared" si="18"/>
        <v>0</v>
      </c>
      <c r="U26" s="16">
        <f t="shared" si="18"/>
        <v>47</v>
      </c>
      <c r="V26" s="16">
        <f t="shared" si="18"/>
        <v>68</v>
      </c>
      <c r="W26" s="16">
        <f t="shared" si="18"/>
        <v>1</v>
      </c>
      <c r="X26" s="16">
        <f t="shared" si="18"/>
        <v>2</v>
      </c>
      <c r="Y26" s="16">
        <f t="shared" si="18"/>
        <v>38</v>
      </c>
      <c r="Z26" s="16">
        <f t="shared" si="18"/>
        <v>13</v>
      </c>
      <c r="AA26" s="16">
        <f t="shared" si="18"/>
        <v>4</v>
      </c>
      <c r="AB26" s="16">
        <f t="shared" si="18"/>
        <v>4</v>
      </c>
      <c r="AC26" s="16">
        <f t="shared" si="18"/>
        <v>156</v>
      </c>
      <c r="AD26" s="16">
        <f t="shared" si="18"/>
        <v>1</v>
      </c>
      <c r="AE26" s="32">
        <f t="shared" si="18"/>
        <v>324</v>
      </c>
      <c r="AF26" s="32">
        <f t="shared" si="18"/>
        <v>480</v>
      </c>
    </row>
    <row r="27" spans="2:32" ht="23.1" customHeight="1" x14ac:dyDescent="0.25">
      <c r="B27" s="23" t="s">
        <v>54</v>
      </c>
      <c r="C27" s="50">
        <v>4</v>
      </c>
      <c r="D27" s="50">
        <v>0</v>
      </c>
      <c r="E27" s="50">
        <v>1</v>
      </c>
      <c r="F27" s="50">
        <v>4</v>
      </c>
      <c r="G27" s="50">
        <v>0</v>
      </c>
      <c r="H27" s="50">
        <v>0</v>
      </c>
      <c r="I27" s="50">
        <v>0</v>
      </c>
      <c r="J27" s="50">
        <v>3</v>
      </c>
      <c r="K27" s="50">
        <v>0</v>
      </c>
      <c r="L27" s="50">
        <v>0</v>
      </c>
      <c r="M27" s="50">
        <v>14</v>
      </c>
      <c r="N27" s="50">
        <v>0</v>
      </c>
      <c r="O27" s="15">
        <f t="shared" si="0"/>
        <v>12</v>
      </c>
      <c r="P27" s="15">
        <f t="shared" si="1"/>
        <v>26</v>
      </c>
      <c r="R27" s="29" t="s">
        <v>87</v>
      </c>
      <c r="S27" s="16">
        <f t="shared" ref="S27:AF27" si="19">SUM(S19:S21)</f>
        <v>58</v>
      </c>
      <c r="T27" s="16">
        <f t="shared" si="19"/>
        <v>0</v>
      </c>
      <c r="U27" s="16">
        <f t="shared" si="19"/>
        <v>30</v>
      </c>
      <c r="V27" s="16">
        <f t="shared" si="19"/>
        <v>39</v>
      </c>
      <c r="W27" s="16">
        <f t="shared" si="19"/>
        <v>0</v>
      </c>
      <c r="X27" s="16">
        <f t="shared" si="19"/>
        <v>1</v>
      </c>
      <c r="Y27" s="16">
        <f t="shared" si="19"/>
        <v>5</v>
      </c>
      <c r="Z27" s="16">
        <f t="shared" si="19"/>
        <v>13</v>
      </c>
      <c r="AA27" s="16">
        <f t="shared" si="19"/>
        <v>4</v>
      </c>
      <c r="AB27" s="16">
        <f t="shared" si="19"/>
        <v>2</v>
      </c>
      <c r="AC27" s="16">
        <f t="shared" si="19"/>
        <v>42</v>
      </c>
      <c r="AD27" s="16">
        <f t="shared" si="19"/>
        <v>1</v>
      </c>
      <c r="AE27" s="32">
        <f t="shared" si="19"/>
        <v>153</v>
      </c>
      <c r="AF27" s="32">
        <f t="shared" si="19"/>
        <v>195</v>
      </c>
    </row>
    <row r="28" spans="2:32" ht="23.1" customHeight="1" x14ac:dyDescent="0.25">
      <c r="B28" s="23" t="s">
        <v>55</v>
      </c>
      <c r="C28" s="50">
        <v>11</v>
      </c>
      <c r="D28" s="50">
        <v>0</v>
      </c>
      <c r="E28" s="50">
        <v>0</v>
      </c>
      <c r="F28" s="50">
        <v>4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0</v>
      </c>
      <c r="M28" s="50">
        <v>11</v>
      </c>
      <c r="N28" s="50">
        <v>0</v>
      </c>
      <c r="O28" s="15">
        <f t="shared" si="0"/>
        <v>16</v>
      </c>
      <c r="P28" s="15">
        <f t="shared" si="1"/>
        <v>27</v>
      </c>
      <c r="R28" s="5" t="s">
        <v>17</v>
      </c>
      <c r="S28" s="16">
        <f t="shared" ref="S28:AF28" si="20">SUM(S10:S21)</f>
        <v>261</v>
      </c>
      <c r="T28" s="16">
        <f t="shared" si="20"/>
        <v>0</v>
      </c>
      <c r="U28" s="16">
        <f t="shared" si="20"/>
        <v>99</v>
      </c>
      <c r="V28" s="16">
        <f t="shared" si="20"/>
        <v>131</v>
      </c>
      <c r="W28" s="16">
        <f t="shared" si="20"/>
        <v>1</v>
      </c>
      <c r="X28" s="16">
        <f t="shared" si="20"/>
        <v>4</v>
      </c>
      <c r="Y28" s="16">
        <f t="shared" si="20"/>
        <v>72</v>
      </c>
      <c r="Z28" s="16">
        <f t="shared" si="20"/>
        <v>32</v>
      </c>
      <c r="AA28" s="16">
        <f t="shared" si="20"/>
        <v>11</v>
      </c>
      <c r="AB28" s="16">
        <f t="shared" si="20"/>
        <v>8</v>
      </c>
      <c r="AC28" s="16">
        <f t="shared" si="20"/>
        <v>256</v>
      </c>
      <c r="AD28" s="16">
        <f t="shared" si="20"/>
        <v>2</v>
      </c>
      <c r="AE28" s="32">
        <f t="shared" si="20"/>
        <v>621</v>
      </c>
      <c r="AF28" s="32">
        <f t="shared" si="20"/>
        <v>877</v>
      </c>
    </row>
    <row r="29" spans="2:32" ht="23.1" customHeight="1" x14ac:dyDescent="0.25">
      <c r="B29" s="23" t="s">
        <v>56</v>
      </c>
      <c r="C29" s="50">
        <v>3</v>
      </c>
      <c r="D29" s="50">
        <v>0</v>
      </c>
      <c r="E29" s="50">
        <v>0</v>
      </c>
      <c r="F29" s="50">
        <v>2</v>
      </c>
      <c r="G29" s="50">
        <v>0</v>
      </c>
      <c r="H29" s="50">
        <v>0</v>
      </c>
      <c r="I29" s="50">
        <v>0</v>
      </c>
      <c r="J29" s="50">
        <v>2</v>
      </c>
      <c r="K29" s="50">
        <v>0</v>
      </c>
      <c r="L29" s="50">
        <v>0</v>
      </c>
      <c r="M29" s="50">
        <v>5</v>
      </c>
      <c r="N29" s="50">
        <v>0</v>
      </c>
      <c r="O29" s="15">
        <f t="shared" si="0"/>
        <v>7</v>
      </c>
      <c r="P29" s="15">
        <f t="shared" si="1"/>
        <v>12</v>
      </c>
      <c r="R29"/>
      <c r="S29" s="20"/>
      <c r="T29" s="19"/>
    </row>
    <row r="30" spans="2:32" ht="23.1" customHeight="1" x14ac:dyDescent="0.25">
      <c r="B30" s="23" t="s">
        <v>57</v>
      </c>
      <c r="C30" s="50">
        <v>11</v>
      </c>
      <c r="D30" s="50">
        <v>0</v>
      </c>
      <c r="E30" s="50">
        <v>2</v>
      </c>
      <c r="F30" s="50">
        <v>1</v>
      </c>
      <c r="G30" s="50">
        <v>0</v>
      </c>
      <c r="H30" s="50">
        <v>0</v>
      </c>
      <c r="I30" s="50">
        <v>1</v>
      </c>
      <c r="J30" s="50">
        <v>0</v>
      </c>
      <c r="K30" s="50">
        <v>0</v>
      </c>
      <c r="L30" s="50">
        <v>2</v>
      </c>
      <c r="M30" s="50">
        <v>9</v>
      </c>
      <c r="N30" s="50">
        <v>0</v>
      </c>
      <c r="O30" s="15">
        <f t="shared" si="0"/>
        <v>17</v>
      </c>
      <c r="P30" s="15">
        <f t="shared" si="1"/>
        <v>26</v>
      </c>
    </row>
    <row r="31" spans="2:32" ht="23.1" customHeight="1" x14ac:dyDescent="0.25">
      <c r="B31" s="24" t="s">
        <v>58</v>
      </c>
      <c r="C31" s="50">
        <v>5</v>
      </c>
      <c r="D31" s="50">
        <v>0</v>
      </c>
      <c r="E31" s="50">
        <v>1</v>
      </c>
      <c r="F31" s="50">
        <v>3</v>
      </c>
      <c r="G31" s="50">
        <v>0</v>
      </c>
      <c r="H31" s="50">
        <v>0</v>
      </c>
      <c r="I31" s="50">
        <v>3</v>
      </c>
      <c r="J31" s="50">
        <v>0</v>
      </c>
      <c r="K31" s="50">
        <v>0</v>
      </c>
      <c r="L31" s="50">
        <v>0</v>
      </c>
      <c r="M31" s="50">
        <v>11</v>
      </c>
      <c r="N31" s="50">
        <v>0</v>
      </c>
      <c r="O31" s="15">
        <f t="shared" si="0"/>
        <v>12</v>
      </c>
      <c r="P31" s="15">
        <f t="shared" si="1"/>
        <v>23</v>
      </c>
    </row>
    <row r="32" spans="2:32" ht="23.1" customHeight="1" x14ac:dyDescent="0.25">
      <c r="B32" s="24" t="s">
        <v>59</v>
      </c>
      <c r="C32" s="50">
        <v>0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2</v>
      </c>
      <c r="J32" s="50">
        <v>0</v>
      </c>
      <c r="K32" s="50">
        <v>0</v>
      </c>
      <c r="L32" s="50">
        <v>0</v>
      </c>
      <c r="M32" s="50">
        <v>11</v>
      </c>
      <c r="N32" s="50">
        <v>0</v>
      </c>
      <c r="O32" s="15">
        <f t="shared" si="0"/>
        <v>2</v>
      </c>
      <c r="P32" s="15">
        <f t="shared" si="1"/>
        <v>13</v>
      </c>
    </row>
    <row r="33" spans="2:20" ht="23.1" customHeight="1" x14ac:dyDescent="0.25">
      <c r="B33" s="23" t="s">
        <v>60</v>
      </c>
      <c r="C33" s="50">
        <v>11</v>
      </c>
      <c r="D33" s="50">
        <v>0</v>
      </c>
      <c r="E33" s="50">
        <v>1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4</v>
      </c>
      <c r="N33" s="50">
        <v>0</v>
      </c>
      <c r="O33" s="15">
        <f t="shared" si="0"/>
        <v>12</v>
      </c>
      <c r="P33" s="15">
        <f t="shared" si="1"/>
        <v>16</v>
      </c>
    </row>
    <row r="34" spans="2:20" ht="23.1" customHeight="1" x14ac:dyDescent="0.25">
      <c r="B34" s="24" t="s">
        <v>61</v>
      </c>
      <c r="C34" s="50">
        <v>10</v>
      </c>
      <c r="D34" s="50">
        <v>0</v>
      </c>
      <c r="E34" s="50">
        <v>1</v>
      </c>
      <c r="F34" s="50">
        <v>3</v>
      </c>
      <c r="G34" s="50">
        <v>0</v>
      </c>
      <c r="H34" s="50">
        <v>0</v>
      </c>
      <c r="I34" s="50">
        <v>5</v>
      </c>
      <c r="J34" s="50">
        <v>0</v>
      </c>
      <c r="K34" s="50">
        <v>0</v>
      </c>
      <c r="L34" s="50">
        <v>0</v>
      </c>
      <c r="M34" s="50">
        <v>6</v>
      </c>
      <c r="N34" s="50">
        <v>0</v>
      </c>
      <c r="O34" s="15">
        <f t="shared" si="0"/>
        <v>19</v>
      </c>
      <c r="P34" s="15">
        <f t="shared" si="1"/>
        <v>25</v>
      </c>
    </row>
    <row r="35" spans="2:20" ht="23.1" customHeight="1" x14ac:dyDescent="0.25">
      <c r="B35" s="24" t="s">
        <v>62</v>
      </c>
      <c r="C35" s="50">
        <v>10</v>
      </c>
      <c r="D35" s="50">
        <v>0</v>
      </c>
      <c r="E35" s="50">
        <v>1</v>
      </c>
      <c r="F35" s="50">
        <v>2</v>
      </c>
      <c r="G35" s="50">
        <v>0</v>
      </c>
      <c r="H35" s="50">
        <v>1</v>
      </c>
      <c r="I35" s="50">
        <v>3</v>
      </c>
      <c r="J35" s="50">
        <v>0</v>
      </c>
      <c r="K35" s="50">
        <v>0</v>
      </c>
      <c r="L35" s="50">
        <v>0</v>
      </c>
      <c r="M35" s="50">
        <v>2</v>
      </c>
      <c r="N35" s="50">
        <v>0</v>
      </c>
      <c r="O35" s="15">
        <f t="shared" si="0"/>
        <v>17</v>
      </c>
      <c r="P35" s="15">
        <f t="shared" si="1"/>
        <v>19</v>
      </c>
    </row>
    <row r="36" spans="2:20" ht="23.1" customHeight="1" x14ac:dyDescent="0.25">
      <c r="B36" s="24" t="s">
        <v>63</v>
      </c>
      <c r="C36" s="50">
        <v>2</v>
      </c>
      <c r="D36" s="50">
        <v>0</v>
      </c>
      <c r="E36" s="50">
        <v>1</v>
      </c>
      <c r="F36" s="50">
        <v>2</v>
      </c>
      <c r="G36" s="50">
        <v>1</v>
      </c>
      <c r="H36" s="50">
        <v>0</v>
      </c>
      <c r="I36" s="50">
        <v>2</v>
      </c>
      <c r="J36" s="50">
        <v>1</v>
      </c>
      <c r="K36" s="50">
        <v>0</v>
      </c>
      <c r="L36" s="50">
        <v>0</v>
      </c>
      <c r="M36" s="50">
        <v>6</v>
      </c>
      <c r="N36" s="50">
        <v>1</v>
      </c>
      <c r="O36" s="15">
        <f t="shared" si="0"/>
        <v>10</v>
      </c>
      <c r="P36" s="15">
        <f t="shared" si="1"/>
        <v>16</v>
      </c>
    </row>
    <row r="37" spans="2:20" ht="23.1" customHeight="1" x14ac:dyDescent="0.25">
      <c r="B37" s="23" t="s">
        <v>64</v>
      </c>
      <c r="C37" s="50">
        <v>8</v>
      </c>
      <c r="D37" s="50">
        <v>0</v>
      </c>
      <c r="E37" s="50">
        <v>3</v>
      </c>
      <c r="F37" s="50">
        <v>5</v>
      </c>
      <c r="G37" s="50">
        <v>0</v>
      </c>
      <c r="H37" s="50">
        <v>0</v>
      </c>
      <c r="I37" s="50">
        <v>2</v>
      </c>
      <c r="J37" s="50">
        <v>0</v>
      </c>
      <c r="K37" s="50">
        <v>0</v>
      </c>
      <c r="L37" s="50">
        <v>0</v>
      </c>
      <c r="M37" s="50">
        <v>2</v>
      </c>
      <c r="N37" s="50">
        <v>0</v>
      </c>
      <c r="O37" s="15">
        <f t="shared" si="0"/>
        <v>18</v>
      </c>
      <c r="P37" s="15">
        <f t="shared" si="1"/>
        <v>20</v>
      </c>
    </row>
    <row r="38" spans="2:20" ht="23.1" customHeight="1" x14ac:dyDescent="0.25">
      <c r="B38" s="24" t="s">
        <v>65</v>
      </c>
      <c r="C38" s="50">
        <v>4</v>
      </c>
      <c r="D38" s="50">
        <v>0</v>
      </c>
      <c r="E38" s="50">
        <v>6</v>
      </c>
      <c r="F38" s="50">
        <v>7</v>
      </c>
      <c r="G38" s="50">
        <v>0</v>
      </c>
      <c r="H38" s="50">
        <v>0</v>
      </c>
      <c r="I38" s="50">
        <v>3</v>
      </c>
      <c r="J38" s="50">
        <v>1</v>
      </c>
      <c r="K38" s="50">
        <v>0</v>
      </c>
      <c r="L38" s="50">
        <v>0</v>
      </c>
      <c r="M38" s="50">
        <v>7</v>
      </c>
      <c r="N38" s="50">
        <v>0</v>
      </c>
      <c r="O38" s="15">
        <f t="shared" si="0"/>
        <v>21</v>
      </c>
      <c r="P38" s="15">
        <f t="shared" si="1"/>
        <v>28</v>
      </c>
    </row>
    <row r="39" spans="2:20" ht="23.1" customHeight="1" x14ac:dyDescent="0.25">
      <c r="B39" s="24" t="s">
        <v>66</v>
      </c>
      <c r="C39" s="50">
        <v>11</v>
      </c>
      <c r="D39" s="50">
        <v>0</v>
      </c>
      <c r="E39" s="50">
        <v>2</v>
      </c>
      <c r="F39" s="50">
        <v>3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0</v>
      </c>
      <c r="M39" s="50">
        <v>6</v>
      </c>
      <c r="N39" s="50">
        <v>0</v>
      </c>
      <c r="O39" s="15">
        <f t="shared" si="0"/>
        <v>17</v>
      </c>
      <c r="P39" s="15">
        <f t="shared" si="1"/>
        <v>23</v>
      </c>
    </row>
    <row r="40" spans="2:20" ht="23.1" customHeight="1" x14ac:dyDescent="0.25">
      <c r="B40" s="24" t="s">
        <v>67</v>
      </c>
      <c r="C40" s="50">
        <v>3</v>
      </c>
      <c r="D40" s="50">
        <v>0</v>
      </c>
      <c r="E40" s="50">
        <v>3</v>
      </c>
      <c r="F40" s="50">
        <v>0</v>
      </c>
      <c r="G40" s="50">
        <v>0</v>
      </c>
      <c r="H40" s="50">
        <v>1</v>
      </c>
      <c r="I40" s="50">
        <v>0</v>
      </c>
      <c r="J40" s="50">
        <v>0</v>
      </c>
      <c r="K40" s="50">
        <v>0</v>
      </c>
      <c r="L40" s="50">
        <v>0</v>
      </c>
      <c r="M40" s="50">
        <v>4</v>
      </c>
      <c r="N40" s="50">
        <v>0</v>
      </c>
      <c r="O40" s="15">
        <f t="shared" si="0"/>
        <v>7</v>
      </c>
      <c r="P40" s="15">
        <f t="shared" si="1"/>
        <v>11</v>
      </c>
    </row>
    <row r="41" spans="2:20" ht="23.1" customHeight="1" x14ac:dyDescent="0.25">
      <c r="B41" s="23" t="s">
        <v>68</v>
      </c>
      <c r="C41" s="50">
        <v>7</v>
      </c>
      <c r="D41" s="50">
        <v>0</v>
      </c>
      <c r="E41" s="50">
        <v>3</v>
      </c>
      <c r="F41" s="50">
        <v>3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7</v>
      </c>
      <c r="N41" s="50">
        <v>0</v>
      </c>
      <c r="O41" s="15">
        <f t="shared" si="0"/>
        <v>13</v>
      </c>
      <c r="P41" s="15">
        <f t="shared" si="1"/>
        <v>20</v>
      </c>
    </row>
    <row r="42" spans="2:20" ht="23.1" customHeight="1" x14ac:dyDescent="0.25">
      <c r="B42" s="24" t="s">
        <v>69</v>
      </c>
      <c r="C42" s="50">
        <v>6</v>
      </c>
      <c r="D42" s="50">
        <v>0</v>
      </c>
      <c r="E42" s="50">
        <v>0</v>
      </c>
      <c r="F42" s="50">
        <v>2</v>
      </c>
      <c r="G42" s="50">
        <v>0</v>
      </c>
      <c r="H42" s="50">
        <v>0</v>
      </c>
      <c r="I42" s="50">
        <v>1</v>
      </c>
      <c r="J42" s="50">
        <v>2</v>
      </c>
      <c r="K42" s="50">
        <v>2</v>
      </c>
      <c r="L42" s="50">
        <v>0</v>
      </c>
      <c r="M42" s="50">
        <v>7</v>
      </c>
      <c r="N42" s="50">
        <v>0</v>
      </c>
      <c r="O42" s="15">
        <f t="shared" si="0"/>
        <v>13</v>
      </c>
      <c r="P42" s="15">
        <f t="shared" si="1"/>
        <v>20</v>
      </c>
    </row>
    <row r="43" spans="2:20" ht="23.1" customHeight="1" x14ac:dyDescent="0.25">
      <c r="B43" s="23" t="s">
        <v>70</v>
      </c>
      <c r="C43" s="50">
        <v>4</v>
      </c>
      <c r="D43" s="50">
        <v>0</v>
      </c>
      <c r="E43" s="50">
        <v>0</v>
      </c>
      <c r="F43" s="50">
        <v>3</v>
      </c>
      <c r="G43" s="50">
        <v>0</v>
      </c>
      <c r="H43" s="50">
        <v>0</v>
      </c>
      <c r="I43" s="50">
        <v>0</v>
      </c>
      <c r="J43" s="50">
        <v>0</v>
      </c>
      <c r="K43" s="50">
        <v>1</v>
      </c>
      <c r="L43" s="50">
        <v>0</v>
      </c>
      <c r="M43" s="50">
        <v>4</v>
      </c>
      <c r="N43" s="50">
        <v>0</v>
      </c>
      <c r="O43" s="15">
        <f t="shared" si="0"/>
        <v>8</v>
      </c>
      <c r="P43" s="15">
        <f t="shared" si="1"/>
        <v>12</v>
      </c>
    </row>
    <row r="44" spans="2:20" ht="23.1" customHeight="1" x14ac:dyDescent="0.25">
      <c r="B44" s="25" t="s">
        <v>71</v>
      </c>
      <c r="C44" s="50">
        <v>6</v>
      </c>
      <c r="D44" s="50">
        <v>0</v>
      </c>
      <c r="E44" s="50">
        <v>3</v>
      </c>
      <c r="F44" s="50">
        <v>4</v>
      </c>
      <c r="G44" s="50">
        <v>0</v>
      </c>
      <c r="H44" s="50">
        <v>0</v>
      </c>
      <c r="I44" s="50">
        <v>3</v>
      </c>
      <c r="J44" s="50">
        <v>1</v>
      </c>
      <c r="K44" s="50">
        <v>0</v>
      </c>
      <c r="L44" s="50">
        <v>0</v>
      </c>
      <c r="M44" s="50">
        <v>7</v>
      </c>
      <c r="N44" s="50">
        <v>0</v>
      </c>
      <c r="O44" s="15">
        <f t="shared" si="0"/>
        <v>17</v>
      </c>
      <c r="P44" s="15">
        <f t="shared" si="1"/>
        <v>24</v>
      </c>
    </row>
    <row r="45" spans="2:20" ht="23.1" customHeight="1" x14ac:dyDescent="0.25">
      <c r="B45" s="23" t="s">
        <v>72</v>
      </c>
      <c r="C45" s="50">
        <v>1</v>
      </c>
      <c r="D45" s="50">
        <v>0</v>
      </c>
      <c r="E45" s="50">
        <v>3</v>
      </c>
      <c r="F45" s="50">
        <v>7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1</v>
      </c>
      <c r="N45" s="50">
        <v>0</v>
      </c>
      <c r="O45" s="15">
        <f t="shared" si="0"/>
        <v>11</v>
      </c>
      <c r="P45" s="15">
        <f t="shared" si="1"/>
        <v>12</v>
      </c>
    </row>
    <row r="46" spans="2:20" ht="23.1" customHeight="1" x14ac:dyDescent="0.25">
      <c r="B46" s="24" t="s">
        <v>73</v>
      </c>
      <c r="C46" s="50">
        <v>7</v>
      </c>
      <c r="D46" s="50">
        <v>0</v>
      </c>
      <c r="E46" s="50">
        <v>6</v>
      </c>
      <c r="F46" s="50">
        <v>2</v>
      </c>
      <c r="G46" s="50">
        <v>0</v>
      </c>
      <c r="H46" s="50">
        <v>0</v>
      </c>
      <c r="I46" s="50">
        <v>1</v>
      </c>
      <c r="J46" s="50">
        <v>3</v>
      </c>
      <c r="K46" s="50">
        <v>2</v>
      </c>
      <c r="L46" s="50">
        <v>0</v>
      </c>
      <c r="M46" s="50">
        <v>2</v>
      </c>
      <c r="N46" s="50">
        <v>0</v>
      </c>
      <c r="O46" s="15">
        <f t="shared" si="0"/>
        <v>21</v>
      </c>
      <c r="P46" s="15">
        <f t="shared" si="1"/>
        <v>23</v>
      </c>
      <c r="R46" s="8"/>
      <c r="T46"/>
    </row>
    <row r="47" spans="2:20" ht="23.1" customHeight="1" x14ac:dyDescent="0.25">
      <c r="B47" s="24" t="s">
        <v>74</v>
      </c>
      <c r="C47" s="50">
        <v>1</v>
      </c>
      <c r="D47" s="50">
        <v>0</v>
      </c>
      <c r="E47" s="50">
        <v>1</v>
      </c>
      <c r="F47" s="50">
        <v>6</v>
      </c>
      <c r="G47" s="50">
        <v>0</v>
      </c>
      <c r="H47" s="50">
        <v>0</v>
      </c>
      <c r="I47" s="50">
        <v>1</v>
      </c>
      <c r="J47" s="50">
        <v>1</v>
      </c>
      <c r="K47" s="50">
        <v>0</v>
      </c>
      <c r="L47" s="50">
        <v>1</v>
      </c>
      <c r="M47" s="50">
        <v>2</v>
      </c>
      <c r="N47" s="50">
        <v>0</v>
      </c>
      <c r="O47" s="15">
        <f t="shared" si="0"/>
        <v>11</v>
      </c>
      <c r="P47" s="15">
        <f t="shared" si="1"/>
        <v>13</v>
      </c>
      <c r="R47" s="8"/>
      <c r="T47"/>
    </row>
    <row r="48" spans="2:20" ht="23.1" customHeight="1" x14ac:dyDescent="0.25">
      <c r="B48" s="24" t="s">
        <v>75</v>
      </c>
      <c r="C48" s="50">
        <v>2</v>
      </c>
      <c r="D48" s="50">
        <v>0</v>
      </c>
      <c r="E48" s="50">
        <v>2</v>
      </c>
      <c r="F48" s="50">
        <v>3</v>
      </c>
      <c r="G48" s="50">
        <v>0</v>
      </c>
      <c r="H48" s="50">
        <v>0</v>
      </c>
      <c r="I48" s="50">
        <v>1</v>
      </c>
      <c r="J48" s="50">
        <v>0</v>
      </c>
      <c r="K48" s="50">
        <v>0</v>
      </c>
      <c r="L48" s="50">
        <v>0</v>
      </c>
      <c r="M48" s="50">
        <v>3</v>
      </c>
      <c r="N48" s="50">
        <v>0</v>
      </c>
      <c r="O48" s="15">
        <f t="shared" si="0"/>
        <v>8</v>
      </c>
      <c r="P48" s="15">
        <f t="shared" si="1"/>
        <v>11</v>
      </c>
      <c r="R48" s="8"/>
      <c r="T48"/>
    </row>
    <row r="49" spans="2:20" ht="23.1" customHeight="1" x14ac:dyDescent="0.25">
      <c r="B49" s="23" t="s">
        <v>76</v>
      </c>
      <c r="C49" s="50">
        <v>8</v>
      </c>
      <c r="D49" s="50">
        <v>0</v>
      </c>
      <c r="E49" s="50">
        <v>4</v>
      </c>
      <c r="F49" s="50">
        <v>1</v>
      </c>
      <c r="G49" s="50">
        <v>0</v>
      </c>
      <c r="H49" s="50">
        <v>0</v>
      </c>
      <c r="I49" s="50">
        <v>1</v>
      </c>
      <c r="J49" s="50">
        <v>2</v>
      </c>
      <c r="K49" s="50">
        <v>0</v>
      </c>
      <c r="L49" s="50">
        <v>1</v>
      </c>
      <c r="M49" s="50">
        <v>7</v>
      </c>
      <c r="N49" s="50">
        <v>1</v>
      </c>
      <c r="O49" s="15">
        <f t="shared" si="0"/>
        <v>18</v>
      </c>
      <c r="P49" s="15">
        <f t="shared" si="1"/>
        <v>25</v>
      </c>
      <c r="R49" s="8"/>
      <c r="T49"/>
    </row>
    <row r="50" spans="2:20" ht="23.1" customHeight="1" x14ac:dyDescent="0.25">
      <c r="B50" s="24" t="s">
        <v>77</v>
      </c>
      <c r="C50" s="50">
        <v>3</v>
      </c>
      <c r="D50" s="50">
        <v>0</v>
      </c>
      <c r="E50" s="50">
        <v>4</v>
      </c>
      <c r="F50" s="50">
        <v>4</v>
      </c>
      <c r="G50" s="50">
        <v>0</v>
      </c>
      <c r="H50" s="50">
        <v>0</v>
      </c>
      <c r="I50" s="50">
        <v>0</v>
      </c>
      <c r="J50" s="50">
        <v>2</v>
      </c>
      <c r="K50" s="50">
        <v>0</v>
      </c>
      <c r="L50" s="50">
        <v>0</v>
      </c>
      <c r="M50" s="50">
        <v>6</v>
      </c>
      <c r="N50" s="50">
        <v>0</v>
      </c>
      <c r="O50" s="15">
        <f t="shared" si="0"/>
        <v>13</v>
      </c>
      <c r="P50" s="15">
        <f t="shared" si="1"/>
        <v>19</v>
      </c>
      <c r="R50" s="8"/>
      <c r="T50"/>
    </row>
    <row r="51" spans="2:20" ht="23.1" customHeight="1" x14ac:dyDescent="0.25">
      <c r="B51" s="24" t="s">
        <v>78</v>
      </c>
      <c r="C51" s="50">
        <v>8</v>
      </c>
      <c r="D51" s="50">
        <v>0</v>
      </c>
      <c r="E51" s="50">
        <v>2</v>
      </c>
      <c r="F51" s="50">
        <v>3</v>
      </c>
      <c r="G51" s="50">
        <v>0</v>
      </c>
      <c r="H51" s="50">
        <v>0</v>
      </c>
      <c r="I51" s="50">
        <v>0</v>
      </c>
      <c r="J51" s="50">
        <v>1</v>
      </c>
      <c r="K51" s="50">
        <v>0</v>
      </c>
      <c r="L51" s="50">
        <v>0</v>
      </c>
      <c r="M51" s="50">
        <v>6</v>
      </c>
      <c r="N51" s="50">
        <v>0</v>
      </c>
      <c r="O51" s="15">
        <f t="shared" si="0"/>
        <v>14</v>
      </c>
      <c r="P51" s="15">
        <f t="shared" si="1"/>
        <v>20</v>
      </c>
      <c r="R51" s="8"/>
      <c r="T51"/>
    </row>
    <row r="52" spans="2:20" ht="23.1" customHeight="1" x14ac:dyDescent="0.25">
      <c r="B52" s="24" t="s">
        <v>79</v>
      </c>
      <c r="C52" s="50">
        <v>7</v>
      </c>
      <c r="D52" s="50">
        <v>0</v>
      </c>
      <c r="E52" s="50">
        <v>3</v>
      </c>
      <c r="F52" s="50">
        <v>2</v>
      </c>
      <c r="G52" s="50">
        <v>0</v>
      </c>
      <c r="H52" s="50">
        <v>1</v>
      </c>
      <c r="I52" s="50">
        <v>0</v>
      </c>
      <c r="J52" s="50">
        <v>3</v>
      </c>
      <c r="K52" s="50">
        <v>0</v>
      </c>
      <c r="L52" s="50">
        <v>0</v>
      </c>
      <c r="M52" s="50">
        <v>4</v>
      </c>
      <c r="N52" s="50">
        <v>0</v>
      </c>
      <c r="O52" s="15">
        <f t="shared" si="0"/>
        <v>16</v>
      </c>
      <c r="P52" s="15">
        <f t="shared" si="1"/>
        <v>20</v>
      </c>
      <c r="R52" s="8"/>
      <c r="T52"/>
    </row>
    <row r="53" spans="2:20" ht="23.1" customHeight="1" x14ac:dyDescent="0.25">
      <c r="B53" s="23" t="s">
        <v>80</v>
      </c>
      <c r="C53" s="50">
        <v>6</v>
      </c>
      <c r="D53" s="50">
        <v>0</v>
      </c>
      <c r="E53" s="50">
        <v>1</v>
      </c>
      <c r="F53" s="50">
        <v>3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4</v>
      </c>
      <c r="N53" s="50">
        <v>0</v>
      </c>
      <c r="O53" s="15">
        <f t="shared" si="0"/>
        <v>10</v>
      </c>
      <c r="P53" s="15">
        <f t="shared" si="1"/>
        <v>14</v>
      </c>
      <c r="R53" s="8"/>
      <c r="T53"/>
    </row>
    <row r="54" spans="2:20" ht="23.1" customHeight="1" x14ac:dyDescent="0.25">
      <c r="B54" s="23" t="s">
        <v>81</v>
      </c>
      <c r="C54" s="50">
        <v>5</v>
      </c>
      <c r="D54" s="50">
        <v>0</v>
      </c>
      <c r="E54" s="50">
        <v>3</v>
      </c>
      <c r="F54" s="50">
        <v>7</v>
      </c>
      <c r="G54" s="50">
        <v>0</v>
      </c>
      <c r="H54" s="50">
        <v>0</v>
      </c>
      <c r="I54" s="50">
        <v>1</v>
      </c>
      <c r="J54" s="50">
        <v>1</v>
      </c>
      <c r="K54" s="50">
        <v>0</v>
      </c>
      <c r="L54" s="50">
        <v>0</v>
      </c>
      <c r="M54" s="50">
        <v>5</v>
      </c>
      <c r="N54" s="50">
        <v>0</v>
      </c>
      <c r="O54" s="15">
        <f t="shared" si="0"/>
        <v>17</v>
      </c>
      <c r="P54" s="15">
        <f t="shared" si="1"/>
        <v>22</v>
      </c>
      <c r="R54" s="8"/>
      <c r="T54"/>
    </row>
    <row r="55" spans="2:20" ht="23.1" customHeight="1" x14ac:dyDescent="0.25">
      <c r="B55" s="23" t="s">
        <v>82</v>
      </c>
      <c r="C55" s="50">
        <v>2</v>
      </c>
      <c r="D55" s="50">
        <v>0</v>
      </c>
      <c r="E55" s="50">
        <v>2</v>
      </c>
      <c r="F55" s="50">
        <v>4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1</v>
      </c>
      <c r="N55" s="50">
        <v>0</v>
      </c>
      <c r="O55" s="15">
        <f t="shared" si="0"/>
        <v>8</v>
      </c>
      <c r="P55" s="15">
        <f t="shared" si="1"/>
        <v>9</v>
      </c>
      <c r="R55" s="8"/>
      <c r="T55"/>
    </row>
    <row r="56" spans="2:20" ht="23.1" customHeight="1" x14ac:dyDescent="0.25">
      <c r="B56" s="23" t="s">
        <v>83</v>
      </c>
      <c r="C56" s="50">
        <v>2</v>
      </c>
      <c r="D56" s="50">
        <v>0</v>
      </c>
      <c r="E56" s="50">
        <v>0</v>
      </c>
      <c r="F56" s="50">
        <v>1</v>
      </c>
      <c r="G56" s="50">
        <v>0</v>
      </c>
      <c r="H56" s="50">
        <v>0</v>
      </c>
      <c r="I56" s="50">
        <v>0</v>
      </c>
      <c r="J56" s="50">
        <v>0</v>
      </c>
      <c r="K56" s="50">
        <v>1</v>
      </c>
      <c r="L56" s="50">
        <v>0</v>
      </c>
      <c r="M56" s="50">
        <v>2</v>
      </c>
      <c r="N56" s="50">
        <v>0</v>
      </c>
      <c r="O56" s="15">
        <f t="shared" si="0"/>
        <v>4</v>
      </c>
      <c r="P56" s="15">
        <f t="shared" si="1"/>
        <v>6</v>
      </c>
      <c r="R56" s="8"/>
      <c r="T56"/>
    </row>
    <row r="57" spans="2:20" ht="23.1" customHeight="1" x14ac:dyDescent="0.25">
      <c r="B57" s="23" t="s">
        <v>84</v>
      </c>
      <c r="C57" s="50">
        <v>7</v>
      </c>
      <c r="D57" s="50">
        <v>0</v>
      </c>
      <c r="E57" s="50">
        <v>2</v>
      </c>
      <c r="F57" s="50">
        <v>3</v>
      </c>
      <c r="G57" s="50">
        <v>0</v>
      </c>
      <c r="H57" s="50">
        <v>0</v>
      </c>
      <c r="I57" s="50">
        <v>0</v>
      </c>
      <c r="J57" s="50">
        <v>0</v>
      </c>
      <c r="K57" s="50">
        <v>1</v>
      </c>
      <c r="L57" s="50">
        <v>0</v>
      </c>
      <c r="M57" s="50">
        <v>0</v>
      </c>
      <c r="N57" s="50">
        <v>0</v>
      </c>
      <c r="O57" s="15">
        <f t="shared" si="0"/>
        <v>13</v>
      </c>
      <c r="P57" s="15">
        <f t="shared" si="1"/>
        <v>13</v>
      </c>
      <c r="R57" s="8"/>
      <c r="T57"/>
    </row>
    <row r="58" spans="2:20" ht="23.1" customHeight="1" x14ac:dyDescent="0.25">
      <c r="B58" s="26" t="s">
        <v>18</v>
      </c>
      <c r="C58" s="16">
        <f>SUM(C10:C57)</f>
        <v>261</v>
      </c>
      <c r="D58" s="16">
        <f t="shared" ref="D58:P58" si="21">SUM(D10:D57)</f>
        <v>0</v>
      </c>
      <c r="E58" s="16">
        <f t="shared" si="21"/>
        <v>99</v>
      </c>
      <c r="F58" s="16">
        <f t="shared" si="21"/>
        <v>131</v>
      </c>
      <c r="G58" s="16">
        <f t="shared" si="21"/>
        <v>1</v>
      </c>
      <c r="H58" s="16">
        <f t="shared" si="21"/>
        <v>4</v>
      </c>
      <c r="I58" s="16">
        <f t="shared" si="21"/>
        <v>72</v>
      </c>
      <c r="J58" s="16">
        <f t="shared" si="21"/>
        <v>32</v>
      </c>
      <c r="K58" s="16">
        <f t="shared" si="21"/>
        <v>11</v>
      </c>
      <c r="L58" s="16">
        <f t="shared" si="21"/>
        <v>8</v>
      </c>
      <c r="M58" s="16">
        <f t="shared" si="21"/>
        <v>256</v>
      </c>
      <c r="N58" s="16">
        <f t="shared" si="21"/>
        <v>2</v>
      </c>
      <c r="O58" s="16">
        <f t="shared" si="21"/>
        <v>621</v>
      </c>
      <c r="P58" s="16">
        <f t="shared" si="21"/>
        <v>877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0.29760547320410491</v>
      </c>
      <c r="D59" s="43">
        <f t="shared" si="22"/>
        <v>0</v>
      </c>
      <c r="E59" s="43">
        <f t="shared" si="22"/>
        <v>0.11288483466362599</v>
      </c>
      <c r="F59" s="43">
        <f t="shared" si="22"/>
        <v>0.14937286202964653</v>
      </c>
      <c r="G59" s="43">
        <f t="shared" si="22"/>
        <v>1.1402508551881414E-3</v>
      </c>
      <c r="H59" s="43">
        <f t="shared" si="22"/>
        <v>4.5610034207525657E-3</v>
      </c>
      <c r="I59" s="43">
        <f t="shared" si="22"/>
        <v>8.2098061573546183E-2</v>
      </c>
      <c r="J59" s="43">
        <f t="shared" si="22"/>
        <v>3.6488027366020526E-2</v>
      </c>
      <c r="K59" s="43">
        <f t="shared" si="22"/>
        <v>1.2542759407069556E-2</v>
      </c>
      <c r="L59" s="43">
        <f t="shared" si="22"/>
        <v>9.1220068415051314E-3</v>
      </c>
      <c r="M59" s="43">
        <f t="shared" si="22"/>
        <v>0.29190421892816421</v>
      </c>
      <c r="N59" s="43">
        <f t="shared" si="22"/>
        <v>2.2805017103762829E-3</v>
      </c>
      <c r="R59" s="8"/>
      <c r="T59"/>
    </row>
    <row r="60" spans="2:20" ht="23.1" customHeight="1" x14ac:dyDescent="0.25">
      <c r="B60" s="42" t="s">
        <v>94</v>
      </c>
      <c r="C60" s="44">
        <f>C58/$O$58</f>
        <v>0.42028985507246375</v>
      </c>
      <c r="D60" s="44">
        <f t="shared" ref="D60:N60" si="23">D58/$O$58</f>
        <v>0</v>
      </c>
      <c r="E60" s="44">
        <f t="shared" si="23"/>
        <v>0.15942028985507245</v>
      </c>
      <c r="F60" s="44">
        <f t="shared" si="23"/>
        <v>0.2109500805152979</v>
      </c>
      <c r="G60" s="44">
        <f t="shared" si="23"/>
        <v>1.6103059581320451E-3</v>
      </c>
      <c r="H60" s="44">
        <f t="shared" si="23"/>
        <v>6.4412238325281803E-3</v>
      </c>
      <c r="I60" s="44">
        <f t="shared" si="23"/>
        <v>0.11594202898550725</v>
      </c>
      <c r="J60" s="44">
        <f t="shared" si="23"/>
        <v>5.1529790660225443E-2</v>
      </c>
      <c r="K60" s="44">
        <f t="shared" si="23"/>
        <v>1.7713365539452495E-2</v>
      </c>
      <c r="L60" s="44">
        <f t="shared" si="23"/>
        <v>1.2882447665056361E-2</v>
      </c>
      <c r="M60" s="44"/>
      <c r="N60" s="44">
        <f t="shared" si="23"/>
        <v>3.2206119162640902E-3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2" tint="-0.249977111117893"/>
  </sheetPr>
  <dimension ref="B1:AF174"/>
  <sheetViews>
    <sheetView view="pageBreakPreview" topLeftCell="A52" zoomScale="60" workbookViewId="0">
      <selection activeCell="C10" sqref="C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>
        <f>'5.8 KIKORONGO-BWERA'!C3:G3</f>
        <v>0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164</v>
      </c>
      <c r="E5" s="3"/>
      <c r="F5" s="41" t="s">
        <v>1</v>
      </c>
      <c r="G5" s="63">
        <f>'8.8 BWERA-KIKORONGO-24h'!G5:H5</f>
        <v>0</v>
      </c>
      <c r="H5" s="64"/>
      <c r="I5" s="14"/>
      <c r="J5" s="2" t="s">
        <v>5</v>
      </c>
      <c r="K5" s="63">
        <f>'8.8 BWERA-KIKORONGO-24h'!K5:L5</f>
        <v>0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>
        <f>'5.8 KIKORONGO-BWERA'!D6:E6</f>
        <v>0</v>
      </c>
      <c r="E6" s="64"/>
      <c r="F6" s="2" t="s">
        <v>2</v>
      </c>
      <c r="G6" s="63">
        <f>'5.8 KIKORONGO-BWERA'!G6:H6</f>
        <v>0</v>
      </c>
      <c r="H6" s="64"/>
      <c r="J6" s="2" t="s">
        <v>21</v>
      </c>
      <c r="K6" s="63">
        <f>'8.8 BWERA-KIKORONGO-24h'!K6:L6</f>
        <v>0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3</v>
      </c>
      <c r="D10" s="50">
        <v>0</v>
      </c>
      <c r="E10" s="50">
        <v>0</v>
      </c>
      <c r="F10" s="50">
        <v>2</v>
      </c>
      <c r="G10" s="50">
        <v>0</v>
      </c>
      <c r="H10" s="50">
        <v>0</v>
      </c>
      <c r="I10" s="50">
        <v>2</v>
      </c>
      <c r="J10" s="50">
        <v>0</v>
      </c>
      <c r="K10" s="50">
        <v>0</v>
      </c>
      <c r="L10" s="50">
        <v>0</v>
      </c>
      <c r="M10" s="50">
        <v>0</v>
      </c>
      <c r="N10" s="50">
        <v>0</v>
      </c>
      <c r="O10" s="15">
        <f t="shared" ref="O10:O73" si="0">SUM(C10:L10,N10)</f>
        <v>7</v>
      </c>
      <c r="P10" s="15">
        <f t="shared" ref="P10:P73" si="1">SUM(C10:N10)</f>
        <v>7</v>
      </c>
      <c r="R10" s="1" t="s">
        <v>6</v>
      </c>
      <c r="S10" s="17">
        <f t="shared" ref="S10:AF10" si="2">SUM(C10:C13)</f>
        <v>23</v>
      </c>
      <c r="T10" s="17">
        <f t="shared" si="2"/>
        <v>0</v>
      </c>
      <c r="U10" s="17">
        <f t="shared" si="2"/>
        <v>6</v>
      </c>
      <c r="V10" s="17">
        <f t="shared" si="2"/>
        <v>8</v>
      </c>
      <c r="W10" s="17">
        <f t="shared" si="2"/>
        <v>0</v>
      </c>
      <c r="X10" s="17">
        <f t="shared" si="2"/>
        <v>1</v>
      </c>
      <c r="Y10" s="17">
        <f t="shared" si="2"/>
        <v>4</v>
      </c>
      <c r="Z10" s="17">
        <f t="shared" si="2"/>
        <v>0</v>
      </c>
      <c r="AA10" s="17">
        <f t="shared" si="2"/>
        <v>0</v>
      </c>
      <c r="AB10" s="17">
        <f t="shared" si="2"/>
        <v>3</v>
      </c>
      <c r="AC10" s="17">
        <f t="shared" si="2"/>
        <v>6</v>
      </c>
      <c r="AD10" s="17">
        <f t="shared" si="2"/>
        <v>0</v>
      </c>
      <c r="AE10" s="31">
        <f t="shared" si="2"/>
        <v>45</v>
      </c>
      <c r="AF10" s="31">
        <f t="shared" si="2"/>
        <v>51</v>
      </c>
    </row>
    <row r="11" spans="2:32" s="6" customFormat="1" ht="23.1" customHeight="1" x14ac:dyDescent="0.25">
      <c r="B11" s="45" t="s">
        <v>38</v>
      </c>
      <c r="C11" s="50">
        <v>5</v>
      </c>
      <c r="D11" s="50">
        <v>0</v>
      </c>
      <c r="E11" s="50">
        <v>2</v>
      </c>
      <c r="F11" s="50">
        <v>2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2</v>
      </c>
      <c r="M11" s="50">
        <v>3</v>
      </c>
      <c r="N11" s="50">
        <v>0</v>
      </c>
      <c r="O11" s="15">
        <f t="shared" si="0"/>
        <v>11</v>
      </c>
      <c r="P11" s="15">
        <f t="shared" si="1"/>
        <v>14</v>
      </c>
      <c r="R11" s="1" t="s">
        <v>7</v>
      </c>
      <c r="S11" s="17">
        <f t="shared" ref="S11:AF11" si="3">SUM(C14:C17)</f>
        <v>18</v>
      </c>
      <c r="T11" s="17">
        <f t="shared" si="3"/>
        <v>0</v>
      </c>
      <c r="U11" s="17">
        <f t="shared" si="3"/>
        <v>2</v>
      </c>
      <c r="V11" s="17">
        <f t="shared" si="3"/>
        <v>8</v>
      </c>
      <c r="W11" s="17">
        <f t="shared" si="3"/>
        <v>0</v>
      </c>
      <c r="X11" s="17">
        <f t="shared" si="3"/>
        <v>2</v>
      </c>
      <c r="Y11" s="17">
        <f t="shared" si="3"/>
        <v>1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12</v>
      </c>
      <c r="AD11" s="17">
        <f t="shared" si="3"/>
        <v>0</v>
      </c>
      <c r="AE11" s="31">
        <f t="shared" si="3"/>
        <v>31</v>
      </c>
      <c r="AF11" s="31">
        <f t="shared" si="3"/>
        <v>43</v>
      </c>
    </row>
    <row r="12" spans="2:32" ht="23.1" customHeight="1" x14ac:dyDescent="0.25">
      <c r="B12" s="45" t="s">
        <v>39</v>
      </c>
      <c r="C12" s="50">
        <v>5</v>
      </c>
      <c r="D12" s="50">
        <v>0</v>
      </c>
      <c r="E12" s="50">
        <v>1</v>
      </c>
      <c r="F12" s="50">
        <v>0</v>
      </c>
      <c r="G12" s="50">
        <v>0</v>
      </c>
      <c r="H12" s="50">
        <v>1</v>
      </c>
      <c r="I12" s="50">
        <v>2</v>
      </c>
      <c r="J12" s="50">
        <v>0</v>
      </c>
      <c r="K12" s="50">
        <v>0</v>
      </c>
      <c r="L12" s="50">
        <v>1</v>
      </c>
      <c r="M12" s="50">
        <v>1</v>
      </c>
      <c r="N12" s="50">
        <v>0</v>
      </c>
      <c r="O12" s="15">
        <f t="shared" si="0"/>
        <v>10</v>
      </c>
      <c r="P12" s="15">
        <f t="shared" si="1"/>
        <v>11</v>
      </c>
      <c r="R12" s="1" t="s">
        <v>8</v>
      </c>
      <c r="S12" s="17">
        <f t="shared" ref="S12:AF12" si="4">SUM(C18:C21)</f>
        <v>17</v>
      </c>
      <c r="T12" s="17">
        <f t="shared" si="4"/>
        <v>0</v>
      </c>
      <c r="U12" s="17">
        <f t="shared" si="4"/>
        <v>6</v>
      </c>
      <c r="V12" s="17">
        <f t="shared" si="4"/>
        <v>3</v>
      </c>
      <c r="W12" s="17">
        <f t="shared" si="4"/>
        <v>1</v>
      </c>
      <c r="X12" s="17">
        <f t="shared" si="4"/>
        <v>3</v>
      </c>
      <c r="Y12" s="17">
        <f t="shared" si="4"/>
        <v>3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12</v>
      </c>
      <c r="AD12" s="17">
        <f t="shared" si="4"/>
        <v>0</v>
      </c>
      <c r="AE12" s="31">
        <f t="shared" si="4"/>
        <v>33</v>
      </c>
      <c r="AF12" s="31">
        <f t="shared" si="4"/>
        <v>45</v>
      </c>
    </row>
    <row r="13" spans="2:32" ht="23.1" customHeight="1" x14ac:dyDescent="0.25">
      <c r="B13" s="45" t="s">
        <v>40</v>
      </c>
      <c r="C13" s="50">
        <v>10</v>
      </c>
      <c r="D13" s="50">
        <v>0</v>
      </c>
      <c r="E13" s="50">
        <v>3</v>
      </c>
      <c r="F13" s="50">
        <v>4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2</v>
      </c>
      <c r="N13" s="50">
        <v>0</v>
      </c>
      <c r="O13" s="15">
        <f t="shared" si="0"/>
        <v>17</v>
      </c>
      <c r="P13" s="15">
        <f t="shared" si="1"/>
        <v>19</v>
      </c>
      <c r="R13" s="1" t="s">
        <v>9</v>
      </c>
      <c r="S13" s="17">
        <f t="shared" ref="S13:AF13" si="5">SUM(C22:C25)</f>
        <v>13</v>
      </c>
      <c r="T13" s="17">
        <f t="shared" si="5"/>
        <v>0</v>
      </c>
      <c r="U13" s="17">
        <f t="shared" si="5"/>
        <v>6</v>
      </c>
      <c r="V13" s="17">
        <f t="shared" si="5"/>
        <v>8</v>
      </c>
      <c r="W13" s="17">
        <f t="shared" si="5"/>
        <v>1</v>
      </c>
      <c r="X13" s="17">
        <f t="shared" si="5"/>
        <v>1</v>
      </c>
      <c r="Y13" s="17">
        <f t="shared" si="5"/>
        <v>3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11</v>
      </c>
      <c r="AD13" s="17">
        <f t="shared" si="5"/>
        <v>0</v>
      </c>
      <c r="AE13" s="31">
        <f t="shared" si="5"/>
        <v>32</v>
      </c>
      <c r="AF13" s="31">
        <f t="shared" si="5"/>
        <v>43</v>
      </c>
    </row>
    <row r="14" spans="2:32" ht="23.1" customHeight="1" x14ac:dyDescent="0.25">
      <c r="B14" s="45" t="s">
        <v>41</v>
      </c>
      <c r="C14" s="50">
        <v>3</v>
      </c>
      <c r="D14" s="50">
        <v>0</v>
      </c>
      <c r="E14" s="50">
        <v>1</v>
      </c>
      <c r="F14" s="50">
        <v>2</v>
      </c>
      <c r="G14" s="50">
        <v>0</v>
      </c>
      <c r="H14" s="50">
        <v>1</v>
      </c>
      <c r="I14" s="50">
        <v>0</v>
      </c>
      <c r="J14" s="50">
        <v>0</v>
      </c>
      <c r="K14" s="50">
        <v>0</v>
      </c>
      <c r="L14" s="50">
        <v>0</v>
      </c>
      <c r="M14" s="50">
        <v>5</v>
      </c>
      <c r="N14" s="50">
        <v>0</v>
      </c>
      <c r="O14" s="15">
        <f t="shared" si="0"/>
        <v>7</v>
      </c>
      <c r="P14" s="15">
        <f t="shared" si="1"/>
        <v>12</v>
      </c>
      <c r="R14" s="1" t="s">
        <v>10</v>
      </c>
      <c r="S14" s="17">
        <f t="shared" ref="S14:AF14" si="6">SUM(C26:C29)</f>
        <v>20</v>
      </c>
      <c r="T14" s="17">
        <f t="shared" si="6"/>
        <v>0</v>
      </c>
      <c r="U14" s="17">
        <f t="shared" si="6"/>
        <v>4</v>
      </c>
      <c r="V14" s="17">
        <f t="shared" si="6"/>
        <v>8</v>
      </c>
      <c r="W14" s="17">
        <f t="shared" si="6"/>
        <v>0</v>
      </c>
      <c r="X14" s="17">
        <f t="shared" si="6"/>
        <v>0</v>
      </c>
      <c r="Y14" s="17">
        <f t="shared" si="6"/>
        <v>8</v>
      </c>
      <c r="Z14" s="17">
        <f t="shared" si="6"/>
        <v>0</v>
      </c>
      <c r="AA14" s="17">
        <f t="shared" si="6"/>
        <v>0</v>
      </c>
      <c r="AB14" s="17">
        <f t="shared" si="6"/>
        <v>3</v>
      </c>
      <c r="AC14" s="17">
        <f t="shared" si="6"/>
        <v>2</v>
      </c>
      <c r="AD14" s="17">
        <f t="shared" si="6"/>
        <v>0</v>
      </c>
      <c r="AE14" s="31">
        <f t="shared" si="6"/>
        <v>43</v>
      </c>
      <c r="AF14" s="31">
        <f t="shared" si="6"/>
        <v>45</v>
      </c>
    </row>
    <row r="15" spans="2:32" ht="23.1" customHeight="1" x14ac:dyDescent="0.25">
      <c r="B15" s="45" t="s">
        <v>42</v>
      </c>
      <c r="C15" s="50">
        <v>7</v>
      </c>
      <c r="D15" s="50">
        <v>0</v>
      </c>
      <c r="E15" s="50">
        <v>0</v>
      </c>
      <c r="F15" s="50">
        <v>1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0</v>
      </c>
      <c r="M15" s="50">
        <v>4</v>
      </c>
      <c r="N15" s="50">
        <v>0</v>
      </c>
      <c r="O15" s="15">
        <f t="shared" si="0"/>
        <v>9</v>
      </c>
      <c r="P15" s="15">
        <f t="shared" si="1"/>
        <v>13</v>
      </c>
      <c r="R15" s="1" t="s">
        <v>11</v>
      </c>
      <c r="S15" s="17">
        <f t="shared" ref="S15:AF15" si="7">SUM(C30:C33)</f>
        <v>16</v>
      </c>
      <c r="T15" s="17">
        <f t="shared" si="7"/>
        <v>0</v>
      </c>
      <c r="U15" s="17">
        <f t="shared" si="7"/>
        <v>7</v>
      </c>
      <c r="V15" s="17">
        <f t="shared" si="7"/>
        <v>10</v>
      </c>
      <c r="W15" s="17">
        <f t="shared" si="7"/>
        <v>0</v>
      </c>
      <c r="X15" s="17">
        <f t="shared" si="7"/>
        <v>1</v>
      </c>
      <c r="Y15" s="17">
        <f t="shared" si="7"/>
        <v>4</v>
      </c>
      <c r="Z15" s="17">
        <f t="shared" si="7"/>
        <v>1</v>
      </c>
      <c r="AA15" s="17">
        <f t="shared" si="7"/>
        <v>0</v>
      </c>
      <c r="AB15" s="17">
        <f t="shared" si="7"/>
        <v>1</v>
      </c>
      <c r="AC15" s="17">
        <f t="shared" si="7"/>
        <v>8</v>
      </c>
      <c r="AD15" s="17">
        <f t="shared" si="7"/>
        <v>0</v>
      </c>
      <c r="AE15" s="31">
        <f t="shared" si="7"/>
        <v>40</v>
      </c>
      <c r="AF15" s="31">
        <f t="shared" si="7"/>
        <v>48</v>
      </c>
    </row>
    <row r="16" spans="2:32" ht="23.1" customHeight="1" x14ac:dyDescent="0.25">
      <c r="B16" s="45" t="s">
        <v>43</v>
      </c>
      <c r="C16" s="50">
        <v>6</v>
      </c>
      <c r="D16" s="50">
        <v>0</v>
      </c>
      <c r="E16" s="50">
        <v>1</v>
      </c>
      <c r="F16" s="50">
        <v>3</v>
      </c>
      <c r="G16" s="50">
        <v>0</v>
      </c>
      <c r="H16" s="50">
        <v>1</v>
      </c>
      <c r="I16" s="50">
        <v>0</v>
      </c>
      <c r="J16" s="50">
        <v>0</v>
      </c>
      <c r="K16" s="50">
        <v>0</v>
      </c>
      <c r="L16" s="50">
        <v>0</v>
      </c>
      <c r="M16" s="50">
        <v>2</v>
      </c>
      <c r="N16" s="50">
        <v>0</v>
      </c>
      <c r="O16" s="15">
        <f t="shared" si="0"/>
        <v>11</v>
      </c>
      <c r="P16" s="15">
        <f t="shared" si="1"/>
        <v>13</v>
      </c>
      <c r="R16" s="1" t="s">
        <v>12</v>
      </c>
      <c r="S16" s="17">
        <f t="shared" ref="S16:AF16" si="8">SUM(C34:C37)</f>
        <v>14</v>
      </c>
      <c r="T16" s="17">
        <f t="shared" si="8"/>
        <v>0</v>
      </c>
      <c r="U16" s="17">
        <f t="shared" si="8"/>
        <v>7</v>
      </c>
      <c r="V16" s="17">
        <f t="shared" si="8"/>
        <v>9</v>
      </c>
      <c r="W16" s="17">
        <f t="shared" si="8"/>
        <v>0</v>
      </c>
      <c r="X16" s="17">
        <f t="shared" si="8"/>
        <v>1</v>
      </c>
      <c r="Y16" s="17">
        <f t="shared" si="8"/>
        <v>3</v>
      </c>
      <c r="Z16" s="17">
        <f t="shared" si="8"/>
        <v>3</v>
      </c>
      <c r="AA16" s="17">
        <f t="shared" si="8"/>
        <v>0</v>
      </c>
      <c r="AB16" s="17">
        <f t="shared" si="8"/>
        <v>1</v>
      </c>
      <c r="AC16" s="17">
        <f t="shared" si="8"/>
        <v>12</v>
      </c>
      <c r="AD16" s="17">
        <f t="shared" si="8"/>
        <v>0</v>
      </c>
      <c r="AE16" s="31">
        <f t="shared" si="8"/>
        <v>38</v>
      </c>
      <c r="AF16" s="31">
        <f t="shared" si="8"/>
        <v>50</v>
      </c>
    </row>
    <row r="17" spans="2:32" ht="23.1" customHeight="1" x14ac:dyDescent="0.25">
      <c r="B17" s="45" t="s">
        <v>44</v>
      </c>
      <c r="C17" s="50">
        <v>2</v>
      </c>
      <c r="D17" s="50">
        <v>0</v>
      </c>
      <c r="E17" s="50">
        <v>0</v>
      </c>
      <c r="F17" s="50">
        <v>2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1</v>
      </c>
      <c r="N17" s="50">
        <v>0</v>
      </c>
      <c r="O17" s="15">
        <f t="shared" si="0"/>
        <v>4</v>
      </c>
      <c r="P17" s="15">
        <f t="shared" si="1"/>
        <v>5</v>
      </c>
      <c r="R17" s="1" t="s">
        <v>13</v>
      </c>
      <c r="S17" s="17">
        <f t="shared" ref="S17:AF17" si="9">SUM(C38:C41)</f>
        <v>13</v>
      </c>
      <c r="T17" s="17">
        <f t="shared" si="9"/>
        <v>0</v>
      </c>
      <c r="U17" s="17">
        <f t="shared" si="9"/>
        <v>9</v>
      </c>
      <c r="V17" s="17">
        <f t="shared" si="9"/>
        <v>8</v>
      </c>
      <c r="W17" s="17">
        <f t="shared" si="9"/>
        <v>0</v>
      </c>
      <c r="X17" s="17">
        <f t="shared" si="9"/>
        <v>1</v>
      </c>
      <c r="Y17" s="17">
        <f t="shared" si="9"/>
        <v>4</v>
      </c>
      <c r="Z17" s="17">
        <f t="shared" si="9"/>
        <v>4</v>
      </c>
      <c r="AA17" s="17">
        <f t="shared" si="9"/>
        <v>0</v>
      </c>
      <c r="AB17" s="17">
        <f t="shared" si="9"/>
        <v>4</v>
      </c>
      <c r="AC17" s="17">
        <f t="shared" si="9"/>
        <v>15</v>
      </c>
      <c r="AD17" s="17">
        <f t="shared" si="9"/>
        <v>1</v>
      </c>
      <c r="AE17" s="31">
        <f t="shared" si="9"/>
        <v>44</v>
      </c>
      <c r="AF17" s="31">
        <f t="shared" si="9"/>
        <v>59</v>
      </c>
    </row>
    <row r="18" spans="2:32" ht="23.1" customHeight="1" x14ac:dyDescent="0.25">
      <c r="B18" s="45" t="s">
        <v>45</v>
      </c>
      <c r="C18" s="50">
        <v>6</v>
      </c>
      <c r="D18" s="50">
        <v>0</v>
      </c>
      <c r="E18" s="50">
        <v>4</v>
      </c>
      <c r="F18" s="50">
        <v>1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0</v>
      </c>
      <c r="M18" s="50">
        <v>4</v>
      </c>
      <c r="N18" s="50">
        <v>0</v>
      </c>
      <c r="O18" s="15">
        <f t="shared" si="0"/>
        <v>12</v>
      </c>
      <c r="P18" s="15">
        <f t="shared" si="1"/>
        <v>16</v>
      </c>
      <c r="R18" s="1" t="s">
        <v>14</v>
      </c>
      <c r="S18" s="17">
        <f t="shared" ref="S18:AF18" si="10">SUM(C42:C45)</f>
        <v>18</v>
      </c>
      <c r="T18" s="17">
        <f t="shared" si="10"/>
        <v>0</v>
      </c>
      <c r="U18" s="17">
        <f t="shared" si="10"/>
        <v>6</v>
      </c>
      <c r="V18" s="17">
        <f t="shared" si="10"/>
        <v>13</v>
      </c>
      <c r="W18" s="17">
        <f t="shared" si="10"/>
        <v>0</v>
      </c>
      <c r="X18" s="17">
        <f t="shared" si="10"/>
        <v>1</v>
      </c>
      <c r="Y18" s="17">
        <f t="shared" si="10"/>
        <v>3</v>
      </c>
      <c r="Z18" s="17">
        <f t="shared" si="10"/>
        <v>0</v>
      </c>
      <c r="AA18" s="17">
        <f t="shared" si="10"/>
        <v>0</v>
      </c>
      <c r="AB18" s="17">
        <f t="shared" si="10"/>
        <v>5</v>
      </c>
      <c r="AC18" s="17">
        <f t="shared" si="10"/>
        <v>15</v>
      </c>
      <c r="AD18" s="17">
        <f t="shared" si="10"/>
        <v>0</v>
      </c>
      <c r="AE18" s="31">
        <f t="shared" si="10"/>
        <v>46</v>
      </c>
      <c r="AF18" s="31">
        <f t="shared" si="10"/>
        <v>61</v>
      </c>
    </row>
    <row r="19" spans="2:32" ht="23.1" customHeight="1" x14ac:dyDescent="0.25">
      <c r="B19" s="45" t="s">
        <v>46</v>
      </c>
      <c r="C19" s="50">
        <v>4</v>
      </c>
      <c r="D19" s="50">
        <v>0</v>
      </c>
      <c r="E19" s="50">
        <v>0</v>
      </c>
      <c r="F19" s="50">
        <v>0</v>
      </c>
      <c r="G19" s="50">
        <v>0</v>
      </c>
      <c r="H19" s="50">
        <v>1</v>
      </c>
      <c r="I19" s="50">
        <v>0</v>
      </c>
      <c r="J19" s="50">
        <v>0</v>
      </c>
      <c r="K19" s="50">
        <v>0</v>
      </c>
      <c r="L19" s="50">
        <v>0</v>
      </c>
      <c r="M19" s="50">
        <v>5</v>
      </c>
      <c r="N19" s="50">
        <v>0</v>
      </c>
      <c r="O19" s="15">
        <f t="shared" si="0"/>
        <v>5</v>
      </c>
      <c r="P19" s="15">
        <f t="shared" si="1"/>
        <v>10</v>
      </c>
      <c r="R19" s="1" t="s">
        <v>15</v>
      </c>
      <c r="S19" s="17">
        <f t="shared" ref="S19:AF19" si="11">SUM(C46:C49)</f>
        <v>19</v>
      </c>
      <c r="T19" s="17">
        <f t="shared" si="11"/>
        <v>0</v>
      </c>
      <c r="U19" s="17">
        <f t="shared" si="11"/>
        <v>5</v>
      </c>
      <c r="V19" s="17">
        <f t="shared" si="11"/>
        <v>12</v>
      </c>
      <c r="W19" s="17">
        <f t="shared" si="11"/>
        <v>0</v>
      </c>
      <c r="X19" s="17">
        <f t="shared" si="11"/>
        <v>1</v>
      </c>
      <c r="Y19" s="17">
        <f t="shared" si="11"/>
        <v>11</v>
      </c>
      <c r="Z19" s="17">
        <f t="shared" si="11"/>
        <v>0</v>
      </c>
      <c r="AA19" s="17">
        <f t="shared" si="11"/>
        <v>1</v>
      </c>
      <c r="AB19" s="17">
        <f t="shared" si="11"/>
        <v>2</v>
      </c>
      <c r="AC19" s="17">
        <f t="shared" si="11"/>
        <v>11</v>
      </c>
      <c r="AD19" s="17">
        <f t="shared" si="11"/>
        <v>0</v>
      </c>
      <c r="AE19" s="31">
        <f t="shared" si="11"/>
        <v>51</v>
      </c>
      <c r="AF19" s="31">
        <f t="shared" si="11"/>
        <v>62</v>
      </c>
    </row>
    <row r="20" spans="2:32" ht="23.1" customHeight="1" x14ac:dyDescent="0.25">
      <c r="B20" s="45" t="s">
        <v>47</v>
      </c>
      <c r="C20" s="50">
        <v>4</v>
      </c>
      <c r="D20" s="50">
        <v>0</v>
      </c>
      <c r="E20" s="50">
        <v>1</v>
      </c>
      <c r="F20" s="50">
        <v>1</v>
      </c>
      <c r="G20" s="50">
        <v>1</v>
      </c>
      <c r="H20" s="50">
        <v>1</v>
      </c>
      <c r="I20" s="50">
        <v>0</v>
      </c>
      <c r="J20" s="50">
        <v>0</v>
      </c>
      <c r="K20" s="50">
        <v>0</v>
      </c>
      <c r="L20" s="50">
        <v>0</v>
      </c>
      <c r="M20" s="50">
        <v>3</v>
      </c>
      <c r="N20" s="50">
        <v>0</v>
      </c>
      <c r="O20" s="15">
        <f t="shared" si="0"/>
        <v>8</v>
      </c>
      <c r="P20" s="15">
        <f t="shared" si="1"/>
        <v>11</v>
      </c>
      <c r="R20" s="1" t="s">
        <v>16</v>
      </c>
      <c r="S20" s="17">
        <f t="shared" ref="S20:AF20" si="12">SUM(C50:C53)</f>
        <v>15</v>
      </c>
      <c r="T20" s="17">
        <f t="shared" si="12"/>
        <v>0</v>
      </c>
      <c r="U20" s="17">
        <f t="shared" si="12"/>
        <v>9</v>
      </c>
      <c r="V20" s="17">
        <f t="shared" si="12"/>
        <v>16</v>
      </c>
      <c r="W20" s="17">
        <f t="shared" si="12"/>
        <v>0</v>
      </c>
      <c r="X20" s="17">
        <f t="shared" si="12"/>
        <v>2</v>
      </c>
      <c r="Y20" s="17">
        <f t="shared" si="12"/>
        <v>8</v>
      </c>
      <c r="Z20" s="17">
        <f t="shared" si="12"/>
        <v>1</v>
      </c>
      <c r="AA20" s="17">
        <f t="shared" si="12"/>
        <v>1</v>
      </c>
      <c r="AB20" s="17">
        <f t="shared" si="12"/>
        <v>5</v>
      </c>
      <c r="AC20" s="17">
        <f t="shared" si="12"/>
        <v>12</v>
      </c>
      <c r="AD20" s="17">
        <f t="shared" si="12"/>
        <v>0</v>
      </c>
      <c r="AE20" s="31">
        <f t="shared" si="12"/>
        <v>57</v>
      </c>
      <c r="AF20" s="31">
        <f t="shared" si="12"/>
        <v>69</v>
      </c>
    </row>
    <row r="21" spans="2:32" ht="23.1" customHeight="1" x14ac:dyDescent="0.25">
      <c r="B21" s="45" t="s">
        <v>48</v>
      </c>
      <c r="C21" s="50">
        <v>3</v>
      </c>
      <c r="D21" s="50">
        <v>0</v>
      </c>
      <c r="E21" s="50">
        <v>1</v>
      </c>
      <c r="F21" s="50">
        <v>1</v>
      </c>
      <c r="G21" s="50">
        <v>0</v>
      </c>
      <c r="H21" s="50">
        <v>1</v>
      </c>
      <c r="I21" s="50">
        <v>2</v>
      </c>
      <c r="J21" s="50">
        <v>0</v>
      </c>
      <c r="K21" s="50">
        <v>0</v>
      </c>
      <c r="L21" s="50">
        <v>0</v>
      </c>
      <c r="M21" s="50">
        <v>0</v>
      </c>
      <c r="N21" s="50">
        <v>0</v>
      </c>
      <c r="O21" s="15">
        <f t="shared" si="0"/>
        <v>8</v>
      </c>
      <c r="P21" s="15">
        <f t="shared" si="1"/>
        <v>8</v>
      </c>
      <c r="R21" s="36" t="s">
        <v>20</v>
      </c>
      <c r="S21" s="34">
        <f t="shared" ref="S21:AF21" si="13">SUM(C54:C57)</f>
        <v>11</v>
      </c>
      <c r="T21" s="17">
        <f t="shared" si="13"/>
        <v>0</v>
      </c>
      <c r="U21" s="17">
        <f t="shared" si="13"/>
        <v>8</v>
      </c>
      <c r="V21" s="17">
        <f t="shared" si="13"/>
        <v>11</v>
      </c>
      <c r="W21" s="17">
        <f t="shared" si="13"/>
        <v>2</v>
      </c>
      <c r="X21" s="17">
        <f t="shared" si="13"/>
        <v>0</v>
      </c>
      <c r="Y21" s="17">
        <f t="shared" si="13"/>
        <v>5</v>
      </c>
      <c r="Z21" s="17">
        <f t="shared" si="13"/>
        <v>2</v>
      </c>
      <c r="AA21" s="17">
        <f t="shared" si="13"/>
        <v>0</v>
      </c>
      <c r="AB21" s="17">
        <f t="shared" si="13"/>
        <v>7</v>
      </c>
      <c r="AC21" s="17">
        <f t="shared" si="13"/>
        <v>9</v>
      </c>
      <c r="AD21" s="17">
        <f t="shared" si="13"/>
        <v>3</v>
      </c>
      <c r="AE21" s="31">
        <f t="shared" si="13"/>
        <v>49</v>
      </c>
      <c r="AF21" s="31">
        <f t="shared" si="13"/>
        <v>58</v>
      </c>
    </row>
    <row r="22" spans="2:32" ht="23.1" customHeight="1" x14ac:dyDescent="0.25">
      <c r="B22" s="45" t="s">
        <v>49</v>
      </c>
      <c r="C22" s="50">
        <v>5</v>
      </c>
      <c r="D22" s="50">
        <v>0</v>
      </c>
      <c r="E22" s="50">
        <v>2</v>
      </c>
      <c r="F22" s="50">
        <v>3</v>
      </c>
      <c r="G22" s="50">
        <v>0</v>
      </c>
      <c r="H22" s="50">
        <v>0</v>
      </c>
      <c r="I22" s="50">
        <v>2</v>
      </c>
      <c r="J22" s="50">
        <v>0</v>
      </c>
      <c r="K22" s="50">
        <v>0</v>
      </c>
      <c r="L22" s="50">
        <v>0</v>
      </c>
      <c r="M22" s="50">
        <v>3</v>
      </c>
      <c r="N22" s="50">
        <v>0</v>
      </c>
      <c r="O22" s="15">
        <f t="shared" si="0"/>
        <v>12</v>
      </c>
      <c r="P22" s="15">
        <f t="shared" si="1"/>
        <v>15</v>
      </c>
      <c r="R22" s="36" t="s">
        <v>146</v>
      </c>
      <c r="S22" s="34">
        <f>SUM(C58:C61)</f>
        <v>17</v>
      </c>
      <c r="T22" s="34">
        <f t="shared" ref="T22:AF22" si="14">SUM(D58:D61)</f>
        <v>0</v>
      </c>
      <c r="U22" s="34">
        <f t="shared" si="14"/>
        <v>8</v>
      </c>
      <c r="V22" s="34">
        <f t="shared" si="14"/>
        <v>15</v>
      </c>
      <c r="W22" s="34">
        <f t="shared" si="14"/>
        <v>0</v>
      </c>
      <c r="X22" s="34">
        <f t="shared" si="14"/>
        <v>0</v>
      </c>
      <c r="Y22" s="34">
        <f t="shared" si="14"/>
        <v>3</v>
      </c>
      <c r="Z22" s="34">
        <f t="shared" si="14"/>
        <v>0</v>
      </c>
      <c r="AA22" s="34">
        <f t="shared" si="14"/>
        <v>0</v>
      </c>
      <c r="AB22" s="34">
        <f t="shared" si="14"/>
        <v>5</v>
      </c>
      <c r="AC22" s="34">
        <f t="shared" si="14"/>
        <v>15</v>
      </c>
      <c r="AD22" s="34">
        <f t="shared" si="14"/>
        <v>0</v>
      </c>
      <c r="AE22" s="31">
        <f t="shared" si="14"/>
        <v>48</v>
      </c>
      <c r="AF22" s="31">
        <f t="shared" si="14"/>
        <v>63</v>
      </c>
    </row>
    <row r="23" spans="2:32" ht="23.1" customHeight="1" x14ac:dyDescent="0.25">
      <c r="B23" s="45" t="s">
        <v>50</v>
      </c>
      <c r="C23" s="50">
        <v>4</v>
      </c>
      <c r="D23" s="50">
        <v>0</v>
      </c>
      <c r="E23" s="50">
        <v>1</v>
      </c>
      <c r="F23" s="50">
        <v>3</v>
      </c>
      <c r="G23" s="50">
        <v>0</v>
      </c>
      <c r="H23" s="50">
        <v>0</v>
      </c>
      <c r="I23" s="50">
        <v>1</v>
      </c>
      <c r="J23" s="50">
        <v>0</v>
      </c>
      <c r="K23" s="50">
        <v>0</v>
      </c>
      <c r="L23" s="50">
        <v>0</v>
      </c>
      <c r="M23" s="50">
        <v>2</v>
      </c>
      <c r="N23" s="50">
        <v>0</v>
      </c>
      <c r="O23" s="15">
        <f t="shared" si="0"/>
        <v>9</v>
      </c>
      <c r="P23" s="15">
        <f t="shared" si="1"/>
        <v>11</v>
      </c>
      <c r="R23" s="36" t="s">
        <v>147</v>
      </c>
      <c r="S23" s="34">
        <f>SUM(C62:C65)</f>
        <v>15</v>
      </c>
      <c r="T23" s="34">
        <f t="shared" ref="T23:AF23" si="15">SUM(D62:D65)</f>
        <v>0</v>
      </c>
      <c r="U23" s="34">
        <f t="shared" si="15"/>
        <v>3</v>
      </c>
      <c r="V23" s="34">
        <f t="shared" si="15"/>
        <v>12</v>
      </c>
      <c r="W23" s="34">
        <f t="shared" si="15"/>
        <v>0</v>
      </c>
      <c r="X23" s="34">
        <f t="shared" si="15"/>
        <v>1</v>
      </c>
      <c r="Y23" s="34">
        <f t="shared" si="15"/>
        <v>0</v>
      </c>
      <c r="Z23" s="34">
        <f t="shared" si="15"/>
        <v>0</v>
      </c>
      <c r="AA23" s="34">
        <f t="shared" si="15"/>
        <v>0</v>
      </c>
      <c r="AB23" s="34">
        <f t="shared" si="15"/>
        <v>5</v>
      </c>
      <c r="AC23" s="34">
        <f t="shared" si="15"/>
        <v>4</v>
      </c>
      <c r="AD23" s="34">
        <f t="shared" si="15"/>
        <v>0</v>
      </c>
      <c r="AE23" s="31">
        <f t="shared" si="15"/>
        <v>36</v>
      </c>
      <c r="AF23" s="31">
        <f t="shared" si="15"/>
        <v>40</v>
      </c>
    </row>
    <row r="24" spans="2:32" ht="23.1" customHeight="1" x14ac:dyDescent="0.25">
      <c r="B24" s="45" t="s">
        <v>51</v>
      </c>
      <c r="C24" s="50">
        <v>3</v>
      </c>
      <c r="D24" s="50">
        <v>0</v>
      </c>
      <c r="E24" s="50">
        <v>2</v>
      </c>
      <c r="F24" s="50">
        <v>1</v>
      </c>
      <c r="G24" s="50">
        <v>1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4</v>
      </c>
      <c r="N24" s="50">
        <v>0</v>
      </c>
      <c r="O24" s="15">
        <f t="shared" si="0"/>
        <v>7</v>
      </c>
      <c r="P24" s="15">
        <f t="shared" si="1"/>
        <v>11</v>
      </c>
      <c r="R24" s="36" t="s">
        <v>148</v>
      </c>
      <c r="S24" s="34">
        <f>SUM(C66:C69)</f>
        <v>6</v>
      </c>
      <c r="T24" s="34">
        <f t="shared" ref="T24:AF24" si="16">SUM(D66:D69)</f>
        <v>0</v>
      </c>
      <c r="U24" s="34">
        <f t="shared" si="16"/>
        <v>4</v>
      </c>
      <c r="V24" s="34">
        <f t="shared" si="16"/>
        <v>14</v>
      </c>
      <c r="W24" s="34">
        <f t="shared" si="16"/>
        <v>0</v>
      </c>
      <c r="X24" s="34">
        <f t="shared" si="16"/>
        <v>0</v>
      </c>
      <c r="Y24" s="34">
        <f t="shared" si="16"/>
        <v>4</v>
      </c>
      <c r="Z24" s="34">
        <f t="shared" si="16"/>
        <v>0</v>
      </c>
      <c r="AA24" s="34">
        <f t="shared" si="16"/>
        <v>0</v>
      </c>
      <c r="AB24" s="34">
        <f t="shared" si="16"/>
        <v>1</v>
      </c>
      <c r="AC24" s="34">
        <f t="shared" si="16"/>
        <v>5</v>
      </c>
      <c r="AD24" s="34">
        <f t="shared" si="16"/>
        <v>0</v>
      </c>
      <c r="AE24" s="31">
        <f t="shared" si="16"/>
        <v>29</v>
      </c>
      <c r="AF24" s="31">
        <f t="shared" si="16"/>
        <v>34</v>
      </c>
    </row>
    <row r="25" spans="2:32" ht="23.1" customHeight="1" x14ac:dyDescent="0.25">
      <c r="B25" s="45" t="s">
        <v>52</v>
      </c>
      <c r="C25" s="50">
        <v>1</v>
      </c>
      <c r="D25" s="50">
        <v>0</v>
      </c>
      <c r="E25" s="50">
        <v>1</v>
      </c>
      <c r="F25" s="50">
        <v>1</v>
      </c>
      <c r="G25" s="50">
        <v>0</v>
      </c>
      <c r="H25" s="50">
        <v>1</v>
      </c>
      <c r="I25" s="50">
        <v>0</v>
      </c>
      <c r="J25" s="50">
        <v>0</v>
      </c>
      <c r="K25" s="50">
        <v>0</v>
      </c>
      <c r="L25" s="50">
        <v>0</v>
      </c>
      <c r="M25" s="50">
        <v>2</v>
      </c>
      <c r="N25" s="50">
        <v>0</v>
      </c>
      <c r="O25" s="15">
        <f t="shared" si="0"/>
        <v>4</v>
      </c>
      <c r="P25" s="15">
        <f t="shared" si="1"/>
        <v>6</v>
      </c>
      <c r="R25" s="36" t="s">
        <v>149</v>
      </c>
      <c r="S25" s="34">
        <f>SUM(C70:C73)</f>
        <v>7</v>
      </c>
      <c r="T25" s="34">
        <f t="shared" ref="T25:AF25" si="17">SUM(D70:D73)</f>
        <v>0</v>
      </c>
      <c r="U25" s="34">
        <f t="shared" si="17"/>
        <v>0</v>
      </c>
      <c r="V25" s="34">
        <f t="shared" si="17"/>
        <v>8</v>
      </c>
      <c r="W25" s="34">
        <f t="shared" si="17"/>
        <v>0</v>
      </c>
      <c r="X25" s="34">
        <f t="shared" si="17"/>
        <v>0</v>
      </c>
      <c r="Y25" s="34">
        <f t="shared" si="17"/>
        <v>2</v>
      </c>
      <c r="Z25" s="34">
        <f t="shared" si="17"/>
        <v>0</v>
      </c>
      <c r="AA25" s="34">
        <f t="shared" si="17"/>
        <v>0</v>
      </c>
      <c r="AB25" s="34">
        <f t="shared" si="17"/>
        <v>4</v>
      </c>
      <c r="AC25" s="34">
        <f t="shared" si="17"/>
        <v>2</v>
      </c>
      <c r="AD25" s="34">
        <f t="shared" si="17"/>
        <v>0</v>
      </c>
      <c r="AE25" s="31">
        <f t="shared" si="17"/>
        <v>21</v>
      </c>
      <c r="AF25" s="31">
        <f t="shared" si="17"/>
        <v>23</v>
      </c>
    </row>
    <row r="26" spans="2:32" ht="23.1" customHeight="1" x14ac:dyDescent="0.25">
      <c r="B26" s="45" t="s">
        <v>53</v>
      </c>
      <c r="C26" s="50">
        <v>4</v>
      </c>
      <c r="D26" s="50">
        <v>0</v>
      </c>
      <c r="E26" s="50">
        <v>1</v>
      </c>
      <c r="F26" s="50">
        <v>2</v>
      </c>
      <c r="G26" s="50">
        <v>0</v>
      </c>
      <c r="H26" s="50">
        <v>0</v>
      </c>
      <c r="I26" s="50">
        <v>3</v>
      </c>
      <c r="J26" s="50">
        <v>0</v>
      </c>
      <c r="K26" s="50">
        <v>0</v>
      </c>
      <c r="L26" s="50">
        <v>1</v>
      </c>
      <c r="M26" s="50">
        <v>0</v>
      </c>
      <c r="N26" s="50">
        <v>0</v>
      </c>
      <c r="O26" s="15">
        <f t="shared" si="0"/>
        <v>11</v>
      </c>
      <c r="P26" s="15">
        <f t="shared" si="1"/>
        <v>11</v>
      </c>
      <c r="R26" s="36" t="s">
        <v>150</v>
      </c>
      <c r="S26" s="34">
        <f>SUM(C74:C77)</f>
        <v>4</v>
      </c>
      <c r="T26" s="34">
        <f t="shared" ref="T26:AF26" si="18">SUM(D74:D77)</f>
        <v>0</v>
      </c>
      <c r="U26" s="34">
        <f t="shared" si="18"/>
        <v>1</v>
      </c>
      <c r="V26" s="34">
        <f t="shared" si="18"/>
        <v>8</v>
      </c>
      <c r="W26" s="34">
        <f t="shared" si="18"/>
        <v>0</v>
      </c>
      <c r="X26" s="34">
        <f t="shared" si="18"/>
        <v>6</v>
      </c>
      <c r="Y26" s="34">
        <f t="shared" si="18"/>
        <v>0</v>
      </c>
      <c r="Z26" s="34">
        <f t="shared" si="18"/>
        <v>0</v>
      </c>
      <c r="AA26" s="34">
        <f t="shared" si="18"/>
        <v>0</v>
      </c>
      <c r="AB26" s="34">
        <f t="shared" si="18"/>
        <v>4</v>
      </c>
      <c r="AC26" s="34">
        <f t="shared" si="18"/>
        <v>2</v>
      </c>
      <c r="AD26" s="34">
        <f t="shared" si="18"/>
        <v>0</v>
      </c>
      <c r="AE26" s="31">
        <f t="shared" si="18"/>
        <v>23</v>
      </c>
      <c r="AF26" s="31">
        <f t="shared" si="18"/>
        <v>25</v>
      </c>
    </row>
    <row r="27" spans="2:32" ht="23.1" customHeight="1" x14ac:dyDescent="0.25">
      <c r="B27" s="45" t="s">
        <v>54</v>
      </c>
      <c r="C27" s="50">
        <v>7</v>
      </c>
      <c r="D27" s="50">
        <v>0</v>
      </c>
      <c r="E27" s="50">
        <v>0</v>
      </c>
      <c r="F27" s="50">
        <v>1</v>
      </c>
      <c r="G27" s="50">
        <v>0</v>
      </c>
      <c r="H27" s="50">
        <v>0</v>
      </c>
      <c r="I27" s="50">
        <v>3</v>
      </c>
      <c r="J27" s="50">
        <v>0</v>
      </c>
      <c r="K27" s="50">
        <v>0</v>
      </c>
      <c r="L27" s="50">
        <v>1</v>
      </c>
      <c r="M27" s="50">
        <v>1</v>
      </c>
      <c r="N27" s="50">
        <v>0</v>
      </c>
      <c r="O27" s="15">
        <f t="shared" si="0"/>
        <v>12</v>
      </c>
      <c r="P27" s="15">
        <f t="shared" si="1"/>
        <v>13</v>
      </c>
      <c r="R27" s="36" t="s">
        <v>151</v>
      </c>
      <c r="S27" s="34">
        <f>SUM(C78:C81)</f>
        <v>8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5</v>
      </c>
      <c r="W27" s="34">
        <f t="shared" si="19"/>
        <v>0</v>
      </c>
      <c r="X27" s="34">
        <f t="shared" si="19"/>
        <v>1</v>
      </c>
      <c r="Y27" s="34">
        <f t="shared" si="19"/>
        <v>3</v>
      </c>
      <c r="Z27" s="34">
        <f t="shared" si="19"/>
        <v>0</v>
      </c>
      <c r="AA27" s="34">
        <f t="shared" si="19"/>
        <v>0</v>
      </c>
      <c r="AB27" s="34">
        <f t="shared" si="19"/>
        <v>2</v>
      </c>
      <c r="AC27" s="34">
        <f t="shared" si="19"/>
        <v>4</v>
      </c>
      <c r="AD27" s="34">
        <f t="shared" si="19"/>
        <v>0</v>
      </c>
      <c r="AE27" s="31">
        <f t="shared" si="19"/>
        <v>19</v>
      </c>
      <c r="AF27" s="31">
        <f t="shared" si="19"/>
        <v>23</v>
      </c>
    </row>
    <row r="28" spans="2:32" ht="23.1" customHeight="1" x14ac:dyDescent="0.25">
      <c r="B28" s="45" t="s">
        <v>55</v>
      </c>
      <c r="C28" s="50">
        <v>5</v>
      </c>
      <c r="D28" s="50">
        <v>0</v>
      </c>
      <c r="E28" s="50">
        <v>2</v>
      </c>
      <c r="F28" s="50">
        <v>4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0</v>
      </c>
      <c r="M28" s="50">
        <v>1</v>
      </c>
      <c r="N28" s="50">
        <v>0</v>
      </c>
      <c r="O28" s="15">
        <f t="shared" si="0"/>
        <v>12</v>
      </c>
      <c r="P28" s="15">
        <f t="shared" si="1"/>
        <v>13</v>
      </c>
      <c r="R28" s="36" t="s">
        <v>152</v>
      </c>
      <c r="S28" s="34">
        <f>SUM(C82:C85)</f>
        <v>5</v>
      </c>
      <c r="T28" s="34">
        <f t="shared" ref="T28:AF28" si="20">SUM(D82:D85)</f>
        <v>0</v>
      </c>
      <c r="U28" s="34">
        <f t="shared" si="20"/>
        <v>1</v>
      </c>
      <c r="V28" s="34">
        <f t="shared" si="20"/>
        <v>6</v>
      </c>
      <c r="W28" s="34">
        <f t="shared" si="20"/>
        <v>0</v>
      </c>
      <c r="X28" s="34">
        <f t="shared" si="20"/>
        <v>0</v>
      </c>
      <c r="Y28" s="34">
        <f t="shared" si="20"/>
        <v>2</v>
      </c>
      <c r="Z28" s="34">
        <f t="shared" si="20"/>
        <v>0</v>
      </c>
      <c r="AA28" s="34">
        <f t="shared" si="20"/>
        <v>0</v>
      </c>
      <c r="AB28" s="34">
        <f t="shared" si="20"/>
        <v>1</v>
      </c>
      <c r="AC28" s="34">
        <f t="shared" si="20"/>
        <v>1</v>
      </c>
      <c r="AD28" s="34">
        <f t="shared" si="20"/>
        <v>0</v>
      </c>
      <c r="AE28" s="31">
        <f t="shared" si="20"/>
        <v>15</v>
      </c>
      <c r="AF28" s="31">
        <f t="shared" si="20"/>
        <v>16</v>
      </c>
    </row>
    <row r="29" spans="2:32" ht="23.1" customHeight="1" x14ac:dyDescent="0.25">
      <c r="B29" s="45" t="s">
        <v>56</v>
      </c>
      <c r="C29" s="50">
        <v>4</v>
      </c>
      <c r="D29" s="50">
        <v>0</v>
      </c>
      <c r="E29" s="50">
        <v>1</v>
      </c>
      <c r="F29" s="50">
        <v>1</v>
      </c>
      <c r="G29" s="50">
        <v>0</v>
      </c>
      <c r="H29" s="50">
        <v>0</v>
      </c>
      <c r="I29" s="50">
        <v>1</v>
      </c>
      <c r="J29" s="50">
        <v>0</v>
      </c>
      <c r="K29" s="50">
        <v>0</v>
      </c>
      <c r="L29" s="50">
        <v>1</v>
      </c>
      <c r="M29" s="50">
        <v>0</v>
      </c>
      <c r="N29" s="50">
        <v>0</v>
      </c>
      <c r="O29" s="15">
        <f t="shared" si="0"/>
        <v>8</v>
      </c>
      <c r="P29" s="15">
        <f t="shared" si="1"/>
        <v>8</v>
      </c>
      <c r="R29" s="36" t="s">
        <v>153</v>
      </c>
      <c r="S29" s="34">
        <f>SUM(C86:C89)</f>
        <v>4</v>
      </c>
      <c r="T29" s="34">
        <f t="shared" ref="T29:AF29" si="21">SUM(D86:D89)</f>
        <v>0</v>
      </c>
      <c r="U29" s="34">
        <f t="shared" si="21"/>
        <v>1</v>
      </c>
      <c r="V29" s="34">
        <f t="shared" si="21"/>
        <v>8</v>
      </c>
      <c r="W29" s="34">
        <f t="shared" si="21"/>
        <v>0</v>
      </c>
      <c r="X29" s="34">
        <f t="shared" si="21"/>
        <v>0</v>
      </c>
      <c r="Y29" s="34">
        <f t="shared" si="21"/>
        <v>1</v>
      </c>
      <c r="Z29" s="34">
        <f t="shared" si="21"/>
        <v>0</v>
      </c>
      <c r="AA29" s="34">
        <f t="shared" si="21"/>
        <v>0</v>
      </c>
      <c r="AB29" s="34">
        <f t="shared" si="21"/>
        <v>2</v>
      </c>
      <c r="AC29" s="34">
        <f t="shared" si="21"/>
        <v>0</v>
      </c>
      <c r="AD29" s="34">
        <f t="shared" si="21"/>
        <v>0</v>
      </c>
      <c r="AE29" s="31">
        <f t="shared" si="21"/>
        <v>16</v>
      </c>
      <c r="AF29" s="31">
        <f t="shared" si="21"/>
        <v>16</v>
      </c>
    </row>
    <row r="30" spans="2:32" ht="23.1" customHeight="1" x14ac:dyDescent="0.25">
      <c r="B30" s="45" t="s">
        <v>57</v>
      </c>
      <c r="C30" s="50">
        <v>5</v>
      </c>
      <c r="D30" s="50">
        <v>0</v>
      </c>
      <c r="E30" s="50">
        <v>2</v>
      </c>
      <c r="F30" s="50">
        <v>3</v>
      </c>
      <c r="G30" s="50">
        <v>0</v>
      </c>
      <c r="H30" s="50">
        <v>0</v>
      </c>
      <c r="I30" s="50">
        <v>1</v>
      </c>
      <c r="J30" s="50">
        <v>1</v>
      </c>
      <c r="K30" s="50">
        <v>0</v>
      </c>
      <c r="L30" s="50">
        <v>0</v>
      </c>
      <c r="M30" s="50">
        <v>2</v>
      </c>
      <c r="N30" s="50">
        <v>0</v>
      </c>
      <c r="O30" s="15">
        <f t="shared" si="0"/>
        <v>12</v>
      </c>
      <c r="P30" s="15">
        <f t="shared" si="1"/>
        <v>14</v>
      </c>
      <c r="R30" s="36" t="s">
        <v>154</v>
      </c>
      <c r="S30" s="34">
        <f>SUM(C90:C93)</f>
        <v>7</v>
      </c>
      <c r="T30" s="34">
        <f t="shared" ref="T30:AF30" si="22">SUM(D90:D93)</f>
        <v>0</v>
      </c>
      <c r="U30" s="34">
        <f t="shared" si="22"/>
        <v>6</v>
      </c>
      <c r="V30" s="34">
        <f t="shared" si="22"/>
        <v>10</v>
      </c>
      <c r="W30" s="34">
        <f t="shared" si="22"/>
        <v>0</v>
      </c>
      <c r="X30" s="34">
        <f t="shared" si="22"/>
        <v>1</v>
      </c>
      <c r="Y30" s="34">
        <f t="shared" si="22"/>
        <v>2</v>
      </c>
      <c r="Z30" s="34">
        <f t="shared" si="22"/>
        <v>0</v>
      </c>
      <c r="AA30" s="34">
        <f t="shared" si="22"/>
        <v>0</v>
      </c>
      <c r="AB30" s="34">
        <f t="shared" si="22"/>
        <v>4</v>
      </c>
      <c r="AC30" s="34">
        <f t="shared" si="22"/>
        <v>6</v>
      </c>
      <c r="AD30" s="34">
        <f t="shared" si="22"/>
        <v>0</v>
      </c>
      <c r="AE30" s="31">
        <f t="shared" si="22"/>
        <v>30</v>
      </c>
      <c r="AF30" s="31">
        <f t="shared" si="22"/>
        <v>36</v>
      </c>
    </row>
    <row r="31" spans="2:32" ht="23.1" customHeight="1" x14ac:dyDescent="0.25">
      <c r="B31" s="46" t="s">
        <v>58</v>
      </c>
      <c r="C31" s="50">
        <v>5</v>
      </c>
      <c r="D31" s="50">
        <v>0</v>
      </c>
      <c r="E31" s="50">
        <v>2</v>
      </c>
      <c r="F31" s="50">
        <v>3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1</v>
      </c>
      <c r="N31" s="50">
        <v>0</v>
      </c>
      <c r="O31" s="15">
        <f t="shared" si="0"/>
        <v>10</v>
      </c>
      <c r="P31" s="15">
        <f t="shared" si="1"/>
        <v>11</v>
      </c>
      <c r="R31" s="36" t="s">
        <v>155</v>
      </c>
      <c r="S31" s="34">
        <f>SUM(C94:C97)</f>
        <v>9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4</v>
      </c>
      <c r="W31" s="34">
        <f t="shared" si="23"/>
        <v>0</v>
      </c>
      <c r="X31" s="34">
        <f t="shared" si="23"/>
        <v>2</v>
      </c>
      <c r="Y31" s="34">
        <f t="shared" si="23"/>
        <v>3</v>
      </c>
      <c r="Z31" s="34">
        <f t="shared" si="23"/>
        <v>0</v>
      </c>
      <c r="AA31" s="34">
        <f t="shared" si="23"/>
        <v>0</v>
      </c>
      <c r="AB31" s="34">
        <f t="shared" si="23"/>
        <v>2</v>
      </c>
      <c r="AC31" s="34">
        <f t="shared" si="23"/>
        <v>6</v>
      </c>
      <c r="AD31" s="34">
        <f t="shared" si="23"/>
        <v>0</v>
      </c>
      <c r="AE31" s="31">
        <f t="shared" si="23"/>
        <v>20</v>
      </c>
      <c r="AF31" s="31">
        <f t="shared" si="23"/>
        <v>26</v>
      </c>
    </row>
    <row r="32" spans="2:32" ht="23.1" customHeight="1" x14ac:dyDescent="0.25">
      <c r="B32" s="46" t="s">
        <v>59</v>
      </c>
      <c r="C32" s="50">
        <v>3</v>
      </c>
      <c r="D32" s="50">
        <v>0</v>
      </c>
      <c r="E32" s="50">
        <v>0</v>
      </c>
      <c r="F32" s="50">
        <v>2</v>
      </c>
      <c r="G32" s="50">
        <v>0</v>
      </c>
      <c r="H32" s="50">
        <v>1</v>
      </c>
      <c r="I32" s="50">
        <v>2</v>
      </c>
      <c r="J32" s="50">
        <v>0</v>
      </c>
      <c r="K32" s="50">
        <v>0</v>
      </c>
      <c r="L32" s="50">
        <v>0</v>
      </c>
      <c r="M32" s="50">
        <v>3</v>
      </c>
      <c r="N32" s="50">
        <v>0</v>
      </c>
      <c r="O32" s="15">
        <f t="shared" si="0"/>
        <v>8</v>
      </c>
      <c r="P32" s="15">
        <f t="shared" si="1"/>
        <v>11</v>
      </c>
      <c r="R32" s="33" t="s">
        <v>156</v>
      </c>
      <c r="S32" s="34">
        <f>SUM(C98:C101)</f>
        <v>6</v>
      </c>
      <c r="T32" s="34">
        <f t="shared" ref="T32:AF32" si="24">SUM(D98:D101)</f>
        <v>0</v>
      </c>
      <c r="U32" s="34">
        <f t="shared" si="24"/>
        <v>4</v>
      </c>
      <c r="V32" s="34">
        <f t="shared" si="24"/>
        <v>2</v>
      </c>
      <c r="W32" s="34">
        <f t="shared" si="24"/>
        <v>0</v>
      </c>
      <c r="X32" s="34">
        <f t="shared" si="24"/>
        <v>1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1</v>
      </c>
      <c r="AC32" s="34">
        <f t="shared" si="24"/>
        <v>5</v>
      </c>
      <c r="AD32" s="34">
        <f t="shared" si="24"/>
        <v>0</v>
      </c>
      <c r="AE32" s="31">
        <f t="shared" si="24"/>
        <v>14</v>
      </c>
      <c r="AF32" s="31">
        <f t="shared" si="24"/>
        <v>19</v>
      </c>
    </row>
    <row r="33" spans="2:32" ht="23.1" customHeight="1" x14ac:dyDescent="0.25">
      <c r="B33" s="45" t="s">
        <v>60</v>
      </c>
      <c r="C33" s="50">
        <v>3</v>
      </c>
      <c r="D33" s="50">
        <v>0</v>
      </c>
      <c r="E33" s="50">
        <v>3</v>
      </c>
      <c r="F33" s="50">
        <v>2</v>
      </c>
      <c r="G33" s="50">
        <v>0</v>
      </c>
      <c r="H33" s="50">
        <v>0</v>
      </c>
      <c r="I33" s="50">
        <v>1</v>
      </c>
      <c r="J33" s="50">
        <v>0</v>
      </c>
      <c r="K33" s="50">
        <v>0</v>
      </c>
      <c r="L33" s="50">
        <v>1</v>
      </c>
      <c r="M33" s="50">
        <v>2</v>
      </c>
      <c r="N33" s="50">
        <v>0</v>
      </c>
      <c r="O33" s="15">
        <f t="shared" si="0"/>
        <v>10</v>
      </c>
      <c r="P33" s="15">
        <f t="shared" si="1"/>
        <v>12</v>
      </c>
      <c r="R33" s="33" t="s">
        <v>157</v>
      </c>
      <c r="S33" s="34">
        <f>SUM(C102:C105)</f>
        <v>6</v>
      </c>
      <c r="T33" s="34">
        <f t="shared" ref="T33:AF33" si="25">SUM(D102:D105)</f>
        <v>0</v>
      </c>
      <c r="U33" s="34">
        <f t="shared" si="25"/>
        <v>3</v>
      </c>
      <c r="V33" s="34">
        <f t="shared" si="25"/>
        <v>7</v>
      </c>
      <c r="W33" s="34">
        <f t="shared" si="25"/>
        <v>0</v>
      </c>
      <c r="X33" s="34">
        <f t="shared" si="25"/>
        <v>3</v>
      </c>
      <c r="Y33" s="34">
        <f t="shared" si="25"/>
        <v>1</v>
      </c>
      <c r="Z33" s="34">
        <f t="shared" si="25"/>
        <v>0</v>
      </c>
      <c r="AA33" s="34">
        <f t="shared" si="25"/>
        <v>0</v>
      </c>
      <c r="AB33" s="34">
        <f t="shared" si="25"/>
        <v>4</v>
      </c>
      <c r="AC33" s="34">
        <f t="shared" si="25"/>
        <v>14</v>
      </c>
      <c r="AD33" s="34">
        <f t="shared" si="25"/>
        <v>0</v>
      </c>
      <c r="AE33" s="31">
        <f t="shared" si="25"/>
        <v>24</v>
      </c>
      <c r="AF33" s="31">
        <f t="shared" si="25"/>
        <v>38</v>
      </c>
    </row>
    <row r="34" spans="2:32" ht="23.1" customHeight="1" x14ac:dyDescent="0.25">
      <c r="B34" s="46" t="s">
        <v>61</v>
      </c>
      <c r="C34" s="50">
        <v>4</v>
      </c>
      <c r="D34" s="50">
        <v>0</v>
      </c>
      <c r="E34" s="50">
        <v>2</v>
      </c>
      <c r="F34" s="50">
        <v>2</v>
      </c>
      <c r="G34" s="50">
        <v>0</v>
      </c>
      <c r="H34" s="50">
        <v>0</v>
      </c>
      <c r="I34" s="50">
        <v>1</v>
      </c>
      <c r="J34" s="50">
        <v>0</v>
      </c>
      <c r="K34" s="50">
        <v>0</v>
      </c>
      <c r="L34" s="50">
        <v>0</v>
      </c>
      <c r="M34" s="50">
        <v>2</v>
      </c>
      <c r="N34" s="50">
        <v>0</v>
      </c>
      <c r="O34" s="15">
        <f t="shared" si="0"/>
        <v>9</v>
      </c>
      <c r="P34" s="15">
        <f t="shared" si="1"/>
        <v>11</v>
      </c>
      <c r="R34" s="38" t="s">
        <v>90</v>
      </c>
      <c r="S34" s="39">
        <f t="shared" ref="S34:AF34" si="26">MAX(S10:S12)</f>
        <v>23</v>
      </c>
      <c r="T34" s="39">
        <f t="shared" si="26"/>
        <v>0</v>
      </c>
      <c r="U34" s="39">
        <f t="shared" si="26"/>
        <v>6</v>
      </c>
      <c r="V34" s="39">
        <f t="shared" si="26"/>
        <v>8</v>
      </c>
      <c r="W34" s="39">
        <f t="shared" si="26"/>
        <v>1</v>
      </c>
      <c r="X34" s="39">
        <f t="shared" si="26"/>
        <v>3</v>
      </c>
      <c r="Y34" s="39">
        <f t="shared" si="26"/>
        <v>4</v>
      </c>
      <c r="Z34" s="39">
        <f t="shared" si="26"/>
        <v>0</v>
      </c>
      <c r="AA34" s="39">
        <f t="shared" si="26"/>
        <v>0</v>
      </c>
      <c r="AB34" s="39">
        <f t="shared" si="26"/>
        <v>3</v>
      </c>
      <c r="AC34" s="39">
        <f t="shared" si="26"/>
        <v>12</v>
      </c>
      <c r="AD34" s="39">
        <f t="shared" si="26"/>
        <v>0</v>
      </c>
      <c r="AE34" s="40">
        <f t="shared" si="26"/>
        <v>45</v>
      </c>
      <c r="AF34" s="40">
        <f t="shared" si="26"/>
        <v>51</v>
      </c>
    </row>
    <row r="35" spans="2:32" ht="23.1" customHeight="1" x14ac:dyDescent="0.25">
      <c r="B35" s="46" t="s">
        <v>62</v>
      </c>
      <c r="C35" s="50">
        <v>4</v>
      </c>
      <c r="D35" s="50">
        <v>0</v>
      </c>
      <c r="E35" s="50">
        <v>4</v>
      </c>
      <c r="F35" s="50">
        <v>3</v>
      </c>
      <c r="G35" s="50">
        <v>0</v>
      </c>
      <c r="H35" s="50">
        <v>1</v>
      </c>
      <c r="I35" s="50">
        <v>1</v>
      </c>
      <c r="J35" s="50">
        <v>0</v>
      </c>
      <c r="K35" s="50">
        <v>0</v>
      </c>
      <c r="L35" s="50">
        <v>1</v>
      </c>
      <c r="M35" s="50">
        <v>1</v>
      </c>
      <c r="N35" s="50">
        <v>0</v>
      </c>
      <c r="O35" s="15">
        <f t="shared" si="0"/>
        <v>14</v>
      </c>
      <c r="P35" s="15">
        <f t="shared" si="1"/>
        <v>15</v>
      </c>
      <c r="R35" s="38" t="s">
        <v>91</v>
      </c>
      <c r="S35" s="39">
        <f t="shared" ref="S35:AF35" si="27">MAX(S13:S18)</f>
        <v>20</v>
      </c>
      <c r="T35" s="39">
        <f t="shared" si="27"/>
        <v>0</v>
      </c>
      <c r="U35" s="39">
        <f t="shared" si="27"/>
        <v>9</v>
      </c>
      <c r="V35" s="39">
        <f t="shared" si="27"/>
        <v>13</v>
      </c>
      <c r="W35" s="39">
        <f t="shared" si="27"/>
        <v>1</v>
      </c>
      <c r="X35" s="39">
        <f t="shared" si="27"/>
        <v>1</v>
      </c>
      <c r="Y35" s="39">
        <f t="shared" si="27"/>
        <v>8</v>
      </c>
      <c r="Z35" s="39">
        <f t="shared" si="27"/>
        <v>4</v>
      </c>
      <c r="AA35" s="39">
        <f t="shared" si="27"/>
        <v>0</v>
      </c>
      <c r="AB35" s="39">
        <f t="shared" si="27"/>
        <v>5</v>
      </c>
      <c r="AC35" s="39">
        <f t="shared" si="27"/>
        <v>15</v>
      </c>
      <c r="AD35" s="39">
        <f t="shared" si="27"/>
        <v>1</v>
      </c>
      <c r="AE35" s="40">
        <f t="shared" si="27"/>
        <v>46</v>
      </c>
      <c r="AF35" s="40">
        <f t="shared" si="27"/>
        <v>61</v>
      </c>
    </row>
    <row r="36" spans="2:32" ht="23.1" customHeight="1" x14ac:dyDescent="0.25">
      <c r="B36" s="46" t="s">
        <v>63</v>
      </c>
      <c r="C36" s="50">
        <v>1</v>
      </c>
      <c r="D36" s="50">
        <v>0</v>
      </c>
      <c r="E36" s="50">
        <v>0</v>
      </c>
      <c r="F36" s="50">
        <v>2</v>
      </c>
      <c r="G36" s="50">
        <v>0</v>
      </c>
      <c r="H36" s="50">
        <v>0</v>
      </c>
      <c r="I36" s="50">
        <v>0</v>
      </c>
      <c r="J36" s="50">
        <v>2</v>
      </c>
      <c r="K36" s="50">
        <v>0</v>
      </c>
      <c r="L36" s="50">
        <v>0</v>
      </c>
      <c r="M36" s="50">
        <v>6</v>
      </c>
      <c r="N36" s="50">
        <v>0</v>
      </c>
      <c r="O36" s="15">
        <f t="shared" si="0"/>
        <v>5</v>
      </c>
      <c r="P36" s="15">
        <f t="shared" si="1"/>
        <v>11</v>
      </c>
      <c r="R36" s="38" t="s">
        <v>92</v>
      </c>
      <c r="S36" s="39">
        <f t="shared" ref="S36:AF36" si="28">MAX(S19:S21)</f>
        <v>19</v>
      </c>
      <c r="T36" s="39">
        <f t="shared" si="28"/>
        <v>0</v>
      </c>
      <c r="U36" s="39">
        <f t="shared" si="28"/>
        <v>9</v>
      </c>
      <c r="V36" s="39">
        <f t="shared" si="28"/>
        <v>16</v>
      </c>
      <c r="W36" s="39">
        <f t="shared" si="28"/>
        <v>2</v>
      </c>
      <c r="X36" s="39">
        <f t="shared" si="28"/>
        <v>2</v>
      </c>
      <c r="Y36" s="39">
        <f t="shared" si="28"/>
        <v>11</v>
      </c>
      <c r="Z36" s="39">
        <f t="shared" si="28"/>
        <v>2</v>
      </c>
      <c r="AA36" s="39">
        <f t="shared" si="28"/>
        <v>1</v>
      </c>
      <c r="AB36" s="39">
        <f t="shared" si="28"/>
        <v>7</v>
      </c>
      <c r="AC36" s="39">
        <f t="shared" si="28"/>
        <v>12</v>
      </c>
      <c r="AD36" s="39">
        <f t="shared" si="28"/>
        <v>3</v>
      </c>
      <c r="AE36" s="40">
        <f t="shared" si="28"/>
        <v>57</v>
      </c>
      <c r="AF36" s="40">
        <f t="shared" si="28"/>
        <v>69</v>
      </c>
    </row>
    <row r="37" spans="2:32" ht="23.1" customHeight="1" x14ac:dyDescent="0.25">
      <c r="B37" s="45" t="s">
        <v>64</v>
      </c>
      <c r="C37" s="50">
        <v>5</v>
      </c>
      <c r="D37" s="50">
        <v>0</v>
      </c>
      <c r="E37" s="50">
        <v>1</v>
      </c>
      <c r="F37" s="50">
        <v>2</v>
      </c>
      <c r="G37" s="50">
        <v>0</v>
      </c>
      <c r="H37" s="50">
        <v>0</v>
      </c>
      <c r="I37" s="50">
        <v>1</v>
      </c>
      <c r="J37" s="50">
        <v>1</v>
      </c>
      <c r="K37" s="50">
        <v>0</v>
      </c>
      <c r="L37" s="50">
        <v>0</v>
      </c>
      <c r="M37" s="50">
        <v>3</v>
      </c>
      <c r="N37" s="50">
        <v>0</v>
      </c>
      <c r="O37" s="15">
        <f t="shared" si="0"/>
        <v>10</v>
      </c>
      <c r="P37" s="15">
        <f t="shared" si="1"/>
        <v>13</v>
      </c>
      <c r="R37" s="37" t="s">
        <v>85</v>
      </c>
      <c r="S37" s="35">
        <f t="shared" ref="S37:AF37" si="29">SUM(S10:S12)</f>
        <v>58</v>
      </c>
      <c r="T37" s="16">
        <f t="shared" si="29"/>
        <v>0</v>
      </c>
      <c r="U37" s="16">
        <f t="shared" si="29"/>
        <v>14</v>
      </c>
      <c r="V37" s="16">
        <f t="shared" si="29"/>
        <v>19</v>
      </c>
      <c r="W37" s="16">
        <f t="shared" si="29"/>
        <v>1</v>
      </c>
      <c r="X37" s="16">
        <f t="shared" si="29"/>
        <v>6</v>
      </c>
      <c r="Y37" s="16">
        <f t="shared" si="29"/>
        <v>8</v>
      </c>
      <c r="Z37" s="16">
        <f t="shared" si="29"/>
        <v>0</v>
      </c>
      <c r="AA37" s="16">
        <f t="shared" si="29"/>
        <v>0</v>
      </c>
      <c r="AB37" s="16">
        <f t="shared" si="29"/>
        <v>3</v>
      </c>
      <c r="AC37" s="16">
        <f t="shared" si="29"/>
        <v>30</v>
      </c>
      <c r="AD37" s="16">
        <f t="shared" si="29"/>
        <v>0</v>
      </c>
      <c r="AE37" s="32">
        <f t="shared" si="29"/>
        <v>109</v>
      </c>
      <c r="AF37" s="32">
        <f t="shared" si="29"/>
        <v>139</v>
      </c>
    </row>
    <row r="38" spans="2:32" ht="23.1" customHeight="1" x14ac:dyDescent="0.25">
      <c r="B38" s="46" t="s">
        <v>65</v>
      </c>
      <c r="C38" s="50">
        <v>1</v>
      </c>
      <c r="D38" s="50">
        <v>0</v>
      </c>
      <c r="E38" s="50">
        <v>3</v>
      </c>
      <c r="F38" s="50">
        <v>3</v>
      </c>
      <c r="G38" s="50">
        <v>0</v>
      </c>
      <c r="H38" s="50">
        <v>1</v>
      </c>
      <c r="I38" s="50">
        <v>1</v>
      </c>
      <c r="J38" s="50">
        <v>0</v>
      </c>
      <c r="K38" s="50">
        <v>0</v>
      </c>
      <c r="L38" s="50">
        <v>1</v>
      </c>
      <c r="M38" s="50">
        <v>2</v>
      </c>
      <c r="N38" s="50">
        <v>0</v>
      </c>
      <c r="O38" s="15">
        <f t="shared" si="0"/>
        <v>10</v>
      </c>
      <c r="P38" s="15">
        <f t="shared" si="1"/>
        <v>12</v>
      </c>
      <c r="R38" s="28" t="s">
        <v>86</v>
      </c>
      <c r="S38" s="16">
        <f t="shared" ref="S38:AF38" si="30">SUM(S13:S18)</f>
        <v>94</v>
      </c>
      <c r="T38" s="16">
        <f t="shared" si="30"/>
        <v>0</v>
      </c>
      <c r="U38" s="16">
        <f t="shared" si="30"/>
        <v>39</v>
      </c>
      <c r="V38" s="16">
        <f t="shared" si="30"/>
        <v>56</v>
      </c>
      <c r="W38" s="16">
        <f t="shared" si="30"/>
        <v>1</v>
      </c>
      <c r="X38" s="16">
        <f t="shared" si="30"/>
        <v>5</v>
      </c>
      <c r="Y38" s="16">
        <f t="shared" si="30"/>
        <v>25</v>
      </c>
      <c r="Z38" s="16">
        <f t="shared" si="30"/>
        <v>8</v>
      </c>
      <c r="AA38" s="16">
        <f t="shared" si="30"/>
        <v>0</v>
      </c>
      <c r="AB38" s="16">
        <f t="shared" si="30"/>
        <v>14</v>
      </c>
      <c r="AC38" s="16">
        <f t="shared" si="30"/>
        <v>63</v>
      </c>
      <c r="AD38" s="16">
        <f t="shared" si="30"/>
        <v>1</v>
      </c>
      <c r="AE38" s="32">
        <f t="shared" si="30"/>
        <v>243</v>
      </c>
      <c r="AF38" s="32">
        <f t="shared" si="30"/>
        <v>306</v>
      </c>
    </row>
    <row r="39" spans="2:32" ht="23.1" customHeight="1" x14ac:dyDescent="0.25">
      <c r="B39" s="46" t="s">
        <v>66</v>
      </c>
      <c r="C39" s="50">
        <v>2</v>
      </c>
      <c r="D39" s="50">
        <v>0</v>
      </c>
      <c r="E39" s="50">
        <v>1</v>
      </c>
      <c r="F39" s="50">
        <v>0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1</v>
      </c>
      <c r="M39" s="50">
        <v>4</v>
      </c>
      <c r="N39" s="50">
        <v>0</v>
      </c>
      <c r="O39" s="15">
        <f t="shared" si="0"/>
        <v>5</v>
      </c>
      <c r="P39" s="15">
        <f t="shared" si="1"/>
        <v>9</v>
      </c>
      <c r="R39" s="29" t="s">
        <v>87</v>
      </c>
      <c r="S39" s="16">
        <f t="shared" ref="S39:AF39" si="31">SUM(S19:S21)</f>
        <v>45</v>
      </c>
      <c r="T39" s="16">
        <f t="shared" si="31"/>
        <v>0</v>
      </c>
      <c r="U39" s="16">
        <f t="shared" si="31"/>
        <v>22</v>
      </c>
      <c r="V39" s="16">
        <f t="shared" si="31"/>
        <v>39</v>
      </c>
      <c r="W39" s="16">
        <f t="shared" si="31"/>
        <v>2</v>
      </c>
      <c r="X39" s="16">
        <f t="shared" si="31"/>
        <v>3</v>
      </c>
      <c r="Y39" s="16">
        <f t="shared" si="31"/>
        <v>24</v>
      </c>
      <c r="Z39" s="16">
        <f t="shared" si="31"/>
        <v>3</v>
      </c>
      <c r="AA39" s="16">
        <f t="shared" si="31"/>
        <v>2</v>
      </c>
      <c r="AB39" s="16">
        <f t="shared" si="31"/>
        <v>14</v>
      </c>
      <c r="AC39" s="16">
        <f t="shared" si="31"/>
        <v>32</v>
      </c>
      <c r="AD39" s="16">
        <f t="shared" si="31"/>
        <v>3</v>
      </c>
      <c r="AE39" s="32">
        <f t="shared" si="31"/>
        <v>157</v>
      </c>
      <c r="AF39" s="32">
        <f t="shared" si="31"/>
        <v>189</v>
      </c>
    </row>
    <row r="40" spans="2:32" ht="23.1" customHeight="1" x14ac:dyDescent="0.25">
      <c r="B40" s="46" t="s">
        <v>67</v>
      </c>
      <c r="C40" s="50">
        <v>5</v>
      </c>
      <c r="D40" s="50">
        <v>0</v>
      </c>
      <c r="E40" s="50">
        <v>2</v>
      </c>
      <c r="F40" s="50">
        <v>2</v>
      </c>
      <c r="G40" s="50">
        <v>0</v>
      </c>
      <c r="H40" s="50">
        <v>0</v>
      </c>
      <c r="I40" s="50">
        <v>1</v>
      </c>
      <c r="J40" s="50">
        <v>2</v>
      </c>
      <c r="K40" s="50">
        <v>0</v>
      </c>
      <c r="L40" s="50">
        <v>0</v>
      </c>
      <c r="M40" s="50">
        <v>5</v>
      </c>
      <c r="N40" s="50">
        <v>1</v>
      </c>
      <c r="O40" s="15">
        <f t="shared" si="0"/>
        <v>13</v>
      </c>
      <c r="P40" s="15">
        <f t="shared" si="1"/>
        <v>18</v>
      </c>
      <c r="R40" s="5" t="s">
        <v>17</v>
      </c>
      <c r="S40" s="16">
        <f t="shared" ref="S40:AF40" si="32">SUM(S10:S21)</f>
        <v>197</v>
      </c>
      <c r="T40" s="16">
        <f t="shared" si="32"/>
        <v>0</v>
      </c>
      <c r="U40" s="16">
        <f t="shared" si="32"/>
        <v>75</v>
      </c>
      <c r="V40" s="16">
        <f t="shared" si="32"/>
        <v>114</v>
      </c>
      <c r="W40" s="16">
        <f t="shared" si="32"/>
        <v>4</v>
      </c>
      <c r="X40" s="16">
        <f t="shared" si="32"/>
        <v>14</v>
      </c>
      <c r="Y40" s="16">
        <f t="shared" si="32"/>
        <v>57</v>
      </c>
      <c r="Z40" s="16">
        <f t="shared" si="32"/>
        <v>11</v>
      </c>
      <c r="AA40" s="16">
        <f t="shared" si="32"/>
        <v>2</v>
      </c>
      <c r="AB40" s="16">
        <f t="shared" si="32"/>
        <v>31</v>
      </c>
      <c r="AC40" s="16">
        <f t="shared" si="32"/>
        <v>125</v>
      </c>
      <c r="AD40" s="16">
        <f t="shared" si="32"/>
        <v>4</v>
      </c>
      <c r="AE40" s="32">
        <f t="shared" si="32"/>
        <v>509</v>
      </c>
      <c r="AF40" s="32">
        <f t="shared" si="32"/>
        <v>634</v>
      </c>
    </row>
    <row r="41" spans="2:32" ht="23.1" customHeight="1" x14ac:dyDescent="0.25">
      <c r="B41" s="45" t="s">
        <v>68</v>
      </c>
      <c r="C41" s="50">
        <v>5</v>
      </c>
      <c r="D41" s="50">
        <v>0</v>
      </c>
      <c r="E41" s="50">
        <v>3</v>
      </c>
      <c r="F41" s="50">
        <v>3</v>
      </c>
      <c r="G41" s="50">
        <v>0</v>
      </c>
      <c r="H41" s="50">
        <v>0</v>
      </c>
      <c r="I41" s="50">
        <v>1</v>
      </c>
      <c r="J41" s="50">
        <v>2</v>
      </c>
      <c r="K41" s="50">
        <v>0</v>
      </c>
      <c r="L41" s="50">
        <v>2</v>
      </c>
      <c r="M41" s="50">
        <v>4</v>
      </c>
      <c r="N41" s="50">
        <v>0</v>
      </c>
      <c r="O41" s="15">
        <f t="shared" si="0"/>
        <v>16</v>
      </c>
      <c r="P41" s="15">
        <f t="shared" si="1"/>
        <v>20</v>
      </c>
      <c r="R41" s="5" t="s">
        <v>159</v>
      </c>
      <c r="S41" s="16">
        <f>SUM(S10:S33)</f>
        <v>291</v>
      </c>
      <c r="T41" s="16">
        <f t="shared" ref="T41:AF41" si="33">SUM(T10:T33)</f>
        <v>0</v>
      </c>
      <c r="U41" s="16">
        <f t="shared" si="33"/>
        <v>106</v>
      </c>
      <c r="V41" s="16">
        <f t="shared" si="33"/>
        <v>213</v>
      </c>
      <c r="W41" s="16">
        <f t="shared" si="33"/>
        <v>4</v>
      </c>
      <c r="X41" s="16">
        <f t="shared" si="33"/>
        <v>29</v>
      </c>
      <c r="Y41" s="16">
        <f t="shared" si="33"/>
        <v>78</v>
      </c>
      <c r="Z41" s="16">
        <f t="shared" si="33"/>
        <v>11</v>
      </c>
      <c r="AA41" s="16">
        <f t="shared" si="33"/>
        <v>2</v>
      </c>
      <c r="AB41" s="16">
        <f t="shared" si="33"/>
        <v>66</v>
      </c>
      <c r="AC41" s="16">
        <f t="shared" si="33"/>
        <v>189</v>
      </c>
      <c r="AD41" s="16">
        <f t="shared" si="33"/>
        <v>4</v>
      </c>
      <c r="AE41" s="32">
        <f t="shared" si="33"/>
        <v>804</v>
      </c>
      <c r="AF41" s="32">
        <f t="shared" si="33"/>
        <v>993</v>
      </c>
    </row>
    <row r="42" spans="2:32" ht="23.1" customHeight="1" x14ac:dyDescent="0.25">
      <c r="B42" s="46" t="s">
        <v>69</v>
      </c>
      <c r="C42" s="50">
        <v>5</v>
      </c>
      <c r="D42" s="50">
        <v>0</v>
      </c>
      <c r="E42" s="50">
        <v>1</v>
      </c>
      <c r="F42" s="50">
        <v>4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3</v>
      </c>
      <c r="M42" s="50">
        <v>5</v>
      </c>
      <c r="N42" s="50">
        <v>0</v>
      </c>
      <c r="O42" s="15">
        <f t="shared" si="0"/>
        <v>14</v>
      </c>
      <c r="P42" s="15">
        <f t="shared" si="1"/>
        <v>19</v>
      </c>
      <c r="R42" s="5" t="s">
        <v>160</v>
      </c>
      <c r="S42" s="48">
        <f>S41/S40</f>
        <v>1.4771573604060915</v>
      </c>
      <c r="T42" s="48" t="e">
        <f t="shared" ref="T42:AF42" si="34">T41/T40</f>
        <v>#DIV/0!</v>
      </c>
      <c r="U42" s="48">
        <f t="shared" si="34"/>
        <v>1.4133333333333333</v>
      </c>
      <c r="V42" s="48">
        <f t="shared" si="34"/>
        <v>1.868421052631579</v>
      </c>
      <c r="W42" s="48">
        <f t="shared" si="34"/>
        <v>1</v>
      </c>
      <c r="X42" s="48">
        <f t="shared" si="34"/>
        <v>2.0714285714285716</v>
      </c>
      <c r="Y42" s="48">
        <f t="shared" si="34"/>
        <v>1.368421052631579</v>
      </c>
      <c r="Z42" s="48">
        <f t="shared" si="34"/>
        <v>1</v>
      </c>
      <c r="AA42" s="48">
        <f t="shared" si="34"/>
        <v>1</v>
      </c>
      <c r="AB42" s="48">
        <f t="shared" si="34"/>
        <v>2.129032258064516</v>
      </c>
      <c r="AC42" s="48">
        <f t="shared" si="34"/>
        <v>1.512</v>
      </c>
      <c r="AD42" s="48">
        <f t="shared" si="34"/>
        <v>1</v>
      </c>
      <c r="AE42" s="48">
        <f t="shared" si="34"/>
        <v>1.5795677799607073</v>
      </c>
      <c r="AF42" s="48">
        <f t="shared" si="34"/>
        <v>1.5662460567823344</v>
      </c>
    </row>
    <row r="43" spans="2:32" ht="23.1" customHeight="1" x14ac:dyDescent="0.25">
      <c r="B43" s="45" t="s">
        <v>70</v>
      </c>
      <c r="C43" s="50">
        <v>5</v>
      </c>
      <c r="D43" s="50">
        <v>0</v>
      </c>
      <c r="E43" s="50">
        <v>2</v>
      </c>
      <c r="F43" s="50">
        <v>4</v>
      </c>
      <c r="G43" s="50">
        <v>0</v>
      </c>
      <c r="H43" s="50">
        <v>0</v>
      </c>
      <c r="I43" s="50">
        <v>1</v>
      </c>
      <c r="J43" s="50">
        <v>0</v>
      </c>
      <c r="K43" s="50">
        <v>0</v>
      </c>
      <c r="L43" s="50">
        <v>0</v>
      </c>
      <c r="M43" s="50">
        <v>5</v>
      </c>
      <c r="N43" s="50">
        <v>0</v>
      </c>
      <c r="O43" s="15">
        <f t="shared" si="0"/>
        <v>12</v>
      </c>
      <c r="P43" s="15">
        <f t="shared" si="1"/>
        <v>17</v>
      </c>
    </row>
    <row r="44" spans="2:32" ht="23.1" customHeight="1" x14ac:dyDescent="0.25">
      <c r="B44" s="47" t="s">
        <v>71</v>
      </c>
      <c r="C44" s="50">
        <v>5</v>
      </c>
      <c r="D44" s="50">
        <v>0</v>
      </c>
      <c r="E44" s="50">
        <v>1</v>
      </c>
      <c r="F44" s="50">
        <v>2</v>
      </c>
      <c r="G44" s="50">
        <v>0</v>
      </c>
      <c r="H44" s="50">
        <v>0</v>
      </c>
      <c r="I44" s="50">
        <v>1</v>
      </c>
      <c r="J44" s="50">
        <v>0</v>
      </c>
      <c r="K44" s="50">
        <v>0</v>
      </c>
      <c r="L44" s="50">
        <v>0</v>
      </c>
      <c r="M44" s="50">
        <v>2</v>
      </c>
      <c r="N44" s="50">
        <v>0</v>
      </c>
      <c r="O44" s="15">
        <f t="shared" si="0"/>
        <v>9</v>
      </c>
      <c r="P44" s="15">
        <f t="shared" si="1"/>
        <v>11</v>
      </c>
    </row>
    <row r="45" spans="2:32" ht="23.1" customHeight="1" x14ac:dyDescent="0.25">
      <c r="B45" s="45" t="s">
        <v>72</v>
      </c>
      <c r="C45" s="50">
        <v>3</v>
      </c>
      <c r="D45" s="50">
        <v>0</v>
      </c>
      <c r="E45" s="50">
        <v>2</v>
      </c>
      <c r="F45" s="50">
        <v>3</v>
      </c>
      <c r="G45" s="50">
        <v>0</v>
      </c>
      <c r="H45" s="50">
        <v>1</v>
      </c>
      <c r="I45" s="50">
        <v>0</v>
      </c>
      <c r="J45" s="50">
        <v>0</v>
      </c>
      <c r="K45" s="50">
        <v>0</v>
      </c>
      <c r="L45" s="50">
        <v>2</v>
      </c>
      <c r="M45" s="50">
        <v>3</v>
      </c>
      <c r="N45" s="50">
        <v>0</v>
      </c>
      <c r="O45" s="15">
        <f t="shared" si="0"/>
        <v>11</v>
      </c>
      <c r="P45" s="15">
        <f t="shared" si="1"/>
        <v>14</v>
      </c>
    </row>
    <row r="46" spans="2:32" ht="23.1" customHeight="1" x14ac:dyDescent="0.25">
      <c r="B46" s="46" t="s">
        <v>73</v>
      </c>
      <c r="C46" s="50">
        <v>4</v>
      </c>
      <c r="D46" s="50">
        <v>0</v>
      </c>
      <c r="E46" s="50">
        <v>2</v>
      </c>
      <c r="F46" s="50">
        <v>3</v>
      </c>
      <c r="G46" s="50">
        <v>0</v>
      </c>
      <c r="H46" s="50">
        <v>1</v>
      </c>
      <c r="I46" s="50">
        <v>4</v>
      </c>
      <c r="J46" s="50">
        <v>0</v>
      </c>
      <c r="K46" s="50">
        <v>0</v>
      </c>
      <c r="L46" s="50">
        <v>1</v>
      </c>
      <c r="M46" s="50">
        <v>3</v>
      </c>
      <c r="N46" s="50">
        <v>0</v>
      </c>
      <c r="O46" s="15">
        <f t="shared" si="0"/>
        <v>15</v>
      </c>
      <c r="P46" s="15">
        <f t="shared" si="1"/>
        <v>18</v>
      </c>
      <c r="R46" s="8"/>
      <c r="T46"/>
    </row>
    <row r="47" spans="2:32" ht="23.1" customHeight="1" x14ac:dyDescent="0.25">
      <c r="B47" s="46" t="s">
        <v>74</v>
      </c>
      <c r="C47" s="50">
        <v>6</v>
      </c>
      <c r="D47" s="50">
        <v>0</v>
      </c>
      <c r="E47" s="50">
        <v>2</v>
      </c>
      <c r="F47" s="50">
        <v>3</v>
      </c>
      <c r="G47" s="50">
        <v>0</v>
      </c>
      <c r="H47" s="50">
        <v>0</v>
      </c>
      <c r="I47" s="50">
        <v>3</v>
      </c>
      <c r="J47" s="50">
        <v>0</v>
      </c>
      <c r="K47" s="50">
        <v>1</v>
      </c>
      <c r="L47" s="50">
        <v>1</v>
      </c>
      <c r="M47" s="50">
        <v>7</v>
      </c>
      <c r="N47" s="50">
        <v>0</v>
      </c>
      <c r="O47" s="15">
        <f t="shared" si="0"/>
        <v>16</v>
      </c>
      <c r="P47" s="15">
        <f t="shared" si="1"/>
        <v>23</v>
      </c>
      <c r="R47" s="8"/>
      <c r="T47"/>
    </row>
    <row r="48" spans="2:32" ht="23.1" customHeight="1" x14ac:dyDescent="0.25">
      <c r="B48" s="46" t="s">
        <v>75</v>
      </c>
      <c r="C48" s="50">
        <v>4</v>
      </c>
      <c r="D48" s="50">
        <v>0</v>
      </c>
      <c r="E48" s="50">
        <v>0</v>
      </c>
      <c r="F48" s="50">
        <v>1</v>
      </c>
      <c r="G48" s="50">
        <v>0</v>
      </c>
      <c r="H48" s="50">
        <v>0</v>
      </c>
      <c r="I48" s="50">
        <v>2</v>
      </c>
      <c r="J48" s="50">
        <v>0</v>
      </c>
      <c r="K48" s="50">
        <v>0</v>
      </c>
      <c r="L48" s="50">
        <v>0</v>
      </c>
      <c r="M48" s="50">
        <v>0</v>
      </c>
      <c r="N48" s="50">
        <v>0</v>
      </c>
      <c r="O48" s="15">
        <f t="shared" si="0"/>
        <v>7</v>
      </c>
      <c r="P48" s="15">
        <f t="shared" si="1"/>
        <v>7</v>
      </c>
      <c r="R48" s="8"/>
      <c r="T48"/>
    </row>
    <row r="49" spans="2:20" ht="23.1" customHeight="1" x14ac:dyDescent="0.25">
      <c r="B49" s="45" t="s">
        <v>76</v>
      </c>
      <c r="C49" s="50">
        <v>5</v>
      </c>
      <c r="D49" s="50">
        <v>0</v>
      </c>
      <c r="E49" s="50">
        <v>1</v>
      </c>
      <c r="F49" s="50">
        <v>5</v>
      </c>
      <c r="G49" s="50">
        <v>0</v>
      </c>
      <c r="H49" s="50">
        <v>0</v>
      </c>
      <c r="I49" s="50">
        <v>2</v>
      </c>
      <c r="J49" s="50">
        <v>0</v>
      </c>
      <c r="K49" s="50">
        <v>0</v>
      </c>
      <c r="L49" s="50">
        <v>0</v>
      </c>
      <c r="M49" s="50">
        <v>1</v>
      </c>
      <c r="N49" s="50">
        <v>0</v>
      </c>
      <c r="O49" s="15">
        <f t="shared" si="0"/>
        <v>13</v>
      </c>
      <c r="P49" s="15">
        <f t="shared" si="1"/>
        <v>14</v>
      </c>
      <c r="R49" s="8"/>
      <c r="T49"/>
    </row>
    <row r="50" spans="2:20" ht="23.1" customHeight="1" x14ac:dyDescent="0.25">
      <c r="B50" s="46" t="s">
        <v>77</v>
      </c>
      <c r="C50" s="50">
        <v>4</v>
      </c>
      <c r="D50" s="50">
        <v>0</v>
      </c>
      <c r="E50" s="50">
        <v>3</v>
      </c>
      <c r="F50" s="50">
        <v>4</v>
      </c>
      <c r="G50" s="50">
        <v>0</v>
      </c>
      <c r="H50" s="50">
        <v>2</v>
      </c>
      <c r="I50" s="50">
        <v>1</v>
      </c>
      <c r="J50" s="50">
        <v>1</v>
      </c>
      <c r="K50" s="50">
        <v>1</v>
      </c>
      <c r="L50" s="50">
        <v>0</v>
      </c>
      <c r="M50" s="50">
        <v>6</v>
      </c>
      <c r="N50" s="50">
        <v>0</v>
      </c>
      <c r="O50" s="15">
        <f t="shared" si="0"/>
        <v>16</v>
      </c>
      <c r="P50" s="15">
        <f t="shared" si="1"/>
        <v>22</v>
      </c>
      <c r="R50" s="8"/>
      <c r="T50"/>
    </row>
    <row r="51" spans="2:20" ht="23.1" customHeight="1" x14ac:dyDescent="0.25">
      <c r="B51" s="46" t="s">
        <v>78</v>
      </c>
      <c r="C51" s="50">
        <v>5</v>
      </c>
      <c r="D51" s="50">
        <v>0</v>
      </c>
      <c r="E51" s="50">
        <v>0</v>
      </c>
      <c r="F51" s="50">
        <v>6</v>
      </c>
      <c r="G51" s="50">
        <v>0</v>
      </c>
      <c r="H51" s="50">
        <v>0</v>
      </c>
      <c r="I51" s="50">
        <v>2</v>
      </c>
      <c r="J51" s="50">
        <v>0</v>
      </c>
      <c r="K51" s="50">
        <v>0</v>
      </c>
      <c r="L51" s="50">
        <v>0</v>
      </c>
      <c r="M51" s="50">
        <v>5</v>
      </c>
      <c r="N51" s="50">
        <v>0</v>
      </c>
      <c r="O51" s="15">
        <f t="shared" si="0"/>
        <v>13</v>
      </c>
      <c r="P51" s="15">
        <f t="shared" si="1"/>
        <v>18</v>
      </c>
      <c r="R51" s="8"/>
      <c r="T51"/>
    </row>
    <row r="52" spans="2:20" ht="23.1" customHeight="1" x14ac:dyDescent="0.25">
      <c r="B52" s="46" t="s">
        <v>79</v>
      </c>
      <c r="C52" s="50">
        <v>5</v>
      </c>
      <c r="D52" s="50">
        <v>0</v>
      </c>
      <c r="E52" s="50">
        <v>5</v>
      </c>
      <c r="F52" s="50">
        <v>4</v>
      </c>
      <c r="G52" s="50">
        <v>0</v>
      </c>
      <c r="H52" s="50">
        <v>0</v>
      </c>
      <c r="I52" s="50">
        <v>2</v>
      </c>
      <c r="J52" s="50">
        <v>0</v>
      </c>
      <c r="K52" s="50">
        <v>0</v>
      </c>
      <c r="L52" s="50">
        <v>2</v>
      </c>
      <c r="M52" s="50">
        <v>1</v>
      </c>
      <c r="N52" s="50">
        <v>0</v>
      </c>
      <c r="O52" s="15">
        <f t="shared" si="0"/>
        <v>18</v>
      </c>
      <c r="P52" s="15">
        <f t="shared" si="1"/>
        <v>19</v>
      </c>
      <c r="R52" s="8"/>
      <c r="T52"/>
    </row>
    <row r="53" spans="2:20" ht="23.1" customHeight="1" x14ac:dyDescent="0.25">
      <c r="B53" s="45" t="s">
        <v>80</v>
      </c>
      <c r="C53" s="50">
        <v>1</v>
      </c>
      <c r="D53" s="50">
        <v>0</v>
      </c>
      <c r="E53" s="50">
        <v>1</v>
      </c>
      <c r="F53" s="50">
        <v>2</v>
      </c>
      <c r="G53" s="50">
        <v>0</v>
      </c>
      <c r="H53" s="50">
        <v>0</v>
      </c>
      <c r="I53" s="50">
        <v>3</v>
      </c>
      <c r="J53" s="50">
        <v>0</v>
      </c>
      <c r="K53" s="50">
        <v>0</v>
      </c>
      <c r="L53" s="50">
        <v>3</v>
      </c>
      <c r="M53" s="50">
        <v>0</v>
      </c>
      <c r="N53" s="50">
        <v>0</v>
      </c>
      <c r="O53" s="15">
        <f t="shared" si="0"/>
        <v>10</v>
      </c>
      <c r="P53" s="15">
        <f t="shared" si="1"/>
        <v>10</v>
      </c>
      <c r="R53" s="8"/>
      <c r="T53"/>
    </row>
    <row r="54" spans="2:20" ht="23.1" customHeight="1" x14ac:dyDescent="0.25">
      <c r="B54" s="45" t="s">
        <v>81</v>
      </c>
      <c r="C54" s="50">
        <v>2</v>
      </c>
      <c r="D54" s="50">
        <v>0</v>
      </c>
      <c r="E54" s="50">
        <v>2</v>
      </c>
      <c r="F54" s="50">
        <v>3</v>
      </c>
      <c r="G54" s="50">
        <v>0</v>
      </c>
      <c r="H54" s="50">
        <v>0</v>
      </c>
      <c r="I54" s="50">
        <v>1</v>
      </c>
      <c r="J54" s="50">
        <v>2</v>
      </c>
      <c r="K54" s="50">
        <v>0</v>
      </c>
      <c r="L54" s="50">
        <v>0</v>
      </c>
      <c r="M54" s="50">
        <v>0</v>
      </c>
      <c r="N54" s="50">
        <v>3</v>
      </c>
      <c r="O54" s="15">
        <f t="shared" si="0"/>
        <v>13</v>
      </c>
      <c r="P54" s="15">
        <f t="shared" si="1"/>
        <v>13</v>
      </c>
      <c r="R54" s="8"/>
      <c r="T54"/>
    </row>
    <row r="55" spans="2:20" ht="23.1" customHeight="1" x14ac:dyDescent="0.25">
      <c r="B55" s="45" t="s">
        <v>82</v>
      </c>
      <c r="C55" s="50">
        <v>3</v>
      </c>
      <c r="D55" s="50">
        <v>0</v>
      </c>
      <c r="E55" s="50">
        <v>2</v>
      </c>
      <c r="F55" s="50">
        <v>1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4</v>
      </c>
      <c r="N55" s="50">
        <v>0</v>
      </c>
      <c r="O55" s="15">
        <f t="shared" si="0"/>
        <v>6</v>
      </c>
      <c r="P55" s="15">
        <f t="shared" si="1"/>
        <v>10</v>
      </c>
      <c r="R55" s="8"/>
      <c r="T55"/>
    </row>
    <row r="56" spans="2:20" ht="23.1" customHeight="1" x14ac:dyDescent="0.25">
      <c r="B56" s="45" t="s">
        <v>83</v>
      </c>
      <c r="C56" s="50">
        <v>4</v>
      </c>
      <c r="D56" s="50">
        <v>0</v>
      </c>
      <c r="E56" s="50">
        <v>2</v>
      </c>
      <c r="F56" s="50">
        <v>5</v>
      </c>
      <c r="G56" s="50">
        <v>0</v>
      </c>
      <c r="H56" s="50">
        <v>0</v>
      </c>
      <c r="I56" s="50">
        <v>1</v>
      </c>
      <c r="J56" s="50">
        <v>0</v>
      </c>
      <c r="K56" s="50">
        <v>0</v>
      </c>
      <c r="L56" s="50">
        <v>4</v>
      </c>
      <c r="M56" s="50">
        <v>5</v>
      </c>
      <c r="N56" s="50">
        <v>0</v>
      </c>
      <c r="O56" s="15">
        <f t="shared" si="0"/>
        <v>16</v>
      </c>
      <c r="P56" s="15">
        <f t="shared" si="1"/>
        <v>21</v>
      </c>
      <c r="R56" s="8"/>
      <c r="T56"/>
    </row>
    <row r="57" spans="2:20" ht="23.1" customHeight="1" x14ac:dyDescent="0.25">
      <c r="B57" s="45" t="s">
        <v>84</v>
      </c>
      <c r="C57" s="50">
        <v>2</v>
      </c>
      <c r="D57" s="50">
        <v>0</v>
      </c>
      <c r="E57" s="50">
        <v>2</v>
      </c>
      <c r="F57" s="50">
        <v>2</v>
      </c>
      <c r="G57" s="50">
        <v>2</v>
      </c>
      <c r="H57" s="50">
        <v>0</v>
      </c>
      <c r="I57" s="50">
        <v>3</v>
      </c>
      <c r="J57" s="50">
        <v>0</v>
      </c>
      <c r="K57" s="50">
        <v>0</v>
      </c>
      <c r="L57" s="50">
        <v>3</v>
      </c>
      <c r="M57" s="50">
        <v>0</v>
      </c>
      <c r="N57" s="50">
        <v>0</v>
      </c>
      <c r="O57" s="15">
        <f t="shared" si="0"/>
        <v>14</v>
      </c>
      <c r="P57" s="15">
        <f t="shared" si="1"/>
        <v>14</v>
      </c>
      <c r="R57" s="8"/>
      <c r="T57"/>
    </row>
    <row r="58" spans="2:20" ht="23.1" customHeight="1" x14ac:dyDescent="0.25">
      <c r="B58" s="45" t="s">
        <v>99</v>
      </c>
      <c r="C58" s="50">
        <v>6</v>
      </c>
      <c r="D58" s="50">
        <v>0</v>
      </c>
      <c r="E58" s="50">
        <v>5</v>
      </c>
      <c r="F58" s="50">
        <v>7</v>
      </c>
      <c r="G58" s="50">
        <v>0</v>
      </c>
      <c r="H58" s="50">
        <v>0</v>
      </c>
      <c r="I58" s="50">
        <v>1</v>
      </c>
      <c r="J58" s="50">
        <v>0</v>
      </c>
      <c r="K58" s="50">
        <v>0</v>
      </c>
      <c r="L58" s="50">
        <v>0</v>
      </c>
      <c r="M58" s="50">
        <v>6</v>
      </c>
      <c r="N58" s="50">
        <v>0</v>
      </c>
      <c r="O58" s="15">
        <f t="shared" si="0"/>
        <v>19</v>
      </c>
      <c r="P58" s="15">
        <f t="shared" si="1"/>
        <v>25</v>
      </c>
      <c r="R58" s="8"/>
      <c r="T58"/>
    </row>
    <row r="59" spans="2:20" ht="23.1" customHeight="1" x14ac:dyDescent="0.25">
      <c r="B59" s="45" t="s">
        <v>100</v>
      </c>
      <c r="C59" s="50">
        <v>7</v>
      </c>
      <c r="D59" s="50">
        <v>0</v>
      </c>
      <c r="E59" s="50">
        <v>0</v>
      </c>
      <c r="F59" s="50">
        <v>2</v>
      </c>
      <c r="G59" s="50">
        <v>0</v>
      </c>
      <c r="H59" s="50">
        <v>0</v>
      </c>
      <c r="I59" s="50">
        <v>0</v>
      </c>
      <c r="J59" s="50">
        <v>0</v>
      </c>
      <c r="K59" s="50">
        <v>0</v>
      </c>
      <c r="L59" s="50">
        <v>1</v>
      </c>
      <c r="M59" s="50">
        <v>3</v>
      </c>
      <c r="N59" s="50">
        <v>0</v>
      </c>
      <c r="O59" s="15">
        <f t="shared" si="0"/>
        <v>10</v>
      </c>
      <c r="P59" s="15">
        <f t="shared" si="1"/>
        <v>13</v>
      </c>
      <c r="R59" s="8"/>
      <c r="T59"/>
    </row>
    <row r="60" spans="2:20" ht="23.1" customHeight="1" x14ac:dyDescent="0.25">
      <c r="B60" s="45" t="s">
        <v>101</v>
      </c>
      <c r="C60" s="50">
        <v>1</v>
      </c>
      <c r="D60" s="50">
        <v>0</v>
      </c>
      <c r="E60" s="50">
        <v>1</v>
      </c>
      <c r="F60" s="50">
        <v>2</v>
      </c>
      <c r="G60" s="50">
        <v>0</v>
      </c>
      <c r="H60" s="50">
        <v>0</v>
      </c>
      <c r="I60" s="50">
        <v>2</v>
      </c>
      <c r="J60" s="50">
        <v>0</v>
      </c>
      <c r="K60" s="50">
        <v>0</v>
      </c>
      <c r="L60" s="50">
        <v>3</v>
      </c>
      <c r="M60" s="50">
        <v>6</v>
      </c>
      <c r="N60" s="50">
        <v>0</v>
      </c>
      <c r="O60" s="15">
        <f t="shared" si="0"/>
        <v>9</v>
      </c>
      <c r="P60" s="15">
        <f t="shared" si="1"/>
        <v>15</v>
      </c>
      <c r="R60" s="8"/>
      <c r="T60"/>
    </row>
    <row r="61" spans="2:20" ht="23.1" customHeight="1" x14ac:dyDescent="0.25">
      <c r="B61" s="45" t="s">
        <v>102</v>
      </c>
      <c r="C61" s="50">
        <v>3</v>
      </c>
      <c r="D61" s="50">
        <v>0</v>
      </c>
      <c r="E61" s="50">
        <v>2</v>
      </c>
      <c r="F61" s="50">
        <v>4</v>
      </c>
      <c r="G61" s="50">
        <v>0</v>
      </c>
      <c r="H61" s="50">
        <v>0</v>
      </c>
      <c r="I61" s="50">
        <v>0</v>
      </c>
      <c r="J61" s="50">
        <v>0</v>
      </c>
      <c r="K61" s="50">
        <v>0</v>
      </c>
      <c r="L61" s="50">
        <v>1</v>
      </c>
      <c r="M61" s="50">
        <v>0</v>
      </c>
      <c r="N61" s="50">
        <v>0</v>
      </c>
      <c r="O61" s="15">
        <f t="shared" si="0"/>
        <v>10</v>
      </c>
      <c r="P61" s="15">
        <f t="shared" si="1"/>
        <v>10</v>
      </c>
      <c r="R61" s="8"/>
      <c r="T61"/>
    </row>
    <row r="62" spans="2:20" ht="23.1" customHeight="1" x14ac:dyDescent="0.25">
      <c r="B62" s="45" t="s">
        <v>107</v>
      </c>
      <c r="C62" s="50">
        <v>3</v>
      </c>
      <c r="D62" s="50">
        <v>0</v>
      </c>
      <c r="E62" s="50">
        <v>1</v>
      </c>
      <c r="F62" s="50">
        <v>4</v>
      </c>
      <c r="G62" s="50">
        <v>0</v>
      </c>
      <c r="H62" s="50">
        <v>0</v>
      </c>
      <c r="I62" s="50">
        <v>0</v>
      </c>
      <c r="J62" s="50">
        <v>0</v>
      </c>
      <c r="K62" s="50">
        <v>0</v>
      </c>
      <c r="L62" s="50">
        <v>2</v>
      </c>
      <c r="M62" s="50">
        <v>2</v>
      </c>
      <c r="N62" s="50">
        <v>0</v>
      </c>
      <c r="O62" s="15">
        <f t="shared" si="0"/>
        <v>10</v>
      </c>
      <c r="P62" s="15">
        <f t="shared" si="1"/>
        <v>12</v>
      </c>
      <c r="R62" s="8"/>
      <c r="T62"/>
    </row>
    <row r="63" spans="2:20" ht="23.1" customHeight="1" x14ac:dyDescent="0.25">
      <c r="B63" s="45" t="s">
        <v>108</v>
      </c>
      <c r="C63" s="50">
        <v>6</v>
      </c>
      <c r="D63" s="50">
        <v>0</v>
      </c>
      <c r="E63" s="50">
        <v>0</v>
      </c>
      <c r="F63" s="50">
        <v>6</v>
      </c>
      <c r="G63" s="50">
        <v>0</v>
      </c>
      <c r="H63" s="50">
        <v>1</v>
      </c>
      <c r="I63" s="50">
        <v>0</v>
      </c>
      <c r="J63" s="50">
        <v>0</v>
      </c>
      <c r="K63" s="50">
        <v>0</v>
      </c>
      <c r="L63" s="50">
        <v>0</v>
      </c>
      <c r="M63" s="50">
        <v>2</v>
      </c>
      <c r="N63" s="50">
        <v>0</v>
      </c>
      <c r="O63" s="15">
        <f t="shared" si="0"/>
        <v>13</v>
      </c>
      <c r="P63" s="15">
        <f t="shared" si="1"/>
        <v>15</v>
      </c>
      <c r="R63" s="8"/>
      <c r="T63"/>
    </row>
    <row r="64" spans="2:20" ht="23.1" customHeight="1" x14ac:dyDescent="0.25">
      <c r="B64" s="45" t="s">
        <v>109</v>
      </c>
      <c r="C64" s="50">
        <v>4</v>
      </c>
      <c r="D64" s="50">
        <v>0</v>
      </c>
      <c r="E64" s="50">
        <v>2</v>
      </c>
      <c r="F64" s="50">
        <v>2</v>
      </c>
      <c r="G64" s="50">
        <v>0</v>
      </c>
      <c r="H64" s="50">
        <v>0</v>
      </c>
      <c r="I64" s="50">
        <v>0</v>
      </c>
      <c r="J64" s="50">
        <v>0</v>
      </c>
      <c r="K64" s="50">
        <v>0</v>
      </c>
      <c r="L64" s="50">
        <v>2</v>
      </c>
      <c r="M64" s="50">
        <v>0</v>
      </c>
      <c r="N64" s="50">
        <v>0</v>
      </c>
      <c r="O64" s="15">
        <f t="shared" si="0"/>
        <v>10</v>
      </c>
      <c r="P64" s="15">
        <f t="shared" si="1"/>
        <v>10</v>
      </c>
      <c r="R64" s="8"/>
      <c r="T64"/>
    </row>
    <row r="65" spans="2:20" ht="23.1" customHeight="1" x14ac:dyDescent="0.25">
      <c r="B65" s="45" t="s">
        <v>158</v>
      </c>
      <c r="C65" s="50">
        <v>2</v>
      </c>
      <c r="D65" s="50">
        <v>0</v>
      </c>
      <c r="E65" s="50">
        <v>0</v>
      </c>
      <c r="F65" s="50">
        <v>0</v>
      </c>
      <c r="G65" s="50">
        <v>0</v>
      </c>
      <c r="H65" s="50">
        <v>0</v>
      </c>
      <c r="I65" s="50">
        <v>0</v>
      </c>
      <c r="J65" s="50">
        <v>0</v>
      </c>
      <c r="K65" s="50">
        <v>0</v>
      </c>
      <c r="L65" s="50">
        <v>1</v>
      </c>
      <c r="M65" s="50">
        <v>0</v>
      </c>
      <c r="N65" s="50">
        <v>0</v>
      </c>
      <c r="O65" s="15">
        <f t="shared" si="0"/>
        <v>3</v>
      </c>
      <c r="P65" s="15">
        <f t="shared" si="1"/>
        <v>3</v>
      </c>
      <c r="R65" s="8"/>
      <c r="T65"/>
    </row>
    <row r="66" spans="2:20" ht="23.1" customHeight="1" x14ac:dyDescent="0.25">
      <c r="B66" s="45" t="s">
        <v>103</v>
      </c>
      <c r="C66" s="50">
        <v>3</v>
      </c>
      <c r="D66" s="50">
        <v>0</v>
      </c>
      <c r="E66" s="50">
        <v>1</v>
      </c>
      <c r="F66" s="50">
        <v>2</v>
      </c>
      <c r="G66" s="50">
        <v>0</v>
      </c>
      <c r="H66" s="50">
        <v>0</v>
      </c>
      <c r="I66" s="50">
        <v>2</v>
      </c>
      <c r="J66" s="50">
        <v>0</v>
      </c>
      <c r="K66" s="50">
        <v>0</v>
      </c>
      <c r="L66" s="50">
        <v>0</v>
      </c>
      <c r="M66" s="50">
        <v>1</v>
      </c>
      <c r="N66" s="50">
        <v>0</v>
      </c>
      <c r="O66" s="15">
        <f t="shared" si="0"/>
        <v>8</v>
      </c>
      <c r="P66" s="15">
        <f t="shared" si="1"/>
        <v>9</v>
      </c>
      <c r="R66" s="8"/>
      <c r="T66"/>
    </row>
    <row r="67" spans="2:20" ht="23.1" customHeight="1" x14ac:dyDescent="0.25">
      <c r="B67" s="45" t="s">
        <v>104</v>
      </c>
      <c r="C67" s="50">
        <v>3</v>
      </c>
      <c r="D67" s="50">
        <v>0</v>
      </c>
      <c r="E67" s="50">
        <v>2</v>
      </c>
      <c r="F67" s="50">
        <v>4</v>
      </c>
      <c r="G67" s="50">
        <v>0</v>
      </c>
      <c r="H67" s="50">
        <v>0</v>
      </c>
      <c r="I67" s="50">
        <v>1</v>
      </c>
      <c r="J67" s="50">
        <v>0</v>
      </c>
      <c r="K67" s="50">
        <v>0</v>
      </c>
      <c r="L67" s="50">
        <v>0</v>
      </c>
      <c r="M67" s="50">
        <v>2</v>
      </c>
      <c r="N67" s="50">
        <v>0</v>
      </c>
      <c r="O67" s="15">
        <f t="shared" si="0"/>
        <v>10</v>
      </c>
      <c r="P67" s="15">
        <f t="shared" si="1"/>
        <v>12</v>
      </c>
      <c r="R67" s="8"/>
      <c r="T67"/>
    </row>
    <row r="68" spans="2:20" ht="23.1" customHeight="1" x14ac:dyDescent="0.25">
      <c r="B68" s="45" t="s">
        <v>105</v>
      </c>
      <c r="C68" s="50">
        <v>0</v>
      </c>
      <c r="D68" s="50">
        <v>0</v>
      </c>
      <c r="E68" s="50">
        <v>0</v>
      </c>
      <c r="F68" s="50">
        <v>2</v>
      </c>
      <c r="G68" s="50">
        <v>0</v>
      </c>
      <c r="H68" s="50">
        <v>0</v>
      </c>
      <c r="I68" s="50">
        <v>0</v>
      </c>
      <c r="J68" s="50">
        <v>0</v>
      </c>
      <c r="K68" s="50">
        <v>0</v>
      </c>
      <c r="L68" s="50">
        <v>1</v>
      </c>
      <c r="M68" s="50">
        <v>1</v>
      </c>
      <c r="N68" s="50">
        <v>0</v>
      </c>
      <c r="O68" s="15">
        <f t="shared" si="0"/>
        <v>3</v>
      </c>
      <c r="P68" s="15">
        <f t="shared" si="1"/>
        <v>4</v>
      </c>
      <c r="R68" s="8"/>
      <c r="T68"/>
    </row>
    <row r="69" spans="2:20" ht="23.1" customHeight="1" x14ac:dyDescent="0.25">
      <c r="B69" s="45" t="s">
        <v>106</v>
      </c>
      <c r="C69" s="50">
        <v>0</v>
      </c>
      <c r="D69" s="50">
        <v>0</v>
      </c>
      <c r="E69" s="50">
        <v>1</v>
      </c>
      <c r="F69" s="50">
        <v>6</v>
      </c>
      <c r="G69" s="50">
        <v>0</v>
      </c>
      <c r="H69" s="50">
        <v>0</v>
      </c>
      <c r="I69" s="50">
        <v>1</v>
      </c>
      <c r="J69" s="50">
        <v>0</v>
      </c>
      <c r="K69" s="50">
        <v>0</v>
      </c>
      <c r="L69" s="50">
        <v>0</v>
      </c>
      <c r="M69" s="50">
        <v>1</v>
      </c>
      <c r="N69" s="50">
        <v>0</v>
      </c>
      <c r="O69" s="15">
        <f t="shared" si="0"/>
        <v>8</v>
      </c>
      <c r="P69" s="15">
        <f t="shared" si="1"/>
        <v>9</v>
      </c>
      <c r="R69" s="8"/>
      <c r="T69"/>
    </row>
    <row r="70" spans="2:20" ht="23.1" customHeight="1" x14ac:dyDescent="0.25">
      <c r="B70" s="45" t="s">
        <v>110</v>
      </c>
      <c r="C70" s="50">
        <v>0</v>
      </c>
      <c r="D70" s="50">
        <v>0</v>
      </c>
      <c r="E70" s="50">
        <v>0</v>
      </c>
      <c r="F70" s="50">
        <v>2</v>
      </c>
      <c r="G70" s="50">
        <v>0</v>
      </c>
      <c r="H70" s="50">
        <v>0</v>
      </c>
      <c r="I70" s="50">
        <v>1</v>
      </c>
      <c r="J70" s="50">
        <v>0</v>
      </c>
      <c r="K70" s="50">
        <v>0</v>
      </c>
      <c r="L70" s="50">
        <v>3</v>
      </c>
      <c r="M70" s="50">
        <v>0</v>
      </c>
      <c r="N70" s="50">
        <v>0</v>
      </c>
      <c r="O70" s="15">
        <f t="shared" si="0"/>
        <v>6</v>
      </c>
      <c r="P70" s="15">
        <f t="shared" si="1"/>
        <v>6</v>
      </c>
      <c r="R70" s="8"/>
      <c r="T70"/>
    </row>
    <row r="71" spans="2:20" ht="23.1" customHeight="1" x14ac:dyDescent="0.25">
      <c r="B71" s="45" t="s">
        <v>111</v>
      </c>
      <c r="C71" s="50">
        <v>3</v>
      </c>
      <c r="D71" s="50">
        <v>0</v>
      </c>
      <c r="E71" s="50">
        <v>0</v>
      </c>
      <c r="F71" s="50">
        <v>2</v>
      </c>
      <c r="G71" s="50">
        <v>0</v>
      </c>
      <c r="H71" s="50">
        <v>0</v>
      </c>
      <c r="I71" s="50">
        <v>0</v>
      </c>
      <c r="J71" s="50">
        <v>0</v>
      </c>
      <c r="K71" s="50">
        <v>0</v>
      </c>
      <c r="L71" s="50">
        <v>1</v>
      </c>
      <c r="M71" s="50">
        <v>1</v>
      </c>
      <c r="N71" s="50">
        <v>0</v>
      </c>
      <c r="O71" s="15">
        <f t="shared" si="0"/>
        <v>6</v>
      </c>
      <c r="P71" s="15">
        <f t="shared" si="1"/>
        <v>7</v>
      </c>
      <c r="R71" s="8"/>
      <c r="T71"/>
    </row>
    <row r="72" spans="2:20" ht="23.1" customHeight="1" x14ac:dyDescent="0.25">
      <c r="B72" s="45" t="s">
        <v>112</v>
      </c>
      <c r="C72" s="50">
        <v>2</v>
      </c>
      <c r="D72" s="50">
        <v>0</v>
      </c>
      <c r="E72" s="50">
        <v>0</v>
      </c>
      <c r="F72" s="50">
        <v>3</v>
      </c>
      <c r="G72" s="50">
        <v>0</v>
      </c>
      <c r="H72" s="50">
        <v>0</v>
      </c>
      <c r="I72" s="50">
        <v>1</v>
      </c>
      <c r="J72" s="50">
        <v>0</v>
      </c>
      <c r="K72" s="50">
        <v>0</v>
      </c>
      <c r="L72" s="50">
        <v>0</v>
      </c>
      <c r="M72" s="50">
        <v>1</v>
      </c>
      <c r="N72" s="50">
        <v>0</v>
      </c>
      <c r="O72" s="15">
        <f t="shared" si="0"/>
        <v>6</v>
      </c>
      <c r="P72" s="15">
        <f t="shared" si="1"/>
        <v>7</v>
      </c>
      <c r="R72" s="8"/>
      <c r="T72"/>
    </row>
    <row r="73" spans="2:20" ht="23.1" customHeight="1" x14ac:dyDescent="0.25">
      <c r="B73" s="45" t="s">
        <v>113</v>
      </c>
      <c r="C73" s="50">
        <v>2</v>
      </c>
      <c r="D73" s="50">
        <v>0</v>
      </c>
      <c r="E73" s="50">
        <v>0</v>
      </c>
      <c r="F73" s="50">
        <v>1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0</v>
      </c>
      <c r="N73" s="50">
        <v>0</v>
      </c>
      <c r="O73" s="15">
        <f t="shared" si="0"/>
        <v>3</v>
      </c>
      <c r="P73" s="15">
        <f t="shared" si="1"/>
        <v>3</v>
      </c>
      <c r="R73" s="8"/>
      <c r="T73"/>
    </row>
    <row r="74" spans="2:20" ht="23.1" customHeight="1" x14ac:dyDescent="0.25">
      <c r="B74" s="45" t="s">
        <v>114</v>
      </c>
      <c r="C74" s="50">
        <v>2</v>
      </c>
      <c r="D74" s="50">
        <v>0</v>
      </c>
      <c r="E74" s="50">
        <v>0</v>
      </c>
      <c r="F74" s="50">
        <v>2</v>
      </c>
      <c r="G74" s="50">
        <v>0</v>
      </c>
      <c r="H74" s="50">
        <v>2</v>
      </c>
      <c r="I74" s="50">
        <v>0</v>
      </c>
      <c r="J74" s="50">
        <v>0</v>
      </c>
      <c r="K74" s="50">
        <v>0</v>
      </c>
      <c r="L74" s="50">
        <v>2</v>
      </c>
      <c r="M74" s="50">
        <v>0</v>
      </c>
      <c r="N74" s="50">
        <v>0</v>
      </c>
      <c r="O74" s="15">
        <f t="shared" ref="O74:O105" si="35">SUM(C74:L74,N74)</f>
        <v>8</v>
      </c>
      <c r="P74" s="15">
        <f t="shared" ref="P74:P105" si="36">SUM(C74:N74)</f>
        <v>8</v>
      </c>
      <c r="R74" s="8"/>
      <c r="T74"/>
    </row>
    <row r="75" spans="2:20" ht="23.1" customHeight="1" x14ac:dyDescent="0.25">
      <c r="B75" s="45" t="s">
        <v>115</v>
      </c>
      <c r="C75" s="50">
        <v>0</v>
      </c>
      <c r="D75" s="50">
        <v>0</v>
      </c>
      <c r="E75" s="50">
        <v>1</v>
      </c>
      <c r="F75" s="50">
        <v>2</v>
      </c>
      <c r="G75" s="50">
        <v>0</v>
      </c>
      <c r="H75" s="50">
        <v>1</v>
      </c>
      <c r="I75" s="50">
        <v>0</v>
      </c>
      <c r="J75" s="50">
        <v>0</v>
      </c>
      <c r="K75" s="50">
        <v>0</v>
      </c>
      <c r="L75" s="50">
        <v>0</v>
      </c>
      <c r="M75" s="50">
        <v>2</v>
      </c>
      <c r="N75" s="50">
        <v>0</v>
      </c>
      <c r="O75" s="15">
        <f t="shared" si="35"/>
        <v>4</v>
      </c>
      <c r="P75" s="15">
        <f t="shared" si="36"/>
        <v>6</v>
      </c>
      <c r="R75" s="8"/>
      <c r="T75"/>
    </row>
    <row r="76" spans="2:20" ht="23.1" customHeight="1" x14ac:dyDescent="0.25">
      <c r="B76" s="45" t="s">
        <v>116</v>
      </c>
      <c r="C76" s="50">
        <v>2</v>
      </c>
      <c r="D76" s="50">
        <v>0</v>
      </c>
      <c r="E76" s="50">
        <v>0</v>
      </c>
      <c r="F76" s="50">
        <v>3</v>
      </c>
      <c r="G76" s="50">
        <v>0</v>
      </c>
      <c r="H76" s="50">
        <v>2</v>
      </c>
      <c r="I76" s="50">
        <v>0</v>
      </c>
      <c r="J76" s="50">
        <v>0</v>
      </c>
      <c r="K76" s="50">
        <v>0</v>
      </c>
      <c r="L76" s="50">
        <v>0</v>
      </c>
      <c r="M76" s="50">
        <v>0</v>
      </c>
      <c r="N76" s="50">
        <v>0</v>
      </c>
      <c r="O76" s="15">
        <f t="shared" si="35"/>
        <v>7</v>
      </c>
      <c r="P76" s="15">
        <f t="shared" si="36"/>
        <v>7</v>
      </c>
      <c r="R76" s="8"/>
      <c r="T76"/>
    </row>
    <row r="77" spans="2:20" ht="23.1" customHeight="1" x14ac:dyDescent="0.25">
      <c r="B77" s="45" t="s">
        <v>117</v>
      </c>
      <c r="C77" s="50">
        <v>0</v>
      </c>
      <c r="D77" s="50">
        <v>0</v>
      </c>
      <c r="E77" s="50">
        <v>0</v>
      </c>
      <c r="F77" s="50">
        <v>1</v>
      </c>
      <c r="G77" s="50">
        <v>0</v>
      </c>
      <c r="H77" s="50">
        <v>1</v>
      </c>
      <c r="I77" s="50">
        <v>0</v>
      </c>
      <c r="J77" s="50">
        <v>0</v>
      </c>
      <c r="K77" s="50">
        <v>0</v>
      </c>
      <c r="L77" s="50">
        <v>2</v>
      </c>
      <c r="M77" s="50">
        <v>0</v>
      </c>
      <c r="N77" s="50">
        <v>0</v>
      </c>
      <c r="O77" s="15">
        <f t="shared" si="35"/>
        <v>4</v>
      </c>
      <c r="P77" s="15">
        <f t="shared" si="36"/>
        <v>4</v>
      </c>
      <c r="R77" s="8"/>
      <c r="T77"/>
    </row>
    <row r="78" spans="2:20" ht="23.1" customHeight="1" x14ac:dyDescent="0.25">
      <c r="B78" s="46" t="s">
        <v>118</v>
      </c>
      <c r="C78" s="50">
        <v>3</v>
      </c>
      <c r="D78" s="50">
        <v>0</v>
      </c>
      <c r="E78" s="50">
        <v>0</v>
      </c>
      <c r="F78" s="50">
        <v>1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1</v>
      </c>
      <c r="M78" s="50">
        <v>0</v>
      </c>
      <c r="N78" s="50">
        <v>0</v>
      </c>
      <c r="O78" s="15">
        <f t="shared" si="35"/>
        <v>5</v>
      </c>
      <c r="P78" s="15">
        <f t="shared" si="36"/>
        <v>5</v>
      </c>
      <c r="R78" s="8"/>
      <c r="T78"/>
    </row>
    <row r="79" spans="2:20" ht="23.1" customHeight="1" x14ac:dyDescent="0.25">
      <c r="B79" s="45" t="s">
        <v>119</v>
      </c>
      <c r="C79" s="50">
        <v>2</v>
      </c>
      <c r="D79" s="50">
        <v>0</v>
      </c>
      <c r="E79" s="50">
        <v>0</v>
      </c>
      <c r="F79" s="50">
        <v>2</v>
      </c>
      <c r="G79" s="50">
        <v>0</v>
      </c>
      <c r="H79" s="50">
        <v>0</v>
      </c>
      <c r="I79" s="50">
        <v>1</v>
      </c>
      <c r="J79" s="50">
        <v>0</v>
      </c>
      <c r="K79" s="50">
        <v>0</v>
      </c>
      <c r="L79" s="50">
        <v>0</v>
      </c>
      <c r="M79" s="50">
        <v>3</v>
      </c>
      <c r="N79" s="50">
        <v>0</v>
      </c>
      <c r="O79" s="15">
        <f t="shared" si="35"/>
        <v>5</v>
      </c>
      <c r="P79" s="15">
        <f t="shared" si="36"/>
        <v>8</v>
      </c>
      <c r="R79" s="8"/>
      <c r="T79"/>
    </row>
    <row r="80" spans="2:20" ht="23.1" customHeight="1" x14ac:dyDescent="0.25">
      <c r="B80" s="47" t="s">
        <v>120</v>
      </c>
      <c r="C80" s="50">
        <v>3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2</v>
      </c>
      <c r="J80" s="50">
        <v>0</v>
      </c>
      <c r="K80" s="50">
        <v>0</v>
      </c>
      <c r="L80" s="50">
        <v>0</v>
      </c>
      <c r="M80" s="50">
        <v>1</v>
      </c>
      <c r="N80" s="50">
        <v>0</v>
      </c>
      <c r="O80" s="15">
        <f t="shared" si="35"/>
        <v>5</v>
      </c>
      <c r="P80" s="15">
        <f t="shared" si="36"/>
        <v>6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0</v>
      </c>
      <c r="F81" s="50">
        <v>2</v>
      </c>
      <c r="G81" s="50">
        <v>0</v>
      </c>
      <c r="H81" s="50">
        <v>1</v>
      </c>
      <c r="I81" s="50">
        <v>0</v>
      </c>
      <c r="J81" s="50">
        <v>0</v>
      </c>
      <c r="K81" s="50">
        <v>0</v>
      </c>
      <c r="L81" s="50">
        <v>1</v>
      </c>
      <c r="M81" s="50">
        <v>0</v>
      </c>
      <c r="N81" s="50">
        <v>0</v>
      </c>
      <c r="O81" s="15">
        <f t="shared" si="35"/>
        <v>4</v>
      </c>
      <c r="P81" s="15">
        <f t="shared" si="36"/>
        <v>4</v>
      </c>
      <c r="R81" s="8"/>
      <c r="T81"/>
    </row>
    <row r="82" spans="2:20" ht="23.1" customHeight="1" x14ac:dyDescent="0.25">
      <c r="B82" s="46" t="s">
        <v>122</v>
      </c>
      <c r="C82" s="50">
        <v>3</v>
      </c>
      <c r="D82" s="50">
        <v>0</v>
      </c>
      <c r="E82" s="50">
        <v>1</v>
      </c>
      <c r="F82" s="50">
        <v>2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1</v>
      </c>
      <c r="M82" s="50">
        <v>1</v>
      </c>
      <c r="N82" s="50">
        <v>0</v>
      </c>
      <c r="O82" s="15">
        <f t="shared" si="35"/>
        <v>7</v>
      </c>
      <c r="P82" s="15">
        <f t="shared" si="36"/>
        <v>8</v>
      </c>
      <c r="R82" s="8"/>
      <c r="T82"/>
    </row>
    <row r="83" spans="2:20" ht="23.1" customHeight="1" x14ac:dyDescent="0.25">
      <c r="B83" s="45" t="s">
        <v>123</v>
      </c>
      <c r="C83" s="50">
        <v>2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0</v>
      </c>
      <c r="N83" s="50">
        <v>0</v>
      </c>
      <c r="O83" s="15">
        <f t="shared" si="35"/>
        <v>2</v>
      </c>
      <c r="P83" s="15">
        <f t="shared" si="36"/>
        <v>2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1</v>
      </c>
      <c r="G84" s="50">
        <v>0</v>
      </c>
      <c r="H84" s="50">
        <v>0</v>
      </c>
      <c r="I84" s="50">
        <v>2</v>
      </c>
      <c r="J84" s="50">
        <v>0</v>
      </c>
      <c r="K84" s="50">
        <v>0</v>
      </c>
      <c r="L84" s="50">
        <v>0</v>
      </c>
      <c r="M84" s="50">
        <v>0</v>
      </c>
      <c r="N84" s="50">
        <v>0</v>
      </c>
      <c r="O84" s="15">
        <f t="shared" si="35"/>
        <v>3</v>
      </c>
      <c r="P84" s="15">
        <f t="shared" si="36"/>
        <v>3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3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0</v>
      </c>
      <c r="N85" s="50">
        <v>0</v>
      </c>
      <c r="O85" s="15">
        <f t="shared" si="35"/>
        <v>3</v>
      </c>
      <c r="P85" s="15">
        <f t="shared" si="36"/>
        <v>3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3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0</v>
      </c>
      <c r="N86" s="50">
        <v>0</v>
      </c>
      <c r="O86" s="15">
        <f t="shared" si="35"/>
        <v>3</v>
      </c>
      <c r="P86" s="15">
        <f t="shared" si="36"/>
        <v>3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3</v>
      </c>
      <c r="G87" s="50">
        <v>0</v>
      </c>
      <c r="H87" s="50">
        <v>0</v>
      </c>
      <c r="I87" s="50">
        <v>1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4</v>
      </c>
      <c r="P87" s="15">
        <f t="shared" si="36"/>
        <v>4</v>
      </c>
      <c r="R87" s="8"/>
      <c r="T87"/>
    </row>
    <row r="88" spans="2:20" ht="23.1" customHeight="1" x14ac:dyDescent="0.25">
      <c r="B88" s="47" t="s">
        <v>128</v>
      </c>
      <c r="C88" s="50">
        <v>2</v>
      </c>
      <c r="D88" s="50">
        <v>0</v>
      </c>
      <c r="E88" s="50">
        <v>1</v>
      </c>
      <c r="F88" s="50">
        <v>1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2</v>
      </c>
      <c r="M88" s="50">
        <v>0</v>
      </c>
      <c r="N88" s="50">
        <v>0</v>
      </c>
      <c r="O88" s="15">
        <f t="shared" si="35"/>
        <v>6</v>
      </c>
      <c r="P88" s="15">
        <f t="shared" si="36"/>
        <v>6</v>
      </c>
      <c r="R88" s="8"/>
      <c r="T88"/>
    </row>
    <row r="89" spans="2:20" ht="23.1" customHeight="1" x14ac:dyDescent="0.25">
      <c r="B89" s="45" t="s">
        <v>129</v>
      </c>
      <c r="C89" s="50">
        <v>2</v>
      </c>
      <c r="D89" s="50">
        <v>0</v>
      </c>
      <c r="E89" s="50">
        <v>0</v>
      </c>
      <c r="F89" s="50">
        <v>1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3</v>
      </c>
      <c r="P89" s="15">
        <f t="shared" si="36"/>
        <v>3</v>
      </c>
      <c r="R89" s="8"/>
      <c r="T89"/>
    </row>
    <row r="90" spans="2:20" ht="23.1" customHeight="1" x14ac:dyDescent="0.25">
      <c r="B90" s="46" t="s">
        <v>130</v>
      </c>
      <c r="C90" s="50">
        <v>3</v>
      </c>
      <c r="D90" s="50">
        <v>0</v>
      </c>
      <c r="E90" s="50">
        <v>1</v>
      </c>
      <c r="F90" s="50">
        <v>1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2</v>
      </c>
      <c r="M90" s="50">
        <v>0</v>
      </c>
      <c r="N90" s="50">
        <v>0</v>
      </c>
      <c r="O90" s="15">
        <f t="shared" si="35"/>
        <v>7</v>
      </c>
      <c r="P90" s="15">
        <f t="shared" si="36"/>
        <v>7</v>
      </c>
      <c r="R90" s="8"/>
      <c r="T90"/>
    </row>
    <row r="91" spans="2:20" ht="23.1" customHeight="1" x14ac:dyDescent="0.25">
      <c r="B91" s="45" t="s">
        <v>131</v>
      </c>
      <c r="C91" s="50">
        <v>3</v>
      </c>
      <c r="D91" s="50">
        <v>0</v>
      </c>
      <c r="E91" s="50">
        <v>0</v>
      </c>
      <c r="F91" s="50">
        <v>3</v>
      </c>
      <c r="G91" s="50">
        <v>0</v>
      </c>
      <c r="H91" s="50">
        <v>0</v>
      </c>
      <c r="I91" s="50">
        <v>2</v>
      </c>
      <c r="J91" s="50">
        <v>0</v>
      </c>
      <c r="K91" s="50">
        <v>0</v>
      </c>
      <c r="L91" s="50">
        <v>0</v>
      </c>
      <c r="M91" s="50">
        <v>2</v>
      </c>
      <c r="N91" s="50">
        <v>0</v>
      </c>
      <c r="O91" s="15">
        <f t="shared" si="35"/>
        <v>8</v>
      </c>
      <c r="P91" s="15">
        <f t="shared" si="36"/>
        <v>10</v>
      </c>
      <c r="R91" s="8"/>
      <c r="T91"/>
    </row>
    <row r="92" spans="2:20" ht="23.1" customHeight="1" x14ac:dyDescent="0.25">
      <c r="B92" s="47" t="s">
        <v>132</v>
      </c>
      <c r="C92" s="50">
        <v>1</v>
      </c>
      <c r="D92" s="50">
        <v>0</v>
      </c>
      <c r="E92" s="50">
        <v>3</v>
      </c>
      <c r="F92" s="50">
        <v>0</v>
      </c>
      <c r="G92" s="50">
        <v>0</v>
      </c>
      <c r="H92" s="50">
        <v>1</v>
      </c>
      <c r="I92" s="50">
        <v>0</v>
      </c>
      <c r="J92" s="50">
        <v>0</v>
      </c>
      <c r="K92" s="50">
        <v>0</v>
      </c>
      <c r="L92" s="50">
        <v>2</v>
      </c>
      <c r="M92" s="50">
        <v>4</v>
      </c>
      <c r="N92" s="50">
        <v>0</v>
      </c>
      <c r="O92" s="15">
        <f t="shared" si="35"/>
        <v>7</v>
      </c>
      <c r="P92" s="15">
        <f t="shared" si="36"/>
        <v>11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2</v>
      </c>
      <c r="F93" s="50">
        <v>6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5"/>
        <v>8</v>
      </c>
      <c r="P93" s="15">
        <f t="shared" si="36"/>
        <v>8</v>
      </c>
      <c r="R93" s="8"/>
      <c r="T93"/>
    </row>
    <row r="94" spans="2:20" ht="23.1" customHeight="1" x14ac:dyDescent="0.25">
      <c r="B94" s="46" t="s">
        <v>134</v>
      </c>
      <c r="C94" s="50">
        <v>3</v>
      </c>
      <c r="D94" s="50">
        <v>0</v>
      </c>
      <c r="E94" s="50">
        <v>0</v>
      </c>
      <c r="F94" s="50">
        <v>2</v>
      </c>
      <c r="G94" s="50">
        <v>0</v>
      </c>
      <c r="H94" s="50">
        <v>1</v>
      </c>
      <c r="I94" s="50">
        <v>2</v>
      </c>
      <c r="J94" s="50">
        <v>0</v>
      </c>
      <c r="K94" s="50">
        <v>0</v>
      </c>
      <c r="L94" s="50">
        <v>0</v>
      </c>
      <c r="M94" s="50">
        <v>3</v>
      </c>
      <c r="N94" s="50">
        <v>0</v>
      </c>
      <c r="O94" s="15">
        <f t="shared" si="35"/>
        <v>8</v>
      </c>
      <c r="P94" s="15">
        <f t="shared" si="36"/>
        <v>11</v>
      </c>
      <c r="R94" s="8"/>
      <c r="T94"/>
    </row>
    <row r="95" spans="2:20" ht="23.1" customHeight="1" x14ac:dyDescent="0.25">
      <c r="B95" s="45" t="s">
        <v>135</v>
      </c>
      <c r="C95" s="50">
        <v>2</v>
      </c>
      <c r="D95" s="50">
        <v>0</v>
      </c>
      <c r="E95" s="50">
        <v>0</v>
      </c>
      <c r="F95" s="50">
        <v>2</v>
      </c>
      <c r="G95" s="50">
        <v>0</v>
      </c>
      <c r="H95" s="50">
        <v>1</v>
      </c>
      <c r="I95" s="50">
        <v>0</v>
      </c>
      <c r="J95" s="50">
        <v>0</v>
      </c>
      <c r="K95" s="50">
        <v>0</v>
      </c>
      <c r="L95" s="50">
        <v>1</v>
      </c>
      <c r="M95" s="50">
        <v>1</v>
      </c>
      <c r="N95" s="50">
        <v>0</v>
      </c>
      <c r="O95" s="15">
        <f t="shared" si="35"/>
        <v>6</v>
      </c>
      <c r="P95" s="15">
        <f t="shared" si="36"/>
        <v>7</v>
      </c>
      <c r="R95" s="8"/>
      <c r="T95"/>
    </row>
    <row r="96" spans="2:20" ht="23.1" customHeight="1" x14ac:dyDescent="0.25">
      <c r="B96" s="47" t="s">
        <v>136</v>
      </c>
      <c r="C96" s="50">
        <v>1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1</v>
      </c>
      <c r="J96" s="50">
        <v>0</v>
      </c>
      <c r="K96" s="50">
        <v>0</v>
      </c>
      <c r="L96" s="50">
        <v>0</v>
      </c>
      <c r="M96" s="50">
        <v>2</v>
      </c>
      <c r="N96" s="50">
        <v>0</v>
      </c>
      <c r="O96" s="15">
        <f t="shared" si="35"/>
        <v>2</v>
      </c>
      <c r="P96" s="15">
        <f t="shared" si="36"/>
        <v>4</v>
      </c>
      <c r="R96" s="8"/>
      <c r="T96"/>
    </row>
    <row r="97" spans="2:20" ht="23.1" customHeight="1" x14ac:dyDescent="0.25">
      <c r="B97" s="45" t="s">
        <v>137</v>
      </c>
      <c r="C97" s="50">
        <v>3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1</v>
      </c>
      <c r="M97" s="50">
        <v>0</v>
      </c>
      <c r="N97" s="50">
        <v>0</v>
      </c>
      <c r="O97" s="15">
        <f t="shared" si="35"/>
        <v>4</v>
      </c>
      <c r="P97" s="15">
        <f t="shared" si="36"/>
        <v>4</v>
      </c>
      <c r="R97" s="8"/>
      <c r="T97"/>
    </row>
    <row r="98" spans="2:20" ht="23.1" customHeight="1" x14ac:dyDescent="0.25">
      <c r="B98" s="46" t="s">
        <v>138</v>
      </c>
      <c r="C98" s="50">
        <v>1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2</v>
      </c>
      <c r="N98" s="50">
        <v>0</v>
      </c>
      <c r="O98" s="15">
        <f t="shared" si="35"/>
        <v>1</v>
      </c>
      <c r="P98" s="15">
        <f t="shared" si="36"/>
        <v>3</v>
      </c>
      <c r="R98" s="8"/>
      <c r="T98"/>
    </row>
    <row r="99" spans="2:20" ht="23.1" customHeight="1" x14ac:dyDescent="0.25">
      <c r="B99" s="45" t="s">
        <v>139</v>
      </c>
      <c r="C99" s="50">
        <v>2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3</v>
      </c>
      <c r="N99" s="50">
        <v>0</v>
      </c>
      <c r="O99" s="15">
        <f t="shared" si="35"/>
        <v>2</v>
      </c>
      <c r="P99" s="15">
        <f t="shared" si="36"/>
        <v>5</v>
      </c>
      <c r="R99" s="8"/>
      <c r="T99"/>
    </row>
    <row r="100" spans="2:20" ht="23.1" customHeight="1" x14ac:dyDescent="0.25">
      <c r="B100" s="47" t="s">
        <v>140</v>
      </c>
      <c r="C100" s="50">
        <v>1</v>
      </c>
      <c r="D100" s="50">
        <v>0</v>
      </c>
      <c r="E100" s="50">
        <v>1</v>
      </c>
      <c r="F100" s="50">
        <v>2</v>
      </c>
      <c r="G100" s="50">
        <v>0</v>
      </c>
      <c r="H100" s="50">
        <v>1</v>
      </c>
      <c r="I100" s="50">
        <v>0</v>
      </c>
      <c r="J100" s="50">
        <v>0</v>
      </c>
      <c r="K100" s="50">
        <v>0</v>
      </c>
      <c r="L100" s="50">
        <v>0</v>
      </c>
      <c r="M100" s="50">
        <v>0</v>
      </c>
      <c r="N100" s="50">
        <v>0</v>
      </c>
      <c r="O100" s="15">
        <f t="shared" si="35"/>
        <v>5</v>
      </c>
      <c r="P100" s="15">
        <f t="shared" si="36"/>
        <v>5</v>
      </c>
      <c r="R100" s="8"/>
      <c r="T100"/>
    </row>
    <row r="101" spans="2:20" ht="23.1" customHeight="1" x14ac:dyDescent="0.25">
      <c r="B101" s="45" t="s">
        <v>141</v>
      </c>
      <c r="C101" s="50">
        <v>2</v>
      </c>
      <c r="D101" s="50">
        <v>0</v>
      </c>
      <c r="E101" s="50">
        <v>3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1</v>
      </c>
      <c r="M101" s="50">
        <v>0</v>
      </c>
      <c r="N101" s="50">
        <v>0</v>
      </c>
      <c r="O101" s="15">
        <f t="shared" si="35"/>
        <v>6</v>
      </c>
      <c r="P101" s="15">
        <f t="shared" si="36"/>
        <v>6</v>
      </c>
      <c r="R101" s="8"/>
      <c r="T101"/>
    </row>
    <row r="102" spans="2:20" ht="23.1" customHeight="1" x14ac:dyDescent="0.25">
      <c r="B102" s="46" t="s">
        <v>142</v>
      </c>
      <c r="C102" s="50">
        <v>3</v>
      </c>
      <c r="D102" s="50">
        <v>0</v>
      </c>
      <c r="E102" s="50">
        <v>0</v>
      </c>
      <c r="F102" s="50">
        <v>2</v>
      </c>
      <c r="G102" s="50">
        <v>0</v>
      </c>
      <c r="H102" s="50">
        <v>1</v>
      </c>
      <c r="I102" s="50">
        <v>0</v>
      </c>
      <c r="J102" s="50">
        <v>0</v>
      </c>
      <c r="K102" s="50">
        <v>0</v>
      </c>
      <c r="L102" s="50">
        <v>2</v>
      </c>
      <c r="M102" s="50">
        <v>3</v>
      </c>
      <c r="N102" s="50">
        <v>0</v>
      </c>
      <c r="O102" s="15">
        <f t="shared" si="35"/>
        <v>8</v>
      </c>
      <c r="P102" s="15">
        <f t="shared" si="36"/>
        <v>11</v>
      </c>
      <c r="R102" s="8"/>
      <c r="T102"/>
    </row>
    <row r="103" spans="2:20" ht="23.1" customHeight="1" x14ac:dyDescent="0.25">
      <c r="B103" s="45" t="s">
        <v>143</v>
      </c>
      <c r="C103" s="50">
        <v>2</v>
      </c>
      <c r="D103" s="50">
        <v>0</v>
      </c>
      <c r="E103" s="50">
        <v>1</v>
      </c>
      <c r="F103" s="50">
        <v>1</v>
      </c>
      <c r="G103" s="50">
        <v>0</v>
      </c>
      <c r="H103" s="50">
        <v>0</v>
      </c>
      <c r="I103" s="50">
        <v>0</v>
      </c>
      <c r="J103" s="50">
        <v>0</v>
      </c>
      <c r="K103" s="50">
        <v>0</v>
      </c>
      <c r="L103" s="50">
        <v>0</v>
      </c>
      <c r="M103" s="50">
        <v>2</v>
      </c>
      <c r="N103" s="50">
        <v>0</v>
      </c>
      <c r="O103" s="15">
        <f t="shared" si="35"/>
        <v>4</v>
      </c>
      <c r="P103" s="15">
        <f t="shared" si="36"/>
        <v>6</v>
      </c>
      <c r="R103" s="8"/>
      <c r="T103"/>
    </row>
    <row r="104" spans="2:20" ht="23.1" customHeight="1" x14ac:dyDescent="0.25">
      <c r="B104" s="47" t="s">
        <v>144</v>
      </c>
      <c r="C104" s="50">
        <v>1</v>
      </c>
      <c r="D104" s="50">
        <v>0</v>
      </c>
      <c r="E104" s="50">
        <v>0</v>
      </c>
      <c r="F104" s="50">
        <v>1</v>
      </c>
      <c r="G104" s="50">
        <v>0</v>
      </c>
      <c r="H104" s="50">
        <v>2</v>
      </c>
      <c r="I104" s="50">
        <v>1</v>
      </c>
      <c r="J104" s="50">
        <v>0</v>
      </c>
      <c r="K104" s="50">
        <v>0</v>
      </c>
      <c r="L104" s="50">
        <v>0</v>
      </c>
      <c r="M104" s="50">
        <v>5</v>
      </c>
      <c r="N104" s="50">
        <v>0</v>
      </c>
      <c r="O104" s="15">
        <f t="shared" si="35"/>
        <v>5</v>
      </c>
      <c r="P104" s="15">
        <f t="shared" si="36"/>
        <v>10</v>
      </c>
      <c r="R104" s="8"/>
      <c r="T104"/>
    </row>
    <row r="105" spans="2:20" ht="23.1" customHeight="1" x14ac:dyDescent="0.25">
      <c r="B105" s="45" t="s">
        <v>145</v>
      </c>
      <c r="C105" s="50">
        <v>0</v>
      </c>
      <c r="D105" s="50">
        <v>0</v>
      </c>
      <c r="E105" s="50">
        <v>2</v>
      </c>
      <c r="F105" s="50">
        <v>3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v>2</v>
      </c>
      <c r="M105" s="50">
        <v>4</v>
      </c>
      <c r="N105" s="50">
        <v>0</v>
      </c>
      <c r="O105" s="15">
        <f t="shared" si="35"/>
        <v>7</v>
      </c>
      <c r="P105" s="15">
        <f t="shared" si="36"/>
        <v>11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291</v>
      </c>
      <c r="D106" s="16">
        <f t="shared" ref="D106:P106" si="37">SUM(D10:D105)</f>
        <v>0</v>
      </c>
      <c r="E106" s="16">
        <f t="shared" si="37"/>
        <v>106</v>
      </c>
      <c r="F106" s="16">
        <f t="shared" si="37"/>
        <v>213</v>
      </c>
      <c r="G106" s="16">
        <f t="shared" si="37"/>
        <v>4</v>
      </c>
      <c r="H106" s="16">
        <f t="shared" si="37"/>
        <v>29</v>
      </c>
      <c r="I106" s="16">
        <f t="shared" si="37"/>
        <v>78</v>
      </c>
      <c r="J106" s="16">
        <f t="shared" si="37"/>
        <v>11</v>
      </c>
      <c r="K106" s="16">
        <f t="shared" si="37"/>
        <v>2</v>
      </c>
      <c r="L106" s="16">
        <f t="shared" si="37"/>
        <v>66</v>
      </c>
      <c r="M106" s="16">
        <f t="shared" si="37"/>
        <v>189</v>
      </c>
      <c r="N106" s="16">
        <f t="shared" si="37"/>
        <v>4</v>
      </c>
      <c r="O106" s="16">
        <f t="shared" si="37"/>
        <v>804</v>
      </c>
      <c r="P106" s="16">
        <f t="shared" si="37"/>
        <v>993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0.29305135951661632</v>
      </c>
      <c r="D107" s="43">
        <f t="shared" si="38"/>
        <v>0</v>
      </c>
      <c r="E107" s="43">
        <f t="shared" si="38"/>
        <v>0.1067472306143001</v>
      </c>
      <c r="F107" s="43">
        <f t="shared" si="38"/>
        <v>0.21450151057401812</v>
      </c>
      <c r="G107" s="43">
        <f t="shared" si="38"/>
        <v>4.0281973816717019E-3</v>
      </c>
      <c r="H107" s="43">
        <f t="shared" si="38"/>
        <v>2.920443101711984E-2</v>
      </c>
      <c r="I107" s="43">
        <f t="shared" si="38"/>
        <v>7.8549848942598186E-2</v>
      </c>
      <c r="J107" s="43">
        <f t="shared" si="38"/>
        <v>1.1077542799597181E-2</v>
      </c>
      <c r="K107" s="43">
        <f t="shared" si="38"/>
        <v>2.014098690835851E-3</v>
      </c>
      <c r="L107" s="43">
        <f t="shared" si="38"/>
        <v>6.6465256797583083E-2</v>
      </c>
      <c r="M107" s="43">
        <f t="shared" si="38"/>
        <v>0.19033232628398791</v>
      </c>
      <c r="N107" s="43">
        <f t="shared" si="38"/>
        <v>4.0281973816717019E-3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0.36194029850746268</v>
      </c>
      <c r="D108" s="44">
        <f t="shared" ref="D108:N108" si="39">D106/$O$106</f>
        <v>0</v>
      </c>
      <c r="E108" s="44">
        <f t="shared" si="39"/>
        <v>0.13184079601990051</v>
      </c>
      <c r="F108" s="44">
        <f t="shared" si="39"/>
        <v>0.26492537313432835</v>
      </c>
      <c r="G108" s="44">
        <f t="shared" si="39"/>
        <v>4.9751243781094526E-3</v>
      </c>
      <c r="H108" s="44">
        <f t="shared" si="39"/>
        <v>3.6069651741293535E-2</v>
      </c>
      <c r="I108" s="44">
        <f t="shared" si="39"/>
        <v>9.7014925373134331E-2</v>
      </c>
      <c r="J108" s="44">
        <f t="shared" si="39"/>
        <v>1.3681592039800995E-2</v>
      </c>
      <c r="K108" s="44">
        <f t="shared" si="39"/>
        <v>2.4875621890547263E-3</v>
      </c>
      <c r="L108" s="44">
        <f t="shared" si="39"/>
        <v>8.2089552238805971E-2</v>
      </c>
      <c r="M108" s="44"/>
      <c r="N108" s="44">
        <f t="shared" si="39"/>
        <v>4.9751243781094526E-3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2" tint="-0.249977111117893"/>
  </sheetPr>
  <dimension ref="B1:AF174"/>
  <sheetViews>
    <sheetView view="pageBreakPreview" topLeftCell="A56" zoomScale="60" workbookViewId="0">
      <selection activeCell="I102" sqref="I102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>
        <f>'5.8 KIKORONGO-BWERA'!C3:G3</f>
        <v>0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'10.8 KIKORONGO-BWERA-24HRS'!D5</f>
        <v>27.07.19</v>
      </c>
      <c r="E5" s="3"/>
      <c r="F5" s="41" t="s">
        <v>1</v>
      </c>
      <c r="G5" s="63">
        <f>'10.8 KIKORONGO-BWERA-24HRS'!G5:H5</f>
        <v>0</v>
      </c>
      <c r="H5" s="64"/>
      <c r="I5" s="14"/>
      <c r="J5" s="2" t="s">
        <v>5</v>
      </c>
      <c r="K5" s="63">
        <f>'10.8 KIKORONGO-BWERA-24HRS'!K5:L5</f>
        <v>0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'5.8 BWERA-KIKORONGO'!D6:E6</f>
        <v>Clocktower</v>
      </c>
      <c r="E6" s="64"/>
      <c r="F6" s="2" t="s">
        <v>2</v>
      </c>
      <c r="G6" s="63" t="str">
        <f>'5.8 BWERA-KIKORONGO'!G6:H6</f>
        <v>Nsambya</v>
      </c>
      <c r="H6" s="64"/>
      <c r="J6" s="2" t="s">
        <v>21</v>
      </c>
      <c r="K6" s="63">
        <f>'10.8 KIKORONGO-BWERA-24HRS'!K6:L6</f>
        <v>0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1</v>
      </c>
      <c r="D10" s="50">
        <v>0</v>
      </c>
      <c r="E10" s="50">
        <v>1</v>
      </c>
      <c r="F10" s="50">
        <v>3</v>
      </c>
      <c r="G10" s="50">
        <v>0</v>
      </c>
      <c r="H10" s="50">
        <v>0</v>
      </c>
      <c r="I10" s="50">
        <v>1</v>
      </c>
      <c r="J10" s="50">
        <v>3</v>
      </c>
      <c r="K10" s="50">
        <v>0</v>
      </c>
      <c r="L10" s="50">
        <v>0</v>
      </c>
      <c r="M10" s="50">
        <v>2</v>
      </c>
      <c r="N10" s="50">
        <v>0</v>
      </c>
      <c r="O10" s="15">
        <f t="shared" ref="O10:O73" si="0">SUM(C10:L10,N10)</f>
        <v>9</v>
      </c>
      <c r="P10" s="15">
        <f t="shared" ref="P10:P73" si="1">SUM(C10:N10)</f>
        <v>11</v>
      </c>
      <c r="R10" s="1" t="s">
        <v>6</v>
      </c>
      <c r="S10" s="17">
        <f t="shared" ref="S10:AF10" si="2">SUM(C10:C13)</f>
        <v>7</v>
      </c>
      <c r="T10" s="17">
        <f t="shared" si="2"/>
        <v>0</v>
      </c>
      <c r="U10" s="17">
        <f t="shared" si="2"/>
        <v>1</v>
      </c>
      <c r="V10" s="17">
        <f t="shared" si="2"/>
        <v>5</v>
      </c>
      <c r="W10" s="17">
        <f t="shared" si="2"/>
        <v>0</v>
      </c>
      <c r="X10" s="17">
        <f t="shared" si="2"/>
        <v>0</v>
      </c>
      <c r="Y10" s="17">
        <f t="shared" si="2"/>
        <v>6</v>
      </c>
      <c r="Z10" s="17">
        <f t="shared" si="2"/>
        <v>6</v>
      </c>
      <c r="AA10" s="17">
        <f t="shared" si="2"/>
        <v>1</v>
      </c>
      <c r="AB10" s="17">
        <f t="shared" si="2"/>
        <v>1</v>
      </c>
      <c r="AC10" s="17">
        <f t="shared" si="2"/>
        <v>8</v>
      </c>
      <c r="AD10" s="17">
        <f t="shared" si="2"/>
        <v>0</v>
      </c>
      <c r="AE10" s="31">
        <f t="shared" si="2"/>
        <v>27</v>
      </c>
      <c r="AF10" s="31">
        <f t="shared" si="2"/>
        <v>35</v>
      </c>
    </row>
    <row r="11" spans="2:32" s="6" customFormat="1" ht="23.1" customHeight="1" x14ac:dyDescent="0.25">
      <c r="B11" s="45" t="s">
        <v>38</v>
      </c>
      <c r="C11" s="50">
        <v>3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2</v>
      </c>
      <c r="K11" s="50">
        <v>1</v>
      </c>
      <c r="L11" s="50">
        <v>1</v>
      </c>
      <c r="M11" s="50">
        <v>2</v>
      </c>
      <c r="N11" s="50">
        <v>0</v>
      </c>
      <c r="O11" s="15">
        <f t="shared" si="0"/>
        <v>7</v>
      </c>
      <c r="P11" s="15">
        <f t="shared" si="1"/>
        <v>9</v>
      </c>
      <c r="R11" s="1" t="s">
        <v>7</v>
      </c>
      <c r="S11" s="17">
        <f t="shared" ref="S11:AF11" si="3">SUM(C14:C17)</f>
        <v>19</v>
      </c>
      <c r="T11" s="17">
        <f t="shared" si="3"/>
        <v>0</v>
      </c>
      <c r="U11" s="17">
        <f t="shared" si="3"/>
        <v>3</v>
      </c>
      <c r="V11" s="17">
        <f t="shared" si="3"/>
        <v>9</v>
      </c>
      <c r="W11" s="17">
        <f t="shared" si="3"/>
        <v>0</v>
      </c>
      <c r="X11" s="17">
        <f t="shared" si="3"/>
        <v>1</v>
      </c>
      <c r="Y11" s="17">
        <f t="shared" si="3"/>
        <v>8</v>
      </c>
      <c r="Z11" s="17">
        <f t="shared" si="3"/>
        <v>3</v>
      </c>
      <c r="AA11" s="17">
        <f t="shared" si="3"/>
        <v>0</v>
      </c>
      <c r="AB11" s="17">
        <f t="shared" si="3"/>
        <v>0</v>
      </c>
      <c r="AC11" s="17">
        <f t="shared" si="3"/>
        <v>10</v>
      </c>
      <c r="AD11" s="17">
        <f t="shared" si="3"/>
        <v>0</v>
      </c>
      <c r="AE11" s="31">
        <f t="shared" si="3"/>
        <v>43</v>
      </c>
      <c r="AF11" s="31">
        <f t="shared" si="3"/>
        <v>53</v>
      </c>
    </row>
    <row r="12" spans="2:32" ht="23.1" customHeight="1" x14ac:dyDescent="0.25">
      <c r="B12" s="45" t="s">
        <v>39</v>
      </c>
      <c r="C12" s="50">
        <v>1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1</v>
      </c>
      <c r="J12" s="50">
        <v>1</v>
      </c>
      <c r="K12" s="50">
        <v>0</v>
      </c>
      <c r="L12" s="50">
        <v>0</v>
      </c>
      <c r="M12" s="50">
        <v>3</v>
      </c>
      <c r="N12" s="50">
        <v>0</v>
      </c>
      <c r="O12" s="15">
        <f t="shared" si="0"/>
        <v>3</v>
      </c>
      <c r="P12" s="15">
        <f t="shared" si="1"/>
        <v>6</v>
      </c>
      <c r="R12" s="1" t="s">
        <v>8</v>
      </c>
      <c r="S12" s="17">
        <f t="shared" ref="S12:AF12" si="4">SUM(C18:C21)</f>
        <v>27</v>
      </c>
      <c r="T12" s="17">
        <f t="shared" si="4"/>
        <v>0</v>
      </c>
      <c r="U12" s="17">
        <f t="shared" si="4"/>
        <v>10</v>
      </c>
      <c r="V12" s="17">
        <f t="shared" si="4"/>
        <v>11</v>
      </c>
      <c r="W12" s="17">
        <f t="shared" si="4"/>
        <v>0</v>
      </c>
      <c r="X12" s="17">
        <f t="shared" si="4"/>
        <v>0</v>
      </c>
      <c r="Y12" s="17">
        <f t="shared" si="4"/>
        <v>8</v>
      </c>
      <c r="Z12" s="17">
        <f t="shared" si="4"/>
        <v>0</v>
      </c>
      <c r="AA12" s="17">
        <f t="shared" si="4"/>
        <v>0</v>
      </c>
      <c r="AB12" s="17">
        <f t="shared" si="4"/>
        <v>1</v>
      </c>
      <c r="AC12" s="17">
        <f t="shared" si="4"/>
        <v>22</v>
      </c>
      <c r="AD12" s="17">
        <f t="shared" si="4"/>
        <v>0</v>
      </c>
      <c r="AE12" s="31">
        <f t="shared" si="4"/>
        <v>57</v>
      </c>
      <c r="AF12" s="31">
        <f t="shared" si="4"/>
        <v>79</v>
      </c>
    </row>
    <row r="13" spans="2:32" ht="23.1" customHeight="1" x14ac:dyDescent="0.25">
      <c r="B13" s="45" t="s">
        <v>40</v>
      </c>
      <c r="C13" s="50">
        <v>2</v>
      </c>
      <c r="D13" s="50">
        <v>0</v>
      </c>
      <c r="E13" s="50">
        <v>0</v>
      </c>
      <c r="F13" s="50">
        <v>2</v>
      </c>
      <c r="G13" s="50">
        <v>0</v>
      </c>
      <c r="H13" s="50">
        <v>0</v>
      </c>
      <c r="I13" s="50">
        <v>4</v>
      </c>
      <c r="J13" s="50">
        <v>0</v>
      </c>
      <c r="K13" s="50">
        <v>0</v>
      </c>
      <c r="L13" s="50">
        <v>0</v>
      </c>
      <c r="M13" s="50">
        <v>1</v>
      </c>
      <c r="N13" s="50">
        <v>0</v>
      </c>
      <c r="O13" s="15">
        <f t="shared" si="0"/>
        <v>8</v>
      </c>
      <c r="P13" s="15">
        <f t="shared" si="1"/>
        <v>9</v>
      </c>
      <c r="R13" s="1" t="s">
        <v>9</v>
      </c>
      <c r="S13" s="17">
        <f t="shared" ref="S13:AF13" si="5">SUM(C22:C25)</f>
        <v>22</v>
      </c>
      <c r="T13" s="17">
        <f t="shared" si="5"/>
        <v>0</v>
      </c>
      <c r="U13" s="17">
        <f t="shared" si="5"/>
        <v>11</v>
      </c>
      <c r="V13" s="17">
        <f t="shared" si="5"/>
        <v>17</v>
      </c>
      <c r="W13" s="17">
        <f t="shared" si="5"/>
        <v>0</v>
      </c>
      <c r="X13" s="17">
        <f t="shared" si="5"/>
        <v>0</v>
      </c>
      <c r="Y13" s="17">
        <f t="shared" si="5"/>
        <v>10</v>
      </c>
      <c r="Z13" s="17">
        <f t="shared" si="5"/>
        <v>2</v>
      </c>
      <c r="AA13" s="17">
        <f t="shared" si="5"/>
        <v>0</v>
      </c>
      <c r="AB13" s="17">
        <f t="shared" si="5"/>
        <v>0</v>
      </c>
      <c r="AC13" s="17">
        <f t="shared" si="5"/>
        <v>14</v>
      </c>
      <c r="AD13" s="17">
        <f t="shared" si="5"/>
        <v>0</v>
      </c>
      <c r="AE13" s="31">
        <f t="shared" si="5"/>
        <v>62</v>
      </c>
      <c r="AF13" s="31">
        <f t="shared" si="5"/>
        <v>76</v>
      </c>
    </row>
    <row r="14" spans="2:32" ht="23.1" customHeight="1" x14ac:dyDescent="0.25">
      <c r="B14" s="45" t="s">
        <v>41</v>
      </c>
      <c r="C14" s="50">
        <v>6</v>
      </c>
      <c r="D14" s="50">
        <v>0</v>
      </c>
      <c r="E14" s="50">
        <v>0</v>
      </c>
      <c r="F14" s="50">
        <v>3</v>
      </c>
      <c r="G14" s="50">
        <v>0</v>
      </c>
      <c r="H14" s="50">
        <v>1</v>
      </c>
      <c r="I14" s="50">
        <v>3</v>
      </c>
      <c r="J14" s="50">
        <v>0</v>
      </c>
      <c r="K14" s="50">
        <v>0</v>
      </c>
      <c r="L14" s="50">
        <v>0</v>
      </c>
      <c r="M14" s="50">
        <v>2</v>
      </c>
      <c r="N14" s="50">
        <v>0</v>
      </c>
      <c r="O14" s="15">
        <f t="shared" si="0"/>
        <v>13</v>
      </c>
      <c r="P14" s="15">
        <f t="shared" si="1"/>
        <v>15</v>
      </c>
      <c r="R14" s="1" t="s">
        <v>10</v>
      </c>
      <c r="S14" s="17">
        <f t="shared" ref="S14:AF14" si="6">SUM(C26:C29)</f>
        <v>29</v>
      </c>
      <c r="T14" s="17">
        <f t="shared" si="6"/>
        <v>0</v>
      </c>
      <c r="U14" s="17">
        <f t="shared" si="6"/>
        <v>10</v>
      </c>
      <c r="V14" s="17">
        <f t="shared" si="6"/>
        <v>9</v>
      </c>
      <c r="W14" s="17">
        <f t="shared" si="6"/>
        <v>0</v>
      </c>
      <c r="X14" s="17">
        <f t="shared" si="6"/>
        <v>0</v>
      </c>
      <c r="Y14" s="17">
        <f t="shared" si="6"/>
        <v>5</v>
      </c>
      <c r="Z14" s="17">
        <f t="shared" si="6"/>
        <v>0</v>
      </c>
      <c r="AA14" s="17">
        <f t="shared" si="6"/>
        <v>0</v>
      </c>
      <c r="AB14" s="17">
        <f t="shared" si="6"/>
        <v>1</v>
      </c>
      <c r="AC14" s="17">
        <f t="shared" si="6"/>
        <v>17</v>
      </c>
      <c r="AD14" s="17">
        <f t="shared" si="6"/>
        <v>0</v>
      </c>
      <c r="AE14" s="31">
        <f t="shared" si="6"/>
        <v>54</v>
      </c>
      <c r="AF14" s="31">
        <f t="shared" si="6"/>
        <v>71</v>
      </c>
    </row>
    <row r="15" spans="2:32" ht="23.1" customHeight="1" x14ac:dyDescent="0.25">
      <c r="B15" s="45" t="s">
        <v>42</v>
      </c>
      <c r="C15" s="50">
        <v>4</v>
      </c>
      <c r="D15" s="50">
        <v>0</v>
      </c>
      <c r="E15" s="50">
        <v>1</v>
      </c>
      <c r="F15" s="50">
        <v>2</v>
      </c>
      <c r="G15" s="50">
        <v>0</v>
      </c>
      <c r="H15" s="50">
        <v>0</v>
      </c>
      <c r="I15" s="50">
        <v>3</v>
      </c>
      <c r="J15" s="50">
        <v>1</v>
      </c>
      <c r="K15" s="50">
        <v>0</v>
      </c>
      <c r="L15" s="50">
        <v>0</v>
      </c>
      <c r="M15" s="50">
        <v>4</v>
      </c>
      <c r="N15" s="50">
        <v>0</v>
      </c>
      <c r="O15" s="15">
        <f t="shared" si="0"/>
        <v>11</v>
      </c>
      <c r="P15" s="15">
        <f t="shared" si="1"/>
        <v>15</v>
      </c>
      <c r="R15" s="1" t="s">
        <v>11</v>
      </c>
      <c r="S15" s="17">
        <f t="shared" ref="S15:AF15" si="7">SUM(C30:C33)</f>
        <v>28</v>
      </c>
      <c r="T15" s="17">
        <f t="shared" si="7"/>
        <v>0</v>
      </c>
      <c r="U15" s="17">
        <f t="shared" si="7"/>
        <v>11</v>
      </c>
      <c r="V15" s="17">
        <f t="shared" si="7"/>
        <v>23</v>
      </c>
      <c r="W15" s="17">
        <f t="shared" si="7"/>
        <v>0</v>
      </c>
      <c r="X15" s="17">
        <f t="shared" si="7"/>
        <v>0</v>
      </c>
      <c r="Y15" s="17">
        <f t="shared" si="7"/>
        <v>3</v>
      </c>
      <c r="Z15" s="17">
        <f t="shared" si="7"/>
        <v>3</v>
      </c>
      <c r="AA15" s="17">
        <f t="shared" si="7"/>
        <v>2</v>
      </c>
      <c r="AB15" s="17">
        <f t="shared" si="7"/>
        <v>0</v>
      </c>
      <c r="AC15" s="17">
        <f t="shared" si="7"/>
        <v>22</v>
      </c>
      <c r="AD15" s="17">
        <f t="shared" si="7"/>
        <v>0</v>
      </c>
      <c r="AE15" s="31">
        <f t="shared" si="7"/>
        <v>70</v>
      </c>
      <c r="AF15" s="31">
        <f t="shared" si="7"/>
        <v>92</v>
      </c>
    </row>
    <row r="16" spans="2:32" ht="23.1" customHeight="1" x14ac:dyDescent="0.25">
      <c r="B16" s="45" t="s">
        <v>43</v>
      </c>
      <c r="C16" s="50">
        <v>3</v>
      </c>
      <c r="D16" s="50">
        <v>0</v>
      </c>
      <c r="E16" s="50">
        <v>1</v>
      </c>
      <c r="F16" s="50">
        <v>2</v>
      </c>
      <c r="G16" s="50">
        <v>0</v>
      </c>
      <c r="H16" s="50">
        <v>0</v>
      </c>
      <c r="I16" s="50">
        <v>2</v>
      </c>
      <c r="J16" s="50">
        <v>2</v>
      </c>
      <c r="K16" s="50">
        <v>0</v>
      </c>
      <c r="L16" s="50">
        <v>0</v>
      </c>
      <c r="M16" s="50">
        <v>1</v>
      </c>
      <c r="N16" s="50">
        <v>0</v>
      </c>
      <c r="O16" s="15">
        <f t="shared" si="0"/>
        <v>10</v>
      </c>
      <c r="P16" s="15">
        <f t="shared" si="1"/>
        <v>11</v>
      </c>
      <c r="R16" s="1" t="s">
        <v>12</v>
      </c>
      <c r="S16" s="17">
        <f t="shared" ref="S16:AF16" si="8">SUM(C34:C37)</f>
        <v>36</v>
      </c>
      <c r="T16" s="17">
        <f t="shared" si="8"/>
        <v>0</v>
      </c>
      <c r="U16" s="17">
        <f t="shared" si="8"/>
        <v>11</v>
      </c>
      <c r="V16" s="17">
        <f t="shared" si="8"/>
        <v>20</v>
      </c>
      <c r="W16" s="17">
        <f t="shared" si="8"/>
        <v>0</v>
      </c>
      <c r="X16" s="17">
        <f t="shared" si="8"/>
        <v>0</v>
      </c>
      <c r="Y16" s="17">
        <f t="shared" si="8"/>
        <v>7</v>
      </c>
      <c r="Z16" s="17">
        <f t="shared" si="8"/>
        <v>0</v>
      </c>
      <c r="AA16" s="17">
        <f t="shared" si="8"/>
        <v>2</v>
      </c>
      <c r="AB16" s="17">
        <f t="shared" si="8"/>
        <v>1</v>
      </c>
      <c r="AC16" s="17">
        <f t="shared" si="8"/>
        <v>30</v>
      </c>
      <c r="AD16" s="17">
        <f t="shared" si="8"/>
        <v>0</v>
      </c>
      <c r="AE16" s="31">
        <f t="shared" si="8"/>
        <v>77</v>
      </c>
      <c r="AF16" s="31">
        <f t="shared" si="8"/>
        <v>107</v>
      </c>
    </row>
    <row r="17" spans="2:32" ht="23.1" customHeight="1" x14ac:dyDescent="0.25">
      <c r="B17" s="45" t="s">
        <v>44</v>
      </c>
      <c r="C17" s="50">
        <v>6</v>
      </c>
      <c r="D17" s="50">
        <v>0</v>
      </c>
      <c r="E17" s="50">
        <v>1</v>
      </c>
      <c r="F17" s="50">
        <v>2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3</v>
      </c>
      <c r="N17" s="50">
        <v>0</v>
      </c>
      <c r="O17" s="15">
        <f t="shared" si="0"/>
        <v>9</v>
      </c>
      <c r="P17" s="15">
        <f t="shared" si="1"/>
        <v>12</v>
      </c>
      <c r="R17" s="1" t="s">
        <v>13</v>
      </c>
      <c r="S17" s="17">
        <f t="shared" ref="S17:AF17" si="9">SUM(C38:C41)</f>
        <v>25</v>
      </c>
      <c r="T17" s="17">
        <f t="shared" si="9"/>
        <v>0</v>
      </c>
      <c r="U17" s="17">
        <f t="shared" si="9"/>
        <v>10</v>
      </c>
      <c r="V17" s="17">
        <f t="shared" si="9"/>
        <v>14</v>
      </c>
      <c r="W17" s="17">
        <f t="shared" si="9"/>
        <v>2</v>
      </c>
      <c r="X17" s="17">
        <f t="shared" si="9"/>
        <v>0</v>
      </c>
      <c r="Y17" s="17">
        <f t="shared" si="9"/>
        <v>6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19</v>
      </c>
      <c r="AD17" s="17">
        <f t="shared" si="9"/>
        <v>0</v>
      </c>
      <c r="AE17" s="31">
        <f t="shared" si="9"/>
        <v>57</v>
      </c>
      <c r="AF17" s="31">
        <f t="shared" si="9"/>
        <v>76</v>
      </c>
    </row>
    <row r="18" spans="2:32" ht="23.1" customHeight="1" x14ac:dyDescent="0.25">
      <c r="B18" s="45" t="s">
        <v>45</v>
      </c>
      <c r="C18" s="50">
        <v>5</v>
      </c>
      <c r="D18" s="50">
        <v>0</v>
      </c>
      <c r="E18" s="50">
        <v>3</v>
      </c>
      <c r="F18" s="50">
        <v>2</v>
      </c>
      <c r="G18" s="50">
        <v>0</v>
      </c>
      <c r="H18" s="50">
        <v>0</v>
      </c>
      <c r="I18" s="50">
        <v>2</v>
      </c>
      <c r="J18" s="50">
        <v>0</v>
      </c>
      <c r="K18" s="50">
        <v>0</v>
      </c>
      <c r="L18" s="50">
        <v>0</v>
      </c>
      <c r="M18" s="50">
        <v>6</v>
      </c>
      <c r="N18" s="50">
        <v>0</v>
      </c>
      <c r="O18" s="15">
        <f t="shared" si="0"/>
        <v>12</v>
      </c>
      <c r="P18" s="15">
        <f t="shared" si="1"/>
        <v>18</v>
      </c>
      <c r="R18" s="1" t="s">
        <v>14</v>
      </c>
      <c r="S18" s="17">
        <f t="shared" ref="S18:AF18" si="10">SUM(C42:C45)</f>
        <v>41</v>
      </c>
      <c r="T18" s="17">
        <f t="shared" si="10"/>
        <v>0</v>
      </c>
      <c r="U18" s="17">
        <f t="shared" si="10"/>
        <v>19</v>
      </c>
      <c r="V18" s="17">
        <f t="shared" si="10"/>
        <v>24</v>
      </c>
      <c r="W18" s="17">
        <f t="shared" si="10"/>
        <v>1</v>
      </c>
      <c r="X18" s="17">
        <f t="shared" si="10"/>
        <v>0</v>
      </c>
      <c r="Y18" s="17">
        <f t="shared" si="10"/>
        <v>5</v>
      </c>
      <c r="Z18" s="17">
        <f t="shared" si="10"/>
        <v>0</v>
      </c>
      <c r="AA18" s="17">
        <f t="shared" si="10"/>
        <v>0</v>
      </c>
      <c r="AB18" s="17">
        <f t="shared" si="10"/>
        <v>2</v>
      </c>
      <c r="AC18" s="17">
        <f t="shared" si="10"/>
        <v>24</v>
      </c>
      <c r="AD18" s="17">
        <f t="shared" si="10"/>
        <v>0</v>
      </c>
      <c r="AE18" s="31">
        <f t="shared" si="10"/>
        <v>92</v>
      </c>
      <c r="AF18" s="31">
        <f t="shared" si="10"/>
        <v>116</v>
      </c>
    </row>
    <row r="19" spans="2:32" ht="23.1" customHeight="1" x14ac:dyDescent="0.25">
      <c r="B19" s="45" t="s">
        <v>46</v>
      </c>
      <c r="C19" s="50">
        <v>4</v>
      </c>
      <c r="D19" s="50">
        <v>0</v>
      </c>
      <c r="E19" s="50">
        <v>2</v>
      </c>
      <c r="F19" s="50">
        <v>1</v>
      </c>
      <c r="G19" s="50">
        <v>0</v>
      </c>
      <c r="H19" s="50">
        <v>0</v>
      </c>
      <c r="I19" s="50">
        <v>1</v>
      </c>
      <c r="J19" s="50">
        <v>0</v>
      </c>
      <c r="K19" s="50">
        <v>0</v>
      </c>
      <c r="L19" s="50">
        <v>0</v>
      </c>
      <c r="M19" s="50">
        <v>3</v>
      </c>
      <c r="N19" s="50">
        <v>0</v>
      </c>
      <c r="O19" s="15">
        <f t="shared" si="0"/>
        <v>8</v>
      </c>
      <c r="P19" s="15">
        <f t="shared" si="1"/>
        <v>11</v>
      </c>
      <c r="R19" s="1" t="s">
        <v>15</v>
      </c>
      <c r="S19" s="17">
        <f t="shared" ref="S19:AF19" si="11">SUM(C46:C49)</f>
        <v>32</v>
      </c>
      <c r="T19" s="17">
        <f t="shared" si="11"/>
        <v>0</v>
      </c>
      <c r="U19" s="17">
        <f t="shared" si="11"/>
        <v>10</v>
      </c>
      <c r="V19" s="17">
        <f t="shared" si="11"/>
        <v>14</v>
      </c>
      <c r="W19" s="17">
        <f t="shared" si="11"/>
        <v>0</v>
      </c>
      <c r="X19" s="17">
        <f t="shared" si="11"/>
        <v>1</v>
      </c>
      <c r="Y19" s="17">
        <f t="shared" si="11"/>
        <v>3</v>
      </c>
      <c r="Z19" s="17">
        <f t="shared" si="11"/>
        <v>1</v>
      </c>
      <c r="AA19" s="17">
        <f t="shared" si="11"/>
        <v>0</v>
      </c>
      <c r="AB19" s="17">
        <f t="shared" si="11"/>
        <v>0</v>
      </c>
      <c r="AC19" s="17">
        <f t="shared" si="11"/>
        <v>17</v>
      </c>
      <c r="AD19" s="17">
        <f t="shared" si="11"/>
        <v>0</v>
      </c>
      <c r="AE19" s="31">
        <f t="shared" si="11"/>
        <v>61</v>
      </c>
      <c r="AF19" s="31">
        <f t="shared" si="11"/>
        <v>78</v>
      </c>
    </row>
    <row r="20" spans="2:32" ht="23.1" customHeight="1" x14ac:dyDescent="0.25">
      <c r="B20" s="45" t="s">
        <v>47</v>
      </c>
      <c r="C20" s="50">
        <v>6</v>
      </c>
      <c r="D20" s="50">
        <v>0</v>
      </c>
      <c r="E20" s="50">
        <v>1</v>
      </c>
      <c r="F20" s="50">
        <v>2</v>
      </c>
      <c r="G20" s="50">
        <v>0</v>
      </c>
      <c r="H20" s="50">
        <v>0</v>
      </c>
      <c r="I20" s="50">
        <v>3</v>
      </c>
      <c r="J20" s="50">
        <v>0</v>
      </c>
      <c r="K20" s="50">
        <v>0</v>
      </c>
      <c r="L20" s="50">
        <v>1</v>
      </c>
      <c r="M20" s="50">
        <v>3</v>
      </c>
      <c r="N20" s="50">
        <v>0</v>
      </c>
      <c r="O20" s="15">
        <f t="shared" si="0"/>
        <v>13</v>
      </c>
      <c r="P20" s="15">
        <f t="shared" si="1"/>
        <v>16</v>
      </c>
      <c r="R20" s="1" t="s">
        <v>16</v>
      </c>
      <c r="S20" s="17">
        <f t="shared" ref="S20:AF20" si="12">SUM(C50:C53)</f>
        <v>43</v>
      </c>
      <c r="T20" s="17">
        <f t="shared" si="12"/>
        <v>0</v>
      </c>
      <c r="U20" s="17">
        <f t="shared" si="12"/>
        <v>7</v>
      </c>
      <c r="V20" s="17">
        <f t="shared" si="12"/>
        <v>12</v>
      </c>
      <c r="W20" s="17">
        <f t="shared" si="12"/>
        <v>0</v>
      </c>
      <c r="X20" s="17">
        <f t="shared" si="12"/>
        <v>0</v>
      </c>
      <c r="Y20" s="17">
        <f t="shared" si="12"/>
        <v>0</v>
      </c>
      <c r="Z20" s="17">
        <f t="shared" si="12"/>
        <v>1</v>
      </c>
      <c r="AA20" s="17">
        <f t="shared" si="12"/>
        <v>0</v>
      </c>
      <c r="AB20" s="17">
        <f t="shared" si="12"/>
        <v>0</v>
      </c>
      <c r="AC20" s="17">
        <f t="shared" si="12"/>
        <v>17</v>
      </c>
      <c r="AD20" s="17">
        <f t="shared" si="12"/>
        <v>0</v>
      </c>
      <c r="AE20" s="31">
        <f t="shared" si="12"/>
        <v>63</v>
      </c>
      <c r="AF20" s="31">
        <f t="shared" si="12"/>
        <v>80</v>
      </c>
    </row>
    <row r="21" spans="2:32" ht="23.1" customHeight="1" x14ac:dyDescent="0.25">
      <c r="B21" s="45" t="s">
        <v>48</v>
      </c>
      <c r="C21" s="50">
        <v>12</v>
      </c>
      <c r="D21" s="50">
        <v>0</v>
      </c>
      <c r="E21" s="50">
        <v>4</v>
      </c>
      <c r="F21" s="50">
        <v>6</v>
      </c>
      <c r="G21" s="50">
        <v>0</v>
      </c>
      <c r="H21" s="50">
        <v>0</v>
      </c>
      <c r="I21" s="50">
        <v>2</v>
      </c>
      <c r="J21" s="50">
        <v>0</v>
      </c>
      <c r="K21" s="50">
        <v>0</v>
      </c>
      <c r="L21" s="50">
        <v>0</v>
      </c>
      <c r="M21" s="50">
        <v>10</v>
      </c>
      <c r="N21" s="50">
        <v>0</v>
      </c>
      <c r="O21" s="15">
        <f t="shared" si="0"/>
        <v>24</v>
      </c>
      <c r="P21" s="15">
        <f t="shared" si="1"/>
        <v>34</v>
      </c>
      <c r="R21" s="36" t="s">
        <v>20</v>
      </c>
      <c r="S21" s="34">
        <f t="shared" ref="S21:AF21" si="13">SUM(C54:C57)</f>
        <v>13</v>
      </c>
      <c r="T21" s="17">
        <f t="shared" si="13"/>
        <v>0</v>
      </c>
      <c r="U21" s="17">
        <f t="shared" si="13"/>
        <v>2</v>
      </c>
      <c r="V21" s="17">
        <f t="shared" si="13"/>
        <v>1</v>
      </c>
      <c r="W21" s="17">
        <f t="shared" si="13"/>
        <v>0</v>
      </c>
      <c r="X21" s="17">
        <f t="shared" si="13"/>
        <v>0</v>
      </c>
      <c r="Y21" s="17">
        <f t="shared" si="13"/>
        <v>4</v>
      </c>
      <c r="Z21" s="17">
        <f t="shared" si="13"/>
        <v>0</v>
      </c>
      <c r="AA21" s="17">
        <f t="shared" si="13"/>
        <v>0</v>
      </c>
      <c r="AB21" s="17">
        <f t="shared" si="13"/>
        <v>2</v>
      </c>
      <c r="AC21" s="17">
        <f t="shared" si="13"/>
        <v>15</v>
      </c>
      <c r="AD21" s="17">
        <f t="shared" si="13"/>
        <v>0</v>
      </c>
      <c r="AE21" s="31">
        <f t="shared" si="13"/>
        <v>22</v>
      </c>
      <c r="AF21" s="31">
        <f t="shared" si="13"/>
        <v>37</v>
      </c>
    </row>
    <row r="22" spans="2:32" ht="23.1" customHeight="1" x14ac:dyDescent="0.25">
      <c r="B22" s="45" t="s">
        <v>49</v>
      </c>
      <c r="C22" s="50">
        <v>5</v>
      </c>
      <c r="D22" s="50">
        <v>0</v>
      </c>
      <c r="E22" s="50">
        <v>2</v>
      </c>
      <c r="F22" s="50">
        <v>3</v>
      </c>
      <c r="G22" s="50">
        <v>0</v>
      </c>
      <c r="H22" s="50">
        <v>0</v>
      </c>
      <c r="I22" s="50">
        <v>3</v>
      </c>
      <c r="J22" s="50">
        <v>0</v>
      </c>
      <c r="K22" s="50">
        <v>0</v>
      </c>
      <c r="L22" s="50">
        <v>0</v>
      </c>
      <c r="M22" s="50">
        <v>4</v>
      </c>
      <c r="N22" s="50">
        <v>0</v>
      </c>
      <c r="O22" s="15">
        <f t="shared" si="0"/>
        <v>13</v>
      </c>
      <c r="P22" s="15">
        <f t="shared" si="1"/>
        <v>17</v>
      </c>
      <c r="R22" s="36" t="s">
        <v>146</v>
      </c>
      <c r="S22" s="34">
        <f>SUM(C58:C61)</f>
        <v>15</v>
      </c>
      <c r="T22" s="34">
        <f t="shared" ref="T22:AF22" si="14">SUM(D58:D61)</f>
        <v>0</v>
      </c>
      <c r="U22" s="34">
        <f t="shared" si="14"/>
        <v>4</v>
      </c>
      <c r="V22" s="34">
        <f t="shared" si="14"/>
        <v>10</v>
      </c>
      <c r="W22" s="34">
        <f t="shared" si="14"/>
        <v>0</v>
      </c>
      <c r="X22" s="34">
        <f t="shared" si="14"/>
        <v>1</v>
      </c>
      <c r="Y22" s="34">
        <f t="shared" si="14"/>
        <v>4</v>
      </c>
      <c r="Z22" s="34">
        <f t="shared" si="14"/>
        <v>0</v>
      </c>
      <c r="AA22" s="34">
        <f t="shared" si="14"/>
        <v>0</v>
      </c>
      <c r="AB22" s="34">
        <f t="shared" si="14"/>
        <v>1</v>
      </c>
      <c r="AC22" s="34">
        <f t="shared" si="14"/>
        <v>14</v>
      </c>
      <c r="AD22" s="34">
        <f t="shared" si="14"/>
        <v>0</v>
      </c>
      <c r="AE22" s="31">
        <f t="shared" si="14"/>
        <v>35</v>
      </c>
      <c r="AF22" s="31">
        <f t="shared" si="14"/>
        <v>49</v>
      </c>
    </row>
    <row r="23" spans="2:32" ht="23.1" customHeight="1" x14ac:dyDescent="0.25">
      <c r="B23" s="45" t="s">
        <v>50</v>
      </c>
      <c r="C23" s="50">
        <v>2</v>
      </c>
      <c r="D23" s="50">
        <v>0</v>
      </c>
      <c r="E23" s="50">
        <v>2</v>
      </c>
      <c r="F23" s="50">
        <v>2</v>
      </c>
      <c r="G23" s="50">
        <v>0</v>
      </c>
      <c r="H23" s="50">
        <v>0</v>
      </c>
      <c r="I23" s="50">
        <v>2</v>
      </c>
      <c r="J23" s="50">
        <v>0</v>
      </c>
      <c r="K23" s="50">
        <v>0</v>
      </c>
      <c r="L23" s="50">
        <v>0</v>
      </c>
      <c r="M23" s="50">
        <v>4</v>
      </c>
      <c r="N23" s="50">
        <v>0</v>
      </c>
      <c r="O23" s="15">
        <f t="shared" si="0"/>
        <v>8</v>
      </c>
      <c r="P23" s="15">
        <f t="shared" si="1"/>
        <v>12</v>
      </c>
      <c r="R23" s="36" t="s">
        <v>147</v>
      </c>
      <c r="S23" s="34">
        <f>SUM(C62:C65)</f>
        <v>11</v>
      </c>
      <c r="T23" s="34">
        <f t="shared" ref="T23:AF23" si="15">SUM(D62:D65)</f>
        <v>0</v>
      </c>
      <c r="U23" s="34">
        <f t="shared" si="15"/>
        <v>10</v>
      </c>
      <c r="V23" s="34">
        <f t="shared" si="15"/>
        <v>4</v>
      </c>
      <c r="W23" s="34">
        <f t="shared" si="15"/>
        <v>0</v>
      </c>
      <c r="X23" s="34">
        <f t="shared" si="15"/>
        <v>0</v>
      </c>
      <c r="Y23" s="34">
        <f t="shared" si="15"/>
        <v>2</v>
      </c>
      <c r="Z23" s="34">
        <f t="shared" si="15"/>
        <v>0</v>
      </c>
      <c r="AA23" s="34">
        <f t="shared" si="15"/>
        <v>0</v>
      </c>
      <c r="AB23" s="34">
        <f t="shared" si="15"/>
        <v>4</v>
      </c>
      <c r="AC23" s="34">
        <f t="shared" si="15"/>
        <v>10</v>
      </c>
      <c r="AD23" s="34">
        <f t="shared" si="15"/>
        <v>0</v>
      </c>
      <c r="AE23" s="31">
        <f t="shared" si="15"/>
        <v>31</v>
      </c>
      <c r="AF23" s="31">
        <f t="shared" si="15"/>
        <v>41</v>
      </c>
    </row>
    <row r="24" spans="2:32" ht="23.1" customHeight="1" x14ac:dyDescent="0.25">
      <c r="B24" s="45" t="s">
        <v>51</v>
      </c>
      <c r="C24" s="50">
        <v>7</v>
      </c>
      <c r="D24" s="50">
        <v>0</v>
      </c>
      <c r="E24" s="50">
        <v>6</v>
      </c>
      <c r="F24" s="50">
        <v>8</v>
      </c>
      <c r="G24" s="50">
        <v>0</v>
      </c>
      <c r="H24" s="50">
        <v>0</v>
      </c>
      <c r="I24" s="50">
        <v>3</v>
      </c>
      <c r="J24" s="50">
        <v>2</v>
      </c>
      <c r="K24" s="50">
        <v>0</v>
      </c>
      <c r="L24" s="50">
        <v>0</v>
      </c>
      <c r="M24" s="50">
        <v>6</v>
      </c>
      <c r="N24" s="50">
        <v>0</v>
      </c>
      <c r="O24" s="15">
        <f t="shared" si="0"/>
        <v>26</v>
      </c>
      <c r="P24" s="15">
        <f t="shared" si="1"/>
        <v>32</v>
      </c>
      <c r="R24" s="36" t="s">
        <v>148</v>
      </c>
      <c r="S24" s="34">
        <f>SUM(C66:C69)</f>
        <v>2</v>
      </c>
      <c r="T24" s="34">
        <f t="shared" ref="T24:AF24" si="16">SUM(D66:D69)</f>
        <v>0</v>
      </c>
      <c r="U24" s="34">
        <f t="shared" si="16"/>
        <v>1</v>
      </c>
      <c r="V24" s="34">
        <f t="shared" si="16"/>
        <v>7</v>
      </c>
      <c r="W24" s="34">
        <f t="shared" si="16"/>
        <v>0</v>
      </c>
      <c r="X24" s="34">
        <f t="shared" si="16"/>
        <v>0</v>
      </c>
      <c r="Y24" s="34">
        <f t="shared" si="16"/>
        <v>2</v>
      </c>
      <c r="Z24" s="34">
        <f t="shared" si="16"/>
        <v>0</v>
      </c>
      <c r="AA24" s="34">
        <f t="shared" si="16"/>
        <v>0</v>
      </c>
      <c r="AB24" s="34">
        <f t="shared" si="16"/>
        <v>2</v>
      </c>
      <c r="AC24" s="34">
        <f t="shared" si="16"/>
        <v>6</v>
      </c>
      <c r="AD24" s="34">
        <f t="shared" si="16"/>
        <v>0</v>
      </c>
      <c r="AE24" s="31">
        <f t="shared" si="16"/>
        <v>14</v>
      </c>
      <c r="AF24" s="31">
        <f t="shared" si="16"/>
        <v>20</v>
      </c>
    </row>
    <row r="25" spans="2:32" ht="23.1" customHeight="1" x14ac:dyDescent="0.25">
      <c r="B25" s="45" t="s">
        <v>52</v>
      </c>
      <c r="C25" s="50">
        <v>8</v>
      </c>
      <c r="D25" s="50">
        <v>0</v>
      </c>
      <c r="E25" s="50">
        <v>1</v>
      </c>
      <c r="F25" s="50">
        <v>4</v>
      </c>
      <c r="G25" s="50">
        <v>0</v>
      </c>
      <c r="H25" s="50">
        <v>0</v>
      </c>
      <c r="I25" s="50">
        <v>2</v>
      </c>
      <c r="J25" s="50">
        <v>0</v>
      </c>
      <c r="K25" s="50">
        <v>0</v>
      </c>
      <c r="L25" s="50">
        <v>0</v>
      </c>
      <c r="M25" s="50">
        <v>0</v>
      </c>
      <c r="N25" s="50">
        <v>0</v>
      </c>
      <c r="O25" s="15">
        <f t="shared" si="0"/>
        <v>15</v>
      </c>
      <c r="P25" s="15">
        <f t="shared" si="1"/>
        <v>15</v>
      </c>
      <c r="R25" s="36" t="s">
        <v>149</v>
      </c>
      <c r="S25" s="34">
        <f>SUM(C70:C73)</f>
        <v>3</v>
      </c>
      <c r="T25" s="34">
        <f t="shared" ref="T25:AF25" si="17">SUM(D70:D73)</f>
        <v>0</v>
      </c>
      <c r="U25" s="34">
        <f t="shared" si="17"/>
        <v>0</v>
      </c>
      <c r="V25" s="34">
        <f t="shared" si="17"/>
        <v>2</v>
      </c>
      <c r="W25" s="34">
        <f t="shared" si="17"/>
        <v>0</v>
      </c>
      <c r="X25" s="34">
        <f t="shared" si="17"/>
        <v>0</v>
      </c>
      <c r="Y25" s="34">
        <f t="shared" si="17"/>
        <v>2</v>
      </c>
      <c r="Z25" s="34">
        <f t="shared" si="17"/>
        <v>0</v>
      </c>
      <c r="AA25" s="34">
        <f t="shared" si="17"/>
        <v>0</v>
      </c>
      <c r="AB25" s="34">
        <f t="shared" si="17"/>
        <v>5</v>
      </c>
      <c r="AC25" s="34">
        <f t="shared" si="17"/>
        <v>1</v>
      </c>
      <c r="AD25" s="34">
        <f t="shared" si="17"/>
        <v>0</v>
      </c>
      <c r="AE25" s="31">
        <f t="shared" si="17"/>
        <v>12</v>
      </c>
      <c r="AF25" s="31">
        <f t="shared" si="17"/>
        <v>13</v>
      </c>
    </row>
    <row r="26" spans="2:32" ht="23.1" customHeight="1" x14ac:dyDescent="0.25">
      <c r="B26" s="45" t="s">
        <v>53</v>
      </c>
      <c r="C26" s="50">
        <v>6</v>
      </c>
      <c r="D26" s="50">
        <v>0</v>
      </c>
      <c r="E26" s="50">
        <v>2</v>
      </c>
      <c r="F26" s="50">
        <v>1</v>
      </c>
      <c r="G26" s="50">
        <v>0</v>
      </c>
      <c r="H26" s="50">
        <v>0</v>
      </c>
      <c r="I26" s="50">
        <v>2</v>
      </c>
      <c r="J26" s="50">
        <v>0</v>
      </c>
      <c r="K26" s="50">
        <v>0</v>
      </c>
      <c r="L26" s="50">
        <v>0</v>
      </c>
      <c r="M26" s="50">
        <v>2</v>
      </c>
      <c r="N26" s="50">
        <v>0</v>
      </c>
      <c r="O26" s="15">
        <f t="shared" si="0"/>
        <v>11</v>
      </c>
      <c r="P26" s="15">
        <f t="shared" si="1"/>
        <v>13</v>
      </c>
      <c r="R26" s="36" t="s">
        <v>150</v>
      </c>
      <c r="S26" s="34">
        <f>SUM(C74:C77)</f>
        <v>9</v>
      </c>
      <c r="T26" s="34">
        <f t="shared" ref="T26:AF26" si="18">SUM(D74:D77)</f>
        <v>0</v>
      </c>
      <c r="U26" s="34">
        <f t="shared" si="18"/>
        <v>0</v>
      </c>
      <c r="V26" s="34">
        <f t="shared" si="18"/>
        <v>8</v>
      </c>
      <c r="W26" s="34">
        <f t="shared" si="18"/>
        <v>0</v>
      </c>
      <c r="X26" s="34">
        <f t="shared" si="18"/>
        <v>1</v>
      </c>
      <c r="Y26" s="34">
        <f t="shared" si="18"/>
        <v>2</v>
      </c>
      <c r="Z26" s="34">
        <f t="shared" si="18"/>
        <v>0</v>
      </c>
      <c r="AA26" s="34">
        <f t="shared" si="18"/>
        <v>0</v>
      </c>
      <c r="AB26" s="34">
        <f t="shared" si="18"/>
        <v>2</v>
      </c>
      <c r="AC26" s="34">
        <f t="shared" si="18"/>
        <v>2</v>
      </c>
      <c r="AD26" s="34">
        <f t="shared" si="18"/>
        <v>0</v>
      </c>
      <c r="AE26" s="31">
        <f t="shared" si="18"/>
        <v>22</v>
      </c>
      <c r="AF26" s="31">
        <f t="shared" si="18"/>
        <v>24</v>
      </c>
    </row>
    <row r="27" spans="2:32" ht="23.1" customHeight="1" x14ac:dyDescent="0.25">
      <c r="B27" s="45" t="s">
        <v>54</v>
      </c>
      <c r="C27" s="50">
        <v>4</v>
      </c>
      <c r="D27" s="50">
        <v>0</v>
      </c>
      <c r="E27" s="50">
        <v>4</v>
      </c>
      <c r="F27" s="50">
        <v>4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1</v>
      </c>
      <c r="M27" s="50">
        <v>2</v>
      </c>
      <c r="N27" s="50">
        <v>0</v>
      </c>
      <c r="O27" s="15">
        <f t="shared" si="0"/>
        <v>13</v>
      </c>
      <c r="P27" s="15">
        <f t="shared" si="1"/>
        <v>15</v>
      </c>
      <c r="R27" s="36" t="s">
        <v>151</v>
      </c>
      <c r="S27" s="34">
        <f>SUM(C78:C81)</f>
        <v>9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8</v>
      </c>
      <c r="W27" s="34">
        <f t="shared" si="19"/>
        <v>0</v>
      </c>
      <c r="X27" s="34">
        <f t="shared" si="19"/>
        <v>0</v>
      </c>
      <c r="Y27" s="34">
        <f t="shared" si="19"/>
        <v>2</v>
      </c>
      <c r="Z27" s="34">
        <f t="shared" si="19"/>
        <v>0</v>
      </c>
      <c r="AA27" s="34">
        <f t="shared" si="19"/>
        <v>0</v>
      </c>
      <c r="AB27" s="34">
        <f t="shared" si="19"/>
        <v>2</v>
      </c>
      <c r="AC27" s="34">
        <f t="shared" si="19"/>
        <v>2</v>
      </c>
      <c r="AD27" s="34">
        <f t="shared" si="19"/>
        <v>0</v>
      </c>
      <c r="AE27" s="31">
        <f t="shared" si="19"/>
        <v>21</v>
      </c>
      <c r="AF27" s="31">
        <f t="shared" si="19"/>
        <v>23</v>
      </c>
    </row>
    <row r="28" spans="2:32" ht="23.1" customHeight="1" x14ac:dyDescent="0.25">
      <c r="B28" s="45" t="s">
        <v>55</v>
      </c>
      <c r="C28" s="50">
        <v>8</v>
      </c>
      <c r="D28" s="50">
        <v>0</v>
      </c>
      <c r="E28" s="50">
        <v>0</v>
      </c>
      <c r="F28" s="50">
        <v>3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0</v>
      </c>
      <c r="M28" s="50">
        <v>3</v>
      </c>
      <c r="N28" s="50">
        <v>0</v>
      </c>
      <c r="O28" s="15">
        <f t="shared" si="0"/>
        <v>12</v>
      </c>
      <c r="P28" s="15">
        <f t="shared" si="1"/>
        <v>15</v>
      </c>
      <c r="R28" s="36" t="s">
        <v>152</v>
      </c>
      <c r="S28" s="34">
        <f>SUM(C82:C85)</f>
        <v>4</v>
      </c>
      <c r="T28" s="34">
        <f t="shared" ref="T28:AF28" si="20">SUM(D82:D85)</f>
        <v>0</v>
      </c>
      <c r="U28" s="34">
        <f t="shared" si="20"/>
        <v>4</v>
      </c>
      <c r="V28" s="34">
        <f t="shared" si="20"/>
        <v>2</v>
      </c>
      <c r="W28" s="34">
        <f t="shared" si="20"/>
        <v>0</v>
      </c>
      <c r="X28" s="34">
        <f t="shared" si="20"/>
        <v>0</v>
      </c>
      <c r="Y28" s="34">
        <f t="shared" si="20"/>
        <v>5</v>
      </c>
      <c r="Z28" s="34">
        <f t="shared" si="20"/>
        <v>0</v>
      </c>
      <c r="AA28" s="34">
        <f t="shared" si="20"/>
        <v>0</v>
      </c>
      <c r="AB28" s="34">
        <f t="shared" si="20"/>
        <v>3</v>
      </c>
      <c r="AC28" s="34">
        <f t="shared" si="20"/>
        <v>1</v>
      </c>
      <c r="AD28" s="34">
        <f t="shared" si="20"/>
        <v>0</v>
      </c>
      <c r="AE28" s="31">
        <f t="shared" si="20"/>
        <v>18</v>
      </c>
      <c r="AF28" s="31">
        <f t="shared" si="20"/>
        <v>19</v>
      </c>
    </row>
    <row r="29" spans="2:32" ht="23.1" customHeight="1" x14ac:dyDescent="0.25">
      <c r="B29" s="45" t="s">
        <v>56</v>
      </c>
      <c r="C29" s="50">
        <v>11</v>
      </c>
      <c r="D29" s="50">
        <v>0</v>
      </c>
      <c r="E29" s="50">
        <v>4</v>
      </c>
      <c r="F29" s="50">
        <v>1</v>
      </c>
      <c r="G29" s="50">
        <v>0</v>
      </c>
      <c r="H29" s="50">
        <v>0</v>
      </c>
      <c r="I29" s="50">
        <v>2</v>
      </c>
      <c r="J29" s="50">
        <v>0</v>
      </c>
      <c r="K29" s="50">
        <v>0</v>
      </c>
      <c r="L29" s="50">
        <v>0</v>
      </c>
      <c r="M29" s="50">
        <v>10</v>
      </c>
      <c r="N29" s="50">
        <v>0</v>
      </c>
      <c r="O29" s="15">
        <f t="shared" si="0"/>
        <v>18</v>
      </c>
      <c r="P29" s="15">
        <f t="shared" si="1"/>
        <v>28</v>
      </c>
      <c r="R29" s="36" t="s">
        <v>153</v>
      </c>
      <c r="S29" s="34">
        <f>SUM(C86:C89)</f>
        <v>8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10</v>
      </c>
      <c r="W29" s="34">
        <f t="shared" si="21"/>
        <v>0</v>
      </c>
      <c r="X29" s="34">
        <f t="shared" si="21"/>
        <v>0</v>
      </c>
      <c r="Y29" s="34">
        <f t="shared" si="21"/>
        <v>6</v>
      </c>
      <c r="Z29" s="34">
        <f t="shared" si="21"/>
        <v>0</v>
      </c>
      <c r="AA29" s="34">
        <f t="shared" si="21"/>
        <v>0</v>
      </c>
      <c r="AB29" s="34">
        <f t="shared" si="21"/>
        <v>2</v>
      </c>
      <c r="AC29" s="34">
        <f t="shared" si="21"/>
        <v>1</v>
      </c>
      <c r="AD29" s="34">
        <f t="shared" si="21"/>
        <v>0</v>
      </c>
      <c r="AE29" s="31">
        <f t="shared" si="21"/>
        <v>26</v>
      </c>
      <c r="AF29" s="31">
        <f t="shared" si="21"/>
        <v>27</v>
      </c>
    </row>
    <row r="30" spans="2:32" ht="23.1" customHeight="1" x14ac:dyDescent="0.25">
      <c r="B30" s="45" t="s">
        <v>57</v>
      </c>
      <c r="C30" s="50">
        <v>12</v>
      </c>
      <c r="D30" s="50">
        <v>0</v>
      </c>
      <c r="E30" s="50">
        <v>6</v>
      </c>
      <c r="F30" s="50">
        <v>4</v>
      </c>
      <c r="G30" s="50">
        <v>0</v>
      </c>
      <c r="H30" s="50">
        <v>0</v>
      </c>
      <c r="I30" s="50">
        <v>2</v>
      </c>
      <c r="J30" s="50">
        <v>1</v>
      </c>
      <c r="K30" s="50">
        <v>0</v>
      </c>
      <c r="L30" s="50">
        <v>0</v>
      </c>
      <c r="M30" s="50">
        <v>9</v>
      </c>
      <c r="N30" s="50">
        <v>0</v>
      </c>
      <c r="O30" s="15">
        <f t="shared" si="0"/>
        <v>25</v>
      </c>
      <c r="P30" s="15">
        <f t="shared" si="1"/>
        <v>34</v>
      </c>
      <c r="R30" s="36" t="s">
        <v>154</v>
      </c>
      <c r="S30" s="34">
        <f>SUM(C90:C93)</f>
        <v>2</v>
      </c>
      <c r="T30" s="34">
        <f t="shared" ref="T30:AF30" si="22">SUM(D90:D93)</f>
        <v>0</v>
      </c>
      <c r="U30" s="34">
        <f t="shared" si="22"/>
        <v>4</v>
      </c>
      <c r="V30" s="34">
        <f t="shared" si="22"/>
        <v>3</v>
      </c>
      <c r="W30" s="34">
        <f t="shared" si="22"/>
        <v>0</v>
      </c>
      <c r="X30" s="34">
        <f t="shared" si="22"/>
        <v>1</v>
      </c>
      <c r="Y30" s="34">
        <f t="shared" si="22"/>
        <v>4</v>
      </c>
      <c r="Z30" s="34">
        <f t="shared" si="22"/>
        <v>0</v>
      </c>
      <c r="AA30" s="34">
        <f t="shared" si="22"/>
        <v>0</v>
      </c>
      <c r="AB30" s="34">
        <f t="shared" si="22"/>
        <v>2</v>
      </c>
      <c r="AC30" s="34">
        <f t="shared" si="22"/>
        <v>0</v>
      </c>
      <c r="AD30" s="34">
        <f t="shared" si="22"/>
        <v>0</v>
      </c>
      <c r="AE30" s="31">
        <f t="shared" si="22"/>
        <v>16</v>
      </c>
      <c r="AF30" s="31">
        <f t="shared" si="22"/>
        <v>16</v>
      </c>
    </row>
    <row r="31" spans="2:32" ht="23.1" customHeight="1" x14ac:dyDescent="0.25">
      <c r="B31" s="46" t="s">
        <v>58</v>
      </c>
      <c r="C31" s="50">
        <v>3</v>
      </c>
      <c r="D31" s="50">
        <v>0</v>
      </c>
      <c r="E31" s="50">
        <v>2</v>
      </c>
      <c r="F31" s="50">
        <v>7</v>
      </c>
      <c r="G31" s="50">
        <v>0</v>
      </c>
      <c r="H31" s="50">
        <v>0</v>
      </c>
      <c r="I31" s="50">
        <v>0</v>
      </c>
      <c r="J31" s="50">
        <v>1</v>
      </c>
      <c r="K31" s="50">
        <v>0</v>
      </c>
      <c r="L31" s="50">
        <v>0</v>
      </c>
      <c r="M31" s="50">
        <v>4</v>
      </c>
      <c r="N31" s="50">
        <v>0</v>
      </c>
      <c r="O31" s="15">
        <f t="shared" si="0"/>
        <v>13</v>
      </c>
      <c r="P31" s="15">
        <f t="shared" si="1"/>
        <v>17</v>
      </c>
      <c r="R31" s="36" t="s">
        <v>155</v>
      </c>
      <c r="S31" s="34">
        <f>SUM(C94:C97)</f>
        <v>2</v>
      </c>
      <c r="T31" s="34">
        <f t="shared" ref="T31:AF31" si="23">SUM(D94:D97)</f>
        <v>0</v>
      </c>
      <c r="U31" s="34">
        <f t="shared" si="23"/>
        <v>4</v>
      </c>
      <c r="V31" s="34">
        <f t="shared" si="23"/>
        <v>3</v>
      </c>
      <c r="W31" s="34">
        <f t="shared" si="23"/>
        <v>0</v>
      </c>
      <c r="X31" s="34">
        <f t="shared" si="23"/>
        <v>1</v>
      </c>
      <c r="Y31" s="34">
        <f t="shared" si="23"/>
        <v>4</v>
      </c>
      <c r="Z31" s="34">
        <f t="shared" si="23"/>
        <v>0</v>
      </c>
      <c r="AA31" s="34">
        <f t="shared" si="23"/>
        <v>0</v>
      </c>
      <c r="AB31" s="34">
        <f t="shared" si="23"/>
        <v>1</v>
      </c>
      <c r="AC31" s="34">
        <f t="shared" si="23"/>
        <v>0</v>
      </c>
      <c r="AD31" s="34">
        <f t="shared" si="23"/>
        <v>0</v>
      </c>
      <c r="AE31" s="31">
        <f t="shared" si="23"/>
        <v>15</v>
      </c>
      <c r="AF31" s="31">
        <f t="shared" si="23"/>
        <v>15</v>
      </c>
    </row>
    <row r="32" spans="2:32" ht="23.1" customHeight="1" x14ac:dyDescent="0.25">
      <c r="B32" s="46" t="s">
        <v>59</v>
      </c>
      <c r="C32" s="50">
        <v>7</v>
      </c>
      <c r="D32" s="50">
        <v>0</v>
      </c>
      <c r="E32" s="50">
        <v>2</v>
      </c>
      <c r="F32" s="50">
        <v>9</v>
      </c>
      <c r="G32" s="50">
        <v>0</v>
      </c>
      <c r="H32" s="50">
        <v>0</v>
      </c>
      <c r="I32" s="50">
        <v>1</v>
      </c>
      <c r="J32" s="50">
        <v>0</v>
      </c>
      <c r="K32" s="50">
        <v>1</v>
      </c>
      <c r="L32" s="50">
        <v>0</v>
      </c>
      <c r="M32" s="50">
        <v>4</v>
      </c>
      <c r="N32" s="50">
        <v>0</v>
      </c>
      <c r="O32" s="15">
        <f t="shared" si="0"/>
        <v>20</v>
      </c>
      <c r="P32" s="15">
        <f t="shared" si="1"/>
        <v>24</v>
      </c>
      <c r="R32" s="33" t="s">
        <v>156</v>
      </c>
      <c r="S32" s="34">
        <f>SUM(C98:C101)</f>
        <v>11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0</v>
      </c>
      <c r="W32" s="34">
        <f t="shared" si="24"/>
        <v>0</v>
      </c>
      <c r="X32" s="34">
        <f t="shared" si="24"/>
        <v>3</v>
      </c>
      <c r="Y32" s="34">
        <f t="shared" si="24"/>
        <v>6</v>
      </c>
      <c r="Z32" s="34">
        <f t="shared" si="24"/>
        <v>0</v>
      </c>
      <c r="AA32" s="34">
        <f t="shared" si="24"/>
        <v>0</v>
      </c>
      <c r="AB32" s="34">
        <f t="shared" si="24"/>
        <v>5</v>
      </c>
      <c r="AC32" s="34">
        <f t="shared" si="24"/>
        <v>0</v>
      </c>
      <c r="AD32" s="34">
        <f t="shared" si="24"/>
        <v>0</v>
      </c>
      <c r="AE32" s="31">
        <f t="shared" si="24"/>
        <v>25</v>
      </c>
      <c r="AF32" s="31">
        <f t="shared" si="24"/>
        <v>25</v>
      </c>
    </row>
    <row r="33" spans="2:32" ht="23.1" customHeight="1" x14ac:dyDescent="0.25">
      <c r="B33" s="45" t="s">
        <v>60</v>
      </c>
      <c r="C33" s="50">
        <v>6</v>
      </c>
      <c r="D33" s="50">
        <v>0</v>
      </c>
      <c r="E33" s="50">
        <v>1</v>
      </c>
      <c r="F33" s="50">
        <v>3</v>
      </c>
      <c r="G33" s="50">
        <v>0</v>
      </c>
      <c r="H33" s="50">
        <v>0</v>
      </c>
      <c r="I33" s="50">
        <v>0</v>
      </c>
      <c r="J33" s="50">
        <v>1</v>
      </c>
      <c r="K33" s="50">
        <v>1</v>
      </c>
      <c r="L33" s="50">
        <v>0</v>
      </c>
      <c r="M33" s="50">
        <v>5</v>
      </c>
      <c r="N33" s="50">
        <v>0</v>
      </c>
      <c r="O33" s="15">
        <f t="shared" si="0"/>
        <v>12</v>
      </c>
      <c r="P33" s="15">
        <f t="shared" si="1"/>
        <v>17</v>
      </c>
      <c r="R33" s="33" t="s">
        <v>157</v>
      </c>
      <c r="S33" s="34">
        <f>SUM(C102:C105)</f>
        <v>4</v>
      </c>
      <c r="T33" s="34">
        <f t="shared" ref="T33:AF33" si="25">SUM(D102:D105)</f>
        <v>0</v>
      </c>
      <c r="U33" s="34">
        <f t="shared" si="25"/>
        <v>3</v>
      </c>
      <c r="V33" s="34">
        <f t="shared" si="25"/>
        <v>4</v>
      </c>
      <c r="W33" s="34">
        <f t="shared" si="25"/>
        <v>0</v>
      </c>
      <c r="X33" s="34">
        <f t="shared" si="25"/>
        <v>0</v>
      </c>
      <c r="Y33" s="34">
        <f t="shared" si="25"/>
        <v>3</v>
      </c>
      <c r="Z33" s="34">
        <f t="shared" si="25"/>
        <v>0</v>
      </c>
      <c r="AA33" s="34">
        <f t="shared" si="25"/>
        <v>0</v>
      </c>
      <c r="AB33" s="34">
        <f t="shared" si="25"/>
        <v>4</v>
      </c>
      <c r="AC33" s="34">
        <f t="shared" si="25"/>
        <v>15</v>
      </c>
      <c r="AD33" s="34">
        <f t="shared" si="25"/>
        <v>0</v>
      </c>
      <c r="AE33" s="31">
        <f t="shared" si="25"/>
        <v>18</v>
      </c>
      <c r="AF33" s="31">
        <f t="shared" si="25"/>
        <v>33</v>
      </c>
    </row>
    <row r="34" spans="2:32" ht="23.1" customHeight="1" x14ac:dyDescent="0.25">
      <c r="B34" s="46" t="s">
        <v>61</v>
      </c>
      <c r="C34" s="50">
        <v>7</v>
      </c>
      <c r="D34" s="50">
        <v>0</v>
      </c>
      <c r="E34" s="50">
        <v>1</v>
      </c>
      <c r="F34" s="50">
        <v>4</v>
      </c>
      <c r="G34" s="50">
        <v>0</v>
      </c>
      <c r="H34" s="50">
        <v>0</v>
      </c>
      <c r="I34" s="50">
        <v>3</v>
      </c>
      <c r="J34" s="50">
        <v>0</v>
      </c>
      <c r="K34" s="50">
        <v>2</v>
      </c>
      <c r="L34" s="50">
        <v>0</v>
      </c>
      <c r="M34" s="50">
        <v>3</v>
      </c>
      <c r="N34" s="50">
        <v>0</v>
      </c>
      <c r="O34" s="15">
        <f t="shared" si="0"/>
        <v>17</v>
      </c>
      <c r="P34" s="15">
        <f t="shared" si="1"/>
        <v>20</v>
      </c>
      <c r="R34" s="38" t="s">
        <v>90</v>
      </c>
      <c r="S34" s="39">
        <f t="shared" ref="S34:AF34" si="26">MAX(S10:S12)</f>
        <v>27</v>
      </c>
      <c r="T34" s="39">
        <f t="shared" si="26"/>
        <v>0</v>
      </c>
      <c r="U34" s="39">
        <f t="shared" si="26"/>
        <v>10</v>
      </c>
      <c r="V34" s="39">
        <f t="shared" si="26"/>
        <v>11</v>
      </c>
      <c r="W34" s="39">
        <f t="shared" si="26"/>
        <v>0</v>
      </c>
      <c r="X34" s="39">
        <f t="shared" si="26"/>
        <v>1</v>
      </c>
      <c r="Y34" s="39">
        <f t="shared" si="26"/>
        <v>8</v>
      </c>
      <c r="Z34" s="39">
        <f t="shared" si="26"/>
        <v>6</v>
      </c>
      <c r="AA34" s="39">
        <f t="shared" si="26"/>
        <v>1</v>
      </c>
      <c r="AB34" s="39">
        <f t="shared" si="26"/>
        <v>1</v>
      </c>
      <c r="AC34" s="39">
        <f t="shared" si="26"/>
        <v>22</v>
      </c>
      <c r="AD34" s="39">
        <f t="shared" si="26"/>
        <v>0</v>
      </c>
      <c r="AE34" s="40">
        <f t="shared" si="26"/>
        <v>57</v>
      </c>
      <c r="AF34" s="40">
        <f t="shared" si="26"/>
        <v>79</v>
      </c>
    </row>
    <row r="35" spans="2:32" ht="23.1" customHeight="1" x14ac:dyDescent="0.25">
      <c r="B35" s="46" t="s">
        <v>62</v>
      </c>
      <c r="C35" s="50">
        <v>8</v>
      </c>
      <c r="D35" s="50">
        <v>0</v>
      </c>
      <c r="E35" s="50">
        <v>4</v>
      </c>
      <c r="F35" s="50">
        <v>7</v>
      </c>
      <c r="G35" s="50">
        <v>0</v>
      </c>
      <c r="H35" s="50">
        <v>0</v>
      </c>
      <c r="I35" s="50">
        <v>1</v>
      </c>
      <c r="J35" s="50">
        <v>0</v>
      </c>
      <c r="K35" s="50">
        <v>0</v>
      </c>
      <c r="L35" s="50">
        <v>1</v>
      </c>
      <c r="M35" s="50">
        <v>9</v>
      </c>
      <c r="N35" s="50">
        <v>0</v>
      </c>
      <c r="O35" s="15">
        <f t="shared" si="0"/>
        <v>21</v>
      </c>
      <c r="P35" s="15">
        <f t="shared" si="1"/>
        <v>30</v>
      </c>
      <c r="R35" s="38" t="s">
        <v>91</v>
      </c>
      <c r="S35" s="39">
        <f t="shared" ref="S35:AF35" si="27">MAX(S13:S18)</f>
        <v>41</v>
      </c>
      <c r="T35" s="39">
        <f t="shared" si="27"/>
        <v>0</v>
      </c>
      <c r="U35" s="39">
        <f t="shared" si="27"/>
        <v>19</v>
      </c>
      <c r="V35" s="39">
        <f t="shared" si="27"/>
        <v>24</v>
      </c>
      <c r="W35" s="39">
        <f t="shared" si="27"/>
        <v>2</v>
      </c>
      <c r="X35" s="39">
        <f t="shared" si="27"/>
        <v>0</v>
      </c>
      <c r="Y35" s="39">
        <f t="shared" si="27"/>
        <v>10</v>
      </c>
      <c r="Z35" s="39">
        <f t="shared" si="27"/>
        <v>3</v>
      </c>
      <c r="AA35" s="39">
        <f t="shared" si="27"/>
        <v>2</v>
      </c>
      <c r="AB35" s="39">
        <f t="shared" si="27"/>
        <v>2</v>
      </c>
      <c r="AC35" s="39">
        <f t="shared" si="27"/>
        <v>30</v>
      </c>
      <c r="AD35" s="39">
        <f t="shared" si="27"/>
        <v>0</v>
      </c>
      <c r="AE35" s="40">
        <f t="shared" si="27"/>
        <v>92</v>
      </c>
      <c r="AF35" s="40">
        <f t="shared" si="27"/>
        <v>116</v>
      </c>
    </row>
    <row r="36" spans="2:32" ht="23.1" customHeight="1" x14ac:dyDescent="0.25">
      <c r="B36" s="46" t="s">
        <v>63</v>
      </c>
      <c r="C36" s="50">
        <v>12</v>
      </c>
      <c r="D36" s="50">
        <v>0</v>
      </c>
      <c r="E36" s="50">
        <v>6</v>
      </c>
      <c r="F36" s="50">
        <v>3</v>
      </c>
      <c r="G36" s="50">
        <v>0</v>
      </c>
      <c r="H36" s="50">
        <v>0</v>
      </c>
      <c r="I36" s="50">
        <v>3</v>
      </c>
      <c r="J36" s="50">
        <v>0</v>
      </c>
      <c r="K36" s="50">
        <v>0</v>
      </c>
      <c r="L36" s="50">
        <v>0</v>
      </c>
      <c r="M36" s="50">
        <v>14</v>
      </c>
      <c r="N36" s="50">
        <v>0</v>
      </c>
      <c r="O36" s="15">
        <f t="shared" si="0"/>
        <v>24</v>
      </c>
      <c r="P36" s="15">
        <f t="shared" si="1"/>
        <v>38</v>
      </c>
      <c r="R36" s="38" t="s">
        <v>92</v>
      </c>
      <c r="S36" s="39">
        <f t="shared" ref="S36:AF36" si="28">MAX(S19:S21)</f>
        <v>43</v>
      </c>
      <c r="T36" s="39">
        <f t="shared" si="28"/>
        <v>0</v>
      </c>
      <c r="U36" s="39">
        <f t="shared" si="28"/>
        <v>10</v>
      </c>
      <c r="V36" s="39">
        <f t="shared" si="28"/>
        <v>14</v>
      </c>
      <c r="W36" s="39">
        <f t="shared" si="28"/>
        <v>0</v>
      </c>
      <c r="X36" s="39">
        <f t="shared" si="28"/>
        <v>1</v>
      </c>
      <c r="Y36" s="39">
        <f t="shared" si="28"/>
        <v>4</v>
      </c>
      <c r="Z36" s="39">
        <f t="shared" si="28"/>
        <v>1</v>
      </c>
      <c r="AA36" s="39">
        <f t="shared" si="28"/>
        <v>0</v>
      </c>
      <c r="AB36" s="39">
        <f t="shared" si="28"/>
        <v>2</v>
      </c>
      <c r="AC36" s="39">
        <f t="shared" si="28"/>
        <v>17</v>
      </c>
      <c r="AD36" s="39">
        <f t="shared" si="28"/>
        <v>0</v>
      </c>
      <c r="AE36" s="40">
        <f t="shared" si="28"/>
        <v>63</v>
      </c>
      <c r="AF36" s="40">
        <f t="shared" si="28"/>
        <v>80</v>
      </c>
    </row>
    <row r="37" spans="2:32" ht="23.1" customHeight="1" x14ac:dyDescent="0.25">
      <c r="B37" s="45" t="s">
        <v>64</v>
      </c>
      <c r="C37" s="50">
        <v>9</v>
      </c>
      <c r="D37" s="50">
        <v>0</v>
      </c>
      <c r="E37" s="50">
        <v>0</v>
      </c>
      <c r="F37" s="50">
        <v>6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4</v>
      </c>
      <c r="N37" s="50">
        <v>0</v>
      </c>
      <c r="O37" s="15">
        <f t="shared" si="0"/>
        <v>15</v>
      </c>
      <c r="P37" s="15">
        <f t="shared" si="1"/>
        <v>19</v>
      </c>
      <c r="R37" s="37" t="s">
        <v>85</v>
      </c>
      <c r="S37" s="35">
        <f t="shared" ref="S37:AF37" si="29">SUM(S10:S12)</f>
        <v>53</v>
      </c>
      <c r="T37" s="16">
        <f t="shared" si="29"/>
        <v>0</v>
      </c>
      <c r="U37" s="16">
        <f t="shared" si="29"/>
        <v>14</v>
      </c>
      <c r="V37" s="16">
        <f t="shared" si="29"/>
        <v>25</v>
      </c>
      <c r="W37" s="16">
        <f t="shared" si="29"/>
        <v>0</v>
      </c>
      <c r="X37" s="16">
        <f t="shared" si="29"/>
        <v>1</v>
      </c>
      <c r="Y37" s="16">
        <f t="shared" si="29"/>
        <v>22</v>
      </c>
      <c r="Z37" s="16">
        <f t="shared" si="29"/>
        <v>9</v>
      </c>
      <c r="AA37" s="16">
        <f t="shared" si="29"/>
        <v>1</v>
      </c>
      <c r="AB37" s="16">
        <f t="shared" si="29"/>
        <v>2</v>
      </c>
      <c r="AC37" s="16">
        <f t="shared" si="29"/>
        <v>40</v>
      </c>
      <c r="AD37" s="16">
        <f t="shared" si="29"/>
        <v>0</v>
      </c>
      <c r="AE37" s="32">
        <f t="shared" si="29"/>
        <v>127</v>
      </c>
      <c r="AF37" s="32">
        <f t="shared" si="29"/>
        <v>167</v>
      </c>
    </row>
    <row r="38" spans="2:32" ht="23.1" customHeight="1" x14ac:dyDescent="0.25">
      <c r="B38" s="46" t="s">
        <v>65</v>
      </c>
      <c r="C38" s="50">
        <v>6</v>
      </c>
      <c r="D38" s="50">
        <v>0</v>
      </c>
      <c r="E38" s="50">
        <v>2</v>
      </c>
      <c r="F38" s="50">
        <v>7</v>
      </c>
      <c r="G38" s="50">
        <v>0</v>
      </c>
      <c r="H38" s="50">
        <v>0</v>
      </c>
      <c r="I38" s="50">
        <v>1</v>
      </c>
      <c r="J38" s="50">
        <v>0</v>
      </c>
      <c r="K38" s="50">
        <v>0</v>
      </c>
      <c r="L38" s="50">
        <v>0</v>
      </c>
      <c r="M38" s="50">
        <v>6</v>
      </c>
      <c r="N38" s="50">
        <v>0</v>
      </c>
      <c r="O38" s="15">
        <f t="shared" si="0"/>
        <v>16</v>
      </c>
      <c r="P38" s="15">
        <f t="shared" si="1"/>
        <v>22</v>
      </c>
      <c r="R38" s="28" t="s">
        <v>86</v>
      </c>
      <c r="S38" s="16">
        <f t="shared" ref="S38:AF38" si="30">SUM(S13:S18)</f>
        <v>181</v>
      </c>
      <c r="T38" s="16">
        <f t="shared" si="30"/>
        <v>0</v>
      </c>
      <c r="U38" s="16">
        <f t="shared" si="30"/>
        <v>72</v>
      </c>
      <c r="V38" s="16">
        <f t="shared" si="30"/>
        <v>107</v>
      </c>
      <c r="W38" s="16">
        <f t="shared" si="30"/>
        <v>3</v>
      </c>
      <c r="X38" s="16">
        <f t="shared" si="30"/>
        <v>0</v>
      </c>
      <c r="Y38" s="16">
        <f t="shared" si="30"/>
        <v>36</v>
      </c>
      <c r="Z38" s="16">
        <f t="shared" si="30"/>
        <v>5</v>
      </c>
      <c r="AA38" s="16">
        <f t="shared" si="30"/>
        <v>4</v>
      </c>
      <c r="AB38" s="16">
        <f t="shared" si="30"/>
        <v>4</v>
      </c>
      <c r="AC38" s="16">
        <f t="shared" si="30"/>
        <v>126</v>
      </c>
      <c r="AD38" s="16">
        <f t="shared" si="30"/>
        <v>0</v>
      </c>
      <c r="AE38" s="32">
        <f t="shared" si="30"/>
        <v>412</v>
      </c>
      <c r="AF38" s="32">
        <f t="shared" si="30"/>
        <v>538</v>
      </c>
    </row>
    <row r="39" spans="2:32" ht="23.1" customHeight="1" x14ac:dyDescent="0.25">
      <c r="B39" s="46" t="s">
        <v>66</v>
      </c>
      <c r="C39" s="50">
        <v>6</v>
      </c>
      <c r="D39" s="50">
        <v>0</v>
      </c>
      <c r="E39" s="50">
        <v>2</v>
      </c>
      <c r="F39" s="50">
        <v>1</v>
      </c>
      <c r="G39" s="50">
        <v>1</v>
      </c>
      <c r="H39" s="50">
        <v>0</v>
      </c>
      <c r="I39" s="50">
        <v>2</v>
      </c>
      <c r="J39" s="50">
        <v>0</v>
      </c>
      <c r="K39" s="50">
        <v>0</v>
      </c>
      <c r="L39" s="50">
        <v>0</v>
      </c>
      <c r="M39" s="50">
        <v>4</v>
      </c>
      <c r="N39" s="50">
        <v>0</v>
      </c>
      <c r="O39" s="15">
        <f t="shared" si="0"/>
        <v>12</v>
      </c>
      <c r="P39" s="15">
        <f t="shared" si="1"/>
        <v>16</v>
      </c>
      <c r="R39" s="29" t="s">
        <v>87</v>
      </c>
      <c r="S39" s="16">
        <f t="shared" ref="S39:AF39" si="31">SUM(S19:S21)</f>
        <v>88</v>
      </c>
      <c r="T39" s="16">
        <f t="shared" si="31"/>
        <v>0</v>
      </c>
      <c r="U39" s="16">
        <f t="shared" si="31"/>
        <v>19</v>
      </c>
      <c r="V39" s="16">
        <f t="shared" si="31"/>
        <v>27</v>
      </c>
      <c r="W39" s="16">
        <f t="shared" si="31"/>
        <v>0</v>
      </c>
      <c r="X39" s="16">
        <f t="shared" si="31"/>
        <v>1</v>
      </c>
      <c r="Y39" s="16">
        <f t="shared" si="31"/>
        <v>7</v>
      </c>
      <c r="Z39" s="16">
        <f t="shared" si="31"/>
        <v>2</v>
      </c>
      <c r="AA39" s="16">
        <f t="shared" si="31"/>
        <v>0</v>
      </c>
      <c r="AB39" s="16">
        <f t="shared" si="31"/>
        <v>2</v>
      </c>
      <c r="AC39" s="16">
        <f t="shared" si="31"/>
        <v>49</v>
      </c>
      <c r="AD39" s="16">
        <f t="shared" si="31"/>
        <v>0</v>
      </c>
      <c r="AE39" s="32">
        <f t="shared" si="31"/>
        <v>146</v>
      </c>
      <c r="AF39" s="32">
        <f t="shared" si="31"/>
        <v>195</v>
      </c>
    </row>
    <row r="40" spans="2:32" ht="23.1" customHeight="1" x14ac:dyDescent="0.25">
      <c r="B40" s="46" t="s">
        <v>67</v>
      </c>
      <c r="C40" s="50">
        <v>9</v>
      </c>
      <c r="D40" s="50">
        <v>0</v>
      </c>
      <c r="E40" s="50">
        <v>2</v>
      </c>
      <c r="F40" s="50">
        <v>2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1</v>
      </c>
      <c r="N40" s="50">
        <v>0</v>
      </c>
      <c r="O40" s="15">
        <f t="shared" si="0"/>
        <v>13</v>
      </c>
      <c r="P40" s="15">
        <f t="shared" si="1"/>
        <v>14</v>
      </c>
      <c r="R40" s="5" t="s">
        <v>17</v>
      </c>
      <c r="S40" s="16">
        <f t="shared" ref="S40:AF40" si="32">SUM(S10:S21)</f>
        <v>322</v>
      </c>
      <c r="T40" s="16">
        <f t="shared" si="32"/>
        <v>0</v>
      </c>
      <c r="U40" s="16">
        <f t="shared" si="32"/>
        <v>105</v>
      </c>
      <c r="V40" s="16">
        <f t="shared" si="32"/>
        <v>159</v>
      </c>
      <c r="W40" s="16">
        <f t="shared" si="32"/>
        <v>3</v>
      </c>
      <c r="X40" s="16">
        <f t="shared" si="32"/>
        <v>2</v>
      </c>
      <c r="Y40" s="16">
        <f t="shared" si="32"/>
        <v>65</v>
      </c>
      <c r="Z40" s="16">
        <f t="shared" si="32"/>
        <v>16</v>
      </c>
      <c r="AA40" s="16">
        <f t="shared" si="32"/>
        <v>5</v>
      </c>
      <c r="AB40" s="16">
        <f t="shared" si="32"/>
        <v>8</v>
      </c>
      <c r="AC40" s="16">
        <f t="shared" si="32"/>
        <v>215</v>
      </c>
      <c r="AD40" s="16">
        <f t="shared" si="32"/>
        <v>0</v>
      </c>
      <c r="AE40" s="32">
        <f t="shared" si="32"/>
        <v>685</v>
      </c>
      <c r="AF40" s="32">
        <f t="shared" si="32"/>
        <v>900</v>
      </c>
    </row>
    <row r="41" spans="2:32" ht="23.1" customHeight="1" x14ac:dyDescent="0.25">
      <c r="B41" s="45" t="s">
        <v>68</v>
      </c>
      <c r="C41" s="50">
        <v>4</v>
      </c>
      <c r="D41" s="50">
        <v>0</v>
      </c>
      <c r="E41" s="50">
        <v>4</v>
      </c>
      <c r="F41" s="50">
        <v>4</v>
      </c>
      <c r="G41" s="50">
        <v>1</v>
      </c>
      <c r="H41" s="50">
        <v>0</v>
      </c>
      <c r="I41" s="50">
        <v>3</v>
      </c>
      <c r="J41" s="50">
        <v>0</v>
      </c>
      <c r="K41" s="50">
        <v>0</v>
      </c>
      <c r="L41" s="50">
        <v>0</v>
      </c>
      <c r="M41" s="50">
        <v>8</v>
      </c>
      <c r="N41" s="50">
        <v>0</v>
      </c>
      <c r="O41" s="15">
        <f t="shared" si="0"/>
        <v>16</v>
      </c>
      <c r="P41" s="15">
        <f t="shared" si="1"/>
        <v>24</v>
      </c>
      <c r="R41" s="5" t="s">
        <v>159</v>
      </c>
      <c r="S41" s="16">
        <f>SUM(S10:S33)</f>
        <v>402</v>
      </c>
      <c r="T41" s="16">
        <f t="shared" ref="T41:AF41" si="33">SUM(T10:T33)</f>
        <v>0</v>
      </c>
      <c r="U41" s="16">
        <f t="shared" si="33"/>
        <v>135</v>
      </c>
      <c r="V41" s="16">
        <f t="shared" si="33"/>
        <v>220</v>
      </c>
      <c r="W41" s="16">
        <f t="shared" si="33"/>
        <v>3</v>
      </c>
      <c r="X41" s="16">
        <f t="shared" si="33"/>
        <v>9</v>
      </c>
      <c r="Y41" s="16">
        <f t="shared" si="33"/>
        <v>107</v>
      </c>
      <c r="Z41" s="16">
        <f t="shared" si="33"/>
        <v>16</v>
      </c>
      <c r="AA41" s="16">
        <f t="shared" si="33"/>
        <v>5</v>
      </c>
      <c r="AB41" s="16">
        <f t="shared" si="33"/>
        <v>41</v>
      </c>
      <c r="AC41" s="16">
        <f t="shared" si="33"/>
        <v>267</v>
      </c>
      <c r="AD41" s="16">
        <f t="shared" si="33"/>
        <v>0</v>
      </c>
      <c r="AE41" s="32">
        <f t="shared" si="33"/>
        <v>938</v>
      </c>
      <c r="AF41" s="32">
        <f t="shared" si="33"/>
        <v>1205</v>
      </c>
    </row>
    <row r="42" spans="2:32" ht="23.1" customHeight="1" x14ac:dyDescent="0.25">
      <c r="B42" s="46" t="s">
        <v>69</v>
      </c>
      <c r="C42" s="50">
        <v>6</v>
      </c>
      <c r="D42" s="50">
        <v>0</v>
      </c>
      <c r="E42" s="50">
        <v>2</v>
      </c>
      <c r="F42" s="50">
        <v>6</v>
      </c>
      <c r="G42" s="50">
        <v>1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2</v>
      </c>
      <c r="N42" s="50">
        <v>0</v>
      </c>
      <c r="O42" s="15">
        <f t="shared" si="0"/>
        <v>15</v>
      </c>
      <c r="P42" s="15">
        <f t="shared" si="1"/>
        <v>17</v>
      </c>
      <c r="R42" s="5" t="s">
        <v>160</v>
      </c>
      <c r="S42" s="48">
        <f>S41/S40</f>
        <v>1.2484472049689441</v>
      </c>
      <c r="T42" s="48" t="e">
        <f t="shared" ref="T42:AF42" si="34">T41/T40</f>
        <v>#DIV/0!</v>
      </c>
      <c r="U42" s="48">
        <f t="shared" si="34"/>
        <v>1.2857142857142858</v>
      </c>
      <c r="V42" s="48">
        <f t="shared" si="34"/>
        <v>1.3836477987421383</v>
      </c>
      <c r="W42" s="48">
        <f t="shared" si="34"/>
        <v>1</v>
      </c>
      <c r="X42" s="48">
        <f t="shared" si="34"/>
        <v>4.5</v>
      </c>
      <c r="Y42" s="48">
        <f t="shared" si="34"/>
        <v>1.6461538461538461</v>
      </c>
      <c r="Z42" s="48">
        <f t="shared" si="34"/>
        <v>1</v>
      </c>
      <c r="AA42" s="48">
        <f t="shared" si="34"/>
        <v>1</v>
      </c>
      <c r="AB42" s="48">
        <f t="shared" si="34"/>
        <v>5.125</v>
      </c>
      <c r="AC42" s="48">
        <f t="shared" si="34"/>
        <v>1.241860465116279</v>
      </c>
      <c r="AD42" s="48" t="e">
        <f t="shared" si="34"/>
        <v>#DIV/0!</v>
      </c>
      <c r="AE42" s="48">
        <f t="shared" si="34"/>
        <v>1.3693430656934307</v>
      </c>
      <c r="AF42" s="48">
        <f t="shared" si="34"/>
        <v>1.3388888888888888</v>
      </c>
    </row>
    <row r="43" spans="2:32" ht="23.1" customHeight="1" x14ac:dyDescent="0.25">
      <c r="B43" s="45" t="s">
        <v>70</v>
      </c>
      <c r="C43" s="50">
        <v>10</v>
      </c>
      <c r="D43" s="50">
        <v>0</v>
      </c>
      <c r="E43" s="50">
        <v>3</v>
      </c>
      <c r="F43" s="50">
        <v>7</v>
      </c>
      <c r="G43" s="50">
        <v>0</v>
      </c>
      <c r="H43" s="50">
        <v>0</v>
      </c>
      <c r="I43" s="50">
        <v>2</v>
      </c>
      <c r="J43" s="50">
        <v>0</v>
      </c>
      <c r="K43" s="50">
        <v>0</v>
      </c>
      <c r="L43" s="50">
        <v>0</v>
      </c>
      <c r="M43" s="50">
        <v>9</v>
      </c>
      <c r="N43" s="50">
        <v>0</v>
      </c>
      <c r="O43" s="15">
        <f t="shared" si="0"/>
        <v>22</v>
      </c>
      <c r="P43" s="15">
        <f t="shared" si="1"/>
        <v>31</v>
      </c>
    </row>
    <row r="44" spans="2:32" ht="23.1" customHeight="1" x14ac:dyDescent="0.25">
      <c r="B44" s="47" t="s">
        <v>71</v>
      </c>
      <c r="C44" s="50">
        <v>21</v>
      </c>
      <c r="D44" s="50">
        <v>0</v>
      </c>
      <c r="E44" s="50">
        <v>12</v>
      </c>
      <c r="F44" s="50">
        <v>5</v>
      </c>
      <c r="G44" s="50">
        <v>0</v>
      </c>
      <c r="H44" s="50">
        <v>0</v>
      </c>
      <c r="I44" s="50">
        <v>1</v>
      </c>
      <c r="J44" s="50">
        <v>0</v>
      </c>
      <c r="K44" s="50">
        <v>0</v>
      </c>
      <c r="L44" s="50">
        <v>2</v>
      </c>
      <c r="M44" s="50">
        <v>10</v>
      </c>
      <c r="N44" s="50">
        <v>0</v>
      </c>
      <c r="O44" s="15">
        <f t="shared" si="0"/>
        <v>41</v>
      </c>
      <c r="P44" s="15">
        <f t="shared" si="1"/>
        <v>51</v>
      </c>
    </row>
    <row r="45" spans="2:32" ht="23.1" customHeight="1" x14ac:dyDescent="0.25">
      <c r="B45" s="45" t="s">
        <v>72</v>
      </c>
      <c r="C45" s="50">
        <v>4</v>
      </c>
      <c r="D45" s="50">
        <v>0</v>
      </c>
      <c r="E45" s="50">
        <v>2</v>
      </c>
      <c r="F45" s="50">
        <v>6</v>
      </c>
      <c r="G45" s="50">
        <v>0</v>
      </c>
      <c r="H45" s="50">
        <v>0</v>
      </c>
      <c r="I45" s="50">
        <v>2</v>
      </c>
      <c r="J45" s="50">
        <v>0</v>
      </c>
      <c r="K45" s="50">
        <v>0</v>
      </c>
      <c r="L45" s="50">
        <v>0</v>
      </c>
      <c r="M45" s="50">
        <v>3</v>
      </c>
      <c r="N45" s="50">
        <v>0</v>
      </c>
      <c r="O45" s="15">
        <f t="shared" si="0"/>
        <v>14</v>
      </c>
      <c r="P45" s="15">
        <f t="shared" si="1"/>
        <v>17</v>
      </c>
    </row>
    <row r="46" spans="2:32" ht="23.1" customHeight="1" x14ac:dyDescent="0.25">
      <c r="B46" s="46" t="s">
        <v>73</v>
      </c>
      <c r="C46" s="50">
        <v>5</v>
      </c>
      <c r="D46" s="50">
        <v>0</v>
      </c>
      <c r="E46" s="50">
        <v>2</v>
      </c>
      <c r="F46" s="50">
        <v>2</v>
      </c>
      <c r="G46" s="50">
        <v>0</v>
      </c>
      <c r="H46" s="50">
        <v>0</v>
      </c>
      <c r="I46" s="50">
        <v>1</v>
      </c>
      <c r="J46" s="50">
        <v>0</v>
      </c>
      <c r="K46" s="50">
        <v>0</v>
      </c>
      <c r="L46" s="50">
        <v>0</v>
      </c>
      <c r="M46" s="50">
        <v>6</v>
      </c>
      <c r="N46" s="50">
        <v>0</v>
      </c>
      <c r="O46" s="15">
        <f t="shared" si="0"/>
        <v>10</v>
      </c>
      <c r="P46" s="15">
        <f t="shared" si="1"/>
        <v>16</v>
      </c>
      <c r="R46" s="8"/>
      <c r="T46"/>
    </row>
    <row r="47" spans="2:32" ht="23.1" customHeight="1" x14ac:dyDescent="0.25">
      <c r="B47" s="46" t="s">
        <v>74</v>
      </c>
      <c r="C47" s="50">
        <v>9</v>
      </c>
      <c r="D47" s="50">
        <v>0</v>
      </c>
      <c r="E47" s="50">
        <v>2</v>
      </c>
      <c r="F47" s="50">
        <v>4</v>
      </c>
      <c r="G47" s="50">
        <v>0</v>
      </c>
      <c r="H47" s="50">
        <v>0</v>
      </c>
      <c r="I47" s="50">
        <v>0</v>
      </c>
      <c r="J47" s="50">
        <v>1</v>
      </c>
      <c r="K47" s="50">
        <v>0</v>
      </c>
      <c r="L47" s="50">
        <v>0</v>
      </c>
      <c r="M47" s="50">
        <v>6</v>
      </c>
      <c r="N47" s="50">
        <v>0</v>
      </c>
      <c r="O47" s="15">
        <f t="shared" si="0"/>
        <v>16</v>
      </c>
      <c r="P47" s="15">
        <f t="shared" si="1"/>
        <v>22</v>
      </c>
      <c r="R47" s="8"/>
      <c r="T47"/>
    </row>
    <row r="48" spans="2:32" ht="23.1" customHeight="1" x14ac:dyDescent="0.25">
      <c r="B48" s="46" t="s">
        <v>75</v>
      </c>
      <c r="C48" s="50">
        <v>11</v>
      </c>
      <c r="D48" s="50">
        <v>0</v>
      </c>
      <c r="E48" s="50">
        <v>3</v>
      </c>
      <c r="F48" s="50">
        <v>3</v>
      </c>
      <c r="G48" s="50">
        <v>0</v>
      </c>
      <c r="H48" s="50">
        <v>1</v>
      </c>
      <c r="I48" s="50">
        <v>0</v>
      </c>
      <c r="J48" s="50">
        <v>0</v>
      </c>
      <c r="K48" s="50">
        <v>0</v>
      </c>
      <c r="L48" s="50">
        <v>0</v>
      </c>
      <c r="M48" s="50">
        <v>3</v>
      </c>
      <c r="N48" s="50">
        <v>0</v>
      </c>
      <c r="O48" s="15">
        <f t="shared" si="0"/>
        <v>18</v>
      </c>
      <c r="P48" s="15">
        <f t="shared" si="1"/>
        <v>21</v>
      </c>
      <c r="R48" s="8"/>
      <c r="T48"/>
    </row>
    <row r="49" spans="2:20" ht="23.1" customHeight="1" x14ac:dyDescent="0.25">
      <c r="B49" s="45" t="s">
        <v>76</v>
      </c>
      <c r="C49" s="50">
        <v>7</v>
      </c>
      <c r="D49" s="50">
        <v>0</v>
      </c>
      <c r="E49" s="50">
        <v>3</v>
      </c>
      <c r="F49" s="50">
        <v>5</v>
      </c>
      <c r="G49" s="50">
        <v>0</v>
      </c>
      <c r="H49" s="50">
        <v>0</v>
      </c>
      <c r="I49" s="50">
        <v>2</v>
      </c>
      <c r="J49" s="50">
        <v>0</v>
      </c>
      <c r="K49" s="50">
        <v>0</v>
      </c>
      <c r="L49" s="50">
        <v>0</v>
      </c>
      <c r="M49" s="50">
        <v>2</v>
      </c>
      <c r="N49" s="50">
        <v>0</v>
      </c>
      <c r="O49" s="15">
        <f t="shared" si="0"/>
        <v>17</v>
      </c>
      <c r="P49" s="15">
        <f t="shared" si="1"/>
        <v>19</v>
      </c>
      <c r="R49" s="8"/>
      <c r="T49"/>
    </row>
    <row r="50" spans="2:20" ht="23.1" customHeight="1" x14ac:dyDescent="0.25">
      <c r="B50" s="46" t="s">
        <v>77</v>
      </c>
      <c r="C50" s="50">
        <v>19</v>
      </c>
      <c r="D50" s="50">
        <v>0</v>
      </c>
      <c r="E50" s="50">
        <v>4</v>
      </c>
      <c r="F50" s="50">
        <v>5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7</v>
      </c>
      <c r="N50" s="50">
        <v>0</v>
      </c>
      <c r="O50" s="15">
        <f t="shared" si="0"/>
        <v>28</v>
      </c>
      <c r="P50" s="15">
        <f t="shared" si="1"/>
        <v>35</v>
      </c>
      <c r="R50" s="8"/>
      <c r="T50"/>
    </row>
    <row r="51" spans="2:20" ht="23.1" customHeight="1" x14ac:dyDescent="0.25">
      <c r="B51" s="46" t="s">
        <v>78</v>
      </c>
      <c r="C51" s="50">
        <v>4</v>
      </c>
      <c r="D51" s="50">
        <v>0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9</v>
      </c>
      <c r="N51" s="50">
        <v>0</v>
      </c>
      <c r="O51" s="15">
        <f t="shared" si="0"/>
        <v>4</v>
      </c>
      <c r="P51" s="15">
        <f t="shared" si="1"/>
        <v>13</v>
      </c>
      <c r="R51" s="8"/>
      <c r="T51"/>
    </row>
    <row r="52" spans="2:20" ht="23.1" customHeight="1" x14ac:dyDescent="0.25">
      <c r="B52" s="46" t="s">
        <v>79</v>
      </c>
      <c r="C52" s="50">
        <v>13</v>
      </c>
      <c r="D52" s="50">
        <v>0</v>
      </c>
      <c r="E52" s="50">
        <v>2</v>
      </c>
      <c r="F52" s="50">
        <v>5</v>
      </c>
      <c r="G52" s="50">
        <v>0</v>
      </c>
      <c r="H52" s="50">
        <v>0</v>
      </c>
      <c r="I52" s="50">
        <v>0</v>
      </c>
      <c r="J52" s="50">
        <v>1</v>
      </c>
      <c r="K52" s="50">
        <v>0</v>
      </c>
      <c r="L52" s="50">
        <v>0</v>
      </c>
      <c r="M52" s="50">
        <v>1</v>
      </c>
      <c r="N52" s="50">
        <v>0</v>
      </c>
      <c r="O52" s="15">
        <f t="shared" si="0"/>
        <v>21</v>
      </c>
      <c r="P52" s="15">
        <f t="shared" si="1"/>
        <v>22</v>
      </c>
      <c r="R52" s="8"/>
      <c r="T52"/>
    </row>
    <row r="53" spans="2:20" ht="23.1" customHeight="1" x14ac:dyDescent="0.25">
      <c r="B53" s="45" t="s">
        <v>80</v>
      </c>
      <c r="C53" s="50">
        <v>7</v>
      </c>
      <c r="D53" s="50">
        <v>0</v>
      </c>
      <c r="E53" s="50">
        <v>1</v>
      </c>
      <c r="F53" s="50">
        <v>2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0</v>
      </c>
      <c r="N53" s="50">
        <v>0</v>
      </c>
      <c r="O53" s="15">
        <f t="shared" si="0"/>
        <v>10</v>
      </c>
      <c r="P53" s="15">
        <f t="shared" si="1"/>
        <v>10</v>
      </c>
      <c r="R53" s="8"/>
      <c r="T53"/>
    </row>
    <row r="54" spans="2:20" ht="23.1" customHeight="1" x14ac:dyDescent="0.25">
      <c r="B54" s="45" t="s">
        <v>81</v>
      </c>
      <c r="C54" s="50">
        <v>5</v>
      </c>
      <c r="D54" s="50">
        <v>0</v>
      </c>
      <c r="E54" s="50">
        <v>2</v>
      </c>
      <c r="F54" s="50">
        <v>0</v>
      </c>
      <c r="G54" s="50">
        <v>0</v>
      </c>
      <c r="H54" s="50">
        <v>0</v>
      </c>
      <c r="I54" s="50">
        <v>1</v>
      </c>
      <c r="J54" s="50">
        <v>0</v>
      </c>
      <c r="K54" s="50">
        <v>0</v>
      </c>
      <c r="L54" s="50">
        <v>1</v>
      </c>
      <c r="M54" s="50">
        <v>3</v>
      </c>
      <c r="N54" s="50">
        <v>0</v>
      </c>
      <c r="O54" s="15">
        <f t="shared" si="0"/>
        <v>9</v>
      </c>
      <c r="P54" s="15">
        <f t="shared" si="1"/>
        <v>12</v>
      </c>
      <c r="R54" s="8"/>
      <c r="T54"/>
    </row>
    <row r="55" spans="2:20" ht="23.1" customHeight="1" x14ac:dyDescent="0.25">
      <c r="B55" s="45" t="s">
        <v>82</v>
      </c>
      <c r="C55" s="50">
        <v>4</v>
      </c>
      <c r="D55" s="50">
        <v>0</v>
      </c>
      <c r="E55" s="50">
        <v>0</v>
      </c>
      <c r="F55" s="50">
        <v>1</v>
      </c>
      <c r="G55" s="50">
        <v>0</v>
      </c>
      <c r="H55" s="50">
        <v>0</v>
      </c>
      <c r="I55" s="50">
        <v>2</v>
      </c>
      <c r="J55" s="50">
        <v>0</v>
      </c>
      <c r="K55" s="50">
        <v>0</v>
      </c>
      <c r="L55" s="50">
        <v>0</v>
      </c>
      <c r="M55" s="50">
        <v>6</v>
      </c>
      <c r="N55" s="50">
        <v>0</v>
      </c>
      <c r="O55" s="15">
        <f t="shared" si="0"/>
        <v>7</v>
      </c>
      <c r="P55" s="15">
        <f t="shared" si="1"/>
        <v>13</v>
      </c>
      <c r="R55" s="8"/>
      <c r="T55"/>
    </row>
    <row r="56" spans="2:20" ht="23.1" customHeight="1" x14ac:dyDescent="0.25">
      <c r="B56" s="45" t="s">
        <v>83</v>
      </c>
      <c r="C56" s="50">
        <v>2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1</v>
      </c>
      <c r="J56" s="50">
        <v>0</v>
      </c>
      <c r="K56" s="50">
        <v>0</v>
      </c>
      <c r="L56" s="50">
        <v>1</v>
      </c>
      <c r="M56" s="50">
        <v>2</v>
      </c>
      <c r="N56" s="50">
        <v>0</v>
      </c>
      <c r="O56" s="15">
        <f t="shared" si="0"/>
        <v>4</v>
      </c>
      <c r="P56" s="15">
        <f t="shared" si="1"/>
        <v>6</v>
      </c>
      <c r="R56" s="8"/>
      <c r="T56"/>
    </row>
    <row r="57" spans="2:20" ht="23.1" customHeight="1" x14ac:dyDescent="0.25">
      <c r="B57" s="45" t="s">
        <v>84</v>
      </c>
      <c r="C57" s="50">
        <v>2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4</v>
      </c>
      <c r="N57" s="50">
        <v>0</v>
      </c>
      <c r="O57" s="15">
        <f t="shared" si="0"/>
        <v>2</v>
      </c>
      <c r="P57" s="15">
        <f t="shared" si="1"/>
        <v>6</v>
      </c>
      <c r="R57" s="8"/>
      <c r="T57"/>
    </row>
    <row r="58" spans="2:20" ht="23.1" customHeight="1" x14ac:dyDescent="0.25">
      <c r="B58" s="45" t="s">
        <v>99</v>
      </c>
      <c r="C58" s="50">
        <v>6</v>
      </c>
      <c r="D58" s="50">
        <v>0</v>
      </c>
      <c r="E58" s="50">
        <v>4</v>
      </c>
      <c r="F58" s="50">
        <v>2</v>
      </c>
      <c r="G58" s="50">
        <v>0</v>
      </c>
      <c r="H58" s="50">
        <v>1</v>
      </c>
      <c r="I58" s="50">
        <v>2</v>
      </c>
      <c r="J58" s="50">
        <v>0</v>
      </c>
      <c r="K58" s="50">
        <v>0</v>
      </c>
      <c r="L58" s="50">
        <v>0</v>
      </c>
      <c r="M58" s="50">
        <v>7</v>
      </c>
      <c r="N58" s="50">
        <v>0</v>
      </c>
      <c r="O58" s="15">
        <f t="shared" si="0"/>
        <v>15</v>
      </c>
      <c r="P58" s="15">
        <f t="shared" si="1"/>
        <v>22</v>
      </c>
      <c r="R58" s="8"/>
      <c r="T58"/>
    </row>
    <row r="59" spans="2:20" ht="23.1" customHeight="1" x14ac:dyDescent="0.25">
      <c r="B59" s="45" t="s">
        <v>100</v>
      </c>
      <c r="C59" s="50">
        <v>0</v>
      </c>
      <c r="D59" s="50">
        <v>0</v>
      </c>
      <c r="E59" s="50">
        <v>0</v>
      </c>
      <c r="F59" s="50">
        <v>2</v>
      </c>
      <c r="G59" s="50">
        <v>0</v>
      </c>
      <c r="H59" s="50">
        <v>0</v>
      </c>
      <c r="I59" s="50">
        <v>0</v>
      </c>
      <c r="J59" s="50">
        <v>0</v>
      </c>
      <c r="K59" s="50">
        <v>0</v>
      </c>
      <c r="L59" s="50">
        <v>0</v>
      </c>
      <c r="M59" s="50">
        <v>2</v>
      </c>
      <c r="N59" s="50">
        <v>0</v>
      </c>
      <c r="O59" s="15">
        <f t="shared" si="0"/>
        <v>2</v>
      </c>
      <c r="P59" s="15">
        <f t="shared" si="1"/>
        <v>4</v>
      </c>
      <c r="R59" s="8"/>
      <c r="T59"/>
    </row>
    <row r="60" spans="2:20" ht="23.1" customHeight="1" x14ac:dyDescent="0.25">
      <c r="B60" s="45" t="s">
        <v>101</v>
      </c>
      <c r="C60" s="50">
        <v>1</v>
      </c>
      <c r="D60" s="50">
        <v>0</v>
      </c>
      <c r="E60" s="50">
        <v>0</v>
      </c>
      <c r="F60" s="50">
        <v>6</v>
      </c>
      <c r="G60" s="50">
        <v>0</v>
      </c>
      <c r="H60" s="50">
        <v>0</v>
      </c>
      <c r="I60" s="50">
        <v>2</v>
      </c>
      <c r="J60" s="50">
        <v>0</v>
      </c>
      <c r="K60" s="50">
        <v>0</v>
      </c>
      <c r="L60" s="50">
        <v>1</v>
      </c>
      <c r="M60" s="50">
        <v>3</v>
      </c>
      <c r="N60" s="50">
        <v>0</v>
      </c>
      <c r="O60" s="15">
        <f t="shared" si="0"/>
        <v>10</v>
      </c>
      <c r="P60" s="15">
        <f t="shared" si="1"/>
        <v>13</v>
      </c>
      <c r="R60" s="8"/>
      <c r="T60"/>
    </row>
    <row r="61" spans="2:20" ht="23.1" customHeight="1" x14ac:dyDescent="0.25">
      <c r="B61" s="45" t="s">
        <v>102</v>
      </c>
      <c r="C61" s="50">
        <v>8</v>
      </c>
      <c r="D61" s="50">
        <v>0</v>
      </c>
      <c r="E61" s="50">
        <v>0</v>
      </c>
      <c r="F61" s="50">
        <v>0</v>
      </c>
      <c r="G61" s="50">
        <v>0</v>
      </c>
      <c r="H61" s="50">
        <v>0</v>
      </c>
      <c r="I61" s="50">
        <v>0</v>
      </c>
      <c r="J61" s="50">
        <v>0</v>
      </c>
      <c r="K61" s="50">
        <v>0</v>
      </c>
      <c r="L61" s="50">
        <v>0</v>
      </c>
      <c r="M61" s="50">
        <v>2</v>
      </c>
      <c r="N61" s="50">
        <v>0</v>
      </c>
      <c r="O61" s="15">
        <f t="shared" si="0"/>
        <v>8</v>
      </c>
      <c r="P61" s="15">
        <f t="shared" si="1"/>
        <v>10</v>
      </c>
      <c r="R61" s="8"/>
      <c r="T61"/>
    </row>
    <row r="62" spans="2:20" ht="23.1" customHeight="1" x14ac:dyDescent="0.25">
      <c r="B62" s="45" t="s">
        <v>107</v>
      </c>
      <c r="C62" s="50">
        <v>6</v>
      </c>
      <c r="D62" s="50">
        <v>0</v>
      </c>
      <c r="E62" s="50">
        <v>1</v>
      </c>
      <c r="F62" s="50">
        <v>0</v>
      </c>
      <c r="G62" s="50">
        <v>0</v>
      </c>
      <c r="H62" s="50">
        <v>0</v>
      </c>
      <c r="I62" s="50">
        <v>0</v>
      </c>
      <c r="J62" s="50">
        <v>0</v>
      </c>
      <c r="K62" s="50">
        <v>0</v>
      </c>
      <c r="L62" s="50">
        <v>1</v>
      </c>
      <c r="M62" s="50">
        <v>4</v>
      </c>
      <c r="N62" s="50">
        <v>0</v>
      </c>
      <c r="O62" s="15">
        <f t="shared" si="0"/>
        <v>8</v>
      </c>
      <c r="P62" s="15">
        <f t="shared" si="1"/>
        <v>12</v>
      </c>
      <c r="R62" s="8"/>
      <c r="T62"/>
    </row>
    <row r="63" spans="2:20" ht="23.1" customHeight="1" x14ac:dyDescent="0.25">
      <c r="B63" s="45" t="s">
        <v>108</v>
      </c>
      <c r="C63" s="50">
        <v>2</v>
      </c>
      <c r="D63" s="50">
        <v>0</v>
      </c>
      <c r="E63" s="50">
        <v>5</v>
      </c>
      <c r="F63" s="50">
        <v>4</v>
      </c>
      <c r="G63" s="50">
        <v>0</v>
      </c>
      <c r="H63" s="50">
        <v>0</v>
      </c>
      <c r="I63" s="50">
        <v>0</v>
      </c>
      <c r="J63" s="50">
        <v>0</v>
      </c>
      <c r="K63" s="50">
        <v>0</v>
      </c>
      <c r="L63" s="50">
        <v>0</v>
      </c>
      <c r="M63" s="50">
        <v>3</v>
      </c>
      <c r="N63" s="50">
        <v>0</v>
      </c>
      <c r="O63" s="15">
        <f t="shared" si="0"/>
        <v>11</v>
      </c>
      <c r="P63" s="15">
        <f t="shared" si="1"/>
        <v>14</v>
      </c>
      <c r="R63" s="8"/>
      <c r="T63"/>
    </row>
    <row r="64" spans="2:20" ht="23.1" customHeight="1" x14ac:dyDescent="0.25">
      <c r="B64" s="45" t="s">
        <v>109</v>
      </c>
      <c r="C64" s="50">
        <v>0</v>
      </c>
      <c r="D64" s="50">
        <v>0</v>
      </c>
      <c r="E64" s="50">
        <v>3</v>
      </c>
      <c r="F64" s="50">
        <v>0</v>
      </c>
      <c r="G64" s="50">
        <v>0</v>
      </c>
      <c r="H64" s="50">
        <v>0</v>
      </c>
      <c r="I64" s="50">
        <v>2</v>
      </c>
      <c r="J64" s="50">
        <v>0</v>
      </c>
      <c r="K64" s="50">
        <v>0</v>
      </c>
      <c r="L64" s="50">
        <v>1</v>
      </c>
      <c r="M64" s="50">
        <v>1</v>
      </c>
      <c r="N64" s="50">
        <v>0</v>
      </c>
      <c r="O64" s="15">
        <f t="shared" si="0"/>
        <v>6</v>
      </c>
      <c r="P64" s="15">
        <f t="shared" si="1"/>
        <v>7</v>
      </c>
      <c r="R64" s="8"/>
      <c r="T64"/>
    </row>
    <row r="65" spans="2:20" ht="23.1" customHeight="1" x14ac:dyDescent="0.25">
      <c r="B65" s="45" t="s">
        <v>158</v>
      </c>
      <c r="C65" s="50">
        <v>3</v>
      </c>
      <c r="D65" s="50">
        <v>0</v>
      </c>
      <c r="E65" s="50">
        <v>1</v>
      </c>
      <c r="F65" s="50">
        <v>0</v>
      </c>
      <c r="G65" s="50">
        <v>0</v>
      </c>
      <c r="H65" s="50">
        <v>0</v>
      </c>
      <c r="I65" s="50">
        <v>0</v>
      </c>
      <c r="J65" s="50">
        <v>0</v>
      </c>
      <c r="K65" s="50">
        <v>0</v>
      </c>
      <c r="L65" s="50">
        <v>2</v>
      </c>
      <c r="M65" s="50">
        <v>2</v>
      </c>
      <c r="N65" s="50">
        <v>0</v>
      </c>
      <c r="O65" s="15">
        <f t="shared" si="0"/>
        <v>6</v>
      </c>
      <c r="P65" s="15">
        <f t="shared" si="1"/>
        <v>8</v>
      </c>
      <c r="R65" s="8"/>
      <c r="T65"/>
    </row>
    <row r="66" spans="2:20" ht="23.1" customHeight="1" x14ac:dyDescent="0.25">
      <c r="B66" s="45" t="s">
        <v>103</v>
      </c>
      <c r="C66" s="50">
        <v>0</v>
      </c>
      <c r="D66" s="50">
        <v>0</v>
      </c>
      <c r="E66" s="50">
        <v>0</v>
      </c>
      <c r="F66" s="50">
        <v>3</v>
      </c>
      <c r="G66" s="50">
        <v>0</v>
      </c>
      <c r="H66" s="50">
        <v>0</v>
      </c>
      <c r="I66" s="50">
        <v>0</v>
      </c>
      <c r="J66" s="50">
        <v>0</v>
      </c>
      <c r="K66" s="50">
        <v>0</v>
      </c>
      <c r="L66" s="50">
        <v>2</v>
      </c>
      <c r="M66" s="50">
        <v>2</v>
      </c>
      <c r="N66" s="50">
        <v>0</v>
      </c>
      <c r="O66" s="15">
        <f t="shared" si="0"/>
        <v>5</v>
      </c>
      <c r="P66" s="15">
        <f t="shared" si="1"/>
        <v>7</v>
      </c>
      <c r="R66" s="8"/>
      <c r="T66"/>
    </row>
    <row r="67" spans="2:20" ht="23.1" customHeight="1" x14ac:dyDescent="0.25">
      <c r="B67" s="45" t="s">
        <v>104</v>
      </c>
      <c r="C67" s="50">
        <v>0</v>
      </c>
      <c r="D67" s="50">
        <v>0</v>
      </c>
      <c r="E67" s="50">
        <v>0</v>
      </c>
      <c r="F67" s="50">
        <v>1</v>
      </c>
      <c r="G67" s="50">
        <v>0</v>
      </c>
      <c r="H67" s="50">
        <v>0</v>
      </c>
      <c r="I67" s="50">
        <v>0</v>
      </c>
      <c r="J67" s="50">
        <v>0</v>
      </c>
      <c r="K67" s="50">
        <v>0</v>
      </c>
      <c r="L67" s="50">
        <v>0</v>
      </c>
      <c r="M67" s="50">
        <v>2</v>
      </c>
      <c r="N67" s="50">
        <v>0</v>
      </c>
      <c r="O67" s="15">
        <f t="shared" si="0"/>
        <v>1</v>
      </c>
      <c r="P67" s="15">
        <f t="shared" si="1"/>
        <v>3</v>
      </c>
      <c r="R67" s="8"/>
      <c r="T67"/>
    </row>
    <row r="68" spans="2:20" ht="23.1" customHeight="1" x14ac:dyDescent="0.25">
      <c r="B68" s="45" t="s">
        <v>105</v>
      </c>
      <c r="C68" s="50">
        <v>2</v>
      </c>
      <c r="D68" s="50">
        <v>0</v>
      </c>
      <c r="E68" s="50">
        <v>1</v>
      </c>
      <c r="F68" s="50">
        <v>0</v>
      </c>
      <c r="G68" s="50">
        <v>0</v>
      </c>
      <c r="H68" s="50">
        <v>0</v>
      </c>
      <c r="I68" s="50">
        <v>1</v>
      </c>
      <c r="J68" s="50">
        <v>0</v>
      </c>
      <c r="K68" s="50">
        <v>0</v>
      </c>
      <c r="L68" s="50">
        <v>0</v>
      </c>
      <c r="M68" s="50">
        <v>2</v>
      </c>
      <c r="N68" s="50">
        <v>0</v>
      </c>
      <c r="O68" s="15">
        <f t="shared" si="0"/>
        <v>4</v>
      </c>
      <c r="P68" s="15">
        <f t="shared" si="1"/>
        <v>6</v>
      </c>
      <c r="R68" s="8"/>
      <c r="T68"/>
    </row>
    <row r="69" spans="2:20" ht="23.1" customHeight="1" x14ac:dyDescent="0.25">
      <c r="B69" s="45" t="s">
        <v>106</v>
      </c>
      <c r="C69" s="50">
        <v>0</v>
      </c>
      <c r="D69" s="50">
        <v>0</v>
      </c>
      <c r="E69" s="50">
        <v>0</v>
      </c>
      <c r="F69" s="50">
        <v>3</v>
      </c>
      <c r="G69" s="50">
        <v>0</v>
      </c>
      <c r="H69" s="50">
        <v>0</v>
      </c>
      <c r="I69" s="50">
        <v>1</v>
      </c>
      <c r="J69" s="50">
        <v>0</v>
      </c>
      <c r="K69" s="50">
        <v>0</v>
      </c>
      <c r="L69" s="50">
        <v>0</v>
      </c>
      <c r="M69" s="50">
        <v>0</v>
      </c>
      <c r="N69" s="50">
        <v>0</v>
      </c>
      <c r="O69" s="15">
        <f t="shared" si="0"/>
        <v>4</v>
      </c>
      <c r="P69" s="15">
        <f t="shared" si="1"/>
        <v>4</v>
      </c>
      <c r="R69" s="8"/>
      <c r="T69"/>
    </row>
    <row r="70" spans="2:20" ht="23.1" customHeight="1" x14ac:dyDescent="0.25">
      <c r="B70" s="45" t="s">
        <v>110</v>
      </c>
      <c r="C70" s="50">
        <v>2</v>
      </c>
      <c r="D70" s="50">
        <v>0</v>
      </c>
      <c r="E70" s="50">
        <v>0</v>
      </c>
      <c r="F70" s="50">
        <v>2</v>
      </c>
      <c r="G70" s="50">
        <v>0</v>
      </c>
      <c r="H70" s="50">
        <v>0</v>
      </c>
      <c r="I70" s="50">
        <v>0</v>
      </c>
      <c r="J70" s="50">
        <v>0</v>
      </c>
      <c r="K70" s="50">
        <v>0</v>
      </c>
      <c r="L70" s="50">
        <v>0</v>
      </c>
      <c r="M70" s="50">
        <v>1</v>
      </c>
      <c r="N70" s="50">
        <v>0</v>
      </c>
      <c r="O70" s="15">
        <f t="shared" si="0"/>
        <v>4</v>
      </c>
      <c r="P70" s="15">
        <f t="shared" si="1"/>
        <v>5</v>
      </c>
      <c r="R70" s="8"/>
      <c r="T70"/>
    </row>
    <row r="71" spans="2:20" ht="23.1" customHeight="1" x14ac:dyDescent="0.25">
      <c r="B71" s="45" t="s">
        <v>111</v>
      </c>
      <c r="C71" s="50">
        <v>0</v>
      </c>
      <c r="D71" s="50">
        <v>0</v>
      </c>
      <c r="E71" s="50">
        <v>0</v>
      </c>
      <c r="F71" s="50">
        <v>0</v>
      </c>
      <c r="G71" s="50">
        <v>0</v>
      </c>
      <c r="H71" s="50">
        <v>0</v>
      </c>
      <c r="I71" s="50">
        <v>2</v>
      </c>
      <c r="J71" s="50">
        <v>0</v>
      </c>
      <c r="K71" s="50">
        <v>0</v>
      </c>
      <c r="L71" s="50">
        <v>2</v>
      </c>
      <c r="M71" s="50">
        <v>0</v>
      </c>
      <c r="N71" s="50">
        <v>0</v>
      </c>
      <c r="O71" s="15">
        <f t="shared" si="0"/>
        <v>4</v>
      </c>
      <c r="P71" s="15">
        <f t="shared" si="1"/>
        <v>4</v>
      </c>
      <c r="R71" s="8"/>
      <c r="T71"/>
    </row>
    <row r="72" spans="2:20" ht="23.1" customHeight="1" x14ac:dyDescent="0.25">
      <c r="B72" s="45" t="s">
        <v>112</v>
      </c>
      <c r="C72" s="50">
        <v>1</v>
      </c>
      <c r="D72" s="50">
        <v>0</v>
      </c>
      <c r="E72" s="50">
        <v>0</v>
      </c>
      <c r="F72" s="50">
        <v>0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1</v>
      </c>
      <c r="M72" s="50">
        <v>0</v>
      </c>
      <c r="N72" s="50">
        <v>0</v>
      </c>
      <c r="O72" s="15">
        <f t="shared" si="0"/>
        <v>2</v>
      </c>
      <c r="P72" s="15">
        <f t="shared" si="1"/>
        <v>2</v>
      </c>
      <c r="R72" s="8"/>
      <c r="T72"/>
    </row>
    <row r="73" spans="2:20" ht="23.1" customHeight="1" x14ac:dyDescent="0.25">
      <c r="B73" s="45" t="s">
        <v>113</v>
      </c>
      <c r="C73" s="50">
        <v>0</v>
      </c>
      <c r="D73" s="50">
        <v>0</v>
      </c>
      <c r="E73" s="50">
        <v>0</v>
      </c>
      <c r="F73" s="50">
        <v>0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2</v>
      </c>
      <c r="M73" s="50">
        <v>0</v>
      </c>
      <c r="N73" s="50">
        <v>0</v>
      </c>
      <c r="O73" s="15">
        <f t="shared" si="0"/>
        <v>2</v>
      </c>
      <c r="P73" s="15">
        <f t="shared" si="1"/>
        <v>2</v>
      </c>
      <c r="R73" s="8"/>
      <c r="T73"/>
    </row>
    <row r="74" spans="2:20" ht="23.1" customHeight="1" x14ac:dyDescent="0.25">
      <c r="B74" s="45" t="s">
        <v>114</v>
      </c>
      <c r="C74" s="50">
        <v>3</v>
      </c>
      <c r="D74" s="50">
        <v>0</v>
      </c>
      <c r="E74" s="50">
        <v>0</v>
      </c>
      <c r="F74" s="50">
        <v>3</v>
      </c>
      <c r="G74" s="50">
        <v>0</v>
      </c>
      <c r="H74" s="50">
        <v>1</v>
      </c>
      <c r="I74" s="50">
        <v>0</v>
      </c>
      <c r="J74" s="50">
        <v>0</v>
      </c>
      <c r="K74" s="50">
        <v>0</v>
      </c>
      <c r="L74" s="50">
        <v>2</v>
      </c>
      <c r="M74" s="50">
        <v>2</v>
      </c>
      <c r="N74" s="50">
        <v>0</v>
      </c>
      <c r="O74" s="15">
        <f t="shared" ref="O74:O105" si="35">SUM(C74:L74,N74)</f>
        <v>9</v>
      </c>
      <c r="P74" s="15">
        <f t="shared" ref="P74:P105" si="36">SUM(C74:N74)</f>
        <v>11</v>
      </c>
      <c r="R74" s="8"/>
      <c r="T74"/>
    </row>
    <row r="75" spans="2:20" ht="23.1" customHeight="1" x14ac:dyDescent="0.25">
      <c r="B75" s="45" t="s">
        <v>115</v>
      </c>
      <c r="C75" s="50">
        <v>0</v>
      </c>
      <c r="D75" s="50">
        <v>0</v>
      </c>
      <c r="E75" s="50">
        <v>0</v>
      </c>
      <c r="F75" s="50">
        <v>0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0</v>
      </c>
      <c r="N75" s="50">
        <v>0</v>
      </c>
      <c r="O75" s="15">
        <f t="shared" si="35"/>
        <v>0</v>
      </c>
      <c r="P75" s="15">
        <f t="shared" si="36"/>
        <v>0</v>
      </c>
      <c r="R75" s="8"/>
      <c r="T75"/>
    </row>
    <row r="76" spans="2:20" ht="23.1" customHeight="1" x14ac:dyDescent="0.25">
      <c r="B76" s="45" t="s">
        <v>116</v>
      </c>
      <c r="C76" s="50">
        <v>0</v>
      </c>
      <c r="D76" s="50">
        <v>0</v>
      </c>
      <c r="E76" s="50">
        <v>0</v>
      </c>
      <c r="F76" s="50">
        <v>3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0</v>
      </c>
      <c r="N76" s="50">
        <v>0</v>
      </c>
      <c r="O76" s="15">
        <f t="shared" si="35"/>
        <v>3</v>
      </c>
      <c r="P76" s="15">
        <f t="shared" si="36"/>
        <v>3</v>
      </c>
      <c r="R76" s="8"/>
      <c r="T76"/>
    </row>
    <row r="77" spans="2:20" ht="23.1" customHeight="1" x14ac:dyDescent="0.25">
      <c r="B77" s="45" t="s">
        <v>117</v>
      </c>
      <c r="C77" s="50">
        <v>6</v>
      </c>
      <c r="D77" s="50">
        <v>0</v>
      </c>
      <c r="E77" s="50">
        <v>0</v>
      </c>
      <c r="F77" s="50">
        <v>2</v>
      </c>
      <c r="G77" s="50">
        <v>0</v>
      </c>
      <c r="H77" s="50">
        <v>0</v>
      </c>
      <c r="I77" s="50">
        <v>2</v>
      </c>
      <c r="J77" s="50">
        <v>0</v>
      </c>
      <c r="K77" s="50">
        <v>0</v>
      </c>
      <c r="L77" s="50">
        <v>0</v>
      </c>
      <c r="M77" s="50">
        <v>0</v>
      </c>
      <c r="N77" s="50">
        <v>0</v>
      </c>
      <c r="O77" s="15">
        <f t="shared" si="35"/>
        <v>10</v>
      </c>
      <c r="P77" s="15">
        <f t="shared" si="36"/>
        <v>10</v>
      </c>
      <c r="R77" s="8"/>
      <c r="T77"/>
    </row>
    <row r="78" spans="2:20" ht="23.1" customHeight="1" x14ac:dyDescent="0.25">
      <c r="B78" s="46" t="s">
        <v>118</v>
      </c>
      <c r="C78" s="50">
        <v>3</v>
      </c>
      <c r="D78" s="50">
        <v>0</v>
      </c>
      <c r="E78" s="50">
        <v>0</v>
      </c>
      <c r="F78" s="50">
        <v>3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2</v>
      </c>
      <c r="M78" s="50">
        <v>2</v>
      </c>
      <c r="N78" s="50">
        <v>0</v>
      </c>
      <c r="O78" s="15">
        <f t="shared" si="35"/>
        <v>8</v>
      </c>
      <c r="P78" s="15">
        <f t="shared" si="36"/>
        <v>10</v>
      </c>
      <c r="R78" s="8"/>
      <c r="T78"/>
    </row>
    <row r="79" spans="2:20" ht="23.1" customHeight="1" x14ac:dyDescent="0.25">
      <c r="B79" s="45" t="s">
        <v>119</v>
      </c>
      <c r="C79" s="50">
        <v>6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0</v>
      </c>
      <c r="N79" s="50">
        <v>0</v>
      </c>
      <c r="O79" s="15">
        <f t="shared" si="35"/>
        <v>6</v>
      </c>
      <c r="P79" s="15">
        <f t="shared" si="36"/>
        <v>6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0</v>
      </c>
      <c r="F80" s="50">
        <v>3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0</v>
      </c>
      <c r="N80" s="50">
        <v>0</v>
      </c>
      <c r="O80" s="15">
        <f t="shared" si="35"/>
        <v>3</v>
      </c>
      <c r="P80" s="15">
        <f t="shared" si="36"/>
        <v>3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0</v>
      </c>
      <c r="F81" s="50">
        <v>2</v>
      </c>
      <c r="G81" s="50">
        <v>0</v>
      </c>
      <c r="H81" s="50">
        <v>0</v>
      </c>
      <c r="I81" s="50">
        <v>2</v>
      </c>
      <c r="J81" s="50">
        <v>0</v>
      </c>
      <c r="K81" s="50">
        <v>0</v>
      </c>
      <c r="L81" s="50">
        <v>0</v>
      </c>
      <c r="M81" s="50">
        <v>0</v>
      </c>
      <c r="N81" s="50">
        <v>0</v>
      </c>
      <c r="O81" s="15">
        <f t="shared" si="35"/>
        <v>4</v>
      </c>
      <c r="P81" s="15">
        <f t="shared" si="36"/>
        <v>4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2</v>
      </c>
      <c r="J82" s="50">
        <v>0</v>
      </c>
      <c r="K82" s="50">
        <v>0</v>
      </c>
      <c r="L82" s="50">
        <v>0</v>
      </c>
      <c r="M82" s="50">
        <v>1</v>
      </c>
      <c r="N82" s="50">
        <v>0</v>
      </c>
      <c r="O82" s="15">
        <f t="shared" si="35"/>
        <v>2</v>
      </c>
      <c r="P82" s="15">
        <f t="shared" si="36"/>
        <v>3</v>
      </c>
      <c r="R82" s="8"/>
      <c r="T82"/>
    </row>
    <row r="83" spans="2:20" ht="23.1" customHeight="1" x14ac:dyDescent="0.25">
      <c r="B83" s="45" t="s">
        <v>123</v>
      </c>
      <c r="C83" s="50">
        <v>1</v>
      </c>
      <c r="D83" s="50">
        <v>0</v>
      </c>
      <c r="E83" s="50">
        <v>2</v>
      </c>
      <c r="F83" s="50">
        <v>0</v>
      </c>
      <c r="G83" s="50">
        <v>0</v>
      </c>
      <c r="H83" s="50">
        <v>0</v>
      </c>
      <c r="I83" s="50">
        <v>1</v>
      </c>
      <c r="J83" s="50">
        <v>0</v>
      </c>
      <c r="K83" s="50">
        <v>0</v>
      </c>
      <c r="L83" s="50">
        <v>1</v>
      </c>
      <c r="M83" s="50">
        <v>0</v>
      </c>
      <c r="N83" s="50">
        <v>0</v>
      </c>
      <c r="O83" s="15">
        <f t="shared" si="35"/>
        <v>5</v>
      </c>
      <c r="P83" s="15">
        <f t="shared" si="36"/>
        <v>5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1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2</v>
      </c>
      <c r="M84" s="50">
        <v>0</v>
      </c>
      <c r="N84" s="50">
        <v>0</v>
      </c>
      <c r="O84" s="15">
        <f t="shared" si="35"/>
        <v>3</v>
      </c>
      <c r="P84" s="15">
        <f t="shared" si="36"/>
        <v>3</v>
      </c>
      <c r="R84" s="8"/>
      <c r="T84"/>
    </row>
    <row r="85" spans="2:20" ht="23.1" customHeight="1" x14ac:dyDescent="0.25">
      <c r="B85" s="45" t="s">
        <v>125</v>
      </c>
      <c r="C85" s="50">
        <v>3</v>
      </c>
      <c r="D85" s="50">
        <v>0</v>
      </c>
      <c r="E85" s="50">
        <v>1</v>
      </c>
      <c r="F85" s="50">
        <v>2</v>
      </c>
      <c r="G85" s="50">
        <v>0</v>
      </c>
      <c r="H85" s="50">
        <v>0</v>
      </c>
      <c r="I85" s="50">
        <v>2</v>
      </c>
      <c r="J85" s="50">
        <v>0</v>
      </c>
      <c r="K85" s="50">
        <v>0</v>
      </c>
      <c r="L85" s="50">
        <v>0</v>
      </c>
      <c r="M85" s="50">
        <v>0</v>
      </c>
      <c r="N85" s="50">
        <v>0</v>
      </c>
      <c r="O85" s="15">
        <f t="shared" si="35"/>
        <v>8</v>
      </c>
      <c r="P85" s="15">
        <f t="shared" si="36"/>
        <v>8</v>
      </c>
      <c r="R85" s="8"/>
      <c r="T85"/>
    </row>
    <row r="86" spans="2:20" ht="23.1" customHeight="1" x14ac:dyDescent="0.25">
      <c r="B86" s="46" t="s">
        <v>126</v>
      </c>
      <c r="C86" s="50">
        <v>2</v>
      </c>
      <c r="D86" s="50">
        <v>0</v>
      </c>
      <c r="E86" s="50">
        <v>0</v>
      </c>
      <c r="F86" s="50">
        <v>2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1</v>
      </c>
      <c r="N86" s="50">
        <v>0</v>
      </c>
      <c r="O86" s="15">
        <f t="shared" si="35"/>
        <v>4</v>
      </c>
      <c r="P86" s="15">
        <f t="shared" si="36"/>
        <v>5</v>
      </c>
      <c r="R86" s="8"/>
      <c r="T86"/>
    </row>
    <row r="87" spans="2:20" ht="23.1" customHeight="1" x14ac:dyDescent="0.25">
      <c r="B87" s="45" t="s">
        <v>127</v>
      </c>
      <c r="C87" s="50">
        <v>2</v>
      </c>
      <c r="D87" s="50">
        <v>0</v>
      </c>
      <c r="E87" s="50">
        <v>0</v>
      </c>
      <c r="F87" s="50">
        <v>3</v>
      </c>
      <c r="G87" s="50">
        <v>0</v>
      </c>
      <c r="H87" s="50">
        <v>0</v>
      </c>
      <c r="I87" s="50">
        <v>2</v>
      </c>
      <c r="J87" s="50">
        <v>0</v>
      </c>
      <c r="K87" s="50">
        <v>0</v>
      </c>
      <c r="L87" s="50">
        <v>2</v>
      </c>
      <c r="M87" s="50">
        <v>0</v>
      </c>
      <c r="N87" s="50">
        <v>0</v>
      </c>
      <c r="O87" s="15">
        <f t="shared" si="35"/>
        <v>9</v>
      </c>
      <c r="P87" s="15">
        <f t="shared" si="36"/>
        <v>9</v>
      </c>
      <c r="R87" s="8"/>
      <c r="T87"/>
    </row>
    <row r="88" spans="2:20" ht="23.1" customHeight="1" x14ac:dyDescent="0.25">
      <c r="B88" s="47" t="s">
        <v>128</v>
      </c>
      <c r="C88" s="50">
        <v>3</v>
      </c>
      <c r="D88" s="50">
        <v>0</v>
      </c>
      <c r="E88" s="50">
        <v>0</v>
      </c>
      <c r="F88" s="50">
        <v>3</v>
      </c>
      <c r="G88" s="50">
        <v>0</v>
      </c>
      <c r="H88" s="50">
        <v>0</v>
      </c>
      <c r="I88" s="50">
        <v>2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8</v>
      </c>
      <c r="P88" s="15">
        <f t="shared" si="36"/>
        <v>8</v>
      </c>
      <c r="R88" s="8"/>
      <c r="T88"/>
    </row>
    <row r="89" spans="2:20" ht="23.1" customHeight="1" x14ac:dyDescent="0.25">
      <c r="B89" s="45" t="s">
        <v>129</v>
      </c>
      <c r="C89" s="50">
        <v>1</v>
      </c>
      <c r="D89" s="50">
        <v>0</v>
      </c>
      <c r="E89" s="50">
        <v>0</v>
      </c>
      <c r="F89" s="50">
        <v>2</v>
      </c>
      <c r="G89" s="50">
        <v>0</v>
      </c>
      <c r="H89" s="50">
        <v>0</v>
      </c>
      <c r="I89" s="50">
        <v>2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5</v>
      </c>
      <c r="P89" s="15">
        <f t="shared" si="36"/>
        <v>5</v>
      </c>
      <c r="R89" s="8"/>
      <c r="T89"/>
    </row>
    <row r="90" spans="2:20" ht="23.1" customHeight="1" x14ac:dyDescent="0.25">
      <c r="B90" s="46" t="s">
        <v>130</v>
      </c>
      <c r="C90" s="50">
        <v>2</v>
      </c>
      <c r="D90" s="50">
        <v>0</v>
      </c>
      <c r="E90" s="50">
        <v>1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0</v>
      </c>
      <c r="N90" s="50">
        <v>0</v>
      </c>
      <c r="O90" s="15">
        <f t="shared" si="35"/>
        <v>3</v>
      </c>
      <c r="P90" s="15">
        <f t="shared" si="36"/>
        <v>3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2</v>
      </c>
      <c r="F91" s="50">
        <v>0</v>
      </c>
      <c r="G91" s="50">
        <v>0</v>
      </c>
      <c r="H91" s="50">
        <v>1</v>
      </c>
      <c r="I91" s="50">
        <v>0</v>
      </c>
      <c r="J91" s="50">
        <v>0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5"/>
        <v>3</v>
      </c>
      <c r="P91" s="15">
        <f t="shared" si="36"/>
        <v>3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1</v>
      </c>
      <c r="F92" s="50">
        <v>3</v>
      </c>
      <c r="G92" s="50">
        <v>0</v>
      </c>
      <c r="H92" s="50">
        <v>0</v>
      </c>
      <c r="I92" s="50">
        <v>1</v>
      </c>
      <c r="J92" s="50">
        <v>0</v>
      </c>
      <c r="K92" s="50">
        <v>0</v>
      </c>
      <c r="L92" s="50">
        <v>0</v>
      </c>
      <c r="M92" s="50">
        <v>0</v>
      </c>
      <c r="N92" s="50">
        <v>0</v>
      </c>
      <c r="O92" s="15">
        <f t="shared" si="35"/>
        <v>5</v>
      </c>
      <c r="P92" s="15">
        <f t="shared" si="36"/>
        <v>5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3</v>
      </c>
      <c r="J93" s="50">
        <v>0</v>
      </c>
      <c r="K93" s="50">
        <v>0</v>
      </c>
      <c r="L93" s="50">
        <v>2</v>
      </c>
      <c r="M93" s="50">
        <v>0</v>
      </c>
      <c r="N93" s="50">
        <v>0</v>
      </c>
      <c r="O93" s="15">
        <f t="shared" si="35"/>
        <v>5</v>
      </c>
      <c r="P93" s="15">
        <f t="shared" si="36"/>
        <v>5</v>
      </c>
      <c r="R93" s="8"/>
      <c r="T93"/>
    </row>
    <row r="94" spans="2:20" ht="23.1" customHeight="1" x14ac:dyDescent="0.25">
      <c r="B94" s="46" t="s">
        <v>134</v>
      </c>
      <c r="C94" s="50">
        <v>2</v>
      </c>
      <c r="D94" s="50">
        <v>0</v>
      </c>
      <c r="E94" s="50">
        <v>1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3</v>
      </c>
      <c r="P94" s="15">
        <f t="shared" si="36"/>
        <v>3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2</v>
      </c>
      <c r="F95" s="50">
        <v>0</v>
      </c>
      <c r="G95" s="50">
        <v>0</v>
      </c>
      <c r="H95" s="50">
        <v>1</v>
      </c>
      <c r="I95" s="50">
        <v>0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3</v>
      </c>
      <c r="P95" s="15">
        <f t="shared" si="36"/>
        <v>3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1</v>
      </c>
      <c r="F96" s="50">
        <v>3</v>
      </c>
      <c r="G96" s="50">
        <v>0</v>
      </c>
      <c r="H96" s="50">
        <v>0</v>
      </c>
      <c r="I96" s="50">
        <v>3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5"/>
        <v>7</v>
      </c>
      <c r="P96" s="15">
        <f t="shared" si="36"/>
        <v>7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1</v>
      </c>
      <c r="J97" s="50">
        <v>0</v>
      </c>
      <c r="K97" s="50">
        <v>0</v>
      </c>
      <c r="L97" s="50">
        <v>1</v>
      </c>
      <c r="M97" s="50">
        <v>0</v>
      </c>
      <c r="N97" s="50">
        <v>0</v>
      </c>
      <c r="O97" s="15">
        <f t="shared" si="35"/>
        <v>2</v>
      </c>
      <c r="P97" s="15">
        <f t="shared" si="36"/>
        <v>2</v>
      </c>
      <c r="R97" s="8"/>
      <c r="T97"/>
    </row>
    <row r="98" spans="2:20" ht="23.1" customHeight="1" x14ac:dyDescent="0.25">
      <c r="B98" s="46" t="s">
        <v>138</v>
      </c>
      <c r="C98" s="50">
        <v>2</v>
      </c>
      <c r="D98" s="50">
        <v>0</v>
      </c>
      <c r="E98" s="50">
        <v>0</v>
      </c>
      <c r="F98" s="50">
        <v>0</v>
      </c>
      <c r="G98" s="50">
        <v>0</v>
      </c>
      <c r="H98" s="50">
        <v>2</v>
      </c>
      <c r="I98" s="50">
        <v>2</v>
      </c>
      <c r="J98" s="50">
        <v>0</v>
      </c>
      <c r="K98" s="50">
        <v>0</v>
      </c>
      <c r="L98" s="50">
        <v>2</v>
      </c>
      <c r="M98" s="50">
        <v>0</v>
      </c>
      <c r="N98" s="50">
        <v>0</v>
      </c>
      <c r="O98" s="15">
        <f t="shared" si="35"/>
        <v>8</v>
      </c>
      <c r="P98" s="15">
        <f t="shared" si="36"/>
        <v>8</v>
      </c>
      <c r="R98" s="8"/>
      <c r="T98"/>
    </row>
    <row r="99" spans="2:20" ht="23.1" customHeight="1" x14ac:dyDescent="0.25">
      <c r="B99" s="45" t="s">
        <v>139</v>
      </c>
      <c r="C99" s="50">
        <v>1</v>
      </c>
      <c r="D99" s="50">
        <v>0</v>
      </c>
      <c r="E99" s="50">
        <v>0</v>
      </c>
      <c r="F99" s="50">
        <v>0</v>
      </c>
      <c r="G99" s="50">
        <v>0</v>
      </c>
      <c r="H99" s="50">
        <v>1</v>
      </c>
      <c r="I99" s="50">
        <v>2</v>
      </c>
      <c r="J99" s="50">
        <v>0</v>
      </c>
      <c r="K99" s="50">
        <v>0</v>
      </c>
      <c r="L99" s="50">
        <v>2</v>
      </c>
      <c r="M99" s="50">
        <v>0</v>
      </c>
      <c r="N99" s="50">
        <v>0</v>
      </c>
      <c r="O99" s="15">
        <f t="shared" si="35"/>
        <v>6</v>
      </c>
      <c r="P99" s="15">
        <f t="shared" si="36"/>
        <v>6</v>
      </c>
      <c r="R99" s="8"/>
      <c r="T99"/>
    </row>
    <row r="100" spans="2:20" ht="23.1" customHeight="1" x14ac:dyDescent="0.25">
      <c r="B100" s="47" t="s">
        <v>140</v>
      </c>
      <c r="C100" s="50">
        <v>5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1</v>
      </c>
      <c r="J100" s="50">
        <v>0</v>
      </c>
      <c r="K100" s="50">
        <v>0</v>
      </c>
      <c r="L100" s="50">
        <v>1</v>
      </c>
      <c r="M100" s="50">
        <v>0</v>
      </c>
      <c r="N100" s="50">
        <v>0</v>
      </c>
      <c r="O100" s="15">
        <f t="shared" si="35"/>
        <v>7</v>
      </c>
      <c r="P100" s="15">
        <f t="shared" si="36"/>
        <v>7</v>
      </c>
      <c r="R100" s="8"/>
      <c r="T100"/>
    </row>
    <row r="101" spans="2:20" ht="23.1" customHeight="1" x14ac:dyDescent="0.25">
      <c r="B101" s="45" t="s">
        <v>141</v>
      </c>
      <c r="C101" s="50">
        <v>3</v>
      </c>
      <c r="D101" s="50">
        <v>0</v>
      </c>
      <c r="E101" s="50">
        <v>0</v>
      </c>
      <c r="F101" s="50">
        <v>0</v>
      </c>
      <c r="G101" s="50">
        <v>0</v>
      </c>
      <c r="H101" s="50">
        <v>0</v>
      </c>
      <c r="I101" s="50">
        <v>1</v>
      </c>
      <c r="J101" s="50">
        <v>0</v>
      </c>
      <c r="K101" s="50">
        <v>0</v>
      </c>
      <c r="L101" s="50">
        <v>0</v>
      </c>
      <c r="M101" s="50">
        <v>0</v>
      </c>
      <c r="N101" s="50">
        <v>0</v>
      </c>
      <c r="O101" s="15">
        <f t="shared" si="35"/>
        <v>4</v>
      </c>
      <c r="P101" s="15">
        <f t="shared" si="36"/>
        <v>4</v>
      </c>
      <c r="R101" s="8"/>
      <c r="T101"/>
    </row>
    <row r="102" spans="2:20" ht="23.1" customHeight="1" x14ac:dyDescent="0.25">
      <c r="B102" s="46" t="s">
        <v>142</v>
      </c>
      <c r="C102" s="50">
        <v>2</v>
      </c>
      <c r="D102" s="50">
        <v>0</v>
      </c>
      <c r="E102" s="50">
        <v>1</v>
      </c>
      <c r="F102" s="50">
        <v>1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1</v>
      </c>
      <c r="M102" s="50">
        <v>2</v>
      </c>
      <c r="N102" s="50">
        <v>0</v>
      </c>
      <c r="O102" s="15">
        <f t="shared" si="35"/>
        <v>5</v>
      </c>
      <c r="P102" s="15">
        <f t="shared" si="36"/>
        <v>7</v>
      </c>
      <c r="R102" s="8"/>
      <c r="T102"/>
    </row>
    <row r="103" spans="2:20" ht="23.1" customHeight="1" x14ac:dyDescent="0.25">
      <c r="B103" s="45" t="s">
        <v>143</v>
      </c>
      <c r="C103" s="50">
        <v>1</v>
      </c>
      <c r="D103" s="50">
        <v>0</v>
      </c>
      <c r="E103" s="50">
        <v>2</v>
      </c>
      <c r="F103" s="50">
        <v>0</v>
      </c>
      <c r="G103" s="50">
        <v>0</v>
      </c>
      <c r="H103" s="50">
        <v>0</v>
      </c>
      <c r="I103" s="50">
        <v>1</v>
      </c>
      <c r="J103" s="50">
        <v>0</v>
      </c>
      <c r="K103" s="50">
        <v>0</v>
      </c>
      <c r="L103" s="50">
        <v>2</v>
      </c>
      <c r="M103" s="50">
        <v>6</v>
      </c>
      <c r="N103" s="50">
        <v>0</v>
      </c>
      <c r="O103" s="15">
        <f t="shared" si="35"/>
        <v>6</v>
      </c>
      <c r="P103" s="15">
        <f t="shared" si="36"/>
        <v>12</v>
      </c>
      <c r="R103" s="8"/>
      <c r="T103"/>
    </row>
    <row r="104" spans="2:20" ht="23.1" customHeight="1" x14ac:dyDescent="0.25">
      <c r="B104" s="47" t="s">
        <v>144</v>
      </c>
      <c r="C104" s="50">
        <v>1</v>
      </c>
      <c r="D104" s="50">
        <v>0</v>
      </c>
      <c r="E104" s="50">
        <v>0</v>
      </c>
      <c r="F104" s="50">
        <v>1</v>
      </c>
      <c r="G104" s="50">
        <v>0</v>
      </c>
      <c r="H104" s="50">
        <v>0</v>
      </c>
      <c r="I104" s="50">
        <v>2</v>
      </c>
      <c r="J104" s="50">
        <v>0</v>
      </c>
      <c r="K104" s="50">
        <v>0</v>
      </c>
      <c r="L104" s="50">
        <v>0</v>
      </c>
      <c r="M104" s="50">
        <v>3</v>
      </c>
      <c r="N104" s="50">
        <v>0</v>
      </c>
      <c r="O104" s="15">
        <f t="shared" si="35"/>
        <v>4</v>
      </c>
      <c r="P104" s="15">
        <f t="shared" si="36"/>
        <v>7</v>
      </c>
      <c r="R104" s="8"/>
      <c r="T104"/>
    </row>
    <row r="105" spans="2:20" ht="23.1" customHeight="1" x14ac:dyDescent="0.25">
      <c r="B105" s="45" t="s">
        <v>145</v>
      </c>
      <c r="C105" s="50">
        <v>0</v>
      </c>
      <c r="D105" s="50">
        <v>0</v>
      </c>
      <c r="E105" s="50">
        <v>0</v>
      </c>
      <c r="F105" s="50">
        <v>2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v>1</v>
      </c>
      <c r="M105" s="50">
        <v>4</v>
      </c>
      <c r="N105" s="50">
        <v>0</v>
      </c>
      <c r="O105" s="15">
        <f t="shared" si="35"/>
        <v>3</v>
      </c>
      <c r="P105" s="15">
        <f t="shared" si="36"/>
        <v>7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402</v>
      </c>
      <c r="D106" s="16">
        <f t="shared" ref="D106:P106" si="37">SUM(D10:D105)</f>
        <v>0</v>
      </c>
      <c r="E106" s="16">
        <f t="shared" si="37"/>
        <v>135</v>
      </c>
      <c r="F106" s="16">
        <f t="shared" si="37"/>
        <v>220</v>
      </c>
      <c r="G106" s="16">
        <f t="shared" si="37"/>
        <v>3</v>
      </c>
      <c r="H106" s="16">
        <f t="shared" si="37"/>
        <v>9</v>
      </c>
      <c r="I106" s="16">
        <f t="shared" si="37"/>
        <v>107</v>
      </c>
      <c r="J106" s="16">
        <f t="shared" si="37"/>
        <v>16</v>
      </c>
      <c r="K106" s="16">
        <f t="shared" si="37"/>
        <v>5</v>
      </c>
      <c r="L106" s="16">
        <f t="shared" si="37"/>
        <v>41</v>
      </c>
      <c r="M106" s="16">
        <f t="shared" si="37"/>
        <v>267</v>
      </c>
      <c r="N106" s="16">
        <f t="shared" si="37"/>
        <v>0</v>
      </c>
      <c r="O106" s="16">
        <f t="shared" si="37"/>
        <v>938</v>
      </c>
      <c r="P106" s="16">
        <f t="shared" si="37"/>
        <v>1205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0.33360995850622405</v>
      </c>
      <c r="D107" s="43">
        <f t="shared" si="38"/>
        <v>0</v>
      </c>
      <c r="E107" s="43">
        <f t="shared" si="38"/>
        <v>0.11203319502074689</v>
      </c>
      <c r="F107" s="43">
        <f t="shared" si="38"/>
        <v>0.18257261410788381</v>
      </c>
      <c r="G107" s="43">
        <f t="shared" si="38"/>
        <v>2.4896265560165973E-3</v>
      </c>
      <c r="H107" s="43">
        <f t="shared" si="38"/>
        <v>7.4688796680497929E-3</v>
      </c>
      <c r="I107" s="43">
        <f t="shared" si="38"/>
        <v>8.8796680497925315E-2</v>
      </c>
      <c r="J107" s="43">
        <f t="shared" si="38"/>
        <v>1.3278008298755186E-2</v>
      </c>
      <c r="K107" s="43">
        <f t="shared" si="38"/>
        <v>4.1493775933609959E-3</v>
      </c>
      <c r="L107" s="43">
        <f t="shared" si="38"/>
        <v>3.4024896265560163E-2</v>
      </c>
      <c r="M107" s="43">
        <f t="shared" si="38"/>
        <v>0.22157676348547717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0.42857142857142855</v>
      </c>
      <c r="D108" s="44">
        <f t="shared" ref="D108:N108" si="39">D106/$O$106</f>
        <v>0</v>
      </c>
      <c r="E108" s="44">
        <f t="shared" si="39"/>
        <v>0.1439232409381663</v>
      </c>
      <c r="F108" s="44">
        <f t="shared" si="39"/>
        <v>0.23454157782515991</v>
      </c>
      <c r="G108" s="44">
        <f t="shared" si="39"/>
        <v>3.1982942430703624E-3</v>
      </c>
      <c r="H108" s="44">
        <f t="shared" si="39"/>
        <v>9.5948827292110881E-3</v>
      </c>
      <c r="I108" s="44">
        <f t="shared" si="39"/>
        <v>0.1140724946695096</v>
      </c>
      <c r="J108" s="44">
        <f t="shared" si="39"/>
        <v>1.7057569296375266E-2</v>
      </c>
      <c r="K108" s="44">
        <f t="shared" si="39"/>
        <v>5.3304904051172707E-3</v>
      </c>
      <c r="L108" s="44">
        <f t="shared" si="39"/>
        <v>4.3710021321961619E-2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AF126"/>
  <sheetViews>
    <sheetView view="pageBreakPreview" topLeftCell="A19" zoomScale="60" workbookViewId="0">
      <selection activeCell="J35" sqref="J3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>
        <f>'5.8 KIKORONGO-BWERA'!C3:G3</f>
        <v>0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165</v>
      </c>
      <c r="E5" s="3"/>
      <c r="F5" s="41" t="s">
        <v>1</v>
      </c>
      <c r="G5" s="63">
        <f>'10.8 BWERA-KIKORONGO 24HRS'!G5:H5</f>
        <v>0</v>
      </c>
      <c r="H5" s="64"/>
      <c r="I5" s="14"/>
      <c r="J5" s="2" t="s">
        <v>5</v>
      </c>
      <c r="K5" s="63">
        <f>'10.8 BWERA-KIKORONGO 24HRS'!K5:L5</f>
        <v>0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>
        <f>'5.8 KIKORONGO-BWERA'!D6:E6</f>
        <v>0</v>
      </c>
      <c r="E6" s="64"/>
      <c r="F6" s="2" t="s">
        <v>2</v>
      </c>
      <c r="G6" s="63">
        <f>'5.8 KIKORONGO-BWERA'!G6:H6</f>
        <v>0</v>
      </c>
      <c r="H6" s="64"/>
      <c r="J6" s="2" t="s">
        <v>21</v>
      </c>
      <c r="K6" s="63">
        <f>'10.8 BWERA-KIKORONGO 24HRS'!K6:L6</f>
        <v>0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</v>
      </c>
      <c r="D10" s="50">
        <v>0</v>
      </c>
      <c r="E10" s="50">
        <v>2</v>
      </c>
      <c r="F10" s="50">
        <v>4</v>
      </c>
      <c r="G10" s="50">
        <v>0</v>
      </c>
      <c r="H10" s="50">
        <v>1</v>
      </c>
      <c r="I10" s="50">
        <v>0</v>
      </c>
      <c r="J10" s="50">
        <v>0</v>
      </c>
      <c r="K10" s="50">
        <v>0</v>
      </c>
      <c r="L10" s="50">
        <v>2</v>
      </c>
      <c r="M10" s="50">
        <v>2</v>
      </c>
      <c r="N10" s="50">
        <v>0</v>
      </c>
      <c r="O10" s="15">
        <f t="shared" ref="O10:O57" si="0">SUM(C10:L10,N10)</f>
        <v>12</v>
      </c>
      <c r="P10" s="15">
        <f t="shared" ref="P10:P57" si="1">SUM(C10:N10)</f>
        <v>14</v>
      </c>
      <c r="R10" s="1" t="s">
        <v>6</v>
      </c>
      <c r="S10" s="17">
        <f t="shared" ref="S10:AF10" si="2">SUM(C10:C13)</f>
        <v>14</v>
      </c>
      <c r="T10" s="17">
        <f t="shared" si="2"/>
        <v>0</v>
      </c>
      <c r="U10" s="17">
        <f t="shared" si="2"/>
        <v>10</v>
      </c>
      <c r="V10" s="17">
        <f t="shared" si="2"/>
        <v>12</v>
      </c>
      <c r="W10" s="17">
        <f t="shared" si="2"/>
        <v>0</v>
      </c>
      <c r="X10" s="17">
        <f t="shared" si="2"/>
        <v>4</v>
      </c>
      <c r="Y10" s="17">
        <f t="shared" si="2"/>
        <v>0</v>
      </c>
      <c r="Z10" s="17">
        <f t="shared" si="2"/>
        <v>0</v>
      </c>
      <c r="AA10" s="17">
        <f t="shared" si="2"/>
        <v>0</v>
      </c>
      <c r="AB10" s="17">
        <f t="shared" si="2"/>
        <v>5</v>
      </c>
      <c r="AC10" s="17">
        <f t="shared" si="2"/>
        <v>11</v>
      </c>
      <c r="AD10" s="17">
        <f t="shared" si="2"/>
        <v>0</v>
      </c>
      <c r="AE10" s="31">
        <f t="shared" si="2"/>
        <v>45</v>
      </c>
      <c r="AF10" s="31">
        <f t="shared" si="2"/>
        <v>56</v>
      </c>
    </row>
    <row r="11" spans="2:32" s="6" customFormat="1" ht="23.1" customHeight="1" x14ac:dyDescent="0.25">
      <c r="B11" s="23" t="s">
        <v>38</v>
      </c>
      <c r="C11" s="50">
        <v>6</v>
      </c>
      <c r="D11" s="50">
        <v>0</v>
      </c>
      <c r="E11" s="50">
        <v>2</v>
      </c>
      <c r="F11" s="50">
        <v>1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1</v>
      </c>
      <c r="M11" s="50">
        <v>6</v>
      </c>
      <c r="N11" s="50">
        <v>0</v>
      </c>
      <c r="O11" s="15">
        <f t="shared" si="0"/>
        <v>10</v>
      </c>
      <c r="P11" s="15">
        <f t="shared" si="1"/>
        <v>16</v>
      </c>
      <c r="R11" s="1" t="s">
        <v>7</v>
      </c>
      <c r="S11" s="17">
        <f t="shared" ref="S11:AF11" si="3">SUM(C14:C17)</f>
        <v>14</v>
      </c>
      <c r="T11" s="17">
        <f t="shared" si="3"/>
        <v>0</v>
      </c>
      <c r="U11" s="17">
        <f t="shared" si="3"/>
        <v>9</v>
      </c>
      <c r="V11" s="17">
        <f t="shared" si="3"/>
        <v>3</v>
      </c>
      <c r="W11" s="17">
        <f t="shared" si="3"/>
        <v>0</v>
      </c>
      <c r="X11" s="17">
        <f t="shared" si="3"/>
        <v>1</v>
      </c>
      <c r="Y11" s="17">
        <f t="shared" si="3"/>
        <v>2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5</v>
      </c>
      <c r="AD11" s="17">
        <f t="shared" si="3"/>
        <v>0</v>
      </c>
      <c r="AE11" s="31">
        <f t="shared" si="3"/>
        <v>29</v>
      </c>
      <c r="AF11" s="31">
        <f t="shared" si="3"/>
        <v>34</v>
      </c>
    </row>
    <row r="12" spans="2:32" ht="23.1" customHeight="1" x14ac:dyDescent="0.25">
      <c r="B12" s="23" t="s">
        <v>39</v>
      </c>
      <c r="C12" s="50">
        <v>3</v>
      </c>
      <c r="D12" s="50">
        <v>0</v>
      </c>
      <c r="E12" s="50">
        <v>2</v>
      </c>
      <c r="F12" s="50">
        <v>5</v>
      </c>
      <c r="G12" s="50">
        <v>0</v>
      </c>
      <c r="H12" s="50">
        <v>1</v>
      </c>
      <c r="I12" s="50">
        <v>0</v>
      </c>
      <c r="J12" s="50">
        <v>0</v>
      </c>
      <c r="K12" s="50">
        <v>0</v>
      </c>
      <c r="L12" s="50">
        <v>1</v>
      </c>
      <c r="M12" s="50">
        <v>3</v>
      </c>
      <c r="N12" s="50">
        <v>0</v>
      </c>
      <c r="O12" s="15">
        <f t="shared" si="0"/>
        <v>12</v>
      </c>
      <c r="P12" s="15">
        <f t="shared" si="1"/>
        <v>15</v>
      </c>
      <c r="R12" s="1" t="s">
        <v>8</v>
      </c>
      <c r="S12" s="17">
        <f t="shared" ref="S12:AF12" si="4">SUM(C18:C21)</f>
        <v>14</v>
      </c>
      <c r="T12" s="17">
        <f t="shared" si="4"/>
        <v>0</v>
      </c>
      <c r="U12" s="17">
        <f t="shared" si="4"/>
        <v>2</v>
      </c>
      <c r="V12" s="17">
        <f t="shared" si="4"/>
        <v>9</v>
      </c>
      <c r="W12" s="17">
        <f t="shared" si="4"/>
        <v>0</v>
      </c>
      <c r="X12" s="17">
        <f t="shared" si="4"/>
        <v>0</v>
      </c>
      <c r="Y12" s="17">
        <f t="shared" si="4"/>
        <v>1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12</v>
      </c>
      <c r="AD12" s="17">
        <f t="shared" si="4"/>
        <v>0</v>
      </c>
      <c r="AE12" s="31">
        <f t="shared" si="4"/>
        <v>26</v>
      </c>
      <c r="AF12" s="31">
        <f t="shared" si="4"/>
        <v>38</v>
      </c>
    </row>
    <row r="13" spans="2:32" ht="23.1" customHeight="1" x14ac:dyDescent="0.25">
      <c r="B13" s="23" t="s">
        <v>40</v>
      </c>
      <c r="C13" s="50">
        <v>2</v>
      </c>
      <c r="D13" s="50">
        <v>0</v>
      </c>
      <c r="E13" s="50">
        <v>4</v>
      </c>
      <c r="F13" s="50">
        <v>2</v>
      </c>
      <c r="G13" s="50">
        <v>0</v>
      </c>
      <c r="H13" s="50">
        <v>2</v>
      </c>
      <c r="I13" s="50">
        <v>0</v>
      </c>
      <c r="J13" s="50">
        <v>0</v>
      </c>
      <c r="K13" s="50">
        <v>0</v>
      </c>
      <c r="L13" s="50">
        <v>1</v>
      </c>
      <c r="M13" s="50">
        <v>0</v>
      </c>
      <c r="N13" s="50">
        <v>0</v>
      </c>
      <c r="O13" s="15">
        <f t="shared" si="0"/>
        <v>11</v>
      </c>
      <c r="P13" s="15">
        <f t="shared" si="1"/>
        <v>11</v>
      </c>
      <c r="R13" s="1" t="s">
        <v>9</v>
      </c>
      <c r="S13" s="17">
        <f t="shared" ref="S13:AF13" si="5">SUM(C22:C25)</f>
        <v>23</v>
      </c>
      <c r="T13" s="17">
        <f t="shared" si="5"/>
        <v>0</v>
      </c>
      <c r="U13" s="17">
        <f t="shared" si="5"/>
        <v>5</v>
      </c>
      <c r="V13" s="17">
        <f t="shared" si="5"/>
        <v>8</v>
      </c>
      <c r="W13" s="17">
        <f t="shared" si="5"/>
        <v>0</v>
      </c>
      <c r="X13" s="17">
        <f t="shared" si="5"/>
        <v>0</v>
      </c>
      <c r="Y13" s="17">
        <f t="shared" si="5"/>
        <v>0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27</v>
      </c>
      <c r="AD13" s="17">
        <f t="shared" si="5"/>
        <v>0</v>
      </c>
      <c r="AE13" s="31">
        <f t="shared" si="5"/>
        <v>36</v>
      </c>
      <c r="AF13" s="31">
        <f t="shared" si="5"/>
        <v>63</v>
      </c>
    </row>
    <row r="14" spans="2:32" ht="23.1" customHeight="1" x14ac:dyDescent="0.25">
      <c r="B14" s="23" t="s">
        <v>41</v>
      </c>
      <c r="C14" s="50">
        <v>2</v>
      </c>
      <c r="D14" s="50">
        <v>0</v>
      </c>
      <c r="E14" s="50">
        <v>1</v>
      </c>
      <c r="F14" s="50">
        <v>1</v>
      </c>
      <c r="G14" s="50">
        <v>0</v>
      </c>
      <c r="H14" s="50">
        <v>1</v>
      </c>
      <c r="I14" s="50">
        <v>0</v>
      </c>
      <c r="J14" s="50">
        <v>0</v>
      </c>
      <c r="K14" s="50">
        <v>0</v>
      </c>
      <c r="L14" s="50">
        <v>0</v>
      </c>
      <c r="M14" s="50">
        <v>1</v>
      </c>
      <c r="N14" s="50">
        <v>0</v>
      </c>
      <c r="O14" s="15">
        <f t="shared" si="0"/>
        <v>5</v>
      </c>
      <c r="P14" s="15">
        <f t="shared" si="1"/>
        <v>6</v>
      </c>
      <c r="R14" s="1" t="s">
        <v>10</v>
      </c>
      <c r="S14" s="17">
        <f t="shared" ref="S14:AF14" si="6">SUM(C26:C29)</f>
        <v>25</v>
      </c>
      <c r="T14" s="17">
        <f t="shared" si="6"/>
        <v>0</v>
      </c>
      <c r="U14" s="17">
        <f t="shared" si="6"/>
        <v>9</v>
      </c>
      <c r="V14" s="17">
        <f t="shared" si="6"/>
        <v>19</v>
      </c>
      <c r="W14" s="17">
        <f t="shared" si="6"/>
        <v>0</v>
      </c>
      <c r="X14" s="17">
        <f t="shared" si="6"/>
        <v>0</v>
      </c>
      <c r="Y14" s="17">
        <f t="shared" si="6"/>
        <v>4</v>
      </c>
      <c r="Z14" s="17">
        <f t="shared" si="6"/>
        <v>0</v>
      </c>
      <c r="AA14" s="17">
        <f t="shared" si="6"/>
        <v>0</v>
      </c>
      <c r="AB14" s="17">
        <f t="shared" si="6"/>
        <v>1</v>
      </c>
      <c r="AC14" s="17">
        <f t="shared" si="6"/>
        <v>27</v>
      </c>
      <c r="AD14" s="17">
        <f t="shared" si="6"/>
        <v>0</v>
      </c>
      <c r="AE14" s="31">
        <f t="shared" si="6"/>
        <v>58</v>
      </c>
      <c r="AF14" s="31">
        <f t="shared" si="6"/>
        <v>85</v>
      </c>
    </row>
    <row r="15" spans="2:32" ht="23.1" customHeight="1" x14ac:dyDescent="0.25">
      <c r="B15" s="23" t="s">
        <v>42</v>
      </c>
      <c r="C15" s="50">
        <v>1</v>
      </c>
      <c r="D15" s="50">
        <v>0</v>
      </c>
      <c r="E15" s="50">
        <v>3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0</v>
      </c>
      <c r="N15" s="50">
        <v>0</v>
      </c>
      <c r="O15" s="15">
        <f t="shared" si="0"/>
        <v>4</v>
      </c>
      <c r="P15" s="15">
        <f t="shared" si="1"/>
        <v>4</v>
      </c>
      <c r="R15" s="1" t="s">
        <v>11</v>
      </c>
      <c r="S15" s="17">
        <f t="shared" ref="S15:AF15" si="7">SUM(C30:C33)</f>
        <v>14</v>
      </c>
      <c r="T15" s="17">
        <f t="shared" si="7"/>
        <v>0</v>
      </c>
      <c r="U15" s="17">
        <f t="shared" si="7"/>
        <v>5</v>
      </c>
      <c r="V15" s="17">
        <f t="shared" si="7"/>
        <v>6</v>
      </c>
      <c r="W15" s="17">
        <f t="shared" si="7"/>
        <v>0</v>
      </c>
      <c r="X15" s="17">
        <f t="shared" si="7"/>
        <v>1</v>
      </c>
      <c r="Y15" s="17">
        <f t="shared" si="7"/>
        <v>2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5</v>
      </c>
      <c r="AD15" s="17">
        <f t="shared" si="7"/>
        <v>0</v>
      </c>
      <c r="AE15" s="31">
        <f t="shared" si="7"/>
        <v>28</v>
      </c>
      <c r="AF15" s="31">
        <f t="shared" si="7"/>
        <v>33</v>
      </c>
    </row>
    <row r="16" spans="2:32" ht="23.1" customHeight="1" x14ac:dyDescent="0.25">
      <c r="B16" s="23" t="s">
        <v>43</v>
      </c>
      <c r="C16" s="50">
        <v>2</v>
      </c>
      <c r="D16" s="50">
        <v>0</v>
      </c>
      <c r="E16" s="50">
        <v>1</v>
      </c>
      <c r="F16" s="50">
        <v>0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0</v>
      </c>
      <c r="M16" s="50">
        <v>0</v>
      </c>
      <c r="N16" s="50">
        <v>0</v>
      </c>
      <c r="O16" s="15">
        <f t="shared" si="0"/>
        <v>4</v>
      </c>
      <c r="P16" s="15">
        <f t="shared" si="1"/>
        <v>4</v>
      </c>
      <c r="R16" s="1" t="s">
        <v>12</v>
      </c>
      <c r="S16" s="17">
        <f t="shared" ref="S16:AF16" si="8">SUM(C34:C37)</f>
        <v>31</v>
      </c>
      <c r="T16" s="17">
        <f t="shared" si="8"/>
        <v>0</v>
      </c>
      <c r="U16" s="17">
        <f t="shared" si="8"/>
        <v>4</v>
      </c>
      <c r="V16" s="17">
        <f t="shared" si="8"/>
        <v>2</v>
      </c>
      <c r="W16" s="17">
        <f t="shared" si="8"/>
        <v>0</v>
      </c>
      <c r="X16" s="17">
        <f t="shared" si="8"/>
        <v>1</v>
      </c>
      <c r="Y16" s="17">
        <f t="shared" si="8"/>
        <v>0</v>
      </c>
      <c r="Z16" s="17">
        <f t="shared" si="8"/>
        <v>0</v>
      </c>
      <c r="AA16" s="17">
        <f t="shared" si="8"/>
        <v>0</v>
      </c>
      <c r="AB16" s="17">
        <f t="shared" si="8"/>
        <v>1</v>
      </c>
      <c r="AC16" s="17">
        <f t="shared" si="8"/>
        <v>26</v>
      </c>
      <c r="AD16" s="17">
        <f t="shared" si="8"/>
        <v>0</v>
      </c>
      <c r="AE16" s="31">
        <f t="shared" si="8"/>
        <v>39</v>
      </c>
      <c r="AF16" s="31">
        <f t="shared" si="8"/>
        <v>65</v>
      </c>
    </row>
    <row r="17" spans="2:32" ht="23.1" customHeight="1" x14ac:dyDescent="0.25">
      <c r="B17" s="23" t="s">
        <v>44</v>
      </c>
      <c r="C17" s="50">
        <v>9</v>
      </c>
      <c r="D17" s="50">
        <v>0</v>
      </c>
      <c r="E17" s="50">
        <v>4</v>
      </c>
      <c r="F17" s="50">
        <v>2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v>0</v>
      </c>
      <c r="M17" s="50">
        <v>4</v>
      </c>
      <c r="N17" s="50">
        <v>0</v>
      </c>
      <c r="O17" s="15">
        <f t="shared" si="0"/>
        <v>16</v>
      </c>
      <c r="P17" s="15">
        <f t="shared" si="1"/>
        <v>20</v>
      </c>
      <c r="R17" s="1" t="s">
        <v>13</v>
      </c>
      <c r="S17" s="17">
        <f t="shared" ref="S17:AF17" si="9">SUM(C38:C41)</f>
        <v>16</v>
      </c>
      <c r="T17" s="17">
        <f t="shared" si="9"/>
        <v>0</v>
      </c>
      <c r="U17" s="17">
        <f t="shared" si="9"/>
        <v>6</v>
      </c>
      <c r="V17" s="17">
        <f t="shared" si="9"/>
        <v>8</v>
      </c>
      <c r="W17" s="17">
        <f t="shared" si="9"/>
        <v>0</v>
      </c>
      <c r="X17" s="17">
        <f t="shared" si="9"/>
        <v>0</v>
      </c>
      <c r="Y17" s="17">
        <f t="shared" si="9"/>
        <v>2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22</v>
      </c>
      <c r="AD17" s="17">
        <f t="shared" si="9"/>
        <v>0</v>
      </c>
      <c r="AE17" s="31">
        <f t="shared" si="9"/>
        <v>32</v>
      </c>
      <c r="AF17" s="31">
        <f t="shared" si="9"/>
        <v>54</v>
      </c>
    </row>
    <row r="18" spans="2:32" ht="23.1" customHeight="1" x14ac:dyDescent="0.25">
      <c r="B18" s="23" t="s">
        <v>45</v>
      </c>
      <c r="C18" s="50">
        <v>3</v>
      </c>
      <c r="D18" s="50">
        <v>0</v>
      </c>
      <c r="E18" s="50">
        <v>0</v>
      </c>
      <c r="F18" s="50">
        <v>2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3</v>
      </c>
      <c r="N18" s="50">
        <v>0</v>
      </c>
      <c r="O18" s="15">
        <f t="shared" si="0"/>
        <v>5</v>
      </c>
      <c r="P18" s="15">
        <f t="shared" si="1"/>
        <v>8</v>
      </c>
      <c r="R18" s="1" t="s">
        <v>14</v>
      </c>
      <c r="S18" s="17">
        <f t="shared" ref="S18:AF18" si="10">SUM(C42:C45)</f>
        <v>18</v>
      </c>
      <c r="T18" s="17">
        <f t="shared" si="10"/>
        <v>0</v>
      </c>
      <c r="U18" s="17">
        <f t="shared" si="10"/>
        <v>3</v>
      </c>
      <c r="V18" s="17">
        <f t="shared" si="10"/>
        <v>7</v>
      </c>
      <c r="W18" s="17">
        <f t="shared" si="10"/>
        <v>0</v>
      </c>
      <c r="X18" s="17">
        <f t="shared" si="10"/>
        <v>2</v>
      </c>
      <c r="Y18" s="17">
        <f t="shared" si="10"/>
        <v>2</v>
      </c>
      <c r="Z18" s="17">
        <f t="shared" si="10"/>
        <v>1</v>
      </c>
      <c r="AA18" s="17">
        <f t="shared" si="10"/>
        <v>0</v>
      </c>
      <c r="AB18" s="17">
        <f t="shared" si="10"/>
        <v>1</v>
      </c>
      <c r="AC18" s="17">
        <f t="shared" si="10"/>
        <v>15</v>
      </c>
      <c r="AD18" s="17">
        <f t="shared" si="10"/>
        <v>0</v>
      </c>
      <c r="AE18" s="31">
        <f t="shared" si="10"/>
        <v>34</v>
      </c>
      <c r="AF18" s="31">
        <f t="shared" si="10"/>
        <v>49</v>
      </c>
    </row>
    <row r="19" spans="2:32" ht="23.1" customHeight="1" x14ac:dyDescent="0.25">
      <c r="B19" s="23" t="s">
        <v>46</v>
      </c>
      <c r="C19" s="50">
        <v>2</v>
      </c>
      <c r="D19" s="50">
        <v>0</v>
      </c>
      <c r="E19" s="50">
        <v>2</v>
      </c>
      <c r="F19" s="50">
        <v>1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5</v>
      </c>
      <c r="N19" s="50">
        <v>0</v>
      </c>
      <c r="O19" s="15">
        <f t="shared" si="0"/>
        <v>5</v>
      </c>
      <c r="P19" s="15">
        <f t="shared" si="1"/>
        <v>10</v>
      </c>
      <c r="R19" s="1" t="s">
        <v>15</v>
      </c>
      <c r="S19" s="17">
        <f t="shared" ref="S19:AF19" si="11">SUM(C46:C49)</f>
        <v>12</v>
      </c>
      <c r="T19" s="17">
        <f t="shared" si="11"/>
        <v>0</v>
      </c>
      <c r="U19" s="17">
        <f t="shared" si="11"/>
        <v>9</v>
      </c>
      <c r="V19" s="17">
        <f t="shared" si="11"/>
        <v>12</v>
      </c>
      <c r="W19" s="17">
        <f t="shared" si="11"/>
        <v>0</v>
      </c>
      <c r="X19" s="17">
        <f t="shared" si="11"/>
        <v>2</v>
      </c>
      <c r="Y19" s="17">
        <f t="shared" si="11"/>
        <v>0</v>
      </c>
      <c r="Z19" s="17">
        <f t="shared" si="11"/>
        <v>0</v>
      </c>
      <c r="AA19" s="17">
        <f t="shared" si="11"/>
        <v>0</v>
      </c>
      <c r="AB19" s="17">
        <f t="shared" si="11"/>
        <v>3</v>
      </c>
      <c r="AC19" s="17">
        <f t="shared" si="11"/>
        <v>12</v>
      </c>
      <c r="AD19" s="17">
        <f t="shared" si="11"/>
        <v>0</v>
      </c>
      <c r="AE19" s="31">
        <f t="shared" si="11"/>
        <v>38</v>
      </c>
      <c r="AF19" s="31">
        <f t="shared" si="11"/>
        <v>50</v>
      </c>
    </row>
    <row r="20" spans="2:32" ht="23.1" customHeight="1" x14ac:dyDescent="0.25">
      <c r="B20" s="23" t="s">
        <v>47</v>
      </c>
      <c r="C20" s="50">
        <v>2</v>
      </c>
      <c r="D20" s="50">
        <v>0</v>
      </c>
      <c r="E20" s="50">
        <v>0</v>
      </c>
      <c r="F20" s="50">
        <v>2</v>
      </c>
      <c r="G20" s="50">
        <v>0</v>
      </c>
      <c r="H20" s="50">
        <v>0</v>
      </c>
      <c r="I20" s="50">
        <v>1</v>
      </c>
      <c r="J20" s="50">
        <v>0</v>
      </c>
      <c r="K20" s="50">
        <v>0</v>
      </c>
      <c r="L20" s="50">
        <v>0</v>
      </c>
      <c r="M20" s="50">
        <v>1</v>
      </c>
      <c r="N20" s="50">
        <v>0</v>
      </c>
      <c r="O20" s="15">
        <f t="shared" si="0"/>
        <v>5</v>
      </c>
      <c r="P20" s="15">
        <f t="shared" si="1"/>
        <v>6</v>
      </c>
      <c r="R20" s="1" t="s">
        <v>16</v>
      </c>
      <c r="S20" s="17">
        <f t="shared" ref="S20:AF20" si="12">SUM(C50:C53)</f>
        <v>14</v>
      </c>
      <c r="T20" s="17">
        <f t="shared" si="12"/>
        <v>0</v>
      </c>
      <c r="U20" s="17">
        <f t="shared" si="12"/>
        <v>11</v>
      </c>
      <c r="V20" s="17">
        <f t="shared" si="12"/>
        <v>13</v>
      </c>
      <c r="W20" s="17">
        <f t="shared" si="12"/>
        <v>0</v>
      </c>
      <c r="X20" s="17">
        <f t="shared" si="12"/>
        <v>2</v>
      </c>
      <c r="Y20" s="17">
        <f t="shared" si="12"/>
        <v>0</v>
      </c>
      <c r="Z20" s="17">
        <f t="shared" si="12"/>
        <v>0</v>
      </c>
      <c r="AA20" s="17">
        <f t="shared" si="12"/>
        <v>0</v>
      </c>
      <c r="AB20" s="17">
        <f t="shared" si="12"/>
        <v>4</v>
      </c>
      <c r="AC20" s="17">
        <f t="shared" si="12"/>
        <v>14</v>
      </c>
      <c r="AD20" s="17">
        <f t="shared" si="12"/>
        <v>0</v>
      </c>
      <c r="AE20" s="31">
        <f t="shared" si="12"/>
        <v>44</v>
      </c>
      <c r="AF20" s="31">
        <f t="shared" si="12"/>
        <v>58</v>
      </c>
    </row>
    <row r="21" spans="2:32" ht="23.1" customHeight="1" x14ac:dyDescent="0.25">
      <c r="B21" s="23" t="s">
        <v>48</v>
      </c>
      <c r="C21" s="50">
        <v>7</v>
      </c>
      <c r="D21" s="50">
        <v>0</v>
      </c>
      <c r="E21" s="50">
        <v>0</v>
      </c>
      <c r="F21" s="50">
        <v>4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3</v>
      </c>
      <c r="N21" s="50">
        <v>0</v>
      </c>
      <c r="O21" s="15">
        <f t="shared" si="0"/>
        <v>11</v>
      </c>
      <c r="P21" s="15">
        <f t="shared" si="1"/>
        <v>14</v>
      </c>
      <c r="R21" s="36" t="s">
        <v>20</v>
      </c>
      <c r="S21" s="34">
        <f t="shared" ref="S21:AF21" si="13">SUM(C54:C57)</f>
        <v>13</v>
      </c>
      <c r="T21" s="17">
        <f t="shared" si="13"/>
        <v>0</v>
      </c>
      <c r="U21" s="17">
        <f t="shared" si="13"/>
        <v>10</v>
      </c>
      <c r="V21" s="17">
        <f t="shared" si="13"/>
        <v>9</v>
      </c>
      <c r="W21" s="17">
        <f t="shared" si="13"/>
        <v>0</v>
      </c>
      <c r="X21" s="17">
        <f t="shared" si="13"/>
        <v>1</v>
      </c>
      <c r="Y21" s="17">
        <f t="shared" si="13"/>
        <v>0</v>
      </c>
      <c r="Z21" s="17">
        <f t="shared" si="13"/>
        <v>0</v>
      </c>
      <c r="AA21" s="17">
        <f t="shared" si="13"/>
        <v>0</v>
      </c>
      <c r="AB21" s="17">
        <f t="shared" si="13"/>
        <v>8</v>
      </c>
      <c r="AC21" s="17">
        <f t="shared" si="13"/>
        <v>14</v>
      </c>
      <c r="AD21" s="17">
        <f t="shared" si="13"/>
        <v>0</v>
      </c>
      <c r="AE21" s="31">
        <f t="shared" si="13"/>
        <v>41</v>
      </c>
      <c r="AF21" s="31">
        <f t="shared" si="13"/>
        <v>55</v>
      </c>
    </row>
    <row r="22" spans="2:32" ht="23.1" customHeight="1" x14ac:dyDescent="0.25">
      <c r="B22" s="23" t="s">
        <v>49</v>
      </c>
      <c r="C22" s="50">
        <v>3</v>
      </c>
      <c r="D22" s="50">
        <v>0</v>
      </c>
      <c r="E22" s="50">
        <v>2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2</v>
      </c>
      <c r="N22" s="50">
        <v>0</v>
      </c>
      <c r="O22" s="15">
        <f t="shared" si="0"/>
        <v>5</v>
      </c>
      <c r="P22" s="15">
        <f t="shared" si="1"/>
        <v>7</v>
      </c>
      <c r="R22" s="38" t="s">
        <v>90</v>
      </c>
      <c r="S22" s="39">
        <f>MAX(S10:S12)</f>
        <v>14</v>
      </c>
      <c r="T22" s="39">
        <f t="shared" ref="T22:AF22" si="14">MAX(T10:T12)</f>
        <v>0</v>
      </c>
      <c r="U22" s="39">
        <f t="shared" si="14"/>
        <v>10</v>
      </c>
      <c r="V22" s="39">
        <f t="shared" si="14"/>
        <v>12</v>
      </c>
      <c r="W22" s="39">
        <f t="shared" si="14"/>
        <v>0</v>
      </c>
      <c r="X22" s="39">
        <f t="shared" si="14"/>
        <v>4</v>
      </c>
      <c r="Y22" s="39">
        <f t="shared" si="14"/>
        <v>2</v>
      </c>
      <c r="Z22" s="39">
        <f t="shared" si="14"/>
        <v>0</v>
      </c>
      <c r="AA22" s="39">
        <f t="shared" si="14"/>
        <v>0</v>
      </c>
      <c r="AB22" s="39">
        <f t="shared" si="14"/>
        <v>5</v>
      </c>
      <c r="AC22" s="39">
        <f t="shared" si="14"/>
        <v>12</v>
      </c>
      <c r="AD22" s="39">
        <f t="shared" si="14"/>
        <v>0</v>
      </c>
      <c r="AE22" s="40">
        <f t="shared" si="14"/>
        <v>45</v>
      </c>
      <c r="AF22" s="40">
        <f t="shared" si="14"/>
        <v>56</v>
      </c>
    </row>
    <row r="23" spans="2:32" ht="23.1" customHeight="1" x14ac:dyDescent="0.25">
      <c r="B23" s="23" t="s">
        <v>50</v>
      </c>
      <c r="C23" s="50">
        <v>9</v>
      </c>
      <c r="D23" s="50">
        <v>0</v>
      </c>
      <c r="E23" s="50">
        <v>2</v>
      </c>
      <c r="F23" s="50">
        <v>2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6</v>
      </c>
      <c r="N23" s="50">
        <v>0</v>
      </c>
      <c r="O23" s="15">
        <f t="shared" si="0"/>
        <v>13</v>
      </c>
      <c r="P23" s="15">
        <f t="shared" si="1"/>
        <v>19</v>
      </c>
      <c r="R23" s="38" t="s">
        <v>91</v>
      </c>
      <c r="S23" s="39">
        <f>MAX(S13:S18)</f>
        <v>31</v>
      </c>
      <c r="T23" s="39">
        <f t="shared" ref="T23:AF23" si="15">MAX(T13:T18)</f>
        <v>0</v>
      </c>
      <c r="U23" s="39">
        <f t="shared" si="15"/>
        <v>9</v>
      </c>
      <c r="V23" s="39">
        <f t="shared" si="15"/>
        <v>19</v>
      </c>
      <c r="W23" s="39">
        <f t="shared" si="15"/>
        <v>0</v>
      </c>
      <c r="X23" s="39">
        <f t="shared" si="15"/>
        <v>2</v>
      </c>
      <c r="Y23" s="39">
        <f t="shared" si="15"/>
        <v>4</v>
      </c>
      <c r="Z23" s="39">
        <f t="shared" si="15"/>
        <v>1</v>
      </c>
      <c r="AA23" s="39">
        <f t="shared" si="15"/>
        <v>0</v>
      </c>
      <c r="AB23" s="39">
        <f t="shared" si="15"/>
        <v>1</v>
      </c>
      <c r="AC23" s="39">
        <f t="shared" si="15"/>
        <v>27</v>
      </c>
      <c r="AD23" s="39">
        <f t="shared" si="15"/>
        <v>0</v>
      </c>
      <c r="AE23" s="40">
        <f t="shared" si="15"/>
        <v>58</v>
      </c>
      <c r="AF23" s="40">
        <f t="shared" si="15"/>
        <v>85</v>
      </c>
    </row>
    <row r="24" spans="2:32" ht="23.1" customHeight="1" x14ac:dyDescent="0.25">
      <c r="B24" s="23" t="s">
        <v>51</v>
      </c>
      <c r="C24" s="50">
        <v>7</v>
      </c>
      <c r="D24" s="50">
        <v>0</v>
      </c>
      <c r="E24" s="50">
        <v>1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8</v>
      </c>
      <c r="N24" s="50">
        <v>0</v>
      </c>
      <c r="O24" s="15">
        <f t="shared" si="0"/>
        <v>8</v>
      </c>
      <c r="P24" s="15">
        <f t="shared" si="1"/>
        <v>16</v>
      </c>
      <c r="R24" s="38" t="s">
        <v>92</v>
      </c>
      <c r="S24" s="39">
        <f>MAX(S19:S21)</f>
        <v>14</v>
      </c>
      <c r="T24" s="39">
        <f t="shared" ref="T24:AF24" si="16">MAX(T19:T21)</f>
        <v>0</v>
      </c>
      <c r="U24" s="39">
        <f t="shared" si="16"/>
        <v>11</v>
      </c>
      <c r="V24" s="39">
        <f t="shared" si="16"/>
        <v>13</v>
      </c>
      <c r="W24" s="39">
        <f t="shared" si="16"/>
        <v>0</v>
      </c>
      <c r="X24" s="39">
        <f t="shared" si="16"/>
        <v>2</v>
      </c>
      <c r="Y24" s="39">
        <f t="shared" si="16"/>
        <v>0</v>
      </c>
      <c r="Z24" s="39">
        <f t="shared" si="16"/>
        <v>0</v>
      </c>
      <c r="AA24" s="39">
        <f t="shared" si="16"/>
        <v>0</v>
      </c>
      <c r="AB24" s="39">
        <f t="shared" si="16"/>
        <v>8</v>
      </c>
      <c r="AC24" s="39">
        <f t="shared" si="16"/>
        <v>14</v>
      </c>
      <c r="AD24" s="39">
        <f t="shared" si="16"/>
        <v>0</v>
      </c>
      <c r="AE24" s="40">
        <f t="shared" si="16"/>
        <v>44</v>
      </c>
      <c r="AF24" s="40">
        <f t="shared" si="16"/>
        <v>58</v>
      </c>
    </row>
    <row r="25" spans="2:32" ht="23.1" customHeight="1" x14ac:dyDescent="0.25">
      <c r="B25" s="23" t="s">
        <v>52</v>
      </c>
      <c r="C25" s="50">
        <v>4</v>
      </c>
      <c r="D25" s="50">
        <v>0</v>
      </c>
      <c r="E25" s="50">
        <v>0</v>
      </c>
      <c r="F25" s="50">
        <v>6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11</v>
      </c>
      <c r="N25" s="50">
        <v>0</v>
      </c>
      <c r="O25" s="15">
        <f t="shared" si="0"/>
        <v>10</v>
      </c>
      <c r="P25" s="15">
        <f t="shared" si="1"/>
        <v>21</v>
      </c>
      <c r="R25" s="37" t="s">
        <v>85</v>
      </c>
      <c r="S25" s="35">
        <f t="shared" ref="S25:AF25" si="17">SUM(S10:S12)</f>
        <v>42</v>
      </c>
      <c r="T25" s="16">
        <f t="shared" si="17"/>
        <v>0</v>
      </c>
      <c r="U25" s="16">
        <f t="shared" si="17"/>
        <v>21</v>
      </c>
      <c r="V25" s="16">
        <f t="shared" si="17"/>
        <v>24</v>
      </c>
      <c r="W25" s="16">
        <f t="shared" si="17"/>
        <v>0</v>
      </c>
      <c r="X25" s="16">
        <f t="shared" si="17"/>
        <v>5</v>
      </c>
      <c r="Y25" s="16">
        <f t="shared" si="17"/>
        <v>3</v>
      </c>
      <c r="Z25" s="16">
        <f t="shared" si="17"/>
        <v>0</v>
      </c>
      <c r="AA25" s="16">
        <f t="shared" si="17"/>
        <v>0</v>
      </c>
      <c r="AB25" s="16">
        <f t="shared" si="17"/>
        <v>5</v>
      </c>
      <c r="AC25" s="16">
        <f t="shared" si="17"/>
        <v>28</v>
      </c>
      <c r="AD25" s="16">
        <f t="shared" si="17"/>
        <v>0</v>
      </c>
      <c r="AE25" s="32">
        <f t="shared" si="17"/>
        <v>100</v>
      </c>
      <c r="AF25" s="32">
        <f t="shared" si="17"/>
        <v>128</v>
      </c>
    </row>
    <row r="26" spans="2:32" ht="23.1" customHeight="1" x14ac:dyDescent="0.25">
      <c r="B26" s="23" t="s">
        <v>53</v>
      </c>
      <c r="C26" s="50">
        <v>2</v>
      </c>
      <c r="D26" s="50">
        <v>0</v>
      </c>
      <c r="E26" s="50">
        <v>1</v>
      </c>
      <c r="F26" s="50">
        <v>4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4</v>
      </c>
      <c r="N26" s="50">
        <v>0</v>
      </c>
      <c r="O26" s="15">
        <f t="shared" si="0"/>
        <v>7</v>
      </c>
      <c r="P26" s="15">
        <f t="shared" si="1"/>
        <v>11</v>
      </c>
      <c r="R26" s="28" t="s">
        <v>86</v>
      </c>
      <c r="S26" s="16">
        <f t="shared" ref="S26:AF26" si="18">SUM(S13:S18)</f>
        <v>127</v>
      </c>
      <c r="T26" s="16">
        <f t="shared" si="18"/>
        <v>0</v>
      </c>
      <c r="U26" s="16">
        <f t="shared" si="18"/>
        <v>32</v>
      </c>
      <c r="V26" s="16">
        <f t="shared" si="18"/>
        <v>50</v>
      </c>
      <c r="W26" s="16">
        <f t="shared" si="18"/>
        <v>0</v>
      </c>
      <c r="X26" s="16">
        <f t="shared" si="18"/>
        <v>4</v>
      </c>
      <c r="Y26" s="16">
        <f t="shared" si="18"/>
        <v>10</v>
      </c>
      <c r="Z26" s="16">
        <f t="shared" si="18"/>
        <v>1</v>
      </c>
      <c r="AA26" s="16">
        <f t="shared" si="18"/>
        <v>0</v>
      </c>
      <c r="AB26" s="16">
        <f t="shared" si="18"/>
        <v>3</v>
      </c>
      <c r="AC26" s="16">
        <f t="shared" si="18"/>
        <v>122</v>
      </c>
      <c r="AD26" s="16">
        <f t="shared" si="18"/>
        <v>0</v>
      </c>
      <c r="AE26" s="32">
        <f t="shared" si="18"/>
        <v>227</v>
      </c>
      <c r="AF26" s="32">
        <f t="shared" si="18"/>
        <v>349</v>
      </c>
    </row>
    <row r="27" spans="2:32" ht="23.1" customHeight="1" x14ac:dyDescent="0.25">
      <c r="B27" s="23" t="s">
        <v>54</v>
      </c>
      <c r="C27" s="50">
        <v>4</v>
      </c>
      <c r="D27" s="50">
        <v>0</v>
      </c>
      <c r="E27" s="50">
        <v>2</v>
      </c>
      <c r="F27" s="50">
        <v>6</v>
      </c>
      <c r="G27" s="50">
        <v>0</v>
      </c>
      <c r="H27" s="50">
        <v>0</v>
      </c>
      <c r="I27" s="50">
        <v>2</v>
      </c>
      <c r="J27" s="50">
        <v>0</v>
      </c>
      <c r="K27" s="50">
        <v>0</v>
      </c>
      <c r="L27" s="50">
        <v>0</v>
      </c>
      <c r="M27" s="50">
        <v>3</v>
      </c>
      <c r="N27" s="50">
        <v>0</v>
      </c>
      <c r="O27" s="15">
        <f t="shared" si="0"/>
        <v>14</v>
      </c>
      <c r="P27" s="15">
        <f t="shared" si="1"/>
        <v>17</v>
      </c>
      <c r="R27" s="29" t="s">
        <v>87</v>
      </c>
      <c r="S27" s="16">
        <f t="shared" ref="S27:AF27" si="19">SUM(S19:S21)</f>
        <v>39</v>
      </c>
      <c r="T27" s="16">
        <f t="shared" si="19"/>
        <v>0</v>
      </c>
      <c r="U27" s="16">
        <f t="shared" si="19"/>
        <v>30</v>
      </c>
      <c r="V27" s="16">
        <f t="shared" si="19"/>
        <v>34</v>
      </c>
      <c r="W27" s="16">
        <f t="shared" si="19"/>
        <v>0</v>
      </c>
      <c r="X27" s="16">
        <f t="shared" si="19"/>
        <v>5</v>
      </c>
      <c r="Y27" s="16">
        <f t="shared" si="19"/>
        <v>0</v>
      </c>
      <c r="Z27" s="16">
        <f t="shared" si="19"/>
        <v>0</v>
      </c>
      <c r="AA27" s="16">
        <f t="shared" si="19"/>
        <v>0</v>
      </c>
      <c r="AB27" s="16">
        <f t="shared" si="19"/>
        <v>15</v>
      </c>
      <c r="AC27" s="16">
        <f t="shared" si="19"/>
        <v>40</v>
      </c>
      <c r="AD27" s="16">
        <f t="shared" si="19"/>
        <v>0</v>
      </c>
      <c r="AE27" s="32">
        <f t="shared" si="19"/>
        <v>123</v>
      </c>
      <c r="AF27" s="32">
        <f t="shared" si="19"/>
        <v>163</v>
      </c>
    </row>
    <row r="28" spans="2:32" ht="23.1" customHeight="1" x14ac:dyDescent="0.25">
      <c r="B28" s="23" t="s">
        <v>55</v>
      </c>
      <c r="C28" s="50">
        <v>8</v>
      </c>
      <c r="D28" s="50">
        <v>0</v>
      </c>
      <c r="E28" s="50">
        <v>4</v>
      </c>
      <c r="F28" s="50">
        <v>2</v>
      </c>
      <c r="G28" s="50">
        <v>0</v>
      </c>
      <c r="H28" s="50">
        <v>0</v>
      </c>
      <c r="I28" s="50">
        <v>2</v>
      </c>
      <c r="J28" s="50">
        <v>0</v>
      </c>
      <c r="K28" s="50">
        <v>0</v>
      </c>
      <c r="L28" s="50">
        <v>1</v>
      </c>
      <c r="M28" s="50">
        <v>12</v>
      </c>
      <c r="N28" s="50">
        <v>0</v>
      </c>
      <c r="O28" s="15">
        <f t="shared" si="0"/>
        <v>17</v>
      </c>
      <c r="P28" s="15">
        <f t="shared" si="1"/>
        <v>29</v>
      </c>
      <c r="R28" s="5" t="s">
        <v>17</v>
      </c>
      <c r="S28" s="16">
        <f t="shared" ref="S28:AF28" si="20">SUM(S10:S21)</f>
        <v>208</v>
      </c>
      <c r="T28" s="16">
        <f t="shared" si="20"/>
        <v>0</v>
      </c>
      <c r="U28" s="16">
        <f t="shared" si="20"/>
        <v>83</v>
      </c>
      <c r="V28" s="16">
        <f t="shared" si="20"/>
        <v>108</v>
      </c>
      <c r="W28" s="16">
        <f t="shared" si="20"/>
        <v>0</v>
      </c>
      <c r="X28" s="16">
        <f t="shared" si="20"/>
        <v>14</v>
      </c>
      <c r="Y28" s="16">
        <f t="shared" si="20"/>
        <v>13</v>
      </c>
      <c r="Z28" s="16">
        <f t="shared" si="20"/>
        <v>1</v>
      </c>
      <c r="AA28" s="16">
        <f t="shared" si="20"/>
        <v>0</v>
      </c>
      <c r="AB28" s="16">
        <f t="shared" si="20"/>
        <v>23</v>
      </c>
      <c r="AC28" s="16">
        <f t="shared" si="20"/>
        <v>190</v>
      </c>
      <c r="AD28" s="16">
        <f t="shared" si="20"/>
        <v>0</v>
      </c>
      <c r="AE28" s="32">
        <f t="shared" si="20"/>
        <v>450</v>
      </c>
      <c r="AF28" s="32">
        <f t="shared" si="20"/>
        <v>640</v>
      </c>
    </row>
    <row r="29" spans="2:32" ht="23.1" customHeight="1" x14ac:dyDescent="0.25">
      <c r="B29" s="23" t="s">
        <v>56</v>
      </c>
      <c r="C29" s="50">
        <v>11</v>
      </c>
      <c r="D29" s="50">
        <v>0</v>
      </c>
      <c r="E29" s="50">
        <v>2</v>
      </c>
      <c r="F29" s="50">
        <v>7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8</v>
      </c>
      <c r="N29" s="50">
        <v>0</v>
      </c>
      <c r="O29" s="15">
        <f t="shared" si="0"/>
        <v>20</v>
      </c>
      <c r="P29" s="15">
        <f t="shared" si="1"/>
        <v>28</v>
      </c>
      <c r="R29"/>
      <c r="S29" s="20"/>
      <c r="T29" s="19"/>
    </row>
    <row r="30" spans="2:32" ht="23.1" customHeight="1" x14ac:dyDescent="0.25">
      <c r="B30" s="23" t="s">
        <v>57</v>
      </c>
      <c r="C30" s="50">
        <v>2</v>
      </c>
      <c r="D30" s="50">
        <v>0</v>
      </c>
      <c r="E30" s="50">
        <v>0</v>
      </c>
      <c r="F30" s="50">
        <v>1</v>
      </c>
      <c r="G30" s="50">
        <v>0</v>
      </c>
      <c r="H30" s="50">
        <v>1</v>
      </c>
      <c r="I30" s="50">
        <v>0</v>
      </c>
      <c r="J30" s="50">
        <v>0</v>
      </c>
      <c r="K30" s="50">
        <v>0</v>
      </c>
      <c r="L30" s="50">
        <v>0</v>
      </c>
      <c r="M30" s="50">
        <v>1</v>
      </c>
      <c r="N30" s="50">
        <v>0</v>
      </c>
      <c r="O30" s="15">
        <f t="shared" si="0"/>
        <v>4</v>
      </c>
      <c r="P30" s="15">
        <f t="shared" si="1"/>
        <v>5</v>
      </c>
    </row>
    <row r="31" spans="2:32" ht="23.1" customHeight="1" x14ac:dyDescent="0.25">
      <c r="B31" s="24" t="s">
        <v>58</v>
      </c>
      <c r="C31" s="50">
        <v>1</v>
      </c>
      <c r="D31" s="50">
        <v>0</v>
      </c>
      <c r="E31" s="50">
        <v>0</v>
      </c>
      <c r="F31" s="50">
        <v>3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0</v>
      </c>
      <c r="N31" s="50">
        <v>0</v>
      </c>
      <c r="O31" s="15">
        <f t="shared" si="0"/>
        <v>4</v>
      </c>
      <c r="P31" s="15">
        <f t="shared" si="1"/>
        <v>4</v>
      </c>
    </row>
    <row r="32" spans="2:32" ht="23.1" customHeight="1" x14ac:dyDescent="0.25">
      <c r="B32" s="24" t="s">
        <v>59</v>
      </c>
      <c r="C32" s="50">
        <v>2</v>
      </c>
      <c r="D32" s="50">
        <v>0</v>
      </c>
      <c r="E32" s="50">
        <v>1</v>
      </c>
      <c r="F32" s="50">
        <v>0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0</v>
      </c>
      <c r="M32" s="50">
        <v>0</v>
      </c>
      <c r="N32" s="50">
        <v>0</v>
      </c>
      <c r="O32" s="15">
        <f t="shared" si="0"/>
        <v>4</v>
      </c>
      <c r="P32" s="15">
        <f t="shared" si="1"/>
        <v>4</v>
      </c>
    </row>
    <row r="33" spans="2:20" ht="23.1" customHeight="1" x14ac:dyDescent="0.25">
      <c r="B33" s="23" t="s">
        <v>60</v>
      </c>
      <c r="C33" s="50">
        <v>9</v>
      </c>
      <c r="D33" s="50">
        <v>0</v>
      </c>
      <c r="E33" s="50">
        <v>4</v>
      </c>
      <c r="F33" s="50">
        <v>2</v>
      </c>
      <c r="G33" s="50">
        <v>0</v>
      </c>
      <c r="H33" s="50">
        <v>0</v>
      </c>
      <c r="I33" s="50">
        <v>1</v>
      </c>
      <c r="J33" s="50">
        <v>0</v>
      </c>
      <c r="K33" s="50">
        <v>0</v>
      </c>
      <c r="L33" s="50">
        <v>0</v>
      </c>
      <c r="M33" s="50">
        <v>4</v>
      </c>
      <c r="N33" s="50">
        <v>0</v>
      </c>
      <c r="O33" s="15">
        <f t="shared" si="0"/>
        <v>16</v>
      </c>
      <c r="P33" s="15">
        <f t="shared" si="1"/>
        <v>20</v>
      </c>
    </row>
    <row r="34" spans="2:20" ht="23.1" customHeight="1" x14ac:dyDescent="0.25">
      <c r="B34" s="24" t="s">
        <v>61</v>
      </c>
      <c r="C34" s="50">
        <v>4</v>
      </c>
      <c r="D34" s="50">
        <v>0</v>
      </c>
      <c r="E34" s="50">
        <v>2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7</v>
      </c>
      <c r="N34" s="50">
        <v>0</v>
      </c>
      <c r="O34" s="15">
        <f t="shared" si="0"/>
        <v>6</v>
      </c>
      <c r="P34" s="15">
        <f t="shared" si="1"/>
        <v>13</v>
      </c>
    </row>
    <row r="35" spans="2:20" ht="23.1" customHeight="1" x14ac:dyDescent="0.25">
      <c r="B35" s="24" t="s">
        <v>62</v>
      </c>
      <c r="C35" s="50">
        <v>7</v>
      </c>
      <c r="D35" s="50">
        <v>0</v>
      </c>
      <c r="E35" s="50">
        <v>0</v>
      </c>
      <c r="F35" s="50">
        <v>0</v>
      </c>
      <c r="G35" s="50">
        <v>0</v>
      </c>
      <c r="H35" s="50">
        <v>1</v>
      </c>
      <c r="I35" s="50">
        <v>0</v>
      </c>
      <c r="J35" s="50">
        <v>0</v>
      </c>
      <c r="K35" s="50">
        <v>0</v>
      </c>
      <c r="L35" s="50">
        <v>1</v>
      </c>
      <c r="M35" s="50">
        <v>9</v>
      </c>
      <c r="N35" s="50">
        <v>0</v>
      </c>
      <c r="O35" s="15">
        <f t="shared" si="0"/>
        <v>9</v>
      </c>
      <c r="P35" s="15">
        <f t="shared" si="1"/>
        <v>18</v>
      </c>
    </row>
    <row r="36" spans="2:20" ht="23.1" customHeight="1" x14ac:dyDescent="0.25">
      <c r="B36" s="24" t="s">
        <v>63</v>
      </c>
      <c r="C36" s="50">
        <v>14</v>
      </c>
      <c r="D36" s="50">
        <v>0</v>
      </c>
      <c r="E36" s="50">
        <v>0</v>
      </c>
      <c r="F36" s="50">
        <v>2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7</v>
      </c>
      <c r="N36" s="50">
        <v>0</v>
      </c>
      <c r="O36" s="15">
        <f t="shared" si="0"/>
        <v>16</v>
      </c>
      <c r="P36" s="15">
        <f t="shared" si="1"/>
        <v>23</v>
      </c>
    </row>
    <row r="37" spans="2:20" ht="23.1" customHeight="1" x14ac:dyDescent="0.25">
      <c r="B37" s="23" t="s">
        <v>64</v>
      </c>
      <c r="C37" s="50">
        <v>6</v>
      </c>
      <c r="D37" s="50">
        <v>0</v>
      </c>
      <c r="E37" s="50">
        <v>2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3</v>
      </c>
      <c r="N37" s="50">
        <v>0</v>
      </c>
      <c r="O37" s="15">
        <f t="shared" si="0"/>
        <v>8</v>
      </c>
      <c r="P37" s="15">
        <f t="shared" si="1"/>
        <v>11</v>
      </c>
    </row>
    <row r="38" spans="2:20" ht="23.1" customHeight="1" x14ac:dyDescent="0.25">
      <c r="B38" s="24" t="s">
        <v>65</v>
      </c>
      <c r="C38" s="50">
        <v>6</v>
      </c>
      <c r="D38" s="50">
        <v>0</v>
      </c>
      <c r="E38" s="50">
        <v>0</v>
      </c>
      <c r="F38" s="50">
        <v>1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4</v>
      </c>
      <c r="N38" s="50">
        <v>0</v>
      </c>
      <c r="O38" s="15">
        <f t="shared" si="0"/>
        <v>7</v>
      </c>
      <c r="P38" s="15">
        <f t="shared" si="1"/>
        <v>11</v>
      </c>
    </row>
    <row r="39" spans="2:20" ht="23.1" customHeight="1" x14ac:dyDescent="0.25">
      <c r="B39" s="24" t="s">
        <v>66</v>
      </c>
      <c r="C39" s="50">
        <v>1</v>
      </c>
      <c r="D39" s="50">
        <v>0</v>
      </c>
      <c r="E39" s="50">
        <v>3</v>
      </c>
      <c r="F39" s="50">
        <v>4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4</v>
      </c>
      <c r="N39" s="50">
        <v>0</v>
      </c>
      <c r="O39" s="15">
        <f t="shared" si="0"/>
        <v>8</v>
      </c>
      <c r="P39" s="15">
        <f t="shared" si="1"/>
        <v>12</v>
      </c>
    </row>
    <row r="40" spans="2:20" ht="23.1" customHeight="1" x14ac:dyDescent="0.25">
      <c r="B40" s="24" t="s">
        <v>67</v>
      </c>
      <c r="C40" s="50">
        <v>1</v>
      </c>
      <c r="D40" s="50">
        <v>0</v>
      </c>
      <c r="E40" s="50">
        <v>2</v>
      </c>
      <c r="F40" s="50">
        <v>3</v>
      </c>
      <c r="G40" s="50">
        <v>0</v>
      </c>
      <c r="H40" s="50">
        <v>0</v>
      </c>
      <c r="I40" s="50">
        <v>2</v>
      </c>
      <c r="J40" s="50">
        <v>0</v>
      </c>
      <c r="K40" s="50">
        <v>0</v>
      </c>
      <c r="L40" s="50">
        <v>0</v>
      </c>
      <c r="M40" s="50">
        <v>8</v>
      </c>
      <c r="N40" s="50">
        <v>0</v>
      </c>
      <c r="O40" s="15">
        <f t="shared" si="0"/>
        <v>8</v>
      </c>
      <c r="P40" s="15">
        <f t="shared" si="1"/>
        <v>16</v>
      </c>
    </row>
    <row r="41" spans="2:20" ht="23.1" customHeight="1" x14ac:dyDescent="0.25">
      <c r="B41" s="23" t="s">
        <v>68</v>
      </c>
      <c r="C41" s="50">
        <v>8</v>
      </c>
      <c r="D41" s="50">
        <v>0</v>
      </c>
      <c r="E41" s="50">
        <v>1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6</v>
      </c>
      <c r="N41" s="50">
        <v>0</v>
      </c>
      <c r="O41" s="15">
        <f t="shared" si="0"/>
        <v>9</v>
      </c>
      <c r="P41" s="15">
        <f t="shared" si="1"/>
        <v>15</v>
      </c>
    </row>
    <row r="42" spans="2:20" ht="23.1" customHeight="1" x14ac:dyDescent="0.25">
      <c r="B42" s="24" t="s">
        <v>69</v>
      </c>
      <c r="C42" s="50">
        <v>9</v>
      </c>
      <c r="D42" s="50">
        <v>0</v>
      </c>
      <c r="E42" s="50">
        <v>0</v>
      </c>
      <c r="F42" s="50">
        <v>2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2</v>
      </c>
      <c r="N42" s="50">
        <v>0</v>
      </c>
      <c r="O42" s="15">
        <f t="shared" si="0"/>
        <v>11</v>
      </c>
      <c r="P42" s="15">
        <f t="shared" si="1"/>
        <v>13</v>
      </c>
    </row>
    <row r="43" spans="2:20" ht="23.1" customHeight="1" x14ac:dyDescent="0.25">
      <c r="B43" s="23" t="s">
        <v>70</v>
      </c>
      <c r="C43" s="50">
        <v>0</v>
      </c>
      <c r="D43" s="50">
        <v>0</v>
      </c>
      <c r="E43" s="50">
        <v>2</v>
      </c>
      <c r="F43" s="50">
        <v>2</v>
      </c>
      <c r="G43" s="50">
        <v>0</v>
      </c>
      <c r="H43" s="50">
        <v>2</v>
      </c>
      <c r="I43" s="50">
        <v>0</v>
      </c>
      <c r="J43" s="50">
        <v>1</v>
      </c>
      <c r="K43" s="50">
        <v>0</v>
      </c>
      <c r="L43" s="50">
        <v>0</v>
      </c>
      <c r="M43" s="50">
        <v>4</v>
      </c>
      <c r="N43" s="50">
        <v>0</v>
      </c>
      <c r="O43" s="15">
        <f t="shared" si="0"/>
        <v>7</v>
      </c>
      <c r="P43" s="15">
        <f t="shared" si="1"/>
        <v>11</v>
      </c>
    </row>
    <row r="44" spans="2:20" ht="23.1" customHeight="1" x14ac:dyDescent="0.25">
      <c r="B44" s="25" t="s">
        <v>71</v>
      </c>
      <c r="C44" s="50">
        <v>3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1</v>
      </c>
      <c r="J44" s="50">
        <v>0</v>
      </c>
      <c r="K44" s="50">
        <v>0</v>
      </c>
      <c r="L44" s="50">
        <v>0</v>
      </c>
      <c r="M44" s="50">
        <v>6</v>
      </c>
      <c r="N44" s="50">
        <v>0</v>
      </c>
      <c r="O44" s="15">
        <f t="shared" si="0"/>
        <v>4</v>
      </c>
      <c r="P44" s="15">
        <f t="shared" si="1"/>
        <v>10</v>
      </c>
    </row>
    <row r="45" spans="2:20" ht="23.1" customHeight="1" x14ac:dyDescent="0.25">
      <c r="B45" s="23" t="s">
        <v>72</v>
      </c>
      <c r="C45" s="50">
        <v>6</v>
      </c>
      <c r="D45" s="50">
        <v>0</v>
      </c>
      <c r="E45" s="50">
        <v>1</v>
      </c>
      <c r="F45" s="50">
        <v>3</v>
      </c>
      <c r="G45" s="50">
        <v>0</v>
      </c>
      <c r="H45" s="50">
        <v>0</v>
      </c>
      <c r="I45" s="50">
        <v>1</v>
      </c>
      <c r="J45" s="50">
        <v>0</v>
      </c>
      <c r="K45" s="50">
        <v>0</v>
      </c>
      <c r="L45" s="50">
        <v>1</v>
      </c>
      <c r="M45" s="50">
        <v>3</v>
      </c>
      <c r="N45" s="50">
        <v>0</v>
      </c>
      <c r="O45" s="15">
        <f t="shared" si="0"/>
        <v>12</v>
      </c>
      <c r="P45" s="15">
        <f t="shared" si="1"/>
        <v>15</v>
      </c>
    </row>
    <row r="46" spans="2:20" ht="23.1" customHeight="1" x14ac:dyDescent="0.25">
      <c r="B46" s="24" t="s">
        <v>73</v>
      </c>
      <c r="C46" s="50">
        <v>2</v>
      </c>
      <c r="D46" s="50">
        <v>0</v>
      </c>
      <c r="E46" s="50">
        <v>1</v>
      </c>
      <c r="F46" s="50">
        <v>4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1</v>
      </c>
      <c r="M46" s="50">
        <v>4</v>
      </c>
      <c r="N46" s="50">
        <v>0</v>
      </c>
      <c r="O46" s="15">
        <f t="shared" si="0"/>
        <v>8</v>
      </c>
      <c r="P46" s="15">
        <f t="shared" si="1"/>
        <v>12</v>
      </c>
      <c r="R46" s="8"/>
      <c r="T46"/>
    </row>
    <row r="47" spans="2:20" ht="23.1" customHeight="1" x14ac:dyDescent="0.25">
      <c r="B47" s="24" t="s">
        <v>74</v>
      </c>
      <c r="C47" s="50">
        <v>3</v>
      </c>
      <c r="D47" s="50">
        <v>0</v>
      </c>
      <c r="E47" s="50">
        <v>2</v>
      </c>
      <c r="F47" s="50">
        <v>3</v>
      </c>
      <c r="G47" s="50">
        <v>0</v>
      </c>
      <c r="H47" s="50">
        <v>1</v>
      </c>
      <c r="I47" s="50">
        <v>0</v>
      </c>
      <c r="J47" s="50">
        <v>0</v>
      </c>
      <c r="K47" s="50">
        <v>0</v>
      </c>
      <c r="L47" s="50">
        <v>0</v>
      </c>
      <c r="M47" s="50">
        <v>2</v>
      </c>
      <c r="N47" s="50">
        <v>0</v>
      </c>
      <c r="O47" s="15">
        <f t="shared" si="0"/>
        <v>9</v>
      </c>
      <c r="P47" s="15">
        <f t="shared" si="1"/>
        <v>11</v>
      </c>
      <c r="R47" s="8"/>
      <c r="T47"/>
    </row>
    <row r="48" spans="2:20" ht="23.1" customHeight="1" x14ac:dyDescent="0.25">
      <c r="B48" s="24" t="s">
        <v>75</v>
      </c>
      <c r="C48" s="50">
        <v>4</v>
      </c>
      <c r="D48" s="50">
        <v>0</v>
      </c>
      <c r="E48" s="50">
        <v>4</v>
      </c>
      <c r="F48" s="50">
        <v>3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1</v>
      </c>
      <c r="M48" s="50">
        <v>4</v>
      </c>
      <c r="N48" s="50">
        <v>0</v>
      </c>
      <c r="O48" s="15">
        <f t="shared" si="0"/>
        <v>12</v>
      </c>
      <c r="P48" s="15">
        <f t="shared" si="1"/>
        <v>16</v>
      </c>
      <c r="R48" s="8"/>
      <c r="T48"/>
    </row>
    <row r="49" spans="2:20" ht="23.1" customHeight="1" x14ac:dyDescent="0.25">
      <c r="B49" s="23" t="s">
        <v>76</v>
      </c>
      <c r="C49" s="50">
        <v>3</v>
      </c>
      <c r="D49" s="50">
        <v>0</v>
      </c>
      <c r="E49" s="50">
        <v>2</v>
      </c>
      <c r="F49" s="50">
        <v>2</v>
      </c>
      <c r="G49" s="50">
        <v>0</v>
      </c>
      <c r="H49" s="50">
        <v>1</v>
      </c>
      <c r="I49" s="50">
        <v>0</v>
      </c>
      <c r="J49" s="50">
        <v>0</v>
      </c>
      <c r="K49" s="50">
        <v>0</v>
      </c>
      <c r="L49" s="50">
        <v>1</v>
      </c>
      <c r="M49" s="50">
        <v>2</v>
      </c>
      <c r="N49" s="50">
        <v>0</v>
      </c>
      <c r="O49" s="15">
        <f t="shared" si="0"/>
        <v>9</v>
      </c>
      <c r="P49" s="15">
        <f t="shared" si="1"/>
        <v>11</v>
      </c>
      <c r="R49" s="8"/>
      <c r="T49"/>
    </row>
    <row r="50" spans="2:20" ht="23.1" customHeight="1" x14ac:dyDescent="0.25">
      <c r="B50" s="24" t="s">
        <v>77</v>
      </c>
      <c r="C50" s="50">
        <v>4</v>
      </c>
      <c r="D50" s="50">
        <v>0</v>
      </c>
      <c r="E50" s="50">
        <v>2</v>
      </c>
      <c r="F50" s="50">
        <v>4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1</v>
      </c>
      <c r="M50" s="50">
        <v>2</v>
      </c>
      <c r="N50" s="50">
        <v>0</v>
      </c>
      <c r="O50" s="15">
        <f t="shared" si="0"/>
        <v>11</v>
      </c>
      <c r="P50" s="15">
        <f t="shared" si="1"/>
        <v>13</v>
      </c>
      <c r="R50" s="8"/>
      <c r="T50"/>
    </row>
    <row r="51" spans="2:20" ht="23.1" customHeight="1" x14ac:dyDescent="0.25">
      <c r="B51" s="24" t="s">
        <v>78</v>
      </c>
      <c r="C51" s="50">
        <v>2</v>
      </c>
      <c r="D51" s="50">
        <v>0</v>
      </c>
      <c r="E51" s="50">
        <v>3</v>
      </c>
      <c r="F51" s="50">
        <v>2</v>
      </c>
      <c r="G51" s="50">
        <v>0</v>
      </c>
      <c r="H51" s="50">
        <v>1</v>
      </c>
      <c r="I51" s="50">
        <v>0</v>
      </c>
      <c r="J51" s="50">
        <v>0</v>
      </c>
      <c r="K51" s="50">
        <v>0</v>
      </c>
      <c r="L51" s="50">
        <v>0</v>
      </c>
      <c r="M51" s="50">
        <v>4</v>
      </c>
      <c r="N51" s="50">
        <v>0</v>
      </c>
      <c r="O51" s="15">
        <f t="shared" si="0"/>
        <v>8</v>
      </c>
      <c r="P51" s="15">
        <f t="shared" si="1"/>
        <v>12</v>
      </c>
      <c r="R51" s="8"/>
      <c r="T51"/>
    </row>
    <row r="52" spans="2:20" ht="23.1" customHeight="1" x14ac:dyDescent="0.25">
      <c r="B52" s="24" t="s">
        <v>79</v>
      </c>
      <c r="C52" s="50">
        <v>5</v>
      </c>
      <c r="D52" s="50">
        <v>0</v>
      </c>
      <c r="E52" s="50">
        <v>2</v>
      </c>
      <c r="F52" s="50">
        <v>3</v>
      </c>
      <c r="G52" s="50">
        <v>0</v>
      </c>
      <c r="H52" s="50">
        <v>1</v>
      </c>
      <c r="I52" s="50">
        <v>0</v>
      </c>
      <c r="J52" s="50">
        <v>0</v>
      </c>
      <c r="K52" s="50">
        <v>0</v>
      </c>
      <c r="L52" s="50">
        <v>2</v>
      </c>
      <c r="M52" s="50">
        <v>5</v>
      </c>
      <c r="N52" s="50">
        <v>0</v>
      </c>
      <c r="O52" s="15">
        <f t="shared" si="0"/>
        <v>13</v>
      </c>
      <c r="P52" s="15">
        <f t="shared" si="1"/>
        <v>18</v>
      </c>
      <c r="R52" s="8"/>
      <c r="T52"/>
    </row>
    <row r="53" spans="2:20" ht="23.1" customHeight="1" x14ac:dyDescent="0.25">
      <c r="B53" s="23" t="s">
        <v>80</v>
      </c>
      <c r="C53" s="50">
        <v>3</v>
      </c>
      <c r="D53" s="50">
        <v>0</v>
      </c>
      <c r="E53" s="50">
        <v>4</v>
      </c>
      <c r="F53" s="50">
        <v>4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1</v>
      </c>
      <c r="M53" s="50">
        <v>3</v>
      </c>
      <c r="N53" s="50">
        <v>0</v>
      </c>
      <c r="O53" s="15">
        <f t="shared" si="0"/>
        <v>12</v>
      </c>
      <c r="P53" s="15">
        <f t="shared" si="1"/>
        <v>15</v>
      </c>
      <c r="R53" s="8"/>
      <c r="T53"/>
    </row>
    <row r="54" spans="2:20" ht="23.1" customHeight="1" x14ac:dyDescent="0.25">
      <c r="B54" s="23" t="s">
        <v>81</v>
      </c>
      <c r="C54" s="50">
        <v>3</v>
      </c>
      <c r="D54" s="50">
        <v>0</v>
      </c>
      <c r="E54" s="50">
        <v>1</v>
      </c>
      <c r="F54" s="50">
        <v>3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2</v>
      </c>
      <c r="M54" s="50">
        <v>5</v>
      </c>
      <c r="N54" s="50">
        <v>0</v>
      </c>
      <c r="O54" s="15">
        <f t="shared" si="0"/>
        <v>9</v>
      </c>
      <c r="P54" s="15">
        <f t="shared" si="1"/>
        <v>14</v>
      </c>
      <c r="R54" s="8"/>
      <c r="T54"/>
    </row>
    <row r="55" spans="2:20" ht="23.1" customHeight="1" x14ac:dyDescent="0.25">
      <c r="B55" s="23" t="s">
        <v>82</v>
      </c>
      <c r="C55" s="50">
        <v>4</v>
      </c>
      <c r="D55" s="50">
        <v>0</v>
      </c>
      <c r="E55" s="50">
        <v>1</v>
      </c>
      <c r="F55" s="50">
        <v>2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2</v>
      </c>
      <c r="M55" s="50">
        <v>3</v>
      </c>
      <c r="N55" s="50">
        <v>0</v>
      </c>
      <c r="O55" s="15">
        <f t="shared" si="0"/>
        <v>9</v>
      </c>
      <c r="P55" s="15">
        <f t="shared" si="1"/>
        <v>12</v>
      </c>
      <c r="R55" s="8"/>
      <c r="T55"/>
    </row>
    <row r="56" spans="2:20" ht="23.1" customHeight="1" x14ac:dyDescent="0.25">
      <c r="B56" s="23" t="s">
        <v>83</v>
      </c>
      <c r="C56" s="50">
        <v>2</v>
      </c>
      <c r="D56" s="50">
        <v>0</v>
      </c>
      <c r="E56" s="50">
        <v>5</v>
      </c>
      <c r="F56" s="50">
        <v>3</v>
      </c>
      <c r="G56" s="50">
        <v>0</v>
      </c>
      <c r="H56" s="50">
        <v>1</v>
      </c>
      <c r="I56" s="50">
        <v>0</v>
      </c>
      <c r="J56" s="50">
        <v>0</v>
      </c>
      <c r="K56" s="50">
        <v>0</v>
      </c>
      <c r="L56" s="50">
        <v>3</v>
      </c>
      <c r="M56" s="50">
        <v>2</v>
      </c>
      <c r="N56" s="50">
        <v>0</v>
      </c>
      <c r="O56" s="15">
        <f t="shared" si="0"/>
        <v>14</v>
      </c>
      <c r="P56" s="15">
        <f t="shared" si="1"/>
        <v>16</v>
      </c>
      <c r="R56" s="8"/>
      <c r="T56"/>
    </row>
    <row r="57" spans="2:20" ht="23.1" customHeight="1" x14ac:dyDescent="0.25">
      <c r="B57" s="23" t="s">
        <v>84</v>
      </c>
      <c r="C57" s="50">
        <v>4</v>
      </c>
      <c r="D57" s="50">
        <v>0</v>
      </c>
      <c r="E57" s="50">
        <v>3</v>
      </c>
      <c r="F57" s="50">
        <v>1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1</v>
      </c>
      <c r="M57" s="50">
        <v>4</v>
      </c>
      <c r="N57" s="50">
        <v>0</v>
      </c>
      <c r="O57" s="15">
        <f t="shared" si="0"/>
        <v>9</v>
      </c>
      <c r="P57" s="15">
        <f t="shared" si="1"/>
        <v>13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208</v>
      </c>
      <c r="D58" s="16">
        <f t="shared" si="21"/>
        <v>0</v>
      </c>
      <c r="E58" s="16">
        <f t="shared" si="21"/>
        <v>83</v>
      </c>
      <c r="F58" s="16">
        <f t="shared" si="21"/>
        <v>108</v>
      </c>
      <c r="G58" s="16">
        <f t="shared" si="21"/>
        <v>0</v>
      </c>
      <c r="H58" s="16">
        <f t="shared" si="21"/>
        <v>14</v>
      </c>
      <c r="I58" s="16">
        <f t="shared" si="21"/>
        <v>13</v>
      </c>
      <c r="J58" s="16">
        <f t="shared" si="21"/>
        <v>1</v>
      </c>
      <c r="K58" s="16">
        <f t="shared" si="21"/>
        <v>0</v>
      </c>
      <c r="L58" s="16">
        <f t="shared" si="21"/>
        <v>23</v>
      </c>
      <c r="M58" s="16">
        <f t="shared" si="21"/>
        <v>190</v>
      </c>
      <c r="N58" s="16">
        <f t="shared" si="21"/>
        <v>0</v>
      </c>
      <c r="O58" s="16">
        <f t="shared" si="21"/>
        <v>450</v>
      </c>
      <c r="P58" s="16">
        <f t="shared" si="21"/>
        <v>640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0.32500000000000001</v>
      </c>
      <c r="D59" s="43">
        <f t="shared" si="22"/>
        <v>0</v>
      </c>
      <c r="E59" s="43">
        <f t="shared" si="22"/>
        <v>0.12968750000000001</v>
      </c>
      <c r="F59" s="43">
        <f t="shared" si="22"/>
        <v>0.16875000000000001</v>
      </c>
      <c r="G59" s="43">
        <f t="shared" si="22"/>
        <v>0</v>
      </c>
      <c r="H59" s="43">
        <f t="shared" si="22"/>
        <v>2.1874999999999999E-2</v>
      </c>
      <c r="I59" s="43">
        <f t="shared" si="22"/>
        <v>2.0312500000000001E-2</v>
      </c>
      <c r="J59" s="43">
        <f t="shared" si="22"/>
        <v>1.5625000000000001E-3</v>
      </c>
      <c r="K59" s="43">
        <f t="shared" si="22"/>
        <v>0</v>
      </c>
      <c r="L59" s="43">
        <f t="shared" si="22"/>
        <v>3.5937499999999997E-2</v>
      </c>
      <c r="M59" s="43">
        <f t="shared" si="22"/>
        <v>0.296875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0.4622222222222222</v>
      </c>
      <c r="D60" s="44">
        <f t="shared" ref="D60:N60" si="23">D58/$O$58</f>
        <v>0</v>
      </c>
      <c r="E60" s="44">
        <f t="shared" si="23"/>
        <v>0.18444444444444444</v>
      </c>
      <c r="F60" s="44">
        <f t="shared" si="23"/>
        <v>0.24</v>
      </c>
      <c r="G60" s="44">
        <f t="shared" si="23"/>
        <v>0</v>
      </c>
      <c r="H60" s="44">
        <f t="shared" si="23"/>
        <v>3.111111111111111E-2</v>
      </c>
      <c r="I60" s="44">
        <f t="shared" si="23"/>
        <v>2.8888888888888888E-2</v>
      </c>
      <c r="J60" s="44">
        <f t="shared" si="23"/>
        <v>2.2222222222222222E-3</v>
      </c>
      <c r="K60" s="44">
        <f t="shared" si="23"/>
        <v>0</v>
      </c>
      <c r="L60" s="44">
        <f t="shared" si="23"/>
        <v>5.1111111111111114E-2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AF126"/>
  <sheetViews>
    <sheetView view="pageBreakPreview" topLeftCell="A44" zoomScale="60" workbookViewId="0">
      <selection activeCell="I51" sqref="I51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>
        <f>'5.8 BWERA-KIKORONGO'!C3:G3</f>
        <v>0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'11.8 BWERA-KIKORONGO'!D5</f>
        <v>28.07.19</v>
      </c>
      <c r="E5" s="3"/>
      <c r="F5" s="41" t="s">
        <v>1</v>
      </c>
      <c r="G5" s="63">
        <f>'11.8 BWERA-KIKORONGO'!G5:H5</f>
        <v>0</v>
      </c>
      <c r="H5" s="64"/>
      <c r="I5" s="14"/>
      <c r="J5" s="2" t="s">
        <v>5</v>
      </c>
      <c r="K5" s="63">
        <f>'11.8 BWERA-KIKORONGO'!K5:L5</f>
        <v>0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'5.8 BWERA-KIKORONGO'!D6:E6</f>
        <v>Clocktower</v>
      </c>
      <c r="E6" s="64"/>
      <c r="F6" s="2" t="s">
        <v>2</v>
      </c>
      <c r="G6" s="63" t="str">
        <f>'5.8 BWERA-KIKORONGO'!G6:H6</f>
        <v>Nsambya</v>
      </c>
      <c r="H6" s="64"/>
      <c r="J6" s="2" t="s">
        <v>21</v>
      </c>
      <c r="K6" s="63">
        <f>'11.8 BWERA-KIKORONGO'!K6:L6</f>
        <v>0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6</v>
      </c>
      <c r="D10" s="50">
        <v>0</v>
      </c>
      <c r="E10" s="50">
        <v>3</v>
      </c>
      <c r="F10" s="50">
        <v>4</v>
      </c>
      <c r="G10" s="50">
        <v>0</v>
      </c>
      <c r="H10" s="50">
        <v>1</v>
      </c>
      <c r="I10" s="50">
        <v>3</v>
      </c>
      <c r="J10" s="50">
        <v>0</v>
      </c>
      <c r="K10" s="50">
        <v>0</v>
      </c>
      <c r="L10" s="50">
        <v>2</v>
      </c>
      <c r="M10" s="50">
        <v>5</v>
      </c>
      <c r="N10" s="50">
        <v>0</v>
      </c>
      <c r="O10" s="15">
        <f t="shared" ref="O10:O57" si="0">SUM(C10:L10,N10)</f>
        <v>19</v>
      </c>
      <c r="P10" s="15">
        <f t="shared" ref="P10:P57" si="1">SUM(C10:N10)</f>
        <v>24</v>
      </c>
      <c r="R10" s="1" t="s">
        <v>6</v>
      </c>
      <c r="S10" s="17">
        <f t="shared" ref="S10:AF10" si="2">SUM(C10:C13)</f>
        <v>18</v>
      </c>
      <c r="T10" s="17">
        <f t="shared" si="2"/>
        <v>0</v>
      </c>
      <c r="U10" s="17">
        <f t="shared" si="2"/>
        <v>14</v>
      </c>
      <c r="V10" s="17">
        <f t="shared" si="2"/>
        <v>11</v>
      </c>
      <c r="W10" s="17">
        <f t="shared" si="2"/>
        <v>0</v>
      </c>
      <c r="X10" s="17">
        <f t="shared" si="2"/>
        <v>7</v>
      </c>
      <c r="Y10" s="17">
        <f t="shared" si="2"/>
        <v>10</v>
      </c>
      <c r="Z10" s="17">
        <f t="shared" si="2"/>
        <v>0</v>
      </c>
      <c r="AA10" s="17">
        <f t="shared" si="2"/>
        <v>0</v>
      </c>
      <c r="AB10" s="17">
        <f t="shared" si="2"/>
        <v>7</v>
      </c>
      <c r="AC10" s="17">
        <f t="shared" si="2"/>
        <v>18</v>
      </c>
      <c r="AD10" s="17">
        <f t="shared" si="2"/>
        <v>0</v>
      </c>
      <c r="AE10" s="31">
        <f t="shared" si="2"/>
        <v>67</v>
      </c>
      <c r="AF10" s="31">
        <f t="shared" si="2"/>
        <v>85</v>
      </c>
    </row>
    <row r="11" spans="2:32" s="6" customFormat="1" ht="23.1" customHeight="1" x14ac:dyDescent="0.25">
      <c r="B11" s="23" t="s">
        <v>38</v>
      </c>
      <c r="C11" s="50">
        <v>4</v>
      </c>
      <c r="D11" s="50">
        <v>0</v>
      </c>
      <c r="E11" s="50">
        <v>4</v>
      </c>
      <c r="F11" s="50">
        <v>5</v>
      </c>
      <c r="G11" s="50">
        <v>0</v>
      </c>
      <c r="H11" s="50">
        <v>2</v>
      </c>
      <c r="I11" s="50">
        <v>2</v>
      </c>
      <c r="J11" s="50">
        <v>0</v>
      </c>
      <c r="K11" s="50">
        <v>0</v>
      </c>
      <c r="L11" s="50">
        <v>1</v>
      </c>
      <c r="M11" s="50">
        <v>4</v>
      </c>
      <c r="N11" s="50">
        <v>0</v>
      </c>
      <c r="O11" s="15">
        <f t="shared" si="0"/>
        <v>18</v>
      </c>
      <c r="P11" s="15">
        <f t="shared" si="1"/>
        <v>22</v>
      </c>
      <c r="R11" s="1" t="s">
        <v>7</v>
      </c>
      <c r="S11" s="17">
        <f t="shared" ref="S11:AF11" si="3">SUM(C14:C17)</f>
        <v>12</v>
      </c>
      <c r="T11" s="17">
        <f t="shared" si="3"/>
        <v>0</v>
      </c>
      <c r="U11" s="17">
        <f t="shared" si="3"/>
        <v>8</v>
      </c>
      <c r="V11" s="17">
        <f t="shared" si="3"/>
        <v>7</v>
      </c>
      <c r="W11" s="17">
        <f t="shared" si="3"/>
        <v>0</v>
      </c>
      <c r="X11" s="17">
        <f t="shared" si="3"/>
        <v>3</v>
      </c>
      <c r="Y11" s="17">
        <f t="shared" si="3"/>
        <v>8</v>
      </c>
      <c r="Z11" s="17">
        <f t="shared" si="3"/>
        <v>0</v>
      </c>
      <c r="AA11" s="17">
        <f t="shared" si="3"/>
        <v>0</v>
      </c>
      <c r="AB11" s="17">
        <f t="shared" si="3"/>
        <v>2</v>
      </c>
      <c r="AC11" s="17">
        <f t="shared" si="3"/>
        <v>14</v>
      </c>
      <c r="AD11" s="17">
        <f t="shared" si="3"/>
        <v>0</v>
      </c>
      <c r="AE11" s="31">
        <f t="shared" si="3"/>
        <v>40</v>
      </c>
      <c r="AF11" s="31">
        <f t="shared" si="3"/>
        <v>54</v>
      </c>
    </row>
    <row r="12" spans="2:32" ht="23.1" customHeight="1" x14ac:dyDescent="0.25">
      <c r="B12" s="23" t="s">
        <v>39</v>
      </c>
      <c r="C12" s="50">
        <v>3</v>
      </c>
      <c r="D12" s="50">
        <v>0</v>
      </c>
      <c r="E12" s="50">
        <v>5</v>
      </c>
      <c r="F12" s="50">
        <v>2</v>
      </c>
      <c r="G12" s="50">
        <v>0</v>
      </c>
      <c r="H12" s="50">
        <v>1</v>
      </c>
      <c r="I12" s="50">
        <v>4</v>
      </c>
      <c r="J12" s="50">
        <v>0</v>
      </c>
      <c r="K12" s="50">
        <v>0</v>
      </c>
      <c r="L12" s="50">
        <v>3</v>
      </c>
      <c r="M12" s="50">
        <v>6</v>
      </c>
      <c r="N12" s="50">
        <v>0</v>
      </c>
      <c r="O12" s="15">
        <f t="shared" si="0"/>
        <v>18</v>
      </c>
      <c r="P12" s="15">
        <f t="shared" si="1"/>
        <v>24</v>
      </c>
      <c r="R12" s="1" t="s">
        <v>8</v>
      </c>
      <c r="S12" s="17">
        <f t="shared" ref="S12:AF12" si="4">SUM(C18:C21)</f>
        <v>11</v>
      </c>
      <c r="T12" s="17">
        <f t="shared" si="4"/>
        <v>0</v>
      </c>
      <c r="U12" s="17">
        <f t="shared" si="4"/>
        <v>13</v>
      </c>
      <c r="V12" s="17">
        <f t="shared" si="4"/>
        <v>13</v>
      </c>
      <c r="W12" s="17">
        <f t="shared" si="4"/>
        <v>3</v>
      </c>
      <c r="X12" s="17">
        <f t="shared" si="4"/>
        <v>1</v>
      </c>
      <c r="Y12" s="17">
        <f t="shared" si="4"/>
        <v>7</v>
      </c>
      <c r="Z12" s="17">
        <f t="shared" si="4"/>
        <v>0</v>
      </c>
      <c r="AA12" s="17">
        <f t="shared" si="4"/>
        <v>0</v>
      </c>
      <c r="AB12" s="17">
        <f t="shared" si="4"/>
        <v>2</v>
      </c>
      <c r="AC12" s="17">
        <f t="shared" si="4"/>
        <v>9</v>
      </c>
      <c r="AD12" s="17">
        <f t="shared" si="4"/>
        <v>0</v>
      </c>
      <c r="AE12" s="31">
        <f t="shared" si="4"/>
        <v>50</v>
      </c>
      <c r="AF12" s="31">
        <f t="shared" si="4"/>
        <v>59</v>
      </c>
    </row>
    <row r="13" spans="2:32" ht="23.1" customHeight="1" x14ac:dyDescent="0.25">
      <c r="B13" s="23" t="s">
        <v>40</v>
      </c>
      <c r="C13" s="50">
        <v>5</v>
      </c>
      <c r="D13" s="50">
        <v>0</v>
      </c>
      <c r="E13" s="50">
        <v>2</v>
      </c>
      <c r="F13" s="50">
        <v>0</v>
      </c>
      <c r="G13" s="50">
        <v>0</v>
      </c>
      <c r="H13" s="50">
        <v>3</v>
      </c>
      <c r="I13" s="50">
        <v>1</v>
      </c>
      <c r="J13" s="50">
        <v>0</v>
      </c>
      <c r="K13" s="50">
        <v>0</v>
      </c>
      <c r="L13" s="50">
        <v>1</v>
      </c>
      <c r="M13" s="50">
        <v>3</v>
      </c>
      <c r="N13" s="50">
        <v>0</v>
      </c>
      <c r="O13" s="15">
        <f t="shared" si="0"/>
        <v>12</v>
      </c>
      <c r="P13" s="15">
        <f t="shared" si="1"/>
        <v>15</v>
      </c>
      <c r="R13" s="1" t="s">
        <v>9</v>
      </c>
      <c r="S13" s="17">
        <f t="shared" ref="S13:AF13" si="5">SUM(C22:C25)</f>
        <v>5</v>
      </c>
      <c r="T13" s="17">
        <f t="shared" si="5"/>
        <v>0</v>
      </c>
      <c r="U13" s="17">
        <f t="shared" si="5"/>
        <v>2</v>
      </c>
      <c r="V13" s="17">
        <f t="shared" si="5"/>
        <v>7</v>
      </c>
      <c r="W13" s="17">
        <f t="shared" si="5"/>
        <v>4</v>
      </c>
      <c r="X13" s="17">
        <f t="shared" si="5"/>
        <v>1</v>
      </c>
      <c r="Y13" s="17">
        <f t="shared" si="5"/>
        <v>2</v>
      </c>
      <c r="Z13" s="17">
        <f t="shared" si="5"/>
        <v>0</v>
      </c>
      <c r="AA13" s="17">
        <f t="shared" si="5"/>
        <v>0</v>
      </c>
      <c r="AB13" s="17">
        <f t="shared" si="5"/>
        <v>3</v>
      </c>
      <c r="AC13" s="17">
        <f t="shared" si="5"/>
        <v>5</v>
      </c>
      <c r="AD13" s="17">
        <f t="shared" si="5"/>
        <v>0</v>
      </c>
      <c r="AE13" s="31">
        <f t="shared" si="5"/>
        <v>24</v>
      </c>
      <c r="AF13" s="31">
        <f t="shared" si="5"/>
        <v>29</v>
      </c>
    </row>
    <row r="14" spans="2:32" ht="23.1" customHeight="1" x14ac:dyDescent="0.25">
      <c r="B14" s="23" t="s">
        <v>41</v>
      </c>
      <c r="C14" s="50">
        <v>2</v>
      </c>
      <c r="D14" s="50">
        <v>0</v>
      </c>
      <c r="E14" s="50">
        <v>3</v>
      </c>
      <c r="F14" s="50">
        <v>1</v>
      </c>
      <c r="G14" s="50">
        <v>0</v>
      </c>
      <c r="H14" s="50">
        <v>1</v>
      </c>
      <c r="I14" s="50">
        <v>2</v>
      </c>
      <c r="J14" s="50">
        <v>0</v>
      </c>
      <c r="K14" s="50">
        <v>0</v>
      </c>
      <c r="L14" s="50">
        <v>1</v>
      </c>
      <c r="M14" s="50">
        <v>4</v>
      </c>
      <c r="N14" s="50">
        <v>0</v>
      </c>
      <c r="O14" s="15">
        <f t="shared" si="0"/>
        <v>10</v>
      </c>
      <c r="P14" s="15">
        <f t="shared" si="1"/>
        <v>14</v>
      </c>
      <c r="R14" s="1" t="s">
        <v>10</v>
      </c>
      <c r="S14" s="17">
        <f t="shared" ref="S14:AF14" si="6">SUM(C26:C29)</f>
        <v>7</v>
      </c>
      <c r="T14" s="17">
        <f t="shared" si="6"/>
        <v>0</v>
      </c>
      <c r="U14" s="17">
        <f t="shared" si="6"/>
        <v>4</v>
      </c>
      <c r="V14" s="17">
        <f t="shared" si="6"/>
        <v>9</v>
      </c>
      <c r="W14" s="17">
        <f t="shared" si="6"/>
        <v>0</v>
      </c>
      <c r="X14" s="17">
        <f t="shared" si="6"/>
        <v>1</v>
      </c>
      <c r="Y14" s="17">
        <f t="shared" si="6"/>
        <v>2</v>
      </c>
      <c r="Z14" s="17">
        <f t="shared" si="6"/>
        <v>0</v>
      </c>
      <c r="AA14" s="17">
        <f t="shared" si="6"/>
        <v>0</v>
      </c>
      <c r="AB14" s="17">
        <f t="shared" si="6"/>
        <v>3</v>
      </c>
      <c r="AC14" s="17">
        <f t="shared" si="6"/>
        <v>8</v>
      </c>
      <c r="AD14" s="17">
        <f t="shared" si="6"/>
        <v>1</v>
      </c>
      <c r="AE14" s="31">
        <f t="shared" si="6"/>
        <v>27</v>
      </c>
      <c r="AF14" s="31">
        <f t="shared" si="6"/>
        <v>35</v>
      </c>
    </row>
    <row r="15" spans="2:32" ht="23.1" customHeight="1" x14ac:dyDescent="0.25">
      <c r="B15" s="23" t="s">
        <v>42</v>
      </c>
      <c r="C15" s="50">
        <v>3</v>
      </c>
      <c r="D15" s="50">
        <v>0</v>
      </c>
      <c r="E15" s="50">
        <v>2</v>
      </c>
      <c r="F15" s="50">
        <v>1</v>
      </c>
      <c r="G15" s="50">
        <v>0</v>
      </c>
      <c r="H15" s="50">
        <v>1</v>
      </c>
      <c r="I15" s="50">
        <v>3</v>
      </c>
      <c r="J15" s="50">
        <v>0</v>
      </c>
      <c r="K15" s="50">
        <v>0</v>
      </c>
      <c r="L15" s="50">
        <v>0</v>
      </c>
      <c r="M15" s="50">
        <v>2</v>
      </c>
      <c r="N15" s="50">
        <v>0</v>
      </c>
      <c r="O15" s="15">
        <f t="shared" si="0"/>
        <v>10</v>
      </c>
      <c r="P15" s="15">
        <f t="shared" si="1"/>
        <v>12</v>
      </c>
      <c r="R15" s="1" t="s">
        <v>11</v>
      </c>
      <c r="S15" s="17">
        <f t="shared" ref="S15:AF15" si="7">SUM(C30:C33)</f>
        <v>10</v>
      </c>
      <c r="T15" s="17">
        <f t="shared" si="7"/>
        <v>0</v>
      </c>
      <c r="U15" s="17">
        <f t="shared" si="7"/>
        <v>7</v>
      </c>
      <c r="V15" s="17">
        <f t="shared" si="7"/>
        <v>9</v>
      </c>
      <c r="W15" s="17">
        <f t="shared" si="7"/>
        <v>0</v>
      </c>
      <c r="X15" s="17">
        <f t="shared" si="7"/>
        <v>0</v>
      </c>
      <c r="Y15" s="17">
        <f t="shared" si="7"/>
        <v>2</v>
      </c>
      <c r="Z15" s="17">
        <f t="shared" si="7"/>
        <v>0</v>
      </c>
      <c r="AA15" s="17">
        <f t="shared" si="7"/>
        <v>0</v>
      </c>
      <c r="AB15" s="17">
        <f t="shared" si="7"/>
        <v>1</v>
      </c>
      <c r="AC15" s="17">
        <f t="shared" si="7"/>
        <v>7</v>
      </c>
      <c r="AD15" s="17">
        <f t="shared" si="7"/>
        <v>0</v>
      </c>
      <c r="AE15" s="31">
        <f t="shared" si="7"/>
        <v>29</v>
      </c>
      <c r="AF15" s="31">
        <f t="shared" si="7"/>
        <v>36</v>
      </c>
    </row>
    <row r="16" spans="2:32" ht="23.1" customHeight="1" x14ac:dyDescent="0.25">
      <c r="B16" s="23" t="s">
        <v>43</v>
      </c>
      <c r="C16" s="50">
        <v>3</v>
      </c>
      <c r="D16" s="50">
        <v>0</v>
      </c>
      <c r="E16" s="50">
        <v>2</v>
      </c>
      <c r="F16" s="50">
        <v>3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1</v>
      </c>
      <c r="M16" s="50">
        <v>5</v>
      </c>
      <c r="N16" s="50">
        <v>0</v>
      </c>
      <c r="O16" s="15">
        <f t="shared" si="0"/>
        <v>10</v>
      </c>
      <c r="P16" s="15">
        <f t="shared" si="1"/>
        <v>15</v>
      </c>
      <c r="R16" s="1" t="s">
        <v>12</v>
      </c>
      <c r="S16" s="17">
        <f t="shared" ref="S16:AF16" si="8">SUM(C34:C37)</f>
        <v>6</v>
      </c>
      <c r="T16" s="17">
        <f t="shared" si="8"/>
        <v>0</v>
      </c>
      <c r="U16" s="17">
        <f t="shared" si="8"/>
        <v>11</v>
      </c>
      <c r="V16" s="17">
        <f t="shared" si="8"/>
        <v>10</v>
      </c>
      <c r="W16" s="17">
        <f t="shared" si="8"/>
        <v>0</v>
      </c>
      <c r="X16" s="17">
        <f t="shared" si="8"/>
        <v>0</v>
      </c>
      <c r="Y16" s="17">
        <f t="shared" si="8"/>
        <v>3</v>
      </c>
      <c r="Z16" s="17">
        <f t="shared" si="8"/>
        <v>0</v>
      </c>
      <c r="AA16" s="17">
        <f t="shared" si="8"/>
        <v>0</v>
      </c>
      <c r="AB16" s="17">
        <f t="shared" si="8"/>
        <v>2</v>
      </c>
      <c r="AC16" s="17">
        <f t="shared" si="8"/>
        <v>8</v>
      </c>
      <c r="AD16" s="17">
        <f t="shared" si="8"/>
        <v>0</v>
      </c>
      <c r="AE16" s="31">
        <f t="shared" si="8"/>
        <v>32</v>
      </c>
      <c r="AF16" s="31">
        <f t="shared" si="8"/>
        <v>40</v>
      </c>
    </row>
    <row r="17" spans="2:32" ht="23.1" customHeight="1" x14ac:dyDescent="0.25">
      <c r="B17" s="23" t="s">
        <v>44</v>
      </c>
      <c r="C17" s="50">
        <v>4</v>
      </c>
      <c r="D17" s="50">
        <v>0</v>
      </c>
      <c r="E17" s="50">
        <v>1</v>
      </c>
      <c r="F17" s="50">
        <v>2</v>
      </c>
      <c r="G17" s="50">
        <v>0</v>
      </c>
      <c r="H17" s="50">
        <v>1</v>
      </c>
      <c r="I17" s="50">
        <v>2</v>
      </c>
      <c r="J17" s="50">
        <v>0</v>
      </c>
      <c r="K17" s="50">
        <v>0</v>
      </c>
      <c r="L17" s="50">
        <v>0</v>
      </c>
      <c r="M17" s="50">
        <v>3</v>
      </c>
      <c r="N17" s="50">
        <v>0</v>
      </c>
      <c r="O17" s="15">
        <f t="shared" si="0"/>
        <v>10</v>
      </c>
      <c r="P17" s="15">
        <f t="shared" si="1"/>
        <v>13</v>
      </c>
      <c r="R17" s="1" t="s">
        <v>13</v>
      </c>
      <c r="S17" s="17">
        <f t="shared" ref="S17:AF17" si="9">SUM(C38:C41)</f>
        <v>12</v>
      </c>
      <c r="T17" s="17">
        <f t="shared" si="9"/>
        <v>0</v>
      </c>
      <c r="U17" s="17">
        <f t="shared" si="9"/>
        <v>7</v>
      </c>
      <c r="V17" s="17">
        <f t="shared" si="9"/>
        <v>8</v>
      </c>
      <c r="W17" s="17">
        <f t="shared" si="9"/>
        <v>0</v>
      </c>
      <c r="X17" s="17">
        <f t="shared" si="9"/>
        <v>0</v>
      </c>
      <c r="Y17" s="17">
        <f t="shared" si="9"/>
        <v>2</v>
      </c>
      <c r="Z17" s="17">
        <f t="shared" si="9"/>
        <v>0</v>
      </c>
      <c r="AA17" s="17">
        <f t="shared" si="9"/>
        <v>0</v>
      </c>
      <c r="AB17" s="17">
        <f t="shared" si="9"/>
        <v>4</v>
      </c>
      <c r="AC17" s="17">
        <f t="shared" si="9"/>
        <v>11</v>
      </c>
      <c r="AD17" s="17">
        <f t="shared" si="9"/>
        <v>0</v>
      </c>
      <c r="AE17" s="31">
        <f t="shared" si="9"/>
        <v>33</v>
      </c>
      <c r="AF17" s="31">
        <f t="shared" si="9"/>
        <v>44</v>
      </c>
    </row>
    <row r="18" spans="2:32" ht="23.1" customHeight="1" x14ac:dyDescent="0.25">
      <c r="B18" s="23" t="s">
        <v>45</v>
      </c>
      <c r="C18" s="50">
        <v>2</v>
      </c>
      <c r="D18" s="50">
        <v>0</v>
      </c>
      <c r="E18" s="50">
        <v>1</v>
      </c>
      <c r="F18" s="50">
        <v>3</v>
      </c>
      <c r="G18" s="50">
        <v>1</v>
      </c>
      <c r="H18" s="50">
        <v>0</v>
      </c>
      <c r="I18" s="50">
        <v>1</v>
      </c>
      <c r="J18" s="50">
        <v>0</v>
      </c>
      <c r="K18" s="50">
        <v>0</v>
      </c>
      <c r="L18" s="50">
        <v>1</v>
      </c>
      <c r="M18" s="50">
        <v>1</v>
      </c>
      <c r="N18" s="50">
        <v>0</v>
      </c>
      <c r="O18" s="15">
        <f t="shared" si="0"/>
        <v>9</v>
      </c>
      <c r="P18" s="15">
        <f t="shared" si="1"/>
        <v>10</v>
      </c>
      <c r="R18" s="1" t="s">
        <v>14</v>
      </c>
      <c r="S18" s="17">
        <f t="shared" ref="S18:AF18" si="10">SUM(C42:C45)</f>
        <v>14</v>
      </c>
      <c r="T18" s="17">
        <f t="shared" si="10"/>
        <v>0</v>
      </c>
      <c r="U18" s="17">
        <f t="shared" si="10"/>
        <v>9</v>
      </c>
      <c r="V18" s="17">
        <f t="shared" si="10"/>
        <v>8</v>
      </c>
      <c r="W18" s="17">
        <f t="shared" si="10"/>
        <v>0</v>
      </c>
      <c r="X18" s="17">
        <f t="shared" si="10"/>
        <v>0</v>
      </c>
      <c r="Y18" s="17">
        <f t="shared" si="10"/>
        <v>5</v>
      </c>
      <c r="Z18" s="17">
        <f t="shared" si="10"/>
        <v>0</v>
      </c>
      <c r="AA18" s="17">
        <f t="shared" si="10"/>
        <v>0</v>
      </c>
      <c r="AB18" s="17">
        <f t="shared" si="10"/>
        <v>1</v>
      </c>
      <c r="AC18" s="17">
        <f t="shared" si="10"/>
        <v>11</v>
      </c>
      <c r="AD18" s="17">
        <f t="shared" si="10"/>
        <v>0</v>
      </c>
      <c r="AE18" s="31">
        <f t="shared" si="10"/>
        <v>37</v>
      </c>
      <c r="AF18" s="31">
        <f t="shared" si="10"/>
        <v>48</v>
      </c>
    </row>
    <row r="19" spans="2:32" ht="23.1" customHeight="1" x14ac:dyDescent="0.25">
      <c r="B19" s="23" t="s">
        <v>46</v>
      </c>
      <c r="C19" s="50">
        <v>3</v>
      </c>
      <c r="D19" s="50">
        <v>0</v>
      </c>
      <c r="E19" s="50">
        <v>4</v>
      </c>
      <c r="F19" s="50">
        <v>5</v>
      </c>
      <c r="G19" s="50">
        <v>2</v>
      </c>
      <c r="H19" s="50">
        <v>0</v>
      </c>
      <c r="I19" s="50">
        <v>2</v>
      </c>
      <c r="J19" s="50">
        <v>0</v>
      </c>
      <c r="K19" s="50">
        <v>0</v>
      </c>
      <c r="L19" s="50">
        <v>1</v>
      </c>
      <c r="M19" s="50">
        <v>5</v>
      </c>
      <c r="N19" s="50">
        <v>0</v>
      </c>
      <c r="O19" s="15">
        <f t="shared" si="0"/>
        <v>17</v>
      </c>
      <c r="P19" s="15">
        <f t="shared" si="1"/>
        <v>22</v>
      </c>
      <c r="R19" s="1" t="s">
        <v>15</v>
      </c>
      <c r="S19" s="17">
        <f t="shared" ref="S19:AF19" si="11">SUM(C46:C49)</f>
        <v>8</v>
      </c>
      <c r="T19" s="17">
        <f t="shared" si="11"/>
        <v>0</v>
      </c>
      <c r="U19" s="17">
        <f t="shared" si="11"/>
        <v>5</v>
      </c>
      <c r="V19" s="17">
        <f t="shared" si="11"/>
        <v>9</v>
      </c>
      <c r="W19" s="17">
        <f t="shared" si="11"/>
        <v>0</v>
      </c>
      <c r="X19" s="17">
        <f t="shared" si="11"/>
        <v>2</v>
      </c>
      <c r="Y19" s="17">
        <f t="shared" si="11"/>
        <v>3</v>
      </c>
      <c r="Z19" s="17">
        <f t="shared" si="11"/>
        <v>0</v>
      </c>
      <c r="AA19" s="17">
        <f t="shared" si="11"/>
        <v>0</v>
      </c>
      <c r="AB19" s="17">
        <f t="shared" si="11"/>
        <v>3</v>
      </c>
      <c r="AC19" s="17">
        <f t="shared" si="11"/>
        <v>15</v>
      </c>
      <c r="AD19" s="17">
        <f t="shared" si="11"/>
        <v>0</v>
      </c>
      <c r="AE19" s="31">
        <f t="shared" si="11"/>
        <v>30</v>
      </c>
      <c r="AF19" s="31">
        <f t="shared" si="11"/>
        <v>45</v>
      </c>
    </row>
    <row r="20" spans="2:32" ht="23.1" customHeight="1" x14ac:dyDescent="0.25">
      <c r="B20" s="23" t="s">
        <v>47</v>
      </c>
      <c r="C20" s="50">
        <v>2</v>
      </c>
      <c r="D20" s="50">
        <v>0</v>
      </c>
      <c r="E20" s="50">
        <v>3</v>
      </c>
      <c r="F20" s="50">
        <v>2</v>
      </c>
      <c r="G20" s="50">
        <v>0</v>
      </c>
      <c r="H20" s="50">
        <v>1</v>
      </c>
      <c r="I20" s="50">
        <v>3</v>
      </c>
      <c r="J20" s="50">
        <v>0</v>
      </c>
      <c r="K20" s="50">
        <v>0</v>
      </c>
      <c r="L20" s="50">
        <v>0</v>
      </c>
      <c r="M20" s="50">
        <v>3</v>
      </c>
      <c r="N20" s="50">
        <v>0</v>
      </c>
      <c r="O20" s="15">
        <f t="shared" si="0"/>
        <v>11</v>
      </c>
      <c r="P20" s="15">
        <f t="shared" si="1"/>
        <v>14</v>
      </c>
      <c r="R20" s="1" t="s">
        <v>16</v>
      </c>
      <c r="S20" s="17">
        <f t="shared" ref="S20:AF20" si="12">SUM(C50:C53)</f>
        <v>12</v>
      </c>
      <c r="T20" s="17">
        <f t="shared" si="12"/>
        <v>0</v>
      </c>
      <c r="U20" s="17">
        <f t="shared" si="12"/>
        <v>11</v>
      </c>
      <c r="V20" s="17">
        <f t="shared" si="12"/>
        <v>15</v>
      </c>
      <c r="W20" s="17">
        <f t="shared" si="12"/>
        <v>0</v>
      </c>
      <c r="X20" s="17">
        <f t="shared" si="12"/>
        <v>2</v>
      </c>
      <c r="Y20" s="17">
        <f t="shared" si="12"/>
        <v>3</v>
      </c>
      <c r="Z20" s="17">
        <f t="shared" si="12"/>
        <v>0</v>
      </c>
      <c r="AA20" s="17">
        <f t="shared" si="12"/>
        <v>0</v>
      </c>
      <c r="AB20" s="17">
        <f t="shared" si="12"/>
        <v>7</v>
      </c>
      <c r="AC20" s="17">
        <f t="shared" si="12"/>
        <v>19</v>
      </c>
      <c r="AD20" s="17">
        <f t="shared" si="12"/>
        <v>0</v>
      </c>
      <c r="AE20" s="31">
        <f t="shared" si="12"/>
        <v>50</v>
      </c>
      <c r="AF20" s="31">
        <f t="shared" si="12"/>
        <v>69</v>
      </c>
    </row>
    <row r="21" spans="2:32" ht="23.1" customHeight="1" x14ac:dyDescent="0.25">
      <c r="B21" s="23" t="s">
        <v>48</v>
      </c>
      <c r="C21" s="50">
        <v>4</v>
      </c>
      <c r="D21" s="50">
        <v>0</v>
      </c>
      <c r="E21" s="50">
        <v>5</v>
      </c>
      <c r="F21" s="50">
        <v>3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v>0</v>
      </c>
      <c r="M21" s="50">
        <v>0</v>
      </c>
      <c r="N21" s="50">
        <v>0</v>
      </c>
      <c r="O21" s="15">
        <f t="shared" si="0"/>
        <v>13</v>
      </c>
      <c r="P21" s="15">
        <f t="shared" si="1"/>
        <v>13</v>
      </c>
      <c r="R21" s="36" t="s">
        <v>20</v>
      </c>
      <c r="S21" s="34">
        <f t="shared" ref="S21:AF21" si="13">SUM(C54:C57)</f>
        <v>12</v>
      </c>
      <c r="T21" s="17">
        <f t="shared" si="13"/>
        <v>0</v>
      </c>
      <c r="U21" s="17">
        <f t="shared" si="13"/>
        <v>11</v>
      </c>
      <c r="V21" s="17">
        <f t="shared" si="13"/>
        <v>6</v>
      </c>
      <c r="W21" s="17">
        <f t="shared" si="13"/>
        <v>0</v>
      </c>
      <c r="X21" s="17">
        <f t="shared" si="13"/>
        <v>1</v>
      </c>
      <c r="Y21" s="17">
        <f t="shared" si="13"/>
        <v>7</v>
      </c>
      <c r="Z21" s="17">
        <f t="shared" si="13"/>
        <v>0</v>
      </c>
      <c r="AA21" s="17">
        <f t="shared" si="13"/>
        <v>0</v>
      </c>
      <c r="AB21" s="17">
        <f t="shared" si="13"/>
        <v>4</v>
      </c>
      <c r="AC21" s="17">
        <f t="shared" si="13"/>
        <v>14</v>
      </c>
      <c r="AD21" s="17">
        <f t="shared" si="13"/>
        <v>0</v>
      </c>
      <c r="AE21" s="31">
        <f t="shared" si="13"/>
        <v>41</v>
      </c>
      <c r="AF21" s="31">
        <f t="shared" si="13"/>
        <v>55</v>
      </c>
    </row>
    <row r="22" spans="2:32" ht="23.1" customHeight="1" x14ac:dyDescent="0.25">
      <c r="B22" s="23" t="s">
        <v>49</v>
      </c>
      <c r="C22" s="50">
        <v>1</v>
      </c>
      <c r="D22" s="50">
        <v>0</v>
      </c>
      <c r="E22" s="50">
        <v>1</v>
      </c>
      <c r="F22" s="50">
        <v>0</v>
      </c>
      <c r="G22" s="50">
        <v>2</v>
      </c>
      <c r="H22" s="50">
        <v>1</v>
      </c>
      <c r="I22" s="50">
        <v>0</v>
      </c>
      <c r="J22" s="50">
        <v>0</v>
      </c>
      <c r="K22" s="50">
        <v>0</v>
      </c>
      <c r="L22" s="50">
        <v>0</v>
      </c>
      <c r="M22" s="50">
        <v>3</v>
      </c>
      <c r="N22" s="50">
        <v>0</v>
      </c>
      <c r="O22" s="15">
        <f t="shared" si="0"/>
        <v>5</v>
      </c>
      <c r="P22" s="15">
        <f t="shared" si="1"/>
        <v>8</v>
      </c>
      <c r="R22" s="38" t="s">
        <v>90</v>
      </c>
      <c r="S22" s="39">
        <f>MAX(S10:S12)</f>
        <v>18</v>
      </c>
      <c r="T22" s="39">
        <f t="shared" ref="T22:AF22" si="14">MAX(T10:T12)</f>
        <v>0</v>
      </c>
      <c r="U22" s="39">
        <f t="shared" si="14"/>
        <v>14</v>
      </c>
      <c r="V22" s="39">
        <f t="shared" si="14"/>
        <v>13</v>
      </c>
      <c r="W22" s="39">
        <f t="shared" si="14"/>
        <v>3</v>
      </c>
      <c r="X22" s="39">
        <f t="shared" si="14"/>
        <v>7</v>
      </c>
      <c r="Y22" s="39">
        <f t="shared" si="14"/>
        <v>10</v>
      </c>
      <c r="Z22" s="39">
        <f t="shared" si="14"/>
        <v>0</v>
      </c>
      <c r="AA22" s="39">
        <f t="shared" si="14"/>
        <v>0</v>
      </c>
      <c r="AB22" s="39">
        <f t="shared" si="14"/>
        <v>7</v>
      </c>
      <c r="AC22" s="39">
        <f t="shared" si="14"/>
        <v>18</v>
      </c>
      <c r="AD22" s="39">
        <f t="shared" si="14"/>
        <v>0</v>
      </c>
      <c r="AE22" s="40">
        <f t="shared" si="14"/>
        <v>67</v>
      </c>
      <c r="AF22" s="40">
        <f t="shared" si="14"/>
        <v>85</v>
      </c>
    </row>
    <row r="23" spans="2:32" ht="23.1" customHeight="1" x14ac:dyDescent="0.25">
      <c r="B23" s="23" t="s">
        <v>50</v>
      </c>
      <c r="C23" s="50">
        <v>3</v>
      </c>
      <c r="D23" s="50">
        <v>0</v>
      </c>
      <c r="E23" s="50">
        <v>1</v>
      </c>
      <c r="F23" s="50">
        <v>3</v>
      </c>
      <c r="G23" s="50">
        <v>2</v>
      </c>
      <c r="H23" s="50">
        <v>0</v>
      </c>
      <c r="I23" s="50">
        <v>0</v>
      </c>
      <c r="J23" s="50">
        <v>0</v>
      </c>
      <c r="K23" s="50">
        <v>0</v>
      </c>
      <c r="L23" s="50">
        <v>3</v>
      </c>
      <c r="M23" s="50">
        <v>1</v>
      </c>
      <c r="N23" s="50">
        <v>0</v>
      </c>
      <c r="O23" s="15">
        <f t="shared" si="0"/>
        <v>12</v>
      </c>
      <c r="P23" s="15">
        <f t="shared" si="1"/>
        <v>13</v>
      </c>
      <c r="R23" s="38" t="s">
        <v>91</v>
      </c>
      <c r="S23" s="39">
        <f>MAX(S13:S18)</f>
        <v>14</v>
      </c>
      <c r="T23" s="39">
        <f t="shared" ref="T23:AF23" si="15">MAX(T13:T18)</f>
        <v>0</v>
      </c>
      <c r="U23" s="39">
        <f t="shared" si="15"/>
        <v>11</v>
      </c>
      <c r="V23" s="39">
        <f t="shared" si="15"/>
        <v>10</v>
      </c>
      <c r="W23" s="39">
        <f t="shared" si="15"/>
        <v>4</v>
      </c>
      <c r="X23" s="39">
        <f t="shared" si="15"/>
        <v>1</v>
      </c>
      <c r="Y23" s="39">
        <f t="shared" si="15"/>
        <v>5</v>
      </c>
      <c r="Z23" s="39">
        <f t="shared" si="15"/>
        <v>0</v>
      </c>
      <c r="AA23" s="39">
        <f t="shared" si="15"/>
        <v>0</v>
      </c>
      <c r="AB23" s="39">
        <f t="shared" si="15"/>
        <v>4</v>
      </c>
      <c r="AC23" s="39">
        <f t="shared" si="15"/>
        <v>11</v>
      </c>
      <c r="AD23" s="39">
        <f t="shared" si="15"/>
        <v>1</v>
      </c>
      <c r="AE23" s="40">
        <f t="shared" si="15"/>
        <v>37</v>
      </c>
      <c r="AF23" s="40">
        <f t="shared" si="15"/>
        <v>48</v>
      </c>
    </row>
    <row r="24" spans="2:32" ht="23.1" customHeight="1" x14ac:dyDescent="0.25">
      <c r="B24" s="23" t="s">
        <v>51</v>
      </c>
      <c r="C24" s="50">
        <v>1</v>
      </c>
      <c r="D24" s="50">
        <v>0</v>
      </c>
      <c r="E24" s="50">
        <v>0</v>
      </c>
      <c r="F24" s="50">
        <v>3</v>
      </c>
      <c r="G24" s="50">
        <v>0</v>
      </c>
      <c r="H24" s="50">
        <v>0</v>
      </c>
      <c r="I24" s="50">
        <v>2</v>
      </c>
      <c r="J24" s="50">
        <v>0</v>
      </c>
      <c r="K24" s="50">
        <v>0</v>
      </c>
      <c r="L24" s="50">
        <v>0</v>
      </c>
      <c r="M24" s="50">
        <v>0</v>
      </c>
      <c r="N24" s="50">
        <v>0</v>
      </c>
      <c r="O24" s="15">
        <f t="shared" si="0"/>
        <v>6</v>
      </c>
      <c r="P24" s="15">
        <f t="shared" si="1"/>
        <v>6</v>
      </c>
      <c r="R24" s="38" t="s">
        <v>92</v>
      </c>
      <c r="S24" s="39">
        <f>MAX(S19:S21)</f>
        <v>12</v>
      </c>
      <c r="T24" s="39">
        <f t="shared" ref="T24:AF24" si="16">MAX(T19:T21)</f>
        <v>0</v>
      </c>
      <c r="U24" s="39">
        <f t="shared" si="16"/>
        <v>11</v>
      </c>
      <c r="V24" s="39">
        <f t="shared" si="16"/>
        <v>15</v>
      </c>
      <c r="W24" s="39">
        <f t="shared" si="16"/>
        <v>0</v>
      </c>
      <c r="X24" s="39">
        <f t="shared" si="16"/>
        <v>2</v>
      </c>
      <c r="Y24" s="39">
        <f t="shared" si="16"/>
        <v>7</v>
      </c>
      <c r="Z24" s="39">
        <f t="shared" si="16"/>
        <v>0</v>
      </c>
      <c r="AA24" s="39">
        <f t="shared" si="16"/>
        <v>0</v>
      </c>
      <c r="AB24" s="39">
        <f t="shared" si="16"/>
        <v>7</v>
      </c>
      <c r="AC24" s="39">
        <f t="shared" si="16"/>
        <v>19</v>
      </c>
      <c r="AD24" s="39">
        <f t="shared" si="16"/>
        <v>0</v>
      </c>
      <c r="AE24" s="40">
        <f t="shared" si="16"/>
        <v>50</v>
      </c>
      <c r="AF24" s="40">
        <f t="shared" si="16"/>
        <v>69</v>
      </c>
    </row>
    <row r="25" spans="2:32" ht="23.1" customHeight="1" x14ac:dyDescent="0.25">
      <c r="B25" s="23" t="s">
        <v>52</v>
      </c>
      <c r="C25" s="50">
        <v>0</v>
      </c>
      <c r="D25" s="50">
        <v>0</v>
      </c>
      <c r="E25" s="50">
        <v>0</v>
      </c>
      <c r="F25" s="50">
        <v>1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1</v>
      </c>
      <c r="N25" s="50">
        <v>0</v>
      </c>
      <c r="O25" s="15">
        <f t="shared" si="0"/>
        <v>1</v>
      </c>
      <c r="P25" s="15">
        <f t="shared" si="1"/>
        <v>2</v>
      </c>
      <c r="R25" s="37" t="s">
        <v>85</v>
      </c>
      <c r="S25" s="35">
        <f t="shared" ref="S25:AF25" si="17">SUM(S10:S12)</f>
        <v>41</v>
      </c>
      <c r="T25" s="16">
        <f t="shared" si="17"/>
        <v>0</v>
      </c>
      <c r="U25" s="16">
        <f t="shared" si="17"/>
        <v>35</v>
      </c>
      <c r="V25" s="16">
        <f t="shared" si="17"/>
        <v>31</v>
      </c>
      <c r="W25" s="16">
        <f t="shared" si="17"/>
        <v>3</v>
      </c>
      <c r="X25" s="16">
        <f t="shared" si="17"/>
        <v>11</v>
      </c>
      <c r="Y25" s="16">
        <f t="shared" si="17"/>
        <v>25</v>
      </c>
      <c r="Z25" s="16">
        <f t="shared" si="17"/>
        <v>0</v>
      </c>
      <c r="AA25" s="16">
        <f t="shared" si="17"/>
        <v>0</v>
      </c>
      <c r="AB25" s="16">
        <f t="shared" si="17"/>
        <v>11</v>
      </c>
      <c r="AC25" s="16">
        <f t="shared" si="17"/>
        <v>41</v>
      </c>
      <c r="AD25" s="16">
        <f t="shared" si="17"/>
        <v>0</v>
      </c>
      <c r="AE25" s="32">
        <f t="shared" si="17"/>
        <v>157</v>
      </c>
      <c r="AF25" s="32">
        <f t="shared" si="17"/>
        <v>198</v>
      </c>
    </row>
    <row r="26" spans="2:32" ht="23.1" customHeight="1" x14ac:dyDescent="0.25">
      <c r="B26" s="23" t="s">
        <v>53</v>
      </c>
      <c r="C26" s="50">
        <v>1</v>
      </c>
      <c r="D26" s="50">
        <v>0</v>
      </c>
      <c r="E26" s="50">
        <v>1</v>
      </c>
      <c r="F26" s="50">
        <v>2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2</v>
      </c>
      <c r="N26" s="50">
        <v>0</v>
      </c>
      <c r="O26" s="15">
        <f t="shared" si="0"/>
        <v>4</v>
      </c>
      <c r="P26" s="15">
        <f t="shared" si="1"/>
        <v>6</v>
      </c>
      <c r="R26" s="28" t="s">
        <v>86</v>
      </c>
      <c r="S26" s="16">
        <f t="shared" ref="S26:AF26" si="18">SUM(S13:S18)</f>
        <v>54</v>
      </c>
      <c r="T26" s="16">
        <f t="shared" si="18"/>
        <v>0</v>
      </c>
      <c r="U26" s="16">
        <f t="shared" si="18"/>
        <v>40</v>
      </c>
      <c r="V26" s="16">
        <f t="shared" si="18"/>
        <v>51</v>
      </c>
      <c r="W26" s="16">
        <f t="shared" si="18"/>
        <v>4</v>
      </c>
      <c r="X26" s="16">
        <f t="shared" si="18"/>
        <v>2</v>
      </c>
      <c r="Y26" s="16">
        <f t="shared" si="18"/>
        <v>16</v>
      </c>
      <c r="Z26" s="16">
        <f t="shared" si="18"/>
        <v>0</v>
      </c>
      <c r="AA26" s="16">
        <f t="shared" si="18"/>
        <v>0</v>
      </c>
      <c r="AB26" s="16">
        <f t="shared" si="18"/>
        <v>14</v>
      </c>
      <c r="AC26" s="16">
        <f t="shared" si="18"/>
        <v>50</v>
      </c>
      <c r="AD26" s="16">
        <f t="shared" si="18"/>
        <v>1</v>
      </c>
      <c r="AE26" s="32">
        <f t="shared" si="18"/>
        <v>182</v>
      </c>
      <c r="AF26" s="32">
        <f t="shared" si="18"/>
        <v>232</v>
      </c>
    </row>
    <row r="27" spans="2:32" ht="23.1" customHeight="1" x14ac:dyDescent="0.25">
      <c r="B27" s="23" t="s">
        <v>54</v>
      </c>
      <c r="C27" s="50">
        <v>3</v>
      </c>
      <c r="D27" s="50">
        <v>0</v>
      </c>
      <c r="E27" s="50">
        <v>1</v>
      </c>
      <c r="F27" s="50">
        <v>3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1</v>
      </c>
      <c r="N27" s="50">
        <v>0</v>
      </c>
      <c r="O27" s="15">
        <f t="shared" si="0"/>
        <v>7</v>
      </c>
      <c r="P27" s="15">
        <f t="shared" si="1"/>
        <v>8</v>
      </c>
      <c r="R27" s="29" t="s">
        <v>87</v>
      </c>
      <c r="S27" s="16">
        <f t="shared" ref="S27:AF27" si="19">SUM(S19:S21)</f>
        <v>32</v>
      </c>
      <c r="T27" s="16">
        <f t="shared" si="19"/>
        <v>0</v>
      </c>
      <c r="U27" s="16">
        <f t="shared" si="19"/>
        <v>27</v>
      </c>
      <c r="V27" s="16">
        <f t="shared" si="19"/>
        <v>30</v>
      </c>
      <c r="W27" s="16">
        <f t="shared" si="19"/>
        <v>0</v>
      </c>
      <c r="X27" s="16">
        <f t="shared" si="19"/>
        <v>5</v>
      </c>
      <c r="Y27" s="16">
        <f t="shared" si="19"/>
        <v>13</v>
      </c>
      <c r="Z27" s="16">
        <f t="shared" si="19"/>
        <v>0</v>
      </c>
      <c r="AA27" s="16">
        <f t="shared" si="19"/>
        <v>0</v>
      </c>
      <c r="AB27" s="16">
        <f t="shared" si="19"/>
        <v>14</v>
      </c>
      <c r="AC27" s="16">
        <f t="shared" si="19"/>
        <v>48</v>
      </c>
      <c r="AD27" s="16">
        <f t="shared" si="19"/>
        <v>0</v>
      </c>
      <c r="AE27" s="32">
        <f t="shared" si="19"/>
        <v>121</v>
      </c>
      <c r="AF27" s="32">
        <f t="shared" si="19"/>
        <v>169</v>
      </c>
    </row>
    <row r="28" spans="2:32" ht="23.1" customHeight="1" x14ac:dyDescent="0.25">
      <c r="B28" s="23" t="s">
        <v>55</v>
      </c>
      <c r="C28" s="50">
        <v>1</v>
      </c>
      <c r="D28" s="50">
        <v>0</v>
      </c>
      <c r="E28" s="50">
        <v>0</v>
      </c>
      <c r="F28" s="50">
        <v>3</v>
      </c>
      <c r="G28" s="50">
        <v>0</v>
      </c>
      <c r="H28" s="50">
        <v>0</v>
      </c>
      <c r="I28" s="50">
        <v>2</v>
      </c>
      <c r="J28" s="50">
        <v>0</v>
      </c>
      <c r="K28" s="50">
        <v>0</v>
      </c>
      <c r="L28" s="50">
        <v>0</v>
      </c>
      <c r="M28" s="50">
        <v>1</v>
      </c>
      <c r="N28" s="50">
        <v>1</v>
      </c>
      <c r="O28" s="15">
        <f t="shared" si="0"/>
        <v>7</v>
      </c>
      <c r="P28" s="15">
        <f t="shared" si="1"/>
        <v>8</v>
      </c>
      <c r="R28" s="5" t="s">
        <v>17</v>
      </c>
      <c r="S28" s="16">
        <f t="shared" ref="S28:AF28" si="20">SUM(S10:S21)</f>
        <v>127</v>
      </c>
      <c r="T28" s="16">
        <f t="shared" si="20"/>
        <v>0</v>
      </c>
      <c r="U28" s="16">
        <f t="shared" si="20"/>
        <v>102</v>
      </c>
      <c r="V28" s="16">
        <f t="shared" si="20"/>
        <v>112</v>
      </c>
      <c r="W28" s="16">
        <f t="shared" si="20"/>
        <v>7</v>
      </c>
      <c r="X28" s="16">
        <f t="shared" si="20"/>
        <v>18</v>
      </c>
      <c r="Y28" s="16">
        <f t="shared" si="20"/>
        <v>54</v>
      </c>
      <c r="Z28" s="16">
        <f t="shared" si="20"/>
        <v>0</v>
      </c>
      <c r="AA28" s="16">
        <f t="shared" si="20"/>
        <v>0</v>
      </c>
      <c r="AB28" s="16">
        <f t="shared" si="20"/>
        <v>39</v>
      </c>
      <c r="AC28" s="16">
        <f t="shared" si="20"/>
        <v>139</v>
      </c>
      <c r="AD28" s="16">
        <f t="shared" si="20"/>
        <v>1</v>
      </c>
      <c r="AE28" s="32">
        <f t="shared" si="20"/>
        <v>460</v>
      </c>
      <c r="AF28" s="32">
        <f t="shared" si="20"/>
        <v>599</v>
      </c>
    </row>
    <row r="29" spans="2:32" ht="23.1" customHeight="1" x14ac:dyDescent="0.25">
      <c r="B29" s="23" t="s">
        <v>56</v>
      </c>
      <c r="C29" s="50">
        <v>2</v>
      </c>
      <c r="D29" s="50">
        <v>0</v>
      </c>
      <c r="E29" s="50">
        <v>2</v>
      </c>
      <c r="F29" s="50">
        <v>1</v>
      </c>
      <c r="G29" s="50">
        <v>0</v>
      </c>
      <c r="H29" s="50">
        <v>1</v>
      </c>
      <c r="I29" s="50">
        <v>0</v>
      </c>
      <c r="J29" s="50">
        <v>0</v>
      </c>
      <c r="K29" s="50">
        <v>0</v>
      </c>
      <c r="L29" s="50">
        <v>3</v>
      </c>
      <c r="M29" s="50">
        <v>4</v>
      </c>
      <c r="N29" s="50">
        <v>0</v>
      </c>
      <c r="O29" s="15">
        <f t="shared" si="0"/>
        <v>9</v>
      </c>
      <c r="P29" s="15">
        <f t="shared" si="1"/>
        <v>13</v>
      </c>
      <c r="R29"/>
      <c r="S29" s="20"/>
      <c r="T29" s="19"/>
    </row>
    <row r="30" spans="2:32" ht="23.1" customHeight="1" x14ac:dyDescent="0.25">
      <c r="B30" s="23" t="s">
        <v>57</v>
      </c>
      <c r="C30" s="50">
        <v>2</v>
      </c>
      <c r="D30" s="50">
        <v>0</v>
      </c>
      <c r="E30" s="50">
        <v>3</v>
      </c>
      <c r="F30" s="50">
        <v>2</v>
      </c>
      <c r="G30" s="50">
        <v>0</v>
      </c>
      <c r="H30" s="50">
        <v>0</v>
      </c>
      <c r="I30" s="50">
        <v>1</v>
      </c>
      <c r="J30" s="50">
        <v>0</v>
      </c>
      <c r="K30" s="50">
        <v>0</v>
      </c>
      <c r="L30" s="50">
        <v>0</v>
      </c>
      <c r="M30" s="50">
        <v>2</v>
      </c>
      <c r="N30" s="50">
        <v>0</v>
      </c>
      <c r="O30" s="15">
        <f t="shared" si="0"/>
        <v>8</v>
      </c>
      <c r="P30" s="15">
        <f t="shared" si="1"/>
        <v>10</v>
      </c>
    </row>
    <row r="31" spans="2:32" ht="23.1" customHeight="1" x14ac:dyDescent="0.25">
      <c r="B31" s="24" t="s">
        <v>58</v>
      </c>
      <c r="C31" s="50">
        <v>3</v>
      </c>
      <c r="D31" s="50">
        <v>0</v>
      </c>
      <c r="E31" s="50">
        <v>2</v>
      </c>
      <c r="F31" s="50">
        <v>2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2</v>
      </c>
      <c r="N31" s="50">
        <v>0</v>
      </c>
      <c r="O31" s="15">
        <f t="shared" si="0"/>
        <v>7</v>
      </c>
      <c r="P31" s="15">
        <f t="shared" si="1"/>
        <v>9</v>
      </c>
    </row>
    <row r="32" spans="2:32" ht="23.1" customHeight="1" x14ac:dyDescent="0.25">
      <c r="B32" s="24" t="s">
        <v>59</v>
      </c>
      <c r="C32" s="50">
        <v>4</v>
      </c>
      <c r="D32" s="50">
        <v>0</v>
      </c>
      <c r="E32" s="50">
        <v>1</v>
      </c>
      <c r="F32" s="50">
        <v>1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1</v>
      </c>
      <c r="M32" s="50">
        <v>3</v>
      </c>
      <c r="N32" s="50">
        <v>0</v>
      </c>
      <c r="O32" s="15">
        <f t="shared" si="0"/>
        <v>8</v>
      </c>
      <c r="P32" s="15">
        <f t="shared" si="1"/>
        <v>11</v>
      </c>
    </row>
    <row r="33" spans="2:20" ht="23.1" customHeight="1" x14ac:dyDescent="0.25">
      <c r="B33" s="23" t="s">
        <v>60</v>
      </c>
      <c r="C33" s="50">
        <v>1</v>
      </c>
      <c r="D33" s="50">
        <v>0</v>
      </c>
      <c r="E33" s="50">
        <v>1</v>
      </c>
      <c r="F33" s="50">
        <v>4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0</v>
      </c>
      <c r="N33" s="50">
        <v>0</v>
      </c>
      <c r="O33" s="15">
        <f t="shared" si="0"/>
        <v>6</v>
      </c>
      <c r="P33" s="15">
        <f t="shared" si="1"/>
        <v>6</v>
      </c>
    </row>
    <row r="34" spans="2:20" ht="23.1" customHeight="1" x14ac:dyDescent="0.25">
      <c r="B34" s="24" t="s">
        <v>61</v>
      </c>
      <c r="C34" s="50">
        <v>1</v>
      </c>
      <c r="D34" s="50">
        <v>0</v>
      </c>
      <c r="E34" s="50">
        <v>4</v>
      </c>
      <c r="F34" s="50">
        <v>4</v>
      </c>
      <c r="G34" s="50">
        <v>0</v>
      </c>
      <c r="H34" s="50">
        <v>0</v>
      </c>
      <c r="I34" s="50">
        <v>1</v>
      </c>
      <c r="J34" s="50">
        <v>0</v>
      </c>
      <c r="K34" s="50">
        <v>0</v>
      </c>
      <c r="L34" s="50">
        <v>0</v>
      </c>
      <c r="M34" s="50">
        <v>4</v>
      </c>
      <c r="N34" s="50">
        <v>0</v>
      </c>
      <c r="O34" s="15">
        <f t="shared" si="0"/>
        <v>10</v>
      </c>
      <c r="P34" s="15">
        <f t="shared" si="1"/>
        <v>14</v>
      </c>
    </row>
    <row r="35" spans="2:20" ht="23.1" customHeight="1" x14ac:dyDescent="0.25">
      <c r="B35" s="24" t="s">
        <v>62</v>
      </c>
      <c r="C35" s="50">
        <v>1</v>
      </c>
      <c r="D35" s="50">
        <v>0</v>
      </c>
      <c r="E35" s="50">
        <v>2</v>
      </c>
      <c r="F35" s="50">
        <v>1</v>
      </c>
      <c r="G35" s="50">
        <v>0</v>
      </c>
      <c r="H35" s="50">
        <v>0</v>
      </c>
      <c r="I35" s="50">
        <v>1</v>
      </c>
      <c r="J35" s="50">
        <v>0</v>
      </c>
      <c r="K35" s="50">
        <v>0</v>
      </c>
      <c r="L35" s="50">
        <v>2</v>
      </c>
      <c r="M35" s="50">
        <v>0</v>
      </c>
      <c r="N35" s="50">
        <v>0</v>
      </c>
      <c r="O35" s="15">
        <f t="shared" si="0"/>
        <v>7</v>
      </c>
      <c r="P35" s="15">
        <f t="shared" si="1"/>
        <v>7</v>
      </c>
    </row>
    <row r="36" spans="2:20" ht="23.1" customHeight="1" x14ac:dyDescent="0.25">
      <c r="B36" s="24" t="s">
        <v>63</v>
      </c>
      <c r="C36" s="50">
        <v>2</v>
      </c>
      <c r="D36" s="50">
        <v>0</v>
      </c>
      <c r="E36" s="50">
        <v>3</v>
      </c>
      <c r="F36" s="50">
        <v>2</v>
      </c>
      <c r="G36" s="50">
        <v>0</v>
      </c>
      <c r="H36" s="50">
        <v>0</v>
      </c>
      <c r="I36" s="50">
        <v>1</v>
      </c>
      <c r="J36" s="50">
        <v>0</v>
      </c>
      <c r="K36" s="50">
        <v>0</v>
      </c>
      <c r="L36" s="50">
        <v>0</v>
      </c>
      <c r="M36" s="50">
        <v>2</v>
      </c>
      <c r="N36" s="50">
        <v>0</v>
      </c>
      <c r="O36" s="15">
        <f t="shared" si="0"/>
        <v>8</v>
      </c>
      <c r="P36" s="15">
        <f t="shared" si="1"/>
        <v>10</v>
      </c>
    </row>
    <row r="37" spans="2:20" ht="23.1" customHeight="1" x14ac:dyDescent="0.25">
      <c r="B37" s="23" t="s">
        <v>64</v>
      </c>
      <c r="C37" s="50">
        <v>2</v>
      </c>
      <c r="D37" s="50">
        <v>0</v>
      </c>
      <c r="E37" s="50">
        <v>2</v>
      </c>
      <c r="F37" s="50">
        <v>3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2</v>
      </c>
      <c r="N37" s="50">
        <v>0</v>
      </c>
      <c r="O37" s="15">
        <f t="shared" si="0"/>
        <v>7</v>
      </c>
      <c r="P37" s="15">
        <f t="shared" si="1"/>
        <v>9</v>
      </c>
    </row>
    <row r="38" spans="2:20" ht="23.1" customHeight="1" x14ac:dyDescent="0.25">
      <c r="B38" s="24" t="s">
        <v>65</v>
      </c>
      <c r="C38" s="50">
        <v>5</v>
      </c>
      <c r="D38" s="50">
        <v>0</v>
      </c>
      <c r="E38" s="50">
        <v>1</v>
      </c>
      <c r="F38" s="50">
        <v>3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2</v>
      </c>
      <c r="M38" s="50">
        <v>5</v>
      </c>
      <c r="N38" s="50">
        <v>0</v>
      </c>
      <c r="O38" s="15">
        <f t="shared" si="0"/>
        <v>11</v>
      </c>
      <c r="P38" s="15">
        <f t="shared" si="1"/>
        <v>16</v>
      </c>
    </row>
    <row r="39" spans="2:20" ht="23.1" customHeight="1" x14ac:dyDescent="0.25">
      <c r="B39" s="24" t="s">
        <v>66</v>
      </c>
      <c r="C39" s="50">
        <v>0</v>
      </c>
      <c r="D39" s="50">
        <v>0</v>
      </c>
      <c r="E39" s="50">
        <v>3</v>
      </c>
      <c r="F39" s="50">
        <v>1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2</v>
      </c>
      <c r="M39" s="50">
        <v>3</v>
      </c>
      <c r="N39" s="50">
        <v>0</v>
      </c>
      <c r="O39" s="15">
        <f t="shared" si="0"/>
        <v>6</v>
      </c>
      <c r="P39" s="15">
        <f t="shared" si="1"/>
        <v>9</v>
      </c>
    </row>
    <row r="40" spans="2:20" ht="23.1" customHeight="1" x14ac:dyDescent="0.25">
      <c r="B40" s="24" t="s">
        <v>67</v>
      </c>
      <c r="C40" s="50">
        <v>2</v>
      </c>
      <c r="D40" s="50">
        <v>0</v>
      </c>
      <c r="E40" s="50">
        <v>0</v>
      </c>
      <c r="F40" s="50">
        <v>2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2</v>
      </c>
      <c r="N40" s="50">
        <v>0</v>
      </c>
      <c r="O40" s="15">
        <f t="shared" si="0"/>
        <v>4</v>
      </c>
      <c r="P40" s="15">
        <f t="shared" si="1"/>
        <v>6</v>
      </c>
    </row>
    <row r="41" spans="2:20" ht="23.1" customHeight="1" x14ac:dyDescent="0.25">
      <c r="B41" s="23" t="s">
        <v>68</v>
      </c>
      <c r="C41" s="50">
        <v>5</v>
      </c>
      <c r="D41" s="50">
        <v>0</v>
      </c>
      <c r="E41" s="50">
        <v>3</v>
      </c>
      <c r="F41" s="50">
        <v>2</v>
      </c>
      <c r="G41" s="50">
        <v>0</v>
      </c>
      <c r="H41" s="50">
        <v>0</v>
      </c>
      <c r="I41" s="50">
        <v>2</v>
      </c>
      <c r="J41" s="50">
        <v>0</v>
      </c>
      <c r="K41" s="50">
        <v>0</v>
      </c>
      <c r="L41" s="50">
        <v>0</v>
      </c>
      <c r="M41" s="50">
        <v>1</v>
      </c>
      <c r="N41" s="50">
        <v>0</v>
      </c>
      <c r="O41" s="15">
        <f t="shared" si="0"/>
        <v>12</v>
      </c>
      <c r="P41" s="15">
        <f t="shared" si="1"/>
        <v>13</v>
      </c>
    </row>
    <row r="42" spans="2:20" ht="23.1" customHeight="1" x14ac:dyDescent="0.25">
      <c r="B42" s="24" t="s">
        <v>69</v>
      </c>
      <c r="C42" s="50">
        <v>1</v>
      </c>
      <c r="D42" s="50">
        <v>0</v>
      </c>
      <c r="E42" s="50">
        <v>1</v>
      </c>
      <c r="F42" s="50">
        <v>3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0</v>
      </c>
      <c r="M42" s="50">
        <v>1</v>
      </c>
      <c r="N42" s="50">
        <v>0</v>
      </c>
      <c r="O42" s="15">
        <f t="shared" si="0"/>
        <v>6</v>
      </c>
      <c r="P42" s="15">
        <f t="shared" si="1"/>
        <v>7</v>
      </c>
    </row>
    <row r="43" spans="2:20" ht="23.1" customHeight="1" x14ac:dyDescent="0.25">
      <c r="B43" s="23" t="s">
        <v>70</v>
      </c>
      <c r="C43" s="50">
        <v>4</v>
      </c>
      <c r="D43" s="50">
        <v>0</v>
      </c>
      <c r="E43" s="50">
        <v>3</v>
      </c>
      <c r="F43" s="50">
        <v>2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3</v>
      </c>
      <c r="N43" s="50">
        <v>0</v>
      </c>
      <c r="O43" s="15">
        <f t="shared" si="0"/>
        <v>9</v>
      </c>
      <c r="P43" s="15">
        <f t="shared" si="1"/>
        <v>12</v>
      </c>
    </row>
    <row r="44" spans="2:20" ht="23.1" customHeight="1" x14ac:dyDescent="0.25">
      <c r="B44" s="25" t="s">
        <v>71</v>
      </c>
      <c r="C44" s="50">
        <v>7</v>
      </c>
      <c r="D44" s="50">
        <v>0</v>
      </c>
      <c r="E44" s="50">
        <v>2</v>
      </c>
      <c r="F44" s="50">
        <v>1</v>
      </c>
      <c r="G44" s="50">
        <v>0</v>
      </c>
      <c r="H44" s="50">
        <v>0</v>
      </c>
      <c r="I44" s="50">
        <v>3</v>
      </c>
      <c r="J44" s="50">
        <v>0</v>
      </c>
      <c r="K44" s="50">
        <v>0</v>
      </c>
      <c r="L44" s="50">
        <v>0</v>
      </c>
      <c r="M44" s="50">
        <v>5</v>
      </c>
      <c r="N44" s="50">
        <v>0</v>
      </c>
      <c r="O44" s="15">
        <f t="shared" si="0"/>
        <v>13</v>
      </c>
      <c r="P44" s="15">
        <f t="shared" si="1"/>
        <v>18</v>
      </c>
    </row>
    <row r="45" spans="2:20" ht="23.1" customHeight="1" x14ac:dyDescent="0.25">
      <c r="B45" s="23" t="s">
        <v>72</v>
      </c>
      <c r="C45" s="50">
        <v>2</v>
      </c>
      <c r="D45" s="50">
        <v>0</v>
      </c>
      <c r="E45" s="50">
        <v>3</v>
      </c>
      <c r="F45" s="50">
        <v>2</v>
      </c>
      <c r="G45" s="50">
        <v>0</v>
      </c>
      <c r="H45" s="50">
        <v>0</v>
      </c>
      <c r="I45" s="50">
        <v>1</v>
      </c>
      <c r="J45" s="50">
        <v>0</v>
      </c>
      <c r="K45" s="50">
        <v>0</v>
      </c>
      <c r="L45" s="50">
        <v>1</v>
      </c>
      <c r="M45" s="50">
        <v>2</v>
      </c>
      <c r="N45" s="50">
        <v>0</v>
      </c>
      <c r="O45" s="15">
        <f t="shared" si="0"/>
        <v>9</v>
      </c>
      <c r="P45" s="15">
        <f t="shared" si="1"/>
        <v>11</v>
      </c>
    </row>
    <row r="46" spans="2:20" ht="23.1" customHeight="1" x14ac:dyDescent="0.25">
      <c r="B46" s="24" t="s">
        <v>73</v>
      </c>
      <c r="C46" s="50">
        <v>2</v>
      </c>
      <c r="D46" s="50">
        <v>0</v>
      </c>
      <c r="E46" s="50">
        <v>1</v>
      </c>
      <c r="F46" s="50">
        <v>2</v>
      </c>
      <c r="G46" s="50">
        <v>0</v>
      </c>
      <c r="H46" s="50">
        <v>0</v>
      </c>
      <c r="I46" s="50">
        <v>2</v>
      </c>
      <c r="J46" s="50">
        <v>0</v>
      </c>
      <c r="K46" s="50">
        <v>0</v>
      </c>
      <c r="L46" s="50">
        <v>0</v>
      </c>
      <c r="M46" s="50">
        <v>2</v>
      </c>
      <c r="N46" s="50">
        <v>0</v>
      </c>
      <c r="O46" s="15">
        <f t="shared" si="0"/>
        <v>7</v>
      </c>
      <c r="P46" s="15">
        <f t="shared" si="1"/>
        <v>9</v>
      </c>
      <c r="R46" s="8"/>
      <c r="T46"/>
    </row>
    <row r="47" spans="2:20" ht="23.1" customHeight="1" x14ac:dyDescent="0.25">
      <c r="B47" s="24" t="s">
        <v>74</v>
      </c>
      <c r="C47" s="50">
        <v>1</v>
      </c>
      <c r="D47" s="50">
        <v>0</v>
      </c>
      <c r="E47" s="50">
        <v>3</v>
      </c>
      <c r="F47" s="50">
        <v>1</v>
      </c>
      <c r="G47" s="50">
        <v>0</v>
      </c>
      <c r="H47" s="50">
        <v>1</v>
      </c>
      <c r="I47" s="50">
        <v>0</v>
      </c>
      <c r="J47" s="50">
        <v>0</v>
      </c>
      <c r="K47" s="50">
        <v>0</v>
      </c>
      <c r="L47" s="50">
        <v>0</v>
      </c>
      <c r="M47" s="50">
        <v>7</v>
      </c>
      <c r="N47" s="50">
        <v>0</v>
      </c>
      <c r="O47" s="15">
        <f t="shared" si="0"/>
        <v>6</v>
      </c>
      <c r="P47" s="15">
        <f t="shared" si="1"/>
        <v>13</v>
      </c>
      <c r="R47" s="8"/>
      <c r="T47"/>
    </row>
    <row r="48" spans="2:20" ht="23.1" customHeight="1" x14ac:dyDescent="0.25">
      <c r="B48" s="24" t="s">
        <v>75</v>
      </c>
      <c r="C48" s="50">
        <v>2</v>
      </c>
      <c r="D48" s="50">
        <v>0</v>
      </c>
      <c r="E48" s="50">
        <v>1</v>
      </c>
      <c r="F48" s="50">
        <v>3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2</v>
      </c>
      <c r="M48" s="50">
        <v>4</v>
      </c>
      <c r="N48" s="50">
        <v>0</v>
      </c>
      <c r="O48" s="15">
        <f t="shared" si="0"/>
        <v>8</v>
      </c>
      <c r="P48" s="15">
        <f t="shared" si="1"/>
        <v>12</v>
      </c>
      <c r="R48" s="8"/>
      <c r="T48"/>
    </row>
    <row r="49" spans="2:20" ht="23.1" customHeight="1" x14ac:dyDescent="0.25">
      <c r="B49" s="23" t="s">
        <v>76</v>
      </c>
      <c r="C49" s="50">
        <v>3</v>
      </c>
      <c r="D49" s="50">
        <v>0</v>
      </c>
      <c r="E49" s="50">
        <v>0</v>
      </c>
      <c r="F49" s="50">
        <v>3</v>
      </c>
      <c r="G49" s="50">
        <v>0</v>
      </c>
      <c r="H49" s="50">
        <v>1</v>
      </c>
      <c r="I49" s="50">
        <v>1</v>
      </c>
      <c r="J49" s="50">
        <v>0</v>
      </c>
      <c r="K49" s="50">
        <v>0</v>
      </c>
      <c r="L49" s="50">
        <v>1</v>
      </c>
      <c r="M49" s="50">
        <v>2</v>
      </c>
      <c r="N49" s="50">
        <v>0</v>
      </c>
      <c r="O49" s="15">
        <f t="shared" si="0"/>
        <v>9</v>
      </c>
      <c r="P49" s="15">
        <f t="shared" si="1"/>
        <v>11</v>
      </c>
      <c r="R49" s="8"/>
      <c r="T49"/>
    </row>
    <row r="50" spans="2:20" ht="23.1" customHeight="1" x14ac:dyDescent="0.25">
      <c r="B50" s="24" t="s">
        <v>77</v>
      </c>
      <c r="C50" s="50">
        <v>3</v>
      </c>
      <c r="D50" s="50">
        <v>0</v>
      </c>
      <c r="E50" s="50">
        <v>4</v>
      </c>
      <c r="F50" s="50">
        <v>3</v>
      </c>
      <c r="G50" s="50">
        <v>0</v>
      </c>
      <c r="H50" s="50">
        <v>0</v>
      </c>
      <c r="I50" s="50">
        <v>3</v>
      </c>
      <c r="J50" s="50">
        <v>0</v>
      </c>
      <c r="K50" s="50">
        <v>0</v>
      </c>
      <c r="L50" s="50">
        <v>1</v>
      </c>
      <c r="M50" s="50">
        <v>5</v>
      </c>
      <c r="N50" s="50">
        <v>0</v>
      </c>
      <c r="O50" s="15">
        <f t="shared" si="0"/>
        <v>14</v>
      </c>
      <c r="P50" s="15">
        <f t="shared" si="1"/>
        <v>19</v>
      </c>
      <c r="R50" s="8"/>
      <c r="T50"/>
    </row>
    <row r="51" spans="2:20" ht="23.1" customHeight="1" x14ac:dyDescent="0.25">
      <c r="B51" s="24" t="s">
        <v>78</v>
      </c>
      <c r="C51" s="50">
        <v>4</v>
      </c>
      <c r="D51" s="50">
        <v>0</v>
      </c>
      <c r="E51" s="50">
        <v>3</v>
      </c>
      <c r="F51" s="50">
        <v>5</v>
      </c>
      <c r="G51" s="50">
        <v>0</v>
      </c>
      <c r="H51" s="50">
        <v>1</v>
      </c>
      <c r="I51" s="50">
        <v>0</v>
      </c>
      <c r="J51" s="50">
        <v>0</v>
      </c>
      <c r="K51" s="50">
        <v>0</v>
      </c>
      <c r="L51" s="50">
        <v>2</v>
      </c>
      <c r="M51" s="50">
        <v>7</v>
      </c>
      <c r="N51" s="50">
        <v>0</v>
      </c>
      <c r="O51" s="15">
        <f t="shared" si="0"/>
        <v>15</v>
      </c>
      <c r="P51" s="15">
        <f t="shared" si="1"/>
        <v>22</v>
      </c>
      <c r="R51" s="8"/>
      <c r="T51"/>
    </row>
    <row r="52" spans="2:20" ht="23.1" customHeight="1" x14ac:dyDescent="0.25">
      <c r="B52" s="24" t="s">
        <v>79</v>
      </c>
      <c r="C52" s="50">
        <v>3</v>
      </c>
      <c r="D52" s="50">
        <v>0</v>
      </c>
      <c r="E52" s="50">
        <v>2</v>
      </c>
      <c r="F52" s="50">
        <v>4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3</v>
      </c>
      <c r="M52" s="50">
        <v>3</v>
      </c>
      <c r="N52" s="50">
        <v>0</v>
      </c>
      <c r="O52" s="15">
        <f t="shared" si="0"/>
        <v>12</v>
      </c>
      <c r="P52" s="15">
        <f t="shared" si="1"/>
        <v>15</v>
      </c>
      <c r="R52" s="8"/>
      <c r="T52"/>
    </row>
    <row r="53" spans="2:20" ht="23.1" customHeight="1" x14ac:dyDescent="0.25">
      <c r="B53" s="23" t="s">
        <v>80</v>
      </c>
      <c r="C53" s="50">
        <v>2</v>
      </c>
      <c r="D53" s="50">
        <v>0</v>
      </c>
      <c r="E53" s="50">
        <v>2</v>
      </c>
      <c r="F53" s="50">
        <v>3</v>
      </c>
      <c r="G53" s="50">
        <v>0</v>
      </c>
      <c r="H53" s="50">
        <v>1</v>
      </c>
      <c r="I53" s="50">
        <v>0</v>
      </c>
      <c r="J53" s="50">
        <v>0</v>
      </c>
      <c r="K53" s="50">
        <v>0</v>
      </c>
      <c r="L53" s="50">
        <v>1</v>
      </c>
      <c r="M53" s="50">
        <v>4</v>
      </c>
      <c r="N53" s="50">
        <v>0</v>
      </c>
      <c r="O53" s="15">
        <f t="shared" si="0"/>
        <v>9</v>
      </c>
      <c r="P53" s="15">
        <f t="shared" si="1"/>
        <v>13</v>
      </c>
      <c r="R53" s="8"/>
      <c r="T53"/>
    </row>
    <row r="54" spans="2:20" ht="23.1" customHeight="1" x14ac:dyDescent="0.25">
      <c r="B54" s="23" t="s">
        <v>81</v>
      </c>
      <c r="C54" s="50">
        <v>3</v>
      </c>
      <c r="D54" s="50">
        <v>0</v>
      </c>
      <c r="E54" s="50">
        <v>3</v>
      </c>
      <c r="F54" s="50">
        <v>3</v>
      </c>
      <c r="G54" s="50">
        <v>0</v>
      </c>
      <c r="H54" s="50">
        <v>0</v>
      </c>
      <c r="I54" s="50">
        <v>2</v>
      </c>
      <c r="J54" s="50">
        <v>0</v>
      </c>
      <c r="K54" s="50">
        <v>0</v>
      </c>
      <c r="L54" s="50">
        <v>1</v>
      </c>
      <c r="M54" s="50">
        <v>5</v>
      </c>
      <c r="N54" s="50">
        <v>0</v>
      </c>
      <c r="O54" s="15">
        <f t="shared" si="0"/>
        <v>12</v>
      </c>
      <c r="P54" s="15">
        <f t="shared" si="1"/>
        <v>17</v>
      </c>
      <c r="R54" s="8"/>
      <c r="T54"/>
    </row>
    <row r="55" spans="2:20" ht="23.1" customHeight="1" x14ac:dyDescent="0.25">
      <c r="B55" s="23" t="s">
        <v>82</v>
      </c>
      <c r="C55" s="50">
        <v>4</v>
      </c>
      <c r="D55" s="50">
        <v>0</v>
      </c>
      <c r="E55" s="50">
        <v>2</v>
      </c>
      <c r="F55" s="50">
        <v>2</v>
      </c>
      <c r="G55" s="50">
        <v>0</v>
      </c>
      <c r="H55" s="50">
        <v>0</v>
      </c>
      <c r="I55" s="50">
        <v>1</v>
      </c>
      <c r="J55" s="50">
        <v>0</v>
      </c>
      <c r="K55" s="50">
        <v>0</v>
      </c>
      <c r="L55" s="50">
        <v>0</v>
      </c>
      <c r="M55" s="50">
        <v>3</v>
      </c>
      <c r="N55" s="50">
        <v>0</v>
      </c>
      <c r="O55" s="15">
        <f t="shared" si="0"/>
        <v>9</v>
      </c>
      <c r="P55" s="15">
        <f t="shared" si="1"/>
        <v>12</v>
      </c>
      <c r="R55" s="8"/>
      <c r="T55"/>
    </row>
    <row r="56" spans="2:20" ht="23.1" customHeight="1" x14ac:dyDescent="0.25">
      <c r="B56" s="23" t="s">
        <v>83</v>
      </c>
      <c r="C56" s="50">
        <v>2</v>
      </c>
      <c r="D56" s="50">
        <v>0</v>
      </c>
      <c r="E56" s="50">
        <v>4</v>
      </c>
      <c r="F56" s="50">
        <v>1</v>
      </c>
      <c r="G56" s="50">
        <v>0</v>
      </c>
      <c r="H56" s="50">
        <v>1</v>
      </c>
      <c r="I56" s="50">
        <v>3</v>
      </c>
      <c r="J56" s="50">
        <v>0</v>
      </c>
      <c r="K56" s="50">
        <v>0</v>
      </c>
      <c r="L56" s="50">
        <v>1</v>
      </c>
      <c r="M56" s="50">
        <v>4</v>
      </c>
      <c r="N56" s="50">
        <v>0</v>
      </c>
      <c r="O56" s="15">
        <f t="shared" si="0"/>
        <v>12</v>
      </c>
      <c r="P56" s="15">
        <f t="shared" si="1"/>
        <v>16</v>
      </c>
      <c r="R56" s="8"/>
      <c r="T56"/>
    </row>
    <row r="57" spans="2:20" ht="23.1" customHeight="1" x14ac:dyDescent="0.25">
      <c r="B57" s="23" t="s">
        <v>84</v>
      </c>
      <c r="C57" s="50">
        <v>3</v>
      </c>
      <c r="D57" s="50">
        <v>0</v>
      </c>
      <c r="E57" s="50">
        <v>2</v>
      </c>
      <c r="F57" s="50">
        <v>0</v>
      </c>
      <c r="G57" s="50">
        <v>0</v>
      </c>
      <c r="H57" s="50">
        <v>0</v>
      </c>
      <c r="I57" s="50">
        <v>1</v>
      </c>
      <c r="J57" s="50">
        <v>0</v>
      </c>
      <c r="K57" s="50">
        <v>0</v>
      </c>
      <c r="L57" s="50">
        <v>2</v>
      </c>
      <c r="M57" s="50">
        <v>2</v>
      </c>
      <c r="N57" s="50">
        <v>0</v>
      </c>
      <c r="O57" s="15">
        <f t="shared" si="0"/>
        <v>8</v>
      </c>
      <c r="P57" s="15">
        <f t="shared" si="1"/>
        <v>10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127</v>
      </c>
      <c r="D58" s="16">
        <f t="shared" si="21"/>
        <v>0</v>
      </c>
      <c r="E58" s="16">
        <f t="shared" si="21"/>
        <v>102</v>
      </c>
      <c r="F58" s="16">
        <f t="shared" si="21"/>
        <v>112</v>
      </c>
      <c r="G58" s="16">
        <f t="shared" si="21"/>
        <v>7</v>
      </c>
      <c r="H58" s="16">
        <f t="shared" si="21"/>
        <v>18</v>
      </c>
      <c r="I58" s="16">
        <f t="shared" si="21"/>
        <v>54</v>
      </c>
      <c r="J58" s="16">
        <f t="shared" si="21"/>
        <v>0</v>
      </c>
      <c r="K58" s="16">
        <f t="shared" si="21"/>
        <v>0</v>
      </c>
      <c r="L58" s="16">
        <f t="shared" si="21"/>
        <v>39</v>
      </c>
      <c r="M58" s="16">
        <f t="shared" si="21"/>
        <v>139</v>
      </c>
      <c r="N58" s="16">
        <f t="shared" si="21"/>
        <v>1</v>
      </c>
      <c r="O58" s="16">
        <f t="shared" si="21"/>
        <v>460</v>
      </c>
      <c r="P58" s="16">
        <f t="shared" si="21"/>
        <v>599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0.21202003338898165</v>
      </c>
      <c r="D59" s="43">
        <f t="shared" si="22"/>
        <v>0</v>
      </c>
      <c r="E59" s="43">
        <f t="shared" si="22"/>
        <v>0.17028380634390652</v>
      </c>
      <c r="F59" s="43">
        <f t="shared" si="22"/>
        <v>0.18697829716193656</v>
      </c>
      <c r="G59" s="43">
        <f t="shared" si="22"/>
        <v>1.1686143572621035E-2</v>
      </c>
      <c r="H59" s="43">
        <f t="shared" si="22"/>
        <v>3.0050083472454091E-2</v>
      </c>
      <c r="I59" s="43">
        <f t="shared" si="22"/>
        <v>9.0150250417362271E-2</v>
      </c>
      <c r="J59" s="43">
        <f t="shared" si="22"/>
        <v>0</v>
      </c>
      <c r="K59" s="43">
        <f t="shared" si="22"/>
        <v>0</v>
      </c>
      <c r="L59" s="43">
        <f t="shared" si="22"/>
        <v>6.5108514190317199E-2</v>
      </c>
      <c r="M59" s="43">
        <f t="shared" si="22"/>
        <v>0.23205342237061768</v>
      </c>
      <c r="N59" s="43">
        <f t="shared" si="22"/>
        <v>1.6694490818030051E-3</v>
      </c>
      <c r="R59" s="8"/>
      <c r="T59"/>
    </row>
    <row r="60" spans="2:20" ht="23.1" customHeight="1" x14ac:dyDescent="0.25">
      <c r="B60" s="42" t="s">
        <v>94</v>
      </c>
      <c r="C60" s="44">
        <f>C58/$O$58</f>
        <v>0.27608695652173915</v>
      </c>
      <c r="D60" s="44">
        <f t="shared" ref="D60:N60" si="23">D58/$O$58</f>
        <v>0</v>
      </c>
      <c r="E60" s="44">
        <f t="shared" si="23"/>
        <v>0.22173913043478261</v>
      </c>
      <c r="F60" s="44">
        <f t="shared" si="23"/>
        <v>0.24347826086956523</v>
      </c>
      <c r="G60" s="44">
        <f t="shared" si="23"/>
        <v>1.5217391304347827E-2</v>
      </c>
      <c r="H60" s="44">
        <f t="shared" si="23"/>
        <v>3.9130434782608699E-2</v>
      </c>
      <c r="I60" s="44">
        <f t="shared" si="23"/>
        <v>0.11739130434782609</v>
      </c>
      <c r="J60" s="44">
        <f t="shared" si="23"/>
        <v>0</v>
      </c>
      <c r="K60" s="44">
        <f t="shared" si="23"/>
        <v>0</v>
      </c>
      <c r="L60" s="44">
        <f t="shared" si="23"/>
        <v>8.478260869565217E-2</v>
      </c>
      <c r="M60" s="44"/>
      <c r="N60" s="44">
        <f t="shared" si="23"/>
        <v>2.1739130434782609E-3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9" tint="-0.249977111117893"/>
  </sheetPr>
  <dimension ref="B1:AF174"/>
  <sheetViews>
    <sheetView view="pageBreakPreview" topLeftCell="M58" zoomScale="60" workbookViewId="0">
      <selection activeCell="AD56" sqref="AD5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>
        <f>'11.8 KIKORONGO-BWERA'!C3:G3</f>
        <v>0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5" t="s">
        <v>166</v>
      </c>
      <c r="E5" s="66"/>
      <c r="F5" s="41" t="s">
        <v>1</v>
      </c>
      <c r="G5" s="63">
        <f>'11.8 BWERA-KIKORONGO'!G5:H5</f>
        <v>0</v>
      </c>
      <c r="H5" s="64"/>
      <c r="I5" s="14"/>
      <c r="J5" s="2" t="s">
        <v>5</v>
      </c>
      <c r="K5" s="63">
        <f>'11.8 BWERA-KIKORONGO'!K5:L5</f>
        <v>0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>
        <f>'11.8 BWERA-KIKORONGO'!D6:E6</f>
        <v>0</v>
      </c>
      <c r="E6" s="64"/>
      <c r="F6" s="2" t="s">
        <v>2</v>
      </c>
      <c r="G6" s="63">
        <f>'11.8 BWERA-KIKORONGO'!G6:H6</f>
        <v>0</v>
      </c>
      <c r="H6" s="64"/>
      <c r="J6" s="2" t="s">
        <v>21</v>
      </c>
      <c r="K6" s="63">
        <f>'11.8 BWERA-KIKORONGO'!K6:L6</f>
        <v>0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AVERAGE('5.8 KIKORONGO-BWERA'!C10,'6.8 KIKORONGO-BWERA'!C10,'7.8 KIKORONGO-BWERA'!C10,'9.8 KIKORONGO-BWERA'!C10,'8.8 KIKORONGO-BWERA-24hr'!C10,'10.8 KIKORONGO-BWERA-24HRS'!C10,'11.8 BWERA-KIKORONGO'!C10)</f>
        <v>1.8571428571428572</v>
      </c>
      <c r="D10" s="49">
        <f>AVERAGE('5.8 KIKORONGO-BWERA'!D10,'6.8 KIKORONGO-BWERA'!D10,'7.8 KIKORONGO-BWERA'!D10,'9.8 KIKORONGO-BWERA'!D10,'8.8 KIKORONGO-BWERA-24hr'!D10,'10.8 KIKORONGO-BWERA-24HRS'!D10,'11.8 BWERA-KIKORONGO'!D10)</f>
        <v>0</v>
      </c>
      <c r="E10" s="49">
        <f>AVERAGE('5.8 KIKORONGO-BWERA'!E10,'6.8 KIKORONGO-BWERA'!E10,'7.8 KIKORONGO-BWERA'!E10,'9.8 KIKORONGO-BWERA'!E10,'8.8 KIKORONGO-BWERA-24hr'!E10,'10.8 KIKORONGO-BWERA-24HRS'!E10,'11.8 BWERA-KIKORONGO'!E10)</f>
        <v>1.4285714285714286</v>
      </c>
      <c r="F10" s="49">
        <f>AVERAGE('5.8 KIKORONGO-BWERA'!F10,'6.8 KIKORONGO-BWERA'!F10,'7.8 KIKORONGO-BWERA'!F10,'9.8 KIKORONGO-BWERA'!F10,'8.8 KIKORONGO-BWERA-24hr'!F10,'10.8 KIKORONGO-BWERA-24HRS'!F10,'11.8 BWERA-KIKORONGO'!F10)</f>
        <v>1.5714285714285714</v>
      </c>
      <c r="G10" s="49">
        <f>AVERAGE('5.8 KIKORONGO-BWERA'!G10,'6.8 KIKORONGO-BWERA'!G10,'7.8 KIKORONGO-BWERA'!G10,'9.8 KIKORONGO-BWERA'!G10,'8.8 KIKORONGO-BWERA-24hr'!G10,'10.8 KIKORONGO-BWERA-24HRS'!G10,'11.8 BWERA-KIKORONGO'!G10)</f>
        <v>0</v>
      </c>
      <c r="H10" s="49">
        <f>AVERAGE('5.8 KIKORONGO-BWERA'!H10,'6.8 KIKORONGO-BWERA'!H10,'7.8 KIKORONGO-BWERA'!H10,'9.8 KIKORONGO-BWERA'!H10,'8.8 KIKORONGO-BWERA-24hr'!H10,'10.8 KIKORONGO-BWERA-24HRS'!H10,'11.8 BWERA-KIKORONGO'!H10)</f>
        <v>0.2857142857142857</v>
      </c>
      <c r="I10" s="49">
        <f>AVERAGE('5.8 KIKORONGO-BWERA'!I10,'6.8 KIKORONGO-BWERA'!I10,'7.8 KIKORONGO-BWERA'!I10,'9.8 KIKORONGO-BWERA'!I10,'8.8 KIKORONGO-BWERA-24hr'!I10,'10.8 KIKORONGO-BWERA-24HRS'!I10,'11.8 BWERA-KIKORONGO'!I10)</f>
        <v>0.8571428571428571</v>
      </c>
      <c r="J10" s="49">
        <f>AVERAGE('5.8 KIKORONGO-BWERA'!J10,'6.8 KIKORONGO-BWERA'!J10,'7.8 KIKORONGO-BWERA'!J10,'9.8 KIKORONGO-BWERA'!J10,'8.8 KIKORONGO-BWERA-24hr'!J10,'10.8 KIKORONGO-BWERA-24HRS'!J10,'11.8 BWERA-KIKORONGO'!J10)</f>
        <v>0</v>
      </c>
      <c r="K10" s="49">
        <f>AVERAGE('5.8 KIKORONGO-BWERA'!K10,'6.8 KIKORONGO-BWERA'!K10,'7.8 KIKORONGO-BWERA'!K10,'9.8 KIKORONGO-BWERA'!K10,'8.8 KIKORONGO-BWERA-24hr'!K10,'10.8 KIKORONGO-BWERA-24HRS'!K10,'11.8 BWERA-KIKORONGO'!K10)</f>
        <v>0</v>
      </c>
      <c r="L10" s="49">
        <f>AVERAGE('5.8 KIKORONGO-BWERA'!L10,'6.8 KIKORONGO-BWERA'!L10,'7.8 KIKORONGO-BWERA'!L10,'9.8 KIKORONGO-BWERA'!L10,'8.8 KIKORONGO-BWERA-24hr'!L10,'10.8 KIKORONGO-BWERA-24HRS'!L10,'11.8 BWERA-KIKORONGO'!L10)</f>
        <v>0.42857142857142855</v>
      </c>
      <c r="M10" s="49">
        <f>AVERAGE('5.8 KIKORONGO-BWERA'!M10,'6.8 KIKORONGO-BWERA'!M10,'7.8 KIKORONGO-BWERA'!M10,'9.8 KIKORONGO-BWERA'!M10,'8.8 KIKORONGO-BWERA-24hr'!M10,'10.8 KIKORONGO-BWERA-24HRS'!M10,'11.8 BWERA-KIKORONGO'!M10)</f>
        <v>1.3333333333333333</v>
      </c>
      <c r="N10" s="49">
        <f>AVERAGE('5.8 KIKORONGO-BWERA'!N10,'6.8 KIKORONGO-BWERA'!N10,'7.8 KIKORONGO-BWERA'!N10,'9.8 KIKORONGO-BWERA'!N10,'8.8 KIKORONGO-BWERA-24hr'!N10,'10.8 KIKORONGO-BWERA-24HRS'!N10,'11.8 BWERA-KIKORONGO'!N10)</f>
        <v>0</v>
      </c>
      <c r="O10" s="15">
        <f t="shared" ref="O10:O73" si="0">SUM(C10:L10,N10)</f>
        <v>6.4285714285714279</v>
      </c>
      <c r="P10" s="15">
        <f t="shared" ref="P10:P73" si="1">SUM(C10:N10)</f>
        <v>7.761904761904761</v>
      </c>
      <c r="R10" s="1" t="s">
        <v>6</v>
      </c>
      <c r="S10" s="17">
        <f t="shared" ref="S10:AF10" si="2">SUM(C10:C13)</f>
        <v>14.714285714285714</v>
      </c>
      <c r="T10" s="17">
        <f t="shared" si="2"/>
        <v>0</v>
      </c>
      <c r="U10" s="17">
        <f t="shared" si="2"/>
        <v>6.5714285714285712</v>
      </c>
      <c r="V10" s="17">
        <f t="shared" si="2"/>
        <v>6.1428571428571432</v>
      </c>
      <c r="W10" s="17">
        <f t="shared" si="2"/>
        <v>0</v>
      </c>
      <c r="X10" s="17">
        <f t="shared" si="2"/>
        <v>1.857142857142857</v>
      </c>
      <c r="Y10" s="17">
        <f t="shared" si="2"/>
        <v>2.1428571428571428</v>
      </c>
      <c r="Z10" s="17">
        <f t="shared" si="2"/>
        <v>0.14285714285714285</v>
      </c>
      <c r="AA10" s="17">
        <f t="shared" si="2"/>
        <v>0.42857142857142855</v>
      </c>
      <c r="AB10" s="17">
        <f t="shared" si="2"/>
        <v>2.1428571428571428</v>
      </c>
      <c r="AC10" s="17">
        <f t="shared" si="2"/>
        <v>14.761904761904763</v>
      </c>
      <c r="AD10" s="17">
        <f t="shared" si="2"/>
        <v>0</v>
      </c>
      <c r="AE10" s="31">
        <f t="shared" si="2"/>
        <v>34.142857142857139</v>
      </c>
      <c r="AF10" s="31">
        <f t="shared" si="2"/>
        <v>48.904761904761898</v>
      </c>
    </row>
    <row r="11" spans="2:32" s="6" customFormat="1" ht="23.1" customHeight="1" x14ac:dyDescent="0.25">
      <c r="B11" s="23" t="s">
        <v>38</v>
      </c>
      <c r="C11" s="49">
        <f>AVERAGE('5.8 KIKORONGO-BWERA'!C11,'6.8 KIKORONGO-BWERA'!C11,'7.8 KIKORONGO-BWERA'!C11,'9.8 KIKORONGO-BWERA'!C11,'8.8 KIKORONGO-BWERA-24hr'!C11,'10.8 KIKORONGO-BWERA-24HRS'!C11,'11.8 BWERA-KIKORONGO'!C11)</f>
        <v>2.8571428571428572</v>
      </c>
      <c r="D11" s="49">
        <f>AVERAGE('5.8 KIKORONGO-BWERA'!D11,'6.8 KIKORONGO-BWERA'!D11,'7.8 KIKORONGO-BWERA'!D11,'9.8 KIKORONGO-BWERA'!D11,'8.8 KIKORONGO-BWERA-24hr'!D11,'10.8 KIKORONGO-BWERA-24HRS'!D11,'11.8 BWERA-KIKORONGO'!D11)</f>
        <v>0</v>
      </c>
      <c r="E11" s="49">
        <f>AVERAGE('5.8 KIKORONGO-BWERA'!E11,'6.8 KIKORONGO-BWERA'!E11,'7.8 KIKORONGO-BWERA'!E11,'9.8 KIKORONGO-BWERA'!E11,'8.8 KIKORONGO-BWERA-24hr'!E11,'10.8 KIKORONGO-BWERA-24HRS'!E11,'11.8 BWERA-KIKORONGO'!E11)</f>
        <v>1.5714285714285714</v>
      </c>
      <c r="F11" s="49">
        <f>AVERAGE('5.8 KIKORONGO-BWERA'!F11,'6.8 KIKORONGO-BWERA'!F11,'7.8 KIKORONGO-BWERA'!F11,'9.8 KIKORONGO-BWERA'!F11,'8.8 KIKORONGO-BWERA-24hr'!F11,'10.8 KIKORONGO-BWERA-24HRS'!F11,'11.8 BWERA-KIKORONGO'!F11)</f>
        <v>1.2857142857142858</v>
      </c>
      <c r="G11" s="49">
        <f>AVERAGE('5.8 KIKORONGO-BWERA'!G11,'6.8 KIKORONGO-BWERA'!G11,'7.8 KIKORONGO-BWERA'!G11,'9.8 KIKORONGO-BWERA'!G11,'8.8 KIKORONGO-BWERA-24hr'!G11,'10.8 KIKORONGO-BWERA-24HRS'!G11,'11.8 BWERA-KIKORONGO'!G11)</f>
        <v>0</v>
      </c>
      <c r="H11" s="49">
        <f>AVERAGE('5.8 KIKORONGO-BWERA'!H11,'6.8 KIKORONGO-BWERA'!H11,'7.8 KIKORONGO-BWERA'!H11,'9.8 KIKORONGO-BWERA'!H11,'8.8 KIKORONGO-BWERA-24hr'!H11,'10.8 KIKORONGO-BWERA-24HRS'!H11,'11.8 BWERA-KIKORONGO'!H11)</f>
        <v>0</v>
      </c>
      <c r="I11" s="49">
        <f>AVERAGE('5.8 KIKORONGO-BWERA'!I11,'6.8 KIKORONGO-BWERA'!I11,'7.8 KIKORONGO-BWERA'!I11,'9.8 KIKORONGO-BWERA'!I11,'8.8 KIKORONGO-BWERA-24hr'!I11,'10.8 KIKORONGO-BWERA-24HRS'!I11,'11.8 BWERA-KIKORONGO'!I11)</f>
        <v>0.42857142857142855</v>
      </c>
      <c r="J11" s="49">
        <f>AVERAGE('5.8 KIKORONGO-BWERA'!J11,'6.8 KIKORONGO-BWERA'!J11,'7.8 KIKORONGO-BWERA'!J11,'9.8 KIKORONGO-BWERA'!J11,'8.8 KIKORONGO-BWERA-24hr'!J11,'10.8 KIKORONGO-BWERA-24HRS'!J11,'11.8 BWERA-KIKORONGO'!J11)</f>
        <v>0</v>
      </c>
      <c r="K11" s="49">
        <f>AVERAGE('5.8 KIKORONGO-BWERA'!K11,'6.8 KIKORONGO-BWERA'!K11,'7.8 KIKORONGO-BWERA'!K11,'9.8 KIKORONGO-BWERA'!K11,'8.8 KIKORONGO-BWERA-24hr'!K11,'10.8 KIKORONGO-BWERA-24HRS'!K11,'11.8 BWERA-KIKORONGO'!K11)</f>
        <v>0.2857142857142857</v>
      </c>
      <c r="L11" s="49">
        <f>AVERAGE('5.8 KIKORONGO-BWERA'!L11,'6.8 KIKORONGO-BWERA'!L11,'7.8 KIKORONGO-BWERA'!L11,'9.8 KIKORONGO-BWERA'!L11,'8.8 KIKORONGO-BWERA-24hr'!L11,'10.8 KIKORONGO-BWERA-24HRS'!L11,'11.8 BWERA-KIKORONGO'!L11)</f>
        <v>0.7142857142857143</v>
      </c>
      <c r="M11" s="49">
        <f>AVERAGE('5.8 KIKORONGO-BWERA'!M11,'6.8 KIKORONGO-BWERA'!M11,'7.8 KIKORONGO-BWERA'!M11,'9.8 KIKORONGO-BWERA'!M11,'8.8 KIKORONGO-BWERA-24hr'!M11,'10.8 KIKORONGO-BWERA-24HRS'!M11,'11.8 BWERA-KIKORONGO'!M11)</f>
        <v>3.5714285714285716</v>
      </c>
      <c r="N11" s="49">
        <f>AVERAGE('5.8 KIKORONGO-BWERA'!N11,'6.8 KIKORONGO-BWERA'!N11,'7.8 KIKORONGO-BWERA'!N11,'9.8 KIKORONGO-BWERA'!N11,'8.8 KIKORONGO-BWERA-24hr'!N11,'10.8 KIKORONGO-BWERA-24HRS'!N11,'11.8 BWERA-KIKORONGO'!N11)</f>
        <v>0</v>
      </c>
      <c r="O11" s="15">
        <f t="shared" si="0"/>
        <v>7.1428571428571432</v>
      </c>
      <c r="P11" s="15">
        <f t="shared" si="1"/>
        <v>10.714285714285715</v>
      </c>
      <c r="R11" s="1" t="s">
        <v>7</v>
      </c>
      <c r="S11" s="17">
        <f t="shared" ref="S11:AF11" si="3">SUM(C14:C17)</f>
        <v>15.285714285714286</v>
      </c>
      <c r="T11" s="17">
        <f t="shared" si="3"/>
        <v>0</v>
      </c>
      <c r="U11" s="17">
        <f t="shared" si="3"/>
        <v>6.5714285714285712</v>
      </c>
      <c r="V11" s="17">
        <f t="shared" si="3"/>
        <v>9.1428571428571423</v>
      </c>
      <c r="W11" s="17">
        <f t="shared" si="3"/>
        <v>0</v>
      </c>
      <c r="X11" s="17">
        <f t="shared" si="3"/>
        <v>1.1428571428571428</v>
      </c>
      <c r="Y11" s="17">
        <f t="shared" si="3"/>
        <v>0.71428571428571419</v>
      </c>
      <c r="Z11" s="17">
        <f t="shared" si="3"/>
        <v>0</v>
      </c>
      <c r="AA11" s="17">
        <f t="shared" si="3"/>
        <v>0</v>
      </c>
      <c r="AB11" s="17">
        <f t="shared" si="3"/>
        <v>0.14285714285714285</v>
      </c>
      <c r="AC11" s="17">
        <f t="shared" si="3"/>
        <v>18</v>
      </c>
      <c r="AD11" s="17">
        <f t="shared" si="3"/>
        <v>0</v>
      </c>
      <c r="AE11" s="31">
        <f t="shared" si="3"/>
        <v>33</v>
      </c>
      <c r="AF11" s="31">
        <f t="shared" si="3"/>
        <v>51</v>
      </c>
    </row>
    <row r="12" spans="2:32" ht="23.1" customHeight="1" x14ac:dyDescent="0.25">
      <c r="B12" s="23" t="s">
        <v>39</v>
      </c>
      <c r="C12" s="49">
        <f>AVERAGE('5.8 KIKORONGO-BWERA'!C12,'6.8 KIKORONGO-BWERA'!C12,'7.8 KIKORONGO-BWERA'!C12,'9.8 KIKORONGO-BWERA'!C12,'8.8 KIKORONGO-BWERA-24hr'!C12,'10.8 KIKORONGO-BWERA-24HRS'!C12,'11.8 BWERA-KIKORONGO'!C12)</f>
        <v>4.4285714285714288</v>
      </c>
      <c r="D12" s="49">
        <f>AVERAGE('5.8 KIKORONGO-BWERA'!D12,'6.8 KIKORONGO-BWERA'!D12,'7.8 KIKORONGO-BWERA'!D12,'9.8 KIKORONGO-BWERA'!D12,'8.8 KIKORONGO-BWERA-24hr'!D12,'10.8 KIKORONGO-BWERA-24HRS'!D12,'11.8 BWERA-KIKORONGO'!D12)</f>
        <v>0</v>
      </c>
      <c r="E12" s="49">
        <f>AVERAGE('5.8 KIKORONGO-BWERA'!E12,'6.8 KIKORONGO-BWERA'!E12,'7.8 KIKORONGO-BWERA'!E12,'9.8 KIKORONGO-BWERA'!E12,'8.8 KIKORONGO-BWERA-24hr'!E12,'10.8 KIKORONGO-BWERA-24HRS'!E12,'11.8 BWERA-KIKORONGO'!E12)</f>
        <v>1.5714285714285714</v>
      </c>
      <c r="F12" s="49">
        <f>AVERAGE('5.8 KIKORONGO-BWERA'!F12,'6.8 KIKORONGO-BWERA'!F12,'7.8 KIKORONGO-BWERA'!F12,'9.8 KIKORONGO-BWERA'!F12,'8.8 KIKORONGO-BWERA-24hr'!F12,'10.8 KIKORONGO-BWERA-24HRS'!F12,'11.8 BWERA-KIKORONGO'!F12)</f>
        <v>1.2857142857142858</v>
      </c>
      <c r="G12" s="49">
        <f>AVERAGE('5.8 KIKORONGO-BWERA'!G12,'6.8 KIKORONGO-BWERA'!G12,'7.8 KIKORONGO-BWERA'!G12,'9.8 KIKORONGO-BWERA'!G12,'8.8 KIKORONGO-BWERA-24hr'!G12,'10.8 KIKORONGO-BWERA-24HRS'!G12,'11.8 BWERA-KIKORONGO'!G12)</f>
        <v>0</v>
      </c>
      <c r="H12" s="49">
        <f>AVERAGE('5.8 KIKORONGO-BWERA'!H12,'6.8 KIKORONGO-BWERA'!H12,'7.8 KIKORONGO-BWERA'!H12,'9.8 KIKORONGO-BWERA'!H12,'8.8 KIKORONGO-BWERA-24hr'!H12,'10.8 KIKORONGO-BWERA-24HRS'!H12,'11.8 BWERA-KIKORONGO'!H12)</f>
        <v>0.42857142857142855</v>
      </c>
      <c r="I12" s="49">
        <f>AVERAGE('5.8 KIKORONGO-BWERA'!I12,'6.8 KIKORONGO-BWERA'!I12,'7.8 KIKORONGO-BWERA'!I12,'9.8 KIKORONGO-BWERA'!I12,'8.8 KIKORONGO-BWERA-24hr'!I12,'10.8 KIKORONGO-BWERA-24HRS'!I12,'11.8 BWERA-KIKORONGO'!I12)</f>
        <v>0.42857142857142855</v>
      </c>
      <c r="J12" s="49">
        <f>AVERAGE('5.8 KIKORONGO-BWERA'!J12,'6.8 KIKORONGO-BWERA'!J12,'7.8 KIKORONGO-BWERA'!J12,'9.8 KIKORONGO-BWERA'!J12,'8.8 KIKORONGO-BWERA-24hr'!J12,'10.8 KIKORONGO-BWERA-24HRS'!J12,'11.8 BWERA-KIKORONGO'!J12)</f>
        <v>0</v>
      </c>
      <c r="K12" s="49">
        <f>AVERAGE('5.8 KIKORONGO-BWERA'!K12,'6.8 KIKORONGO-BWERA'!K12,'7.8 KIKORONGO-BWERA'!K12,'9.8 KIKORONGO-BWERA'!K12,'8.8 KIKORONGO-BWERA-24hr'!K12,'10.8 KIKORONGO-BWERA-24HRS'!K12,'11.8 BWERA-KIKORONGO'!K12)</f>
        <v>0</v>
      </c>
      <c r="L12" s="49">
        <f>AVERAGE('5.8 KIKORONGO-BWERA'!L12,'6.8 KIKORONGO-BWERA'!L12,'7.8 KIKORONGO-BWERA'!L12,'9.8 KIKORONGO-BWERA'!L12,'8.8 KIKORONGO-BWERA-24hr'!L12,'10.8 KIKORONGO-BWERA-24HRS'!L12,'11.8 BWERA-KIKORONGO'!L12)</f>
        <v>0.2857142857142857</v>
      </c>
      <c r="M12" s="49">
        <f>AVERAGE('5.8 KIKORONGO-BWERA'!M12,'6.8 KIKORONGO-BWERA'!M12,'7.8 KIKORONGO-BWERA'!M12,'9.8 KIKORONGO-BWERA'!M12,'8.8 KIKORONGO-BWERA-24hr'!M12,'10.8 KIKORONGO-BWERA-24HRS'!M12,'11.8 BWERA-KIKORONGO'!M12)</f>
        <v>4</v>
      </c>
      <c r="N12" s="49">
        <f>AVERAGE('5.8 KIKORONGO-BWERA'!N12,'6.8 KIKORONGO-BWERA'!N12,'7.8 KIKORONGO-BWERA'!N12,'9.8 KIKORONGO-BWERA'!N12,'8.8 KIKORONGO-BWERA-24hr'!N12,'10.8 KIKORONGO-BWERA-24HRS'!N12,'11.8 BWERA-KIKORONGO'!N12)</f>
        <v>0</v>
      </c>
      <c r="O12" s="15">
        <f t="shared" si="0"/>
        <v>8.4285714285714288</v>
      </c>
      <c r="P12" s="15">
        <f t="shared" si="1"/>
        <v>12.428571428571429</v>
      </c>
      <c r="R12" s="1" t="s">
        <v>8</v>
      </c>
      <c r="S12" s="17">
        <f t="shared" ref="S12:AF12" si="4">SUM(C18:C21)</f>
        <v>14.571428571428573</v>
      </c>
      <c r="T12" s="17">
        <f t="shared" si="4"/>
        <v>0</v>
      </c>
      <c r="U12" s="17">
        <f t="shared" si="4"/>
        <v>8.5714285714285712</v>
      </c>
      <c r="V12" s="17">
        <f t="shared" si="4"/>
        <v>8.5714285714285712</v>
      </c>
      <c r="W12" s="17">
        <f t="shared" si="4"/>
        <v>0.14285714285714285</v>
      </c>
      <c r="X12" s="17">
        <f t="shared" si="4"/>
        <v>1.5714285714285714</v>
      </c>
      <c r="Y12" s="17">
        <f t="shared" si="4"/>
        <v>3.4285714285714288</v>
      </c>
      <c r="Z12" s="17">
        <f t="shared" si="4"/>
        <v>0</v>
      </c>
      <c r="AA12" s="17">
        <f t="shared" si="4"/>
        <v>0.14285714285714285</v>
      </c>
      <c r="AB12" s="17">
        <f t="shared" si="4"/>
        <v>0.42857142857142855</v>
      </c>
      <c r="AC12" s="17">
        <f t="shared" si="4"/>
        <v>16</v>
      </c>
      <c r="AD12" s="17">
        <f t="shared" si="4"/>
        <v>0.14285714285714285</v>
      </c>
      <c r="AE12" s="31">
        <f t="shared" si="4"/>
        <v>37.571428571428569</v>
      </c>
      <c r="AF12" s="31">
        <f t="shared" si="4"/>
        <v>53.571428571428569</v>
      </c>
    </row>
    <row r="13" spans="2:32" ht="23.1" customHeight="1" x14ac:dyDescent="0.25">
      <c r="B13" s="23" t="s">
        <v>40</v>
      </c>
      <c r="C13" s="49">
        <f>AVERAGE('5.8 KIKORONGO-BWERA'!C13,'6.8 KIKORONGO-BWERA'!C13,'7.8 KIKORONGO-BWERA'!C13,'9.8 KIKORONGO-BWERA'!C13,'8.8 KIKORONGO-BWERA-24hr'!C13,'10.8 KIKORONGO-BWERA-24HRS'!C13,'11.8 BWERA-KIKORONGO'!C13)</f>
        <v>5.5714285714285712</v>
      </c>
      <c r="D13" s="49">
        <f>AVERAGE('5.8 KIKORONGO-BWERA'!D13,'6.8 KIKORONGO-BWERA'!D13,'7.8 KIKORONGO-BWERA'!D13,'9.8 KIKORONGO-BWERA'!D13,'8.8 KIKORONGO-BWERA-24hr'!D13,'10.8 KIKORONGO-BWERA-24HRS'!D13,'11.8 BWERA-KIKORONGO'!D13)</f>
        <v>0</v>
      </c>
      <c r="E13" s="49">
        <f>AVERAGE('5.8 KIKORONGO-BWERA'!E13,'6.8 KIKORONGO-BWERA'!E13,'7.8 KIKORONGO-BWERA'!E13,'9.8 KIKORONGO-BWERA'!E13,'8.8 KIKORONGO-BWERA-24hr'!E13,'10.8 KIKORONGO-BWERA-24HRS'!E13,'11.8 BWERA-KIKORONGO'!E13)</f>
        <v>2</v>
      </c>
      <c r="F13" s="49">
        <f>AVERAGE('5.8 KIKORONGO-BWERA'!F13,'6.8 KIKORONGO-BWERA'!F13,'7.8 KIKORONGO-BWERA'!F13,'9.8 KIKORONGO-BWERA'!F13,'8.8 KIKORONGO-BWERA-24hr'!F13,'10.8 KIKORONGO-BWERA-24HRS'!F13,'11.8 BWERA-KIKORONGO'!F13)</f>
        <v>2</v>
      </c>
      <c r="G13" s="49">
        <f>AVERAGE('5.8 KIKORONGO-BWERA'!G13,'6.8 KIKORONGO-BWERA'!G13,'7.8 KIKORONGO-BWERA'!G13,'9.8 KIKORONGO-BWERA'!G13,'8.8 KIKORONGO-BWERA-24hr'!G13,'10.8 KIKORONGO-BWERA-24HRS'!G13,'11.8 BWERA-KIKORONGO'!G13)</f>
        <v>0</v>
      </c>
      <c r="H13" s="49">
        <f>AVERAGE('5.8 KIKORONGO-BWERA'!H13,'6.8 KIKORONGO-BWERA'!H13,'7.8 KIKORONGO-BWERA'!H13,'9.8 KIKORONGO-BWERA'!H13,'8.8 KIKORONGO-BWERA-24hr'!H13,'10.8 KIKORONGO-BWERA-24HRS'!H13,'11.8 BWERA-KIKORONGO'!H13)</f>
        <v>1.1428571428571428</v>
      </c>
      <c r="I13" s="49">
        <f>AVERAGE('5.8 KIKORONGO-BWERA'!I13,'6.8 KIKORONGO-BWERA'!I13,'7.8 KIKORONGO-BWERA'!I13,'9.8 KIKORONGO-BWERA'!I13,'8.8 KIKORONGO-BWERA-24hr'!I13,'10.8 KIKORONGO-BWERA-24HRS'!I13,'11.8 BWERA-KIKORONGO'!I13)</f>
        <v>0.42857142857142855</v>
      </c>
      <c r="J13" s="49">
        <f>AVERAGE('5.8 KIKORONGO-BWERA'!J13,'6.8 KIKORONGO-BWERA'!J13,'7.8 KIKORONGO-BWERA'!J13,'9.8 KIKORONGO-BWERA'!J13,'8.8 KIKORONGO-BWERA-24hr'!J13,'10.8 KIKORONGO-BWERA-24HRS'!J13,'11.8 BWERA-KIKORONGO'!J13)</f>
        <v>0.14285714285714285</v>
      </c>
      <c r="K13" s="49">
        <f>AVERAGE('5.8 KIKORONGO-BWERA'!K13,'6.8 KIKORONGO-BWERA'!K13,'7.8 KIKORONGO-BWERA'!K13,'9.8 KIKORONGO-BWERA'!K13,'8.8 KIKORONGO-BWERA-24hr'!K13,'10.8 KIKORONGO-BWERA-24HRS'!K13,'11.8 BWERA-KIKORONGO'!K13)</f>
        <v>0.14285714285714285</v>
      </c>
      <c r="L13" s="49">
        <f>AVERAGE('5.8 KIKORONGO-BWERA'!L13,'6.8 KIKORONGO-BWERA'!L13,'7.8 KIKORONGO-BWERA'!L13,'9.8 KIKORONGO-BWERA'!L13,'8.8 KIKORONGO-BWERA-24hr'!L13,'10.8 KIKORONGO-BWERA-24HRS'!L13,'11.8 BWERA-KIKORONGO'!L13)</f>
        <v>0.7142857142857143</v>
      </c>
      <c r="M13" s="49">
        <f>AVERAGE('5.8 KIKORONGO-BWERA'!M13,'6.8 KIKORONGO-BWERA'!M13,'7.8 KIKORONGO-BWERA'!M13,'9.8 KIKORONGO-BWERA'!M13,'8.8 KIKORONGO-BWERA-24hr'!M13,'10.8 KIKORONGO-BWERA-24HRS'!M13,'11.8 BWERA-KIKORONGO'!M13)</f>
        <v>5.8571428571428568</v>
      </c>
      <c r="N13" s="49">
        <f>AVERAGE('5.8 KIKORONGO-BWERA'!N13,'6.8 KIKORONGO-BWERA'!N13,'7.8 KIKORONGO-BWERA'!N13,'9.8 KIKORONGO-BWERA'!N13,'8.8 KIKORONGO-BWERA-24hr'!N13,'10.8 KIKORONGO-BWERA-24HRS'!N13,'11.8 BWERA-KIKORONGO'!N13)</f>
        <v>0</v>
      </c>
      <c r="O13" s="15">
        <f t="shared" si="0"/>
        <v>12.142857142857141</v>
      </c>
      <c r="P13" s="15">
        <f t="shared" si="1"/>
        <v>17.999999999999996</v>
      </c>
      <c r="R13" s="1" t="s">
        <v>9</v>
      </c>
      <c r="S13" s="17">
        <f t="shared" ref="S13:AF13" si="5">SUM(C22:C25)</f>
        <v>13.571428571428571</v>
      </c>
      <c r="T13" s="17">
        <f t="shared" si="5"/>
        <v>0</v>
      </c>
      <c r="U13" s="17">
        <f t="shared" si="5"/>
        <v>7.4285714285714288</v>
      </c>
      <c r="V13" s="17">
        <f t="shared" si="5"/>
        <v>9.1428571428571423</v>
      </c>
      <c r="W13" s="17">
        <f t="shared" si="5"/>
        <v>0.14285714285714285</v>
      </c>
      <c r="X13" s="17">
        <f t="shared" si="5"/>
        <v>0.71428571428571419</v>
      </c>
      <c r="Y13" s="17">
        <f t="shared" si="5"/>
        <v>3.5714285714285712</v>
      </c>
      <c r="Z13" s="17">
        <f t="shared" si="5"/>
        <v>0.5714285714285714</v>
      </c>
      <c r="AA13" s="17">
        <f t="shared" si="5"/>
        <v>1.1428571428571428</v>
      </c>
      <c r="AB13" s="17">
        <f t="shared" si="5"/>
        <v>1.1428571428571428</v>
      </c>
      <c r="AC13" s="17">
        <f t="shared" si="5"/>
        <v>14.571428571428573</v>
      </c>
      <c r="AD13" s="17">
        <f t="shared" si="5"/>
        <v>0</v>
      </c>
      <c r="AE13" s="31">
        <f t="shared" si="5"/>
        <v>37.428571428571431</v>
      </c>
      <c r="AF13" s="31">
        <f t="shared" si="5"/>
        <v>52</v>
      </c>
    </row>
    <row r="14" spans="2:32" ht="23.1" customHeight="1" x14ac:dyDescent="0.25">
      <c r="B14" s="23" t="s">
        <v>41</v>
      </c>
      <c r="C14" s="49">
        <f>AVERAGE('5.8 KIKORONGO-BWERA'!C14,'6.8 KIKORONGO-BWERA'!C14,'7.8 KIKORONGO-BWERA'!C14,'9.8 KIKORONGO-BWERA'!C14,'8.8 KIKORONGO-BWERA-24hr'!C14,'10.8 KIKORONGO-BWERA-24HRS'!C14,'11.8 BWERA-KIKORONGO'!C14)</f>
        <v>3</v>
      </c>
      <c r="D14" s="49">
        <f>AVERAGE('5.8 KIKORONGO-BWERA'!D14,'6.8 KIKORONGO-BWERA'!D14,'7.8 KIKORONGO-BWERA'!D14,'9.8 KIKORONGO-BWERA'!D14,'8.8 KIKORONGO-BWERA-24hr'!D14,'10.8 KIKORONGO-BWERA-24HRS'!D14,'11.8 BWERA-KIKORONGO'!D14)</f>
        <v>0</v>
      </c>
      <c r="E14" s="49">
        <f>AVERAGE('5.8 KIKORONGO-BWERA'!E14,'6.8 KIKORONGO-BWERA'!E14,'7.8 KIKORONGO-BWERA'!E14,'9.8 KIKORONGO-BWERA'!E14,'8.8 KIKORONGO-BWERA-24hr'!E14,'10.8 KIKORONGO-BWERA-24HRS'!E14,'11.8 BWERA-KIKORONGO'!E14)</f>
        <v>1.7142857142857142</v>
      </c>
      <c r="F14" s="49">
        <f>AVERAGE('5.8 KIKORONGO-BWERA'!F14,'6.8 KIKORONGO-BWERA'!F14,'7.8 KIKORONGO-BWERA'!F14,'9.8 KIKORONGO-BWERA'!F14,'8.8 KIKORONGO-BWERA-24hr'!F14,'10.8 KIKORONGO-BWERA-24HRS'!F14,'11.8 BWERA-KIKORONGO'!F14)</f>
        <v>2.5714285714285716</v>
      </c>
      <c r="G14" s="49">
        <f>AVERAGE('5.8 KIKORONGO-BWERA'!G14,'6.8 KIKORONGO-BWERA'!G14,'7.8 KIKORONGO-BWERA'!G14,'9.8 KIKORONGO-BWERA'!G14,'8.8 KIKORONGO-BWERA-24hr'!G14,'10.8 KIKORONGO-BWERA-24HRS'!G14,'11.8 BWERA-KIKORONGO'!G14)</f>
        <v>0</v>
      </c>
      <c r="H14" s="49">
        <f>AVERAGE('5.8 KIKORONGO-BWERA'!H14,'6.8 KIKORONGO-BWERA'!H14,'7.8 KIKORONGO-BWERA'!H14,'9.8 KIKORONGO-BWERA'!H14,'8.8 KIKORONGO-BWERA-24hr'!H14,'10.8 KIKORONGO-BWERA-24HRS'!H14,'11.8 BWERA-KIKORONGO'!H14)</f>
        <v>0.5714285714285714</v>
      </c>
      <c r="I14" s="49">
        <f>AVERAGE('5.8 KIKORONGO-BWERA'!I14,'6.8 KIKORONGO-BWERA'!I14,'7.8 KIKORONGO-BWERA'!I14,'9.8 KIKORONGO-BWERA'!I14,'8.8 KIKORONGO-BWERA-24hr'!I14,'10.8 KIKORONGO-BWERA-24HRS'!I14,'11.8 BWERA-KIKORONGO'!I14)</f>
        <v>0.14285714285714285</v>
      </c>
      <c r="J14" s="49">
        <f>AVERAGE('5.8 KIKORONGO-BWERA'!J14,'6.8 KIKORONGO-BWERA'!J14,'7.8 KIKORONGO-BWERA'!J14,'9.8 KIKORONGO-BWERA'!J14,'8.8 KIKORONGO-BWERA-24hr'!J14,'10.8 KIKORONGO-BWERA-24HRS'!J14,'11.8 BWERA-KIKORONGO'!J14)</f>
        <v>0</v>
      </c>
      <c r="K14" s="49">
        <f>AVERAGE('5.8 KIKORONGO-BWERA'!K14,'6.8 KIKORONGO-BWERA'!K14,'7.8 KIKORONGO-BWERA'!K14,'9.8 KIKORONGO-BWERA'!K14,'8.8 KIKORONGO-BWERA-24hr'!K14,'10.8 KIKORONGO-BWERA-24HRS'!K14,'11.8 BWERA-KIKORONGO'!K14)</f>
        <v>0</v>
      </c>
      <c r="L14" s="49">
        <f>AVERAGE('5.8 KIKORONGO-BWERA'!L14,'6.8 KIKORONGO-BWERA'!L14,'7.8 KIKORONGO-BWERA'!L14,'9.8 KIKORONGO-BWERA'!L14,'8.8 KIKORONGO-BWERA-24hr'!L14,'10.8 KIKORONGO-BWERA-24HRS'!L14,'11.8 BWERA-KIKORONGO'!L14)</f>
        <v>0</v>
      </c>
      <c r="M14" s="49">
        <f>AVERAGE('5.8 KIKORONGO-BWERA'!M14,'6.8 KIKORONGO-BWERA'!M14,'7.8 KIKORONGO-BWERA'!M14,'9.8 KIKORONGO-BWERA'!M14,'8.8 KIKORONGO-BWERA-24hr'!M14,'10.8 KIKORONGO-BWERA-24HRS'!M14,'11.8 BWERA-KIKORONGO'!M14)</f>
        <v>5.2857142857142856</v>
      </c>
      <c r="N14" s="49">
        <f>AVERAGE('5.8 KIKORONGO-BWERA'!N14,'6.8 KIKORONGO-BWERA'!N14,'7.8 KIKORONGO-BWERA'!N14,'9.8 KIKORONGO-BWERA'!N14,'8.8 KIKORONGO-BWERA-24hr'!N14,'10.8 KIKORONGO-BWERA-24HRS'!N14,'11.8 BWERA-KIKORONGO'!N14)</f>
        <v>0</v>
      </c>
      <c r="O14" s="15">
        <f t="shared" si="0"/>
        <v>8</v>
      </c>
      <c r="P14" s="15">
        <f t="shared" si="1"/>
        <v>13.285714285714285</v>
      </c>
      <c r="R14" s="1" t="s">
        <v>10</v>
      </c>
      <c r="S14" s="17">
        <f t="shared" ref="S14:AF14" si="6">SUM(C26:C29)</f>
        <v>17.142857142857146</v>
      </c>
      <c r="T14" s="17">
        <f t="shared" si="6"/>
        <v>0</v>
      </c>
      <c r="U14" s="17">
        <f t="shared" si="6"/>
        <v>5.5714285714285712</v>
      </c>
      <c r="V14" s="17">
        <f t="shared" si="6"/>
        <v>8.7142857142857135</v>
      </c>
      <c r="W14" s="17">
        <f t="shared" si="6"/>
        <v>0</v>
      </c>
      <c r="X14" s="17">
        <f t="shared" si="6"/>
        <v>0.14285714285714285</v>
      </c>
      <c r="Y14" s="17">
        <f t="shared" si="6"/>
        <v>4.7142857142857135</v>
      </c>
      <c r="Z14" s="17">
        <f t="shared" si="6"/>
        <v>0.14285714285714285</v>
      </c>
      <c r="AA14" s="17">
        <f t="shared" si="6"/>
        <v>0.5714285714285714</v>
      </c>
      <c r="AB14" s="17">
        <f t="shared" si="6"/>
        <v>2.1428571428571428</v>
      </c>
      <c r="AC14" s="17">
        <f t="shared" si="6"/>
        <v>15</v>
      </c>
      <c r="AD14" s="17">
        <f t="shared" si="6"/>
        <v>0</v>
      </c>
      <c r="AE14" s="31">
        <f t="shared" si="6"/>
        <v>39.142857142857146</v>
      </c>
      <c r="AF14" s="31">
        <f t="shared" si="6"/>
        <v>54.142857142857146</v>
      </c>
    </row>
    <row r="15" spans="2:32" ht="23.1" customHeight="1" x14ac:dyDescent="0.25">
      <c r="B15" s="23" t="s">
        <v>42</v>
      </c>
      <c r="C15" s="49">
        <f>AVERAGE('5.8 KIKORONGO-BWERA'!C15,'6.8 KIKORONGO-BWERA'!C15,'7.8 KIKORONGO-BWERA'!C15,'9.8 KIKORONGO-BWERA'!C15,'8.8 KIKORONGO-BWERA-24hr'!C15,'10.8 KIKORONGO-BWERA-24HRS'!C15,'11.8 BWERA-KIKORONGO'!C15)</f>
        <v>4.8571428571428568</v>
      </c>
      <c r="D15" s="49">
        <f>AVERAGE('5.8 KIKORONGO-BWERA'!D15,'6.8 KIKORONGO-BWERA'!D15,'7.8 KIKORONGO-BWERA'!D15,'9.8 KIKORONGO-BWERA'!D15,'8.8 KIKORONGO-BWERA-24hr'!D15,'10.8 KIKORONGO-BWERA-24HRS'!D15,'11.8 BWERA-KIKORONGO'!D15)</f>
        <v>0</v>
      </c>
      <c r="E15" s="49">
        <f>AVERAGE('5.8 KIKORONGO-BWERA'!E15,'6.8 KIKORONGO-BWERA'!E15,'7.8 KIKORONGO-BWERA'!E15,'9.8 KIKORONGO-BWERA'!E15,'8.8 KIKORONGO-BWERA-24hr'!E15,'10.8 KIKORONGO-BWERA-24HRS'!E15,'11.8 BWERA-KIKORONGO'!E15)</f>
        <v>1.8571428571428572</v>
      </c>
      <c r="F15" s="49">
        <f>AVERAGE('5.8 KIKORONGO-BWERA'!F15,'6.8 KIKORONGO-BWERA'!F15,'7.8 KIKORONGO-BWERA'!F15,'9.8 KIKORONGO-BWERA'!F15,'8.8 KIKORONGO-BWERA-24hr'!F15,'10.8 KIKORONGO-BWERA-24HRS'!F15,'11.8 BWERA-KIKORONGO'!F15)</f>
        <v>2</v>
      </c>
      <c r="G15" s="49">
        <f>AVERAGE('5.8 KIKORONGO-BWERA'!G15,'6.8 KIKORONGO-BWERA'!G15,'7.8 KIKORONGO-BWERA'!G15,'9.8 KIKORONGO-BWERA'!G15,'8.8 KIKORONGO-BWERA-24hr'!G15,'10.8 KIKORONGO-BWERA-24HRS'!G15,'11.8 BWERA-KIKORONGO'!G15)</f>
        <v>0</v>
      </c>
      <c r="H15" s="49">
        <f>AVERAGE('5.8 KIKORONGO-BWERA'!H15,'6.8 KIKORONGO-BWERA'!H15,'7.8 KIKORONGO-BWERA'!H15,'9.8 KIKORONGO-BWERA'!H15,'8.8 KIKORONGO-BWERA-24hr'!H15,'10.8 KIKORONGO-BWERA-24HRS'!H15,'11.8 BWERA-KIKORONGO'!H15)</f>
        <v>0.14285714285714285</v>
      </c>
      <c r="I15" s="49">
        <f>AVERAGE('5.8 KIKORONGO-BWERA'!I15,'6.8 KIKORONGO-BWERA'!I15,'7.8 KIKORONGO-BWERA'!I15,'9.8 KIKORONGO-BWERA'!I15,'8.8 KIKORONGO-BWERA-24hr'!I15,'10.8 KIKORONGO-BWERA-24HRS'!I15,'11.8 BWERA-KIKORONGO'!I15)</f>
        <v>0.14285714285714285</v>
      </c>
      <c r="J15" s="49">
        <f>AVERAGE('5.8 KIKORONGO-BWERA'!J15,'6.8 KIKORONGO-BWERA'!J15,'7.8 KIKORONGO-BWERA'!J15,'9.8 KIKORONGO-BWERA'!J15,'8.8 KIKORONGO-BWERA-24hr'!J15,'10.8 KIKORONGO-BWERA-24HRS'!J15,'11.8 BWERA-KIKORONGO'!J15)</f>
        <v>0</v>
      </c>
      <c r="K15" s="49">
        <f>AVERAGE('5.8 KIKORONGO-BWERA'!K15,'6.8 KIKORONGO-BWERA'!K15,'7.8 KIKORONGO-BWERA'!K15,'9.8 KIKORONGO-BWERA'!K15,'8.8 KIKORONGO-BWERA-24hr'!K15,'10.8 KIKORONGO-BWERA-24HRS'!K15,'11.8 BWERA-KIKORONGO'!K15)</f>
        <v>0</v>
      </c>
      <c r="L15" s="49">
        <f>AVERAGE('5.8 KIKORONGO-BWERA'!L15,'6.8 KIKORONGO-BWERA'!L15,'7.8 KIKORONGO-BWERA'!L15,'9.8 KIKORONGO-BWERA'!L15,'8.8 KIKORONGO-BWERA-24hr'!L15,'10.8 KIKORONGO-BWERA-24HRS'!L15,'11.8 BWERA-KIKORONGO'!L15)</f>
        <v>0</v>
      </c>
      <c r="M15" s="49">
        <f>AVERAGE('5.8 KIKORONGO-BWERA'!M15,'6.8 KIKORONGO-BWERA'!M15,'7.8 KIKORONGO-BWERA'!M15,'9.8 KIKORONGO-BWERA'!M15,'8.8 KIKORONGO-BWERA-24hr'!M15,'10.8 KIKORONGO-BWERA-24HRS'!M15,'11.8 BWERA-KIKORONGO'!M15)</f>
        <v>5.5714285714285712</v>
      </c>
      <c r="N15" s="49">
        <f>AVERAGE('5.8 KIKORONGO-BWERA'!N15,'6.8 KIKORONGO-BWERA'!N15,'7.8 KIKORONGO-BWERA'!N15,'9.8 KIKORONGO-BWERA'!N15,'8.8 KIKORONGO-BWERA-24hr'!N15,'10.8 KIKORONGO-BWERA-24HRS'!N15,'11.8 BWERA-KIKORONGO'!N15)</f>
        <v>0</v>
      </c>
      <c r="O15" s="15">
        <f t="shared" si="0"/>
        <v>8.9999999999999982</v>
      </c>
      <c r="P15" s="15">
        <f t="shared" si="1"/>
        <v>14.571428571428569</v>
      </c>
      <c r="R15" s="1" t="s">
        <v>11</v>
      </c>
      <c r="S15" s="17">
        <f t="shared" ref="S15:AF15" si="7">SUM(C30:C33)</f>
        <v>15.142857142857142</v>
      </c>
      <c r="T15" s="17">
        <f t="shared" si="7"/>
        <v>0</v>
      </c>
      <c r="U15" s="17">
        <f t="shared" si="7"/>
        <v>9.7142857142857153</v>
      </c>
      <c r="V15" s="17">
        <f t="shared" si="7"/>
        <v>9.2857142857142847</v>
      </c>
      <c r="W15" s="17">
        <f t="shared" si="7"/>
        <v>0</v>
      </c>
      <c r="X15" s="17">
        <f t="shared" si="7"/>
        <v>0.99999999999999989</v>
      </c>
      <c r="Y15" s="17">
        <f t="shared" si="7"/>
        <v>4.8571428571428568</v>
      </c>
      <c r="Z15" s="17">
        <f t="shared" si="7"/>
        <v>0.42857142857142855</v>
      </c>
      <c r="AA15" s="17">
        <f t="shared" si="7"/>
        <v>0.42857142857142855</v>
      </c>
      <c r="AB15" s="17">
        <f t="shared" si="7"/>
        <v>1.7142857142857142</v>
      </c>
      <c r="AC15" s="17">
        <f t="shared" si="7"/>
        <v>10.714285714285714</v>
      </c>
      <c r="AD15" s="17">
        <f t="shared" si="7"/>
        <v>0</v>
      </c>
      <c r="AE15" s="31">
        <f t="shared" si="7"/>
        <v>42.571428571428577</v>
      </c>
      <c r="AF15" s="31">
        <f t="shared" si="7"/>
        <v>53.285714285714292</v>
      </c>
    </row>
    <row r="16" spans="2:32" ht="23.1" customHeight="1" x14ac:dyDescent="0.25">
      <c r="B16" s="23" t="s">
        <v>43</v>
      </c>
      <c r="C16" s="49">
        <f>AVERAGE('5.8 KIKORONGO-BWERA'!C16,'6.8 KIKORONGO-BWERA'!C16,'7.8 KIKORONGO-BWERA'!C16,'9.8 KIKORONGO-BWERA'!C16,'8.8 KIKORONGO-BWERA-24hr'!C16,'10.8 KIKORONGO-BWERA-24HRS'!C16,'11.8 BWERA-KIKORONGO'!C16)</f>
        <v>4</v>
      </c>
      <c r="D16" s="49">
        <f>AVERAGE('5.8 KIKORONGO-BWERA'!D16,'6.8 KIKORONGO-BWERA'!D16,'7.8 KIKORONGO-BWERA'!D16,'9.8 KIKORONGO-BWERA'!D16,'8.8 KIKORONGO-BWERA-24hr'!D16,'10.8 KIKORONGO-BWERA-24HRS'!D16,'11.8 BWERA-KIKORONGO'!D16)</f>
        <v>0</v>
      </c>
      <c r="E16" s="49">
        <f>AVERAGE('5.8 KIKORONGO-BWERA'!E16,'6.8 KIKORONGO-BWERA'!E16,'7.8 KIKORONGO-BWERA'!E16,'9.8 KIKORONGO-BWERA'!E16,'8.8 KIKORONGO-BWERA-24hr'!E16,'10.8 KIKORONGO-BWERA-24HRS'!E16,'11.8 BWERA-KIKORONGO'!E16)</f>
        <v>1.1428571428571428</v>
      </c>
      <c r="F16" s="49">
        <f>AVERAGE('5.8 KIKORONGO-BWERA'!F16,'6.8 KIKORONGO-BWERA'!F16,'7.8 KIKORONGO-BWERA'!F16,'9.8 KIKORONGO-BWERA'!F16,'8.8 KIKORONGO-BWERA-24hr'!F16,'10.8 KIKORONGO-BWERA-24HRS'!F16,'11.8 BWERA-KIKORONGO'!F16)</f>
        <v>1.8571428571428572</v>
      </c>
      <c r="G16" s="49">
        <f>AVERAGE('5.8 KIKORONGO-BWERA'!G16,'6.8 KIKORONGO-BWERA'!G16,'7.8 KIKORONGO-BWERA'!G16,'9.8 KIKORONGO-BWERA'!G16,'8.8 KIKORONGO-BWERA-24hr'!G16,'10.8 KIKORONGO-BWERA-24HRS'!G16,'11.8 BWERA-KIKORONGO'!G16)</f>
        <v>0</v>
      </c>
      <c r="H16" s="49">
        <f>AVERAGE('5.8 KIKORONGO-BWERA'!H16,'6.8 KIKORONGO-BWERA'!H16,'7.8 KIKORONGO-BWERA'!H16,'9.8 KIKORONGO-BWERA'!H16,'8.8 KIKORONGO-BWERA-24hr'!H16,'10.8 KIKORONGO-BWERA-24HRS'!H16,'11.8 BWERA-KIKORONGO'!H16)</f>
        <v>0.42857142857142855</v>
      </c>
      <c r="I16" s="49">
        <f>AVERAGE('5.8 KIKORONGO-BWERA'!I16,'6.8 KIKORONGO-BWERA'!I16,'7.8 KIKORONGO-BWERA'!I16,'9.8 KIKORONGO-BWERA'!I16,'8.8 KIKORONGO-BWERA-24hr'!I16,'10.8 KIKORONGO-BWERA-24HRS'!I16,'11.8 BWERA-KIKORONGO'!I16)</f>
        <v>0.14285714285714285</v>
      </c>
      <c r="J16" s="49">
        <f>AVERAGE('5.8 KIKORONGO-BWERA'!J16,'6.8 KIKORONGO-BWERA'!J16,'7.8 KIKORONGO-BWERA'!J16,'9.8 KIKORONGO-BWERA'!J16,'8.8 KIKORONGO-BWERA-24hr'!J16,'10.8 KIKORONGO-BWERA-24HRS'!J16,'11.8 BWERA-KIKORONGO'!J16)</f>
        <v>0</v>
      </c>
      <c r="K16" s="49">
        <f>AVERAGE('5.8 KIKORONGO-BWERA'!K16,'6.8 KIKORONGO-BWERA'!K16,'7.8 KIKORONGO-BWERA'!K16,'9.8 KIKORONGO-BWERA'!K16,'8.8 KIKORONGO-BWERA-24hr'!K16,'10.8 KIKORONGO-BWERA-24HRS'!K16,'11.8 BWERA-KIKORONGO'!K16)</f>
        <v>0</v>
      </c>
      <c r="L16" s="49">
        <f>AVERAGE('5.8 KIKORONGO-BWERA'!L16,'6.8 KIKORONGO-BWERA'!L16,'7.8 KIKORONGO-BWERA'!L16,'9.8 KIKORONGO-BWERA'!L16,'8.8 KIKORONGO-BWERA-24hr'!L16,'10.8 KIKORONGO-BWERA-24HRS'!L16,'11.8 BWERA-KIKORONGO'!L16)</f>
        <v>0</v>
      </c>
      <c r="M16" s="49">
        <f>AVERAGE('5.8 KIKORONGO-BWERA'!M16,'6.8 KIKORONGO-BWERA'!M16,'7.8 KIKORONGO-BWERA'!M16,'9.8 KIKORONGO-BWERA'!M16,'8.8 KIKORONGO-BWERA-24hr'!M16,'10.8 KIKORONGO-BWERA-24HRS'!M16,'11.8 BWERA-KIKORONGO'!M16)</f>
        <v>3.5714285714285716</v>
      </c>
      <c r="N16" s="49">
        <f>AVERAGE('5.8 KIKORONGO-BWERA'!N16,'6.8 KIKORONGO-BWERA'!N16,'7.8 KIKORONGO-BWERA'!N16,'9.8 KIKORONGO-BWERA'!N16,'8.8 KIKORONGO-BWERA-24hr'!N16,'10.8 KIKORONGO-BWERA-24HRS'!N16,'11.8 BWERA-KIKORONGO'!N16)</f>
        <v>0</v>
      </c>
      <c r="O16" s="15">
        <f t="shared" si="0"/>
        <v>7.5714285714285721</v>
      </c>
      <c r="P16" s="15">
        <f t="shared" si="1"/>
        <v>11.142857142857144</v>
      </c>
      <c r="R16" s="1" t="s">
        <v>12</v>
      </c>
      <c r="S16" s="17">
        <f t="shared" ref="S16:AF16" si="8">SUM(C34:C37)</f>
        <v>15.571428571428571</v>
      </c>
      <c r="T16" s="17">
        <f t="shared" si="8"/>
        <v>0</v>
      </c>
      <c r="U16" s="17">
        <f t="shared" si="8"/>
        <v>8.5714285714285712</v>
      </c>
      <c r="V16" s="17">
        <f t="shared" si="8"/>
        <v>8.1428571428571423</v>
      </c>
      <c r="W16" s="17">
        <f t="shared" si="8"/>
        <v>0</v>
      </c>
      <c r="X16" s="17">
        <f t="shared" si="8"/>
        <v>1.1428571428571428</v>
      </c>
      <c r="Y16" s="17">
        <f t="shared" si="8"/>
        <v>4.1428571428571423</v>
      </c>
      <c r="Z16" s="17">
        <f t="shared" si="8"/>
        <v>0.71428571428571419</v>
      </c>
      <c r="AA16" s="17">
        <f t="shared" si="8"/>
        <v>0.71428571428571419</v>
      </c>
      <c r="AB16" s="17">
        <f t="shared" si="8"/>
        <v>2.5714285714285712</v>
      </c>
      <c r="AC16" s="17">
        <f t="shared" si="8"/>
        <v>15.857142857142858</v>
      </c>
      <c r="AD16" s="17">
        <f t="shared" si="8"/>
        <v>0</v>
      </c>
      <c r="AE16" s="31">
        <f t="shared" si="8"/>
        <v>41.571428571428569</v>
      </c>
      <c r="AF16" s="31">
        <f t="shared" si="8"/>
        <v>57.428571428571431</v>
      </c>
    </row>
    <row r="17" spans="2:32" ht="23.1" customHeight="1" x14ac:dyDescent="0.25">
      <c r="B17" s="23" t="s">
        <v>44</v>
      </c>
      <c r="C17" s="49">
        <f>AVERAGE('5.8 KIKORONGO-BWERA'!C17,'6.8 KIKORONGO-BWERA'!C17,'7.8 KIKORONGO-BWERA'!C17,'9.8 KIKORONGO-BWERA'!C17,'8.8 KIKORONGO-BWERA-24hr'!C17,'10.8 KIKORONGO-BWERA-24HRS'!C17,'11.8 BWERA-KIKORONGO'!C17)</f>
        <v>3.4285714285714284</v>
      </c>
      <c r="D17" s="49">
        <f>AVERAGE('5.8 KIKORONGO-BWERA'!D17,'6.8 KIKORONGO-BWERA'!D17,'7.8 KIKORONGO-BWERA'!D17,'9.8 KIKORONGO-BWERA'!D17,'8.8 KIKORONGO-BWERA-24hr'!D17,'10.8 KIKORONGO-BWERA-24HRS'!D17,'11.8 BWERA-KIKORONGO'!D17)</f>
        <v>0</v>
      </c>
      <c r="E17" s="49">
        <f>AVERAGE('5.8 KIKORONGO-BWERA'!E17,'6.8 KIKORONGO-BWERA'!E17,'7.8 KIKORONGO-BWERA'!E17,'9.8 KIKORONGO-BWERA'!E17,'8.8 KIKORONGO-BWERA-24hr'!E17,'10.8 KIKORONGO-BWERA-24HRS'!E17,'11.8 BWERA-KIKORONGO'!E17)</f>
        <v>1.8571428571428572</v>
      </c>
      <c r="F17" s="49">
        <f>AVERAGE('5.8 KIKORONGO-BWERA'!F17,'6.8 KIKORONGO-BWERA'!F17,'7.8 KIKORONGO-BWERA'!F17,'9.8 KIKORONGO-BWERA'!F17,'8.8 KIKORONGO-BWERA-24hr'!F17,'10.8 KIKORONGO-BWERA-24HRS'!F17,'11.8 BWERA-KIKORONGO'!F17)</f>
        <v>2.7142857142857144</v>
      </c>
      <c r="G17" s="49">
        <f>AVERAGE('5.8 KIKORONGO-BWERA'!G17,'6.8 KIKORONGO-BWERA'!G17,'7.8 KIKORONGO-BWERA'!G17,'9.8 KIKORONGO-BWERA'!G17,'8.8 KIKORONGO-BWERA-24hr'!G17,'10.8 KIKORONGO-BWERA-24HRS'!G17,'11.8 BWERA-KIKORONGO'!G17)</f>
        <v>0</v>
      </c>
      <c r="H17" s="49">
        <f>AVERAGE('5.8 KIKORONGO-BWERA'!H17,'6.8 KIKORONGO-BWERA'!H17,'7.8 KIKORONGO-BWERA'!H17,'9.8 KIKORONGO-BWERA'!H17,'8.8 KIKORONGO-BWERA-24hr'!H17,'10.8 KIKORONGO-BWERA-24HRS'!H17,'11.8 BWERA-KIKORONGO'!H17)</f>
        <v>0</v>
      </c>
      <c r="I17" s="49">
        <f>AVERAGE('5.8 KIKORONGO-BWERA'!I17,'6.8 KIKORONGO-BWERA'!I17,'7.8 KIKORONGO-BWERA'!I17,'9.8 KIKORONGO-BWERA'!I17,'8.8 KIKORONGO-BWERA-24hr'!I17,'10.8 KIKORONGO-BWERA-24HRS'!I17,'11.8 BWERA-KIKORONGO'!I17)</f>
        <v>0.2857142857142857</v>
      </c>
      <c r="J17" s="49">
        <f>AVERAGE('5.8 KIKORONGO-BWERA'!J17,'6.8 KIKORONGO-BWERA'!J17,'7.8 KIKORONGO-BWERA'!J17,'9.8 KIKORONGO-BWERA'!J17,'8.8 KIKORONGO-BWERA-24hr'!J17,'10.8 KIKORONGO-BWERA-24HRS'!J17,'11.8 BWERA-KIKORONGO'!J17)</f>
        <v>0</v>
      </c>
      <c r="K17" s="49">
        <f>AVERAGE('5.8 KIKORONGO-BWERA'!K17,'6.8 KIKORONGO-BWERA'!K17,'7.8 KIKORONGO-BWERA'!K17,'9.8 KIKORONGO-BWERA'!K17,'8.8 KIKORONGO-BWERA-24hr'!K17,'10.8 KIKORONGO-BWERA-24HRS'!K17,'11.8 BWERA-KIKORONGO'!K17)</f>
        <v>0</v>
      </c>
      <c r="L17" s="49">
        <f>AVERAGE('5.8 KIKORONGO-BWERA'!L17,'6.8 KIKORONGO-BWERA'!L17,'7.8 KIKORONGO-BWERA'!L17,'9.8 KIKORONGO-BWERA'!L17,'8.8 KIKORONGO-BWERA-24hr'!L17,'10.8 KIKORONGO-BWERA-24HRS'!L17,'11.8 BWERA-KIKORONGO'!L17)</f>
        <v>0.14285714285714285</v>
      </c>
      <c r="M17" s="49">
        <f>AVERAGE('5.8 KIKORONGO-BWERA'!M17,'6.8 KIKORONGO-BWERA'!M17,'7.8 KIKORONGO-BWERA'!M17,'9.8 KIKORONGO-BWERA'!M17,'8.8 KIKORONGO-BWERA-24hr'!M17,'10.8 KIKORONGO-BWERA-24HRS'!M17,'11.8 BWERA-KIKORONGO'!M17)</f>
        <v>3.5714285714285716</v>
      </c>
      <c r="N17" s="49">
        <f>AVERAGE('5.8 KIKORONGO-BWERA'!N17,'6.8 KIKORONGO-BWERA'!N17,'7.8 KIKORONGO-BWERA'!N17,'9.8 KIKORONGO-BWERA'!N17,'8.8 KIKORONGO-BWERA-24hr'!N17,'10.8 KIKORONGO-BWERA-24HRS'!N17,'11.8 BWERA-KIKORONGO'!N17)</f>
        <v>0</v>
      </c>
      <c r="O17" s="15">
        <f t="shared" si="0"/>
        <v>8.4285714285714288</v>
      </c>
      <c r="P17" s="15">
        <f t="shared" si="1"/>
        <v>12</v>
      </c>
      <c r="R17" s="1" t="s">
        <v>13</v>
      </c>
      <c r="S17" s="17">
        <f t="shared" ref="S17:AF17" si="9">SUM(C38:C41)</f>
        <v>15.142857142857142</v>
      </c>
      <c r="T17" s="17">
        <f t="shared" si="9"/>
        <v>0</v>
      </c>
      <c r="U17" s="17">
        <f t="shared" si="9"/>
        <v>9.2857142857142847</v>
      </c>
      <c r="V17" s="17">
        <f t="shared" si="9"/>
        <v>9</v>
      </c>
      <c r="W17" s="17">
        <f t="shared" si="9"/>
        <v>0</v>
      </c>
      <c r="X17" s="17">
        <f t="shared" si="9"/>
        <v>0.5714285714285714</v>
      </c>
      <c r="Y17" s="17">
        <f t="shared" si="9"/>
        <v>4.1428571428571423</v>
      </c>
      <c r="Z17" s="17">
        <f t="shared" si="9"/>
        <v>1</v>
      </c>
      <c r="AA17" s="17">
        <f t="shared" si="9"/>
        <v>0.71428571428571419</v>
      </c>
      <c r="AB17" s="17">
        <f t="shared" si="9"/>
        <v>2.5714285714285716</v>
      </c>
      <c r="AC17" s="17">
        <f t="shared" si="9"/>
        <v>12.285714285714285</v>
      </c>
      <c r="AD17" s="17">
        <f t="shared" si="9"/>
        <v>0.14285714285714285</v>
      </c>
      <c r="AE17" s="31">
        <f t="shared" si="9"/>
        <v>42.571428571428569</v>
      </c>
      <c r="AF17" s="31">
        <f t="shared" si="9"/>
        <v>54.857142857142854</v>
      </c>
    </row>
    <row r="18" spans="2:32" ht="23.1" customHeight="1" x14ac:dyDescent="0.25">
      <c r="B18" s="23" t="s">
        <v>45</v>
      </c>
      <c r="C18" s="49">
        <f>AVERAGE('5.8 KIKORONGO-BWERA'!C18,'6.8 KIKORONGO-BWERA'!C18,'7.8 KIKORONGO-BWERA'!C18,'9.8 KIKORONGO-BWERA'!C18,'8.8 KIKORONGO-BWERA-24hr'!C18,'10.8 KIKORONGO-BWERA-24HRS'!C18,'11.8 BWERA-KIKORONGO'!C18)</f>
        <v>5</v>
      </c>
      <c r="D18" s="49">
        <f>AVERAGE('5.8 KIKORONGO-BWERA'!D18,'6.8 KIKORONGO-BWERA'!D18,'7.8 KIKORONGO-BWERA'!D18,'9.8 KIKORONGO-BWERA'!D18,'8.8 KIKORONGO-BWERA-24hr'!D18,'10.8 KIKORONGO-BWERA-24HRS'!D18,'11.8 BWERA-KIKORONGO'!D18)</f>
        <v>0</v>
      </c>
      <c r="E18" s="49">
        <f>AVERAGE('5.8 KIKORONGO-BWERA'!E18,'6.8 KIKORONGO-BWERA'!E18,'7.8 KIKORONGO-BWERA'!E18,'9.8 KIKORONGO-BWERA'!E18,'8.8 KIKORONGO-BWERA-24hr'!E18,'10.8 KIKORONGO-BWERA-24HRS'!E18,'11.8 BWERA-KIKORONGO'!E18)</f>
        <v>1.7142857142857142</v>
      </c>
      <c r="F18" s="49">
        <f>AVERAGE('5.8 KIKORONGO-BWERA'!F18,'6.8 KIKORONGO-BWERA'!F18,'7.8 KIKORONGO-BWERA'!F18,'9.8 KIKORONGO-BWERA'!F18,'8.8 KIKORONGO-BWERA-24hr'!F18,'10.8 KIKORONGO-BWERA-24HRS'!F18,'11.8 BWERA-KIKORONGO'!F18)</f>
        <v>1.8571428571428572</v>
      </c>
      <c r="G18" s="49">
        <f>AVERAGE('5.8 KIKORONGO-BWERA'!G18,'6.8 KIKORONGO-BWERA'!G18,'7.8 KIKORONGO-BWERA'!G18,'9.8 KIKORONGO-BWERA'!G18,'8.8 KIKORONGO-BWERA-24hr'!G18,'10.8 KIKORONGO-BWERA-24HRS'!G18,'11.8 BWERA-KIKORONGO'!G18)</f>
        <v>0</v>
      </c>
      <c r="H18" s="49">
        <f>AVERAGE('5.8 KIKORONGO-BWERA'!H18,'6.8 KIKORONGO-BWERA'!H18,'7.8 KIKORONGO-BWERA'!H18,'9.8 KIKORONGO-BWERA'!H18,'8.8 KIKORONGO-BWERA-24hr'!H18,'10.8 KIKORONGO-BWERA-24HRS'!H18,'11.8 BWERA-KIKORONGO'!H18)</f>
        <v>0.2857142857142857</v>
      </c>
      <c r="I18" s="49">
        <f>AVERAGE('5.8 KIKORONGO-BWERA'!I18,'6.8 KIKORONGO-BWERA'!I18,'7.8 KIKORONGO-BWERA'!I18,'9.8 KIKORONGO-BWERA'!I18,'8.8 KIKORONGO-BWERA-24hr'!I18,'10.8 KIKORONGO-BWERA-24HRS'!I18,'11.8 BWERA-KIKORONGO'!I18)</f>
        <v>0.2857142857142857</v>
      </c>
      <c r="J18" s="49">
        <f>AVERAGE('5.8 KIKORONGO-BWERA'!J18,'6.8 KIKORONGO-BWERA'!J18,'7.8 KIKORONGO-BWERA'!J18,'9.8 KIKORONGO-BWERA'!J18,'8.8 KIKORONGO-BWERA-24hr'!J18,'10.8 KIKORONGO-BWERA-24HRS'!J18,'11.8 BWERA-KIKORONGO'!J18)</f>
        <v>0</v>
      </c>
      <c r="K18" s="49">
        <f>AVERAGE('5.8 KIKORONGO-BWERA'!K18,'6.8 KIKORONGO-BWERA'!K18,'7.8 KIKORONGO-BWERA'!K18,'9.8 KIKORONGO-BWERA'!K18,'8.8 KIKORONGO-BWERA-24hr'!K18,'10.8 KIKORONGO-BWERA-24HRS'!K18,'11.8 BWERA-KIKORONGO'!K18)</f>
        <v>0</v>
      </c>
      <c r="L18" s="49">
        <f>AVERAGE('5.8 KIKORONGO-BWERA'!L18,'6.8 KIKORONGO-BWERA'!L18,'7.8 KIKORONGO-BWERA'!L18,'9.8 KIKORONGO-BWERA'!L18,'8.8 KIKORONGO-BWERA-24hr'!L18,'10.8 KIKORONGO-BWERA-24HRS'!L18,'11.8 BWERA-KIKORONGO'!L18)</f>
        <v>0</v>
      </c>
      <c r="M18" s="49">
        <f>AVERAGE('5.8 KIKORONGO-BWERA'!M18,'6.8 KIKORONGO-BWERA'!M18,'7.8 KIKORONGO-BWERA'!M18,'9.8 KIKORONGO-BWERA'!M18,'8.8 KIKORONGO-BWERA-24hr'!M18,'10.8 KIKORONGO-BWERA-24HRS'!M18,'11.8 BWERA-KIKORONGO'!M18)</f>
        <v>3.1428571428571428</v>
      </c>
      <c r="N18" s="49">
        <f>AVERAGE('5.8 KIKORONGO-BWERA'!N18,'6.8 KIKORONGO-BWERA'!N18,'7.8 KIKORONGO-BWERA'!N18,'9.8 KIKORONGO-BWERA'!N18,'8.8 KIKORONGO-BWERA-24hr'!N18,'10.8 KIKORONGO-BWERA-24HRS'!N18,'11.8 BWERA-KIKORONGO'!N18)</f>
        <v>0</v>
      </c>
      <c r="O18" s="15">
        <f t="shared" si="0"/>
        <v>9.1428571428571441</v>
      </c>
      <c r="P18" s="15">
        <f t="shared" si="1"/>
        <v>12.285714285714286</v>
      </c>
      <c r="R18" s="1" t="s">
        <v>14</v>
      </c>
      <c r="S18" s="17">
        <f t="shared" ref="S18:AF18" si="10">SUM(C42:C45)</f>
        <v>16.428571428571427</v>
      </c>
      <c r="T18" s="17">
        <f t="shared" si="10"/>
        <v>0</v>
      </c>
      <c r="U18" s="17">
        <f t="shared" si="10"/>
        <v>9.2857142857142847</v>
      </c>
      <c r="V18" s="17">
        <f t="shared" si="10"/>
        <v>10.428571428571427</v>
      </c>
      <c r="W18" s="17">
        <f t="shared" si="10"/>
        <v>0</v>
      </c>
      <c r="X18" s="17">
        <f t="shared" si="10"/>
        <v>1</v>
      </c>
      <c r="Y18" s="17">
        <f t="shared" si="10"/>
        <v>6</v>
      </c>
      <c r="Z18" s="17">
        <f t="shared" si="10"/>
        <v>0.7142857142857143</v>
      </c>
      <c r="AA18" s="17">
        <f t="shared" si="10"/>
        <v>0.99999999999999989</v>
      </c>
      <c r="AB18" s="17">
        <f t="shared" si="10"/>
        <v>2.8571428571428572</v>
      </c>
      <c r="AC18" s="17">
        <f t="shared" si="10"/>
        <v>13.023809523809522</v>
      </c>
      <c r="AD18" s="17">
        <f t="shared" si="10"/>
        <v>0</v>
      </c>
      <c r="AE18" s="31">
        <f t="shared" si="10"/>
        <v>47.714285714285715</v>
      </c>
      <c r="AF18" s="31">
        <f t="shared" si="10"/>
        <v>60.738095238095241</v>
      </c>
    </row>
    <row r="19" spans="2:32" ht="23.1" customHeight="1" x14ac:dyDescent="0.25">
      <c r="B19" s="23" t="s">
        <v>46</v>
      </c>
      <c r="C19" s="49">
        <f>AVERAGE('5.8 KIKORONGO-BWERA'!C19,'6.8 KIKORONGO-BWERA'!C19,'7.8 KIKORONGO-BWERA'!C19,'9.8 KIKORONGO-BWERA'!C19,'8.8 KIKORONGO-BWERA-24hr'!C19,'10.8 KIKORONGO-BWERA-24HRS'!C19,'11.8 BWERA-KIKORONGO'!C19)</f>
        <v>2.1428571428571428</v>
      </c>
      <c r="D19" s="49">
        <f>AVERAGE('5.8 KIKORONGO-BWERA'!D19,'6.8 KIKORONGO-BWERA'!D19,'7.8 KIKORONGO-BWERA'!D19,'9.8 KIKORONGO-BWERA'!D19,'8.8 KIKORONGO-BWERA-24hr'!D19,'10.8 KIKORONGO-BWERA-24HRS'!D19,'11.8 BWERA-KIKORONGO'!D19)</f>
        <v>0</v>
      </c>
      <c r="E19" s="49">
        <f>AVERAGE('5.8 KIKORONGO-BWERA'!E19,'6.8 KIKORONGO-BWERA'!E19,'7.8 KIKORONGO-BWERA'!E19,'9.8 KIKORONGO-BWERA'!E19,'8.8 KIKORONGO-BWERA-24hr'!E19,'10.8 KIKORONGO-BWERA-24HRS'!E19,'11.8 BWERA-KIKORONGO'!E19)</f>
        <v>2</v>
      </c>
      <c r="F19" s="49">
        <f>AVERAGE('5.8 KIKORONGO-BWERA'!F19,'6.8 KIKORONGO-BWERA'!F19,'7.8 KIKORONGO-BWERA'!F19,'9.8 KIKORONGO-BWERA'!F19,'8.8 KIKORONGO-BWERA-24hr'!F19,'10.8 KIKORONGO-BWERA-24HRS'!F19,'11.8 BWERA-KIKORONGO'!F19)</f>
        <v>2.7142857142857144</v>
      </c>
      <c r="G19" s="49">
        <f>AVERAGE('5.8 KIKORONGO-BWERA'!G19,'6.8 KIKORONGO-BWERA'!G19,'7.8 KIKORONGO-BWERA'!G19,'9.8 KIKORONGO-BWERA'!G19,'8.8 KIKORONGO-BWERA-24hr'!G19,'10.8 KIKORONGO-BWERA-24HRS'!G19,'11.8 BWERA-KIKORONGO'!G19)</f>
        <v>0</v>
      </c>
      <c r="H19" s="49">
        <f>AVERAGE('5.8 KIKORONGO-BWERA'!H19,'6.8 KIKORONGO-BWERA'!H19,'7.8 KIKORONGO-BWERA'!H19,'9.8 KIKORONGO-BWERA'!H19,'8.8 KIKORONGO-BWERA-24hr'!H19,'10.8 KIKORONGO-BWERA-24HRS'!H19,'11.8 BWERA-KIKORONGO'!H19)</f>
        <v>0.14285714285714285</v>
      </c>
      <c r="I19" s="49">
        <f>AVERAGE('5.8 KIKORONGO-BWERA'!I19,'6.8 KIKORONGO-BWERA'!I19,'7.8 KIKORONGO-BWERA'!I19,'9.8 KIKORONGO-BWERA'!I19,'8.8 KIKORONGO-BWERA-24hr'!I19,'10.8 KIKORONGO-BWERA-24HRS'!I19,'11.8 BWERA-KIKORONGO'!I19)</f>
        <v>0.8571428571428571</v>
      </c>
      <c r="J19" s="49">
        <f>AVERAGE('5.8 KIKORONGO-BWERA'!J19,'6.8 KIKORONGO-BWERA'!J19,'7.8 KIKORONGO-BWERA'!J19,'9.8 KIKORONGO-BWERA'!J19,'8.8 KIKORONGO-BWERA-24hr'!J19,'10.8 KIKORONGO-BWERA-24HRS'!J19,'11.8 BWERA-KIKORONGO'!J19)</f>
        <v>0</v>
      </c>
      <c r="K19" s="49">
        <f>AVERAGE('5.8 KIKORONGO-BWERA'!K19,'6.8 KIKORONGO-BWERA'!K19,'7.8 KIKORONGO-BWERA'!K19,'9.8 KIKORONGO-BWERA'!K19,'8.8 KIKORONGO-BWERA-24hr'!K19,'10.8 KIKORONGO-BWERA-24HRS'!K19,'11.8 BWERA-KIKORONGO'!K19)</f>
        <v>0</v>
      </c>
      <c r="L19" s="49">
        <f>AVERAGE('5.8 KIKORONGO-BWERA'!L19,'6.8 KIKORONGO-BWERA'!L19,'7.8 KIKORONGO-BWERA'!L19,'9.8 KIKORONGO-BWERA'!L19,'8.8 KIKORONGO-BWERA-24hr'!L19,'10.8 KIKORONGO-BWERA-24HRS'!L19,'11.8 BWERA-KIKORONGO'!L19)</f>
        <v>0.14285714285714285</v>
      </c>
      <c r="M19" s="49">
        <f>AVERAGE('5.8 KIKORONGO-BWERA'!M19,'6.8 KIKORONGO-BWERA'!M19,'7.8 KIKORONGO-BWERA'!M19,'9.8 KIKORONGO-BWERA'!M19,'8.8 KIKORONGO-BWERA-24hr'!M19,'10.8 KIKORONGO-BWERA-24HRS'!M19,'11.8 BWERA-KIKORONGO'!M19)</f>
        <v>4.2857142857142856</v>
      </c>
      <c r="N19" s="49">
        <f>AVERAGE('5.8 KIKORONGO-BWERA'!N19,'6.8 KIKORONGO-BWERA'!N19,'7.8 KIKORONGO-BWERA'!N19,'9.8 KIKORONGO-BWERA'!N19,'8.8 KIKORONGO-BWERA-24hr'!N19,'10.8 KIKORONGO-BWERA-24HRS'!N19,'11.8 BWERA-KIKORONGO'!N19)</f>
        <v>0</v>
      </c>
      <c r="O19" s="15">
        <f t="shared" si="0"/>
        <v>8</v>
      </c>
      <c r="P19" s="15">
        <f t="shared" si="1"/>
        <v>12.285714285714285</v>
      </c>
      <c r="R19" s="1" t="s">
        <v>15</v>
      </c>
      <c r="S19" s="17">
        <f t="shared" ref="S19:AF19" si="11">SUM(C46:C49)</f>
        <v>16</v>
      </c>
      <c r="T19" s="17">
        <f t="shared" si="11"/>
        <v>0</v>
      </c>
      <c r="U19" s="17">
        <f t="shared" si="11"/>
        <v>9.5714285714285712</v>
      </c>
      <c r="V19" s="17">
        <f t="shared" si="11"/>
        <v>9.1428571428571423</v>
      </c>
      <c r="W19" s="17">
        <f t="shared" si="11"/>
        <v>0.14285714285714285</v>
      </c>
      <c r="X19" s="17">
        <f t="shared" si="11"/>
        <v>0.99999999999999989</v>
      </c>
      <c r="Y19" s="17">
        <f t="shared" si="11"/>
        <v>7</v>
      </c>
      <c r="Z19" s="17">
        <f t="shared" si="11"/>
        <v>0.2857142857142857</v>
      </c>
      <c r="AA19" s="17">
        <f t="shared" si="11"/>
        <v>0.71428571428571419</v>
      </c>
      <c r="AB19" s="17">
        <f t="shared" si="11"/>
        <v>2.5714285714285712</v>
      </c>
      <c r="AC19" s="17">
        <f t="shared" si="11"/>
        <v>13.142857142857144</v>
      </c>
      <c r="AD19" s="17">
        <f t="shared" si="11"/>
        <v>0.14285714285714285</v>
      </c>
      <c r="AE19" s="31">
        <f t="shared" si="11"/>
        <v>46.571428571428569</v>
      </c>
      <c r="AF19" s="31">
        <f t="shared" si="11"/>
        <v>59.714285714285708</v>
      </c>
    </row>
    <row r="20" spans="2:32" ht="23.1" customHeight="1" x14ac:dyDescent="0.25">
      <c r="B20" s="23" t="s">
        <v>47</v>
      </c>
      <c r="C20" s="49">
        <f>AVERAGE('5.8 KIKORONGO-BWERA'!C20,'6.8 KIKORONGO-BWERA'!C20,'7.8 KIKORONGO-BWERA'!C20,'9.8 KIKORONGO-BWERA'!C20,'8.8 KIKORONGO-BWERA-24hr'!C20,'10.8 KIKORONGO-BWERA-24HRS'!C20,'11.8 BWERA-KIKORONGO'!C20)</f>
        <v>2.7142857142857144</v>
      </c>
      <c r="D20" s="49">
        <f>AVERAGE('5.8 KIKORONGO-BWERA'!D20,'6.8 KIKORONGO-BWERA'!D20,'7.8 KIKORONGO-BWERA'!D20,'9.8 KIKORONGO-BWERA'!D20,'8.8 KIKORONGO-BWERA-24hr'!D20,'10.8 KIKORONGO-BWERA-24HRS'!D20,'11.8 BWERA-KIKORONGO'!D20)</f>
        <v>0</v>
      </c>
      <c r="E20" s="49">
        <f>AVERAGE('5.8 KIKORONGO-BWERA'!E20,'6.8 KIKORONGO-BWERA'!E20,'7.8 KIKORONGO-BWERA'!E20,'9.8 KIKORONGO-BWERA'!E20,'8.8 KIKORONGO-BWERA-24hr'!E20,'10.8 KIKORONGO-BWERA-24HRS'!E20,'11.8 BWERA-KIKORONGO'!E20)</f>
        <v>2.4285714285714284</v>
      </c>
      <c r="F20" s="49">
        <f>AVERAGE('5.8 KIKORONGO-BWERA'!F20,'6.8 KIKORONGO-BWERA'!F20,'7.8 KIKORONGO-BWERA'!F20,'9.8 KIKORONGO-BWERA'!F20,'8.8 KIKORONGO-BWERA-24hr'!F20,'10.8 KIKORONGO-BWERA-24HRS'!F20,'11.8 BWERA-KIKORONGO'!F20)</f>
        <v>1.4285714285714286</v>
      </c>
      <c r="G20" s="49">
        <f>AVERAGE('5.8 KIKORONGO-BWERA'!G20,'6.8 KIKORONGO-BWERA'!G20,'7.8 KIKORONGO-BWERA'!G20,'9.8 KIKORONGO-BWERA'!G20,'8.8 KIKORONGO-BWERA-24hr'!G20,'10.8 KIKORONGO-BWERA-24HRS'!G20,'11.8 BWERA-KIKORONGO'!G20)</f>
        <v>0.14285714285714285</v>
      </c>
      <c r="H20" s="49">
        <f>AVERAGE('5.8 KIKORONGO-BWERA'!H20,'6.8 KIKORONGO-BWERA'!H20,'7.8 KIKORONGO-BWERA'!H20,'9.8 KIKORONGO-BWERA'!H20,'8.8 KIKORONGO-BWERA-24hr'!H20,'10.8 KIKORONGO-BWERA-24HRS'!H20,'11.8 BWERA-KIKORONGO'!H20)</f>
        <v>0.7142857142857143</v>
      </c>
      <c r="I20" s="49">
        <f>AVERAGE('5.8 KIKORONGO-BWERA'!I20,'6.8 KIKORONGO-BWERA'!I20,'7.8 KIKORONGO-BWERA'!I20,'9.8 KIKORONGO-BWERA'!I20,'8.8 KIKORONGO-BWERA-24hr'!I20,'10.8 KIKORONGO-BWERA-24HRS'!I20,'11.8 BWERA-KIKORONGO'!I20)</f>
        <v>1.2857142857142858</v>
      </c>
      <c r="J20" s="49">
        <f>AVERAGE('5.8 KIKORONGO-BWERA'!J20,'6.8 KIKORONGO-BWERA'!J20,'7.8 KIKORONGO-BWERA'!J20,'9.8 KIKORONGO-BWERA'!J20,'8.8 KIKORONGO-BWERA-24hr'!J20,'10.8 KIKORONGO-BWERA-24HRS'!J20,'11.8 BWERA-KIKORONGO'!J20)</f>
        <v>0</v>
      </c>
      <c r="K20" s="49">
        <f>AVERAGE('5.8 KIKORONGO-BWERA'!K20,'6.8 KIKORONGO-BWERA'!K20,'7.8 KIKORONGO-BWERA'!K20,'9.8 KIKORONGO-BWERA'!K20,'8.8 KIKORONGO-BWERA-24hr'!K20,'10.8 KIKORONGO-BWERA-24HRS'!K20,'11.8 BWERA-KIKORONGO'!K20)</f>
        <v>0</v>
      </c>
      <c r="L20" s="49">
        <f>AVERAGE('5.8 KIKORONGO-BWERA'!L20,'6.8 KIKORONGO-BWERA'!L20,'7.8 KIKORONGO-BWERA'!L20,'9.8 KIKORONGO-BWERA'!L20,'8.8 KIKORONGO-BWERA-24hr'!L20,'10.8 KIKORONGO-BWERA-24HRS'!L20,'11.8 BWERA-KIKORONGO'!L20)</f>
        <v>0.14285714285714285</v>
      </c>
      <c r="M20" s="49">
        <f>AVERAGE('5.8 KIKORONGO-BWERA'!M20,'6.8 KIKORONGO-BWERA'!M20,'7.8 KIKORONGO-BWERA'!M20,'9.8 KIKORONGO-BWERA'!M20,'8.8 KIKORONGO-BWERA-24hr'!M20,'10.8 KIKORONGO-BWERA-24HRS'!M20,'11.8 BWERA-KIKORONGO'!M20)</f>
        <v>4.8571428571428568</v>
      </c>
      <c r="N20" s="49">
        <f>AVERAGE('5.8 KIKORONGO-BWERA'!N20,'6.8 KIKORONGO-BWERA'!N20,'7.8 KIKORONGO-BWERA'!N20,'9.8 KIKORONGO-BWERA'!N20,'8.8 KIKORONGO-BWERA-24hr'!N20,'10.8 KIKORONGO-BWERA-24HRS'!N20,'11.8 BWERA-KIKORONGO'!N20)</f>
        <v>0</v>
      </c>
      <c r="O20" s="15">
        <f t="shared" si="0"/>
        <v>8.8571428571428577</v>
      </c>
      <c r="P20" s="15">
        <f t="shared" si="1"/>
        <v>13.714285714285715</v>
      </c>
      <c r="R20" s="1" t="s">
        <v>16</v>
      </c>
      <c r="S20" s="17">
        <f t="shared" ref="S20:AF20" si="12">SUM(C50:C53)</f>
        <v>15.428571428571427</v>
      </c>
      <c r="T20" s="17">
        <f t="shared" si="12"/>
        <v>0</v>
      </c>
      <c r="U20" s="17">
        <f t="shared" si="12"/>
        <v>13.857142857142858</v>
      </c>
      <c r="V20" s="17">
        <f t="shared" si="12"/>
        <v>12.571428571428573</v>
      </c>
      <c r="W20" s="17">
        <f t="shared" si="12"/>
        <v>0</v>
      </c>
      <c r="X20" s="17">
        <f t="shared" si="12"/>
        <v>1.1428571428571428</v>
      </c>
      <c r="Y20" s="17">
        <f t="shared" si="12"/>
        <v>6.4285714285714288</v>
      </c>
      <c r="Z20" s="17">
        <f t="shared" si="12"/>
        <v>0.42857142857142855</v>
      </c>
      <c r="AA20" s="17">
        <f t="shared" si="12"/>
        <v>0.5714285714285714</v>
      </c>
      <c r="AB20" s="17">
        <f t="shared" si="12"/>
        <v>3.285714285714286</v>
      </c>
      <c r="AC20" s="17">
        <f t="shared" si="12"/>
        <v>14.428571428571431</v>
      </c>
      <c r="AD20" s="17">
        <f t="shared" si="12"/>
        <v>0</v>
      </c>
      <c r="AE20" s="31">
        <f t="shared" si="12"/>
        <v>53.714285714285715</v>
      </c>
      <c r="AF20" s="31">
        <f t="shared" si="12"/>
        <v>68.142857142857139</v>
      </c>
    </row>
    <row r="21" spans="2:32" ht="23.1" customHeight="1" x14ac:dyDescent="0.25">
      <c r="B21" s="23" t="s">
        <v>48</v>
      </c>
      <c r="C21" s="49">
        <f>AVERAGE('5.8 KIKORONGO-BWERA'!C21,'6.8 KIKORONGO-BWERA'!C21,'7.8 KIKORONGO-BWERA'!C21,'9.8 KIKORONGO-BWERA'!C21,'8.8 KIKORONGO-BWERA-24hr'!C21,'10.8 KIKORONGO-BWERA-24HRS'!C21,'11.8 BWERA-KIKORONGO'!C21)</f>
        <v>4.7142857142857144</v>
      </c>
      <c r="D21" s="49">
        <f>AVERAGE('5.8 KIKORONGO-BWERA'!D21,'6.8 KIKORONGO-BWERA'!D21,'7.8 KIKORONGO-BWERA'!D21,'9.8 KIKORONGO-BWERA'!D21,'8.8 KIKORONGO-BWERA-24hr'!D21,'10.8 KIKORONGO-BWERA-24HRS'!D21,'11.8 BWERA-KIKORONGO'!D21)</f>
        <v>0</v>
      </c>
      <c r="E21" s="49">
        <f>AVERAGE('5.8 KIKORONGO-BWERA'!E21,'6.8 KIKORONGO-BWERA'!E21,'7.8 KIKORONGO-BWERA'!E21,'9.8 KIKORONGO-BWERA'!E21,'8.8 KIKORONGO-BWERA-24hr'!E21,'10.8 KIKORONGO-BWERA-24HRS'!E21,'11.8 BWERA-KIKORONGO'!E21)</f>
        <v>2.4285714285714284</v>
      </c>
      <c r="F21" s="49">
        <f>AVERAGE('5.8 KIKORONGO-BWERA'!F21,'6.8 KIKORONGO-BWERA'!F21,'7.8 KIKORONGO-BWERA'!F21,'9.8 KIKORONGO-BWERA'!F21,'8.8 KIKORONGO-BWERA-24hr'!F21,'10.8 KIKORONGO-BWERA-24HRS'!F21,'11.8 BWERA-KIKORONGO'!F21)</f>
        <v>2.5714285714285716</v>
      </c>
      <c r="G21" s="49">
        <f>AVERAGE('5.8 KIKORONGO-BWERA'!G21,'6.8 KIKORONGO-BWERA'!G21,'7.8 KIKORONGO-BWERA'!G21,'9.8 KIKORONGO-BWERA'!G21,'8.8 KIKORONGO-BWERA-24hr'!G21,'10.8 KIKORONGO-BWERA-24HRS'!G21,'11.8 BWERA-KIKORONGO'!G21)</f>
        <v>0</v>
      </c>
      <c r="H21" s="49">
        <f>AVERAGE('5.8 KIKORONGO-BWERA'!H21,'6.8 KIKORONGO-BWERA'!H21,'7.8 KIKORONGO-BWERA'!H21,'9.8 KIKORONGO-BWERA'!H21,'8.8 KIKORONGO-BWERA-24hr'!H21,'10.8 KIKORONGO-BWERA-24HRS'!H21,'11.8 BWERA-KIKORONGO'!H21)</f>
        <v>0.42857142857142855</v>
      </c>
      <c r="I21" s="49">
        <f>AVERAGE('5.8 KIKORONGO-BWERA'!I21,'6.8 KIKORONGO-BWERA'!I21,'7.8 KIKORONGO-BWERA'!I21,'9.8 KIKORONGO-BWERA'!I21,'8.8 KIKORONGO-BWERA-24hr'!I21,'10.8 KIKORONGO-BWERA-24HRS'!I21,'11.8 BWERA-KIKORONGO'!I21)</f>
        <v>1</v>
      </c>
      <c r="J21" s="49">
        <f>AVERAGE('5.8 KIKORONGO-BWERA'!J21,'6.8 KIKORONGO-BWERA'!J21,'7.8 KIKORONGO-BWERA'!J21,'9.8 KIKORONGO-BWERA'!J21,'8.8 KIKORONGO-BWERA-24hr'!J21,'10.8 KIKORONGO-BWERA-24HRS'!J21,'11.8 BWERA-KIKORONGO'!J21)</f>
        <v>0</v>
      </c>
      <c r="K21" s="49">
        <f>AVERAGE('5.8 KIKORONGO-BWERA'!K21,'6.8 KIKORONGO-BWERA'!K21,'7.8 KIKORONGO-BWERA'!K21,'9.8 KIKORONGO-BWERA'!K21,'8.8 KIKORONGO-BWERA-24hr'!K21,'10.8 KIKORONGO-BWERA-24HRS'!K21,'11.8 BWERA-KIKORONGO'!K21)</f>
        <v>0.14285714285714285</v>
      </c>
      <c r="L21" s="49">
        <f>AVERAGE('5.8 KIKORONGO-BWERA'!L21,'6.8 KIKORONGO-BWERA'!L21,'7.8 KIKORONGO-BWERA'!L21,'9.8 KIKORONGO-BWERA'!L21,'8.8 KIKORONGO-BWERA-24hr'!L21,'10.8 KIKORONGO-BWERA-24HRS'!L21,'11.8 BWERA-KIKORONGO'!L21)</f>
        <v>0.14285714285714285</v>
      </c>
      <c r="M21" s="49">
        <f>AVERAGE('5.8 KIKORONGO-BWERA'!M21,'6.8 KIKORONGO-BWERA'!M21,'7.8 KIKORONGO-BWERA'!M21,'9.8 KIKORONGO-BWERA'!M21,'8.8 KIKORONGO-BWERA-24hr'!M21,'10.8 KIKORONGO-BWERA-24HRS'!M21,'11.8 BWERA-KIKORONGO'!M21)</f>
        <v>3.7142857142857144</v>
      </c>
      <c r="N21" s="49">
        <f>AVERAGE('5.8 KIKORONGO-BWERA'!N21,'6.8 KIKORONGO-BWERA'!N21,'7.8 KIKORONGO-BWERA'!N21,'9.8 KIKORONGO-BWERA'!N21,'8.8 KIKORONGO-BWERA-24hr'!N21,'10.8 KIKORONGO-BWERA-24HRS'!N21,'11.8 BWERA-KIKORONGO'!N21)</f>
        <v>0.14285714285714285</v>
      </c>
      <c r="O21" s="15">
        <f t="shared" si="0"/>
        <v>11.571428571428569</v>
      </c>
      <c r="P21" s="15">
        <f t="shared" si="1"/>
        <v>15.285714285714285</v>
      </c>
      <c r="R21" s="36" t="s">
        <v>20</v>
      </c>
      <c r="S21" s="34">
        <f t="shared" ref="S21:AF21" si="13">SUM(C54:C57)</f>
        <v>12.428571428571429</v>
      </c>
      <c r="T21" s="17">
        <f t="shared" si="13"/>
        <v>0</v>
      </c>
      <c r="U21" s="17">
        <f t="shared" si="13"/>
        <v>10.285714285714285</v>
      </c>
      <c r="V21" s="17">
        <f t="shared" si="13"/>
        <v>10.428571428571429</v>
      </c>
      <c r="W21" s="17">
        <f t="shared" si="13"/>
        <v>0.2857142857142857</v>
      </c>
      <c r="X21" s="17">
        <f t="shared" si="13"/>
        <v>0.14285714285714285</v>
      </c>
      <c r="Y21" s="17">
        <f t="shared" si="13"/>
        <v>6.7142857142857153</v>
      </c>
      <c r="Z21" s="17">
        <f t="shared" si="13"/>
        <v>0.5714285714285714</v>
      </c>
      <c r="AA21" s="17">
        <f t="shared" si="13"/>
        <v>0.5714285714285714</v>
      </c>
      <c r="AB21" s="17">
        <f t="shared" si="13"/>
        <v>4.7142857142857144</v>
      </c>
      <c r="AC21" s="17">
        <f t="shared" si="13"/>
        <v>12.285714285714286</v>
      </c>
      <c r="AD21" s="17">
        <f t="shared" si="13"/>
        <v>0.42857142857142855</v>
      </c>
      <c r="AE21" s="31">
        <f t="shared" si="13"/>
        <v>46.571428571428569</v>
      </c>
      <c r="AF21" s="31">
        <f t="shared" si="13"/>
        <v>58.857142857142861</v>
      </c>
    </row>
    <row r="22" spans="2:32" ht="23.1" customHeight="1" x14ac:dyDescent="0.25">
      <c r="B22" s="23" t="s">
        <v>49</v>
      </c>
      <c r="C22" s="49">
        <f>AVERAGE('5.8 KIKORONGO-BWERA'!C22,'6.8 KIKORONGO-BWERA'!C22,'7.8 KIKORONGO-BWERA'!C22,'9.8 KIKORONGO-BWERA'!C22,'8.8 KIKORONGO-BWERA-24hr'!C22,'10.8 KIKORONGO-BWERA-24HRS'!C22,'11.8 BWERA-KIKORONGO'!C22)</f>
        <v>2.5714285714285716</v>
      </c>
      <c r="D22" s="49">
        <f>AVERAGE('5.8 KIKORONGO-BWERA'!D22,'6.8 KIKORONGO-BWERA'!D22,'7.8 KIKORONGO-BWERA'!D22,'9.8 KIKORONGO-BWERA'!D22,'8.8 KIKORONGO-BWERA-24hr'!D22,'10.8 KIKORONGO-BWERA-24HRS'!D22,'11.8 BWERA-KIKORONGO'!D22)</f>
        <v>0</v>
      </c>
      <c r="E22" s="49">
        <f>AVERAGE('5.8 KIKORONGO-BWERA'!E22,'6.8 KIKORONGO-BWERA'!E22,'7.8 KIKORONGO-BWERA'!E22,'9.8 KIKORONGO-BWERA'!E22,'8.8 KIKORONGO-BWERA-24hr'!E22,'10.8 KIKORONGO-BWERA-24HRS'!E22,'11.8 BWERA-KIKORONGO'!E22)</f>
        <v>2</v>
      </c>
      <c r="F22" s="49">
        <f>AVERAGE('5.8 KIKORONGO-BWERA'!F22,'6.8 KIKORONGO-BWERA'!F22,'7.8 KIKORONGO-BWERA'!F22,'9.8 KIKORONGO-BWERA'!F22,'8.8 KIKORONGO-BWERA-24hr'!F22,'10.8 KIKORONGO-BWERA-24HRS'!F22,'11.8 BWERA-KIKORONGO'!F22)</f>
        <v>3</v>
      </c>
      <c r="G22" s="49">
        <f>AVERAGE('5.8 KIKORONGO-BWERA'!G22,'6.8 KIKORONGO-BWERA'!G22,'7.8 KIKORONGO-BWERA'!G22,'9.8 KIKORONGO-BWERA'!G22,'8.8 KIKORONGO-BWERA-24hr'!G22,'10.8 KIKORONGO-BWERA-24HRS'!G22,'11.8 BWERA-KIKORONGO'!G22)</f>
        <v>0</v>
      </c>
      <c r="H22" s="49">
        <f>AVERAGE('5.8 KIKORONGO-BWERA'!H22,'6.8 KIKORONGO-BWERA'!H22,'7.8 KIKORONGO-BWERA'!H22,'9.8 KIKORONGO-BWERA'!H22,'8.8 KIKORONGO-BWERA-24hr'!H22,'10.8 KIKORONGO-BWERA-24HRS'!H22,'11.8 BWERA-KIKORONGO'!H22)</f>
        <v>0</v>
      </c>
      <c r="I22" s="49">
        <f>AVERAGE('5.8 KIKORONGO-BWERA'!I22,'6.8 KIKORONGO-BWERA'!I22,'7.8 KIKORONGO-BWERA'!I22,'9.8 KIKORONGO-BWERA'!I22,'8.8 KIKORONGO-BWERA-24hr'!I22,'10.8 KIKORONGO-BWERA-24HRS'!I22,'11.8 BWERA-KIKORONGO'!I22)</f>
        <v>0.7142857142857143</v>
      </c>
      <c r="J22" s="49">
        <f>AVERAGE('5.8 KIKORONGO-BWERA'!J22,'6.8 KIKORONGO-BWERA'!J22,'7.8 KIKORONGO-BWERA'!J22,'9.8 KIKORONGO-BWERA'!J22,'8.8 KIKORONGO-BWERA-24hr'!J22,'10.8 KIKORONGO-BWERA-24HRS'!J22,'11.8 BWERA-KIKORONGO'!J22)</f>
        <v>0.14285714285714285</v>
      </c>
      <c r="K22" s="49">
        <f>AVERAGE('5.8 KIKORONGO-BWERA'!K22,'6.8 KIKORONGO-BWERA'!K22,'7.8 KIKORONGO-BWERA'!K22,'9.8 KIKORONGO-BWERA'!K22,'8.8 KIKORONGO-BWERA-24hr'!K22,'10.8 KIKORONGO-BWERA-24HRS'!K22,'11.8 BWERA-KIKORONGO'!K22)</f>
        <v>0.2857142857142857</v>
      </c>
      <c r="L22" s="49">
        <f>AVERAGE('5.8 KIKORONGO-BWERA'!L22,'6.8 KIKORONGO-BWERA'!L22,'7.8 KIKORONGO-BWERA'!L22,'9.8 KIKORONGO-BWERA'!L22,'8.8 KIKORONGO-BWERA-24hr'!L22,'10.8 KIKORONGO-BWERA-24HRS'!L22,'11.8 BWERA-KIKORONGO'!L22)</f>
        <v>0.2857142857142857</v>
      </c>
      <c r="M22" s="49">
        <f>AVERAGE('5.8 KIKORONGO-BWERA'!M22,'6.8 KIKORONGO-BWERA'!M22,'7.8 KIKORONGO-BWERA'!M22,'9.8 KIKORONGO-BWERA'!M22,'8.8 KIKORONGO-BWERA-24hr'!M22,'10.8 KIKORONGO-BWERA-24HRS'!M22,'11.8 BWERA-KIKORONGO'!M22)</f>
        <v>3.8571428571428572</v>
      </c>
      <c r="N22" s="49">
        <f>AVERAGE('5.8 KIKORONGO-BWERA'!N22,'6.8 KIKORONGO-BWERA'!N22,'7.8 KIKORONGO-BWERA'!N22,'9.8 KIKORONGO-BWERA'!N22,'8.8 KIKORONGO-BWERA-24hr'!N22,'10.8 KIKORONGO-BWERA-24HRS'!N22,'11.8 BWERA-KIKORONGO'!N22)</f>
        <v>0</v>
      </c>
      <c r="O22" s="15">
        <f t="shared" si="0"/>
        <v>9</v>
      </c>
      <c r="P22" s="15">
        <f t="shared" si="1"/>
        <v>12.857142857142858</v>
      </c>
      <c r="R22" s="1" t="s">
        <v>146</v>
      </c>
      <c r="S22" s="34">
        <f>SUM(C58:C61)</f>
        <v>19.5</v>
      </c>
      <c r="T22" s="34">
        <f t="shared" ref="T22:AF22" si="14">SUM(D58:D61)</f>
        <v>0</v>
      </c>
      <c r="U22" s="34">
        <f t="shared" si="14"/>
        <v>7.5</v>
      </c>
      <c r="V22" s="34">
        <f t="shared" si="14"/>
        <v>9.5</v>
      </c>
      <c r="W22" s="34">
        <f t="shared" si="14"/>
        <v>0</v>
      </c>
      <c r="X22" s="34">
        <f t="shared" si="14"/>
        <v>1</v>
      </c>
      <c r="Y22" s="34">
        <f t="shared" si="14"/>
        <v>4</v>
      </c>
      <c r="Z22" s="34">
        <f t="shared" si="14"/>
        <v>1</v>
      </c>
      <c r="AA22" s="34">
        <f t="shared" si="14"/>
        <v>0</v>
      </c>
      <c r="AB22" s="34">
        <f t="shared" si="14"/>
        <v>5.5</v>
      </c>
      <c r="AC22" s="34">
        <f t="shared" si="14"/>
        <v>12.5</v>
      </c>
      <c r="AD22" s="34">
        <f t="shared" si="14"/>
        <v>0</v>
      </c>
      <c r="AE22" s="31">
        <f t="shared" si="14"/>
        <v>48</v>
      </c>
      <c r="AF22" s="31">
        <f t="shared" si="14"/>
        <v>60.5</v>
      </c>
    </row>
    <row r="23" spans="2:32" ht="23.1" customHeight="1" x14ac:dyDescent="0.25">
      <c r="B23" s="23" t="s">
        <v>50</v>
      </c>
      <c r="C23" s="49">
        <f>AVERAGE('5.8 KIKORONGO-BWERA'!C23,'6.8 KIKORONGO-BWERA'!C23,'7.8 KIKORONGO-BWERA'!C23,'9.8 KIKORONGO-BWERA'!C23,'8.8 KIKORONGO-BWERA-24hr'!C23,'10.8 KIKORONGO-BWERA-24HRS'!C23,'11.8 BWERA-KIKORONGO'!C23)</f>
        <v>3.4285714285714284</v>
      </c>
      <c r="D23" s="49">
        <f>AVERAGE('5.8 KIKORONGO-BWERA'!D23,'6.8 KIKORONGO-BWERA'!D23,'7.8 KIKORONGO-BWERA'!D23,'9.8 KIKORONGO-BWERA'!D23,'8.8 KIKORONGO-BWERA-24hr'!D23,'10.8 KIKORONGO-BWERA-24HRS'!D23,'11.8 BWERA-KIKORONGO'!D23)</f>
        <v>0</v>
      </c>
      <c r="E23" s="49">
        <f>AVERAGE('5.8 KIKORONGO-BWERA'!E23,'6.8 KIKORONGO-BWERA'!E23,'7.8 KIKORONGO-BWERA'!E23,'9.8 KIKORONGO-BWERA'!E23,'8.8 KIKORONGO-BWERA-24hr'!E23,'10.8 KIKORONGO-BWERA-24HRS'!E23,'11.8 BWERA-KIKORONGO'!E23)</f>
        <v>2</v>
      </c>
      <c r="F23" s="49">
        <f>AVERAGE('5.8 KIKORONGO-BWERA'!F23,'6.8 KIKORONGO-BWERA'!F23,'7.8 KIKORONGO-BWERA'!F23,'9.8 KIKORONGO-BWERA'!F23,'8.8 KIKORONGO-BWERA-24hr'!F23,'10.8 KIKORONGO-BWERA-24HRS'!F23,'11.8 BWERA-KIKORONGO'!F23)</f>
        <v>2</v>
      </c>
      <c r="G23" s="49">
        <f>AVERAGE('5.8 KIKORONGO-BWERA'!G23,'6.8 KIKORONGO-BWERA'!G23,'7.8 KIKORONGO-BWERA'!G23,'9.8 KIKORONGO-BWERA'!G23,'8.8 KIKORONGO-BWERA-24hr'!G23,'10.8 KIKORONGO-BWERA-24HRS'!G23,'11.8 BWERA-KIKORONGO'!G23)</f>
        <v>0</v>
      </c>
      <c r="H23" s="49">
        <f>AVERAGE('5.8 KIKORONGO-BWERA'!H23,'6.8 KIKORONGO-BWERA'!H23,'7.8 KIKORONGO-BWERA'!H23,'9.8 KIKORONGO-BWERA'!H23,'8.8 KIKORONGO-BWERA-24hr'!H23,'10.8 KIKORONGO-BWERA-24HRS'!H23,'11.8 BWERA-KIKORONGO'!H23)</f>
        <v>0</v>
      </c>
      <c r="I23" s="49">
        <f>AVERAGE('5.8 KIKORONGO-BWERA'!I23,'6.8 KIKORONGO-BWERA'!I23,'7.8 KIKORONGO-BWERA'!I23,'9.8 KIKORONGO-BWERA'!I23,'8.8 KIKORONGO-BWERA-24hr'!I23,'10.8 KIKORONGO-BWERA-24HRS'!I23,'11.8 BWERA-KIKORONGO'!I23)</f>
        <v>0.42857142857142855</v>
      </c>
      <c r="J23" s="49">
        <f>AVERAGE('5.8 KIKORONGO-BWERA'!J23,'6.8 KIKORONGO-BWERA'!J23,'7.8 KIKORONGO-BWERA'!J23,'9.8 KIKORONGO-BWERA'!J23,'8.8 KIKORONGO-BWERA-24hr'!J23,'10.8 KIKORONGO-BWERA-24HRS'!J23,'11.8 BWERA-KIKORONGO'!J23)</f>
        <v>0</v>
      </c>
      <c r="K23" s="49">
        <f>AVERAGE('5.8 KIKORONGO-BWERA'!K23,'6.8 KIKORONGO-BWERA'!K23,'7.8 KIKORONGO-BWERA'!K23,'9.8 KIKORONGO-BWERA'!K23,'8.8 KIKORONGO-BWERA-24hr'!K23,'10.8 KIKORONGO-BWERA-24HRS'!K23,'11.8 BWERA-KIKORONGO'!K23)</f>
        <v>0.2857142857142857</v>
      </c>
      <c r="L23" s="49">
        <f>AVERAGE('5.8 KIKORONGO-BWERA'!L23,'6.8 KIKORONGO-BWERA'!L23,'7.8 KIKORONGO-BWERA'!L23,'9.8 KIKORONGO-BWERA'!L23,'8.8 KIKORONGO-BWERA-24hr'!L23,'10.8 KIKORONGO-BWERA-24HRS'!L23,'11.8 BWERA-KIKORONGO'!L23)</f>
        <v>0.14285714285714285</v>
      </c>
      <c r="M23" s="49">
        <f>AVERAGE('5.8 KIKORONGO-BWERA'!M23,'6.8 KIKORONGO-BWERA'!M23,'7.8 KIKORONGO-BWERA'!M23,'9.8 KIKORONGO-BWERA'!M23,'8.8 KIKORONGO-BWERA-24hr'!M23,'10.8 KIKORONGO-BWERA-24HRS'!M23,'11.8 BWERA-KIKORONGO'!M23)</f>
        <v>3.4285714285714284</v>
      </c>
      <c r="N23" s="49">
        <f>AVERAGE('5.8 KIKORONGO-BWERA'!N23,'6.8 KIKORONGO-BWERA'!N23,'7.8 KIKORONGO-BWERA'!N23,'9.8 KIKORONGO-BWERA'!N23,'8.8 KIKORONGO-BWERA-24hr'!N23,'10.8 KIKORONGO-BWERA-24HRS'!N23,'11.8 BWERA-KIKORONGO'!N23)</f>
        <v>0</v>
      </c>
      <c r="O23" s="15">
        <f t="shared" si="0"/>
        <v>8.2857142857142865</v>
      </c>
      <c r="P23" s="15">
        <f t="shared" si="1"/>
        <v>11.714285714285715</v>
      </c>
      <c r="R23" s="1" t="s">
        <v>147</v>
      </c>
      <c r="S23" s="34">
        <f>SUM(C62:C65)</f>
        <v>13</v>
      </c>
      <c r="T23" s="34">
        <f t="shared" ref="T23:AF23" si="15">SUM(D62:D65)</f>
        <v>0</v>
      </c>
      <c r="U23" s="34">
        <f t="shared" si="15"/>
        <v>2</v>
      </c>
      <c r="V23" s="34">
        <f t="shared" si="15"/>
        <v>6</v>
      </c>
      <c r="W23" s="34">
        <f t="shared" si="15"/>
        <v>0</v>
      </c>
      <c r="X23" s="34">
        <f t="shared" si="15"/>
        <v>0.5</v>
      </c>
      <c r="Y23" s="34">
        <f t="shared" si="15"/>
        <v>2.5</v>
      </c>
      <c r="Z23" s="34">
        <f t="shared" si="15"/>
        <v>0</v>
      </c>
      <c r="AA23" s="34">
        <f t="shared" si="15"/>
        <v>0</v>
      </c>
      <c r="AB23" s="34">
        <f t="shared" si="15"/>
        <v>4</v>
      </c>
      <c r="AC23" s="34">
        <f t="shared" si="15"/>
        <v>4.5</v>
      </c>
      <c r="AD23" s="34">
        <f t="shared" si="15"/>
        <v>0</v>
      </c>
      <c r="AE23" s="31">
        <f t="shared" si="15"/>
        <v>28</v>
      </c>
      <c r="AF23" s="31">
        <f t="shared" si="15"/>
        <v>32.5</v>
      </c>
    </row>
    <row r="24" spans="2:32" ht="23.1" customHeight="1" x14ac:dyDescent="0.25">
      <c r="B24" s="23" t="s">
        <v>51</v>
      </c>
      <c r="C24" s="49">
        <f>AVERAGE('5.8 KIKORONGO-BWERA'!C24,'6.8 KIKORONGO-BWERA'!C24,'7.8 KIKORONGO-BWERA'!C24,'9.8 KIKORONGO-BWERA'!C24,'8.8 KIKORONGO-BWERA-24hr'!C24,'10.8 KIKORONGO-BWERA-24HRS'!C24,'11.8 BWERA-KIKORONGO'!C24)</f>
        <v>4</v>
      </c>
      <c r="D24" s="49">
        <f>AVERAGE('5.8 KIKORONGO-BWERA'!D24,'6.8 KIKORONGO-BWERA'!D24,'7.8 KIKORONGO-BWERA'!D24,'9.8 KIKORONGO-BWERA'!D24,'8.8 KIKORONGO-BWERA-24hr'!D24,'10.8 KIKORONGO-BWERA-24HRS'!D24,'11.8 BWERA-KIKORONGO'!D24)</f>
        <v>0</v>
      </c>
      <c r="E24" s="49">
        <f>AVERAGE('5.8 KIKORONGO-BWERA'!E24,'6.8 KIKORONGO-BWERA'!E24,'7.8 KIKORONGO-BWERA'!E24,'9.8 KIKORONGO-BWERA'!E24,'8.8 KIKORONGO-BWERA-24hr'!E24,'10.8 KIKORONGO-BWERA-24HRS'!E24,'11.8 BWERA-KIKORONGO'!E24)</f>
        <v>1.8571428571428572</v>
      </c>
      <c r="F24" s="49">
        <f>AVERAGE('5.8 KIKORONGO-BWERA'!F24,'6.8 KIKORONGO-BWERA'!F24,'7.8 KIKORONGO-BWERA'!F24,'9.8 KIKORONGO-BWERA'!F24,'8.8 KIKORONGO-BWERA-24hr'!F24,'10.8 KIKORONGO-BWERA-24HRS'!F24,'11.8 BWERA-KIKORONGO'!F24)</f>
        <v>2.1428571428571428</v>
      </c>
      <c r="G24" s="49">
        <f>AVERAGE('5.8 KIKORONGO-BWERA'!G24,'6.8 KIKORONGO-BWERA'!G24,'7.8 KIKORONGO-BWERA'!G24,'9.8 KIKORONGO-BWERA'!G24,'8.8 KIKORONGO-BWERA-24hr'!G24,'10.8 KIKORONGO-BWERA-24HRS'!G24,'11.8 BWERA-KIKORONGO'!G24)</f>
        <v>0.14285714285714285</v>
      </c>
      <c r="H24" s="49">
        <f>AVERAGE('5.8 KIKORONGO-BWERA'!H24,'6.8 KIKORONGO-BWERA'!H24,'7.8 KIKORONGO-BWERA'!H24,'9.8 KIKORONGO-BWERA'!H24,'8.8 KIKORONGO-BWERA-24hr'!H24,'10.8 KIKORONGO-BWERA-24HRS'!H24,'11.8 BWERA-KIKORONGO'!H24)</f>
        <v>0.14285714285714285</v>
      </c>
      <c r="I24" s="49">
        <f>AVERAGE('5.8 KIKORONGO-BWERA'!I24,'6.8 KIKORONGO-BWERA'!I24,'7.8 KIKORONGO-BWERA'!I24,'9.8 KIKORONGO-BWERA'!I24,'8.8 KIKORONGO-BWERA-24hr'!I24,'10.8 KIKORONGO-BWERA-24HRS'!I24,'11.8 BWERA-KIKORONGO'!I24)</f>
        <v>0.7142857142857143</v>
      </c>
      <c r="J24" s="49">
        <f>AVERAGE('5.8 KIKORONGO-BWERA'!J24,'6.8 KIKORONGO-BWERA'!J24,'7.8 KIKORONGO-BWERA'!J24,'9.8 KIKORONGO-BWERA'!J24,'8.8 KIKORONGO-BWERA-24hr'!J24,'10.8 KIKORONGO-BWERA-24HRS'!J24,'11.8 BWERA-KIKORONGO'!J24)</f>
        <v>0.2857142857142857</v>
      </c>
      <c r="K24" s="49">
        <f>AVERAGE('5.8 KIKORONGO-BWERA'!K24,'6.8 KIKORONGO-BWERA'!K24,'7.8 KIKORONGO-BWERA'!K24,'9.8 KIKORONGO-BWERA'!K24,'8.8 KIKORONGO-BWERA-24hr'!K24,'10.8 KIKORONGO-BWERA-24HRS'!K24,'11.8 BWERA-KIKORONGO'!K24)</f>
        <v>0.14285714285714285</v>
      </c>
      <c r="L24" s="49">
        <f>AVERAGE('5.8 KIKORONGO-BWERA'!L24,'6.8 KIKORONGO-BWERA'!L24,'7.8 KIKORONGO-BWERA'!L24,'9.8 KIKORONGO-BWERA'!L24,'8.8 KIKORONGO-BWERA-24hr'!L24,'10.8 KIKORONGO-BWERA-24HRS'!L24,'11.8 BWERA-KIKORONGO'!L24)</f>
        <v>0.2857142857142857</v>
      </c>
      <c r="M24" s="49">
        <f>AVERAGE('5.8 KIKORONGO-BWERA'!M24,'6.8 KIKORONGO-BWERA'!M24,'7.8 KIKORONGO-BWERA'!M24,'9.8 KIKORONGO-BWERA'!M24,'8.8 KIKORONGO-BWERA-24hr'!M24,'10.8 KIKORONGO-BWERA-24HRS'!M24,'11.8 BWERA-KIKORONGO'!M24)</f>
        <v>3.5714285714285716</v>
      </c>
      <c r="N24" s="49">
        <f>AVERAGE('5.8 KIKORONGO-BWERA'!N24,'6.8 KIKORONGO-BWERA'!N24,'7.8 KIKORONGO-BWERA'!N24,'9.8 KIKORONGO-BWERA'!N24,'8.8 KIKORONGO-BWERA-24hr'!N24,'10.8 KIKORONGO-BWERA-24HRS'!N24,'11.8 BWERA-KIKORONGO'!N24)</f>
        <v>0</v>
      </c>
      <c r="O24" s="15">
        <f t="shared" si="0"/>
        <v>9.7142857142857135</v>
      </c>
      <c r="P24" s="15">
        <f t="shared" si="1"/>
        <v>13.285714285714285</v>
      </c>
      <c r="R24" s="1" t="s">
        <v>148</v>
      </c>
      <c r="S24" s="34">
        <f>SUM(C66:C69)</f>
        <v>5.5</v>
      </c>
      <c r="T24" s="34">
        <f t="shared" ref="T24:AF24" si="16">SUM(D66:D69)</f>
        <v>0</v>
      </c>
      <c r="U24" s="34">
        <f t="shared" si="16"/>
        <v>2.5</v>
      </c>
      <c r="V24" s="34">
        <f t="shared" si="16"/>
        <v>7</v>
      </c>
      <c r="W24" s="34">
        <f t="shared" si="16"/>
        <v>0</v>
      </c>
      <c r="X24" s="34">
        <f t="shared" si="16"/>
        <v>1.5</v>
      </c>
      <c r="Y24" s="34">
        <f t="shared" si="16"/>
        <v>6</v>
      </c>
      <c r="Z24" s="34">
        <f t="shared" si="16"/>
        <v>0</v>
      </c>
      <c r="AA24" s="34">
        <f t="shared" si="16"/>
        <v>0</v>
      </c>
      <c r="AB24" s="34">
        <f t="shared" si="16"/>
        <v>1</v>
      </c>
      <c r="AC24" s="34">
        <f t="shared" si="16"/>
        <v>2.5</v>
      </c>
      <c r="AD24" s="34">
        <f t="shared" si="16"/>
        <v>0</v>
      </c>
      <c r="AE24" s="31">
        <f t="shared" si="16"/>
        <v>23.5</v>
      </c>
      <c r="AF24" s="31">
        <f t="shared" si="16"/>
        <v>26</v>
      </c>
    </row>
    <row r="25" spans="2:32" ht="23.1" customHeight="1" x14ac:dyDescent="0.25">
      <c r="B25" s="23" t="s">
        <v>52</v>
      </c>
      <c r="C25" s="49">
        <f>AVERAGE('5.8 KIKORONGO-BWERA'!C25,'6.8 KIKORONGO-BWERA'!C25,'7.8 KIKORONGO-BWERA'!C25,'9.8 KIKORONGO-BWERA'!C25,'8.8 KIKORONGO-BWERA-24hr'!C25,'10.8 KIKORONGO-BWERA-24HRS'!C25,'11.8 BWERA-KIKORONGO'!C25)</f>
        <v>3.5714285714285716</v>
      </c>
      <c r="D25" s="49">
        <f>AVERAGE('5.8 KIKORONGO-BWERA'!D25,'6.8 KIKORONGO-BWERA'!D25,'7.8 KIKORONGO-BWERA'!D25,'9.8 KIKORONGO-BWERA'!D25,'8.8 KIKORONGO-BWERA-24hr'!D25,'10.8 KIKORONGO-BWERA-24HRS'!D25,'11.8 BWERA-KIKORONGO'!D25)</f>
        <v>0</v>
      </c>
      <c r="E25" s="49">
        <f>AVERAGE('5.8 KIKORONGO-BWERA'!E25,'6.8 KIKORONGO-BWERA'!E25,'7.8 KIKORONGO-BWERA'!E25,'9.8 KIKORONGO-BWERA'!E25,'8.8 KIKORONGO-BWERA-24hr'!E25,'10.8 KIKORONGO-BWERA-24HRS'!E25,'11.8 BWERA-KIKORONGO'!E25)</f>
        <v>1.5714285714285714</v>
      </c>
      <c r="F25" s="49">
        <f>AVERAGE('5.8 KIKORONGO-BWERA'!F25,'6.8 KIKORONGO-BWERA'!F25,'7.8 KIKORONGO-BWERA'!F25,'9.8 KIKORONGO-BWERA'!F25,'8.8 KIKORONGO-BWERA-24hr'!F25,'10.8 KIKORONGO-BWERA-24HRS'!F25,'11.8 BWERA-KIKORONGO'!F25)</f>
        <v>2</v>
      </c>
      <c r="G25" s="49">
        <f>AVERAGE('5.8 KIKORONGO-BWERA'!G25,'6.8 KIKORONGO-BWERA'!G25,'7.8 KIKORONGO-BWERA'!G25,'9.8 KIKORONGO-BWERA'!G25,'8.8 KIKORONGO-BWERA-24hr'!G25,'10.8 KIKORONGO-BWERA-24HRS'!G25,'11.8 BWERA-KIKORONGO'!G25)</f>
        <v>0</v>
      </c>
      <c r="H25" s="49">
        <f>AVERAGE('5.8 KIKORONGO-BWERA'!H25,'6.8 KIKORONGO-BWERA'!H25,'7.8 KIKORONGO-BWERA'!H25,'9.8 KIKORONGO-BWERA'!H25,'8.8 KIKORONGO-BWERA-24hr'!H25,'10.8 KIKORONGO-BWERA-24HRS'!H25,'11.8 BWERA-KIKORONGO'!H25)</f>
        <v>0.5714285714285714</v>
      </c>
      <c r="I25" s="49">
        <f>AVERAGE('5.8 KIKORONGO-BWERA'!I25,'6.8 KIKORONGO-BWERA'!I25,'7.8 KIKORONGO-BWERA'!I25,'9.8 KIKORONGO-BWERA'!I25,'8.8 KIKORONGO-BWERA-24hr'!I25,'10.8 KIKORONGO-BWERA-24HRS'!I25,'11.8 BWERA-KIKORONGO'!I25)</f>
        <v>1.7142857142857142</v>
      </c>
      <c r="J25" s="49">
        <f>AVERAGE('5.8 KIKORONGO-BWERA'!J25,'6.8 KIKORONGO-BWERA'!J25,'7.8 KIKORONGO-BWERA'!J25,'9.8 KIKORONGO-BWERA'!J25,'8.8 KIKORONGO-BWERA-24hr'!J25,'10.8 KIKORONGO-BWERA-24HRS'!J25,'11.8 BWERA-KIKORONGO'!J25)</f>
        <v>0.14285714285714285</v>
      </c>
      <c r="K25" s="49">
        <f>AVERAGE('5.8 KIKORONGO-BWERA'!K25,'6.8 KIKORONGO-BWERA'!K25,'7.8 KIKORONGO-BWERA'!K25,'9.8 KIKORONGO-BWERA'!K25,'8.8 KIKORONGO-BWERA-24hr'!K25,'10.8 KIKORONGO-BWERA-24HRS'!K25,'11.8 BWERA-KIKORONGO'!K25)</f>
        <v>0.42857142857142855</v>
      </c>
      <c r="L25" s="49">
        <f>AVERAGE('5.8 KIKORONGO-BWERA'!L25,'6.8 KIKORONGO-BWERA'!L25,'7.8 KIKORONGO-BWERA'!L25,'9.8 KIKORONGO-BWERA'!L25,'8.8 KIKORONGO-BWERA-24hr'!L25,'10.8 KIKORONGO-BWERA-24HRS'!L25,'11.8 BWERA-KIKORONGO'!L25)</f>
        <v>0.42857142857142855</v>
      </c>
      <c r="M25" s="49">
        <f>AVERAGE('5.8 KIKORONGO-BWERA'!M25,'6.8 KIKORONGO-BWERA'!M25,'7.8 KIKORONGO-BWERA'!M25,'9.8 KIKORONGO-BWERA'!M25,'8.8 KIKORONGO-BWERA-24hr'!M25,'10.8 KIKORONGO-BWERA-24HRS'!M25,'11.8 BWERA-KIKORONGO'!M25)</f>
        <v>3.7142857142857144</v>
      </c>
      <c r="N25" s="49">
        <f>AVERAGE('5.8 KIKORONGO-BWERA'!N25,'6.8 KIKORONGO-BWERA'!N25,'7.8 KIKORONGO-BWERA'!N25,'9.8 KIKORONGO-BWERA'!N25,'8.8 KIKORONGO-BWERA-24hr'!N25,'10.8 KIKORONGO-BWERA-24HRS'!N25,'11.8 BWERA-KIKORONGO'!N25)</f>
        <v>0</v>
      </c>
      <c r="O25" s="15">
        <f t="shared" si="0"/>
        <v>10.428571428571429</v>
      </c>
      <c r="P25" s="15">
        <f t="shared" si="1"/>
        <v>14.142857142857142</v>
      </c>
      <c r="R25" s="1" t="s">
        <v>149</v>
      </c>
      <c r="S25" s="34">
        <f>SUM(C70:C73)</f>
        <v>5.5</v>
      </c>
      <c r="T25" s="34">
        <f t="shared" ref="T25:AF25" si="17">SUM(D70:D73)</f>
        <v>0</v>
      </c>
      <c r="U25" s="34">
        <f t="shared" si="17"/>
        <v>0</v>
      </c>
      <c r="V25" s="34">
        <f t="shared" si="17"/>
        <v>4</v>
      </c>
      <c r="W25" s="34">
        <f t="shared" si="17"/>
        <v>0</v>
      </c>
      <c r="X25" s="34">
        <f t="shared" si="17"/>
        <v>0.5</v>
      </c>
      <c r="Y25" s="34">
        <f t="shared" si="17"/>
        <v>4.5</v>
      </c>
      <c r="Z25" s="34">
        <f t="shared" si="17"/>
        <v>0</v>
      </c>
      <c r="AA25" s="34">
        <f t="shared" si="17"/>
        <v>0</v>
      </c>
      <c r="AB25" s="34">
        <f t="shared" si="17"/>
        <v>2.5</v>
      </c>
      <c r="AC25" s="34">
        <f t="shared" si="17"/>
        <v>1.5</v>
      </c>
      <c r="AD25" s="34">
        <f t="shared" si="17"/>
        <v>0</v>
      </c>
      <c r="AE25" s="31">
        <f t="shared" si="17"/>
        <v>17</v>
      </c>
      <c r="AF25" s="31">
        <f t="shared" si="17"/>
        <v>18.5</v>
      </c>
    </row>
    <row r="26" spans="2:32" ht="23.1" customHeight="1" x14ac:dyDescent="0.25">
      <c r="B26" s="23" t="s">
        <v>53</v>
      </c>
      <c r="C26" s="49">
        <f>AVERAGE('5.8 KIKORONGO-BWERA'!C26,'6.8 KIKORONGO-BWERA'!C26,'7.8 KIKORONGO-BWERA'!C26,'9.8 KIKORONGO-BWERA'!C26,'8.8 KIKORONGO-BWERA-24hr'!C26,'10.8 KIKORONGO-BWERA-24HRS'!C26,'11.8 BWERA-KIKORONGO'!C26)</f>
        <v>4.4285714285714288</v>
      </c>
      <c r="D26" s="49">
        <f>AVERAGE('5.8 KIKORONGO-BWERA'!D26,'6.8 KIKORONGO-BWERA'!D26,'7.8 KIKORONGO-BWERA'!D26,'9.8 KIKORONGO-BWERA'!D26,'8.8 KIKORONGO-BWERA-24hr'!D26,'10.8 KIKORONGO-BWERA-24HRS'!D26,'11.8 BWERA-KIKORONGO'!D26)</f>
        <v>0</v>
      </c>
      <c r="E26" s="49">
        <f>AVERAGE('5.8 KIKORONGO-BWERA'!E26,'6.8 KIKORONGO-BWERA'!E26,'7.8 KIKORONGO-BWERA'!E26,'9.8 KIKORONGO-BWERA'!E26,'8.8 KIKORONGO-BWERA-24hr'!E26,'10.8 KIKORONGO-BWERA-24HRS'!E26,'11.8 BWERA-KIKORONGO'!E26)</f>
        <v>1.1428571428571428</v>
      </c>
      <c r="F26" s="49">
        <f>AVERAGE('5.8 KIKORONGO-BWERA'!F26,'6.8 KIKORONGO-BWERA'!F26,'7.8 KIKORONGO-BWERA'!F26,'9.8 KIKORONGO-BWERA'!F26,'8.8 KIKORONGO-BWERA-24hr'!F26,'10.8 KIKORONGO-BWERA-24HRS'!F26,'11.8 BWERA-KIKORONGO'!F26)</f>
        <v>1.4285714285714286</v>
      </c>
      <c r="G26" s="49">
        <f>AVERAGE('5.8 KIKORONGO-BWERA'!G26,'6.8 KIKORONGO-BWERA'!G26,'7.8 KIKORONGO-BWERA'!G26,'9.8 KIKORONGO-BWERA'!G26,'8.8 KIKORONGO-BWERA-24hr'!G26,'10.8 KIKORONGO-BWERA-24HRS'!G26,'11.8 BWERA-KIKORONGO'!G26)</f>
        <v>0</v>
      </c>
      <c r="H26" s="49">
        <f>AVERAGE('5.8 KIKORONGO-BWERA'!H26,'6.8 KIKORONGO-BWERA'!H26,'7.8 KIKORONGO-BWERA'!H26,'9.8 KIKORONGO-BWERA'!H26,'8.8 KIKORONGO-BWERA-24hr'!H26,'10.8 KIKORONGO-BWERA-24HRS'!H26,'11.8 BWERA-KIKORONGO'!H26)</f>
        <v>0.14285714285714285</v>
      </c>
      <c r="I26" s="49">
        <f>AVERAGE('5.8 KIKORONGO-BWERA'!I26,'6.8 KIKORONGO-BWERA'!I26,'7.8 KIKORONGO-BWERA'!I26,'9.8 KIKORONGO-BWERA'!I26,'8.8 KIKORONGO-BWERA-24hr'!I26,'10.8 KIKORONGO-BWERA-24HRS'!I26,'11.8 BWERA-KIKORONGO'!I26)</f>
        <v>1</v>
      </c>
      <c r="J26" s="49">
        <f>AVERAGE('5.8 KIKORONGO-BWERA'!J26,'6.8 KIKORONGO-BWERA'!J26,'7.8 KIKORONGO-BWERA'!J26,'9.8 KIKORONGO-BWERA'!J26,'8.8 KIKORONGO-BWERA-24hr'!J26,'10.8 KIKORONGO-BWERA-24HRS'!J26,'11.8 BWERA-KIKORONGO'!J26)</f>
        <v>0</v>
      </c>
      <c r="K26" s="49">
        <f>AVERAGE('5.8 KIKORONGO-BWERA'!K26,'6.8 KIKORONGO-BWERA'!K26,'7.8 KIKORONGO-BWERA'!K26,'9.8 KIKORONGO-BWERA'!K26,'8.8 KIKORONGO-BWERA-24hr'!K26,'10.8 KIKORONGO-BWERA-24HRS'!K26,'11.8 BWERA-KIKORONGO'!K26)</f>
        <v>0</v>
      </c>
      <c r="L26" s="49">
        <f>AVERAGE('5.8 KIKORONGO-BWERA'!L26,'6.8 KIKORONGO-BWERA'!L26,'7.8 KIKORONGO-BWERA'!L26,'9.8 KIKORONGO-BWERA'!L26,'8.8 KIKORONGO-BWERA-24hr'!L26,'10.8 KIKORONGO-BWERA-24HRS'!L26,'11.8 BWERA-KIKORONGO'!L26)</f>
        <v>0.14285714285714285</v>
      </c>
      <c r="M26" s="49">
        <f>AVERAGE('5.8 KIKORONGO-BWERA'!M26,'6.8 KIKORONGO-BWERA'!M26,'7.8 KIKORONGO-BWERA'!M26,'9.8 KIKORONGO-BWERA'!M26,'8.8 KIKORONGO-BWERA-24hr'!M26,'10.8 KIKORONGO-BWERA-24HRS'!M26,'11.8 BWERA-KIKORONGO'!M26)</f>
        <v>3</v>
      </c>
      <c r="N26" s="49">
        <f>AVERAGE('5.8 KIKORONGO-BWERA'!N26,'6.8 KIKORONGO-BWERA'!N26,'7.8 KIKORONGO-BWERA'!N26,'9.8 KIKORONGO-BWERA'!N26,'8.8 KIKORONGO-BWERA-24hr'!N26,'10.8 KIKORONGO-BWERA-24HRS'!N26,'11.8 BWERA-KIKORONGO'!N26)</f>
        <v>0</v>
      </c>
      <c r="O26" s="15">
        <f t="shared" si="0"/>
        <v>8.2857142857142847</v>
      </c>
      <c r="P26" s="15">
        <f t="shared" si="1"/>
        <v>11.285714285714285</v>
      </c>
      <c r="R26" s="1" t="s">
        <v>150</v>
      </c>
      <c r="S26" s="34">
        <f>SUM(C74:C77)</f>
        <v>2</v>
      </c>
      <c r="T26" s="34">
        <f t="shared" ref="T26:AF26" si="18">SUM(D74:D77)</f>
        <v>0</v>
      </c>
      <c r="U26" s="34">
        <f t="shared" si="18"/>
        <v>0.5</v>
      </c>
      <c r="V26" s="34">
        <f t="shared" si="18"/>
        <v>4</v>
      </c>
      <c r="W26" s="34">
        <f t="shared" si="18"/>
        <v>0</v>
      </c>
      <c r="X26" s="34">
        <f t="shared" si="18"/>
        <v>3</v>
      </c>
      <c r="Y26" s="34">
        <f t="shared" si="18"/>
        <v>0</v>
      </c>
      <c r="Z26" s="34">
        <f t="shared" si="18"/>
        <v>0</v>
      </c>
      <c r="AA26" s="34">
        <f t="shared" si="18"/>
        <v>0</v>
      </c>
      <c r="AB26" s="34">
        <f t="shared" si="18"/>
        <v>2</v>
      </c>
      <c r="AC26" s="34">
        <f t="shared" si="18"/>
        <v>1.5</v>
      </c>
      <c r="AD26" s="34">
        <f t="shared" si="18"/>
        <v>0</v>
      </c>
      <c r="AE26" s="31">
        <f t="shared" si="18"/>
        <v>11.5</v>
      </c>
      <c r="AF26" s="31">
        <f t="shared" si="18"/>
        <v>13</v>
      </c>
    </row>
    <row r="27" spans="2:32" ht="23.1" customHeight="1" x14ac:dyDescent="0.25">
      <c r="B27" s="23" t="s">
        <v>54</v>
      </c>
      <c r="C27" s="49">
        <f>AVERAGE('5.8 KIKORONGO-BWERA'!C27,'6.8 KIKORONGO-BWERA'!C27,'7.8 KIKORONGO-BWERA'!C27,'9.8 KIKORONGO-BWERA'!C27,'8.8 KIKORONGO-BWERA-24hr'!C27,'10.8 KIKORONGO-BWERA-24HRS'!C27,'11.8 BWERA-KIKORONGO'!C27)</f>
        <v>3.8571428571428572</v>
      </c>
      <c r="D27" s="49">
        <f>AVERAGE('5.8 KIKORONGO-BWERA'!D27,'6.8 KIKORONGO-BWERA'!D27,'7.8 KIKORONGO-BWERA'!D27,'9.8 KIKORONGO-BWERA'!D27,'8.8 KIKORONGO-BWERA-24hr'!D27,'10.8 KIKORONGO-BWERA-24HRS'!D27,'11.8 BWERA-KIKORONGO'!D27)</f>
        <v>0</v>
      </c>
      <c r="E27" s="49">
        <f>AVERAGE('5.8 KIKORONGO-BWERA'!E27,'6.8 KIKORONGO-BWERA'!E27,'7.8 KIKORONGO-BWERA'!E27,'9.8 KIKORONGO-BWERA'!E27,'8.8 KIKORONGO-BWERA-24hr'!E27,'10.8 KIKORONGO-BWERA-24HRS'!E27,'11.8 BWERA-KIKORONGO'!E27)</f>
        <v>1.4285714285714286</v>
      </c>
      <c r="F27" s="49">
        <f>AVERAGE('5.8 KIKORONGO-BWERA'!F27,'6.8 KIKORONGO-BWERA'!F27,'7.8 KIKORONGO-BWERA'!F27,'9.8 KIKORONGO-BWERA'!F27,'8.8 KIKORONGO-BWERA-24hr'!F27,'10.8 KIKORONGO-BWERA-24HRS'!F27,'11.8 BWERA-KIKORONGO'!F27)</f>
        <v>2.7142857142857144</v>
      </c>
      <c r="G27" s="49">
        <f>AVERAGE('5.8 KIKORONGO-BWERA'!G27,'6.8 KIKORONGO-BWERA'!G27,'7.8 KIKORONGO-BWERA'!G27,'9.8 KIKORONGO-BWERA'!G27,'8.8 KIKORONGO-BWERA-24hr'!G27,'10.8 KIKORONGO-BWERA-24HRS'!G27,'11.8 BWERA-KIKORONGO'!G27)</f>
        <v>0</v>
      </c>
      <c r="H27" s="49">
        <f>AVERAGE('5.8 KIKORONGO-BWERA'!H27,'6.8 KIKORONGO-BWERA'!H27,'7.8 KIKORONGO-BWERA'!H27,'9.8 KIKORONGO-BWERA'!H27,'8.8 KIKORONGO-BWERA-24hr'!H27,'10.8 KIKORONGO-BWERA-24HRS'!H27,'11.8 BWERA-KIKORONGO'!H27)</f>
        <v>0</v>
      </c>
      <c r="I27" s="49">
        <f>AVERAGE('5.8 KIKORONGO-BWERA'!I27,'6.8 KIKORONGO-BWERA'!I27,'7.8 KIKORONGO-BWERA'!I27,'9.8 KIKORONGO-BWERA'!I27,'8.8 KIKORONGO-BWERA-24hr'!I27,'10.8 KIKORONGO-BWERA-24HRS'!I27,'11.8 BWERA-KIKORONGO'!I27)</f>
        <v>1.5714285714285714</v>
      </c>
      <c r="J27" s="49">
        <f>AVERAGE('5.8 KIKORONGO-BWERA'!J27,'6.8 KIKORONGO-BWERA'!J27,'7.8 KIKORONGO-BWERA'!J27,'9.8 KIKORONGO-BWERA'!J27,'8.8 KIKORONGO-BWERA-24hr'!J27,'10.8 KIKORONGO-BWERA-24HRS'!J27,'11.8 BWERA-KIKORONGO'!J27)</f>
        <v>0.14285714285714285</v>
      </c>
      <c r="K27" s="49">
        <f>AVERAGE('5.8 KIKORONGO-BWERA'!K27,'6.8 KIKORONGO-BWERA'!K27,'7.8 KIKORONGO-BWERA'!K27,'9.8 KIKORONGO-BWERA'!K27,'8.8 KIKORONGO-BWERA-24hr'!K27,'10.8 KIKORONGO-BWERA-24HRS'!K27,'11.8 BWERA-KIKORONGO'!K27)</f>
        <v>0.2857142857142857</v>
      </c>
      <c r="L27" s="49">
        <f>AVERAGE('5.8 KIKORONGO-BWERA'!L27,'6.8 KIKORONGO-BWERA'!L27,'7.8 KIKORONGO-BWERA'!L27,'9.8 KIKORONGO-BWERA'!L27,'8.8 KIKORONGO-BWERA-24hr'!L27,'10.8 KIKORONGO-BWERA-24HRS'!L27,'11.8 BWERA-KIKORONGO'!L27)</f>
        <v>0.42857142857142855</v>
      </c>
      <c r="M27" s="49">
        <f>AVERAGE('5.8 KIKORONGO-BWERA'!M27,'6.8 KIKORONGO-BWERA'!M27,'7.8 KIKORONGO-BWERA'!M27,'9.8 KIKORONGO-BWERA'!M27,'8.8 KIKORONGO-BWERA-24hr'!M27,'10.8 KIKORONGO-BWERA-24HRS'!M27,'11.8 BWERA-KIKORONGO'!M27)</f>
        <v>3</v>
      </c>
      <c r="N27" s="49">
        <f>AVERAGE('5.8 KIKORONGO-BWERA'!N27,'6.8 KIKORONGO-BWERA'!N27,'7.8 KIKORONGO-BWERA'!N27,'9.8 KIKORONGO-BWERA'!N27,'8.8 KIKORONGO-BWERA-24hr'!N27,'10.8 KIKORONGO-BWERA-24HRS'!N27,'11.8 BWERA-KIKORONGO'!N27)</f>
        <v>0</v>
      </c>
      <c r="O27" s="15">
        <f t="shared" si="0"/>
        <v>10.428571428571429</v>
      </c>
      <c r="P27" s="15">
        <f t="shared" si="1"/>
        <v>13.428571428571429</v>
      </c>
      <c r="R27" s="1" t="s">
        <v>151</v>
      </c>
      <c r="S27" s="34">
        <f>SUM(C78:C81)</f>
        <v>4</v>
      </c>
      <c r="T27" s="34">
        <f t="shared" ref="T27:AF27" si="19">SUM(D78:D81)</f>
        <v>0</v>
      </c>
      <c r="U27" s="34">
        <f t="shared" si="19"/>
        <v>0.5</v>
      </c>
      <c r="V27" s="34">
        <f t="shared" si="19"/>
        <v>2.5</v>
      </c>
      <c r="W27" s="34">
        <f t="shared" si="19"/>
        <v>0</v>
      </c>
      <c r="X27" s="34">
        <f t="shared" si="19"/>
        <v>0.5</v>
      </c>
      <c r="Y27" s="34">
        <f t="shared" si="19"/>
        <v>1.5</v>
      </c>
      <c r="Z27" s="34">
        <f t="shared" si="19"/>
        <v>0</v>
      </c>
      <c r="AA27" s="34">
        <f t="shared" si="19"/>
        <v>0</v>
      </c>
      <c r="AB27" s="34">
        <f t="shared" si="19"/>
        <v>1</v>
      </c>
      <c r="AC27" s="34">
        <f t="shared" si="19"/>
        <v>2</v>
      </c>
      <c r="AD27" s="34">
        <f t="shared" si="19"/>
        <v>0</v>
      </c>
      <c r="AE27" s="31">
        <f t="shared" si="19"/>
        <v>10</v>
      </c>
      <c r="AF27" s="31">
        <f t="shared" si="19"/>
        <v>12</v>
      </c>
    </row>
    <row r="28" spans="2:32" ht="23.1" customHeight="1" x14ac:dyDescent="0.25">
      <c r="B28" s="23" t="s">
        <v>55</v>
      </c>
      <c r="C28" s="49">
        <f>AVERAGE('5.8 KIKORONGO-BWERA'!C28,'6.8 KIKORONGO-BWERA'!C28,'7.8 KIKORONGO-BWERA'!C28,'9.8 KIKORONGO-BWERA'!C28,'8.8 KIKORONGO-BWERA-24hr'!C28,'10.8 KIKORONGO-BWERA-24HRS'!C28,'11.8 BWERA-KIKORONGO'!C28)</f>
        <v>4.2857142857142856</v>
      </c>
      <c r="D28" s="49">
        <f>AVERAGE('5.8 KIKORONGO-BWERA'!D28,'6.8 KIKORONGO-BWERA'!D28,'7.8 KIKORONGO-BWERA'!D28,'9.8 KIKORONGO-BWERA'!D28,'8.8 KIKORONGO-BWERA-24hr'!D28,'10.8 KIKORONGO-BWERA-24HRS'!D28,'11.8 BWERA-KIKORONGO'!D28)</f>
        <v>0</v>
      </c>
      <c r="E28" s="49">
        <f>AVERAGE('5.8 KIKORONGO-BWERA'!E28,'6.8 KIKORONGO-BWERA'!E28,'7.8 KIKORONGO-BWERA'!E28,'9.8 KIKORONGO-BWERA'!E28,'8.8 KIKORONGO-BWERA-24hr'!E28,'10.8 KIKORONGO-BWERA-24HRS'!E28,'11.8 BWERA-KIKORONGO'!E28)</f>
        <v>1.7142857142857142</v>
      </c>
      <c r="F28" s="49">
        <f>AVERAGE('5.8 KIKORONGO-BWERA'!F28,'6.8 KIKORONGO-BWERA'!F28,'7.8 KIKORONGO-BWERA'!F28,'9.8 KIKORONGO-BWERA'!F28,'8.8 KIKORONGO-BWERA-24hr'!F28,'10.8 KIKORONGO-BWERA-24HRS'!F28,'11.8 BWERA-KIKORONGO'!F28)</f>
        <v>2.4285714285714284</v>
      </c>
      <c r="G28" s="49">
        <f>AVERAGE('5.8 KIKORONGO-BWERA'!G28,'6.8 KIKORONGO-BWERA'!G28,'7.8 KIKORONGO-BWERA'!G28,'9.8 KIKORONGO-BWERA'!G28,'8.8 KIKORONGO-BWERA-24hr'!G28,'10.8 KIKORONGO-BWERA-24HRS'!G28,'11.8 BWERA-KIKORONGO'!G28)</f>
        <v>0</v>
      </c>
      <c r="H28" s="49">
        <f>AVERAGE('5.8 KIKORONGO-BWERA'!H28,'6.8 KIKORONGO-BWERA'!H28,'7.8 KIKORONGO-BWERA'!H28,'9.8 KIKORONGO-BWERA'!H28,'8.8 KIKORONGO-BWERA-24hr'!H28,'10.8 KIKORONGO-BWERA-24HRS'!H28,'11.8 BWERA-KIKORONGO'!H28)</f>
        <v>0</v>
      </c>
      <c r="I28" s="49">
        <f>AVERAGE('5.8 KIKORONGO-BWERA'!I28,'6.8 KIKORONGO-BWERA'!I28,'7.8 KIKORONGO-BWERA'!I28,'9.8 KIKORONGO-BWERA'!I28,'8.8 KIKORONGO-BWERA-24hr'!I28,'10.8 KIKORONGO-BWERA-24HRS'!I28,'11.8 BWERA-KIKORONGO'!I28)</f>
        <v>1.1428571428571428</v>
      </c>
      <c r="J28" s="49">
        <f>AVERAGE('5.8 KIKORONGO-BWERA'!J28,'6.8 KIKORONGO-BWERA'!J28,'7.8 KIKORONGO-BWERA'!J28,'9.8 KIKORONGO-BWERA'!J28,'8.8 KIKORONGO-BWERA-24hr'!J28,'10.8 KIKORONGO-BWERA-24HRS'!J28,'11.8 BWERA-KIKORONGO'!J28)</f>
        <v>0</v>
      </c>
      <c r="K28" s="49">
        <f>AVERAGE('5.8 KIKORONGO-BWERA'!K28,'6.8 KIKORONGO-BWERA'!K28,'7.8 KIKORONGO-BWERA'!K28,'9.8 KIKORONGO-BWERA'!K28,'8.8 KIKORONGO-BWERA-24hr'!K28,'10.8 KIKORONGO-BWERA-24HRS'!K28,'11.8 BWERA-KIKORONGO'!K28)</f>
        <v>0</v>
      </c>
      <c r="L28" s="49">
        <f>AVERAGE('5.8 KIKORONGO-BWERA'!L28,'6.8 KIKORONGO-BWERA'!L28,'7.8 KIKORONGO-BWERA'!L28,'9.8 KIKORONGO-BWERA'!L28,'8.8 KIKORONGO-BWERA-24hr'!L28,'10.8 KIKORONGO-BWERA-24HRS'!L28,'11.8 BWERA-KIKORONGO'!L28)</f>
        <v>0.8571428571428571</v>
      </c>
      <c r="M28" s="49">
        <f>AVERAGE('5.8 KIKORONGO-BWERA'!M28,'6.8 KIKORONGO-BWERA'!M28,'7.8 KIKORONGO-BWERA'!M28,'9.8 KIKORONGO-BWERA'!M28,'8.8 KIKORONGO-BWERA-24hr'!M28,'10.8 KIKORONGO-BWERA-24HRS'!M28,'11.8 BWERA-KIKORONGO'!M28)</f>
        <v>5.2857142857142856</v>
      </c>
      <c r="N28" s="49">
        <f>AVERAGE('5.8 KIKORONGO-BWERA'!N28,'6.8 KIKORONGO-BWERA'!N28,'7.8 KIKORONGO-BWERA'!N28,'9.8 KIKORONGO-BWERA'!N28,'8.8 KIKORONGO-BWERA-24hr'!N28,'10.8 KIKORONGO-BWERA-24HRS'!N28,'11.8 BWERA-KIKORONGO'!N28)</f>
        <v>0</v>
      </c>
      <c r="O28" s="15">
        <f t="shared" si="0"/>
        <v>10.428571428571429</v>
      </c>
      <c r="P28" s="15">
        <f t="shared" si="1"/>
        <v>15.714285714285715</v>
      </c>
      <c r="R28" s="1" t="s">
        <v>152</v>
      </c>
      <c r="S28" s="34">
        <f>SUM(C82:C85)</f>
        <v>2.5</v>
      </c>
      <c r="T28" s="34">
        <f t="shared" ref="T28:AF28" si="20">SUM(D82:D85)</f>
        <v>0</v>
      </c>
      <c r="U28" s="34">
        <f t="shared" si="20"/>
        <v>0.5</v>
      </c>
      <c r="V28" s="34">
        <f t="shared" si="20"/>
        <v>3</v>
      </c>
      <c r="W28" s="34">
        <f t="shared" si="20"/>
        <v>0</v>
      </c>
      <c r="X28" s="34">
        <f t="shared" si="20"/>
        <v>0</v>
      </c>
      <c r="Y28" s="34">
        <f t="shared" si="20"/>
        <v>1</v>
      </c>
      <c r="Z28" s="34">
        <f t="shared" si="20"/>
        <v>0</v>
      </c>
      <c r="AA28" s="34">
        <f t="shared" si="20"/>
        <v>0</v>
      </c>
      <c r="AB28" s="34">
        <f t="shared" si="20"/>
        <v>0.5</v>
      </c>
      <c r="AC28" s="34">
        <f t="shared" si="20"/>
        <v>0.5</v>
      </c>
      <c r="AD28" s="34">
        <f t="shared" si="20"/>
        <v>0</v>
      </c>
      <c r="AE28" s="31">
        <f t="shared" si="20"/>
        <v>7.5</v>
      </c>
      <c r="AF28" s="31">
        <f t="shared" si="20"/>
        <v>8</v>
      </c>
    </row>
    <row r="29" spans="2:32" ht="23.1" customHeight="1" x14ac:dyDescent="0.25">
      <c r="B29" s="23" t="s">
        <v>56</v>
      </c>
      <c r="C29" s="49">
        <f>AVERAGE('5.8 KIKORONGO-BWERA'!C29,'6.8 KIKORONGO-BWERA'!C29,'7.8 KIKORONGO-BWERA'!C29,'9.8 KIKORONGO-BWERA'!C29,'8.8 KIKORONGO-BWERA-24hr'!C29,'10.8 KIKORONGO-BWERA-24HRS'!C29,'11.8 BWERA-KIKORONGO'!C29)</f>
        <v>4.5714285714285712</v>
      </c>
      <c r="D29" s="49">
        <f>AVERAGE('5.8 KIKORONGO-BWERA'!D29,'6.8 KIKORONGO-BWERA'!D29,'7.8 KIKORONGO-BWERA'!D29,'9.8 KIKORONGO-BWERA'!D29,'8.8 KIKORONGO-BWERA-24hr'!D29,'10.8 KIKORONGO-BWERA-24HRS'!D29,'11.8 BWERA-KIKORONGO'!D29)</f>
        <v>0</v>
      </c>
      <c r="E29" s="49">
        <f>AVERAGE('5.8 KIKORONGO-BWERA'!E29,'6.8 KIKORONGO-BWERA'!E29,'7.8 KIKORONGO-BWERA'!E29,'9.8 KIKORONGO-BWERA'!E29,'8.8 KIKORONGO-BWERA-24hr'!E29,'10.8 KIKORONGO-BWERA-24HRS'!E29,'11.8 BWERA-KIKORONGO'!E29)</f>
        <v>1.2857142857142858</v>
      </c>
      <c r="F29" s="49">
        <f>AVERAGE('5.8 KIKORONGO-BWERA'!F29,'6.8 KIKORONGO-BWERA'!F29,'7.8 KIKORONGO-BWERA'!F29,'9.8 KIKORONGO-BWERA'!F29,'8.8 KIKORONGO-BWERA-24hr'!F29,'10.8 KIKORONGO-BWERA-24HRS'!F29,'11.8 BWERA-KIKORONGO'!F29)</f>
        <v>2.1428571428571428</v>
      </c>
      <c r="G29" s="49">
        <f>AVERAGE('5.8 KIKORONGO-BWERA'!G29,'6.8 KIKORONGO-BWERA'!G29,'7.8 KIKORONGO-BWERA'!G29,'9.8 KIKORONGO-BWERA'!G29,'8.8 KIKORONGO-BWERA-24hr'!G29,'10.8 KIKORONGO-BWERA-24HRS'!G29,'11.8 BWERA-KIKORONGO'!G29)</f>
        <v>0</v>
      </c>
      <c r="H29" s="49">
        <f>AVERAGE('5.8 KIKORONGO-BWERA'!H29,'6.8 KIKORONGO-BWERA'!H29,'7.8 KIKORONGO-BWERA'!H29,'9.8 KIKORONGO-BWERA'!H29,'8.8 KIKORONGO-BWERA-24hr'!H29,'10.8 KIKORONGO-BWERA-24HRS'!H29,'11.8 BWERA-KIKORONGO'!H29)</f>
        <v>0</v>
      </c>
      <c r="I29" s="49">
        <f>AVERAGE('5.8 KIKORONGO-BWERA'!I29,'6.8 KIKORONGO-BWERA'!I29,'7.8 KIKORONGO-BWERA'!I29,'9.8 KIKORONGO-BWERA'!I29,'8.8 KIKORONGO-BWERA-24hr'!I29,'10.8 KIKORONGO-BWERA-24HRS'!I29,'11.8 BWERA-KIKORONGO'!I29)</f>
        <v>1</v>
      </c>
      <c r="J29" s="49">
        <f>AVERAGE('5.8 KIKORONGO-BWERA'!J29,'6.8 KIKORONGO-BWERA'!J29,'7.8 KIKORONGO-BWERA'!J29,'9.8 KIKORONGO-BWERA'!J29,'8.8 KIKORONGO-BWERA-24hr'!J29,'10.8 KIKORONGO-BWERA-24HRS'!J29,'11.8 BWERA-KIKORONGO'!J29)</f>
        <v>0</v>
      </c>
      <c r="K29" s="49">
        <f>AVERAGE('5.8 KIKORONGO-BWERA'!K29,'6.8 KIKORONGO-BWERA'!K29,'7.8 KIKORONGO-BWERA'!K29,'9.8 KIKORONGO-BWERA'!K29,'8.8 KIKORONGO-BWERA-24hr'!K29,'10.8 KIKORONGO-BWERA-24HRS'!K29,'11.8 BWERA-KIKORONGO'!K29)</f>
        <v>0.2857142857142857</v>
      </c>
      <c r="L29" s="49">
        <f>AVERAGE('5.8 KIKORONGO-BWERA'!L29,'6.8 KIKORONGO-BWERA'!L29,'7.8 KIKORONGO-BWERA'!L29,'9.8 KIKORONGO-BWERA'!L29,'8.8 KIKORONGO-BWERA-24hr'!L29,'10.8 KIKORONGO-BWERA-24HRS'!L29,'11.8 BWERA-KIKORONGO'!L29)</f>
        <v>0.7142857142857143</v>
      </c>
      <c r="M29" s="49">
        <f>AVERAGE('5.8 KIKORONGO-BWERA'!M29,'6.8 KIKORONGO-BWERA'!M29,'7.8 KIKORONGO-BWERA'!M29,'9.8 KIKORONGO-BWERA'!M29,'8.8 KIKORONGO-BWERA-24hr'!M29,'10.8 KIKORONGO-BWERA-24HRS'!M29,'11.8 BWERA-KIKORONGO'!M29)</f>
        <v>3.7142857142857144</v>
      </c>
      <c r="N29" s="49">
        <f>AVERAGE('5.8 KIKORONGO-BWERA'!N29,'6.8 KIKORONGO-BWERA'!N29,'7.8 KIKORONGO-BWERA'!N29,'9.8 KIKORONGO-BWERA'!N29,'8.8 KIKORONGO-BWERA-24hr'!N29,'10.8 KIKORONGO-BWERA-24HRS'!N29,'11.8 BWERA-KIKORONGO'!N29)</f>
        <v>0</v>
      </c>
      <c r="O29" s="15">
        <f t="shared" si="0"/>
        <v>10</v>
      </c>
      <c r="P29" s="15">
        <f t="shared" si="1"/>
        <v>13.714285714285715</v>
      </c>
      <c r="R29" s="1" t="s">
        <v>153</v>
      </c>
      <c r="S29" s="34">
        <f>SUM(C86:C89)</f>
        <v>2</v>
      </c>
      <c r="T29" s="34">
        <f t="shared" ref="T29:AF29" si="21">SUM(D86:D89)</f>
        <v>0</v>
      </c>
      <c r="U29" s="34">
        <f t="shared" si="21"/>
        <v>0.5</v>
      </c>
      <c r="V29" s="34">
        <f t="shared" si="21"/>
        <v>4</v>
      </c>
      <c r="W29" s="34">
        <f t="shared" si="21"/>
        <v>0</v>
      </c>
      <c r="X29" s="34">
        <f t="shared" si="21"/>
        <v>0</v>
      </c>
      <c r="Y29" s="34">
        <f t="shared" si="21"/>
        <v>0.5</v>
      </c>
      <c r="Z29" s="34">
        <f t="shared" si="21"/>
        <v>0</v>
      </c>
      <c r="AA29" s="34">
        <f t="shared" si="21"/>
        <v>0</v>
      </c>
      <c r="AB29" s="34">
        <f t="shared" si="21"/>
        <v>1</v>
      </c>
      <c r="AC29" s="34">
        <f t="shared" si="21"/>
        <v>0</v>
      </c>
      <c r="AD29" s="34">
        <f t="shared" si="21"/>
        <v>0</v>
      </c>
      <c r="AE29" s="31">
        <f t="shared" si="21"/>
        <v>8</v>
      </c>
      <c r="AF29" s="31">
        <f t="shared" si="21"/>
        <v>8</v>
      </c>
    </row>
    <row r="30" spans="2:32" ht="23.1" customHeight="1" x14ac:dyDescent="0.25">
      <c r="B30" s="23" t="s">
        <v>57</v>
      </c>
      <c r="C30" s="49">
        <f>AVERAGE('5.8 KIKORONGO-BWERA'!C30,'6.8 KIKORONGO-BWERA'!C30,'7.8 KIKORONGO-BWERA'!C30,'9.8 KIKORONGO-BWERA'!C30,'8.8 KIKORONGO-BWERA-24hr'!C30,'10.8 KIKORONGO-BWERA-24HRS'!C30,'11.8 BWERA-KIKORONGO'!C30)</f>
        <v>3</v>
      </c>
      <c r="D30" s="49">
        <f>AVERAGE('5.8 KIKORONGO-BWERA'!D30,'6.8 KIKORONGO-BWERA'!D30,'7.8 KIKORONGO-BWERA'!D30,'9.8 KIKORONGO-BWERA'!D30,'8.8 KIKORONGO-BWERA-24hr'!D30,'10.8 KIKORONGO-BWERA-24HRS'!D30,'11.8 BWERA-KIKORONGO'!D30)</f>
        <v>0</v>
      </c>
      <c r="E30" s="49">
        <f>AVERAGE('5.8 KIKORONGO-BWERA'!E30,'6.8 KIKORONGO-BWERA'!E30,'7.8 KIKORONGO-BWERA'!E30,'9.8 KIKORONGO-BWERA'!E30,'8.8 KIKORONGO-BWERA-24hr'!E30,'10.8 KIKORONGO-BWERA-24HRS'!E30,'11.8 BWERA-KIKORONGO'!E30)</f>
        <v>2.2857142857142856</v>
      </c>
      <c r="F30" s="49">
        <f>AVERAGE('5.8 KIKORONGO-BWERA'!F30,'6.8 KIKORONGO-BWERA'!F30,'7.8 KIKORONGO-BWERA'!F30,'9.8 KIKORONGO-BWERA'!F30,'8.8 KIKORONGO-BWERA-24hr'!F30,'10.8 KIKORONGO-BWERA-24HRS'!F30,'11.8 BWERA-KIKORONGO'!F30)</f>
        <v>2.1428571428571428</v>
      </c>
      <c r="G30" s="49">
        <f>AVERAGE('5.8 KIKORONGO-BWERA'!G30,'6.8 KIKORONGO-BWERA'!G30,'7.8 KIKORONGO-BWERA'!G30,'9.8 KIKORONGO-BWERA'!G30,'8.8 KIKORONGO-BWERA-24hr'!G30,'10.8 KIKORONGO-BWERA-24HRS'!G30,'11.8 BWERA-KIKORONGO'!G30)</f>
        <v>0</v>
      </c>
      <c r="H30" s="49">
        <f>AVERAGE('5.8 KIKORONGO-BWERA'!H30,'6.8 KIKORONGO-BWERA'!H30,'7.8 KIKORONGO-BWERA'!H30,'9.8 KIKORONGO-BWERA'!H30,'8.8 KIKORONGO-BWERA-24hr'!H30,'10.8 KIKORONGO-BWERA-24HRS'!H30,'11.8 BWERA-KIKORONGO'!H30)</f>
        <v>0.14285714285714285</v>
      </c>
      <c r="I30" s="49">
        <f>AVERAGE('5.8 KIKORONGO-BWERA'!I30,'6.8 KIKORONGO-BWERA'!I30,'7.8 KIKORONGO-BWERA'!I30,'9.8 KIKORONGO-BWERA'!I30,'8.8 KIKORONGO-BWERA-24hr'!I30,'10.8 KIKORONGO-BWERA-24HRS'!I30,'11.8 BWERA-KIKORONGO'!I30)</f>
        <v>1</v>
      </c>
      <c r="J30" s="49">
        <f>AVERAGE('5.8 KIKORONGO-BWERA'!J30,'6.8 KIKORONGO-BWERA'!J30,'7.8 KIKORONGO-BWERA'!J30,'9.8 KIKORONGO-BWERA'!J30,'8.8 KIKORONGO-BWERA-24hr'!J30,'10.8 KIKORONGO-BWERA-24HRS'!J30,'11.8 BWERA-KIKORONGO'!J30)</f>
        <v>0.2857142857142857</v>
      </c>
      <c r="K30" s="49">
        <f>AVERAGE('5.8 KIKORONGO-BWERA'!K30,'6.8 KIKORONGO-BWERA'!K30,'7.8 KIKORONGO-BWERA'!K30,'9.8 KIKORONGO-BWERA'!K30,'8.8 KIKORONGO-BWERA-24hr'!K30,'10.8 KIKORONGO-BWERA-24HRS'!K30,'11.8 BWERA-KIKORONGO'!K30)</f>
        <v>0.14285714285714285</v>
      </c>
      <c r="L30" s="49">
        <f>AVERAGE('5.8 KIKORONGO-BWERA'!L30,'6.8 KIKORONGO-BWERA'!L30,'7.8 KIKORONGO-BWERA'!L30,'9.8 KIKORONGO-BWERA'!L30,'8.8 KIKORONGO-BWERA-24hr'!L30,'10.8 KIKORONGO-BWERA-24HRS'!L30,'11.8 BWERA-KIKORONGO'!L30)</f>
        <v>0.2857142857142857</v>
      </c>
      <c r="M30" s="49">
        <f>AVERAGE('5.8 KIKORONGO-BWERA'!M30,'6.8 KIKORONGO-BWERA'!M30,'7.8 KIKORONGO-BWERA'!M30,'9.8 KIKORONGO-BWERA'!M30,'8.8 KIKORONGO-BWERA-24hr'!M30,'10.8 KIKORONGO-BWERA-24HRS'!M30,'11.8 BWERA-KIKORONGO'!M30)</f>
        <v>2.7142857142857144</v>
      </c>
      <c r="N30" s="49">
        <f>AVERAGE('5.8 KIKORONGO-BWERA'!N30,'6.8 KIKORONGO-BWERA'!N30,'7.8 KIKORONGO-BWERA'!N30,'9.8 KIKORONGO-BWERA'!N30,'8.8 KIKORONGO-BWERA-24hr'!N30,'10.8 KIKORONGO-BWERA-24HRS'!N30,'11.8 BWERA-KIKORONGO'!N30)</f>
        <v>0</v>
      </c>
      <c r="O30" s="15">
        <f t="shared" si="0"/>
        <v>9.2857142857142883</v>
      </c>
      <c r="P30" s="15">
        <f t="shared" si="1"/>
        <v>12.000000000000004</v>
      </c>
      <c r="R30" s="1" t="s">
        <v>154</v>
      </c>
      <c r="S30" s="34">
        <f>SUM(C90:C93)</f>
        <v>3.5</v>
      </c>
      <c r="T30" s="34">
        <f t="shared" ref="T30:AF30" si="22">SUM(D90:D93)</f>
        <v>0</v>
      </c>
      <c r="U30" s="34">
        <f t="shared" si="22"/>
        <v>3</v>
      </c>
      <c r="V30" s="34">
        <f t="shared" si="22"/>
        <v>5</v>
      </c>
      <c r="W30" s="34">
        <f t="shared" si="22"/>
        <v>0</v>
      </c>
      <c r="X30" s="34">
        <f t="shared" si="22"/>
        <v>0.5</v>
      </c>
      <c r="Y30" s="34">
        <f t="shared" si="22"/>
        <v>1</v>
      </c>
      <c r="Z30" s="34">
        <f t="shared" si="22"/>
        <v>0</v>
      </c>
      <c r="AA30" s="34">
        <f t="shared" si="22"/>
        <v>0</v>
      </c>
      <c r="AB30" s="34">
        <f t="shared" si="22"/>
        <v>2</v>
      </c>
      <c r="AC30" s="34">
        <f t="shared" si="22"/>
        <v>3</v>
      </c>
      <c r="AD30" s="34">
        <f t="shared" si="22"/>
        <v>0</v>
      </c>
      <c r="AE30" s="31">
        <f t="shared" si="22"/>
        <v>15</v>
      </c>
      <c r="AF30" s="31">
        <f t="shared" si="22"/>
        <v>18</v>
      </c>
    </row>
    <row r="31" spans="2:32" ht="23.1" customHeight="1" x14ac:dyDescent="0.25">
      <c r="B31" s="24" t="s">
        <v>58</v>
      </c>
      <c r="C31" s="49">
        <f>AVERAGE('5.8 KIKORONGO-BWERA'!C31,'6.8 KIKORONGO-BWERA'!C31,'7.8 KIKORONGO-BWERA'!C31,'9.8 KIKORONGO-BWERA'!C31,'8.8 KIKORONGO-BWERA-24hr'!C31,'10.8 KIKORONGO-BWERA-24HRS'!C31,'11.8 BWERA-KIKORONGO'!C31)</f>
        <v>4.1428571428571432</v>
      </c>
      <c r="D31" s="49">
        <f>AVERAGE('5.8 KIKORONGO-BWERA'!D31,'6.8 KIKORONGO-BWERA'!D31,'7.8 KIKORONGO-BWERA'!D31,'9.8 KIKORONGO-BWERA'!D31,'8.8 KIKORONGO-BWERA-24hr'!D31,'10.8 KIKORONGO-BWERA-24HRS'!D31,'11.8 BWERA-KIKORONGO'!D31)</f>
        <v>0</v>
      </c>
      <c r="E31" s="49">
        <f>AVERAGE('5.8 KIKORONGO-BWERA'!E31,'6.8 KIKORONGO-BWERA'!E31,'7.8 KIKORONGO-BWERA'!E31,'9.8 KIKORONGO-BWERA'!E31,'8.8 KIKORONGO-BWERA-24hr'!E31,'10.8 KIKORONGO-BWERA-24HRS'!E31,'11.8 BWERA-KIKORONGO'!E31)</f>
        <v>2.1428571428571428</v>
      </c>
      <c r="F31" s="49">
        <f>AVERAGE('5.8 KIKORONGO-BWERA'!F31,'6.8 KIKORONGO-BWERA'!F31,'7.8 KIKORONGO-BWERA'!F31,'9.8 KIKORONGO-BWERA'!F31,'8.8 KIKORONGO-BWERA-24hr'!F31,'10.8 KIKORONGO-BWERA-24HRS'!F31,'11.8 BWERA-KIKORONGO'!F31)</f>
        <v>2</v>
      </c>
      <c r="G31" s="49">
        <f>AVERAGE('5.8 KIKORONGO-BWERA'!G31,'6.8 KIKORONGO-BWERA'!G31,'7.8 KIKORONGO-BWERA'!G31,'9.8 KIKORONGO-BWERA'!G31,'8.8 KIKORONGO-BWERA-24hr'!G31,'10.8 KIKORONGO-BWERA-24HRS'!G31,'11.8 BWERA-KIKORONGO'!G31)</f>
        <v>0</v>
      </c>
      <c r="H31" s="49">
        <f>AVERAGE('5.8 KIKORONGO-BWERA'!H31,'6.8 KIKORONGO-BWERA'!H31,'7.8 KIKORONGO-BWERA'!H31,'9.8 KIKORONGO-BWERA'!H31,'8.8 KIKORONGO-BWERA-24hr'!H31,'10.8 KIKORONGO-BWERA-24HRS'!H31,'11.8 BWERA-KIKORONGO'!H31)</f>
        <v>0</v>
      </c>
      <c r="I31" s="49">
        <f>AVERAGE('5.8 KIKORONGO-BWERA'!I31,'6.8 KIKORONGO-BWERA'!I31,'7.8 KIKORONGO-BWERA'!I31,'9.8 KIKORONGO-BWERA'!I31,'8.8 KIKORONGO-BWERA-24hr'!I31,'10.8 KIKORONGO-BWERA-24HRS'!I31,'11.8 BWERA-KIKORONGO'!I31)</f>
        <v>0.7142857142857143</v>
      </c>
      <c r="J31" s="49">
        <f>AVERAGE('5.8 KIKORONGO-BWERA'!J31,'6.8 KIKORONGO-BWERA'!J31,'7.8 KIKORONGO-BWERA'!J31,'9.8 KIKORONGO-BWERA'!J31,'8.8 KIKORONGO-BWERA-24hr'!J31,'10.8 KIKORONGO-BWERA-24HRS'!J31,'11.8 BWERA-KIKORONGO'!J31)</f>
        <v>0.14285714285714285</v>
      </c>
      <c r="K31" s="49">
        <f>AVERAGE('5.8 KIKORONGO-BWERA'!K31,'6.8 KIKORONGO-BWERA'!K31,'7.8 KIKORONGO-BWERA'!K31,'9.8 KIKORONGO-BWERA'!K31,'8.8 KIKORONGO-BWERA-24hr'!K31,'10.8 KIKORONGO-BWERA-24HRS'!K31,'11.8 BWERA-KIKORONGO'!K31)</f>
        <v>0</v>
      </c>
      <c r="L31" s="49">
        <f>AVERAGE('5.8 KIKORONGO-BWERA'!L31,'6.8 KIKORONGO-BWERA'!L31,'7.8 KIKORONGO-BWERA'!L31,'9.8 KIKORONGO-BWERA'!L31,'8.8 KIKORONGO-BWERA-24hr'!L31,'10.8 KIKORONGO-BWERA-24HRS'!L31,'11.8 BWERA-KIKORONGO'!L31)</f>
        <v>0.2857142857142857</v>
      </c>
      <c r="M31" s="49">
        <f>AVERAGE('5.8 KIKORONGO-BWERA'!M31,'6.8 KIKORONGO-BWERA'!M31,'7.8 KIKORONGO-BWERA'!M31,'9.8 KIKORONGO-BWERA'!M31,'8.8 KIKORONGO-BWERA-24hr'!M31,'10.8 KIKORONGO-BWERA-24HRS'!M31,'11.8 BWERA-KIKORONGO'!M31)</f>
        <v>2.4285714285714284</v>
      </c>
      <c r="N31" s="49">
        <f>AVERAGE('5.8 KIKORONGO-BWERA'!N31,'6.8 KIKORONGO-BWERA'!N31,'7.8 KIKORONGO-BWERA'!N31,'9.8 KIKORONGO-BWERA'!N31,'8.8 KIKORONGO-BWERA-24hr'!N31,'10.8 KIKORONGO-BWERA-24HRS'!N31,'11.8 BWERA-KIKORONGO'!N31)</f>
        <v>0</v>
      </c>
      <c r="O31" s="15">
        <f t="shared" si="0"/>
        <v>9.4285714285714288</v>
      </c>
      <c r="P31" s="15">
        <f t="shared" si="1"/>
        <v>11.857142857142858</v>
      </c>
      <c r="R31" s="1" t="s">
        <v>155</v>
      </c>
      <c r="S31" s="34">
        <f>SUM(C94:C97)</f>
        <v>4.5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2</v>
      </c>
      <c r="W31" s="34">
        <f t="shared" si="23"/>
        <v>0</v>
      </c>
      <c r="X31" s="34">
        <f t="shared" si="23"/>
        <v>1</v>
      </c>
      <c r="Y31" s="34">
        <f t="shared" si="23"/>
        <v>1.5</v>
      </c>
      <c r="Z31" s="34">
        <f t="shared" si="23"/>
        <v>0</v>
      </c>
      <c r="AA31" s="34">
        <f t="shared" si="23"/>
        <v>0</v>
      </c>
      <c r="AB31" s="34">
        <f t="shared" si="23"/>
        <v>1</v>
      </c>
      <c r="AC31" s="34">
        <f t="shared" si="23"/>
        <v>3</v>
      </c>
      <c r="AD31" s="34">
        <f t="shared" si="23"/>
        <v>0</v>
      </c>
      <c r="AE31" s="31">
        <f t="shared" si="23"/>
        <v>10</v>
      </c>
      <c r="AF31" s="31">
        <f t="shared" si="23"/>
        <v>13</v>
      </c>
    </row>
    <row r="32" spans="2:32" ht="23.1" customHeight="1" x14ac:dyDescent="0.25">
      <c r="B32" s="24" t="s">
        <v>59</v>
      </c>
      <c r="C32" s="49">
        <f>AVERAGE('5.8 KIKORONGO-BWERA'!C32,'6.8 KIKORONGO-BWERA'!C32,'7.8 KIKORONGO-BWERA'!C32,'9.8 KIKORONGO-BWERA'!C32,'8.8 KIKORONGO-BWERA-24hr'!C32,'10.8 KIKORONGO-BWERA-24HRS'!C32,'11.8 BWERA-KIKORONGO'!C32)</f>
        <v>2.8571428571428572</v>
      </c>
      <c r="D32" s="49">
        <f>AVERAGE('5.8 KIKORONGO-BWERA'!D32,'6.8 KIKORONGO-BWERA'!D32,'7.8 KIKORONGO-BWERA'!D32,'9.8 KIKORONGO-BWERA'!D32,'8.8 KIKORONGO-BWERA-24hr'!D32,'10.8 KIKORONGO-BWERA-24HRS'!D32,'11.8 BWERA-KIKORONGO'!D32)</f>
        <v>0</v>
      </c>
      <c r="E32" s="49">
        <f>AVERAGE('5.8 KIKORONGO-BWERA'!E32,'6.8 KIKORONGO-BWERA'!E32,'7.8 KIKORONGO-BWERA'!E32,'9.8 KIKORONGO-BWERA'!E32,'8.8 KIKORONGO-BWERA-24hr'!E32,'10.8 KIKORONGO-BWERA-24HRS'!E32,'11.8 BWERA-KIKORONGO'!E32)</f>
        <v>2</v>
      </c>
      <c r="F32" s="49">
        <f>AVERAGE('5.8 KIKORONGO-BWERA'!F32,'6.8 KIKORONGO-BWERA'!F32,'7.8 KIKORONGO-BWERA'!F32,'9.8 KIKORONGO-BWERA'!F32,'8.8 KIKORONGO-BWERA-24hr'!F32,'10.8 KIKORONGO-BWERA-24HRS'!F32,'11.8 BWERA-KIKORONGO'!F32)</f>
        <v>2.8571428571428572</v>
      </c>
      <c r="G32" s="49">
        <f>AVERAGE('5.8 KIKORONGO-BWERA'!G32,'6.8 KIKORONGO-BWERA'!G32,'7.8 KIKORONGO-BWERA'!G32,'9.8 KIKORONGO-BWERA'!G32,'8.8 KIKORONGO-BWERA-24hr'!G32,'10.8 KIKORONGO-BWERA-24HRS'!G32,'11.8 BWERA-KIKORONGO'!G32)</f>
        <v>0</v>
      </c>
      <c r="H32" s="49">
        <f>AVERAGE('5.8 KIKORONGO-BWERA'!H32,'6.8 KIKORONGO-BWERA'!H32,'7.8 KIKORONGO-BWERA'!H32,'9.8 KIKORONGO-BWERA'!H32,'8.8 KIKORONGO-BWERA-24hr'!H32,'10.8 KIKORONGO-BWERA-24HRS'!H32,'11.8 BWERA-KIKORONGO'!H32)</f>
        <v>0.5714285714285714</v>
      </c>
      <c r="I32" s="49">
        <f>AVERAGE('5.8 KIKORONGO-BWERA'!I32,'6.8 KIKORONGO-BWERA'!I32,'7.8 KIKORONGO-BWERA'!I32,'9.8 KIKORONGO-BWERA'!I32,'8.8 KIKORONGO-BWERA-24hr'!I32,'10.8 KIKORONGO-BWERA-24HRS'!I32,'11.8 BWERA-KIKORONGO'!I32)</f>
        <v>1.5714285714285714</v>
      </c>
      <c r="J32" s="49">
        <f>AVERAGE('5.8 KIKORONGO-BWERA'!J32,'6.8 KIKORONGO-BWERA'!J32,'7.8 KIKORONGO-BWERA'!J32,'9.8 KIKORONGO-BWERA'!J32,'8.8 KIKORONGO-BWERA-24hr'!J32,'10.8 KIKORONGO-BWERA-24HRS'!J32,'11.8 BWERA-KIKORONGO'!J32)</f>
        <v>0</v>
      </c>
      <c r="K32" s="49">
        <f>AVERAGE('5.8 KIKORONGO-BWERA'!K32,'6.8 KIKORONGO-BWERA'!K32,'7.8 KIKORONGO-BWERA'!K32,'9.8 KIKORONGO-BWERA'!K32,'8.8 KIKORONGO-BWERA-24hr'!K32,'10.8 KIKORONGO-BWERA-24HRS'!K32,'11.8 BWERA-KIKORONGO'!K32)</f>
        <v>0</v>
      </c>
      <c r="L32" s="49">
        <f>AVERAGE('5.8 KIKORONGO-BWERA'!L32,'6.8 KIKORONGO-BWERA'!L32,'7.8 KIKORONGO-BWERA'!L32,'9.8 KIKORONGO-BWERA'!L32,'8.8 KIKORONGO-BWERA-24hr'!L32,'10.8 KIKORONGO-BWERA-24HRS'!L32,'11.8 BWERA-KIKORONGO'!L32)</f>
        <v>0.5714285714285714</v>
      </c>
      <c r="M32" s="49">
        <f>AVERAGE('5.8 KIKORONGO-BWERA'!M32,'6.8 KIKORONGO-BWERA'!M32,'7.8 KIKORONGO-BWERA'!M32,'9.8 KIKORONGO-BWERA'!M32,'8.8 KIKORONGO-BWERA-24hr'!M32,'10.8 KIKORONGO-BWERA-24HRS'!M32,'11.8 BWERA-KIKORONGO'!M32)</f>
        <v>2.4285714285714284</v>
      </c>
      <c r="N32" s="49">
        <f>AVERAGE('5.8 KIKORONGO-BWERA'!N32,'6.8 KIKORONGO-BWERA'!N32,'7.8 KIKORONGO-BWERA'!N32,'9.8 KIKORONGO-BWERA'!N32,'8.8 KIKORONGO-BWERA-24hr'!N32,'10.8 KIKORONGO-BWERA-24HRS'!N32,'11.8 BWERA-KIKORONGO'!N32)</f>
        <v>0</v>
      </c>
      <c r="O32" s="15">
        <f t="shared" si="0"/>
        <v>10.428571428571429</v>
      </c>
      <c r="P32" s="15">
        <f t="shared" si="1"/>
        <v>12.857142857142858</v>
      </c>
      <c r="R32" s="1" t="s">
        <v>156</v>
      </c>
      <c r="S32" s="34">
        <f>SUM(C98:C101)</f>
        <v>3.5</v>
      </c>
      <c r="T32" s="34">
        <f t="shared" ref="T32:AF32" si="24">SUM(D98:D101)</f>
        <v>0</v>
      </c>
      <c r="U32" s="34">
        <f t="shared" si="24"/>
        <v>3</v>
      </c>
      <c r="V32" s="34">
        <f t="shared" si="24"/>
        <v>1</v>
      </c>
      <c r="W32" s="34">
        <f t="shared" si="24"/>
        <v>0</v>
      </c>
      <c r="X32" s="34">
        <f t="shared" si="24"/>
        <v>0.5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0.5</v>
      </c>
      <c r="AC32" s="34">
        <f t="shared" si="24"/>
        <v>2.5</v>
      </c>
      <c r="AD32" s="34">
        <f t="shared" si="24"/>
        <v>0</v>
      </c>
      <c r="AE32" s="31">
        <f t="shared" si="24"/>
        <v>8.5</v>
      </c>
      <c r="AF32" s="31">
        <f t="shared" si="24"/>
        <v>11</v>
      </c>
    </row>
    <row r="33" spans="2:32" ht="23.1" customHeight="1" x14ac:dyDescent="0.25">
      <c r="B33" s="23" t="s">
        <v>60</v>
      </c>
      <c r="C33" s="49">
        <f>AVERAGE('5.8 KIKORONGO-BWERA'!C33,'6.8 KIKORONGO-BWERA'!C33,'7.8 KIKORONGO-BWERA'!C33,'9.8 KIKORONGO-BWERA'!C33,'8.8 KIKORONGO-BWERA-24hr'!C33,'10.8 KIKORONGO-BWERA-24HRS'!C33,'11.8 BWERA-KIKORONGO'!C33)</f>
        <v>5.1428571428571432</v>
      </c>
      <c r="D33" s="49">
        <f>AVERAGE('5.8 KIKORONGO-BWERA'!D33,'6.8 KIKORONGO-BWERA'!D33,'7.8 KIKORONGO-BWERA'!D33,'9.8 KIKORONGO-BWERA'!D33,'8.8 KIKORONGO-BWERA-24hr'!D33,'10.8 KIKORONGO-BWERA-24HRS'!D33,'11.8 BWERA-KIKORONGO'!D33)</f>
        <v>0</v>
      </c>
      <c r="E33" s="49">
        <f>AVERAGE('5.8 KIKORONGO-BWERA'!E33,'6.8 KIKORONGO-BWERA'!E33,'7.8 KIKORONGO-BWERA'!E33,'9.8 KIKORONGO-BWERA'!E33,'8.8 KIKORONGO-BWERA-24hr'!E33,'10.8 KIKORONGO-BWERA-24HRS'!E33,'11.8 BWERA-KIKORONGO'!E33)</f>
        <v>3.2857142857142856</v>
      </c>
      <c r="F33" s="49">
        <f>AVERAGE('5.8 KIKORONGO-BWERA'!F33,'6.8 KIKORONGO-BWERA'!F33,'7.8 KIKORONGO-BWERA'!F33,'9.8 KIKORONGO-BWERA'!F33,'8.8 KIKORONGO-BWERA-24hr'!F33,'10.8 KIKORONGO-BWERA-24HRS'!F33,'11.8 BWERA-KIKORONGO'!F33)</f>
        <v>2.2857142857142856</v>
      </c>
      <c r="G33" s="49">
        <f>AVERAGE('5.8 KIKORONGO-BWERA'!G33,'6.8 KIKORONGO-BWERA'!G33,'7.8 KIKORONGO-BWERA'!G33,'9.8 KIKORONGO-BWERA'!G33,'8.8 KIKORONGO-BWERA-24hr'!G33,'10.8 KIKORONGO-BWERA-24HRS'!G33,'11.8 BWERA-KIKORONGO'!G33)</f>
        <v>0</v>
      </c>
      <c r="H33" s="49">
        <f>AVERAGE('5.8 KIKORONGO-BWERA'!H33,'6.8 KIKORONGO-BWERA'!H33,'7.8 KIKORONGO-BWERA'!H33,'9.8 KIKORONGO-BWERA'!H33,'8.8 KIKORONGO-BWERA-24hr'!H33,'10.8 KIKORONGO-BWERA-24HRS'!H33,'11.8 BWERA-KIKORONGO'!H33)</f>
        <v>0.2857142857142857</v>
      </c>
      <c r="I33" s="49">
        <f>AVERAGE('5.8 KIKORONGO-BWERA'!I33,'6.8 KIKORONGO-BWERA'!I33,'7.8 KIKORONGO-BWERA'!I33,'9.8 KIKORONGO-BWERA'!I33,'8.8 KIKORONGO-BWERA-24hr'!I33,'10.8 KIKORONGO-BWERA-24HRS'!I33,'11.8 BWERA-KIKORONGO'!I33)</f>
        <v>1.5714285714285714</v>
      </c>
      <c r="J33" s="49">
        <f>AVERAGE('5.8 KIKORONGO-BWERA'!J33,'6.8 KIKORONGO-BWERA'!J33,'7.8 KIKORONGO-BWERA'!J33,'9.8 KIKORONGO-BWERA'!J33,'8.8 KIKORONGO-BWERA-24hr'!J33,'10.8 KIKORONGO-BWERA-24HRS'!J33,'11.8 BWERA-KIKORONGO'!J33)</f>
        <v>0</v>
      </c>
      <c r="K33" s="49">
        <f>AVERAGE('5.8 KIKORONGO-BWERA'!K33,'6.8 KIKORONGO-BWERA'!K33,'7.8 KIKORONGO-BWERA'!K33,'9.8 KIKORONGO-BWERA'!K33,'8.8 KIKORONGO-BWERA-24hr'!K33,'10.8 KIKORONGO-BWERA-24HRS'!K33,'11.8 BWERA-KIKORONGO'!K33)</f>
        <v>0.2857142857142857</v>
      </c>
      <c r="L33" s="49">
        <f>AVERAGE('5.8 KIKORONGO-BWERA'!L33,'6.8 KIKORONGO-BWERA'!L33,'7.8 KIKORONGO-BWERA'!L33,'9.8 KIKORONGO-BWERA'!L33,'8.8 KIKORONGO-BWERA-24hr'!L33,'10.8 KIKORONGO-BWERA-24HRS'!L33,'11.8 BWERA-KIKORONGO'!L33)</f>
        <v>0.5714285714285714</v>
      </c>
      <c r="M33" s="49">
        <f>AVERAGE('5.8 KIKORONGO-BWERA'!M33,'6.8 KIKORONGO-BWERA'!M33,'7.8 KIKORONGO-BWERA'!M33,'9.8 KIKORONGO-BWERA'!M33,'8.8 KIKORONGO-BWERA-24hr'!M33,'10.8 KIKORONGO-BWERA-24HRS'!M33,'11.8 BWERA-KIKORONGO'!M33)</f>
        <v>3.1428571428571428</v>
      </c>
      <c r="N33" s="49">
        <f>AVERAGE('5.8 KIKORONGO-BWERA'!N33,'6.8 KIKORONGO-BWERA'!N33,'7.8 KIKORONGO-BWERA'!N33,'9.8 KIKORONGO-BWERA'!N33,'8.8 KIKORONGO-BWERA-24hr'!N33,'10.8 KIKORONGO-BWERA-24HRS'!N33,'11.8 BWERA-KIKORONGO'!N33)</f>
        <v>0</v>
      </c>
      <c r="O33" s="15">
        <f t="shared" si="0"/>
        <v>13.428571428571431</v>
      </c>
      <c r="P33" s="15">
        <f t="shared" si="1"/>
        <v>16.571428571428573</v>
      </c>
      <c r="R33" s="1" t="s">
        <v>157</v>
      </c>
      <c r="S33" s="34">
        <f>SUM(C102:C105)</f>
        <v>7.5</v>
      </c>
      <c r="T33" s="34">
        <f t="shared" ref="T33:AF33" si="25">SUM(D102:D105)</f>
        <v>0</v>
      </c>
      <c r="U33" s="34">
        <f t="shared" si="25"/>
        <v>3</v>
      </c>
      <c r="V33" s="34">
        <f t="shared" si="25"/>
        <v>5.5</v>
      </c>
      <c r="W33" s="34">
        <f t="shared" si="25"/>
        <v>0</v>
      </c>
      <c r="X33" s="34">
        <f t="shared" si="25"/>
        <v>1.5</v>
      </c>
      <c r="Y33" s="34">
        <f t="shared" si="25"/>
        <v>2</v>
      </c>
      <c r="Z33" s="34">
        <f t="shared" si="25"/>
        <v>0</v>
      </c>
      <c r="AA33" s="34">
        <f t="shared" si="25"/>
        <v>0</v>
      </c>
      <c r="AB33" s="34">
        <f t="shared" si="25"/>
        <v>2</v>
      </c>
      <c r="AC33" s="34">
        <f t="shared" si="25"/>
        <v>9.7665599177511844</v>
      </c>
      <c r="AD33" s="34">
        <f t="shared" si="25"/>
        <v>0</v>
      </c>
      <c r="AE33" s="31">
        <f t="shared" si="25"/>
        <v>21.5</v>
      </c>
      <c r="AF33" s="31">
        <f t="shared" si="25"/>
        <v>31.266559917751184</v>
      </c>
    </row>
    <row r="34" spans="2:32" ht="23.1" customHeight="1" x14ac:dyDescent="0.25">
      <c r="B34" s="24" t="s">
        <v>61</v>
      </c>
      <c r="C34" s="49">
        <f>AVERAGE('5.8 KIKORONGO-BWERA'!C34,'6.8 KIKORONGO-BWERA'!C34,'7.8 KIKORONGO-BWERA'!C34,'9.8 KIKORONGO-BWERA'!C34,'8.8 KIKORONGO-BWERA-24hr'!C34,'10.8 KIKORONGO-BWERA-24HRS'!C34,'11.8 BWERA-KIKORONGO'!C34)</f>
        <v>3.8571428571428572</v>
      </c>
      <c r="D34" s="49">
        <f>AVERAGE('5.8 KIKORONGO-BWERA'!D34,'6.8 KIKORONGO-BWERA'!D34,'7.8 KIKORONGO-BWERA'!D34,'9.8 KIKORONGO-BWERA'!D34,'8.8 KIKORONGO-BWERA-24hr'!D34,'10.8 KIKORONGO-BWERA-24HRS'!D34,'11.8 BWERA-KIKORONGO'!D34)</f>
        <v>0</v>
      </c>
      <c r="E34" s="49">
        <f>AVERAGE('5.8 KIKORONGO-BWERA'!E34,'6.8 KIKORONGO-BWERA'!E34,'7.8 KIKORONGO-BWERA'!E34,'9.8 KIKORONGO-BWERA'!E34,'8.8 KIKORONGO-BWERA-24hr'!E34,'10.8 KIKORONGO-BWERA-24HRS'!E34,'11.8 BWERA-KIKORONGO'!E34)</f>
        <v>2.5714285714285716</v>
      </c>
      <c r="F34" s="49">
        <f>AVERAGE('5.8 KIKORONGO-BWERA'!F34,'6.8 KIKORONGO-BWERA'!F34,'7.8 KIKORONGO-BWERA'!F34,'9.8 KIKORONGO-BWERA'!F34,'8.8 KIKORONGO-BWERA-24hr'!F34,'10.8 KIKORONGO-BWERA-24HRS'!F34,'11.8 BWERA-KIKORONGO'!F34)</f>
        <v>2</v>
      </c>
      <c r="G34" s="49">
        <f>AVERAGE('5.8 KIKORONGO-BWERA'!G34,'6.8 KIKORONGO-BWERA'!G34,'7.8 KIKORONGO-BWERA'!G34,'9.8 KIKORONGO-BWERA'!G34,'8.8 KIKORONGO-BWERA-24hr'!G34,'10.8 KIKORONGO-BWERA-24HRS'!G34,'11.8 BWERA-KIKORONGO'!G34)</f>
        <v>0</v>
      </c>
      <c r="H34" s="49">
        <f>AVERAGE('5.8 KIKORONGO-BWERA'!H34,'6.8 KIKORONGO-BWERA'!H34,'7.8 KIKORONGO-BWERA'!H34,'9.8 KIKORONGO-BWERA'!H34,'8.8 KIKORONGO-BWERA-24hr'!H34,'10.8 KIKORONGO-BWERA-24HRS'!H34,'11.8 BWERA-KIKORONGO'!H34)</f>
        <v>0.2857142857142857</v>
      </c>
      <c r="I34" s="49">
        <f>AVERAGE('5.8 KIKORONGO-BWERA'!I34,'6.8 KIKORONGO-BWERA'!I34,'7.8 KIKORONGO-BWERA'!I34,'9.8 KIKORONGO-BWERA'!I34,'8.8 KIKORONGO-BWERA-24hr'!I34,'10.8 KIKORONGO-BWERA-24HRS'!I34,'11.8 BWERA-KIKORONGO'!I34)</f>
        <v>0.8571428571428571</v>
      </c>
      <c r="J34" s="49">
        <f>AVERAGE('5.8 KIKORONGO-BWERA'!J34,'6.8 KIKORONGO-BWERA'!J34,'7.8 KIKORONGO-BWERA'!J34,'9.8 KIKORONGO-BWERA'!J34,'8.8 KIKORONGO-BWERA-24hr'!J34,'10.8 KIKORONGO-BWERA-24HRS'!J34,'11.8 BWERA-KIKORONGO'!J34)</f>
        <v>0</v>
      </c>
      <c r="K34" s="49">
        <f>AVERAGE('5.8 KIKORONGO-BWERA'!K34,'6.8 KIKORONGO-BWERA'!K34,'7.8 KIKORONGO-BWERA'!K34,'9.8 KIKORONGO-BWERA'!K34,'8.8 KIKORONGO-BWERA-24hr'!K34,'10.8 KIKORONGO-BWERA-24HRS'!K34,'11.8 BWERA-KIKORONGO'!K34)</f>
        <v>0.14285714285714285</v>
      </c>
      <c r="L34" s="49">
        <f>AVERAGE('5.8 KIKORONGO-BWERA'!L34,'6.8 KIKORONGO-BWERA'!L34,'7.8 KIKORONGO-BWERA'!L34,'9.8 KIKORONGO-BWERA'!L34,'8.8 KIKORONGO-BWERA-24hr'!L34,'10.8 KIKORONGO-BWERA-24HRS'!L34,'11.8 BWERA-KIKORONGO'!L34)</f>
        <v>0.5714285714285714</v>
      </c>
      <c r="M34" s="49">
        <f>AVERAGE('5.8 KIKORONGO-BWERA'!M34,'6.8 KIKORONGO-BWERA'!M34,'7.8 KIKORONGO-BWERA'!M34,'9.8 KIKORONGO-BWERA'!M34,'8.8 KIKORONGO-BWERA-24hr'!M34,'10.8 KIKORONGO-BWERA-24HRS'!M34,'11.8 BWERA-KIKORONGO'!M34)</f>
        <v>3.2857142857142856</v>
      </c>
      <c r="N34" s="49">
        <f>AVERAGE('5.8 KIKORONGO-BWERA'!N34,'6.8 KIKORONGO-BWERA'!N34,'7.8 KIKORONGO-BWERA'!N34,'9.8 KIKORONGO-BWERA'!N34,'8.8 KIKORONGO-BWERA-24hr'!N34,'10.8 KIKORONGO-BWERA-24HRS'!N34,'11.8 BWERA-KIKORONGO'!N34)</f>
        <v>0</v>
      </c>
      <c r="O34" s="15">
        <f t="shared" si="0"/>
        <v>10.285714285714286</v>
      </c>
      <c r="P34" s="15">
        <f t="shared" si="1"/>
        <v>13.571428571428573</v>
      </c>
      <c r="R34" s="38" t="s">
        <v>90</v>
      </c>
      <c r="S34" s="39">
        <f t="shared" ref="S34:AF34" si="26">MAX(S10:S12)</f>
        <v>15.285714285714286</v>
      </c>
      <c r="T34" s="39">
        <f t="shared" si="26"/>
        <v>0</v>
      </c>
      <c r="U34" s="39">
        <f t="shared" si="26"/>
        <v>8.5714285714285712</v>
      </c>
      <c r="V34" s="39">
        <f t="shared" si="26"/>
        <v>9.1428571428571423</v>
      </c>
      <c r="W34" s="39">
        <f t="shared" si="26"/>
        <v>0.14285714285714285</v>
      </c>
      <c r="X34" s="39">
        <f t="shared" si="26"/>
        <v>1.857142857142857</v>
      </c>
      <c r="Y34" s="39">
        <f t="shared" si="26"/>
        <v>3.4285714285714288</v>
      </c>
      <c r="Z34" s="39">
        <f t="shared" si="26"/>
        <v>0.14285714285714285</v>
      </c>
      <c r="AA34" s="39">
        <f t="shared" si="26"/>
        <v>0.42857142857142855</v>
      </c>
      <c r="AB34" s="39">
        <f t="shared" si="26"/>
        <v>2.1428571428571428</v>
      </c>
      <c r="AC34" s="39">
        <f t="shared" si="26"/>
        <v>18</v>
      </c>
      <c r="AD34" s="39">
        <f t="shared" si="26"/>
        <v>0.14285714285714285</v>
      </c>
      <c r="AE34" s="40">
        <f t="shared" si="26"/>
        <v>37.571428571428569</v>
      </c>
      <c r="AF34" s="40">
        <f t="shared" si="26"/>
        <v>53.571428571428569</v>
      </c>
    </row>
    <row r="35" spans="2:32" ht="23.1" customHeight="1" x14ac:dyDescent="0.25">
      <c r="B35" s="24" t="s">
        <v>62</v>
      </c>
      <c r="C35" s="49">
        <f>AVERAGE('5.8 KIKORONGO-BWERA'!C35,'6.8 KIKORONGO-BWERA'!C35,'7.8 KIKORONGO-BWERA'!C35,'9.8 KIKORONGO-BWERA'!C35,'8.8 KIKORONGO-BWERA-24hr'!C35,'10.8 KIKORONGO-BWERA-24HRS'!C35,'11.8 BWERA-KIKORONGO'!C35)</f>
        <v>4.8571428571428568</v>
      </c>
      <c r="D35" s="49">
        <f>AVERAGE('5.8 KIKORONGO-BWERA'!D35,'6.8 KIKORONGO-BWERA'!D35,'7.8 KIKORONGO-BWERA'!D35,'9.8 KIKORONGO-BWERA'!D35,'8.8 KIKORONGO-BWERA-24hr'!D35,'10.8 KIKORONGO-BWERA-24HRS'!D35,'11.8 BWERA-KIKORONGO'!D35)</f>
        <v>0</v>
      </c>
      <c r="E35" s="49">
        <f>AVERAGE('5.8 KIKORONGO-BWERA'!E35,'6.8 KIKORONGO-BWERA'!E35,'7.8 KIKORONGO-BWERA'!E35,'9.8 KIKORONGO-BWERA'!E35,'8.8 KIKORONGO-BWERA-24hr'!E35,'10.8 KIKORONGO-BWERA-24HRS'!E35,'11.8 BWERA-KIKORONGO'!E35)</f>
        <v>2</v>
      </c>
      <c r="F35" s="49">
        <f>AVERAGE('5.8 KIKORONGO-BWERA'!F35,'6.8 KIKORONGO-BWERA'!F35,'7.8 KIKORONGO-BWERA'!F35,'9.8 KIKORONGO-BWERA'!F35,'8.8 KIKORONGO-BWERA-24hr'!F35,'10.8 KIKORONGO-BWERA-24HRS'!F35,'11.8 BWERA-KIKORONGO'!F35)</f>
        <v>1.5714285714285714</v>
      </c>
      <c r="G35" s="49">
        <f>AVERAGE('5.8 KIKORONGO-BWERA'!G35,'6.8 KIKORONGO-BWERA'!G35,'7.8 KIKORONGO-BWERA'!G35,'9.8 KIKORONGO-BWERA'!G35,'8.8 KIKORONGO-BWERA-24hr'!G35,'10.8 KIKORONGO-BWERA-24HRS'!G35,'11.8 BWERA-KIKORONGO'!G35)</f>
        <v>0</v>
      </c>
      <c r="H35" s="49">
        <f>AVERAGE('5.8 KIKORONGO-BWERA'!H35,'6.8 KIKORONGO-BWERA'!H35,'7.8 KIKORONGO-BWERA'!H35,'9.8 KIKORONGO-BWERA'!H35,'8.8 KIKORONGO-BWERA-24hr'!H35,'10.8 KIKORONGO-BWERA-24HRS'!H35,'11.8 BWERA-KIKORONGO'!H35)</f>
        <v>0.5714285714285714</v>
      </c>
      <c r="I35" s="49">
        <f>AVERAGE('5.8 KIKORONGO-BWERA'!I35,'6.8 KIKORONGO-BWERA'!I35,'7.8 KIKORONGO-BWERA'!I35,'9.8 KIKORONGO-BWERA'!I35,'8.8 KIKORONGO-BWERA-24hr'!I35,'10.8 KIKORONGO-BWERA-24HRS'!I35,'11.8 BWERA-KIKORONGO'!I35)</f>
        <v>0.8571428571428571</v>
      </c>
      <c r="J35" s="49">
        <f>AVERAGE('5.8 KIKORONGO-BWERA'!J35,'6.8 KIKORONGO-BWERA'!J35,'7.8 KIKORONGO-BWERA'!J35,'9.8 KIKORONGO-BWERA'!J35,'8.8 KIKORONGO-BWERA-24hr'!J35,'10.8 KIKORONGO-BWERA-24HRS'!J35,'11.8 BWERA-KIKORONGO'!J35)</f>
        <v>0.14285714285714285</v>
      </c>
      <c r="K35" s="49">
        <f>AVERAGE('5.8 KIKORONGO-BWERA'!K35,'6.8 KIKORONGO-BWERA'!K35,'7.8 KIKORONGO-BWERA'!K35,'9.8 KIKORONGO-BWERA'!K35,'8.8 KIKORONGO-BWERA-24hr'!K35,'10.8 KIKORONGO-BWERA-24HRS'!K35,'11.8 BWERA-KIKORONGO'!K35)</f>
        <v>0</v>
      </c>
      <c r="L35" s="49">
        <f>AVERAGE('5.8 KIKORONGO-BWERA'!L35,'6.8 KIKORONGO-BWERA'!L35,'7.8 KIKORONGO-BWERA'!L35,'9.8 KIKORONGO-BWERA'!L35,'8.8 KIKORONGO-BWERA-24hr'!L35,'10.8 KIKORONGO-BWERA-24HRS'!L35,'11.8 BWERA-KIKORONGO'!L35)</f>
        <v>0.7142857142857143</v>
      </c>
      <c r="M35" s="49">
        <f>AVERAGE('5.8 KIKORONGO-BWERA'!M35,'6.8 KIKORONGO-BWERA'!M35,'7.8 KIKORONGO-BWERA'!M35,'9.8 KIKORONGO-BWERA'!M35,'8.8 KIKORONGO-BWERA-24hr'!M35,'10.8 KIKORONGO-BWERA-24HRS'!M35,'11.8 BWERA-KIKORONGO'!M35)</f>
        <v>4.4285714285714288</v>
      </c>
      <c r="N35" s="49">
        <f>AVERAGE('5.8 KIKORONGO-BWERA'!N35,'6.8 KIKORONGO-BWERA'!N35,'7.8 KIKORONGO-BWERA'!N35,'9.8 KIKORONGO-BWERA'!N35,'8.8 KIKORONGO-BWERA-24hr'!N35,'10.8 KIKORONGO-BWERA-24HRS'!N35,'11.8 BWERA-KIKORONGO'!N35)</f>
        <v>0</v>
      </c>
      <c r="O35" s="15">
        <f t="shared" si="0"/>
        <v>10.714285714285714</v>
      </c>
      <c r="P35" s="15">
        <f t="shared" si="1"/>
        <v>15.142857142857142</v>
      </c>
      <c r="R35" s="38" t="s">
        <v>91</v>
      </c>
      <c r="S35" s="39">
        <f t="shared" ref="S35:AF35" si="27">MAX(S13:S18)</f>
        <v>17.142857142857146</v>
      </c>
      <c r="T35" s="39">
        <f t="shared" si="27"/>
        <v>0</v>
      </c>
      <c r="U35" s="39">
        <f t="shared" si="27"/>
        <v>9.7142857142857153</v>
      </c>
      <c r="V35" s="39">
        <f t="shared" si="27"/>
        <v>10.428571428571427</v>
      </c>
      <c r="W35" s="39">
        <f t="shared" si="27"/>
        <v>0.14285714285714285</v>
      </c>
      <c r="X35" s="39">
        <f t="shared" si="27"/>
        <v>1.1428571428571428</v>
      </c>
      <c r="Y35" s="39">
        <f t="shared" si="27"/>
        <v>6</v>
      </c>
      <c r="Z35" s="39">
        <f t="shared" si="27"/>
        <v>1</v>
      </c>
      <c r="AA35" s="39">
        <f t="shared" si="27"/>
        <v>1.1428571428571428</v>
      </c>
      <c r="AB35" s="39">
        <f t="shared" si="27"/>
        <v>2.8571428571428572</v>
      </c>
      <c r="AC35" s="39">
        <f t="shared" si="27"/>
        <v>15.857142857142858</v>
      </c>
      <c r="AD35" s="39">
        <f t="shared" si="27"/>
        <v>0.14285714285714285</v>
      </c>
      <c r="AE35" s="40">
        <f t="shared" si="27"/>
        <v>47.714285714285715</v>
      </c>
      <c r="AF35" s="40">
        <f t="shared" si="27"/>
        <v>60.738095238095241</v>
      </c>
    </row>
    <row r="36" spans="2:32" ht="23.1" customHeight="1" x14ac:dyDescent="0.25">
      <c r="B36" s="24" t="s">
        <v>63</v>
      </c>
      <c r="C36" s="49">
        <f>AVERAGE('5.8 KIKORONGO-BWERA'!C36,'6.8 KIKORONGO-BWERA'!C36,'7.8 KIKORONGO-BWERA'!C36,'9.8 KIKORONGO-BWERA'!C36,'8.8 KIKORONGO-BWERA-24hr'!C36,'10.8 KIKORONGO-BWERA-24HRS'!C36,'11.8 BWERA-KIKORONGO'!C36)</f>
        <v>4.2857142857142856</v>
      </c>
      <c r="D36" s="49">
        <f>AVERAGE('5.8 KIKORONGO-BWERA'!D36,'6.8 KIKORONGO-BWERA'!D36,'7.8 KIKORONGO-BWERA'!D36,'9.8 KIKORONGO-BWERA'!D36,'8.8 KIKORONGO-BWERA-24hr'!D36,'10.8 KIKORONGO-BWERA-24HRS'!D36,'11.8 BWERA-KIKORONGO'!D36)</f>
        <v>0</v>
      </c>
      <c r="E36" s="49">
        <f>AVERAGE('5.8 KIKORONGO-BWERA'!E36,'6.8 KIKORONGO-BWERA'!E36,'7.8 KIKORONGO-BWERA'!E36,'9.8 KIKORONGO-BWERA'!E36,'8.8 KIKORONGO-BWERA-24hr'!E36,'10.8 KIKORONGO-BWERA-24HRS'!E36,'11.8 BWERA-KIKORONGO'!E36)</f>
        <v>0.8571428571428571</v>
      </c>
      <c r="F36" s="49">
        <f>AVERAGE('5.8 KIKORONGO-BWERA'!F36,'6.8 KIKORONGO-BWERA'!F36,'7.8 KIKORONGO-BWERA'!F36,'9.8 KIKORONGO-BWERA'!F36,'8.8 KIKORONGO-BWERA-24hr'!F36,'10.8 KIKORONGO-BWERA-24HRS'!F36,'11.8 BWERA-KIKORONGO'!F36)</f>
        <v>2.4285714285714284</v>
      </c>
      <c r="G36" s="49">
        <f>AVERAGE('5.8 KIKORONGO-BWERA'!G36,'6.8 KIKORONGO-BWERA'!G36,'7.8 KIKORONGO-BWERA'!G36,'9.8 KIKORONGO-BWERA'!G36,'8.8 KIKORONGO-BWERA-24hr'!G36,'10.8 KIKORONGO-BWERA-24HRS'!G36,'11.8 BWERA-KIKORONGO'!G36)</f>
        <v>0</v>
      </c>
      <c r="H36" s="49">
        <f>AVERAGE('5.8 KIKORONGO-BWERA'!H36,'6.8 KIKORONGO-BWERA'!H36,'7.8 KIKORONGO-BWERA'!H36,'9.8 KIKORONGO-BWERA'!H36,'8.8 KIKORONGO-BWERA-24hr'!H36,'10.8 KIKORONGO-BWERA-24HRS'!H36,'11.8 BWERA-KIKORONGO'!H36)</f>
        <v>0.14285714285714285</v>
      </c>
      <c r="I36" s="49">
        <f>AVERAGE('5.8 KIKORONGO-BWERA'!I36,'6.8 KIKORONGO-BWERA'!I36,'7.8 KIKORONGO-BWERA'!I36,'9.8 KIKORONGO-BWERA'!I36,'8.8 KIKORONGO-BWERA-24hr'!I36,'10.8 KIKORONGO-BWERA-24HRS'!I36,'11.8 BWERA-KIKORONGO'!I36)</f>
        <v>1.2857142857142858</v>
      </c>
      <c r="J36" s="49">
        <f>AVERAGE('5.8 KIKORONGO-BWERA'!J36,'6.8 KIKORONGO-BWERA'!J36,'7.8 KIKORONGO-BWERA'!J36,'9.8 KIKORONGO-BWERA'!J36,'8.8 KIKORONGO-BWERA-24hr'!J36,'10.8 KIKORONGO-BWERA-24HRS'!J36,'11.8 BWERA-KIKORONGO'!J36)</f>
        <v>0.42857142857142855</v>
      </c>
      <c r="K36" s="49">
        <f>AVERAGE('5.8 KIKORONGO-BWERA'!K36,'6.8 KIKORONGO-BWERA'!K36,'7.8 KIKORONGO-BWERA'!K36,'9.8 KIKORONGO-BWERA'!K36,'8.8 KIKORONGO-BWERA-24hr'!K36,'10.8 KIKORONGO-BWERA-24HRS'!K36,'11.8 BWERA-KIKORONGO'!K36)</f>
        <v>0</v>
      </c>
      <c r="L36" s="49">
        <f>AVERAGE('5.8 KIKORONGO-BWERA'!L36,'6.8 KIKORONGO-BWERA'!L36,'7.8 KIKORONGO-BWERA'!L36,'9.8 KIKORONGO-BWERA'!L36,'8.8 KIKORONGO-BWERA-24hr'!L36,'10.8 KIKORONGO-BWERA-24HRS'!L36,'11.8 BWERA-KIKORONGO'!L36)</f>
        <v>0.42857142857142855</v>
      </c>
      <c r="M36" s="49">
        <f>AVERAGE('5.8 KIKORONGO-BWERA'!M36,'6.8 KIKORONGO-BWERA'!M36,'7.8 KIKORONGO-BWERA'!M36,'9.8 KIKORONGO-BWERA'!M36,'8.8 KIKORONGO-BWERA-24hr'!M36,'10.8 KIKORONGO-BWERA-24HRS'!M36,'11.8 BWERA-KIKORONGO'!M36)</f>
        <v>4.8571428571428568</v>
      </c>
      <c r="N36" s="49">
        <f>AVERAGE('5.8 KIKORONGO-BWERA'!N36,'6.8 KIKORONGO-BWERA'!N36,'7.8 KIKORONGO-BWERA'!N36,'9.8 KIKORONGO-BWERA'!N36,'8.8 KIKORONGO-BWERA-24hr'!N36,'10.8 KIKORONGO-BWERA-24HRS'!N36,'11.8 BWERA-KIKORONGO'!N36)</f>
        <v>0</v>
      </c>
      <c r="O36" s="15">
        <f t="shared" si="0"/>
        <v>9.8571428571428577</v>
      </c>
      <c r="P36" s="15">
        <f t="shared" si="1"/>
        <v>14.714285714285715</v>
      </c>
      <c r="R36" s="38" t="s">
        <v>92</v>
      </c>
      <c r="S36" s="39">
        <f t="shared" ref="S36:AF36" si="28">MAX(S19:S21)</f>
        <v>16</v>
      </c>
      <c r="T36" s="39">
        <f t="shared" si="28"/>
        <v>0</v>
      </c>
      <c r="U36" s="39">
        <f t="shared" si="28"/>
        <v>13.857142857142858</v>
      </c>
      <c r="V36" s="39">
        <f t="shared" si="28"/>
        <v>12.571428571428573</v>
      </c>
      <c r="W36" s="39">
        <f t="shared" si="28"/>
        <v>0.2857142857142857</v>
      </c>
      <c r="X36" s="39">
        <f t="shared" si="28"/>
        <v>1.1428571428571428</v>
      </c>
      <c r="Y36" s="39">
        <f t="shared" si="28"/>
        <v>7</v>
      </c>
      <c r="Z36" s="39">
        <f t="shared" si="28"/>
        <v>0.5714285714285714</v>
      </c>
      <c r="AA36" s="39">
        <f t="shared" si="28"/>
        <v>0.71428571428571419</v>
      </c>
      <c r="AB36" s="39">
        <f t="shared" si="28"/>
        <v>4.7142857142857144</v>
      </c>
      <c r="AC36" s="39">
        <f t="shared" si="28"/>
        <v>14.428571428571431</v>
      </c>
      <c r="AD36" s="39">
        <f t="shared" si="28"/>
        <v>0.42857142857142855</v>
      </c>
      <c r="AE36" s="40">
        <f t="shared" si="28"/>
        <v>53.714285714285715</v>
      </c>
      <c r="AF36" s="40">
        <f t="shared" si="28"/>
        <v>68.142857142857139</v>
      </c>
    </row>
    <row r="37" spans="2:32" ht="23.1" customHeight="1" x14ac:dyDescent="0.25">
      <c r="B37" s="23" t="s">
        <v>64</v>
      </c>
      <c r="C37" s="49">
        <f>AVERAGE('5.8 KIKORONGO-BWERA'!C37,'6.8 KIKORONGO-BWERA'!C37,'7.8 KIKORONGO-BWERA'!C37,'9.8 KIKORONGO-BWERA'!C37,'8.8 KIKORONGO-BWERA-24hr'!C37,'10.8 KIKORONGO-BWERA-24HRS'!C37,'11.8 BWERA-KIKORONGO'!C37)</f>
        <v>2.5714285714285716</v>
      </c>
      <c r="D37" s="49">
        <f>AVERAGE('5.8 KIKORONGO-BWERA'!D37,'6.8 KIKORONGO-BWERA'!D37,'7.8 KIKORONGO-BWERA'!D37,'9.8 KIKORONGO-BWERA'!D37,'8.8 KIKORONGO-BWERA-24hr'!D37,'10.8 KIKORONGO-BWERA-24HRS'!D37,'11.8 BWERA-KIKORONGO'!D37)</f>
        <v>0</v>
      </c>
      <c r="E37" s="49">
        <f>AVERAGE('5.8 KIKORONGO-BWERA'!E37,'6.8 KIKORONGO-BWERA'!E37,'7.8 KIKORONGO-BWERA'!E37,'9.8 KIKORONGO-BWERA'!E37,'8.8 KIKORONGO-BWERA-24hr'!E37,'10.8 KIKORONGO-BWERA-24HRS'!E37,'11.8 BWERA-KIKORONGO'!E37)</f>
        <v>3.1428571428571428</v>
      </c>
      <c r="F37" s="49">
        <f>AVERAGE('5.8 KIKORONGO-BWERA'!F37,'6.8 KIKORONGO-BWERA'!F37,'7.8 KIKORONGO-BWERA'!F37,'9.8 KIKORONGO-BWERA'!F37,'8.8 KIKORONGO-BWERA-24hr'!F37,'10.8 KIKORONGO-BWERA-24HRS'!F37,'11.8 BWERA-KIKORONGO'!F37)</f>
        <v>2.1428571428571428</v>
      </c>
      <c r="G37" s="49">
        <f>AVERAGE('5.8 KIKORONGO-BWERA'!G37,'6.8 KIKORONGO-BWERA'!G37,'7.8 KIKORONGO-BWERA'!G37,'9.8 KIKORONGO-BWERA'!G37,'8.8 KIKORONGO-BWERA-24hr'!G37,'10.8 KIKORONGO-BWERA-24HRS'!G37,'11.8 BWERA-KIKORONGO'!G37)</f>
        <v>0</v>
      </c>
      <c r="H37" s="49">
        <f>AVERAGE('5.8 KIKORONGO-BWERA'!H37,'6.8 KIKORONGO-BWERA'!H37,'7.8 KIKORONGO-BWERA'!H37,'9.8 KIKORONGO-BWERA'!H37,'8.8 KIKORONGO-BWERA-24hr'!H37,'10.8 KIKORONGO-BWERA-24HRS'!H37,'11.8 BWERA-KIKORONGO'!H37)</f>
        <v>0.14285714285714285</v>
      </c>
      <c r="I37" s="49">
        <f>AVERAGE('5.8 KIKORONGO-BWERA'!I37,'6.8 KIKORONGO-BWERA'!I37,'7.8 KIKORONGO-BWERA'!I37,'9.8 KIKORONGO-BWERA'!I37,'8.8 KIKORONGO-BWERA-24hr'!I37,'10.8 KIKORONGO-BWERA-24HRS'!I37,'11.8 BWERA-KIKORONGO'!I37)</f>
        <v>1.1428571428571428</v>
      </c>
      <c r="J37" s="49">
        <f>AVERAGE('5.8 KIKORONGO-BWERA'!J37,'6.8 KIKORONGO-BWERA'!J37,'7.8 KIKORONGO-BWERA'!J37,'9.8 KIKORONGO-BWERA'!J37,'8.8 KIKORONGO-BWERA-24hr'!J37,'10.8 KIKORONGO-BWERA-24HRS'!J37,'11.8 BWERA-KIKORONGO'!J37)</f>
        <v>0.14285714285714285</v>
      </c>
      <c r="K37" s="49">
        <f>AVERAGE('5.8 KIKORONGO-BWERA'!K37,'6.8 KIKORONGO-BWERA'!K37,'7.8 KIKORONGO-BWERA'!K37,'9.8 KIKORONGO-BWERA'!K37,'8.8 KIKORONGO-BWERA-24hr'!K37,'10.8 KIKORONGO-BWERA-24HRS'!K37,'11.8 BWERA-KIKORONGO'!K37)</f>
        <v>0.5714285714285714</v>
      </c>
      <c r="L37" s="49">
        <f>AVERAGE('5.8 KIKORONGO-BWERA'!L37,'6.8 KIKORONGO-BWERA'!L37,'7.8 KIKORONGO-BWERA'!L37,'9.8 KIKORONGO-BWERA'!L37,'8.8 KIKORONGO-BWERA-24hr'!L37,'10.8 KIKORONGO-BWERA-24HRS'!L37,'11.8 BWERA-KIKORONGO'!L37)</f>
        <v>0.8571428571428571</v>
      </c>
      <c r="M37" s="49">
        <f>AVERAGE('5.8 KIKORONGO-BWERA'!M37,'6.8 KIKORONGO-BWERA'!M37,'7.8 KIKORONGO-BWERA'!M37,'9.8 KIKORONGO-BWERA'!M37,'8.8 KIKORONGO-BWERA-24hr'!M37,'10.8 KIKORONGO-BWERA-24HRS'!M37,'11.8 BWERA-KIKORONGO'!M37)</f>
        <v>3.2857142857142856</v>
      </c>
      <c r="N37" s="49">
        <f>AVERAGE('5.8 KIKORONGO-BWERA'!N37,'6.8 KIKORONGO-BWERA'!N37,'7.8 KIKORONGO-BWERA'!N37,'9.8 KIKORONGO-BWERA'!N37,'8.8 KIKORONGO-BWERA-24hr'!N37,'10.8 KIKORONGO-BWERA-24HRS'!N37,'11.8 BWERA-KIKORONGO'!N37)</f>
        <v>0</v>
      </c>
      <c r="O37" s="15">
        <f t="shared" si="0"/>
        <v>10.714285714285714</v>
      </c>
      <c r="P37" s="15">
        <f t="shared" si="1"/>
        <v>14</v>
      </c>
      <c r="R37" s="37" t="s">
        <v>85</v>
      </c>
      <c r="S37" s="35">
        <f t="shared" ref="S37:AF37" si="29">SUM(S10:S12)</f>
        <v>44.571428571428569</v>
      </c>
      <c r="T37" s="16">
        <f t="shared" si="29"/>
        <v>0</v>
      </c>
      <c r="U37" s="16">
        <f t="shared" si="29"/>
        <v>21.714285714285715</v>
      </c>
      <c r="V37" s="16">
        <f t="shared" si="29"/>
        <v>23.857142857142854</v>
      </c>
      <c r="W37" s="16">
        <f t="shared" si="29"/>
        <v>0.14285714285714285</v>
      </c>
      <c r="X37" s="16">
        <f t="shared" si="29"/>
        <v>4.5714285714285712</v>
      </c>
      <c r="Y37" s="16">
        <f t="shared" si="29"/>
        <v>6.2857142857142856</v>
      </c>
      <c r="Z37" s="16">
        <f t="shared" si="29"/>
        <v>0.14285714285714285</v>
      </c>
      <c r="AA37" s="16">
        <f t="shared" si="29"/>
        <v>0.5714285714285714</v>
      </c>
      <c r="AB37" s="16">
        <f t="shared" si="29"/>
        <v>2.714285714285714</v>
      </c>
      <c r="AC37" s="16">
        <f t="shared" si="29"/>
        <v>48.761904761904759</v>
      </c>
      <c r="AD37" s="16">
        <f t="shared" si="29"/>
        <v>0.14285714285714285</v>
      </c>
      <c r="AE37" s="32">
        <f t="shared" si="29"/>
        <v>104.71428571428571</v>
      </c>
      <c r="AF37" s="32">
        <f t="shared" si="29"/>
        <v>153.47619047619048</v>
      </c>
    </row>
    <row r="38" spans="2:32" ht="23.1" customHeight="1" x14ac:dyDescent="0.25">
      <c r="B38" s="24" t="s">
        <v>65</v>
      </c>
      <c r="C38" s="49">
        <f>AVERAGE('5.8 KIKORONGO-BWERA'!C38,'6.8 KIKORONGO-BWERA'!C38,'7.8 KIKORONGO-BWERA'!C38,'9.8 KIKORONGO-BWERA'!C38,'8.8 KIKORONGO-BWERA-24hr'!C38,'10.8 KIKORONGO-BWERA-24HRS'!C38,'11.8 BWERA-KIKORONGO'!C38)</f>
        <v>2.8571428571428572</v>
      </c>
      <c r="D38" s="49">
        <f>AVERAGE('5.8 KIKORONGO-BWERA'!D38,'6.8 KIKORONGO-BWERA'!D38,'7.8 KIKORONGO-BWERA'!D38,'9.8 KIKORONGO-BWERA'!D38,'8.8 KIKORONGO-BWERA-24hr'!D38,'10.8 KIKORONGO-BWERA-24HRS'!D38,'11.8 BWERA-KIKORONGO'!D38)</f>
        <v>0</v>
      </c>
      <c r="E38" s="49">
        <f>AVERAGE('5.8 KIKORONGO-BWERA'!E38,'6.8 KIKORONGO-BWERA'!E38,'7.8 KIKORONGO-BWERA'!E38,'9.8 KIKORONGO-BWERA'!E38,'8.8 KIKORONGO-BWERA-24hr'!E38,'10.8 KIKORONGO-BWERA-24HRS'!E38,'11.8 BWERA-KIKORONGO'!E38)</f>
        <v>2.1428571428571428</v>
      </c>
      <c r="F38" s="49">
        <f>AVERAGE('5.8 KIKORONGO-BWERA'!F38,'6.8 KIKORONGO-BWERA'!F38,'7.8 KIKORONGO-BWERA'!F38,'9.8 KIKORONGO-BWERA'!F38,'8.8 KIKORONGO-BWERA-24hr'!F38,'10.8 KIKORONGO-BWERA-24HRS'!F38,'11.8 BWERA-KIKORONGO'!F38)</f>
        <v>2.2857142857142856</v>
      </c>
      <c r="G38" s="49">
        <f>AVERAGE('5.8 KIKORONGO-BWERA'!G38,'6.8 KIKORONGO-BWERA'!G38,'7.8 KIKORONGO-BWERA'!G38,'9.8 KIKORONGO-BWERA'!G38,'8.8 KIKORONGO-BWERA-24hr'!G38,'10.8 KIKORONGO-BWERA-24HRS'!G38,'11.8 BWERA-KIKORONGO'!G38)</f>
        <v>0</v>
      </c>
      <c r="H38" s="49">
        <f>AVERAGE('5.8 KIKORONGO-BWERA'!H38,'6.8 KIKORONGO-BWERA'!H38,'7.8 KIKORONGO-BWERA'!H38,'9.8 KIKORONGO-BWERA'!H38,'8.8 KIKORONGO-BWERA-24hr'!H38,'10.8 KIKORONGO-BWERA-24HRS'!H38,'11.8 BWERA-KIKORONGO'!H38)</f>
        <v>0.42857142857142855</v>
      </c>
      <c r="I38" s="49">
        <f>AVERAGE('5.8 KIKORONGO-BWERA'!I38,'6.8 KIKORONGO-BWERA'!I38,'7.8 KIKORONGO-BWERA'!I38,'9.8 KIKORONGO-BWERA'!I38,'8.8 KIKORONGO-BWERA-24hr'!I38,'10.8 KIKORONGO-BWERA-24HRS'!I38,'11.8 BWERA-KIKORONGO'!I38)</f>
        <v>0.7142857142857143</v>
      </c>
      <c r="J38" s="49">
        <f>AVERAGE('5.8 KIKORONGO-BWERA'!J38,'6.8 KIKORONGO-BWERA'!J38,'7.8 KIKORONGO-BWERA'!J38,'9.8 KIKORONGO-BWERA'!J38,'8.8 KIKORONGO-BWERA-24hr'!J38,'10.8 KIKORONGO-BWERA-24HRS'!J38,'11.8 BWERA-KIKORONGO'!J38)</f>
        <v>0</v>
      </c>
      <c r="K38" s="49">
        <f>AVERAGE('5.8 KIKORONGO-BWERA'!K38,'6.8 KIKORONGO-BWERA'!K38,'7.8 KIKORONGO-BWERA'!K38,'9.8 KIKORONGO-BWERA'!K38,'8.8 KIKORONGO-BWERA-24hr'!K38,'10.8 KIKORONGO-BWERA-24HRS'!K38,'11.8 BWERA-KIKORONGO'!K38)</f>
        <v>0</v>
      </c>
      <c r="L38" s="49">
        <f>AVERAGE('5.8 KIKORONGO-BWERA'!L38,'6.8 KIKORONGO-BWERA'!L38,'7.8 KIKORONGO-BWERA'!L38,'9.8 KIKORONGO-BWERA'!L38,'8.8 KIKORONGO-BWERA-24hr'!L38,'10.8 KIKORONGO-BWERA-24HRS'!L38,'11.8 BWERA-KIKORONGO'!L38)</f>
        <v>0.5714285714285714</v>
      </c>
      <c r="M38" s="49">
        <f>AVERAGE('5.8 KIKORONGO-BWERA'!M38,'6.8 KIKORONGO-BWERA'!M38,'7.8 KIKORONGO-BWERA'!M38,'9.8 KIKORONGO-BWERA'!M38,'8.8 KIKORONGO-BWERA-24hr'!M38,'10.8 KIKORONGO-BWERA-24HRS'!M38,'11.8 BWERA-KIKORONGO'!M38)</f>
        <v>2</v>
      </c>
      <c r="N38" s="49">
        <f>AVERAGE('5.8 KIKORONGO-BWERA'!N38,'6.8 KIKORONGO-BWERA'!N38,'7.8 KIKORONGO-BWERA'!N38,'9.8 KIKORONGO-BWERA'!N38,'8.8 KIKORONGO-BWERA-24hr'!N38,'10.8 KIKORONGO-BWERA-24HRS'!N38,'11.8 BWERA-KIKORONGO'!N38)</f>
        <v>0</v>
      </c>
      <c r="O38" s="15">
        <f t="shared" si="0"/>
        <v>9</v>
      </c>
      <c r="P38" s="15">
        <f t="shared" si="1"/>
        <v>11</v>
      </c>
      <c r="R38" s="28" t="s">
        <v>86</v>
      </c>
      <c r="S38" s="16">
        <f t="shared" ref="S38:AF38" si="30">SUM(S13:S18)</f>
        <v>93</v>
      </c>
      <c r="T38" s="16">
        <f t="shared" si="30"/>
        <v>0</v>
      </c>
      <c r="U38" s="16">
        <f t="shared" si="30"/>
        <v>49.857142857142854</v>
      </c>
      <c r="V38" s="16">
        <f t="shared" si="30"/>
        <v>54.714285714285708</v>
      </c>
      <c r="W38" s="16">
        <f t="shared" si="30"/>
        <v>0.14285714285714285</v>
      </c>
      <c r="X38" s="16">
        <f t="shared" si="30"/>
        <v>4.5714285714285712</v>
      </c>
      <c r="Y38" s="16">
        <f t="shared" si="30"/>
        <v>27.428571428571427</v>
      </c>
      <c r="Z38" s="16">
        <f t="shared" si="30"/>
        <v>3.5714285714285712</v>
      </c>
      <c r="AA38" s="16">
        <f t="shared" si="30"/>
        <v>4.5714285714285712</v>
      </c>
      <c r="AB38" s="16">
        <f t="shared" si="30"/>
        <v>13</v>
      </c>
      <c r="AC38" s="16">
        <f t="shared" si="30"/>
        <v>81.452380952380935</v>
      </c>
      <c r="AD38" s="16">
        <f t="shared" si="30"/>
        <v>0.14285714285714285</v>
      </c>
      <c r="AE38" s="32">
        <f t="shared" si="30"/>
        <v>251</v>
      </c>
      <c r="AF38" s="32">
        <f t="shared" si="30"/>
        <v>332.45238095238096</v>
      </c>
    </row>
    <row r="39" spans="2:32" ht="23.1" customHeight="1" x14ac:dyDescent="0.25">
      <c r="B39" s="24" t="s">
        <v>66</v>
      </c>
      <c r="C39" s="49">
        <f>AVERAGE('5.8 KIKORONGO-BWERA'!C39,'6.8 KIKORONGO-BWERA'!C39,'7.8 KIKORONGO-BWERA'!C39,'9.8 KIKORONGO-BWERA'!C39,'8.8 KIKORONGO-BWERA-24hr'!C39,'10.8 KIKORONGO-BWERA-24HRS'!C39,'11.8 BWERA-KIKORONGO'!C39)</f>
        <v>2.8571428571428572</v>
      </c>
      <c r="D39" s="49">
        <f>AVERAGE('5.8 KIKORONGO-BWERA'!D39,'6.8 KIKORONGO-BWERA'!D39,'7.8 KIKORONGO-BWERA'!D39,'9.8 KIKORONGO-BWERA'!D39,'8.8 KIKORONGO-BWERA-24hr'!D39,'10.8 KIKORONGO-BWERA-24HRS'!D39,'11.8 BWERA-KIKORONGO'!D39)</f>
        <v>0</v>
      </c>
      <c r="E39" s="49">
        <f>AVERAGE('5.8 KIKORONGO-BWERA'!E39,'6.8 KIKORONGO-BWERA'!E39,'7.8 KIKORONGO-BWERA'!E39,'9.8 KIKORONGO-BWERA'!E39,'8.8 KIKORONGO-BWERA-24hr'!E39,'10.8 KIKORONGO-BWERA-24HRS'!E39,'11.8 BWERA-KIKORONGO'!E39)</f>
        <v>2.2857142857142856</v>
      </c>
      <c r="F39" s="49">
        <f>AVERAGE('5.8 KIKORONGO-BWERA'!F39,'6.8 KIKORONGO-BWERA'!F39,'7.8 KIKORONGO-BWERA'!F39,'9.8 KIKORONGO-BWERA'!F39,'8.8 KIKORONGO-BWERA-24hr'!F39,'10.8 KIKORONGO-BWERA-24HRS'!F39,'11.8 BWERA-KIKORONGO'!F39)</f>
        <v>2.8571428571428572</v>
      </c>
      <c r="G39" s="49">
        <f>AVERAGE('5.8 KIKORONGO-BWERA'!G39,'6.8 KIKORONGO-BWERA'!G39,'7.8 KIKORONGO-BWERA'!G39,'9.8 KIKORONGO-BWERA'!G39,'8.8 KIKORONGO-BWERA-24hr'!G39,'10.8 KIKORONGO-BWERA-24HRS'!G39,'11.8 BWERA-KIKORONGO'!G39)</f>
        <v>0</v>
      </c>
      <c r="H39" s="49">
        <f>AVERAGE('5.8 KIKORONGO-BWERA'!H39,'6.8 KIKORONGO-BWERA'!H39,'7.8 KIKORONGO-BWERA'!H39,'9.8 KIKORONGO-BWERA'!H39,'8.8 KIKORONGO-BWERA-24hr'!H39,'10.8 KIKORONGO-BWERA-24HRS'!H39,'11.8 BWERA-KIKORONGO'!H39)</f>
        <v>0.14285714285714285</v>
      </c>
      <c r="I39" s="49">
        <f>AVERAGE('5.8 KIKORONGO-BWERA'!I39,'6.8 KIKORONGO-BWERA'!I39,'7.8 KIKORONGO-BWERA'!I39,'9.8 KIKORONGO-BWERA'!I39,'8.8 KIKORONGO-BWERA-24hr'!I39,'10.8 KIKORONGO-BWERA-24HRS'!I39,'11.8 BWERA-KIKORONGO'!I39)</f>
        <v>0.7142857142857143</v>
      </c>
      <c r="J39" s="49">
        <f>AVERAGE('5.8 KIKORONGO-BWERA'!J39,'6.8 KIKORONGO-BWERA'!J39,'7.8 KIKORONGO-BWERA'!J39,'9.8 KIKORONGO-BWERA'!J39,'8.8 KIKORONGO-BWERA-24hr'!J39,'10.8 KIKORONGO-BWERA-24HRS'!J39,'11.8 BWERA-KIKORONGO'!J39)</f>
        <v>0.2857142857142857</v>
      </c>
      <c r="K39" s="49">
        <f>AVERAGE('5.8 KIKORONGO-BWERA'!K39,'6.8 KIKORONGO-BWERA'!K39,'7.8 KIKORONGO-BWERA'!K39,'9.8 KIKORONGO-BWERA'!K39,'8.8 KIKORONGO-BWERA-24hr'!K39,'10.8 KIKORONGO-BWERA-24HRS'!K39,'11.8 BWERA-KIKORONGO'!K39)</f>
        <v>0.2857142857142857</v>
      </c>
      <c r="L39" s="49">
        <f>AVERAGE('5.8 KIKORONGO-BWERA'!L39,'6.8 KIKORONGO-BWERA'!L39,'7.8 KIKORONGO-BWERA'!L39,'9.8 KIKORONGO-BWERA'!L39,'8.8 KIKORONGO-BWERA-24hr'!L39,'10.8 KIKORONGO-BWERA-24HRS'!L39,'11.8 BWERA-KIKORONGO'!L39)</f>
        <v>0.42857142857142855</v>
      </c>
      <c r="M39" s="49">
        <f>AVERAGE('5.8 KIKORONGO-BWERA'!M39,'6.8 KIKORONGO-BWERA'!M39,'7.8 KIKORONGO-BWERA'!M39,'9.8 KIKORONGO-BWERA'!M39,'8.8 KIKORONGO-BWERA-24hr'!M39,'10.8 KIKORONGO-BWERA-24HRS'!M39,'11.8 BWERA-KIKORONGO'!M39)</f>
        <v>3.2857142857142856</v>
      </c>
      <c r="N39" s="49">
        <f>AVERAGE('5.8 KIKORONGO-BWERA'!N39,'6.8 KIKORONGO-BWERA'!N39,'7.8 KIKORONGO-BWERA'!N39,'9.8 KIKORONGO-BWERA'!N39,'8.8 KIKORONGO-BWERA-24hr'!N39,'10.8 KIKORONGO-BWERA-24HRS'!N39,'11.8 BWERA-KIKORONGO'!N39)</f>
        <v>0</v>
      </c>
      <c r="O39" s="15">
        <f t="shared" si="0"/>
        <v>9.8571428571428577</v>
      </c>
      <c r="P39" s="15">
        <f t="shared" si="1"/>
        <v>13.142857142857142</v>
      </c>
      <c r="R39" s="29" t="s">
        <v>87</v>
      </c>
      <c r="S39" s="16">
        <f t="shared" ref="S39:AF39" si="31">SUM(S19:S21)</f>
        <v>43.857142857142854</v>
      </c>
      <c r="T39" s="16">
        <f t="shared" si="31"/>
        <v>0</v>
      </c>
      <c r="U39" s="16">
        <f t="shared" si="31"/>
        <v>33.714285714285715</v>
      </c>
      <c r="V39" s="16">
        <f t="shared" si="31"/>
        <v>32.142857142857146</v>
      </c>
      <c r="W39" s="16">
        <f t="shared" si="31"/>
        <v>0.42857142857142855</v>
      </c>
      <c r="X39" s="16">
        <f t="shared" si="31"/>
        <v>2.2857142857142856</v>
      </c>
      <c r="Y39" s="16">
        <f t="shared" si="31"/>
        <v>20.142857142857146</v>
      </c>
      <c r="Z39" s="16">
        <f t="shared" si="31"/>
        <v>1.2857142857142856</v>
      </c>
      <c r="AA39" s="16">
        <f t="shared" si="31"/>
        <v>1.857142857142857</v>
      </c>
      <c r="AB39" s="16">
        <f t="shared" si="31"/>
        <v>10.571428571428573</v>
      </c>
      <c r="AC39" s="16">
        <f t="shared" si="31"/>
        <v>39.857142857142861</v>
      </c>
      <c r="AD39" s="16">
        <f t="shared" si="31"/>
        <v>0.5714285714285714</v>
      </c>
      <c r="AE39" s="32">
        <f t="shared" si="31"/>
        <v>146.85714285714283</v>
      </c>
      <c r="AF39" s="32">
        <f t="shared" si="31"/>
        <v>186.71428571428572</v>
      </c>
    </row>
    <row r="40" spans="2:32" ht="23.1" customHeight="1" x14ac:dyDescent="0.25">
      <c r="B40" s="24" t="s">
        <v>67</v>
      </c>
      <c r="C40" s="49">
        <f>AVERAGE('5.8 KIKORONGO-BWERA'!C40,'6.8 KIKORONGO-BWERA'!C40,'7.8 KIKORONGO-BWERA'!C40,'9.8 KIKORONGO-BWERA'!C40,'8.8 KIKORONGO-BWERA-24hr'!C40,'10.8 KIKORONGO-BWERA-24HRS'!C40,'11.8 BWERA-KIKORONGO'!C40)</f>
        <v>3.8571428571428572</v>
      </c>
      <c r="D40" s="49">
        <f>AVERAGE('5.8 KIKORONGO-BWERA'!D40,'6.8 KIKORONGO-BWERA'!D40,'7.8 KIKORONGO-BWERA'!D40,'9.8 KIKORONGO-BWERA'!D40,'8.8 KIKORONGO-BWERA-24hr'!D40,'10.8 KIKORONGO-BWERA-24HRS'!D40,'11.8 BWERA-KIKORONGO'!D40)</f>
        <v>0</v>
      </c>
      <c r="E40" s="49">
        <f>AVERAGE('5.8 KIKORONGO-BWERA'!E40,'6.8 KIKORONGO-BWERA'!E40,'7.8 KIKORONGO-BWERA'!E40,'9.8 KIKORONGO-BWERA'!E40,'8.8 KIKORONGO-BWERA-24hr'!E40,'10.8 KIKORONGO-BWERA-24HRS'!E40,'11.8 BWERA-KIKORONGO'!E40)</f>
        <v>2.1428571428571428</v>
      </c>
      <c r="F40" s="49">
        <f>AVERAGE('5.8 KIKORONGO-BWERA'!F40,'6.8 KIKORONGO-BWERA'!F40,'7.8 KIKORONGO-BWERA'!F40,'9.8 KIKORONGO-BWERA'!F40,'8.8 KIKORONGO-BWERA-24hr'!F40,'10.8 KIKORONGO-BWERA-24HRS'!F40,'11.8 BWERA-KIKORONGO'!F40)</f>
        <v>2.2857142857142856</v>
      </c>
      <c r="G40" s="49">
        <f>AVERAGE('5.8 KIKORONGO-BWERA'!G40,'6.8 KIKORONGO-BWERA'!G40,'7.8 KIKORONGO-BWERA'!G40,'9.8 KIKORONGO-BWERA'!G40,'8.8 KIKORONGO-BWERA-24hr'!G40,'10.8 KIKORONGO-BWERA-24HRS'!G40,'11.8 BWERA-KIKORONGO'!G40)</f>
        <v>0</v>
      </c>
      <c r="H40" s="49">
        <f>AVERAGE('5.8 KIKORONGO-BWERA'!H40,'6.8 KIKORONGO-BWERA'!H40,'7.8 KIKORONGO-BWERA'!H40,'9.8 KIKORONGO-BWERA'!H40,'8.8 KIKORONGO-BWERA-24hr'!H40,'10.8 KIKORONGO-BWERA-24HRS'!H40,'11.8 BWERA-KIKORONGO'!H40)</f>
        <v>0</v>
      </c>
      <c r="I40" s="49">
        <f>AVERAGE('5.8 KIKORONGO-BWERA'!I40,'6.8 KIKORONGO-BWERA'!I40,'7.8 KIKORONGO-BWERA'!I40,'9.8 KIKORONGO-BWERA'!I40,'8.8 KIKORONGO-BWERA-24hr'!I40,'10.8 KIKORONGO-BWERA-24HRS'!I40,'11.8 BWERA-KIKORONGO'!I40)</f>
        <v>1.1428571428571428</v>
      </c>
      <c r="J40" s="49">
        <f>AVERAGE('5.8 KIKORONGO-BWERA'!J40,'6.8 KIKORONGO-BWERA'!J40,'7.8 KIKORONGO-BWERA'!J40,'9.8 KIKORONGO-BWERA'!J40,'8.8 KIKORONGO-BWERA-24hr'!J40,'10.8 KIKORONGO-BWERA-24HRS'!J40,'11.8 BWERA-KIKORONGO'!J40)</f>
        <v>0.2857142857142857</v>
      </c>
      <c r="K40" s="49">
        <f>AVERAGE('5.8 KIKORONGO-BWERA'!K40,'6.8 KIKORONGO-BWERA'!K40,'7.8 KIKORONGO-BWERA'!K40,'9.8 KIKORONGO-BWERA'!K40,'8.8 KIKORONGO-BWERA-24hr'!K40,'10.8 KIKORONGO-BWERA-24HRS'!K40,'11.8 BWERA-KIKORONGO'!K40)</f>
        <v>0.14285714285714285</v>
      </c>
      <c r="L40" s="49">
        <f>AVERAGE('5.8 KIKORONGO-BWERA'!L40,'6.8 KIKORONGO-BWERA'!L40,'7.8 KIKORONGO-BWERA'!L40,'9.8 KIKORONGO-BWERA'!L40,'8.8 KIKORONGO-BWERA-24hr'!L40,'10.8 KIKORONGO-BWERA-24HRS'!L40,'11.8 BWERA-KIKORONGO'!L40)</f>
        <v>0.7142857142857143</v>
      </c>
      <c r="M40" s="49">
        <f>AVERAGE('5.8 KIKORONGO-BWERA'!M40,'6.8 KIKORONGO-BWERA'!M40,'7.8 KIKORONGO-BWERA'!M40,'9.8 KIKORONGO-BWERA'!M40,'8.8 KIKORONGO-BWERA-24hr'!M40,'10.8 KIKORONGO-BWERA-24HRS'!M40,'11.8 BWERA-KIKORONGO'!M40)</f>
        <v>3.2857142857142856</v>
      </c>
      <c r="N40" s="49">
        <f>AVERAGE('5.8 KIKORONGO-BWERA'!N40,'6.8 KIKORONGO-BWERA'!N40,'7.8 KIKORONGO-BWERA'!N40,'9.8 KIKORONGO-BWERA'!N40,'8.8 KIKORONGO-BWERA-24hr'!N40,'10.8 KIKORONGO-BWERA-24HRS'!N40,'11.8 BWERA-KIKORONGO'!N40)</f>
        <v>0.14285714285714285</v>
      </c>
      <c r="O40" s="15">
        <f t="shared" si="0"/>
        <v>10.714285714285712</v>
      </c>
      <c r="P40" s="15">
        <f t="shared" si="1"/>
        <v>13.999999999999996</v>
      </c>
      <c r="R40" s="5" t="s">
        <v>17</v>
      </c>
      <c r="S40" s="16">
        <f t="shared" ref="S40:AF40" si="32">SUM(S10:S21)</f>
        <v>181.42857142857139</v>
      </c>
      <c r="T40" s="16">
        <f t="shared" si="32"/>
        <v>0</v>
      </c>
      <c r="U40" s="16">
        <f t="shared" si="32"/>
        <v>105.28571428571428</v>
      </c>
      <c r="V40" s="16">
        <f t="shared" si="32"/>
        <v>110.71428571428571</v>
      </c>
      <c r="W40" s="16">
        <f t="shared" si="32"/>
        <v>0.71428571428571419</v>
      </c>
      <c r="X40" s="16">
        <f t="shared" si="32"/>
        <v>11.428571428571427</v>
      </c>
      <c r="Y40" s="16">
        <f t="shared" si="32"/>
        <v>53.857142857142854</v>
      </c>
      <c r="Z40" s="16">
        <f t="shared" si="32"/>
        <v>5</v>
      </c>
      <c r="AA40" s="16">
        <f t="shared" si="32"/>
        <v>6.9999999999999991</v>
      </c>
      <c r="AB40" s="16">
        <f t="shared" si="32"/>
        <v>26.285714285714285</v>
      </c>
      <c r="AC40" s="16">
        <f t="shared" si="32"/>
        <v>170.07142857142856</v>
      </c>
      <c r="AD40" s="16">
        <f t="shared" si="32"/>
        <v>0.8571428571428571</v>
      </c>
      <c r="AE40" s="32">
        <f t="shared" si="32"/>
        <v>502.57142857142856</v>
      </c>
      <c r="AF40" s="32">
        <f t="shared" si="32"/>
        <v>672.64285714285711</v>
      </c>
    </row>
    <row r="41" spans="2:32" ht="23.1" customHeight="1" x14ac:dyDescent="0.25">
      <c r="B41" s="23" t="s">
        <v>68</v>
      </c>
      <c r="C41" s="49">
        <f>AVERAGE('5.8 KIKORONGO-BWERA'!C41,'6.8 KIKORONGO-BWERA'!C41,'7.8 KIKORONGO-BWERA'!C41,'9.8 KIKORONGO-BWERA'!C41,'8.8 KIKORONGO-BWERA-24hr'!C41,'10.8 KIKORONGO-BWERA-24HRS'!C41,'11.8 BWERA-KIKORONGO'!C41)</f>
        <v>5.5714285714285712</v>
      </c>
      <c r="D41" s="49">
        <f>AVERAGE('5.8 KIKORONGO-BWERA'!D41,'6.8 KIKORONGO-BWERA'!D41,'7.8 KIKORONGO-BWERA'!D41,'9.8 KIKORONGO-BWERA'!D41,'8.8 KIKORONGO-BWERA-24hr'!D41,'10.8 KIKORONGO-BWERA-24HRS'!D41,'11.8 BWERA-KIKORONGO'!D41)</f>
        <v>0</v>
      </c>
      <c r="E41" s="49">
        <f>AVERAGE('5.8 KIKORONGO-BWERA'!E41,'6.8 KIKORONGO-BWERA'!E41,'7.8 KIKORONGO-BWERA'!E41,'9.8 KIKORONGO-BWERA'!E41,'8.8 KIKORONGO-BWERA-24hr'!E41,'10.8 KIKORONGO-BWERA-24HRS'!E41,'11.8 BWERA-KIKORONGO'!E41)</f>
        <v>2.7142857142857144</v>
      </c>
      <c r="F41" s="49">
        <f>AVERAGE('5.8 KIKORONGO-BWERA'!F41,'6.8 KIKORONGO-BWERA'!F41,'7.8 KIKORONGO-BWERA'!F41,'9.8 KIKORONGO-BWERA'!F41,'8.8 KIKORONGO-BWERA-24hr'!F41,'10.8 KIKORONGO-BWERA-24HRS'!F41,'11.8 BWERA-KIKORONGO'!F41)</f>
        <v>1.5714285714285714</v>
      </c>
      <c r="G41" s="49">
        <f>AVERAGE('5.8 KIKORONGO-BWERA'!G41,'6.8 KIKORONGO-BWERA'!G41,'7.8 KIKORONGO-BWERA'!G41,'9.8 KIKORONGO-BWERA'!G41,'8.8 KIKORONGO-BWERA-24hr'!G41,'10.8 KIKORONGO-BWERA-24HRS'!G41,'11.8 BWERA-KIKORONGO'!G41)</f>
        <v>0</v>
      </c>
      <c r="H41" s="49">
        <f>AVERAGE('5.8 KIKORONGO-BWERA'!H41,'6.8 KIKORONGO-BWERA'!H41,'7.8 KIKORONGO-BWERA'!H41,'9.8 KIKORONGO-BWERA'!H41,'8.8 KIKORONGO-BWERA-24hr'!H41,'10.8 KIKORONGO-BWERA-24HRS'!H41,'11.8 BWERA-KIKORONGO'!H41)</f>
        <v>0</v>
      </c>
      <c r="I41" s="49">
        <f>AVERAGE('5.8 KIKORONGO-BWERA'!I41,'6.8 KIKORONGO-BWERA'!I41,'7.8 KIKORONGO-BWERA'!I41,'9.8 KIKORONGO-BWERA'!I41,'8.8 KIKORONGO-BWERA-24hr'!I41,'10.8 KIKORONGO-BWERA-24HRS'!I41,'11.8 BWERA-KIKORONGO'!I41)</f>
        <v>1.5714285714285714</v>
      </c>
      <c r="J41" s="49">
        <f>AVERAGE('5.8 KIKORONGO-BWERA'!J41,'6.8 KIKORONGO-BWERA'!J41,'7.8 KIKORONGO-BWERA'!J41,'9.8 KIKORONGO-BWERA'!J41,'8.8 KIKORONGO-BWERA-24hr'!J41,'10.8 KIKORONGO-BWERA-24HRS'!J41,'11.8 BWERA-KIKORONGO'!J41)</f>
        <v>0.42857142857142855</v>
      </c>
      <c r="K41" s="49">
        <f>AVERAGE('5.8 KIKORONGO-BWERA'!K41,'6.8 KIKORONGO-BWERA'!K41,'7.8 KIKORONGO-BWERA'!K41,'9.8 KIKORONGO-BWERA'!K41,'8.8 KIKORONGO-BWERA-24hr'!K41,'10.8 KIKORONGO-BWERA-24HRS'!K41,'11.8 BWERA-KIKORONGO'!K41)</f>
        <v>0.2857142857142857</v>
      </c>
      <c r="L41" s="49">
        <f>AVERAGE('5.8 KIKORONGO-BWERA'!L41,'6.8 KIKORONGO-BWERA'!L41,'7.8 KIKORONGO-BWERA'!L41,'9.8 KIKORONGO-BWERA'!L41,'8.8 KIKORONGO-BWERA-24hr'!L41,'10.8 KIKORONGO-BWERA-24HRS'!L41,'11.8 BWERA-KIKORONGO'!L41)</f>
        <v>0.8571428571428571</v>
      </c>
      <c r="M41" s="49">
        <f>AVERAGE('5.8 KIKORONGO-BWERA'!M41,'6.8 KIKORONGO-BWERA'!M41,'7.8 KIKORONGO-BWERA'!M41,'9.8 KIKORONGO-BWERA'!M41,'8.8 KIKORONGO-BWERA-24hr'!M41,'10.8 KIKORONGO-BWERA-24HRS'!M41,'11.8 BWERA-KIKORONGO'!M41)</f>
        <v>3.7142857142857144</v>
      </c>
      <c r="N41" s="49">
        <f>AVERAGE('5.8 KIKORONGO-BWERA'!N41,'6.8 KIKORONGO-BWERA'!N41,'7.8 KIKORONGO-BWERA'!N41,'9.8 KIKORONGO-BWERA'!N41,'8.8 KIKORONGO-BWERA-24hr'!N41,'10.8 KIKORONGO-BWERA-24HRS'!N41,'11.8 BWERA-KIKORONGO'!N41)</f>
        <v>0</v>
      </c>
      <c r="O41" s="15">
        <f t="shared" si="0"/>
        <v>13</v>
      </c>
      <c r="P41" s="15">
        <f t="shared" si="1"/>
        <v>16.714285714285715</v>
      </c>
      <c r="R41" s="5" t="s">
        <v>172</v>
      </c>
      <c r="S41" s="16">
        <f>SUM(S10:S33)</f>
        <v>254.42857142857139</v>
      </c>
      <c r="T41" s="16">
        <f t="shared" ref="T41:AD41" si="33">SUM(T10:T33)</f>
        <v>0</v>
      </c>
      <c r="U41" s="16">
        <f t="shared" si="33"/>
        <v>128.28571428571428</v>
      </c>
      <c r="V41" s="16">
        <f t="shared" si="33"/>
        <v>164.21428571428572</v>
      </c>
      <c r="W41" s="16">
        <f t="shared" si="33"/>
        <v>0.71428571428571419</v>
      </c>
      <c r="X41" s="16">
        <f t="shared" si="33"/>
        <v>21.928571428571427</v>
      </c>
      <c r="Y41" s="16">
        <f t="shared" si="33"/>
        <v>78.357142857142861</v>
      </c>
      <c r="Z41" s="16">
        <f t="shared" si="33"/>
        <v>6</v>
      </c>
      <c r="AA41" s="16">
        <f t="shared" si="33"/>
        <v>6.9999999999999991</v>
      </c>
      <c r="AB41" s="16">
        <f t="shared" si="33"/>
        <v>49.285714285714285</v>
      </c>
      <c r="AC41" s="16">
        <f t="shared" si="33"/>
        <v>213.33798848917974</v>
      </c>
      <c r="AD41" s="16">
        <f t="shared" si="33"/>
        <v>0.8571428571428571</v>
      </c>
      <c r="AE41" s="32">
        <f>SUM(AE10:AE33)</f>
        <v>711.07142857142856</v>
      </c>
      <c r="AF41" s="32">
        <f>SUM(AF10:AF33)</f>
        <v>924.40941706060835</v>
      </c>
    </row>
    <row r="42" spans="2:32" ht="23.1" customHeight="1" x14ac:dyDescent="0.25">
      <c r="B42" s="24" t="s">
        <v>69</v>
      </c>
      <c r="C42" s="49">
        <f>AVERAGE('5.8 KIKORONGO-BWERA'!C42,'6.8 KIKORONGO-BWERA'!C42,'7.8 KIKORONGO-BWERA'!C42,'9.8 KIKORONGO-BWERA'!C42,'8.8 KIKORONGO-BWERA-24hr'!C42,'10.8 KIKORONGO-BWERA-24HRS'!C42,'11.8 BWERA-KIKORONGO'!C42)</f>
        <v>5.2857142857142856</v>
      </c>
      <c r="D42" s="49">
        <f>AVERAGE('5.8 KIKORONGO-BWERA'!D42,'6.8 KIKORONGO-BWERA'!D42,'7.8 KIKORONGO-BWERA'!D42,'9.8 KIKORONGO-BWERA'!D42,'8.8 KIKORONGO-BWERA-24hr'!D42,'10.8 KIKORONGO-BWERA-24HRS'!D42,'11.8 BWERA-KIKORONGO'!D42)</f>
        <v>0</v>
      </c>
      <c r="E42" s="49">
        <f>AVERAGE('5.8 KIKORONGO-BWERA'!E42,'6.8 KIKORONGO-BWERA'!E42,'7.8 KIKORONGO-BWERA'!E42,'9.8 KIKORONGO-BWERA'!E42,'8.8 KIKORONGO-BWERA-24hr'!E42,'10.8 KIKORONGO-BWERA-24HRS'!E42,'11.8 BWERA-KIKORONGO'!E42)</f>
        <v>2.1428571428571428</v>
      </c>
      <c r="F42" s="49">
        <f>AVERAGE('5.8 KIKORONGO-BWERA'!F42,'6.8 KIKORONGO-BWERA'!F42,'7.8 KIKORONGO-BWERA'!F42,'9.8 KIKORONGO-BWERA'!F42,'8.8 KIKORONGO-BWERA-24hr'!F42,'10.8 KIKORONGO-BWERA-24HRS'!F42,'11.8 BWERA-KIKORONGO'!F42)</f>
        <v>3.1428571428571428</v>
      </c>
      <c r="G42" s="49">
        <f>AVERAGE('5.8 KIKORONGO-BWERA'!G42,'6.8 KIKORONGO-BWERA'!G42,'7.8 KIKORONGO-BWERA'!G42,'9.8 KIKORONGO-BWERA'!G42,'8.8 KIKORONGO-BWERA-24hr'!G42,'10.8 KIKORONGO-BWERA-24HRS'!G42,'11.8 BWERA-KIKORONGO'!G42)</f>
        <v>0</v>
      </c>
      <c r="H42" s="49">
        <f>AVERAGE('5.8 KIKORONGO-BWERA'!H42,'6.8 KIKORONGO-BWERA'!H42,'7.8 KIKORONGO-BWERA'!H42,'9.8 KIKORONGO-BWERA'!H42,'8.8 KIKORONGO-BWERA-24hr'!H42,'10.8 KIKORONGO-BWERA-24HRS'!H42,'11.8 BWERA-KIKORONGO'!H42)</f>
        <v>0.14285714285714285</v>
      </c>
      <c r="I42" s="49">
        <f>AVERAGE('5.8 KIKORONGO-BWERA'!I42,'6.8 KIKORONGO-BWERA'!I42,'7.8 KIKORONGO-BWERA'!I42,'9.8 KIKORONGO-BWERA'!I42,'8.8 KIKORONGO-BWERA-24hr'!I42,'10.8 KIKORONGO-BWERA-24HRS'!I42,'11.8 BWERA-KIKORONGO'!I42)</f>
        <v>1.1428571428571428</v>
      </c>
      <c r="J42" s="49">
        <f>AVERAGE('5.8 KIKORONGO-BWERA'!J42,'6.8 KIKORONGO-BWERA'!J42,'7.8 KIKORONGO-BWERA'!J42,'9.8 KIKORONGO-BWERA'!J42,'8.8 KIKORONGO-BWERA-24hr'!J42,'10.8 KIKORONGO-BWERA-24HRS'!J42,'11.8 BWERA-KIKORONGO'!J42)</f>
        <v>0</v>
      </c>
      <c r="K42" s="49">
        <f>AVERAGE('5.8 KIKORONGO-BWERA'!K42,'6.8 KIKORONGO-BWERA'!K42,'7.8 KIKORONGO-BWERA'!K42,'9.8 KIKORONGO-BWERA'!K42,'8.8 KIKORONGO-BWERA-24hr'!K42,'10.8 KIKORONGO-BWERA-24HRS'!K42,'11.8 BWERA-KIKORONGO'!K42)</f>
        <v>0.42857142857142855</v>
      </c>
      <c r="L42" s="49">
        <f>AVERAGE('5.8 KIKORONGO-BWERA'!L42,'6.8 KIKORONGO-BWERA'!L42,'7.8 KIKORONGO-BWERA'!L42,'9.8 KIKORONGO-BWERA'!L42,'8.8 KIKORONGO-BWERA-24hr'!L42,'10.8 KIKORONGO-BWERA-24HRS'!L42,'11.8 BWERA-KIKORONGO'!L42)</f>
        <v>0.8571428571428571</v>
      </c>
      <c r="M42" s="49">
        <f>AVERAGE('5.8 KIKORONGO-BWERA'!M42,'6.8 KIKORONGO-BWERA'!M42,'7.8 KIKORONGO-BWERA'!M42,'9.8 KIKORONGO-BWERA'!M42,'8.8 KIKORONGO-BWERA-24hr'!M42,'10.8 KIKORONGO-BWERA-24HRS'!M42,'11.8 BWERA-KIKORONGO'!M42)</f>
        <v>3.1428571428571428</v>
      </c>
      <c r="N42" s="49">
        <f>AVERAGE('5.8 KIKORONGO-BWERA'!N42,'6.8 KIKORONGO-BWERA'!N42,'7.8 KIKORONGO-BWERA'!N42,'9.8 KIKORONGO-BWERA'!N42,'8.8 KIKORONGO-BWERA-24hr'!N42,'10.8 KIKORONGO-BWERA-24HRS'!N42,'11.8 BWERA-KIKORONGO'!N42)</f>
        <v>0</v>
      </c>
      <c r="O42" s="15">
        <f t="shared" si="0"/>
        <v>13.142857142857142</v>
      </c>
      <c r="P42" s="15">
        <f t="shared" si="1"/>
        <v>16.285714285714285</v>
      </c>
      <c r="R42" s="5" t="s">
        <v>160</v>
      </c>
      <c r="S42" s="48">
        <f>S41/S40</f>
        <v>1.4023622047244095</v>
      </c>
      <c r="T42" s="48" t="e">
        <f t="shared" ref="T42:AF42" si="34">T41/T40</f>
        <v>#DIV/0!</v>
      </c>
      <c r="U42" s="48">
        <f t="shared" si="34"/>
        <v>1.2184531886024423</v>
      </c>
      <c r="V42" s="48">
        <f t="shared" si="34"/>
        <v>1.4832258064516131</v>
      </c>
      <c r="W42" s="48">
        <f t="shared" si="34"/>
        <v>1</v>
      </c>
      <c r="X42" s="48">
        <f t="shared" si="34"/>
        <v>1.9187500000000002</v>
      </c>
      <c r="Y42" s="48">
        <f t="shared" si="34"/>
        <v>1.4549071618037137</v>
      </c>
      <c r="Z42" s="48">
        <f t="shared" si="34"/>
        <v>1.2</v>
      </c>
      <c r="AA42" s="48">
        <f t="shared" si="34"/>
        <v>1</v>
      </c>
      <c r="AB42" s="48">
        <f t="shared" si="34"/>
        <v>1.875</v>
      </c>
      <c r="AC42" s="48">
        <f t="shared" si="34"/>
        <v>1.2544022842706914</v>
      </c>
      <c r="AD42" s="48">
        <f t="shared" si="34"/>
        <v>1</v>
      </c>
      <c r="AE42" s="51">
        <f t="shared" si="34"/>
        <v>1.4148664013644117</v>
      </c>
      <c r="AF42" s="51">
        <f t="shared" si="34"/>
        <v>1.3742945565305849</v>
      </c>
    </row>
    <row r="43" spans="2:32" ht="23.1" customHeight="1" x14ac:dyDescent="0.25">
      <c r="B43" s="23" t="s">
        <v>70</v>
      </c>
      <c r="C43" s="49">
        <f>AVERAGE('5.8 KIKORONGO-BWERA'!C43,'6.8 KIKORONGO-BWERA'!C43,'7.8 KIKORONGO-BWERA'!C43,'9.8 KIKORONGO-BWERA'!C43,'8.8 KIKORONGO-BWERA-24hr'!C43,'10.8 KIKORONGO-BWERA-24HRS'!C43,'11.8 BWERA-KIKORONGO'!C43)</f>
        <v>3.2857142857142856</v>
      </c>
      <c r="D43" s="49">
        <f>AVERAGE('5.8 KIKORONGO-BWERA'!D43,'6.8 KIKORONGO-BWERA'!D43,'7.8 KIKORONGO-BWERA'!D43,'9.8 KIKORONGO-BWERA'!D43,'8.8 KIKORONGO-BWERA-24hr'!D43,'10.8 KIKORONGO-BWERA-24HRS'!D43,'11.8 BWERA-KIKORONGO'!D43)</f>
        <v>0</v>
      </c>
      <c r="E43" s="49">
        <f>AVERAGE('5.8 KIKORONGO-BWERA'!E43,'6.8 KIKORONGO-BWERA'!E43,'7.8 KIKORONGO-BWERA'!E43,'9.8 KIKORONGO-BWERA'!E43,'8.8 KIKORONGO-BWERA-24hr'!E43,'10.8 KIKORONGO-BWERA-24HRS'!E43,'11.8 BWERA-KIKORONGO'!E43)</f>
        <v>1.5714285714285714</v>
      </c>
      <c r="F43" s="49">
        <f>AVERAGE('5.8 KIKORONGO-BWERA'!F43,'6.8 KIKORONGO-BWERA'!F43,'7.8 KIKORONGO-BWERA'!F43,'9.8 KIKORONGO-BWERA'!F43,'8.8 KIKORONGO-BWERA-24hr'!F43,'10.8 KIKORONGO-BWERA-24HRS'!F43,'11.8 BWERA-KIKORONGO'!F43)</f>
        <v>2</v>
      </c>
      <c r="G43" s="49">
        <f>AVERAGE('5.8 KIKORONGO-BWERA'!G43,'6.8 KIKORONGO-BWERA'!G43,'7.8 KIKORONGO-BWERA'!G43,'9.8 KIKORONGO-BWERA'!G43,'8.8 KIKORONGO-BWERA-24hr'!G43,'10.8 KIKORONGO-BWERA-24HRS'!G43,'11.8 BWERA-KIKORONGO'!G43)</f>
        <v>0</v>
      </c>
      <c r="H43" s="49">
        <f>AVERAGE('5.8 KIKORONGO-BWERA'!H43,'6.8 KIKORONGO-BWERA'!H43,'7.8 KIKORONGO-BWERA'!H43,'9.8 KIKORONGO-BWERA'!H43,'8.8 KIKORONGO-BWERA-24hr'!H43,'10.8 KIKORONGO-BWERA-24HRS'!H43,'11.8 BWERA-KIKORONGO'!H43)</f>
        <v>0.7142857142857143</v>
      </c>
      <c r="I43" s="49">
        <f>AVERAGE('5.8 KIKORONGO-BWERA'!I43,'6.8 KIKORONGO-BWERA'!I43,'7.8 KIKORONGO-BWERA'!I43,'9.8 KIKORONGO-BWERA'!I43,'8.8 KIKORONGO-BWERA-24hr'!I43,'10.8 KIKORONGO-BWERA-24HRS'!I43,'11.8 BWERA-KIKORONGO'!I43)</f>
        <v>1.8571428571428572</v>
      </c>
      <c r="J43" s="49">
        <f>AVERAGE('5.8 KIKORONGO-BWERA'!J43,'6.8 KIKORONGO-BWERA'!J43,'7.8 KIKORONGO-BWERA'!J43,'9.8 KIKORONGO-BWERA'!J43,'8.8 KIKORONGO-BWERA-24hr'!J43,'10.8 KIKORONGO-BWERA-24HRS'!J43,'11.8 BWERA-KIKORONGO'!J43)</f>
        <v>0.7142857142857143</v>
      </c>
      <c r="K43" s="49">
        <f>AVERAGE('5.8 KIKORONGO-BWERA'!K43,'6.8 KIKORONGO-BWERA'!K43,'7.8 KIKORONGO-BWERA'!K43,'9.8 KIKORONGO-BWERA'!K43,'8.8 KIKORONGO-BWERA-24hr'!K43,'10.8 KIKORONGO-BWERA-24HRS'!K43,'11.8 BWERA-KIKORONGO'!K43)</f>
        <v>0.2857142857142857</v>
      </c>
      <c r="L43" s="49">
        <f>AVERAGE('5.8 KIKORONGO-BWERA'!L43,'6.8 KIKORONGO-BWERA'!L43,'7.8 KIKORONGO-BWERA'!L43,'9.8 KIKORONGO-BWERA'!L43,'8.8 KIKORONGO-BWERA-24hr'!L43,'10.8 KIKORONGO-BWERA-24HRS'!L43,'11.8 BWERA-KIKORONGO'!L43)</f>
        <v>0.7142857142857143</v>
      </c>
      <c r="M43" s="49">
        <f>AVERAGE('5.8 KIKORONGO-BWERA'!M43,'6.8 KIKORONGO-BWERA'!M43,'7.8 KIKORONGO-BWERA'!M43,'9.8 KIKORONGO-BWERA'!M43,'8.8 KIKORONGO-BWERA-24hr'!M43,'10.8 KIKORONGO-BWERA-24HRS'!M43,'11.8 BWERA-KIKORONGO'!M43)</f>
        <v>3.1666666666666665</v>
      </c>
      <c r="N43" s="49">
        <f>AVERAGE('5.8 KIKORONGO-BWERA'!N43,'6.8 KIKORONGO-BWERA'!N43,'7.8 KIKORONGO-BWERA'!N43,'9.8 KIKORONGO-BWERA'!N43,'8.8 KIKORONGO-BWERA-24hr'!N43,'10.8 KIKORONGO-BWERA-24HRS'!N43,'11.8 BWERA-KIKORONGO'!N43)</f>
        <v>0</v>
      </c>
      <c r="O43" s="15">
        <f t="shared" si="0"/>
        <v>11.142857142857142</v>
      </c>
      <c r="P43" s="15">
        <f t="shared" si="1"/>
        <v>14.309523809523808</v>
      </c>
    </row>
    <row r="44" spans="2:32" ht="23.1" customHeight="1" x14ac:dyDescent="0.25">
      <c r="B44" s="25" t="s">
        <v>71</v>
      </c>
      <c r="C44" s="49">
        <f>AVERAGE('5.8 KIKORONGO-BWERA'!C44,'6.8 KIKORONGO-BWERA'!C44,'7.8 KIKORONGO-BWERA'!C44,'9.8 KIKORONGO-BWERA'!C44,'8.8 KIKORONGO-BWERA-24hr'!C44,'10.8 KIKORONGO-BWERA-24HRS'!C44,'11.8 BWERA-KIKORONGO'!C44)</f>
        <v>3.5714285714285716</v>
      </c>
      <c r="D44" s="49">
        <f>AVERAGE('5.8 KIKORONGO-BWERA'!D44,'6.8 KIKORONGO-BWERA'!D44,'7.8 KIKORONGO-BWERA'!D44,'9.8 KIKORONGO-BWERA'!D44,'8.8 KIKORONGO-BWERA-24hr'!D44,'10.8 KIKORONGO-BWERA-24HRS'!D44,'11.8 BWERA-KIKORONGO'!D44)</f>
        <v>0</v>
      </c>
      <c r="E44" s="49">
        <f>AVERAGE('5.8 KIKORONGO-BWERA'!E44,'6.8 KIKORONGO-BWERA'!E44,'7.8 KIKORONGO-BWERA'!E44,'9.8 KIKORONGO-BWERA'!E44,'8.8 KIKORONGO-BWERA-24hr'!E44,'10.8 KIKORONGO-BWERA-24HRS'!E44,'11.8 BWERA-KIKORONGO'!E44)</f>
        <v>1.5714285714285714</v>
      </c>
      <c r="F44" s="49">
        <f>AVERAGE('5.8 KIKORONGO-BWERA'!F44,'6.8 KIKORONGO-BWERA'!F44,'7.8 KIKORONGO-BWERA'!F44,'9.8 KIKORONGO-BWERA'!F44,'8.8 KIKORONGO-BWERA-24hr'!F44,'10.8 KIKORONGO-BWERA-24HRS'!F44,'11.8 BWERA-KIKORONGO'!F44)</f>
        <v>2.1428571428571428</v>
      </c>
      <c r="G44" s="49">
        <f>AVERAGE('5.8 KIKORONGO-BWERA'!G44,'6.8 KIKORONGO-BWERA'!G44,'7.8 KIKORONGO-BWERA'!G44,'9.8 KIKORONGO-BWERA'!G44,'8.8 KIKORONGO-BWERA-24hr'!G44,'10.8 KIKORONGO-BWERA-24HRS'!G44,'11.8 BWERA-KIKORONGO'!G44)</f>
        <v>0</v>
      </c>
      <c r="H44" s="49">
        <f>AVERAGE('5.8 KIKORONGO-BWERA'!H44,'6.8 KIKORONGO-BWERA'!H44,'7.8 KIKORONGO-BWERA'!H44,'9.8 KIKORONGO-BWERA'!H44,'8.8 KIKORONGO-BWERA-24hr'!H44,'10.8 KIKORONGO-BWERA-24HRS'!H44,'11.8 BWERA-KIKORONGO'!H44)</f>
        <v>0</v>
      </c>
      <c r="I44" s="49">
        <f>AVERAGE('5.8 KIKORONGO-BWERA'!I44,'6.8 KIKORONGO-BWERA'!I44,'7.8 KIKORONGO-BWERA'!I44,'9.8 KIKORONGO-BWERA'!I44,'8.8 KIKORONGO-BWERA-24hr'!I44,'10.8 KIKORONGO-BWERA-24HRS'!I44,'11.8 BWERA-KIKORONGO'!I44)</f>
        <v>1.5714285714285714</v>
      </c>
      <c r="J44" s="49">
        <f>AVERAGE('5.8 KIKORONGO-BWERA'!J44,'6.8 KIKORONGO-BWERA'!J44,'7.8 KIKORONGO-BWERA'!J44,'9.8 KIKORONGO-BWERA'!J44,'8.8 KIKORONGO-BWERA-24hr'!J44,'10.8 KIKORONGO-BWERA-24HRS'!J44,'11.8 BWERA-KIKORONGO'!J44)</f>
        <v>0</v>
      </c>
      <c r="K44" s="49">
        <f>AVERAGE('5.8 KIKORONGO-BWERA'!K44,'6.8 KIKORONGO-BWERA'!K44,'7.8 KIKORONGO-BWERA'!K44,'9.8 KIKORONGO-BWERA'!K44,'8.8 KIKORONGO-BWERA-24hr'!K44,'10.8 KIKORONGO-BWERA-24HRS'!K44,'11.8 BWERA-KIKORONGO'!K44)</f>
        <v>0.2857142857142857</v>
      </c>
      <c r="L44" s="49">
        <f>AVERAGE('5.8 KIKORONGO-BWERA'!L44,'6.8 KIKORONGO-BWERA'!L44,'7.8 KIKORONGO-BWERA'!L44,'9.8 KIKORONGO-BWERA'!L44,'8.8 KIKORONGO-BWERA-24hr'!L44,'10.8 KIKORONGO-BWERA-24HRS'!L44,'11.8 BWERA-KIKORONGO'!L44)</f>
        <v>0.42857142857142855</v>
      </c>
      <c r="M44" s="49">
        <f>AVERAGE('5.8 KIKORONGO-BWERA'!M44,'6.8 KIKORONGO-BWERA'!M44,'7.8 KIKORONGO-BWERA'!M44,'9.8 KIKORONGO-BWERA'!M44,'8.8 KIKORONGO-BWERA-24hr'!M44,'10.8 KIKORONGO-BWERA-24HRS'!M44,'11.8 BWERA-KIKORONGO'!M44)</f>
        <v>3.4285714285714284</v>
      </c>
      <c r="N44" s="49">
        <f>AVERAGE('5.8 KIKORONGO-BWERA'!N44,'6.8 KIKORONGO-BWERA'!N44,'7.8 KIKORONGO-BWERA'!N44,'9.8 KIKORONGO-BWERA'!N44,'8.8 KIKORONGO-BWERA-24hr'!N44,'10.8 KIKORONGO-BWERA-24HRS'!N44,'11.8 BWERA-KIKORONGO'!N44)</f>
        <v>0</v>
      </c>
      <c r="O44" s="15">
        <f t="shared" si="0"/>
        <v>9.571428571428573</v>
      </c>
      <c r="P44" s="15">
        <f t="shared" si="1"/>
        <v>13.000000000000002</v>
      </c>
    </row>
    <row r="45" spans="2:32" ht="23.1" customHeight="1" x14ac:dyDescent="0.25">
      <c r="B45" s="23" t="s">
        <v>72</v>
      </c>
      <c r="C45" s="49">
        <f>AVERAGE('5.8 KIKORONGO-BWERA'!C45,'6.8 KIKORONGO-BWERA'!C45,'7.8 KIKORONGO-BWERA'!C45,'9.8 KIKORONGO-BWERA'!C45,'8.8 KIKORONGO-BWERA-24hr'!C45,'10.8 KIKORONGO-BWERA-24HRS'!C45,'11.8 BWERA-KIKORONGO'!C45)</f>
        <v>4.2857142857142856</v>
      </c>
      <c r="D45" s="49">
        <f>AVERAGE('5.8 KIKORONGO-BWERA'!D45,'6.8 KIKORONGO-BWERA'!D45,'7.8 KIKORONGO-BWERA'!D45,'9.8 KIKORONGO-BWERA'!D45,'8.8 KIKORONGO-BWERA-24hr'!D45,'10.8 KIKORONGO-BWERA-24HRS'!D45,'11.8 BWERA-KIKORONGO'!D45)</f>
        <v>0</v>
      </c>
      <c r="E45" s="49">
        <f>AVERAGE('5.8 KIKORONGO-BWERA'!E45,'6.8 KIKORONGO-BWERA'!E45,'7.8 KIKORONGO-BWERA'!E45,'9.8 KIKORONGO-BWERA'!E45,'8.8 KIKORONGO-BWERA-24hr'!E45,'10.8 KIKORONGO-BWERA-24HRS'!E45,'11.8 BWERA-KIKORONGO'!E45)</f>
        <v>4</v>
      </c>
      <c r="F45" s="49">
        <f>AVERAGE('5.8 KIKORONGO-BWERA'!F45,'6.8 KIKORONGO-BWERA'!F45,'7.8 KIKORONGO-BWERA'!F45,'9.8 KIKORONGO-BWERA'!F45,'8.8 KIKORONGO-BWERA-24hr'!F45,'10.8 KIKORONGO-BWERA-24HRS'!F45,'11.8 BWERA-KIKORONGO'!F45)</f>
        <v>3.1428571428571428</v>
      </c>
      <c r="G45" s="49">
        <f>AVERAGE('5.8 KIKORONGO-BWERA'!G45,'6.8 KIKORONGO-BWERA'!G45,'7.8 KIKORONGO-BWERA'!G45,'9.8 KIKORONGO-BWERA'!G45,'8.8 KIKORONGO-BWERA-24hr'!G45,'10.8 KIKORONGO-BWERA-24HRS'!G45,'11.8 BWERA-KIKORONGO'!G45)</f>
        <v>0</v>
      </c>
      <c r="H45" s="49">
        <f>AVERAGE('5.8 KIKORONGO-BWERA'!H45,'6.8 KIKORONGO-BWERA'!H45,'7.8 KIKORONGO-BWERA'!H45,'9.8 KIKORONGO-BWERA'!H45,'8.8 KIKORONGO-BWERA-24hr'!H45,'10.8 KIKORONGO-BWERA-24HRS'!H45,'11.8 BWERA-KIKORONGO'!H45)</f>
        <v>0.14285714285714285</v>
      </c>
      <c r="I45" s="49">
        <f>AVERAGE('5.8 KIKORONGO-BWERA'!I45,'6.8 KIKORONGO-BWERA'!I45,'7.8 KIKORONGO-BWERA'!I45,'9.8 KIKORONGO-BWERA'!I45,'8.8 KIKORONGO-BWERA-24hr'!I45,'10.8 KIKORONGO-BWERA-24HRS'!I45,'11.8 BWERA-KIKORONGO'!I45)</f>
        <v>1.4285714285714286</v>
      </c>
      <c r="J45" s="49">
        <f>AVERAGE('5.8 KIKORONGO-BWERA'!J45,'6.8 KIKORONGO-BWERA'!J45,'7.8 KIKORONGO-BWERA'!J45,'9.8 KIKORONGO-BWERA'!J45,'8.8 KIKORONGO-BWERA-24hr'!J45,'10.8 KIKORONGO-BWERA-24HRS'!J45,'11.8 BWERA-KIKORONGO'!J45)</f>
        <v>0</v>
      </c>
      <c r="K45" s="49">
        <f>AVERAGE('5.8 KIKORONGO-BWERA'!K45,'6.8 KIKORONGO-BWERA'!K45,'7.8 KIKORONGO-BWERA'!K45,'9.8 KIKORONGO-BWERA'!K45,'8.8 KIKORONGO-BWERA-24hr'!K45,'10.8 KIKORONGO-BWERA-24HRS'!K45,'11.8 BWERA-KIKORONGO'!K45)</f>
        <v>0</v>
      </c>
      <c r="L45" s="49">
        <f>AVERAGE('5.8 KIKORONGO-BWERA'!L45,'6.8 KIKORONGO-BWERA'!L45,'7.8 KIKORONGO-BWERA'!L45,'9.8 KIKORONGO-BWERA'!L45,'8.8 KIKORONGO-BWERA-24hr'!L45,'10.8 KIKORONGO-BWERA-24HRS'!L45,'11.8 BWERA-KIKORONGO'!L45)</f>
        <v>0.8571428571428571</v>
      </c>
      <c r="M45" s="49">
        <f>AVERAGE('5.8 KIKORONGO-BWERA'!M45,'6.8 KIKORONGO-BWERA'!M45,'7.8 KIKORONGO-BWERA'!M45,'9.8 KIKORONGO-BWERA'!M45,'8.8 KIKORONGO-BWERA-24hr'!M45,'10.8 KIKORONGO-BWERA-24HRS'!M45,'11.8 BWERA-KIKORONGO'!M45)</f>
        <v>3.2857142857142856</v>
      </c>
      <c r="N45" s="49">
        <f>AVERAGE('5.8 KIKORONGO-BWERA'!N45,'6.8 KIKORONGO-BWERA'!N45,'7.8 KIKORONGO-BWERA'!N45,'9.8 KIKORONGO-BWERA'!N45,'8.8 KIKORONGO-BWERA-24hr'!N45,'10.8 KIKORONGO-BWERA-24HRS'!N45,'11.8 BWERA-KIKORONGO'!N45)</f>
        <v>0</v>
      </c>
      <c r="O45" s="15">
        <f t="shared" si="0"/>
        <v>13.857142857142856</v>
      </c>
      <c r="P45" s="15">
        <f t="shared" si="1"/>
        <v>17.142857142857142</v>
      </c>
    </row>
    <row r="46" spans="2:32" ht="23.1" customHeight="1" x14ac:dyDescent="0.25">
      <c r="B46" s="24" t="s">
        <v>73</v>
      </c>
      <c r="C46" s="49">
        <f>AVERAGE('5.8 KIKORONGO-BWERA'!C46,'6.8 KIKORONGO-BWERA'!C46,'7.8 KIKORONGO-BWERA'!C46,'9.8 KIKORONGO-BWERA'!C46,'8.8 KIKORONGO-BWERA-24hr'!C46,'10.8 KIKORONGO-BWERA-24HRS'!C46,'11.8 BWERA-KIKORONGO'!C46)</f>
        <v>4.1428571428571432</v>
      </c>
      <c r="D46" s="49">
        <f>AVERAGE('5.8 KIKORONGO-BWERA'!D46,'6.8 KIKORONGO-BWERA'!D46,'7.8 KIKORONGO-BWERA'!D46,'9.8 KIKORONGO-BWERA'!D46,'8.8 KIKORONGO-BWERA-24hr'!D46,'10.8 KIKORONGO-BWERA-24HRS'!D46,'11.8 BWERA-KIKORONGO'!D46)</f>
        <v>0</v>
      </c>
      <c r="E46" s="49">
        <f>AVERAGE('5.8 KIKORONGO-BWERA'!E46,'6.8 KIKORONGO-BWERA'!E46,'7.8 KIKORONGO-BWERA'!E46,'9.8 KIKORONGO-BWERA'!E46,'8.8 KIKORONGO-BWERA-24hr'!E46,'10.8 KIKORONGO-BWERA-24HRS'!E46,'11.8 BWERA-KIKORONGO'!E46)</f>
        <v>2.4285714285714284</v>
      </c>
      <c r="F46" s="49">
        <f>AVERAGE('5.8 KIKORONGO-BWERA'!F46,'6.8 KIKORONGO-BWERA'!F46,'7.8 KIKORONGO-BWERA'!F46,'9.8 KIKORONGO-BWERA'!F46,'8.8 KIKORONGO-BWERA-24hr'!F46,'10.8 KIKORONGO-BWERA-24HRS'!F46,'11.8 BWERA-KIKORONGO'!F46)</f>
        <v>2.4285714285714284</v>
      </c>
      <c r="G46" s="49">
        <f>AVERAGE('5.8 KIKORONGO-BWERA'!G46,'6.8 KIKORONGO-BWERA'!G46,'7.8 KIKORONGO-BWERA'!G46,'9.8 KIKORONGO-BWERA'!G46,'8.8 KIKORONGO-BWERA-24hr'!G46,'10.8 KIKORONGO-BWERA-24HRS'!G46,'11.8 BWERA-KIKORONGO'!G46)</f>
        <v>0</v>
      </c>
      <c r="H46" s="49">
        <f>AVERAGE('5.8 KIKORONGO-BWERA'!H46,'6.8 KIKORONGO-BWERA'!H46,'7.8 KIKORONGO-BWERA'!H46,'9.8 KIKORONGO-BWERA'!H46,'8.8 KIKORONGO-BWERA-24hr'!H46,'10.8 KIKORONGO-BWERA-24HRS'!H46,'11.8 BWERA-KIKORONGO'!H46)</f>
        <v>0.42857142857142855</v>
      </c>
      <c r="I46" s="49">
        <f>AVERAGE('5.8 KIKORONGO-BWERA'!I46,'6.8 KIKORONGO-BWERA'!I46,'7.8 KIKORONGO-BWERA'!I46,'9.8 KIKORONGO-BWERA'!I46,'8.8 KIKORONGO-BWERA-24hr'!I46,'10.8 KIKORONGO-BWERA-24HRS'!I46,'11.8 BWERA-KIKORONGO'!I46)</f>
        <v>2.5714285714285716</v>
      </c>
      <c r="J46" s="49">
        <f>AVERAGE('5.8 KIKORONGO-BWERA'!J46,'6.8 KIKORONGO-BWERA'!J46,'7.8 KIKORONGO-BWERA'!J46,'9.8 KIKORONGO-BWERA'!J46,'8.8 KIKORONGO-BWERA-24hr'!J46,'10.8 KIKORONGO-BWERA-24HRS'!J46,'11.8 BWERA-KIKORONGO'!J46)</f>
        <v>0.2857142857142857</v>
      </c>
      <c r="K46" s="49">
        <f>AVERAGE('5.8 KIKORONGO-BWERA'!K46,'6.8 KIKORONGO-BWERA'!K46,'7.8 KIKORONGO-BWERA'!K46,'9.8 KIKORONGO-BWERA'!K46,'8.8 KIKORONGO-BWERA-24hr'!K46,'10.8 KIKORONGO-BWERA-24HRS'!K46,'11.8 BWERA-KIKORONGO'!K46)</f>
        <v>0</v>
      </c>
      <c r="L46" s="49">
        <f>AVERAGE('5.8 KIKORONGO-BWERA'!L46,'6.8 KIKORONGO-BWERA'!L46,'7.8 KIKORONGO-BWERA'!L46,'9.8 KIKORONGO-BWERA'!L46,'8.8 KIKORONGO-BWERA-24hr'!L46,'10.8 KIKORONGO-BWERA-24HRS'!L46,'11.8 BWERA-KIKORONGO'!L46)</f>
        <v>1</v>
      </c>
      <c r="M46" s="49">
        <f>AVERAGE('5.8 KIKORONGO-BWERA'!M46,'6.8 KIKORONGO-BWERA'!M46,'7.8 KIKORONGO-BWERA'!M46,'9.8 KIKORONGO-BWERA'!M46,'8.8 KIKORONGO-BWERA-24hr'!M46,'10.8 KIKORONGO-BWERA-24HRS'!M46,'11.8 BWERA-KIKORONGO'!M46)</f>
        <v>2.7142857142857144</v>
      </c>
      <c r="N46" s="49">
        <f>AVERAGE('5.8 KIKORONGO-BWERA'!N46,'6.8 KIKORONGO-BWERA'!N46,'7.8 KIKORONGO-BWERA'!N46,'9.8 KIKORONGO-BWERA'!N46,'8.8 KIKORONGO-BWERA-24hr'!N46,'10.8 KIKORONGO-BWERA-24HRS'!N46,'11.8 BWERA-KIKORONGO'!N46)</f>
        <v>0</v>
      </c>
      <c r="O46" s="15">
        <f t="shared" si="0"/>
        <v>13.285714285714286</v>
      </c>
      <c r="P46" s="15">
        <f t="shared" si="1"/>
        <v>16</v>
      </c>
      <c r="R46" s="8"/>
      <c r="T46"/>
    </row>
    <row r="47" spans="2:32" ht="23.1" customHeight="1" x14ac:dyDescent="0.25">
      <c r="B47" s="24" t="s">
        <v>74</v>
      </c>
      <c r="C47" s="49">
        <f>AVERAGE('5.8 KIKORONGO-BWERA'!C47,'6.8 KIKORONGO-BWERA'!C47,'7.8 KIKORONGO-BWERA'!C47,'9.8 KIKORONGO-BWERA'!C47,'8.8 KIKORONGO-BWERA-24hr'!C47,'10.8 KIKORONGO-BWERA-24HRS'!C47,'11.8 BWERA-KIKORONGO'!C47)</f>
        <v>4.1428571428571432</v>
      </c>
      <c r="D47" s="49">
        <f>AVERAGE('5.8 KIKORONGO-BWERA'!D47,'6.8 KIKORONGO-BWERA'!D47,'7.8 KIKORONGO-BWERA'!D47,'9.8 KIKORONGO-BWERA'!D47,'8.8 KIKORONGO-BWERA-24hr'!D47,'10.8 KIKORONGO-BWERA-24HRS'!D47,'11.8 BWERA-KIKORONGO'!D47)</f>
        <v>0</v>
      </c>
      <c r="E47" s="49">
        <f>AVERAGE('5.8 KIKORONGO-BWERA'!E47,'6.8 KIKORONGO-BWERA'!E47,'7.8 KIKORONGO-BWERA'!E47,'9.8 KIKORONGO-BWERA'!E47,'8.8 KIKORONGO-BWERA-24hr'!E47,'10.8 KIKORONGO-BWERA-24HRS'!E47,'11.8 BWERA-KIKORONGO'!E47)</f>
        <v>2</v>
      </c>
      <c r="F47" s="49">
        <f>AVERAGE('5.8 KIKORONGO-BWERA'!F47,'6.8 KIKORONGO-BWERA'!F47,'7.8 KIKORONGO-BWERA'!F47,'9.8 KIKORONGO-BWERA'!F47,'8.8 KIKORONGO-BWERA-24hr'!F47,'10.8 KIKORONGO-BWERA-24HRS'!F47,'11.8 BWERA-KIKORONGO'!F47)</f>
        <v>1.7142857142857142</v>
      </c>
      <c r="G47" s="49">
        <f>AVERAGE('5.8 KIKORONGO-BWERA'!G47,'6.8 KIKORONGO-BWERA'!G47,'7.8 KIKORONGO-BWERA'!G47,'9.8 KIKORONGO-BWERA'!G47,'8.8 KIKORONGO-BWERA-24hr'!G47,'10.8 KIKORONGO-BWERA-24HRS'!G47,'11.8 BWERA-KIKORONGO'!G47)</f>
        <v>0</v>
      </c>
      <c r="H47" s="49">
        <f>AVERAGE('5.8 KIKORONGO-BWERA'!H47,'6.8 KIKORONGO-BWERA'!H47,'7.8 KIKORONGO-BWERA'!H47,'9.8 KIKORONGO-BWERA'!H47,'8.8 KIKORONGO-BWERA-24hr'!H47,'10.8 KIKORONGO-BWERA-24HRS'!H47,'11.8 BWERA-KIKORONGO'!H47)</f>
        <v>0.14285714285714285</v>
      </c>
      <c r="I47" s="49">
        <f>AVERAGE('5.8 KIKORONGO-BWERA'!I47,'6.8 KIKORONGO-BWERA'!I47,'7.8 KIKORONGO-BWERA'!I47,'9.8 KIKORONGO-BWERA'!I47,'8.8 KIKORONGO-BWERA-24hr'!I47,'10.8 KIKORONGO-BWERA-24HRS'!I47,'11.8 BWERA-KIKORONGO'!I47)</f>
        <v>0.7142857142857143</v>
      </c>
      <c r="J47" s="49">
        <f>AVERAGE('5.8 KIKORONGO-BWERA'!J47,'6.8 KIKORONGO-BWERA'!J47,'7.8 KIKORONGO-BWERA'!J47,'9.8 KIKORONGO-BWERA'!J47,'8.8 KIKORONGO-BWERA-24hr'!J47,'10.8 KIKORONGO-BWERA-24HRS'!J47,'11.8 BWERA-KIKORONGO'!J47)</f>
        <v>0</v>
      </c>
      <c r="K47" s="49">
        <f>AVERAGE('5.8 KIKORONGO-BWERA'!K47,'6.8 KIKORONGO-BWERA'!K47,'7.8 KIKORONGO-BWERA'!K47,'9.8 KIKORONGO-BWERA'!K47,'8.8 KIKORONGO-BWERA-24hr'!K47,'10.8 KIKORONGO-BWERA-24HRS'!K47,'11.8 BWERA-KIKORONGO'!K47)</f>
        <v>0.14285714285714285</v>
      </c>
      <c r="L47" s="49">
        <f>AVERAGE('5.8 KIKORONGO-BWERA'!L47,'6.8 KIKORONGO-BWERA'!L47,'7.8 KIKORONGO-BWERA'!L47,'9.8 KIKORONGO-BWERA'!L47,'8.8 KIKORONGO-BWERA-24hr'!L47,'10.8 KIKORONGO-BWERA-24HRS'!L47,'11.8 BWERA-KIKORONGO'!L47)</f>
        <v>0.2857142857142857</v>
      </c>
      <c r="M47" s="49">
        <f>AVERAGE('5.8 KIKORONGO-BWERA'!M47,'6.8 KIKORONGO-BWERA'!M47,'7.8 KIKORONGO-BWERA'!M47,'9.8 KIKORONGO-BWERA'!M47,'8.8 KIKORONGO-BWERA-24hr'!M47,'10.8 KIKORONGO-BWERA-24HRS'!M47,'11.8 BWERA-KIKORONGO'!M47)</f>
        <v>4</v>
      </c>
      <c r="N47" s="49">
        <f>AVERAGE('5.8 KIKORONGO-BWERA'!N47,'6.8 KIKORONGO-BWERA'!N47,'7.8 KIKORONGO-BWERA'!N47,'9.8 KIKORONGO-BWERA'!N47,'8.8 KIKORONGO-BWERA-24hr'!N47,'10.8 KIKORONGO-BWERA-24HRS'!N47,'11.8 BWERA-KIKORONGO'!N47)</f>
        <v>0</v>
      </c>
      <c r="O47" s="15">
        <f t="shared" si="0"/>
        <v>9.1428571428571423</v>
      </c>
      <c r="P47" s="15">
        <f t="shared" si="1"/>
        <v>13.142857142857142</v>
      </c>
      <c r="R47" s="8"/>
      <c r="T47"/>
    </row>
    <row r="48" spans="2:32" ht="23.1" customHeight="1" x14ac:dyDescent="0.25">
      <c r="B48" s="24" t="s">
        <v>75</v>
      </c>
      <c r="C48" s="49">
        <f>AVERAGE('5.8 KIKORONGO-BWERA'!C48,'6.8 KIKORONGO-BWERA'!C48,'7.8 KIKORONGO-BWERA'!C48,'9.8 KIKORONGO-BWERA'!C48,'8.8 KIKORONGO-BWERA-24hr'!C48,'10.8 KIKORONGO-BWERA-24HRS'!C48,'11.8 BWERA-KIKORONGO'!C48)</f>
        <v>3.5714285714285716</v>
      </c>
      <c r="D48" s="49">
        <f>AVERAGE('5.8 KIKORONGO-BWERA'!D48,'6.8 KIKORONGO-BWERA'!D48,'7.8 KIKORONGO-BWERA'!D48,'9.8 KIKORONGO-BWERA'!D48,'8.8 KIKORONGO-BWERA-24hr'!D48,'10.8 KIKORONGO-BWERA-24HRS'!D48,'11.8 BWERA-KIKORONGO'!D48)</f>
        <v>0</v>
      </c>
      <c r="E48" s="49">
        <f>AVERAGE('5.8 KIKORONGO-BWERA'!E48,'6.8 KIKORONGO-BWERA'!E48,'7.8 KIKORONGO-BWERA'!E48,'9.8 KIKORONGO-BWERA'!E48,'8.8 KIKORONGO-BWERA-24hr'!E48,'10.8 KIKORONGO-BWERA-24HRS'!E48,'11.8 BWERA-KIKORONGO'!E48)</f>
        <v>2.1428571428571428</v>
      </c>
      <c r="F48" s="49">
        <f>AVERAGE('5.8 KIKORONGO-BWERA'!F48,'6.8 KIKORONGO-BWERA'!F48,'7.8 KIKORONGO-BWERA'!F48,'9.8 KIKORONGO-BWERA'!F48,'8.8 KIKORONGO-BWERA-24hr'!F48,'10.8 KIKORONGO-BWERA-24HRS'!F48,'11.8 BWERA-KIKORONGO'!F48)</f>
        <v>2.7142857142857144</v>
      </c>
      <c r="G48" s="49">
        <f>AVERAGE('5.8 KIKORONGO-BWERA'!G48,'6.8 KIKORONGO-BWERA'!G48,'7.8 KIKORONGO-BWERA'!G48,'9.8 KIKORONGO-BWERA'!G48,'8.8 KIKORONGO-BWERA-24hr'!G48,'10.8 KIKORONGO-BWERA-24HRS'!G48,'11.8 BWERA-KIKORONGO'!G48)</f>
        <v>0.14285714285714285</v>
      </c>
      <c r="H48" s="49">
        <f>AVERAGE('5.8 KIKORONGO-BWERA'!H48,'6.8 KIKORONGO-BWERA'!H48,'7.8 KIKORONGO-BWERA'!H48,'9.8 KIKORONGO-BWERA'!H48,'8.8 KIKORONGO-BWERA-24hr'!H48,'10.8 KIKORONGO-BWERA-24HRS'!H48,'11.8 BWERA-KIKORONGO'!H48)</f>
        <v>0.14285714285714285</v>
      </c>
      <c r="I48" s="49">
        <f>AVERAGE('5.8 KIKORONGO-BWERA'!I48,'6.8 KIKORONGO-BWERA'!I48,'7.8 KIKORONGO-BWERA'!I48,'9.8 KIKORONGO-BWERA'!I48,'8.8 KIKORONGO-BWERA-24hr'!I48,'10.8 KIKORONGO-BWERA-24HRS'!I48,'11.8 BWERA-KIKORONGO'!I48)</f>
        <v>1.5714285714285714</v>
      </c>
      <c r="J48" s="49">
        <f>AVERAGE('5.8 KIKORONGO-BWERA'!J48,'6.8 KIKORONGO-BWERA'!J48,'7.8 KIKORONGO-BWERA'!J48,'9.8 KIKORONGO-BWERA'!J48,'8.8 KIKORONGO-BWERA-24hr'!J48,'10.8 KIKORONGO-BWERA-24HRS'!J48,'11.8 BWERA-KIKORONGO'!J48)</f>
        <v>0</v>
      </c>
      <c r="K48" s="49">
        <f>AVERAGE('5.8 KIKORONGO-BWERA'!K48,'6.8 KIKORONGO-BWERA'!K48,'7.8 KIKORONGO-BWERA'!K48,'9.8 KIKORONGO-BWERA'!K48,'8.8 KIKORONGO-BWERA-24hr'!K48,'10.8 KIKORONGO-BWERA-24HRS'!K48,'11.8 BWERA-KIKORONGO'!K48)</f>
        <v>0.14285714285714285</v>
      </c>
      <c r="L48" s="49">
        <f>AVERAGE('5.8 KIKORONGO-BWERA'!L48,'6.8 KIKORONGO-BWERA'!L48,'7.8 KIKORONGO-BWERA'!L48,'9.8 KIKORONGO-BWERA'!L48,'8.8 KIKORONGO-BWERA-24hr'!L48,'10.8 KIKORONGO-BWERA-24HRS'!L48,'11.8 BWERA-KIKORONGO'!L48)</f>
        <v>0.5714285714285714</v>
      </c>
      <c r="M48" s="49">
        <f>AVERAGE('5.8 KIKORONGO-BWERA'!M48,'6.8 KIKORONGO-BWERA'!M48,'7.8 KIKORONGO-BWERA'!M48,'9.8 KIKORONGO-BWERA'!M48,'8.8 KIKORONGO-BWERA-24hr'!M48,'10.8 KIKORONGO-BWERA-24HRS'!M48,'11.8 BWERA-KIKORONGO'!M48)</f>
        <v>3.5714285714285716</v>
      </c>
      <c r="N48" s="49">
        <f>AVERAGE('5.8 KIKORONGO-BWERA'!N48,'6.8 KIKORONGO-BWERA'!N48,'7.8 KIKORONGO-BWERA'!N48,'9.8 KIKORONGO-BWERA'!N48,'8.8 KIKORONGO-BWERA-24hr'!N48,'10.8 KIKORONGO-BWERA-24HRS'!N48,'11.8 BWERA-KIKORONGO'!N48)</f>
        <v>0</v>
      </c>
      <c r="O48" s="15">
        <f t="shared" si="0"/>
        <v>10.999999999999998</v>
      </c>
      <c r="P48" s="15">
        <f t="shared" si="1"/>
        <v>14.571428571428569</v>
      </c>
      <c r="R48" s="8"/>
      <c r="T48"/>
    </row>
    <row r="49" spans="2:20" ht="23.1" customHeight="1" x14ac:dyDescent="0.25">
      <c r="B49" s="23" t="s">
        <v>76</v>
      </c>
      <c r="C49" s="49">
        <f>AVERAGE('5.8 KIKORONGO-BWERA'!C49,'6.8 KIKORONGO-BWERA'!C49,'7.8 KIKORONGO-BWERA'!C49,'9.8 KIKORONGO-BWERA'!C49,'8.8 KIKORONGO-BWERA-24hr'!C49,'10.8 KIKORONGO-BWERA-24HRS'!C49,'11.8 BWERA-KIKORONGO'!C49)</f>
        <v>4.1428571428571432</v>
      </c>
      <c r="D49" s="49">
        <f>AVERAGE('5.8 KIKORONGO-BWERA'!D49,'6.8 KIKORONGO-BWERA'!D49,'7.8 KIKORONGO-BWERA'!D49,'9.8 KIKORONGO-BWERA'!D49,'8.8 KIKORONGO-BWERA-24hr'!D49,'10.8 KIKORONGO-BWERA-24HRS'!D49,'11.8 BWERA-KIKORONGO'!D49)</f>
        <v>0</v>
      </c>
      <c r="E49" s="49">
        <f>AVERAGE('5.8 KIKORONGO-BWERA'!E49,'6.8 KIKORONGO-BWERA'!E49,'7.8 KIKORONGO-BWERA'!E49,'9.8 KIKORONGO-BWERA'!E49,'8.8 KIKORONGO-BWERA-24hr'!E49,'10.8 KIKORONGO-BWERA-24HRS'!E49,'11.8 BWERA-KIKORONGO'!E49)</f>
        <v>3</v>
      </c>
      <c r="F49" s="49">
        <f>AVERAGE('5.8 KIKORONGO-BWERA'!F49,'6.8 KIKORONGO-BWERA'!F49,'7.8 KIKORONGO-BWERA'!F49,'9.8 KIKORONGO-BWERA'!F49,'8.8 KIKORONGO-BWERA-24hr'!F49,'10.8 KIKORONGO-BWERA-24HRS'!F49,'11.8 BWERA-KIKORONGO'!F49)</f>
        <v>2.2857142857142856</v>
      </c>
      <c r="G49" s="49">
        <f>AVERAGE('5.8 KIKORONGO-BWERA'!G49,'6.8 KIKORONGO-BWERA'!G49,'7.8 KIKORONGO-BWERA'!G49,'9.8 KIKORONGO-BWERA'!G49,'8.8 KIKORONGO-BWERA-24hr'!G49,'10.8 KIKORONGO-BWERA-24HRS'!G49,'11.8 BWERA-KIKORONGO'!G49)</f>
        <v>0</v>
      </c>
      <c r="H49" s="49">
        <f>AVERAGE('5.8 KIKORONGO-BWERA'!H49,'6.8 KIKORONGO-BWERA'!H49,'7.8 KIKORONGO-BWERA'!H49,'9.8 KIKORONGO-BWERA'!H49,'8.8 KIKORONGO-BWERA-24hr'!H49,'10.8 KIKORONGO-BWERA-24HRS'!H49,'11.8 BWERA-KIKORONGO'!H49)</f>
        <v>0.2857142857142857</v>
      </c>
      <c r="I49" s="49">
        <f>AVERAGE('5.8 KIKORONGO-BWERA'!I49,'6.8 KIKORONGO-BWERA'!I49,'7.8 KIKORONGO-BWERA'!I49,'9.8 KIKORONGO-BWERA'!I49,'8.8 KIKORONGO-BWERA-24hr'!I49,'10.8 KIKORONGO-BWERA-24HRS'!I49,'11.8 BWERA-KIKORONGO'!I49)</f>
        <v>2.1428571428571428</v>
      </c>
      <c r="J49" s="49">
        <f>AVERAGE('5.8 KIKORONGO-BWERA'!J49,'6.8 KIKORONGO-BWERA'!J49,'7.8 KIKORONGO-BWERA'!J49,'9.8 KIKORONGO-BWERA'!J49,'8.8 KIKORONGO-BWERA-24hr'!J49,'10.8 KIKORONGO-BWERA-24HRS'!J49,'11.8 BWERA-KIKORONGO'!J49)</f>
        <v>0</v>
      </c>
      <c r="K49" s="49">
        <f>AVERAGE('5.8 KIKORONGO-BWERA'!K49,'6.8 KIKORONGO-BWERA'!K49,'7.8 KIKORONGO-BWERA'!K49,'9.8 KIKORONGO-BWERA'!K49,'8.8 KIKORONGO-BWERA-24hr'!K49,'10.8 KIKORONGO-BWERA-24HRS'!K49,'11.8 BWERA-KIKORONGO'!K49)</f>
        <v>0.42857142857142855</v>
      </c>
      <c r="L49" s="49">
        <f>AVERAGE('5.8 KIKORONGO-BWERA'!L49,'6.8 KIKORONGO-BWERA'!L49,'7.8 KIKORONGO-BWERA'!L49,'9.8 KIKORONGO-BWERA'!L49,'8.8 KIKORONGO-BWERA-24hr'!L49,'10.8 KIKORONGO-BWERA-24HRS'!L49,'11.8 BWERA-KIKORONGO'!L49)</f>
        <v>0.7142857142857143</v>
      </c>
      <c r="M49" s="49">
        <f>AVERAGE('5.8 KIKORONGO-BWERA'!M49,'6.8 KIKORONGO-BWERA'!M49,'7.8 KIKORONGO-BWERA'!M49,'9.8 KIKORONGO-BWERA'!M49,'8.8 KIKORONGO-BWERA-24hr'!M49,'10.8 KIKORONGO-BWERA-24HRS'!M49,'11.8 BWERA-KIKORONGO'!M49)</f>
        <v>2.8571428571428572</v>
      </c>
      <c r="N49" s="49">
        <f>AVERAGE('5.8 KIKORONGO-BWERA'!N49,'6.8 KIKORONGO-BWERA'!N49,'7.8 KIKORONGO-BWERA'!N49,'9.8 KIKORONGO-BWERA'!N49,'8.8 KIKORONGO-BWERA-24hr'!N49,'10.8 KIKORONGO-BWERA-24HRS'!N49,'11.8 BWERA-KIKORONGO'!N49)</f>
        <v>0.14285714285714285</v>
      </c>
      <c r="O49" s="15">
        <f t="shared" si="0"/>
        <v>13.142857142857142</v>
      </c>
      <c r="P49" s="15">
        <f t="shared" si="1"/>
        <v>16</v>
      </c>
      <c r="R49" s="8"/>
      <c r="T49"/>
    </row>
    <row r="50" spans="2:20" ht="23.1" customHeight="1" x14ac:dyDescent="0.25">
      <c r="B50" s="24" t="s">
        <v>77</v>
      </c>
      <c r="C50" s="49">
        <f>AVERAGE('5.8 KIKORONGO-BWERA'!C50,'6.8 KIKORONGO-BWERA'!C50,'7.8 KIKORONGO-BWERA'!C50,'9.8 KIKORONGO-BWERA'!C50,'8.8 KIKORONGO-BWERA-24hr'!C50,'10.8 KIKORONGO-BWERA-24HRS'!C50,'11.8 BWERA-KIKORONGO'!C50)</f>
        <v>4.2857142857142856</v>
      </c>
      <c r="D50" s="49">
        <f>AVERAGE('5.8 KIKORONGO-BWERA'!D50,'6.8 KIKORONGO-BWERA'!D50,'7.8 KIKORONGO-BWERA'!D50,'9.8 KIKORONGO-BWERA'!D50,'8.8 KIKORONGO-BWERA-24hr'!D50,'10.8 KIKORONGO-BWERA-24HRS'!D50,'11.8 BWERA-KIKORONGO'!D50)</f>
        <v>0</v>
      </c>
      <c r="E50" s="49">
        <f>AVERAGE('5.8 KIKORONGO-BWERA'!E50,'6.8 KIKORONGO-BWERA'!E50,'7.8 KIKORONGO-BWERA'!E50,'9.8 KIKORONGO-BWERA'!E50,'8.8 KIKORONGO-BWERA-24hr'!E50,'10.8 KIKORONGO-BWERA-24HRS'!E50,'11.8 BWERA-KIKORONGO'!E50)</f>
        <v>3.5714285714285716</v>
      </c>
      <c r="F50" s="49">
        <f>AVERAGE('5.8 KIKORONGO-BWERA'!F50,'6.8 KIKORONGO-BWERA'!F50,'7.8 KIKORONGO-BWERA'!F50,'9.8 KIKORONGO-BWERA'!F50,'8.8 KIKORONGO-BWERA-24hr'!F50,'10.8 KIKORONGO-BWERA-24HRS'!F50,'11.8 BWERA-KIKORONGO'!F50)</f>
        <v>3.7142857142857144</v>
      </c>
      <c r="G50" s="49">
        <f>AVERAGE('5.8 KIKORONGO-BWERA'!G50,'6.8 KIKORONGO-BWERA'!G50,'7.8 KIKORONGO-BWERA'!G50,'9.8 KIKORONGO-BWERA'!G50,'8.8 KIKORONGO-BWERA-24hr'!G50,'10.8 KIKORONGO-BWERA-24HRS'!G50,'11.8 BWERA-KIKORONGO'!G50)</f>
        <v>0</v>
      </c>
      <c r="H50" s="49">
        <f>AVERAGE('5.8 KIKORONGO-BWERA'!H50,'6.8 KIKORONGO-BWERA'!H50,'7.8 KIKORONGO-BWERA'!H50,'9.8 KIKORONGO-BWERA'!H50,'8.8 KIKORONGO-BWERA-24hr'!H50,'10.8 KIKORONGO-BWERA-24HRS'!H50,'11.8 BWERA-KIKORONGO'!H50)</f>
        <v>0.5714285714285714</v>
      </c>
      <c r="I50" s="49">
        <f>AVERAGE('5.8 KIKORONGO-BWERA'!I50,'6.8 KIKORONGO-BWERA'!I50,'7.8 KIKORONGO-BWERA'!I50,'9.8 KIKORONGO-BWERA'!I50,'8.8 KIKORONGO-BWERA-24hr'!I50,'10.8 KIKORONGO-BWERA-24HRS'!I50,'11.8 BWERA-KIKORONGO'!I50)</f>
        <v>0.7142857142857143</v>
      </c>
      <c r="J50" s="49">
        <f>AVERAGE('5.8 KIKORONGO-BWERA'!J50,'6.8 KIKORONGO-BWERA'!J50,'7.8 KIKORONGO-BWERA'!J50,'9.8 KIKORONGO-BWERA'!J50,'8.8 KIKORONGO-BWERA-24hr'!J50,'10.8 KIKORONGO-BWERA-24HRS'!J50,'11.8 BWERA-KIKORONGO'!J50)</f>
        <v>0.2857142857142857</v>
      </c>
      <c r="K50" s="49">
        <f>AVERAGE('5.8 KIKORONGO-BWERA'!K50,'6.8 KIKORONGO-BWERA'!K50,'7.8 KIKORONGO-BWERA'!K50,'9.8 KIKORONGO-BWERA'!K50,'8.8 KIKORONGO-BWERA-24hr'!K50,'10.8 KIKORONGO-BWERA-24HRS'!K50,'11.8 BWERA-KIKORONGO'!K50)</f>
        <v>0.14285714285714285</v>
      </c>
      <c r="L50" s="49">
        <f>AVERAGE('5.8 KIKORONGO-BWERA'!L50,'6.8 KIKORONGO-BWERA'!L50,'7.8 KIKORONGO-BWERA'!L50,'9.8 KIKORONGO-BWERA'!L50,'8.8 KIKORONGO-BWERA-24hr'!L50,'10.8 KIKORONGO-BWERA-24HRS'!L50,'11.8 BWERA-KIKORONGO'!L50)</f>
        <v>1.2857142857142858</v>
      </c>
      <c r="M50" s="49">
        <f>AVERAGE('5.8 KIKORONGO-BWERA'!M50,'6.8 KIKORONGO-BWERA'!M50,'7.8 KIKORONGO-BWERA'!M50,'9.8 KIKORONGO-BWERA'!M50,'8.8 KIKORONGO-BWERA-24hr'!M50,'10.8 KIKORONGO-BWERA-24HRS'!M50,'11.8 BWERA-KIKORONGO'!M50)</f>
        <v>4.1428571428571432</v>
      </c>
      <c r="N50" s="49">
        <f>AVERAGE('5.8 KIKORONGO-BWERA'!N50,'6.8 KIKORONGO-BWERA'!N50,'7.8 KIKORONGO-BWERA'!N50,'9.8 KIKORONGO-BWERA'!N50,'8.8 KIKORONGO-BWERA-24hr'!N50,'10.8 KIKORONGO-BWERA-24HRS'!N50,'11.8 BWERA-KIKORONGO'!N50)</f>
        <v>0</v>
      </c>
      <c r="O50" s="15">
        <f t="shared" si="0"/>
        <v>14.571428571428573</v>
      </c>
      <c r="P50" s="15">
        <f t="shared" si="1"/>
        <v>18.714285714285715</v>
      </c>
      <c r="R50" s="8"/>
      <c r="T50"/>
    </row>
    <row r="51" spans="2:20" ht="23.1" customHeight="1" x14ac:dyDescent="0.25">
      <c r="B51" s="24" t="s">
        <v>78</v>
      </c>
      <c r="C51" s="49">
        <f>AVERAGE('5.8 KIKORONGO-BWERA'!C51,'6.8 KIKORONGO-BWERA'!C51,'7.8 KIKORONGO-BWERA'!C51,'9.8 KIKORONGO-BWERA'!C51,'8.8 KIKORONGO-BWERA-24hr'!C51,'10.8 KIKORONGO-BWERA-24HRS'!C51,'11.8 BWERA-KIKORONGO'!C51)</f>
        <v>3.5714285714285716</v>
      </c>
      <c r="D51" s="49">
        <f>AVERAGE('5.8 KIKORONGO-BWERA'!D51,'6.8 KIKORONGO-BWERA'!D51,'7.8 KIKORONGO-BWERA'!D51,'9.8 KIKORONGO-BWERA'!D51,'8.8 KIKORONGO-BWERA-24hr'!D51,'10.8 KIKORONGO-BWERA-24HRS'!D51,'11.8 BWERA-KIKORONGO'!D51)</f>
        <v>0</v>
      </c>
      <c r="E51" s="49">
        <f>AVERAGE('5.8 KIKORONGO-BWERA'!E51,'6.8 KIKORONGO-BWERA'!E51,'7.8 KIKORONGO-BWERA'!E51,'9.8 KIKORONGO-BWERA'!E51,'8.8 KIKORONGO-BWERA-24hr'!E51,'10.8 KIKORONGO-BWERA-24HRS'!E51,'11.8 BWERA-KIKORONGO'!E51)</f>
        <v>4.2857142857142856</v>
      </c>
      <c r="F51" s="49">
        <f>AVERAGE('5.8 KIKORONGO-BWERA'!F51,'6.8 KIKORONGO-BWERA'!F51,'7.8 KIKORONGO-BWERA'!F51,'9.8 KIKORONGO-BWERA'!F51,'8.8 KIKORONGO-BWERA-24hr'!F51,'10.8 KIKORONGO-BWERA-24HRS'!F51,'11.8 BWERA-KIKORONGO'!F51)</f>
        <v>3.5714285714285716</v>
      </c>
      <c r="G51" s="49">
        <f>AVERAGE('5.8 KIKORONGO-BWERA'!G51,'6.8 KIKORONGO-BWERA'!G51,'7.8 KIKORONGO-BWERA'!G51,'9.8 KIKORONGO-BWERA'!G51,'8.8 KIKORONGO-BWERA-24hr'!G51,'10.8 KIKORONGO-BWERA-24HRS'!G51,'11.8 BWERA-KIKORONGO'!G51)</f>
        <v>0</v>
      </c>
      <c r="H51" s="49">
        <f>AVERAGE('5.8 KIKORONGO-BWERA'!H51,'6.8 KIKORONGO-BWERA'!H51,'7.8 KIKORONGO-BWERA'!H51,'9.8 KIKORONGO-BWERA'!H51,'8.8 KIKORONGO-BWERA-24hr'!H51,'10.8 KIKORONGO-BWERA-24HRS'!H51,'11.8 BWERA-KIKORONGO'!H51)</f>
        <v>0.2857142857142857</v>
      </c>
      <c r="I51" s="49">
        <f>AVERAGE('5.8 KIKORONGO-BWERA'!I51,'6.8 KIKORONGO-BWERA'!I51,'7.8 KIKORONGO-BWERA'!I51,'9.8 KIKORONGO-BWERA'!I51,'8.8 KIKORONGO-BWERA-24hr'!I51,'10.8 KIKORONGO-BWERA-24HRS'!I51,'11.8 BWERA-KIKORONGO'!I51)</f>
        <v>1.4285714285714286</v>
      </c>
      <c r="J51" s="49">
        <f>AVERAGE('5.8 KIKORONGO-BWERA'!J51,'6.8 KIKORONGO-BWERA'!J51,'7.8 KIKORONGO-BWERA'!J51,'9.8 KIKORONGO-BWERA'!J51,'8.8 KIKORONGO-BWERA-24hr'!J51,'10.8 KIKORONGO-BWERA-24HRS'!J51,'11.8 BWERA-KIKORONGO'!J51)</f>
        <v>0</v>
      </c>
      <c r="K51" s="49">
        <f>AVERAGE('5.8 KIKORONGO-BWERA'!K51,'6.8 KIKORONGO-BWERA'!K51,'7.8 KIKORONGO-BWERA'!K51,'9.8 KIKORONGO-BWERA'!K51,'8.8 KIKORONGO-BWERA-24hr'!K51,'10.8 KIKORONGO-BWERA-24HRS'!K51,'11.8 BWERA-KIKORONGO'!K51)</f>
        <v>0.14285714285714285</v>
      </c>
      <c r="L51" s="49">
        <f>AVERAGE('5.8 KIKORONGO-BWERA'!L51,'6.8 KIKORONGO-BWERA'!L51,'7.8 KIKORONGO-BWERA'!L51,'9.8 KIKORONGO-BWERA'!L51,'8.8 KIKORONGO-BWERA-24hr'!L51,'10.8 KIKORONGO-BWERA-24HRS'!L51,'11.8 BWERA-KIKORONGO'!L51)</f>
        <v>0.5714285714285714</v>
      </c>
      <c r="M51" s="49">
        <f>AVERAGE('5.8 KIKORONGO-BWERA'!M51,'6.8 KIKORONGO-BWERA'!M51,'7.8 KIKORONGO-BWERA'!M51,'9.8 KIKORONGO-BWERA'!M51,'8.8 KIKORONGO-BWERA-24hr'!M51,'10.8 KIKORONGO-BWERA-24HRS'!M51,'11.8 BWERA-KIKORONGO'!M51)</f>
        <v>3.7142857142857144</v>
      </c>
      <c r="N51" s="49">
        <f>AVERAGE('5.8 KIKORONGO-BWERA'!N51,'6.8 KIKORONGO-BWERA'!N51,'7.8 KIKORONGO-BWERA'!N51,'9.8 KIKORONGO-BWERA'!N51,'8.8 KIKORONGO-BWERA-24hr'!N51,'10.8 KIKORONGO-BWERA-24HRS'!N51,'11.8 BWERA-KIKORONGO'!N51)</f>
        <v>0</v>
      </c>
      <c r="O51" s="15">
        <f t="shared" si="0"/>
        <v>13.857142857142858</v>
      </c>
      <c r="P51" s="15">
        <f t="shared" si="1"/>
        <v>17.571428571428573</v>
      </c>
      <c r="R51" s="8"/>
      <c r="T51"/>
    </row>
    <row r="52" spans="2:20" ht="23.1" customHeight="1" x14ac:dyDescent="0.25">
      <c r="B52" s="24" t="s">
        <v>79</v>
      </c>
      <c r="C52" s="49">
        <f>AVERAGE('5.8 KIKORONGO-BWERA'!C52,'6.8 KIKORONGO-BWERA'!C52,'7.8 KIKORONGO-BWERA'!C52,'9.8 KIKORONGO-BWERA'!C52,'8.8 KIKORONGO-BWERA-24hr'!C52,'10.8 KIKORONGO-BWERA-24HRS'!C52,'11.8 BWERA-KIKORONGO'!C52)</f>
        <v>4.2857142857142856</v>
      </c>
      <c r="D52" s="49">
        <f>AVERAGE('5.8 KIKORONGO-BWERA'!D52,'6.8 KIKORONGO-BWERA'!D52,'7.8 KIKORONGO-BWERA'!D52,'9.8 KIKORONGO-BWERA'!D52,'8.8 KIKORONGO-BWERA-24hr'!D52,'10.8 KIKORONGO-BWERA-24HRS'!D52,'11.8 BWERA-KIKORONGO'!D52)</f>
        <v>0</v>
      </c>
      <c r="E52" s="49">
        <f>AVERAGE('5.8 KIKORONGO-BWERA'!E52,'6.8 KIKORONGO-BWERA'!E52,'7.8 KIKORONGO-BWERA'!E52,'9.8 KIKORONGO-BWERA'!E52,'8.8 KIKORONGO-BWERA-24hr'!E52,'10.8 KIKORONGO-BWERA-24HRS'!E52,'11.8 BWERA-KIKORONGO'!E52)</f>
        <v>3.8571428571428572</v>
      </c>
      <c r="F52" s="49">
        <f>AVERAGE('5.8 KIKORONGO-BWERA'!F52,'6.8 KIKORONGO-BWERA'!F52,'7.8 KIKORONGO-BWERA'!F52,'9.8 KIKORONGO-BWERA'!F52,'8.8 KIKORONGO-BWERA-24hr'!F52,'10.8 KIKORONGO-BWERA-24HRS'!F52,'11.8 BWERA-KIKORONGO'!F52)</f>
        <v>2.8571428571428572</v>
      </c>
      <c r="G52" s="49">
        <f>AVERAGE('5.8 KIKORONGO-BWERA'!G52,'6.8 KIKORONGO-BWERA'!G52,'7.8 KIKORONGO-BWERA'!G52,'9.8 KIKORONGO-BWERA'!G52,'8.8 KIKORONGO-BWERA-24hr'!G52,'10.8 KIKORONGO-BWERA-24HRS'!G52,'11.8 BWERA-KIKORONGO'!G52)</f>
        <v>0</v>
      </c>
      <c r="H52" s="49">
        <f>AVERAGE('5.8 KIKORONGO-BWERA'!H52,'6.8 KIKORONGO-BWERA'!H52,'7.8 KIKORONGO-BWERA'!H52,'9.8 KIKORONGO-BWERA'!H52,'8.8 KIKORONGO-BWERA-24hr'!H52,'10.8 KIKORONGO-BWERA-24HRS'!H52,'11.8 BWERA-KIKORONGO'!H52)</f>
        <v>0.2857142857142857</v>
      </c>
      <c r="I52" s="49">
        <f>AVERAGE('5.8 KIKORONGO-BWERA'!I52,'6.8 KIKORONGO-BWERA'!I52,'7.8 KIKORONGO-BWERA'!I52,'9.8 KIKORONGO-BWERA'!I52,'8.8 KIKORONGO-BWERA-24hr'!I52,'10.8 KIKORONGO-BWERA-24HRS'!I52,'11.8 BWERA-KIKORONGO'!I52)</f>
        <v>2.1428571428571428</v>
      </c>
      <c r="J52" s="49">
        <f>AVERAGE('5.8 KIKORONGO-BWERA'!J52,'6.8 KIKORONGO-BWERA'!J52,'7.8 KIKORONGO-BWERA'!J52,'9.8 KIKORONGO-BWERA'!J52,'8.8 KIKORONGO-BWERA-24hr'!J52,'10.8 KIKORONGO-BWERA-24HRS'!J52,'11.8 BWERA-KIKORONGO'!J52)</f>
        <v>0.14285714285714285</v>
      </c>
      <c r="K52" s="49">
        <f>AVERAGE('5.8 KIKORONGO-BWERA'!K52,'6.8 KIKORONGO-BWERA'!K52,'7.8 KIKORONGO-BWERA'!K52,'9.8 KIKORONGO-BWERA'!K52,'8.8 KIKORONGO-BWERA-24hr'!K52,'10.8 KIKORONGO-BWERA-24HRS'!K52,'11.8 BWERA-KIKORONGO'!K52)</f>
        <v>0.14285714285714285</v>
      </c>
      <c r="L52" s="49">
        <f>AVERAGE('5.8 KIKORONGO-BWERA'!L52,'6.8 KIKORONGO-BWERA'!L52,'7.8 KIKORONGO-BWERA'!L52,'9.8 KIKORONGO-BWERA'!L52,'8.8 KIKORONGO-BWERA-24hr'!L52,'10.8 KIKORONGO-BWERA-24HRS'!L52,'11.8 BWERA-KIKORONGO'!L52)</f>
        <v>0.7142857142857143</v>
      </c>
      <c r="M52" s="49">
        <f>AVERAGE('5.8 KIKORONGO-BWERA'!M52,'6.8 KIKORONGO-BWERA'!M52,'7.8 KIKORONGO-BWERA'!M52,'9.8 KIKORONGO-BWERA'!M52,'8.8 KIKORONGO-BWERA-24hr'!M52,'10.8 KIKORONGO-BWERA-24HRS'!M52,'11.8 BWERA-KIKORONGO'!M52)</f>
        <v>3.8571428571428572</v>
      </c>
      <c r="N52" s="49">
        <f>AVERAGE('5.8 KIKORONGO-BWERA'!N52,'6.8 KIKORONGO-BWERA'!N52,'7.8 KIKORONGO-BWERA'!N52,'9.8 KIKORONGO-BWERA'!N52,'8.8 KIKORONGO-BWERA-24hr'!N52,'10.8 KIKORONGO-BWERA-24HRS'!N52,'11.8 BWERA-KIKORONGO'!N52)</f>
        <v>0</v>
      </c>
      <c r="O52" s="15">
        <f t="shared" si="0"/>
        <v>14.428571428571427</v>
      </c>
      <c r="P52" s="15">
        <f t="shared" si="1"/>
        <v>18.285714285714285</v>
      </c>
      <c r="R52" s="8"/>
      <c r="T52"/>
    </row>
    <row r="53" spans="2:20" ht="23.1" customHeight="1" x14ac:dyDescent="0.25">
      <c r="B53" s="23" t="s">
        <v>80</v>
      </c>
      <c r="C53" s="49">
        <f>AVERAGE('5.8 KIKORONGO-BWERA'!C53,'6.8 KIKORONGO-BWERA'!C53,'7.8 KIKORONGO-BWERA'!C53,'9.8 KIKORONGO-BWERA'!C53,'8.8 KIKORONGO-BWERA-24hr'!C53,'10.8 KIKORONGO-BWERA-24HRS'!C53,'11.8 BWERA-KIKORONGO'!C53)</f>
        <v>3.2857142857142856</v>
      </c>
      <c r="D53" s="49">
        <f>AVERAGE('5.8 KIKORONGO-BWERA'!D53,'6.8 KIKORONGO-BWERA'!D53,'7.8 KIKORONGO-BWERA'!D53,'9.8 KIKORONGO-BWERA'!D53,'8.8 KIKORONGO-BWERA-24hr'!D53,'10.8 KIKORONGO-BWERA-24HRS'!D53,'11.8 BWERA-KIKORONGO'!D53)</f>
        <v>0</v>
      </c>
      <c r="E53" s="49">
        <f>AVERAGE('5.8 KIKORONGO-BWERA'!E53,'6.8 KIKORONGO-BWERA'!E53,'7.8 KIKORONGO-BWERA'!E53,'9.8 KIKORONGO-BWERA'!E53,'8.8 KIKORONGO-BWERA-24hr'!E53,'10.8 KIKORONGO-BWERA-24HRS'!E53,'11.8 BWERA-KIKORONGO'!E53)</f>
        <v>2.1428571428571428</v>
      </c>
      <c r="F53" s="49">
        <f>AVERAGE('5.8 KIKORONGO-BWERA'!F53,'6.8 KIKORONGO-BWERA'!F53,'7.8 KIKORONGO-BWERA'!F53,'9.8 KIKORONGO-BWERA'!F53,'8.8 KIKORONGO-BWERA-24hr'!F53,'10.8 KIKORONGO-BWERA-24HRS'!F53,'11.8 BWERA-KIKORONGO'!F53)</f>
        <v>2.4285714285714284</v>
      </c>
      <c r="G53" s="49">
        <f>AVERAGE('5.8 KIKORONGO-BWERA'!G53,'6.8 KIKORONGO-BWERA'!G53,'7.8 KIKORONGO-BWERA'!G53,'9.8 KIKORONGO-BWERA'!G53,'8.8 KIKORONGO-BWERA-24hr'!G53,'10.8 KIKORONGO-BWERA-24HRS'!G53,'11.8 BWERA-KIKORONGO'!G53)</f>
        <v>0</v>
      </c>
      <c r="H53" s="49">
        <f>AVERAGE('5.8 KIKORONGO-BWERA'!H53,'6.8 KIKORONGO-BWERA'!H53,'7.8 KIKORONGO-BWERA'!H53,'9.8 KIKORONGO-BWERA'!H53,'8.8 KIKORONGO-BWERA-24hr'!H53,'10.8 KIKORONGO-BWERA-24HRS'!H53,'11.8 BWERA-KIKORONGO'!H53)</f>
        <v>0</v>
      </c>
      <c r="I53" s="49">
        <f>AVERAGE('5.8 KIKORONGO-BWERA'!I53,'6.8 KIKORONGO-BWERA'!I53,'7.8 KIKORONGO-BWERA'!I53,'9.8 KIKORONGO-BWERA'!I53,'8.8 KIKORONGO-BWERA-24hr'!I53,'10.8 KIKORONGO-BWERA-24HRS'!I53,'11.8 BWERA-KIKORONGO'!I53)</f>
        <v>2.1428571428571428</v>
      </c>
      <c r="J53" s="49">
        <f>AVERAGE('5.8 KIKORONGO-BWERA'!J53,'6.8 KIKORONGO-BWERA'!J53,'7.8 KIKORONGO-BWERA'!J53,'9.8 KIKORONGO-BWERA'!J53,'8.8 KIKORONGO-BWERA-24hr'!J53,'10.8 KIKORONGO-BWERA-24HRS'!J53,'11.8 BWERA-KIKORONGO'!J53)</f>
        <v>0</v>
      </c>
      <c r="K53" s="49">
        <f>AVERAGE('5.8 KIKORONGO-BWERA'!K53,'6.8 KIKORONGO-BWERA'!K53,'7.8 KIKORONGO-BWERA'!K53,'9.8 KIKORONGO-BWERA'!K53,'8.8 KIKORONGO-BWERA-24hr'!K53,'10.8 KIKORONGO-BWERA-24HRS'!K53,'11.8 BWERA-KIKORONGO'!K53)</f>
        <v>0.14285714285714285</v>
      </c>
      <c r="L53" s="49">
        <f>AVERAGE('5.8 KIKORONGO-BWERA'!L53,'6.8 KIKORONGO-BWERA'!L53,'7.8 KIKORONGO-BWERA'!L53,'9.8 KIKORONGO-BWERA'!L53,'8.8 KIKORONGO-BWERA-24hr'!L53,'10.8 KIKORONGO-BWERA-24HRS'!L53,'11.8 BWERA-KIKORONGO'!L53)</f>
        <v>0.7142857142857143</v>
      </c>
      <c r="M53" s="49">
        <f>AVERAGE('5.8 KIKORONGO-BWERA'!M53,'6.8 KIKORONGO-BWERA'!M53,'7.8 KIKORONGO-BWERA'!M53,'9.8 KIKORONGO-BWERA'!M53,'8.8 KIKORONGO-BWERA-24hr'!M53,'10.8 KIKORONGO-BWERA-24HRS'!M53,'11.8 BWERA-KIKORONGO'!M53)</f>
        <v>2.7142857142857144</v>
      </c>
      <c r="N53" s="49">
        <f>AVERAGE('5.8 KIKORONGO-BWERA'!N53,'6.8 KIKORONGO-BWERA'!N53,'7.8 KIKORONGO-BWERA'!N53,'9.8 KIKORONGO-BWERA'!N53,'8.8 KIKORONGO-BWERA-24hr'!N53,'10.8 KIKORONGO-BWERA-24HRS'!N53,'11.8 BWERA-KIKORONGO'!N53)</f>
        <v>0</v>
      </c>
      <c r="O53" s="15">
        <f t="shared" si="0"/>
        <v>10.857142857142856</v>
      </c>
      <c r="P53" s="15">
        <f t="shared" si="1"/>
        <v>13.571428571428569</v>
      </c>
      <c r="R53" s="8"/>
      <c r="T53"/>
    </row>
    <row r="54" spans="2:20" ht="23.1" customHeight="1" x14ac:dyDescent="0.25">
      <c r="B54" s="23" t="s">
        <v>81</v>
      </c>
      <c r="C54" s="49">
        <f>AVERAGE('5.8 KIKORONGO-BWERA'!C54,'6.8 KIKORONGO-BWERA'!C54,'7.8 KIKORONGO-BWERA'!C54,'9.8 KIKORONGO-BWERA'!C54,'8.8 KIKORONGO-BWERA-24hr'!C54,'10.8 KIKORONGO-BWERA-24HRS'!C54,'11.8 BWERA-KIKORONGO'!C54)</f>
        <v>2.2857142857142856</v>
      </c>
      <c r="D54" s="49">
        <f>AVERAGE('5.8 KIKORONGO-BWERA'!D54,'6.8 KIKORONGO-BWERA'!D54,'7.8 KIKORONGO-BWERA'!D54,'9.8 KIKORONGO-BWERA'!D54,'8.8 KIKORONGO-BWERA-24hr'!D54,'10.8 KIKORONGO-BWERA-24HRS'!D54,'11.8 BWERA-KIKORONGO'!D54)</f>
        <v>0</v>
      </c>
      <c r="E54" s="49">
        <f>AVERAGE('5.8 KIKORONGO-BWERA'!E54,'6.8 KIKORONGO-BWERA'!E54,'7.8 KIKORONGO-BWERA'!E54,'9.8 KIKORONGO-BWERA'!E54,'8.8 KIKORONGO-BWERA-24hr'!E54,'10.8 KIKORONGO-BWERA-24HRS'!E54,'11.8 BWERA-KIKORONGO'!E54)</f>
        <v>2.2857142857142856</v>
      </c>
      <c r="F54" s="49">
        <f>AVERAGE('5.8 KIKORONGO-BWERA'!F54,'6.8 KIKORONGO-BWERA'!F54,'7.8 KIKORONGO-BWERA'!F54,'9.8 KIKORONGO-BWERA'!F54,'8.8 KIKORONGO-BWERA-24hr'!F54,'10.8 KIKORONGO-BWERA-24HRS'!F54,'11.8 BWERA-KIKORONGO'!F54)</f>
        <v>3.8571428571428572</v>
      </c>
      <c r="G54" s="49">
        <f>AVERAGE('5.8 KIKORONGO-BWERA'!G54,'6.8 KIKORONGO-BWERA'!G54,'7.8 KIKORONGO-BWERA'!G54,'9.8 KIKORONGO-BWERA'!G54,'8.8 KIKORONGO-BWERA-24hr'!G54,'10.8 KIKORONGO-BWERA-24HRS'!G54,'11.8 BWERA-KIKORONGO'!G54)</f>
        <v>0</v>
      </c>
      <c r="H54" s="49">
        <f>AVERAGE('5.8 KIKORONGO-BWERA'!H54,'6.8 KIKORONGO-BWERA'!H54,'7.8 KIKORONGO-BWERA'!H54,'9.8 KIKORONGO-BWERA'!H54,'8.8 KIKORONGO-BWERA-24hr'!H54,'10.8 KIKORONGO-BWERA-24HRS'!H54,'11.8 BWERA-KIKORONGO'!H54)</f>
        <v>0</v>
      </c>
      <c r="I54" s="49">
        <f>AVERAGE('5.8 KIKORONGO-BWERA'!I54,'6.8 KIKORONGO-BWERA'!I54,'7.8 KIKORONGO-BWERA'!I54,'9.8 KIKORONGO-BWERA'!I54,'8.8 KIKORONGO-BWERA-24hr'!I54,'10.8 KIKORONGO-BWERA-24HRS'!I54,'11.8 BWERA-KIKORONGO'!I54)</f>
        <v>1.8571428571428572</v>
      </c>
      <c r="J54" s="49">
        <f>AVERAGE('5.8 KIKORONGO-BWERA'!J54,'6.8 KIKORONGO-BWERA'!J54,'7.8 KIKORONGO-BWERA'!J54,'9.8 KIKORONGO-BWERA'!J54,'8.8 KIKORONGO-BWERA-24hr'!J54,'10.8 KIKORONGO-BWERA-24HRS'!J54,'11.8 BWERA-KIKORONGO'!J54)</f>
        <v>0.2857142857142857</v>
      </c>
      <c r="K54" s="49">
        <f>AVERAGE('5.8 KIKORONGO-BWERA'!K54,'6.8 KIKORONGO-BWERA'!K54,'7.8 KIKORONGO-BWERA'!K54,'9.8 KIKORONGO-BWERA'!K54,'8.8 KIKORONGO-BWERA-24hr'!K54,'10.8 KIKORONGO-BWERA-24HRS'!K54,'11.8 BWERA-KIKORONGO'!K54)</f>
        <v>0.2857142857142857</v>
      </c>
      <c r="L54" s="49">
        <f>AVERAGE('5.8 KIKORONGO-BWERA'!L54,'6.8 KIKORONGO-BWERA'!L54,'7.8 KIKORONGO-BWERA'!L54,'9.8 KIKORONGO-BWERA'!L54,'8.8 KIKORONGO-BWERA-24hr'!L54,'10.8 KIKORONGO-BWERA-24HRS'!L54,'11.8 BWERA-KIKORONGO'!L54)</f>
        <v>0.7142857142857143</v>
      </c>
      <c r="M54" s="49">
        <f>AVERAGE('5.8 KIKORONGO-BWERA'!M54,'6.8 KIKORONGO-BWERA'!M54,'7.8 KIKORONGO-BWERA'!M54,'9.8 KIKORONGO-BWERA'!M54,'8.8 KIKORONGO-BWERA-24hr'!M54,'10.8 KIKORONGO-BWERA-24HRS'!M54,'11.8 BWERA-KIKORONGO'!M54)</f>
        <v>3.5714285714285716</v>
      </c>
      <c r="N54" s="49">
        <f>AVERAGE('5.8 KIKORONGO-BWERA'!N54,'6.8 KIKORONGO-BWERA'!N54,'7.8 KIKORONGO-BWERA'!N54,'9.8 KIKORONGO-BWERA'!N54,'8.8 KIKORONGO-BWERA-24hr'!N54,'10.8 KIKORONGO-BWERA-24HRS'!N54,'11.8 BWERA-KIKORONGO'!N54)</f>
        <v>0.42857142857142855</v>
      </c>
      <c r="O54" s="15">
        <f t="shared" si="0"/>
        <v>12.000000000000002</v>
      </c>
      <c r="P54" s="15">
        <f t="shared" si="1"/>
        <v>15.571428571428573</v>
      </c>
      <c r="R54" s="8"/>
      <c r="T54"/>
    </row>
    <row r="55" spans="2:20" ht="23.1" customHeight="1" x14ac:dyDescent="0.25">
      <c r="B55" s="23" t="s">
        <v>82</v>
      </c>
      <c r="C55" s="49">
        <f>AVERAGE('5.8 KIKORONGO-BWERA'!C55,'6.8 KIKORONGO-BWERA'!C55,'7.8 KIKORONGO-BWERA'!C55,'9.8 KIKORONGO-BWERA'!C55,'8.8 KIKORONGO-BWERA-24hr'!C55,'10.8 KIKORONGO-BWERA-24HRS'!C55,'11.8 BWERA-KIKORONGO'!C55)</f>
        <v>4.4285714285714288</v>
      </c>
      <c r="D55" s="49">
        <f>AVERAGE('5.8 KIKORONGO-BWERA'!D55,'6.8 KIKORONGO-BWERA'!D55,'7.8 KIKORONGO-BWERA'!D55,'9.8 KIKORONGO-BWERA'!D55,'8.8 KIKORONGO-BWERA-24hr'!D55,'10.8 KIKORONGO-BWERA-24HRS'!D55,'11.8 BWERA-KIKORONGO'!D55)</f>
        <v>0</v>
      </c>
      <c r="E55" s="49">
        <f>AVERAGE('5.8 KIKORONGO-BWERA'!E55,'6.8 KIKORONGO-BWERA'!E55,'7.8 KIKORONGO-BWERA'!E55,'9.8 KIKORONGO-BWERA'!E55,'8.8 KIKORONGO-BWERA-24hr'!E55,'10.8 KIKORONGO-BWERA-24HRS'!E55,'11.8 BWERA-KIKORONGO'!E55)</f>
        <v>3.7142857142857144</v>
      </c>
      <c r="F55" s="49">
        <f>AVERAGE('5.8 KIKORONGO-BWERA'!F55,'6.8 KIKORONGO-BWERA'!F55,'7.8 KIKORONGO-BWERA'!F55,'9.8 KIKORONGO-BWERA'!F55,'8.8 KIKORONGO-BWERA-24hr'!F55,'10.8 KIKORONGO-BWERA-24HRS'!F55,'11.8 BWERA-KIKORONGO'!F55)</f>
        <v>3</v>
      </c>
      <c r="G55" s="49">
        <f>AVERAGE('5.8 KIKORONGO-BWERA'!G55,'6.8 KIKORONGO-BWERA'!G55,'7.8 KIKORONGO-BWERA'!G55,'9.8 KIKORONGO-BWERA'!G55,'8.8 KIKORONGO-BWERA-24hr'!G55,'10.8 KIKORONGO-BWERA-24HRS'!G55,'11.8 BWERA-KIKORONGO'!G55)</f>
        <v>0</v>
      </c>
      <c r="H55" s="49">
        <f>AVERAGE('5.8 KIKORONGO-BWERA'!H55,'6.8 KIKORONGO-BWERA'!H55,'7.8 KIKORONGO-BWERA'!H55,'9.8 KIKORONGO-BWERA'!H55,'8.8 KIKORONGO-BWERA-24hr'!H55,'10.8 KIKORONGO-BWERA-24HRS'!H55,'11.8 BWERA-KIKORONGO'!H55)</f>
        <v>0</v>
      </c>
      <c r="I55" s="49">
        <f>AVERAGE('5.8 KIKORONGO-BWERA'!I55,'6.8 KIKORONGO-BWERA'!I55,'7.8 KIKORONGO-BWERA'!I55,'9.8 KIKORONGO-BWERA'!I55,'8.8 KIKORONGO-BWERA-24hr'!I55,'10.8 KIKORONGO-BWERA-24HRS'!I55,'11.8 BWERA-KIKORONGO'!I55)</f>
        <v>1.5714285714285714</v>
      </c>
      <c r="J55" s="49">
        <f>AVERAGE('5.8 KIKORONGO-BWERA'!J55,'6.8 KIKORONGO-BWERA'!J55,'7.8 KIKORONGO-BWERA'!J55,'9.8 KIKORONGO-BWERA'!J55,'8.8 KIKORONGO-BWERA-24hr'!J55,'10.8 KIKORONGO-BWERA-24HRS'!J55,'11.8 BWERA-KIKORONGO'!J55)</f>
        <v>0.14285714285714285</v>
      </c>
      <c r="K55" s="49">
        <f>AVERAGE('5.8 KIKORONGO-BWERA'!K55,'6.8 KIKORONGO-BWERA'!K55,'7.8 KIKORONGO-BWERA'!K55,'9.8 KIKORONGO-BWERA'!K55,'8.8 KIKORONGO-BWERA-24hr'!K55,'10.8 KIKORONGO-BWERA-24HRS'!K55,'11.8 BWERA-KIKORONGO'!K55)</f>
        <v>0</v>
      </c>
      <c r="L55" s="49">
        <f>AVERAGE('5.8 KIKORONGO-BWERA'!L55,'6.8 KIKORONGO-BWERA'!L55,'7.8 KIKORONGO-BWERA'!L55,'9.8 KIKORONGO-BWERA'!L55,'8.8 KIKORONGO-BWERA-24hr'!L55,'10.8 KIKORONGO-BWERA-24HRS'!L55,'11.8 BWERA-KIKORONGO'!L55)</f>
        <v>1</v>
      </c>
      <c r="M55" s="49">
        <f>AVERAGE('5.8 KIKORONGO-BWERA'!M55,'6.8 KIKORONGO-BWERA'!M55,'7.8 KIKORONGO-BWERA'!M55,'9.8 KIKORONGO-BWERA'!M55,'8.8 KIKORONGO-BWERA-24hr'!M55,'10.8 KIKORONGO-BWERA-24HRS'!M55,'11.8 BWERA-KIKORONGO'!M55)</f>
        <v>3.4285714285714284</v>
      </c>
      <c r="N55" s="49">
        <f>AVERAGE('5.8 KIKORONGO-BWERA'!N55,'6.8 KIKORONGO-BWERA'!N55,'7.8 KIKORONGO-BWERA'!N55,'9.8 KIKORONGO-BWERA'!N55,'8.8 KIKORONGO-BWERA-24hr'!N55,'10.8 KIKORONGO-BWERA-24HRS'!N55,'11.8 BWERA-KIKORONGO'!N55)</f>
        <v>0</v>
      </c>
      <c r="O55" s="15">
        <f t="shared" si="0"/>
        <v>13.857142857142856</v>
      </c>
      <c r="P55" s="15">
        <f t="shared" si="1"/>
        <v>17.285714285714285</v>
      </c>
      <c r="R55" s="8"/>
      <c r="T55"/>
    </row>
    <row r="56" spans="2:20" ht="23.1" customHeight="1" x14ac:dyDescent="0.25">
      <c r="B56" s="23" t="s">
        <v>83</v>
      </c>
      <c r="C56" s="49">
        <f>AVERAGE('5.8 KIKORONGO-BWERA'!C56,'6.8 KIKORONGO-BWERA'!C56,'7.8 KIKORONGO-BWERA'!C56,'9.8 KIKORONGO-BWERA'!C56,'8.8 KIKORONGO-BWERA-24hr'!C56,'10.8 KIKORONGO-BWERA-24HRS'!C56,'11.8 BWERA-KIKORONGO'!C56)</f>
        <v>3.2857142857142856</v>
      </c>
      <c r="D56" s="49">
        <f>AVERAGE('5.8 KIKORONGO-BWERA'!D56,'6.8 KIKORONGO-BWERA'!D56,'7.8 KIKORONGO-BWERA'!D56,'9.8 KIKORONGO-BWERA'!D56,'8.8 KIKORONGO-BWERA-24hr'!D56,'10.8 KIKORONGO-BWERA-24HRS'!D56,'11.8 BWERA-KIKORONGO'!D56)</f>
        <v>0</v>
      </c>
      <c r="E56" s="49">
        <f>AVERAGE('5.8 KIKORONGO-BWERA'!E56,'6.8 KIKORONGO-BWERA'!E56,'7.8 KIKORONGO-BWERA'!E56,'9.8 KIKORONGO-BWERA'!E56,'8.8 KIKORONGO-BWERA-24hr'!E56,'10.8 KIKORONGO-BWERA-24HRS'!E56,'11.8 BWERA-KIKORONGO'!E56)</f>
        <v>2.1428571428571428</v>
      </c>
      <c r="F56" s="49">
        <f>AVERAGE('5.8 KIKORONGO-BWERA'!F56,'6.8 KIKORONGO-BWERA'!F56,'7.8 KIKORONGO-BWERA'!F56,'9.8 KIKORONGO-BWERA'!F56,'8.8 KIKORONGO-BWERA-24hr'!F56,'10.8 KIKORONGO-BWERA-24HRS'!F56,'11.8 BWERA-KIKORONGO'!F56)</f>
        <v>2.2857142857142856</v>
      </c>
      <c r="G56" s="49">
        <f>AVERAGE('5.8 KIKORONGO-BWERA'!G56,'6.8 KIKORONGO-BWERA'!G56,'7.8 KIKORONGO-BWERA'!G56,'9.8 KIKORONGO-BWERA'!G56,'8.8 KIKORONGO-BWERA-24hr'!G56,'10.8 KIKORONGO-BWERA-24HRS'!G56,'11.8 BWERA-KIKORONGO'!G56)</f>
        <v>0</v>
      </c>
      <c r="H56" s="49">
        <f>AVERAGE('5.8 KIKORONGO-BWERA'!H56,'6.8 KIKORONGO-BWERA'!H56,'7.8 KIKORONGO-BWERA'!H56,'9.8 KIKORONGO-BWERA'!H56,'8.8 KIKORONGO-BWERA-24hr'!H56,'10.8 KIKORONGO-BWERA-24HRS'!H56,'11.8 BWERA-KIKORONGO'!H56)</f>
        <v>0.14285714285714285</v>
      </c>
      <c r="I56" s="49">
        <f>AVERAGE('5.8 KIKORONGO-BWERA'!I56,'6.8 KIKORONGO-BWERA'!I56,'7.8 KIKORONGO-BWERA'!I56,'9.8 KIKORONGO-BWERA'!I56,'8.8 KIKORONGO-BWERA-24hr'!I56,'10.8 KIKORONGO-BWERA-24HRS'!I56,'11.8 BWERA-KIKORONGO'!I56)</f>
        <v>1.4285714285714286</v>
      </c>
      <c r="J56" s="49">
        <f>AVERAGE('5.8 KIKORONGO-BWERA'!J56,'6.8 KIKORONGO-BWERA'!J56,'7.8 KIKORONGO-BWERA'!J56,'9.8 KIKORONGO-BWERA'!J56,'8.8 KIKORONGO-BWERA-24hr'!J56,'10.8 KIKORONGO-BWERA-24HRS'!J56,'11.8 BWERA-KIKORONGO'!J56)</f>
        <v>0</v>
      </c>
      <c r="K56" s="49">
        <f>AVERAGE('5.8 KIKORONGO-BWERA'!K56,'6.8 KIKORONGO-BWERA'!K56,'7.8 KIKORONGO-BWERA'!K56,'9.8 KIKORONGO-BWERA'!K56,'8.8 KIKORONGO-BWERA-24hr'!K56,'10.8 KIKORONGO-BWERA-24HRS'!K56,'11.8 BWERA-KIKORONGO'!K56)</f>
        <v>0.14285714285714285</v>
      </c>
      <c r="L56" s="49">
        <f>AVERAGE('5.8 KIKORONGO-BWERA'!L56,'6.8 KIKORONGO-BWERA'!L56,'7.8 KIKORONGO-BWERA'!L56,'9.8 KIKORONGO-BWERA'!L56,'8.8 KIKORONGO-BWERA-24hr'!L56,'10.8 KIKORONGO-BWERA-24HRS'!L56,'11.8 BWERA-KIKORONGO'!L56)</f>
        <v>1.4285714285714286</v>
      </c>
      <c r="M56" s="49">
        <f>AVERAGE('5.8 KIKORONGO-BWERA'!M56,'6.8 KIKORONGO-BWERA'!M56,'7.8 KIKORONGO-BWERA'!M56,'9.8 KIKORONGO-BWERA'!M56,'8.8 KIKORONGO-BWERA-24hr'!M56,'10.8 KIKORONGO-BWERA-24HRS'!M56,'11.8 BWERA-KIKORONGO'!M56)</f>
        <v>3.7142857142857144</v>
      </c>
      <c r="N56" s="49">
        <f>AVERAGE('5.8 KIKORONGO-BWERA'!N56,'6.8 KIKORONGO-BWERA'!N56,'7.8 KIKORONGO-BWERA'!N56,'9.8 KIKORONGO-BWERA'!N56,'8.8 KIKORONGO-BWERA-24hr'!N56,'10.8 KIKORONGO-BWERA-24HRS'!N56,'11.8 BWERA-KIKORONGO'!N56)</f>
        <v>0</v>
      </c>
      <c r="O56" s="15">
        <f t="shared" si="0"/>
        <v>10.857142857142858</v>
      </c>
      <c r="P56" s="15">
        <f t="shared" si="1"/>
        <v>14.571428571428573</v>
      </c>
      <c r="R56" s="8"/>
      <c r="T56"/>
    </row>
    <row r="57" spans="2:20" ht="23.1" customHeight="1" x14ac:dyDescent="0.25">
      <c r="B57" s="23" t="s">
        <v>84</v>
      </c>
      <c r="C57" s="49">
        <f>AVERAGE('5.8 KIKORONGO-BWERA'!C57,'6.8 KIKORONGO-BWERA'!C57,'7.8 KIKORONGO-BWERA'!C57,'9.8 KIKORONGO-BWERA'!C57,'8.8 KIKORONGO-BWERA-24hr'!C57,'10.8 KIKORONGO-BWERA-24HRS'!C57,'11.8 BWERA-KIKORONGO'!C57)</f>
        <v>2.4285714285714284</v>
      </c>
      <c r="D57" s="49">
        <f>AVERAGE('5.8 KIKORONGO-BWERA'!D57,'6.8 KIKORONGO-BWERA'!D57,'7.8 KIKORONGO-BWERA'!D57,'9.8 KIKORONGO-BWERA'!D57,'8.8 KIKORONGO-BWERA-24hr'!D57,'10.8 KIKORONGO-BWERA-24HRS'!D57,'11.8 BWERA-KIKORONGO'!D57)</f>
        <v>0</v>
      </c>
      <c r="E57" s="49">
        <f>AVERAGE('5.8 KIKORONGO-BWERA'!E57,'6.8 KIKORONGO-BWERA'!E57,'7.8 KIKORONGO-BWERA'!E57,'9.8 KIKORONGO-BWERA'!E57,'8.8 KIKORONGO-BWERA-24hr'!E57,'10.8 KIKORONGO-BWERA-24HRS'!E57,'11.8 BWERA-KIKORONGO'!E57)</f>
        <v>2.1428571428571428</v>
      </c>
      <c r="F57" s="49">
        <f>AVERAGE('5.8 KIKORONGO-BWERA'!F57,'6.8 KIKORONGO-BWERA'!F57,'7.8 KIKORONGO-BWERA'!F57,'9.8 KIKORONGO-BWERA'!F57,'8.8 KIKORONGO-BWERA-24hr'!F57,'10.8 KIKORONGO-BWERA-24HRS'!F57,'11.8 BWERA-KIKORONGO'!F57)</f>
        <v>1.2857142857142858</v>
      </c>
      <c r="G57" s="49">
        <f>AVERAGE('5.8 KIKORONGO-BWERA'!G57,'6.8 KIKORONGO-BWERA'!G57,'7.8 KIKORONGO-BWERA'!G57,'9.8 KIKORONGO-BWERA'!G57,'8.8 KIKORONGO-BWERA-24hr'!G57,'10.8 KIKORONGO-BWERA-24HRS'!G57,'11.8 BWERA-KIKORONGO'!G57)</f>
        <v>0.2857142857142857</v>
      </c>
      <c r="H57" s="49">
        <f>AVERAGE('5.8 KIKORONGO-BWERA'!H57,'6.8 KIKORONGO-BWERA'!H57,'7.8 KIKORONGO-BWERA'!H57,'9.8 KIKORONGO-BWERA'!H57,'8.8 KIKORONGO-BWERA-24hr'!H57,'10.8 KIKORONGO-BWERA-24HRS'!H57,'11.8 BWERA-KIKORONGO'!H57)</f>
        <v>0</v>
      </c>
      <c r="I57" s="49">
        <f>AVERAGE('5.8 KIKORONGO-BWERA'!I57,'6.8 KIKORONGO-BWERA'!I57,'7.8 KIKORONGO-BWERA'!I57,'9.8 KIKORONGO-BWERA'!I57,'8.8 KIKORONGO-BWERA-24hr'!I57,'10.8 KIKORONGO-BWERA-24HRS'!I57,'11.8 BWERA-KIKORONGO'!I57)</f>
        <v>1.8571428571428572</v>
      </c>
      <c r="J57" s="49">
        <f>AVERAGE('5.8 KIKORONGO-BWERA'!J57,'6.8 KIKORONGO-BWERA'!J57,'7.8 KIKORONGO-BWERA'!J57,'9.8 KIKORONGO-BWERA'!J57,'8.8 KIKORONGO-BWERA-24hr'!J57,'10.8 KIKORONGO-BWERA-24HRS'!J57,'11.8 BWERA-KIKORONGO'!J57)</f>
        <v>0.14285714285714285</v>
      </c>
      <c r="K57" s="49">
        <f>AVERAGE('5.8 KIKORONGO-BWERA'!K57,'6.8 KIKORONGO-BWERA'!K57,'7.8 KIKORONGO-BWERA'!K57,'9.8 KIKORONGO-BWERA'!K57,'8.8 KIKORONGO-BWERA-24hr'!K57,'10.8 KIKORONGO-BWERA-24HRS'!K57,'11.8 BWERA-KIKORONGO'!K57)</f>
        <v>0.14285714285714285</v>
      </c>
      <c r="L57" s="49">
        <f>AVERAGE('5.8 KIKORONGO-BWERA'!L57,'6.8 KIKORONGO-BWERA'!L57,'7.8 KIKORONGO-BWERA'!L57,'9.8 KIKORONGO-BWERA'!L57,'8.8 KIKORONGO-BWERA-24hr'!L57,'10.8 KIKORONGO-BWERA-24HRS'!L57,'11.8 BWERA-KIKORONGO'!L57)</f>
        <v>1.5714285714285714</v>
      </c>
      <c r="M57" s="49">
        <f>AVERAGE('5.8 KIKORONGO-BWERA'!M57,'6.8 KIKORONGO-BWERA'!M57,'7.8 KIKORONGO-BWERA'!M57,'9.8 KIKORONGO-BWERA'!M57,'8.8 KIKORONGO-BWERA-24hr'!M57,'10.8 KIKORONGO-BWERA-24HRS'!M57,'11.8 BWERA-KIKORONGO'!M57)</f>
        <v>1.5714285714285714</v>
      </c>
      <c r="N57" s="49">
        <f>AVERAGE('5.8 KIKORONGO-BWERA'!N57,'6.8 KIKORONGO-BWERA'!N57,'7.8 KIKORONGO-BWERA'!N57,'9.8 KIKORONGO-BWERA'!N57,'8.8 KIKORONGO-BWERA-24hr'!N57,'10.8 KIKORONGO-BWERA-24HRS'!N57,'11.8 BWERA-KIKORONGO'!N57)</f>
        <v>0</v>
      </c>
      <c r="O57" s="15">
        <f t="shared" si="0"/>
        <v>9.8571428571428559</v>
      </c>
      <c r="P57" s="15">
        <f t="shared" si="1"/>
        <v>11.428571428571427</v>
      </c>
      <c r="R57" s="8"/>
      <c r="T57"/>
    </row>
    <row r="58" spans="2:20" ht="23.1" customHeight="1" x14ac:dyDescent="0.25">
      <c r="B58" s="23" t="s">
        <v>99</v>
      </c>
      <c r="C58" s="49">
        <f>AVERAGE('8.8 KIKORONGO-BWERA-24hr'!C58,'10.8 KIKORONGO-BWERA-24HRS'!C58)</f>
        <v>4.5</v>
      </c>
      <c r="D58" s="49">
        <f>AVERAGE('8.8 KIKORONGO-BWERA-24hr'!D58,'10.8 KIKORONGO-BWERA-24HRS'!D58)</f>
        <v>0</v>
      </c>
      <c r="E58" s="49">
        <f>AVERAGE('8.8 KIKORONGO-BWERA-24hr'!E58,'10.8 KIKORONGO-BWERA-24HRS'!E58)</f>
        <v>5.5</v>
      </c>
      <c r="F58" s="49">
        <f>AVERAGE('8.8 KIKORONGO-BWERA-24hr'!F58,'10.8 KIKORONGO-BWERA-24HRS'!F58)</f>
        <v>5</v>
      </c>
      <c r="G58" s="49">
        <f>AVERAGE('8.8 KIKORONGO-BWERA-24hr'!G58,'10.8 KIKORONGO-BWERA-24HRS'!G58)</f>
        <v>0</v>
      </c>
      <c r="H58" s="49">
        <f>AVERAGE('8.8 KIKORONGO-BWERA-24hr'!H58,'10.8 KIKORONGO-BWERA-24HRS'!H58)</f>
        <v>1</v>
      </c>
      <c r="I58" s="49">
        <f>AVERAGE('8.8 KIKORONGO-BWERA-24hr'!I58,'10.8 KIKORONGO-BWERA-24HRS'!I58)</f>
        <v>1.5</v>
      </c>
      <c r="J58" s="49">
        <f>AVERAGE('8.8 KIKORONGO-BWERA-24hr'!J58,'10.8 KIKORONGO-BWERA-24HRS'!J58)</f>
        <v>0.5</v>
      </c>
      <c r="K58" s="49">
        <f>AVERAGE('8.8 KIKORONGO-BWERA-24hr'!K58,'10.8 KIKORONGO-BWERA-24HRS'!K58)</f>
        <v>0</v>
      </c>
      <c r="L58" s="49">
        <f>AVERAGE('8.8 KIKORONGO-BWERA-24hr'!L58,'10.8 KIKORONGO-BWERA-24HRS'!L58)</f>
        <v>2</v>
      </c>
      <c r="M58" s="49">
        <f>AVERAGE('8.8 KIKORONGO-BWERA-24hr'!M58,'10.8 KIKORONGO-BWERA-24HRS'!M58)</f>
        <v>4</v>
      </c>
      <c r="N58" s="49">
        <f>AVERAGE('8.8 KIKORONGO-BWERA-24hr'!N58,'10.8 KIKORONGO-BWERA-24HRS'!N58)</f>
        <v>0</v>
      </c>
      <c r="O58" s="15">
        <f t="shared" si="0"/>
        <v>20</v>
      </c>
      <c r="P58" s="15">
        <f t="shared" si="1"/>
        <v>24</v>
      </c>
      <c r="R58" s="8"/>
      <c r="T58"/>
    </row>
    <row r="59" spans="2:20" ht="23.1" customHeight="1" x14ac:dyDescent="0.25">
      <c r="B59" s="23" t="s">
        <v>100</v>
      </c>
      <c r="C59" s="49">
        <f>AVERAGE('8.8 KIKORONGO-BWERA-24hr'!C59,'10.8 KIKORONGO-BWERA-24HRS'!C59)</f>
        <v>5.5</v>
      </c>
      <c r="D59" s="49">
        <f>AVERAGE('8.8 KIKORONGO-BWERA-24hr'!D59,'10.8 KIKORONGO-BWERA-24HRS'!D59)</f>
        <v>0</v>
      </c>
      <c r="E59" s="49">
        <f>AVERAGE('8.8 KIKORONGO-BWERA-24hr'!E59,'10.8 KIKORONGO-BWERA-24HRS'!E59)</f>
        <v>0.5</v>
      </c>
      <c r="F59" s="49">
        <f>AVERAGE('8.8 KIKORONGO-BWERA-24hr'!F59,'10.8 KIKORONGO-BWERA-24HRS'!F59)</f>
        <v>1</v>
      </c>
      <c r="G59" s="49">
        <f>AVERAGE('8.8 KIKORONGO-BWERA-24hr'!G59,'10.8 KIKORONGO-BWERA-24HRS'!G59)</f>
        <v>0</v>
      </c>
      <c r="H59" s="49">
        <f>AVERAGE('8.8 KIKORONGO-BWERA-24hr'!H59,'10.8 KIKORONGO-BWERA-24HRS'!H59)</f>
        <v>0</v>
      </c>
      <c r="I59" s="49">
        <f>AVERAGE('8.8 KIKORONGO-BWERA-24hr'!I59,'10.8 KIKORONGO-BWERA-24HRS'!I59)</f>
        <v>0.5</v>
      </c>
      <c r="J59" s="49">
        <f>AVERAGE('8.8 KIKORONGO-BWERA-24hr'!J59,'10.8 KIKORONGO-BWERA-24HRS'!J59)</f>
        <v>0</v>
      </c>
      <c r="K59" s="49">
        <f>AVERAGE('8.8 KIKORONGO-BWERA-24hr'!K59,'10.8 KIKORONGO-BWERA-24HRS'!K59)</f>
        <v>0</v>
      </c>
      <c r="L59" s="49">
        <f>AVERAGE('8.8 KIKORONGO-BWERA-24hr'!L59,'10.8 KIKORONGO-BWERA-24HRS'!L59)</f>
        <v>1</v>
      </c>
      <c r="M59" s="49">
        <f>AVERAGE('8.8 KIKORONGO-BWERA-24hr'!M59,'10.8 KIKORONGO-BWERA-24HRS'!M59)</f>
        <v>4</v>
      </c>
      <c r="N59" s="49">
        <f>AVERAGE('8.8 KIKORONGO-BWERA-24hr'!N59,'10.8 KIKORONGO-BWERA-24HRS'!N59)</f>
        <v>0</v>
      </c>
      <c r="O59" s="15">
        <f t="shared" si="0"/>
        <v>8.5</v>
      </c>
      <c r="P59" s="15">
        <f t="shared" si="1"/>
        <v>12.5</v>
      </c>
      <c r="R59" s="8"/>
      <c r="T59"/>
    </row>
    <row r="60" spans="2:20" ht="23.1" customHeight="1" x14ac:dyDescent="0.25">
      <c r="B60" s="23" t="s">
        <v>101</v>
      </c>
      <c r="C60" s="49">
        <f>AVERAGE('8.8 KIKORONGO-BWERA-24hr'!C60,'10.8 KIKORONGO-BWERA-24HRS'!C60)</f>
        <v>4.5</v>
      </c>
      <c r="D60" s="49">
        <f>AVERAGE('8.8 KIKORONGO-BWERA-24hr'!D60,'10.8 KIKORONGO-BWERA-24HRS'!D60)</f>
        <v>0</v>
      </c>
      <c r="E60" s="49">
        <f>AVERAGE('8.8 KIKORONGO-BWERA-24hr'!E60,'10.8 KIKORONGO-BWERA-24HRS'!E60)</f>
        <v>0.5</v>
      </c>
      <c r="F60" s="49">
        <f>AVERAGE('8.8 KIKORONGO-BWERA-24hr'!F60,'10.8 KIKORONGO-BWERA-24HRS'!F60)</f>
        <v>1.5</v>
      </c>
      <c r="G60" s="49">
        <f>AVERAGE('8.8 KIKORONGO-BWERA-24hr'!G60,'10.8 KIKORONGO-BWERA-24HRS'!G60)</f>
        <v>0</v>
      </c>
      <c r="H60" s="49">
        <f>AVERAGE('8.8 KIKORONGO-BWERA-24hr'!H60,'10.8 KIKORONGO-BWERA-24HRS'!H60)</f>
        <v>0</v>
      </c>
      <c r="I60" s="49">
        <f>AVERAGE('8.8 KIKORONGO-BWERA-24hr'!I60,'10.8 KIKORONGO-BWERA-24HRS'!I60)</f>
        <v>1</v>
      </c>
      <c r="J60" s="49">
        <f>AVERAGE('8.8 KIKORONGO-BWERA-24hr'!J60,'10.8 KIKORONGO-BWERA-24HRS'!J60)</f>
        <v>0.5</v>
      </c>
      <c r="K60" s="49">
        <f>AVERAGE('8.8 KIKORONGO-BWERA-24hr'!K60,'10.8 KIKORONGO-BWERA-24HRS'!K60)</f>
        <v>0</v>
      </c>
      <c r="L60" s="49">
        <f>AVERAGE('8.8 KIKORONGO-BWERA-24hr'!L60,'10.8 KIKORONGO-BWERA-24HRS'!L60)</f>
        <v>1.5</v>
      </c>
      <c r="M60" s="49">
        <f>AVERAGE('8.8 KIKORONGO-BWERA-24hr'!M60,'10.8 KIKORONGO-BWERA-24HRS'!M60)</f>
        <v>3.5</v>
      </c>
      <c r="N60" s="49">
        <f>AVERAGE('8.8 KIKORONGO-BWERA-24hr'!N60,'10.8 KIKORONGO-BWERA-24HRS'!N60)</f>
        <v>0</v>
      </c>
      <c r="O60" s="15">
        <f t="shared" si="0"/>
        <v>9.5</v>
      </c>
      <c r="P60" s="15">
        <f t="shared" si="1"/>
        <v>13</v>
      </c>
      <c r="R60" s="8"/>
      <c r="T60"/>
    </row>
    <row r="61" spans="2:20" ht="23.1" customHeight="1" x14ac:dyDescent="0.25">
      <c r="B61" s="23" t="s">
        <v>102</v>
      </c>
      <c r="C61" s="49">
        <f>AVERAGE('8.8 KIKORONGO-BWERA-24hr'!C61,'10.8 KIKORONGO-BWERA-24HRS'!C61)</f>
        <v>5</v>
      </c>
      <c r="D61" s="49">
        <f>AVERAGE('8.8 KIKORONGO-BWERA-24hr'!D61,'10.8 KIKORONGO-BWERA-24HRS'!D61)</f>
        <v>0</v>
      </c>
      <c r="E61" s="49">
        <f>AVERAGE('8.8 KIKORONGO-BWERA-24hr'!E61,'10.8 KIKORONGO-BWERA-24HRS'!E61)</f>
        <v>1</v>
      </c>
      <c r="F61" s="49">
        <f>AVERAGE('8.8 KIKORONGO-BWERA-24hr'!F61,'10.8 KIKORONGO-BWERA-24HRS'!F61)</f>
        <v>2</v>
      </c>
      <c r="G61" s="49">
        <f>AVERAGE('8.8 KIKORONGO-BWERA-24hr'!G61,'10.8 KIKORONGO-BWERA-24HRS'!G61)</f>
        <v>0</v>
      </c>
      <c r="H61" s="49">
        <f>AVERAGE('8.8 KIKORONGO-BWERA-24hr'!H61,'10.8 KIKORONGO-BWERA-24HRS'!H61)</f>
        <v>0</v>
      </c>
      <c r="I61" s="49">
        <f>AVERAGE('8.8 KIKORONGO-BWERA-24hr'!I61,'10.8 KIKORONGO-BWERA-24HRS'!I61)</f>
        <v>1</v>
      </c>
      <c r="J61" s="49">
        <f>AVERAGE('8.8 KIKORONGO-BWERA-24hr'!J61,'10.8 KIKORONGO-BWERA-24HRS'!J61)</f>
        <v>0</v>
      </c>
      <c r="K61" s="49">
        <f>AVERAGE('8.8 KIKORONGO-BWERA-24hr'!K61,'10.8 KIKORONGO-BWERA-24HRS'!K61)</f>
        <v>0</v>
      </c>
      <c r="L61" s="49">
        <f>AVERAGE('8.8 KIKORONGO-BWERA-24hr'!L61,'10.8 KIKORONGO-BWERA-24HRS'!L61)</f>
        <v>1</v>
      </c>
      <c r="M61" s="49">
        <f>AVERAGE('8.8 KIKORONGO-BWERA-24hr'!M61,'10.8 KIKORONGO-BWERA-24HRS'!M61)</f>
        <v>1</v>
      </c>
      <c r="N61" s="49">
        <f>AVERAGE('8.8 KIKORONGO-BWERA-24hr'!N61,'10.8 KIKORONGO-BWERA-24HRS'!N61)</f>
        <v>0</v>
      </c>
      <c r="O61" s="15">
        <f t="shared" si="0"/>
        <v>10</v>
      </c>
      <c r="P61" s="15">
        <f t="shared" si="1"/>
        <v>11</v>
      </c>
      <c r="R61" s="8"/>
      <c r="T61"/>
    </row>
    <row r="62" spans="2:20" ht="23.1" customHeight="1" x14ac:dyDescent="0.25">
      <c r="B62" s="23" t="s">
        <v>107</v>
      </c>
      <c r="C62" s="49">
        <f>AVERAGE('8.8 KIKORONGO-BWERA-24hr'!C62,'10.8 KIKORONGO-BWERA-24HRS'!C62)</f>
        <v>3.5</v>
      </c>
      <c r="D62" s="49">
        <f>AVERAGE('8.8 KIKORONGO-BWERA-24hr'!D62,'10.8 KIKORONGO-BWERA-24HRS'!D62)</f>
        <v>0</v>
      </c>
      <c r="E62" s="49">
        <f>AVERAGE('8.8 KIKORONGO-BWERA-24hr'!E62,'10.8 KIKORONGO-BWERA-24HRS'!E62)</f>
        <v>1</v>
      </c>
      <c r="F62" s="49">
        <f>AVERAGE('8.8 KIKORONGO-BWERA-24hr'!F62,'10.8 KIKORONGO-BWERA-24HRS'!F62)</f>
        <v>2</v>
      </c>
      <c r="G62" s="49">
        <f>AVERAGE('8.8 KIKORONGO-BWERA-24hr'!G62,'10.8 KIKORONGO-BWERA-24HRS'!G62)</f>
        <v>0</v>
      </c>
      <c r="H62" s="49">
        <f>AVERAGE('8.8 KIKORONGO-BWERA-24hr'!H62,'10.8 KIKORONGO-BWERA-24HRS'!H62)</f>
        <v>0</v>
      </c>
      <c r="I62" s="49">
        <f>AVERAGE('8.8 KIKORONGO-BWERA-24hr'!I62,'10.8 KIKORONGO-BWERA-24HRS'!I62)</f>
        <v>0.5</v>
      </c>
      <c r="J62" s="49">
        <f>AVERAGE('8.8 KIKORONGO-BWERA-24hr'!J62,'10.8 KIKORONGO-BWERA-24HRS'!J62)</f>
        <v>0</v>
      </c>
      <c r="K62" s="49">
        <f>AVERAGE('8.8 KIKORONGO-BWERA-24hr'!K62,'10.8 KIKORONGO-BWERA-24HRS'!K62)</f>
        <v>0</v>
      </c>
      <c r="L62" s="49">
        <f>AVERAGE('8.8 KIKORONGO-BWERA-24hr'!L62,'10.8 KIKORONGO-BWERA-24HRS'!L62)</f>
        <v>2</v>
      </c>
      <c r="M62" s="49">
        <f>AVERAGE('8.8 KIKORONGO-BWERA-24hr'!M62,'10.8 KIKORONGO-BWERA-24HRS'!M62)</f>
        <v>2</v>
      </c>
      <c r="N62" s="49">
        <f>AVERAGE('8.8 KIKORONGO-BWERA-24hr'!N62,'10.8 KIKORONGO-BWERA-24HRS'!N62)</f>
        <v>0</v>
      </c>
      <c r="O62" s="15">
        <f t="shared" si="0"/>
        <v>9</v>
      </c>
      <c r="P62" s="15">
        <f t="shared" si="1"/>
        <v>11</v>
      </c>
      <c r="R62" s="8"/>
      <c r="T62"/>
    </row>
    <row r="63" spans="2:20" ht="23.1" customHeight="1" x14ac:dyDescent="0.25">
      <c r="B63" s="23" t="s">
        <v>108</v>
      </c>
      <c r="C63" s="49">
        <f>AVERAGE('8.8 KIKORONGO-BWERA-24hr'!C63,'10.8 KIKORONGO-BWERA-24HRS'!C63)</f>
        <v>4.5</v>
      </c>
      <c r="D63" s="49">
        <f>AVERAGE('8.8 KIKORONGO-BWERA-24hr'!D63,'10.8 KIKORONGO-BWERA-24HRS'!D63)</f>
        <v>0</v>
      </c>
      <c r="E63" s="49">
        <f>AVERAGE('8.8 KIKORONGO-BWERA-24hr'!E63,'10.8 KIKORONGO-BWERA-24HRS'!E63)</f>
        <v>0</v>
      </c>
      <c r="F63" s="49">
        <f>AVERAGE('8.8 KIKORONGO-BWERA-24hr'!F63,'10.8 KIKORONGO-BWERA-24HRS'!F63)</f>
        <v>3</v>
      </c>
      <c r="G63" s="49">
        <f>AVERAGE('8.8 KIKORONGO-BWERA-24hr'!G63,'10.8 KIKORONGO-BWERA-24HRS'!G63)</f>
        <v>0</v>
      </c>
      <c r="H63" s="49">
        <f>AVERAGE('8.8 KIKORONGO-BWERA-24hr'!H63,'10.8 KIKORONGO-BWERA-24HRS'!H63)</f>
        <v>0.5</v>
      </c>
      <c r="I63" s="49">
        <f>AVERAGE('8.8 KIKORONGO-BWERA-24hr'!I63,'10.8 KIKORONGO-BWERA-24HRS'!I63)</f>
        <v>0.5</v>
      </c>
      <c r="J63" s="49">
        <f>AVERAGE('8.8 KIKORONGO-BWERA-24hr'!J63,'10.8 KIKORONGO-BWERA-24HRS'!J63)</f>
        <v>0</v>
      </c>
      <c r="K63" s="49">
        <f>AVERAGE('8.8 KIKORONGO-BWERA-24hr'!K63,'10.8 KIKORONGO-BWERA-24HRS'!K63)</f>
        <v>0</v>
      </c>
      <c r="L63" s="49">
        <f>AVERAGE('8.8 KIKORONGO-BWERA-24hr'!L63,'10.8 KIKORONGO-BWERA-24HRS'!L63)</f>
        <v>0.5</v>
      </c>
      <c r="M63" s="49">
        <f>AVERAGE('8.8 KIKORONGO-BWERA-24hr'!M63,'10.8 KIKORONGO-BWERA-24HRS'!M63)</f>
        <v>2</v>
      </c>
      <c r="N63" s="49">
        <f>AVERAGE('8.8 KIKORONGO-BWERA-24hr'!N63,'10.8 KIKORONGO-BWERA-24HRS'!N63)</f>
        <v>0</v>
      </c>
      <c r="O63" s="15">
        <f t="shared" si="0"/>
        <v>9</v>
      </c>
      <c r="P63" s="15">
        <f t="shared" si="1"/>
        <v>11</v>
      </c>
      <c r="R63" s="8"/>
      <c r="T63"/>
    </row>
    <row r="64" spans="2:20" ht="23.1" customHeight="1" x14ac:dyDescent="0.25">
      <c r="B64" s="23" t="s">
        <v>109</v>
      </c>
      <c r="C64" s="49">
        <f>AVERAGE('8.8 KIKORONGO-BWERA-24hr'!C64,'10.8 KIKORONGO-BWERA-24HRS'!C64)</f>
        <v>2.5</v>
      </c>
      <c r="D64" s="49">
        <f>AVERAGE('8.8 KIKORONGO-BWERA-24hr'!D64,'10.8 KIKORONGO-BWERA-24HRS'!D64)</f>
        <v>0</v>
      </c>
      <c r="E64" s="49">
        <f>AVERAGE('8.8 KIKORONGO-BWERA-24hr'!E64,'10.8 KIKORONGO-BWERA-24HRS'!E64)</f>
        <v>1</v>
      </c>
      <c r="F64" s="49">
        <f>AVERAGE('8.8 KIKORONGO-BWERA-24hr'!F64,'10.8 KIKORONGO-BWERA-24HRS'!F64)</f>
        <v>1</v>
      </c>
      <c r="G64" s="49">
        <f>AVERAGE('8.8 KIKORONGO-BWERA-24hr'!G64,'10.8 KIKORONGO-BWERA-24HRS'!G64)</f>
        <v>0</v>
      </c>
      <c r="H64" s="49">
        <f>AVERAGE('8.8 KIKORONGO-BWERA-24hr'!H64,'10.8 KIKORONGO-BWERA-24HRS'!H64)</f>
        <v>0</v>
      </c>
      <c r="I64" s="49">
        <f>AVERAGE('8.8 KIKORONGO-BWERA-24hr'!I64,'10.8 KIKORONGO-BWERA-24HRS'!I64)</f>
        <v>1.5</v>
      </c>
      <c r="J64" s="49">
        <f>AVERAGE('8.8 KIKORONGO-BWERA-24hr'!J64,'10.8 KIKORONGO-BWERA-24HRS'!J64)</f>
        <v>0</v>
      </c>
      <c r="K64" s="49">
        <f>AVERAGE('8.8 KIKORONGO-BWERA-24hr'!K64,'10.8 KIKORONGO-BWERA-24HRS'!K64)</f>
        <v>0</v>
      </c>
      <c r="L64" s="49">
        <f>AVERAGE('8.8 KIKORONGO-BWERA-24hr'!L64,'10.8 KIKORONGO-BWERA-24HRS'!L64)</f>
        <v>1</v>
      </c>
      <c r="M64" s="49">
        <f>AVERAGE('8.8 KIKORONGO-BWERA-24hr'!M64,'10.8 KIKORONGO-BWERA-24HRS'!M64)</f>
        <v>0</v>
      </c>
      <c r="N64" s="49">
        <f>AVERAGE('8.8 KIKORONGO-BWERA-24hr'!N64,'10.8 KIKORONGO-BWERA-24HRS'!N64)</f>
        <v>0</v>
      </c>
      <c r="O64" s="15">
        <f t="shared" si="0"/>
        <v>7</v>
      </c>
      <c r="P64" s="15">
        <f t="shared" si="1"/>
        <v>7</v>
      </c>
      <c r="R64" s="8"/>
      <c r="T64"/>
    </row>
    <row r="65" spans="2:20" ht="23.1" customHeight="1" x14ac:dyDescent="0.25">
      <c r="B65" s="23" t="s">
        <v>158</v>
      </c>
      <c r="C65" s="49">
        <f>AVERAGE('8.8 KIKORONGO-BWERA-24hr'!C65,'10.8 KIKORONGO-BWERA-24HRS'!C65)</f>
        <v>2.5</v>
      </c>
      <c r="D65" s="49">
        <f>AVERAGE('8.8 KIKORONGO-BWERA-24hr'!D65,'10.8 KIKORONGO-BWERA-24HRS'!D65)</f>
        <v>0</v>
      </c>
      <c r="E65" s="49">
        <f>AVERAGE('8.8 KIKORONGO-BWERA-24hr'!E65,'10.8 KIKORONGO-BWERA-24HRS'!E65)</f>
        <v>0</v>
      </c>
      <c r="F65" s="49">
        <f>AVERAGE('8.8 KIKORONGO-BWERA-24hr'!F65,'10.8 KIKORONGO-BWERA-24HRS'!F65)</f>
        <v>0</v>
      </c>
      <c r="G65" s="49">
        <f>AVERAGE('8.8 KIKORONGO-BWERA-24hr'!G65,'10.8 KIKORONGO-BWERA-24HRS'!G65)</f>
        <v>0</v>
      </c>
      <c r="H65" s="49">
        <f>AVERAGE('8.8 KIKORONGO-BWERA-24hr'!H65,'10.8 KIKORONGO-BWERA-24HRS'!H65)</f>
        <v>0</v>
      </c>
      <c r="I65" s="49">
        <f>AVERAGE('8.8 KIKORONGO-BWERA-24hr'!I65,'10.8 KIKORONGO-BWERA-24HRS'!I65)</f>
        <v>0</v>
      </c>
      <c r="J65" s="49">
        <f>AVERAGE('8.8 KIKORONGO-BWERA-24hr'!J65,'10.8 KIKORONGO-BWERA-24HRS'!J65)</f>
        <v>0</v>
      </c>
      <c r="K65" s="49">
        <f>AVERAGE('8.8 KIKORONGO-BWERA-24hr'!K65,'10.8 KIKORONGO-BWERA-24HRS'!K65)</f>
        <v>0</v>
      </c>
      <c r="L65" s="49">
        <f>AVERAGE('8.8 KIKORONGO-BWERA-24hr'!L65,'10.8 KIKORONGO-BWERA-24HRS'!L65)</f>
        <v>0.5</v>
      </c>
      <c r="M65" s="49">
        <f>AVERAGE('8.8 KIKORONGO-BWERA-24hr'!M65,'10.8 KIKORONGO-BWERA-24HRS'!M65)</f>
        <v>0.5</v>
      </c>
      <c r="N65" s="49">
        <f>AVERAGE('8.8 KIKORONGO-BWERA-24hr'!N65,'10.8 KIKORONGO-BWERA-24HRS'!N65)</f>
        <v>0</v>
      </c>
      <c r="O65" s="15">
        <f t="shared" si="0"/>
        <v>3</v>
      </c>
      <c r="P65" s="15">
        <f t="shared" si="1"/>
        <v>3.5</v>
      </c>
      <c r="R65" s="8"/>
      <c r="T65"/>
    </row>
    <row r="66" spans="2:20" ht="23.1" customHeight="1" x14ac:dyDescent="0.25">
      <c r="B66" s="23" t="s">
        <v>103</v>
      </c>
      <c r="C66" s="49">
        <f>AVERAGE('8.8 KIKORONGO-BWERA-24hr'!C66,'10.8 KIKORONGO-BWERA-24HRS'!C66)</f>
        <v>2</v>
      </c>
      <c r="D66" s="49">
        <f>AVERAGE('8.8 KIKORONGO-BWERA-24hr'!D66,'10.8 KIKORONGO-BWERA-24HRS'!D66)</f>
        <v>0</v>
      </c>
      <c r="E66" s="49">
        <f>AVERAGE('8.8 KIKORONGO-BWERA-24hr'!E66,'10.8 KIKORONGO-BWERA-24HRS'!E66)</f>
        <v>0.5</v>
      </c>
      <c r="F66" s="49">
        <f>AVERAGE('8.8 KIKORONGO-BWERA-24hr'!F66,'10.8 KIKORONGO-BWERA-24HRS'!F66)</f>
        <v>1</v>
      </c>
      <c r="G66" s="49">
        <f>AVERAGE('8.8 KIKORONGO-BWERA-24hr'!G66,'10.8 KIKORONGO-BWERA-24HRS'!G66)</f>
        <v>0</v>
      </c>
      <c r="H66" s="49">
        <f>AVERAGE('8.8 KIKORONGO-BWERA-24hr'!H66,'10.8 KIKORONGO-BWERA-24HRS'!H66)</f>
        <v>1</v>
      </c>
      <c r="I66" s="49">
        <f>AVERAGE('8.8 KIKORONGO-BWERA-24hr'!I66,'10.8 KIKORONGO-BWERA-24HRS'!I66)</f>
        <v>2.5</v>
      </c>
      <c r="J66" s="49">
        <f>AVERAGE('8.8 KIKORONGO-BWERA-24hr'!J66,'10.8 KIKORONGO-BWERA-24HRS'!J66)</f>
        <v>0</v>
      </c>
      <c r="K66" s="49">
        <f>AVERAGE('8.8 KIKORONGO-BWERA-24hr'!K66,'10.8 KIKORONGO-BWERA-24HRS'!K66)</f>
        <v>0</v>
      </c>
      <c r="L66" s="49">
        <f>AVERAGE('8.8 KIKORONGO-BWERA-24hr'!L66,'10.8 KIKORONGO-BWERA-24HRS'!L66)</f>
        <v>0</v>
      </c>
      <c r="M66" s="49">
        <f>AVERAGE('8.8 KIKORONGO-BWERA-24hr'!M66,'10.8 KIKORONGO-BWERA-24HRS'!M66)</f>
        <v>0.5</v>
      </c>
      <c r="N66" s="49">
        <f>AVERAGE('8.8 KIKORONGO-BWERA-24hr'!N66,'10.8 KIKORONGO-BWERA-24HRS'!N66)</f>
        <v>0</v>
      </c>
      <c r="O66" s="15">
        <f t="shared" si="0"/>
        <v>7</v>
      </c>
      <c r="P66" s="15">
        <f t="shared" si="1"/>
        <v>7.5</v>
      </c>
      <c r="R66" s="8"/>
      <c r="T66"/>
    </row>
    <row r="67" spans="2:20" ht="23.1" customHeight="1" x14ac:dyDescent="0.25">
      <c r="B67" s="23" t="s">
        <v>104</v>
      </c>
      <c r="C67" s="49">
        <f>AVERAGE('8.8 KIKORONGO-BWERA-24hr'!C67,'10.8 KIKORONGO-BWERA-24HRS'!C67)</f>
        <v>2</v>
      </c>
      <c r="D67" s="49">
        <f>AVERAGE('8.8 KIKORONGO-BWERA-24hr'!D67,'10.8 KIKORONGO-BWERA-24HRS'!D67)</f>
        <v>0</v>
      </c>
      <c r="E67" s="49">
        <f>AVERAGE('8.8 KIKORONGO-BWERA-24hr'!E67,'10.8 KIKORONGO-BWERA-24HRS'!E67)</f>
        <v>1</v>
      </c>
      <c r="F67" s="49">
        <f>AVERAGE('8.8 KIKORONGO-BWERA-24hr'!F67,'10.8 KIKORONGO-BWERA-24HRS'!F67)</f>
        <v>2</v>
      </c>
      <c r="G67" s="49">
        <f>AVERAGE('8.8 KIKORONGO-BWERA-24hr'!G67,'10.8 KIKORONGO-BWERA-24HRS'!G67)</f>
        <v>0</v>
      </c>
      <c r="H67" s="49">
        <f>AVERAGE('8.8 KIKORONGO-BWERA-24hr'!H67,'10.8 KIKORONGO-BWERA-24HRS'!H67)</f>
        <v>0.5</v>
      </c>
      <c r="I67" s="49">
        <f>AVERAGE('8.8 KIKORONGO-BWERA-24hr'!I67,'10.8 KIKORONGO-BWERA-24HRS'!I67)</f>
        <v>1</v>
      </c>
      <c r="J67" s="49">
        <f>AVERAGE('8.8 KIKORONGO-BWERA-24hr'!J67,'10.8 KIKORONGO-BWERA-24HRS'!J67)</f>
        <v>0</v>
      </c>
      <c r="K67" s="49">
        <f>AVERAGE('8.8 KIKORONGO-BWERA-24hr'!K67,'10.8 KIKORONGO-BWERA-24HRS'!K67)</f>
        <v>0</v>
      </c>
      <c r="L67" s="49">
        <f>AVERAGE('8.8 KIKORONGO-BWERA-24hr'!L67,'10.8 KIKORONGO-BWERA-24HRS'!L67)</f>
        <v>0</v>
      </c>
      <c r="M67" s="49">
        <f>AVERAGE('8.8 KIKORONGO-BWERA-24hr'!M67,'10.8 KIKORONGO-BWERA-24HRS'!M67)</f>
        <v>1</v>
      </c>
      <c r="N67" s="49">
        <f>AVERAGE('8.8 KIKORONGO-BWERA-24hr'!N67,'10.8 KIKORONGO-BWERA-24HRS'!N67)</f>
        <v>0</v>
      </c>
      <c r="O67" s="15">
        <f t="shared" si="0"/>
        <v>6.5</v>
      </c>
      <c r="P67" s="15">
        <f t="shared" si="1"/>
        <v>7.5</v>
      </c>
      <c r="R67" s="8"/>
      <c r="T67"/>
    </row>
    <row r="68" spans="2:20" ht="23.1" customHeight="1" x14ac:dyDescent="0.25">
      <c r="B68" s="23" t="s">
        <v>105</v>
      </c>
      <c r="C68" s="49">
        <f>AVERAGE('8.8 KIKORONGO-BWERA-24hr'!C68,'10.8 KIKORONGO-BWERA-24HRS'!C68)</f>
        <v>1.5</v>
      </c>
      <c r="D68" s="49">
        <f>AVERAGE('8.8 KIKORONGO-BWERA-24hr'!D68,'10.8 KIKORONGO-BWERA-24HRS'!D68)</f>
        <v>0</v>
      </c>
      <c r="E68" s="49">
        <f>AVERAGE('8.8 KIKORONGO-BWERA-24hr'!E68,'10.8 KIKORONGO-BWERA-24HRS'!E68)</f>
        <v>0.5</v>
      </c>
      <c r="F68" s="49">
        <f>AVERAGE('8.8 KIKORONGO-BWERA-24hr'!F68,'10.8 KIKORONGO-BWERA-24HRS'!F68)</f>
        <v>1</v>
      </c>
      <c r="G68" s="49">
        <f>AVERAGE('8.8 KIKORONGO-BWERA-24hr'!G68,'10.8 KIKORONGO-BWERA-24HRS'!G68)</f>
        <v>0</v>
      </c>
      <c r="H68" s="49">
        <f>AVERAGE('8.8 KIKORONGO-BWERA-24hr'!H68,'10.8 KIKORONGO-BWERA-24HRS'!H68)</f>
        <v>0</v>
      </c>
      <c r="I68" s="49">
        <f>AVERAGE('8.8 KIKORONGO-BWERA-24hr'!I68,'10.8 KIKORONGO-BWERA-24HRS'!I68)</f>
        <v>1</v>
      </c>
      <c r="J68" s="49">
        <f>AVERAGE('8.8 KIKORONGO-BWERA-24hr'!J68,'10.8 KIKORONGO-BWERA-24HRS'!J68)</f>
        <v>0</v>
      </c>
      <c r="K68" s="49">
        <f>AVERAGE('8.8 KIKORONGO-BWERA-24hr'!K68,'10.8 KIKORONGO-BWERA-24HRS'!K68)</f>
        <v>0</v>
      </c>
      <c r="L68" s="49">
        <f>AVERAGE('8.8 KIKORONGO-BWERA-24hr'!L68,'10.8 KIKORONGO-BWERA-24HRS'!L68)</f>
        <v>0.5</v>
      </c>
      <c r="M68" s="49">
        <f>AVERAGE('8.8 KIKORONGO-BWERA-24hr'!M68,'10.8 KIKORONGO-BWERA-24HRS'!M68)</f>
        <v>0.5</v>
      </c>
      <c r="N68" s="49">
        <f>AVERAGE('8.8 KIKORONGO-BWERA-24hr'!N68,'10.8 KIKORONGO-BWERA-24HRS'!N68)</f>
        <v>0</v>
      </c>
      <c r="O68" s="15">
        <f t="shared" si="0"/>
        <v>4.5</v>
      </c>
      <c r="P68" s="15">
        <f t="shared" si="1"/>
        <v>5</v>
      </c>
      <c r="R68" s="8"/>
      <c r="T68"/>
    </row>
    <row r="69" spans="2:20" ht="23.1" customHeight="1" x14ac:dyDescent="0.25">
      <c r="B69" s="23" t="s">
        <v>106</v>
      </c>
      <c r="C69" s="49">
        <f>AVERAGE('8.8 KIKORONGO-BWERA-24hr'!C69,'10.8 KIKORONGO-BWERA-24HRS'!C69)</f>
        <v>0</v>
      </c>
      <c r="D69" s="49">
        <f>AVERAGE('8.8 KIKORONGO-BWERA-24hr'!D69,'10.8 KIKORONGO-BWERA-24HRS'!D69)</f>
        <v>0</v>
      </c>
      <c r="E69" s="49">
        <f>AVERAGE('8.8 KIKORONGO-BWERA-24hr'!E69,'10.8 KIKORONGO-BWERA-24HRS'!E69)</f>
        <v>0.5</v>
      </c>
      <c r="F69" s="49">
        <f>AVERAGE('8.8 KIKORONGO-BWERA-24hr'!F69,'10.8 KIKORONGO-BWERA-24HRS'!F69)</f>
        <v>3</v>
      </c>
      <c r="G69" s="49">
        <f>AVERAGE('8.8 KIKORONGO-BWERA-24hr'!G69,'10.8 KIKORONGO-BWERA-24HRS'!G69)</f>
        <v>0</v>
      </c>
      <c r="H69" s="49">
        <f>AVERAGE('8.8 KIKORONGO-BWERA-24hr'!H69,'10.8 KIKORONGO-BWERA-24HRS'!H69)</f>
        <v>0</v>
      </c>
      <c r="I69" s="49">
        <f>AVERAGE('8.8 KIKORONGO-BWERA-24hr'!I69,'10.8 KIKORONGO-BWERA-24HRS'!I69)</f>
        <v>1.5</v>
      </c>
      <c r="J69" s="49">
        <f>AVERAGE('8.8 KIKORONGO-BWERA-24hr'!J69,'10.8 KIKORONGO-BWERA-24HRS'!J69)</f>
        <v>0</v>
      </c>
      <c r="K69" s="49">
        <f>AVERAGE('8.8 KIKORONGO-BWERA-24hr'!K69,'10.8 KIKORONGO-BWERA-24HRS'!K69)</f>
        <v>0</v>
      </c>
      <c r="L69" s="49">
        <f>AVERAGE('8.8 KIKORONGO-BWERA-24hr'!L69,'10.8 KIKORONGO-BWERA-24HRS'!L69)</f>
        <v>0.5</v>
      </c>
      <c r="M69" s="49">
        <f>AVERAGE('8.8 KIKORONGO-BWERA-24hr'!M69,'10.8 KIKORONGO-BWERA-24HRS'!M69)</f>
        <v>0.5</v>
      </c>
      <c r="N69" s="49">
        <f>AVERAGE('8.8 KIKORONGO-BWERA-24hr'!N69,'10.8 KIKORONGO-BWERA-24HRS'!N69)</f>
        <v>0</v>
      </c>
      <c r="O69" s="15">
        <f t="shared" si="0"/>
        <v>5.5</v>
      </c>
      <c r="P69" s="15">
        <f t="shared" si="1"/>
        <v>6</v>
      </c>
      <c r="R69" s="8"/>
      <c r="T69"/>
    </row>
    <row r="70" spans="2:20" ht="23.1" customHeight="1" x14ac:dyDescent="0.25">
      <c r="B70" s="23" t="s">
        <v>110</v>
      </c>
      <c r="C70" s="49">
        <f>AVERAGE('8.8 KIKORONGO-BWERA-24hr'!C70,'10.8 KIKORONGO-BWERA-24HRS'!C70)</f>
        <v>0.5</v>
      </c>
      <c r="D70" s="49">
        <f>AVERAGE('8.8 KIKORONGO-BWERA-24hr'!D70,'10.8 KIKORONGO-BWERA-24HRS'!D70)</f>
        <v>0</v>
      </c>
      <c r="E70" s="49">
        <f>AVERAGE('8.8 KIKORONGO-BWERA-24hr'!E70,'10.8 KIKORONGO-BWERA-24HRS'!E70)</f>
        <v>0</v>
      </c>
      <c r="F70" s="49">
        <f>AVERAGE('8.8 KIKORONGO-BWERA-24hr'!F70,'10.8 KIKORONGO-BWERA-24HRS'!F70)</f>
        <v>1</v>
      </c>
      <c r="G70" s="49">
        <f>AVERAGE('8.8 KIKORONGO-BWERA-24hr'!G70,'10.8 KIKORONGO-BWERA-24HRS'!G70)</f>
        <v>0</v>
      </c>
      <c r="H70" s="49">
        <f>AVERAGE('8.8 KIKORONGO-BWERA-24hr'!H70,'10.8 KIKORONGO-BWERA-24HRS'!H70)</f>
        <v>0</v>
      </c>
      <c r="I70" s="49">
        <f>AVERAGE('8.8 KIKORONGO-BWERA-24hr'!I70,'10.8 KIKORONGO-BWERA-24HRS'!I70)</f>
        <v>1.5</v>
      </c>
      <c r="J70" s="49">
        <f>AVERAGE('8.8 KIKORONGO-BWERA-24hr'!J70,'10.8 KIKORONGO-BWERA-24HRS'!J70)</f>
        <v>0</v>
      </c>
      <c r="K70" s="49">
        <f>AVERAGE('8.8 KIKORONGO-BWERA-24hr'!K70,'10.8 KIKORONGO-BWERA-24HRS'!K70)</f>
        <v>0</v>
      </c>
      <c r="L70" s="49">
        <f>AVERAGE('8.8 KIKORONGO-BWERA-24hr'!L70,'10.8 KIKORONGO-BWERA-24HRS'!L70)</f>
        <v>1.5</v>
      </c>
      <c r="M70" s="49">
        <f>AVERAGE('8.8 KIKORONGO-BWERA-24hr'!M70,'10.8 KIKORONGO-BWERA-24HRS'!M70)</f>
        <v>0.5</v>
      </c>
      <c r="N70" s="49">
        <f>AVERAGE('8.8 KIKORONGO-BWERA-24hr'!N70,'10.8 KIKORONGO-BWERA-24HRS'!N70)</f>
        <v>0</v>
      </c>
      <c r="O70" s="15">
        <f t="shared" si="0"/>
        <v>4.5</v>
      </c>
      <c r="P70" s="15">
        <f t="shared" si="1"/>
        <v>5</v>
      </c>
      <c r="R70" s="8"/>
      <c r="T70"/>
    </row>
    <row r="71" spans="2:20" ht="23.1" customHeight="1" x14ac:dyDescent="0.25">
      <c r="B71" s="23" t="s">
        <v>111</v>
      </c>
      <c r="C71" s="49">
        <f>AVERAGE('8.8 KIKORONGO-BWERA-24hr'!C71,'10.8 KIKORONGO-BWERA-24HRS'!C71)</f>
        <v>3</v>
      </c>
      <c r="D71" s="49">
        <f>AVERAGE('8.8 KIKORONGO-BWERA-24hr'!D71,'10.8 KIKORONGO-BWERA-24HRS'!D71)</f>
        <v>0</v>
      </c>
      <c r="E71" s="49">
        <f>AVERAGE('8.8 KIKORONGO-BWERA-24hr'!E71,'10.8 KIKORONGO-BWERA-24HRS'!E71)</f>
        <v>0</v>
      </c>
      <c r="F71" s="49">
        <f>AVERAGE('8.8 KIKORONGO-BWERA-24hr'!F71,'10.8 KIKORONGO-BWERA-24HRS'!F71)</f>
        <v>1</v>
      </c>
      <c r="G71" s="49">
        <f>AVERAGE('8.8 KIKORONGO-BWERA-24hr'!G71,'10.8 KIKORONGO-BWERA-24HRS'!G71)</f>
        <v>0</v>
      </c>
      <c r="H71" s="49">
        <f>AVERAGE('8.8 KIKORONGO-BWERA-24hr'!H71,'10.8 KIKORONGO-BWERA-24HRS'!H71)</f>
        <v>0.5</v>
      </c>
      <c r="I71" s="49">
        <f>AVERAGE('8.8 KIKORONGO-BWERA-24hr'!I71,'10.8 KIKORONGO-BWERA-24HRS'!I71)</f>
        <v>0.5</v>
      </c>
      <c r="J71" s="49">
        <f>AVERAGE('8.8 KIKORONGO-BWERA-24hr'!J71,'10.8 KIKORONGO-BWERA-24HRS'!J71)</f>
        <v>0</v>
      </c>
      <c r="K71" s="49">
        <f>AVERAGE('8.8 KIKORONGO-BWERA-24hr'!K71,'10.8 KIKORONGO-BWERA-24HRS'!K71)</f>
        <v>0</v>
      </c>
      <c r="L71" s="49">
        <f>AVERAGE('8.8 KIKORONGO-BWERA-24hr'!L71,'10.8 KIKORONGO-BWERA-24HRS'!L71)</f>
        <v>1</v>
      </c>
      <c r="M71" s="49">
        <f>AVERAGE('8.8 KIKORONGO-BWERA-24hr'!M71,'10.8 KIKORONGO-BWERA-24HRS'!M71)</f>
        <v>0.5</v>
      </c>
      <c r="N71" s="49">
        <f>AVERAGE('8.8 KIKORONGO-BWERA-24hr'!N71,'10.8 KIKORONGO-BWERA-24HRS'!N71)</f>
        <v>0</v>
      </c>
      <c r="O71" s="15">
        <f t="shared" si="0"/>
        <v>6</v>
      </c>
      <c r="P71" s="15">
        <f t="shared" si="1"/>
        <v>6.5</v>
      </c>
      <c r="R71" s="8"/>
      <c r="T71"/>
    </row>
    <row r="72" spans="2:20" ht="23.1" customHeight="1" x14ac:dyDescent="0.25">
      <c r="B72" s="23" t="s">
        <v>112</v>
      </c>
      <c r="C72" s="49">
        <f>AVERAGE('8.8 KIKORONGO-BWERA-24hr'!C72,'10.8 KIKORONGO-BWERA-24HRS'!C72)</f>
        <v>1</v>
      </c>
      <c r="D72" s="49">
        <f>AVERAGE('8.8 KIKORONGO-BWERA-24hr'!D72,'10.8 KIKORONGO-BWERA-24HRS'!D72)</f>
        <v>0</v>
      </c>
      <c r="E72" s="49">
        <f>AVERAGE('8.8 KIKORONGO-BWERA-24hr'!E72,'10.8 KIKORONGO-BWERA-24HRS'!E72)</f>
        <v>0</v>
      </c>
      <c r="F72" s="49">
        <f>AVERAGE('8.8 KIKORONGO-BWERA-24hr'!F72,'10.8 KIKORONGO-BWERA-24HRS'!F72)</f>
        <v>1.5</v>
      </c>
      <c r="G72" s="49">
        <f>AVERAGE('8.8 KIKORONGO-BWERA-24hr'!G72,'10.8 KIKORONGO-BWERA-24HRS'!G72)</f>
        <v>0</v>
      </c>
      <c r="H72" s="49">
        <f>AVERAGE('8.8 KIKORONGO-BWERA-24hr'!H72,'10.8 KIKORONGO-BWERA-24HRS'!H72)</f>
        <v>0</v>
      </c>
      <c r="I72" s="49">
        <f>AVERAGE('8.8 KIKORONGO-BWERA-24hr'!I72,'10.8 KIKORONGO-BWERA-24HRS'!I72)</f>
        <v>1.5</v>
      </c>
      <c r="J72" s="49">
        <f>AVERAGE('8.8 KIKORONGO-BWERA-24hr'!J72,'10.8 KIKORONGO-BWERA-24HRS'!J72)</f>
        <v>0</v>
      </c>
      <c r="K72" s="49">
        <f>AVERAGE('8.8 KIKORONGO-BWERA-24hr'!K72,'10.8 KIKORONGO-BWERA-24HRS'!K72)</f>
        <v>0</v>
      </c>
      <c r="L72" s="49">
        <f>AVERAGE('8.8 KIKORONGO-BWERA-24hr'!L72,'10.8 KIKORONGO-BWERA-24HRS'!L72)</f>
        <v>0</v>
      </c>
      <c r="M72" s="49">
        <f>AVERAGE('8.8 KIKORONGO-BWERA-24hr'!M72,'10.8 KIKORONGO-BWERA-24HRS'!M72)</f>
        <v>0.5</v>
      </c>
      <c r="N72" s="49">
        <f>AVERAGE('8.8 KIKORONGO-BWERA-24hr'!N72,'10.8 KIKORONGO-BWERA-24HRS'!N72)</f>
        <v>0</v>
      </c>
      <c r="O72" s="15">
        <f t="shared" si="0"/>
        <v>4</v>
      </c>
      <c r="P72" s="15">
        <f t="shared" si="1"/>
        <v>4.5</v>
      </c>
      <c r="R72" s="8"/>
      <c r="T72"/>
    </row>
    <row r="73" spans="2:20" ht="23.1" customHeight="1" x14ac:dyDescent="0.25">
      <c r="B73" s="23" t="s">
        <v>113</v>
      </c>
      <c r="C73" s="49">
        <f>AVERAGE('8.8 KIKORONGO-BWERA-24hr'!C73,'10.8 KIKORONGO-BWERA-24HRS'!C73)</f>
        <v>1</v>
      </c>
      <c r="D73" s="49">
        <f>AVERAGE('8.8 KIKORONGO-BWERA-24hr'!D73,'10.8 KIKORONGO-BWERA-24HRS'!D73)</f>
        <v>0</v>
      </c>
      <c r="E73" s="49">
        <f>AVERAGE('8.8 KIKORONGO-BWERA-24hr'!E73,'10.8 KIKORONGO-BWERA-24HRS'!E73)</f>
        <v>0</v>
      </c>
      <c r="F73" s="49">
        <f>AVERAGE('8.8 KIKORONGO-BWERA-24hr'!F73,'10.8 KIKORONGO-BWERA-24HRS'!F73)</f>
        <v>0.5</v>
      </c>
      <c r="G73" s="49">
        <f>AVERAGE('8.8 KIKORONGO-BWERA-24hr'!G73,'10.8 KIKORONGO-BWERA-24HRS'!G73)</f>
        <v>0</v>
      </c>
      <c r="H73" s="49">
        <f>AVERAGE('8.8 KIKORONGO-BWERA-24hr'!H73,'10.8 KIKORONGO-BWERA-24HRS'!H73)</f>
        <v>0</v>
      </c>
      <c r="I73" s="49">
        <f>AVERAGE('8.8 KIKORONGO-BWERA-24hr'!I73,'10.8 KIKORONGO-BWERA-24HRS'!I73)</f>
        <v>1</v>
      </c>
      <c r="J73" s="49">
        <f>AVERAGE('8.8 KIKORONGO-BWERA-24hr'!J73,'10.8 KIKORONGO-BWERA-24HRS'!J73)</f>
        <v>0</v>
      </c>
      <c r="K73" s="49">
        <f>AVERAGE('8.8 KIKORONGO-BWERA-24hr'!K73,'10.8 KIKORONGO-BWERA-24HRS'!K73)</f>
        <v>0</v>
      </c>
      <c r="L73" s="49">
        <f>AVERAGE('8.8 KIKORONGO-BWERA-24hr'!L73,'10.8 KIKORONGO-BWERA-24HRS'!L73)</f>
        <v>0</v>
      </c>
      <c r="M73" s="49">
        <f>AVERAGE('8.8 KIKORONGO-BWERA-24hr'!M73,'10.8 KIKORONGO-BWERA-24HRS'!M73)</f>
        <v>0</v>
      </c>
      <c r="N73" s="49">
        <f>AVERAGE('8.8 KIKORONGO-BWERA-24hr'!N73,'10.8 KIKORONGO-BWERA-24HRS'!N73)</f>
        <v>0</v>
      </c>
      <c r="O73" s="15">
        <f t="shared" si="0"/>
        <v>2.5</v>
      </c>
      <c r="P73" s="15">
        <f t="shared" si="1"/>
        <v>2.5</v>
      </c>
      <c r="R73" s="8"/>
      <c r="T73"/>
    </row>
    <row r="74" spans="2:20" ht="23.1" customHeight="1" x14ac:dyDescent="0.25">
      <c r="B74" s="23" t="s">
        <v>114</v>
      </c>
      <c r="C74" s="49">
        <f>AVERAGE('8.8 KIKORONGO-BWERA-24hr'!C74,'10.8 KIKORONGO-BWERA-24HRS'!C74)</f>
        <v>1</v>
      </c>
      <c r="D74" s="49">
        <f>AVERAGE('8.8 KIKORONGO-BWERA-24hr'!D74,'10.8 KIKORONGO-BWERA-24HRS'!D74)</f>
        <v>0</v>
      </c>
      <c r="E74" s="49">
        <f>AVERAGE('8.8 KIKORONGO-BWERA-24hr'!E74,'10.8 KIKORONGO-BWERA-24HRS'!E74)</f>
        <v>0</v>
      </c>
      <c r="F74" s="49">
        <f>AVERAGE('8.8 KIKORONGO-BWERA-24hr'!F74,'10.8 KIKORONGO-BWERA-24HRS'!F74)</f>
        <v>1</v>
      </c>
      <c r="G74" s="49">
        <f>AVERAGE('8.8 KIKORONGO-BWERA-24hr'!G74,'10.8 KIKORONGO-BWERA-24HRS'!G74)</f>
        <v>0</v>
      </c>
      <c r="H74" s="49">
        <f>AVERAGE('8.8 KIKORONGO-BWERA-24hr'!H74,'10.8 KIKORONGO-BWERA-24HRS'!H74)</f>
        <v>1</v>
      </c>
      <c r="I74" s="49">
        <f>AVERAGE('8.8 KIKORONGO-BWERA-24hr'!I74,'10.8 KIKORONGO-BWERA-24HRS'!I74)</f>
        <v>0</v>
      </c>
      <c r="J74" s="49">
        <f>AVERAGE('8.8 KIKORONGO-BWERA-24hr'!J74,'10.8 KIKORONGO-BWERA-24HRS'!J74)</f>
        <v>0</v>
      </c>
      <c r="K74" s="49">
        <f>AVERAGE('8.8 KIKORONGO-BWERA-24hr'!K74,'10.8 KIKORONGO-BWERA-24HRS'!K74)</f>
        <v>0</v>
      </c>
      <c r="L74" s="49">
        <f>AVERAGE('8.8 KIKORONGO-BWERA-24hr'!L74,'10.8 KIKORONGO-BWERA-24HRS'!L74)</f>
        <v>1</v>
      </c>
      <c r="M74" s="49">
        <f>AVERAGE('8.8 KIKORONGO-BWERA-24hr'!M74,'10.8 KIKORONGO-BWERA-24HRS'!M74)</f>
        <v>0</v>
      </c>
      <c r="N74" s="49">
        <f>AVERAGE('8.8 KIKORONGO-BWERA-24hr'!N74,'10.8 KIKORONGO-BWERA-24HRS'!N74)</f>
        <v>0</v>
      </c>
      <c r="O74" s="15">
        <f t="shared" ref="O74:O105" si="35">SUM(C74:L74,N74)</f>
        <v>4</v>
      </c>
      <c r="P74" s="15">
        <f t="shared" ref="P74:P105" si="36">SUM(C74:N74)</f>
        <v>4</v>
      </c>
      <c r="R74" s="8"/>
      <c r="T74"/>
    </row>
    <row r="75" spans="2:20" ht="23.1" customHeight="1" x14ac:dyDescent="0.25">
      <c r="B75" s="23" t="s">
        <v>115</v>
      </c>
      <c r="C75" s="49">
        <f>AVERAGE('8.8 KIKORONGO-BWERA-24hr'!C75,'10.8 KIKORONGO-BWERA-24HRS'!C75)</f>
        <v>0</v>
      </c>
      <c r="D75" s="49">
        <f>AVERAGE('8.8 KIKORONGO-BWERA-24hr'!D75,'10.8 KIKORONGO-BWERA-24HRS'!D75)</f>
        <v>0</v>
      </c>
      <c r="E75" s="49">
        <f>AVERAGE('8.8 KIKORONGO-BWERA-24hr'!E75,'10.8 KIKORONGO-BWERA-24HRS'!E75)</f>
        <v>0.5</v>
      </c>
      <c r="F75" s="49">
        <f>AVERAGE('8.8 KIKORONGO-BWERA-24hr'!F75,'10.8 KIKORONGO-BWERA-24HRS'!F75)</f>
        <v>1</v>
      </c>
      <c r="G75" s="49">
        <f>AVERAGE('8.8 KIKORONGO-BWERA-24hr'!G75,'10.8 KIKORONGO-BWERA-24HRS'!G75)</f>
        <v>0</v>
      </c>
      <c r="H75" s="49">
        <f>AVERAGE('8.8 KIKORONGO-BWERA-24hr'!H75,'10.8 KIKORONGO-BWERA-24HRS'!H75)</f>
        <v>0.5</v>
      </c>
      <c r="I75" s="49">
        <f>AVERAGE('8.8 KIKORONGO-BWERA-24hr'!I75,'10.8 KIKORONGO-BWERA-24HRS'!I75)</f>
        <v>0</v>
      </c>
      <c r="J75" s="49">
        <f>AVERAGE('8.8 KIKORONGO-BWERA-24hr'!J75,'10.8 KIKORONGO-BWERA-24HRS'!J75)</f>
        <v>0</v>
      </c>
      <c r="K75" s="49">
        <f>AVERAGE('8.8 KIKORONGO-BWERA-24hr'!K75,'10.8 KIKORONGO-BWERA-24HRS'!K75)</f>
        <v>0</v>
      </c>
      <c r="L75" s="49">
        <f>AVERAGE('8.8 KIKORONGO-BWERA-24hr'!L75,'10.8 KIKORONGO-BWERA-24HRS'!L75)</f>
        <v>0</v>
      </c>
      <c r="M75" s="49">
        <f>AVERAGE('8.8 KIKORONGO-BWERA-24hr'!M75,'10.8 KIKORONGO-BWERA-24HRS'!M75)</f>
        <v>1.5</v>
      </c>
      <c r="N75" s="49">
        <f>AVERAGE('8.8 KIKORONGO-BWERA-24hr'!N75,'10.8 KIKORONGO-BWERA-24HRS'!N75)</f>
        <v>0</v>
      </c>
      <c r="O75" s="15">
        <f t="shared" si="35"/>
        <v>2</v>
      </c>
      <c r="P75" s="15">
        <f t="shared" si="36"/>
        <v>3.5</v>
      </c>
      <c r="R75" s="8"/>
      <c r="T75"/>
    </row>
    <row r="76" spans="2:20" ht="23.1" customHeight="1" x14ac:dyDescent="0.25">
      <c r="B76" s="23" t="s">
        <v>116</v>
      </c>
      <c r="C76" s="49">
        <f>AVERAGE('8.8 KIKORONGO-BWERA-24hr'!C76,'10.8 KIKORONGO-BWERA-24HRS'!C76)</f>
        <v>1</v>
      </c>
      <c r="D76" s="49">
        <f>AVERAGE('8.8 KIKORONGO-BWERA-24hr'!D76,'10.8 KIKORONGO-BWERA-24HRS'!D76)</f>
        <v>0</v>
      </c>
      <c r="E76" s="49">
        <f>AVERAGE('8.8 KIKORONGO-BWERA-24hr'!E76,'10.8 KIKORONGO-BWERA-24HRS'!E76)</f>
        <v>0</v>
      </c>
      <c r="F76" s="49">
        <f>AVERAGE('8.8 KIKORONGO-BWERA-24hr'!F76,'10.8 KIKORONGO-BWERA-24HRS'!F76)</f>
        <v>1.5</v>
      </c>
      <c r="G76" s="49">
        <f>AVERAGE('8.8 KIKORONGO-BWERA-24hr'!G76,'10.8 KIKORONGO-BWERA-24HRS'!G76)</f>
        <v>0</v>
      </c>
      <c r="H76" s="49">
        <f>AVERAGE('8.8 KIKORONGO-BWERA-24hr'!H76,'10.8 KIKORONGO-BWERA-24HRS'!H76)</f>
        <v>1</v>
      </c>
      <c r="I76" s="49">
        <f>AVERAGE('8.8 KIKORONGO-BWERA-24hr'!I76,'10.8 KIKORONGO-BWERA-24HRS'!I76)</f>
        <v>0</v>
      </c>
      <c r="J76" s="49">
        <f>AVERAGE('8.8 KIKORONGO-BWERA-24hr'!J76,'10.8 KIKORONGO-BWERA-24HRS'!J76)</f>
        <v>0</v>
      </c>
      <c r="K76" s="49">
        <f>AVERAGE('8.8 KIKORONGO-BWERA-24hr'!K76,'10.8 KIKORONGO-BWERA-24HRS'!K76)</f>
        <v>0</v>
      </c>
      <c r="L76" s="49">
        <f>AVERAGE('8.8 KIKORONGO-BWERA-24hr'!L76,'10.8 KIKORONGO-BWERA-24HRS'!L76)</f>
        <v>0</v>
      </c>
      <c r="M76" s="49">
        <f>AVERAGE('8.8 KIKORONGO-BWERA-24hr'!M76,'10.8 KIKORONGO-BWERA-24HRS'!M76)</f>
        <v>0</v>
      </c>
      <c r="N76" s="49">
        <f>AVERAGE('8.8 KIKORONGO-BWERA-24hr'!N76,'10.8 KIKORONGO-BWERA-24HRS'!N76)</f>
        <v>0</v>
      </c>
      <c r="O76" s="15">
        <f t="shared" si="35"/>
        <v>3.5</v>
      </c>
      <c r="P76" s="15">
        <f t="shared" si="36"/>
        <v>3.5</v>
      </c>
      <c r="R76" s="8"/>
      <c r="T76"/>
    </row>
    <row r="77" spans="2:20" ht="23.1" customHeight="1" x14ac:dyDescent="0.25">
      <c r="B77" s="23" t="s">
        <v>117</v>
      </c>
      <c r="C77" s="49">
        <f>AVERAGE('8.8 KIKORONGO-BWERA-24hr'!C77,'10.8 KIKORONGO-BWERA-24HRS'!C77)</f>
        <v>0</v>
      </c>
      <c r="D77" s="49">
        <f>AVERAGE('8.8 KIKORONGO-BWERA-24hr'!D77,'10.8 KIKORONGO-BWERA-24HRS'!D77)</f>
        <v>0</v>
      </c>
      <c r="E77" s="49">
        <f>AVERAGE('8.8 KIKORONGO-BWERA-24hr'!E77,'10.8 KIKORONGO-BWERA-24HRS'!E77)</f>
        <v>0</v>
      </c>
      <c r="F77" s="49">
        <f>AVERAGE('8.8 KIKORONGO-BWERA-24hr'!F77,'10.8 KIKORONGO-BWERA-24HRS'!F77)</f>
        <v>0.5</v>
      </c>
      <c r="G77" s="49">
        <f>AVERAGE('8.8 KIKORONGO-BWERA-24hr'!G77,'10.8 KIKORONGO-BWERA-24HRS'!G77)</f>
        <v>0</v>
      </c>
      <c r="H77" s="49">
        <f>AVERAGE('8.8 KIKORONGO-BWERA-24hr'!H77,'10.8 KIKORONGO-BWERA-24HRS'!H77)</f>
        <v>0.5</v>
      </c>
      <c r="I77" s="49">
        <f>AVERAGE('8.8 KIKORONGO-BWERA-24hr'!I77,'10.8 KIKORONGO-BWERA-24HRS'!I77)</f>
        <v>0</v>
      </c>
      <c r="J77" s="49">
        <f>AVERAGE('8.8 KIKORONGO-BWERA-24hr'!J77,'10.8 KIKORONGO-BWERA-24HRS'!J77)</f>
        <v>0</v>
      </c>
      <c r="K77" s="49">
        <f>AVERAGE('8.8 KIKORONGO-BWERA-24hr'!K77,'10.8 KIKORONGO-BWERA-24HRS'!K77)</f>
        <v>0</v>
      </c>
      <c r="L77" s="49">
        <f>AVERAGE('8.8 KIKORONGO-BWERA-24hr'!L77,'10.8 KIKORONGO-BWERA-24HRS'!L77)</f>
        <v>1</v>
      </c>
      <c r="M77" s="49">
        <f>AVERAGE('8.8 KIKORONGO-BWERA-24hr'!M77,'10.8 KIKORONGO-BWERA-24HRS'!M77)</f>
        <v>0</v>
      </c>
      <c r="N77" s="49">
        <f>AVERAGE('8.8 KIKORONGO-BWERA-24hr'!N77,'10.8 KIKORONGO-BWERA-24HRS'!N77)</f>
        <v>0</v>
      </c>
      <c r="O77" s="15">
        <f t="shared" si="35"/>
        <v>2</v>
      </c>
      <c r="P77" s="15">
        <f t="shared" si="36"/>
        <v>2</v>
      </c>
      <c r="R77" s="8"/>
      <c r="T77"/>
    </row>
    <row r="78" spans="2:20" ht="23.1" customHeight="1" x14ac:dyDescent="0.25">
      <c r="B78" s="24" t="s">
        <v>118</v>
      </c>
      <c r="C78" s="49">
        <f>AVERAGE('8.8 KIKORONGO-BWERA-24hr'!C78,'10.8 KIKORONGO-BWERA-24HRS'!C78)</f>
        <v>1.5</v>
      </c>
      <c r="D78" s="49">
        <f>AVERAGE('8.8 KIKORONGO-BWERA-24hr'!D78,'10.8 KIKORONGO-BWERA-24HRS'!D78)</f>
        <v>0</v>
      </c>
      <c r="E78" s="49">
        <f>AVERAGE('8.8 KIKORONGO-BWERA-24hr'!E78,'10.8 KIKORONGO-BWERA-24HRS'!E78)</f>
        <v>0.5</v>
      </c>
      <c r="F78" s="49">
        <f>AVERAGE('8.8 KIKORONGO-BWERA-24hr'!F78,'10.8 KIKORONGO-BWERA-24HRS'!F78)</f>
        <v>0.5</v>
      </c>
      <c r="G78" s="49">
        <f>AVERAGE('8.8 KIKORONGO-BWERA-24hr'!G78,'10.8 KIKORONGO-BWERA-24HRS'!G78)</f>
        <v>0</v>
      </c>
      <c r="H78" s="49">
        <f>AVERAGE('8.8 KIKORONGO-BWERA-24hr'!H78,'10.8 KIKORONGO-BWERA-24HRS'!H78)</f>
        <v>0</v>
      </c>
      <c r="I78" s="49">
        <f>AVERAGE('8.8 KIKORONGO-BWERA-24hr'!I78,'10.8 KIKORONGO-BWERA-24HRS'!I78)</f>
        <v>0</v>
      </c>
      <c r="J78" s="49">
        <f>AVERAGE('8.8 KIKORONGO-BWERA-24hr'!J78,'10.8 KIKORONGO-BWERA-24HRS'!J78)</f>
        <v>0</v>
      </c>
      <c r="K78" s="49">
        <f>AVERAGE('8.8 KIKORONGO-BWERA-24hr'!K78,'10.8 KIKORONGO-BWERA-24HRS'!K78)</f>
        <v>0</v>
      </c>
      <c r="L78" s="49">
        <f>AVERAGE('8.8 KIKORONGO-BWERA-24hr'!L78,'10.8 KIKORONGO-BWERA-24HRS'!L78)</f>
        <v>0.5</v>
      </c>
      <c r="M78" s="49">
        <f>AVERAGE('8.8 KIKORONGO-BWERA-24hr'!M78,'10.8 KIKORONGO-BWERA-24HRS'!M78)</f>
        <v>0</v>
      </c>
      <c r="N78" s="49">
        <f>AVERAGE('8.8 KIKORONGO-BWERA-24hr'!N78,'10.8 KIKORONGO-BWERA-24HRS'!N78)</f>
        <v>0</v>
      </c>
      <c r="O78" s="15">
        <f t="shared" si="35"/>
        <v>3</v>
      </c>
      <c r="P78" s="15">
        <f t="shared" si="36"/>
        <v>3</v>
      </c>
      <c r="R78" s="8"/>
      <c r="T78"/>
    </row>
    <row r="79" spans="2:20" ht="23.1" customHeight="1" x14ac:dyDescent="0.25">
      <c r="B79" s="23" t="s">
        <v>119</v>
      </c>
      <c r="C79" s="49">
        <f>AVERAGE('8.8 KIKORONGO-BWERA-24hr'!C79,'10.8 KIKORONGO-BWERA-24HRS'!C79)</f>
        <v>1</v>
      </c>
      <c r="D79" s="49">
        <f>AVERAGE('8.8 KIKORONGO-BWERA-24hr'!D79,'10.8 KIKORONGO-BWERA-24HRS'!D79)</f>
        <v>0</v>
      </c>
      <c r="E79" s="49">
        <f>AVERAGE('8.8 KIKORONGO-BWERA-24hr'!E79,'10.8 KIKORONGO-BWERA-24HRS'!E79)</f>
        <v>0</v>
      </c>
      <c r="F79" s="49">
        <f>AVERAGE('8.8 KIKORONGO-BWERA-24hr'!F79,'10.8 KIKORONGO-BWERA-24HRS'!F79)</f>
        <v>1</v>
      </c>
      <c r="G79" s="49">
        <f>AVERAGE('8.8 KIKORONGO-BWERA-24hr'!G79,'10.8 KIKORONGO-BWERA-24HRS'!G79)</f>
        <v>0</v>
      </c>
      <c r="H79" s="49">
        <f>AVERAGE('8.8 KIKORONGO-BWERA-24hr'!H79,'10.8 KIKORONGO-BWERA-24HRS'!H79)</f>
        <v>0</v>
      </c>
      <c r="I79" s="49">
        <f>AVERAGE('8.8 KIKORONGO-BWERA-24hr'!I79,'10.8 KIKORONGO-BWERA-24HRS'!I79)</f>
        <v>0.5</v>
      </c>
      <c r="J79" s="49">
        <f>AVERAGE('8.8 KIKORONGO-BWERA-24hr'!J79,'10.8 KIKORONGO-BWERA-24HRS'!J79)</f>
        <v>0</v>
      </c>
      <c r="K79" s="49">
        <f>AVERAGE('8.8 KIKORONGO-BWERA-24hr'!K79,'10.8 KIKORONGO-BWERA-24HRS'!K79)</f>
        <v>0</v>
      </c>
      <c r="L79" s="49">
        <f>AVERAGE('8.8 KIKORONGO-BWERA-24hr'!L79,'10.8 KIKORONGO-BWERA-24HRS'!L79)</f>
        <v>0</v>
      </c>
      <c r="M79" s="49">
        <f>AVERAGE('8.8 KIKORONGO-BWERA-24hr'!M79,'10.8 KIKORONGO-BWERA-24HRS'!M79)</f>
        <v>1.5</v>
      </c>
      <c r="N79" s="49">
        <f>AVERAGE('8.8 KIKORONGO-BWERA-24hr'!N79,'10.8 KIKORONGO-BWERA-24HRS'!N79)</f>
        <v>0</v>
      </c>
      <c r="O79" s="15">
        <f t="shared" si="35"/>
        <v>2.5</v>
      </c>
      <c r="P79" s="15">
        <f t="shared" si="36"/>
        <v>4</v>
      </c>
      <c r="R79" s="8"/>
      <c r="T79"/>
    </row>
    <row r="80" spans="2:20" ht="23.1" customHeight="1" x14ac:dyDescent="0.25">
      <c r="B80" s="25" t="s">
        <v>120</v>
      </c>
      <c r="C80" s="49">
        <f>AVERAGE('8.8 KIKORONGO-BWERA-24hr'!C80,'10.8 KIKORONGO-BWERA-24HRS'!C80)</f>
        <v>1.5</v>
      </c>
      <c r="D80" s="49">
        <f>AVERAGE('8.8 KIKORONGO-BWERA-24hr'!D80,'10.8 KIKORONGO-BWERA-24HRS'!D80)</f>
        <v>0</v>
      </c>
      <c r="E80" s="49">
        <f>AVERAGE('8.8 KIKORONGO-BWERA-24hr'!E80,'10.8 KIKORONGO-BWERA-24HRS'!E80)</f>
        <v>0</v>
      </c>
      <c r="F80" s="49">
        <f>AVERAGE('8.8 KIKORONGO-BWERA-24hr'!F80,'10.8 KIKORONGO-BWERA-24HRS'!F80)</f>
        <v>0</v>
      </c>
      <c r="G80" s="49">
        <f>AVERAGE('8.8 KIKORONGO-BWERA-24hr'!G80,'10.8 KIKORONGO-BWERA-24HRS'!G80)</f>
        <v>0</v>
      </c>
      <c r="H80" s="49">
        <f>AVERAGE('8.8 KIKORONGO-BWERA-24hr'!H80,'10.8 KIKORONGO-BWERA-24HRS'!H80)</f>
        <v>0</v>
      </c>
      <c r="I80" s="49">
        <f>AVERAGE('8.8 KIKORONGO-BWERA-24hr'!I80,'10.8 KIKORONGO-BWERA-24HRS'!I80)</f>
        <v>1</v>
      </c>
      <c r="J80" s="49">
        <f>AVERAGE('8.8 KIKORONGO-BWERA-24hr'!J80,'10.8 KIKORONGO-BWERA-24HRS'!J80)</f>
        <v>0</v>
      </c>
      <c r="K80" s="49">
        <f>AVERAGE('8.8 KIKORONGO-BWERA-24hr'!K80,'10.8 KIKORONGO-BWERA-24HRS'!K80)</f>
        <v>0</v>
      </c>
      <c r="L80" s="49">
        <f>AVERAGE('8.8 KIKORONGO-BWERA-24hr'!L80,'10.8 KIKORONGO-BWERA-24HRS'!L80)</f>
        <v>0</v>
      </c>
      <c r="M80" s="49">
        <f>AVERAGE('8.8 KIKORONGO-BWERA-24hr'!M80,'10.8 KIKORONGO-BWERA-24HRS'!M80)</f>
        <v>0.5</v>
      </c>
      <c r="N80" s="49">
        <f>AVERAGE('8.8 KIKORONGO-BWERA-24hr'!N80,'10.8 KIKORONGO-BWERA-24HRS'!N80)</f>
        <v>0</v>
      </c>
      <c r="O80" s="15">
        <f t="shared" si="35"/>
        <v>2.5</v>
      </c>
      <c r="P80" s="15">
        <f t="shared" si="36"/>
        <v>3</v>
      </c>
      <c r="R80" s="8"/>
      <c r="T80"/>
    </row>
    <row r="81" spans="2:20" ht="23.1" customHeight="1" x14ac:dyDescent="0.25">
      <c r="B81" s="23" t="s">
        <v>121</v>
      </c>
      <c r="C81" s="49">
        <f>AVERAGE('8.8 KIKORONGO-BWERA-24hr'!C81,'10.8 KIKORONGO-BWERA-24HRS'!C81)</f>
        <v>0</v>
      </c>
      <c r="D81" s="49">
        <f>AVERAGE('8.8 KIKORONGO-BWERA-24hr'!D81,'10.8 KIKORONGO-BWERA-24HRS'!D81)</f>
        <v>0</v>
      </c>
      <c r="E81" s="49">
        <f>AVERAGE('8.8 KIKORONGO-BWERA-24hr'!E81,'10.8 KIKORONGO-BWERA-24HRS'!E81)</f>
        <v>0</v>
      </c>
      <c r="F81" s="49">
        <f>AVERAGE('8.8 KIKORONGO-BWERA-24hr'!F81,'10.8 KIKORONGO-BWERA-24HRS'!F81)</f>
        <v>1</v>
      </c>
      <c r="G81" s="49">
        <f>AVERAGE('8.8 KIKORONGO-BWERA-24hr'!G81,'10.8 KIKORONGO-BWERA-24HRS'!G81)</f>
        <v>0</v>
      </c>
      <c r="H81" s="49">
        <f>AVERAGE('8.8 KIKORONGO-BWERA-24hr'!H81,'10.8 KIKORONGO-BWERA-24HRS'!H81)</f>
        <v>0.5</v>
      </c>
      <c r="I81" s="49">
        <f>AVERAGE('8.8 KIKORONGO-BWERA-24hr'!I81,'10.8 KIKORONGO-BWERA-24HRS'!I81)</f>
        <v>0</v>
      </c>
      <c r="J81" s="49">
        <f>AVERAGE('8.8 KIKORONGO-BWERA-24hr'!J81,'10.8 KIKORONGO-BWERA-24HRS'!J81)</f>
        <v>0</v>
      </c>
      <c r="K81" s="49">
        <f>AVERAGE('8.8 KIKORONGO-BWERA-24hr'!K81,'10.8 KIKORONGO-BWERA-24HRS'!K81)</f>
        <v>0</v>
      </c>
      <c r="L81" s="49">
        <f>AVERAGE('8.8 KIKORONGO-BWERA-24hr'!L81,'10.8 KIKORONGO-BWERA-24HRS'!L81)</f>
        <v>0.5</v>
      </c>
      <c r="M81" s="49">
        <f>AVERAGE('8.8 KIKORONGO-BWERA-24hr'!M81,'10.8 KIKORONGO-BWERA-24HRS'!M81)</f>
        <v>0</v>
      </c>
      <c r="N81" s="49">
        <f>AVERAGE('8.8 KIKORONGO-BWERA-24hr'!N81,'10.8 KIKORONGO-BWERA-24HRS'!N81)</f>
        <v>0</v>
      </c>
      <c r="O81" s="15">
        <f t="shared" si="35"/>
        <v>2</v>
      </c>
      <c r="P81" s="15">
        <f t="shared" si="36"/>
        <v>2</v>
      </c>
      <c r="R81" s="8"/>
      <c r="T81"/>
    </row>
    <row r="82" spans="2:20" ht="23.1" customHeight="1" x14ac:dyDescent="0.25">
      <c r="B82" s="24" t="s">
        <v>122</v>
      </c>
      <c r="C82" s="49">
        <f>AVERAGE('8.8 KIKORONGO-BWERA-24hr'!C82,'10.8 KIKORONGO-BWERA-24HRS'!C82)</f>
        <v>1.5</v>
      </c>
      <c r="D82" s="49">
        <f>AVERAGE('8.8 KIKORONGO-BWERA-24hr'!D82,'10.8 KIKORONGO-BWERA-24HRS'!D82)</f>
        <v>0</v>
      </c>
      <c r="E82" s="49">
        <f>AVERAGE('8.8 KIKORONGO-BWERA-24hr'!E82,'10.8 KIKORONGO-BWERA-24HRS'!E82)</f>
        <v>0.5</v>
      </c>
      <c r="F82" s="49">
        <f>AVERAGE('8.8 KIKORONGO-BWERA-24hr'!F82,'10.8 KIKORONGO-BWERA-24HRS'!F82)</f>
        <v>1</v>
      </c>
      <c r="G82" s="49">
        <f>AVERAGE('8.8 KIKORONGO-BWERA-24hr'!G82,'10.8 KIKORONGO-BWERA-24HRS'!G82)</f>
        <v>0</v>
      </c>
      <c r="H82" s="49">
        <f>AVERAGE('8.8 KIKORONGO-BWERA-24hr'!H82,'10.8 KIKORONGO-BWERA-24HRS'!H82)</f>
        <v>0</v>
      </c>
      <c r="I82" s="49">
        <f>AVERAGE('8.8 KIKORONGO-BWERA-24hr'!I82,'10.8 KIKORONGO-BWERA-24HRS'!I82)</f>
        <v>0</v>
      </c>
      <c r="J82" s="49">
        <f>AVERAGE('8.8 KIKORONGO-BWERA-24hr'!J82,'10.8 KIKORONGO-BWERA-24HRS'!J82)</f>
        <v>0</v>
      </c>
      <c r="K82" s="49">
        <f>AVERAGE('8.8 KIKORONGO-BWERA-24hr'!K82,'10.8 KIKORONGO-BWERA-24HRS'!K82)</f>
        <v>0</v>
      </c>
      <c r="L82" s="49">
        <f>AVERAGE('8.8 KIKORONGO-BWERA-24hr'!L82,'10.8 KIKORONGO-BWERA-24HRS'!L82)</f>
        <v>0.5</v>
      </c>
      <c r="M82" s="49">
        <f>AVERAGE('8.8 KIKORONGO-BWERA-24hr'!M82,'10.8 KIKORONGO-BWERA-24HRS'!M82)</f>
        <v>0.5</v>
      </c>
      <c r="N82" s="49">
        <f>AVERAGE('8.8 KIKORONGO-BWERA-24hr'!N82,'10.8 KIKORONGO-BWERA-24HRS'!N82)</f>
        <v>0</v>
      </c>
      <c r="O82" s="15">
        <f t="shared" si="35"/>
        <v>3.5</v>
      </c>
      <c r="P82" s="15">
        <f t="shared" si="36"/>
        <v>4</v>
      </c>
      <c r="R82" s="8"/>
      <c r="T82"/>
    </row>
    <row r="83" spans="2:20" ht="23.1" customHeight="1" x14ac:dyDescent="0.25">
      <c r="B83" s="23" t="s">
        <v>123</v>
      </c>
      <c r="C83" s="49">
        <f>AVERAGE('8.8 KIKORONGO-BWERA-24hr'!C83,'10.8 KIKORONGO-BWERA-24HRS'!C83)</f>
        <v>1</v>
      </c>
      <c r="D83" s="49">
        <f>AVERAGE('8.8 KIKORONGO-BWERA-24hr'!D83,'10.8 KIKORONGO-BWERA-24HRS'!D83)</f>
        <v>0</v>
      </c>
      <c r="E83" s="49">
        <f>AVERAGE('8.8 KIKORONGO-BWERA-24hr'!E83,'10.8 KIKORONGO-BWERA-24HRS'!E83)</f>
        <v>0</v>
      </c>
      <c r="F83" s="49">
        <f>AVERAGE('8.8 KIKORONGO-BWERA-24hr'!F83,'10.8 KIKORONGO-BWERA-24HRS'!F83)</f>
        <v>0</v>
      </c>
      <c r="G83" s="49">
        <f>AVERAGE('8.8 KIKORONGO-BWERA-24hr'!G83,'10.8 KIKORONGO-BWERA-24HRS'!G83)</f>
        <v>0</v>
      </c>
      <c r="H83" s="49">
        <f>AVERAGE('8.8 KIKORONGO-BWERA-24hr'!H83,'10.8 KIKORONGO-BWERA-24HRS'!H83)</f>
        <v>0</v>
      </c>
      <c r="I83" s="49">
        <f>AVERAGE('8.8 KIKORONGO-BWERA-24hr'!I83,'10.8 KIKORONGO-BWERA-24HRS'!I83)</f>
        <v>0</v>
      </c>
      <c r="J83" s="49">
        <f>AVERAGE('8.8 KIKORONGO-BWERA-24hr'!J83,'10.8 KIKORONGO-BWERA-24HRS'!J83)</f>
        <v>0</v>
      </c>
      <c r="K83" s="49">
        <f>AVERAGE('8.8 KIKORONGO-BWERA-24hr'!K83,'10.8 KIKORONGO-BWERA-24HRS'!K83)</f>
        <v>0</v>
      </c>
      <c r="L83" s="49">
        <f>AVERAGE('8.8 KIKORONGO-BWERA-24hr'!L83,'10.8 KIKORONGO-BWERA-24HRS'!L83)</f>
        <v>0</v>
      </c>
      <c r="M83" s="49">
        <f>AVERAGE('8.8 KIKORONGO-BWERA-24hr'!M83,'10.8 KIKORONGO-BWERA-24HRS'!M83)</f>
        <v>0</v>
      </c>
      <c r="N83" s="49">
        <f>AVERAGE('8.8 KIKORONGO-BWERA-24hr'!N83,'10.8 KIKORONGO-BWERA-24HRS'!N83)</f>
        <v>0</v>
      </c>
      <c r="O83" s="15">
        <f t="shared" si="35"/>
        <v>1</v>
      </c>
      <c r="P83" s="15">
        <f t="shared" si="36"/>
        <v>1</v>
      </c>
      <c r="R83" s="8"/>
      <c r="T83"/>
    </row>
    <row r="84" spans="2:20" ht="23.1" customHeight="1" x14ac:dyDescent="0.25">
      <c r="B84" s="25" t="s">
        <v>124</v>
      </c>
      <c r="C84" s="49">
        <f>AVERAGE('8.8 KIKORONGO-BWERA-24hr'!C84,'10.8 KIKORONGO-BWERA-24HRS'!C84)</f>
        <v>0</v>
      </c>
      <c r="D84" s="49">
        <f>AVERAGE('8.8 KIKORONGO-BWERA-24hr'!D84,'10.8 KIKORONGO-BWERA-24HRS'!D84)</f>
        <v>0</v>
      </c>
      <c r="E84" s="49">
        <f>AVERAGE('8.8 KIKORONGO-BWERA-24hr'!E84,'10.8 KIKORONGO-BWERA-24HRS'!E84)</f>
        <v>0</v>
      </c>
      <c r="F84" s="49">
        <f>AVERAGE('8.8 KIKORONGO-BWERA-24hr'!F84,'10.8 KIKORONGO-BWERA-24HRS'!F84)</f>
        <v>0.5</v>
      </c>
      <c r="G84" s="49">
        <f>AVERAGE('8.8 KIKORONGO-BWERA-24hr'!G84,'10.8 KIKORONGO-BWERA-24HRS'!G84)</f>
        <v>0</v>
      </c>
      <c r="H84" s="49">
        <f>AVERAGE('8.8 KIKORONGO-BWERA-24hr'!H84,'10.8 KIKORONGO-BWERA-24HRS'!H84)</f>
        <v>0</v>
      </c>
      <c r="I84" s="49">
        <f>AVERAGE('8.8 KIKORONGO-BWERA-24hr'!I84,'10.8 KIKORONGO-BWERA-24HRS'!I84)</f>
        <v>1</v>
      </c>
      <c r="J84" s="49">
        <f>AVERAGE('8.8 KIKORONGO-BWERA-24hr'!J84,'10.8 KIKORONGO-BWERA-24HRS'!J84)</f>
        <v>0</v>
      </c>
      <c r="K84" s="49">
        <f>AVERAGE('8.8 KIKORONGO-BWERA-24hr'!K84,'10.8 KIKORONGO-BWERA-24HRS'!K84)</f>
        <v>0</v>
      </c>
      <c r="L84" s="49">
        <f>AVERAGE('8.8 KIKORONGO-BWERA-24hr'!L84,'10.8 KIKORONGO-BWERA-24HRS'!L84)</f>
        <v>0</v>
      </c>
      <c r="M84" s="49">
        <f>AVERAGE('8.8 KIKORONGO-BWERA-24hr'!M84,'10.8 KIKORONGO-BWERA-24HRS'!M84)</f>
        <v>0</v>
      </c>
      <c r="N84" s="49">
        <f>AVERAGE('8.8 KIKORONGO-BWERA-24hr'!N84,'10.8 KIKORONGO-BWERA-24HRS'!N84)</f>
        <v>0</v>
      </c>
      <c r="O84" s="15">
        <f t="shared" si="35"/>
        <v>1.5</v>
      </c>
      <c r="P84" s="15">
        <f t="shared" si="36"/>
        <v>1.5</v>
      </c>
      <c r="R84" s="8"/>
      <c r="T84"/>
    </row>
    <row r="85" spans="2:20" ht="23.1" customHeight="1" x14ac:dyDescent="0.25">
      <c r="B85" s="23" t="s">
        <v>125</v>
      </c>
      <c r="C85" s="49">
        <f>AVERAGE('8.8 KIKORONGO-BWERA-24hr'!C85,'10.8 KIKORONGO-BWERA-24HRS'!C85)</f>
        <v>0</v>
      </c>
      <c r="D85" s="49">
        <f>AVERAGE('8.8 KIKORONGO-BWERA-24hr'!D85,'10.8 KIKORONGO-BWERA-24HRS'!D85)</f>
        <v>0</v>
      </c>
      <c r="E85" s="49">
        <f>AVERAGE('8.8 KIKORONGO-BWERA-24hr'!E85,'10.8 KIKORONGO-BWERA-24HRS'!E85)</f>
        <v>0</v>
      </c>
      <c r="F85" s="49">
        <f>AVERAGE('8.8 KIKORONGO-BWERA-24hr'!F85,'10.8 KIKORONGO-BWERA-24HRS'!F85)</f>
        <v>1.5</v>
      </c>
      <c r="G85" s="49">
        <f>AVERAGE('8.8 KIKORONGO-BWERA-24hr'!G85,'10.8 KIKORONGO-BWERA-24HRS'!G85)</f>
        <v>0</v>
      </c>
      <c r="H85" s="49">
        <f>AVERAGE('8.8 KIKORONGO-BWERA-24hr'!H85,'10.8 KIKORONGO-BWERA-24HRS'!H85)</f>
        <v>0</v>
      </c>
      <c r="I85" s="49">
        <f>AVERAGE('8.8 KIKORONGO-BWERA-24hr'!I85,'10.8 KIKORONGO-BWERA-24HRS'!I85)</f>
        <v>0</v>
      </c>
      <c r="J85" s="49">
        <f>AVERAGE('8.8 KIKORONGO-BWERA-24hr'!J85,'10.8 KIKORONGO-BWERA-24HRS'!J85)</f>
        <v>0</v>
      </c>
      <c r="K85" s="49">
        <f>AVERAGE('8.8 KIKORONGO-BWERA-24hr'!K85,'10.8 KIKORONGO-BWERA-24HRS'!K85)</f>
        <v>0</v>
      </c>
      <c r="L85" s="49">
        <f>AVERAGE('8.8 KIKORONGO-BWERA-24hr'!L85,'10.8 KIKORONGO-BWERA-24HRS'!L85)</f>
        <v>0</v>
      </c>
      <c r="M85" s="49">
        <f>AVERAGE('8.8 KIKORONGO-BWERA-24hr'!M85,'10.8 KIKORONGO-BWERA-24HRS'!M85)</f>
        <v>0</v>
      </c>
      <c r="N85" s="49">
        <f>AVERAGE('8.8 KIKORONGO-BWERA-24hr'!N85,'10.8 KIKORONGO-BWERA-24HRS'!N85)</f>
        <v>0</v>
      </c>
      <c r="O85" s="15">
        <f t="shared" si="35"/>
        <v>1.5</v>
      </c>
      <c r="P85" s="15">
        <f t="shared" si="36"/>
        <v>1.5</v>
      </c>
      <c r="R85" s="8"/>
      <c r="T85"/>
    </row>
    <row r="86" spans="2:20" ht="23.1" customHeight="1" x14ac:dyDescent="0.25">
      <c r="B86" s="24" t="s">
        <v>126</v>
      </c>
      <c r="C86" s="49">
        <f>AVERAGE('8.8 KIKORONGO-BWERA-24hr'!C86,'10.8 KIKORONGO-BWERA-24HRS'!C86)</f>
        <v>0</v>
      </c>
      <c r="D86" s="49">
        <f>AVERAGE('8.8 KIKORONGO-BWERA-24hr'!D86,'10.8 KIKORONGO-BWERA-24HRS'!D86)</f>
        <v>0</v>
      </c>
      <c r="E86" s="49">
        <f>AVERAGE('8.8 KIKORONGO-BWERA-24hr'!E86,'10.8 KIKORONGO-BWERA-24HRS'!E86)</f>
        <v>0</v>
      </c>
      <c r="F86" s="49">
        <f>AVERAGE('8.8 KIKORONGO-BWERA-24hr'!F86,'10.8 KIKORONGO-BWERA-24HRS'!F86)</f>
        <v>1.5</v>
      </c>
      <c r="G86" s="49">
        <f>AVERAGE('8.8 KIKORONGO-BWERA-24hr'!G86,'10.8 KIKORONGO-BWERA-24HRS'!G86)</f>
        <v>0</v>
      </c>
      <c r="H86" s="49">
        <f>AVERAGE('8.8 KIKORONGO-BWERA-24hr'!H86,'10.8 KIKORONGO-BWERA-24HRS'!H86)</f>
        <v>0</v>
      </c>
      <c r="I86" s="49">
        <f>AVERAGE('8.8 KIKORONGO-BWERA-24hr'!I86,'10.8 KIKORONGO-BWERA-24HRS'!I86)</f>
        <v>0</v>
      </c>
      <c r="J86" s="49">
        <f>AVERAGE('8.8 KIKORONGO-BWERA-24hr'!J86,'10.8 KIKORONGO-BWERA-24HRS'!J86)</f>
        <v>0</v>
      </c>
      <c r="K86" s="49">
        <f>AVERAGE('8.8 KIKORONGO-BWERA-24hr'!K86,'10.8 KIKORONGO-BWERA-24HRS'!K86)</f>
        <v>0</v>
      </c>
      <c r="L86" s="49">
        <f>AVERAGE('8.8 KIKORONGO-BWERA-24hr'!L86,'10.8 KIKORONGO-BWERA-24HRS'!L86)</f>
        <v>0</v>
      </c>
      <c r="M86" s="49">
        <f>AVERAGE('8.8 KIKORONGO-BWERA-24hr'!M86,'10.8 KIKORONGO-BWERA-24HRS'!M86)</f>
        <v>0</v>
      </c>
      <c r="N86" s="49">
        <f>AVERAGE('8.8 KIKORONGO-BWERA-24hr'!N86,'10.8 KIKORONGO-BWERA-24HRS'!N86)</f>
        <v>0</v>
      </c>
      <c r="O86" s="15">
        <f t="shared" si="35"/>
        <v>1.5</v>
      </c>
      <c r="P86" s="15">
        <f t="shared" si="36"/>
        <v>1.5</v>
      </c>
      <c r="R86" s="8"/>
      <c r="T86"/>
    </row>
    <row r="87" spans="2:20" ht="23.1" customHeight="1" x14ac:dyDescent="0.25">
      <c r="B87" s="23" t="s">
        <v>127</v>
      </c>
      <c r="C87" s="49">
        <f>AVERAGE('8.8 KIKORONGO-BWERA-24hr'!C87,'10.8 KIKORONGO-BWERA-24HRS'!C87)</f>
        <v>0</v>
      </c>
      <c r="D87" s="49">
        <f>AVERAGE('8.8 KIKORONGO-BWERA-24hr'!D87,'10.8 KIKORONGO-BWERA-24HRS'!D87)</f>
        <v>0</v>
      </c>
      <c r="E87" s="49">
        <f>AVERAGE('8.8 KIKORONGO-BWERA-24hr'!E87,'10.8 KIKORONGO-BWERA-24HRS'!E87)</f>
        <v>0</v>
      </c>
      <c r="F87" s="49">
        <f>AVERAGE('8.8 KIKORONGO-BWERA-24hr'!F87,'10.8 KIKORONGO-BWERA-24HRS'!F87)</f>
        <v>1.5</v>
      </c>
      <c r="G87" s="49">
        <f>AVERAGE('8.8 KIKORONGO-BWERA-24hr'!G87,'10.8 KIKORONGO-BWERA-24HRS'!G87)</f>
        <v>0</v>
      </c>
      <c r="H87" s="49">
        <f>AVERAGE('8.8 KIKORONGO-BWERA-24hr'!H87,'10.8 KIKORONGO-BWERA-24HRS'!H87)</f>
        <v>0</v>
      </c>
      <c r="I87" s="49">
        <f>AVERAGE('8.8 KIKORONGO-BWERA-24hr'!I87,'10.8 KIKORONGO-BWERA-24HRS'!I87)</f>
        <v>0.5</v>
      </c>
      <c r="J87" s="49">
        <f>AVERAGE('8.8 KIKORONGO-BWERA-24hr'!J87,'10.8 KIKORONGO-BWERA-24HRS'!J87)</f>
        <v>0</v>
      </c>
      <c r="K87" s="49">
        <f>AVERAGE('8.8 KIKORONGO-BWERA-24hr'!K87,'10.8 KIKORONGO-BWERA-24HRS'!K87)</f>
        <v>0</v>
      </c>
      <c r="L87" s="49">
        <f>AVERAGE('8.8 KIKORONGO-BWERA-24hr'!L87,'10.8 KIKORONGO-BWERA-24HRS'!L87)</f>
        <v>0</v>
      </c>
      <c r="M87" s="49">
        <f>AVERAGE('8.8 KIKORONGO-BWERA-24hr'!M87,'10.8 KIKORONGO-BWERA-24HRS'!M87)</f>
        <v>0</v>
      </c>
      <c r="N87" s="49">
        <f>AVERAGE('8.8 KIKORONGO-BWERA-24hr'!N87,'10.8 KIKORONGO-BWERA-24HRS'!N87)</f>
        <v>0</v>
      </c>
      <c r="O87" s="15">
        <f t="shared" si="35"/>
        <v>2</v>
      </c>
      <c r="P87" s="15">
        <f t="shared" si="36"/>
        <v>2</v>
      </c>
      <c r="R87" s="8"/>
      <c r="T87"/>
    </row>
    <row r="88" spans="2:20" ht="23.1" customHeight="1" x14ac:dyDescent="0.25">
      <c r="B88" s="25" t="s">
        <v>128</v>
      </c>
      <c r="C88" s="49">
        <f>AVERAGE('8.8 KIKORONGO-BWERA-24hr'!C88,'10.8 KIKORONGO-BWERA-24HRS'!C88)</f>
        <v>1</v>
      </c>
      <c r="D88" s="49">
        <f>AVERAGE('8.8 KIKORONGO-BWERA-24hr'!D88,'10.8 KIKORONGO-BWERA-24HRS'!D88)</f>
        <v>0</v>
      </c>
      <c r="E88" s="49">
        <f>AVERAGE('8.8 KIKORONGO-BWERA-24hr'!E88,'10.8 KIKORONGO-BWERA-24HRS'!E88)</f>
        <v>0.5</v>
      </c>
      <c r="F88" s="49">
        <f>AVERAGE('8.8 KIKORONGO-BWERA-24hr'!F88,'10.8 KIKORONGO-BWERA-24HRS'!F88)</f>
        <v>0.5</v>
      </c>
      <c r="G88" s="49">
        <f>AVERAGE('8.8 KIKORONGO-BWERA-24hr'!G88,'10.8 KIKORONGO-BWERA-24HRS'!G88)</f>
        <v>0</v>
      </c>
      <c r="H88" s="49">
        <f>AVERAGE('8.8 KIKORONGO-BWERA-24hr'!H88,'10.8 KIKORONGO-BWERA-24HRS'!H88)</f>
        <v>0</v>
      </c>
      <c r="I88" s="49">
        <f>AVERAGE('8.8 KIKORONGO-BWERA-24hr'!I88,'10.8 KIKORONGO-BWERA-24HRS'!I88)</f>
        <v>0</v>
      </c>
      <c r="J88" s="49">
        <f>AVERAGE('8.8 KIKORONGO-BWERA-24hr'!J88,'10.8 KIKORONGO-BWERA-24HRS'!J88)</f>
        <v>0</v>
      </c>
      <c r="K88" s="49">
        <f>AVERAGE('8.8 KIKORONGO-BWERA-24hr'!K88,'10.8 KIKORONGO-BWERA-24HRS'!K88)</f>
        <v>0</v>
      </c>
      <c r="L88" s="49">
        <f>AVERAGE('8.8 KIKORONGO-BWERA-24hr'!L88,'10.8 KIKORONGO-BWERA-24HRS'!L88)</f>
        <v>1</v>
      </c>
      <c r="M88" s="49">
        <f>AVERAGE('8.8 KIKORONGO-BWERA-24hr'!M88,'10.8 KIKORONGO-BWERA-24HRS'!M88)</f>
        <v>0</v>
      </c>
      <c r="N88" s="49">
        <f>AVERAGE('8.8 KIKORONGO-BWERA-24hr'!N88,'10.8 KIKORONGO-BWERA-24HRS'!N88)</f>
        <v>0</v>
      </c>
      <c r="O88" s="15">
        <f t="shared" si="35"/>
        <v>3</v>
      </c>
      <c r="P88" s="15">
        <f t="shared" si="36"/>
        <v>3</v>
      </c>
      <c r="R88" s="8"/>
      <c r="T88"/>
    </row>
    <row r="89" spans="2:20" ht="23.1" customHeight="1" x14ac:dyDescent="0.25">
      <c r="B89" s="23" t="s">
        <v>129</v>
      </c>
      <c r="C89" s="49">
        <f>AVERAGE('8.8 KIKORONGO-BWERA-24hr'!C89,'10.8 KIKORONGO-BWERA-24HRS'!C89)</f>
        <v>1</v>
      </c>
      <c r="D89" s="49">
        <f>AVERAGE('8.8 KIKORONGO-BWERA-24hr'!D89,'10.8 KIKORONGO-BWERA-24HRS'!D89)</f>
        <v>0</v>
      </c>
      <c r="E89" s="49">
        <f>AVERAGE('8.8 KIKORONGO-BWERA-24hr'!E89,'10.8 KIKORONGO-BWERA-24HRS'!E89)</f>
        <v>0</v>
      </c>
      <c r="F89" s="49">
        <f>AVERAGE('8.8 KIKORONGO-BWERA-24hr'!F89,'10.8 KIKORONGO-BWERA-24HRS'!F89)</f>
        <v>0.5</v>
      </c>
      <c r="G89" s="49">
        <f>AVERAGE('8.8 KIKORONGO-BWERA-24hr'!G89,'10.8 KIKORONGO-BWERA-24HRS'!G89)</f>
        <v>0</v>
      </c>
      <c r="H89" s="49">
        <f>AVERAGE('8.8 KIKORONGO-BWERA-24hr'!H89,'10.8 KIKORONGO-BWERA-24HRS'!H89)</f>
        <v>0</v>
      </c>
      <c r="I89" s="49">
        <f>AVERAGE('8.8 KIKORONGO-BWERA-24hr'!I89,'10.8 KIKORONGO-BWERA-24HRS'!I89)</f>
        <v>0</v>
      </c>
      <c r="J89" s="49">
        <f>AVERAGE('8.8 KIKORONGO-BWERA-24hr'!J89,'10.8 KIKORONGO-BWERA-24HRS'!J89)</f>
        <v>0</v>
      </c>
      <c r="K89" s="49">
        <f>AVERAGE('8.8 KIKORONGO-BWERA-24hr'!K89,'10.8 KIKORONGO-BWERA-24HRS'!K89)</f>
        <v>0</v>
      </c>
      <c r="L89" s="49">
        <f>AVERAGE('8.8 KIKORONGO-BWERA-24hr'!L89,'10.8 KIKORONGO-BWERA-24HRS'!L89)</f>
        <v>0</v>
      </c>
      <c r="M89" s="49">
        <f>AVERAGE('8.8 KIKORONGO-BWERA-24hr'!M89,'10.8 KIKORONGO-BWERA-24HRS'!M89)</f>
        <v>0</v>
      </c>
      <c r="N89" s="49">
        <f>AVERAGE('8.8 KIKORONGO-BWERA-24hr'!N89,'10.8 KIKORONGO-BWERA-24HRS'!N89)</f>
        <v>0</v>
      </c>
      <c r="O89" s="15">
        <f t="shared" si="35"/>
        <v>1.5</v>
      </c>
      <c r="P89" s="15">
        <f t="shared" si="36"/>
        <v>1.5</v>
      </c>
      <c r="R89" s="8"/>
      <c r="T89"/>
    </row>
    <row r="90" spans="2:20" ht="23.1" customHeight="1" x14ac:dyDescent="0.25">
      <c r="B90" s="24" t="s">
        <v>130</v>
      </c>
      <c r="C90" s="49">
        <f>AVERAGE('8.8 KIKORONGO-BWERA-24hr'!C90,'10.8 KIKORONGO-BWERA-24HRS'!C90)</f>
        <v>1.5</v>
      </c>
      <c r="D90" s="49">
        <f>AVERAGE('8.8 KIKORONGO-BWERA-24hr'!D90,'10.8 KIKORONGO-BWERA-24HRS'!D90)</f>
        <v>0</v>
      </c>
      <c r="E90" s="49">
        <f>AVERAGE('8.8 KIKORONGO-BWERA-24hr'!E90,'10.8 KIKORONGO-BWERA-24HRS'!E90)</f>
        <v>0.5</v>
      </c>
      <c r="F90" s="49">
        <f>AVERAGE('8.8 KIKORONGO-BWERA-24hr'!F90,'10.8 KIKORONGO-BWERA-24HRS'!F90)</f>
        <v>0.5</v>
      </c>
      <c r="G90" s="49">
        <f>AVERAGE('8.8 KIKORONGO-BWERA-24hr'!G90,'10.8 KIKORONGO-BWERA-24HRS'!G90)</f>
        <v>0</v>
      </c>
      <c r="H90" s="49">
        <f>AVERAGE('8.8 KIKORONGO-BWERA-24hr'!H90,'10.8 KIKORONGO-BWERA-24HRS'!H90)</f>
        <v>0</v>
      </c>
      <c r="I90" s="49">
        <f>AVERAGE('8.8 KIKORONGO-BWERA-24hr'!I90,'10.8 KIKORONGO-BWERA-24HRS'!I90)</f>
        <v>0</v>
      </c>
      <c r="J90" s="49">
        <f>AVERAGE('8.8 KIKORONGO-BWERA-24hr'!J90,'10.8 KIKORONGO-BWERA-24HRS'!J90)</f>
        <v>0</v>
      </c>
      <c r="K90" s="49">
        <f>AVERAGE('8.8 KIKORONGO-BWERA-24hr'!K90,'10.8 KIKORONGO-BWERA-24HRS'!K90)</f>
        <v>0</v>
      </c>
      <c r="L90" s="49">
        <f>AVERAGE('8.8 KIKORONGO-BWERA-24hr'!L90,'10.8 KIKORONGO-BWERA-24HRS'!L90)</f>
        <v>1</v>
      </c>
      <c r="M90" s="49">
        <f>AVERAGE('8.8 KIKORONGO-BWERA-24hr'!M90,'10.8 KIKORONGO-BWERA-24HRS'!M90)</f>
        <v>0</v>
      </c>
      <c r="N90" s="49">
        <f>AVERAGE('8.8 KIKORONGO-BWERA-24hr'!N90,'10.8 KIKORONGO-BWERA-24HRS'!N90)</f>
        <v>0</v>
      </c>
      <c r="O90" s="15">
        <f t="shared" si="35"/>
        <v>3.5</v>
      </c>
      <c r="P90" s="15">
        <f t="shared" si="36"/>
        <v>3.5</v>
      </c>
      <c r="R90" s="8"/>
      <c r="T90"/>
    </row>
    <row r="91" spans="2:20" ht="23.1" customHeight="1" x14ac:dyDescent="0.25">
      <c r="B91" s="23" t="s">
        <v>131</v>
      </c>
      <c r="C91" s="49">
        <f>AVERAGE('8.8 KIKORONGO-BWERA-24hr'!C91,'10.8 KIKORONGO-BWERA-24HRS'!C91)</f>
        <v>1.5</v>
      </c>
      <c r="D91" s="49">
        <f>AVERAGE('8.8 KIKORONGO-BWERA-24hr'!D91,'10.8 KIKORONGO-BWERA-24HRS'!D91)</f>
        <v>0</v>
      </c>
      <c r="E91" s="49">
        <f>AVERAGE('8.8 KIKORONGO-BWERA-24hr'!E91,'10.8 KIKORONGO-BWERA-24HRS'!E91)</f>
        <v>0</v>
      </c>
      <c r="F91" s="49">
        <f>AVERAGE('8.8 KIKORONGO-BWERA-24hr'!F91,'10.8 KIKORONGO-BWERA-24HRS'!F91)</f>
        <v>1.5</v>
      </c>
      <c r="G91" s="49">
        <f>AVERAGE('8.8 KIKORONGO-BWERA-24hr'!G91,'10.8 KIKORONGO-BWERA-24HRS'!G91)</f>
        <v>0</v>
      </c>
      <c r="H91" s="49">
        <f>AVERAGE('8.8 KIKORONGO-BWERA-24hr'!H91,'10.8 KIKORONGO-BWERA-24HRS'!H91)</f>
        <v>0</v>
      </c>
      <c r="I91" s="49">
        <f>AVERAGE('8.8 KIKORONGO-BWERA-24hr'!I91,'10.8 KIKORONGO-BWERA-24HRS'!I91)</f>
        <v>1</v>
      </c>
      <c r="J91" s="49">
        <f>AVERAGE('8.8 KIKORONGO-BWERA-24hr'!J91,'10.8 KIKORONGO-BWERA-24HRS'!J91)</f>
        <v>0</v>
      </c>
      <c r="K91" s="49">
        <f>AVERAGE('8.8 KIKORONGO-BWERA-24hr'!K91,'10.8 KIKORONGO-BWERA-24HRS'!K91)</f>
        <v>0</v>
      </c>
      <c r="L91" s="49">
        <f>AVERAGE('8.8 KIKORONGO-BWERA-24hr'!L91,'10.8 KIKORONGO-BWERA-24HRS'!L91)</f>
        <v>0</v>
      </c>
      <c r="M91" s="49">
        <f>AVERAGE('8.8 KIKORONGO-BWERA-24hr'!M91,'10.8 KIKORONGO-BWERA-24HRS'!M91)</f>
        <v>1</v>
      </c>
      <c r="N91" s="49">
        <f>AVERAGE('8.8 KIKORONGO-BWERA-24hr'!N91,'10.8 KIKORONGO-BWERA-24HRS'!N91)</f>
        <v>0</v>
      </c>
      <c r="O91" s="15">
        <f t="shared" si="35"/>
        <v>4</v>
      </c>
      <c r="P91" s="15">
        <f t="shared" si="36"/>
        <v>5</v>
      </c>
      <c r="R91" s="8"/>
      <c r="T91"/>
    </row>
    <row r="92" spans="2:20" ht="23.1" customHeight="1" x14ac:dyDescent="0.25">
      <c r="B92" s="25" t="s">
        <v>132</v>
      </c>
      <c r="C92" s="49">
        <f>AVERAGE('8.8 KIKORONGO-BWERA-24hr'!C92,'10.8 KIKORONGO-BWERA-24HRS'!C92)</f>
        <v>0.5</v>
      </c>
      <c r="D92" s="49">
        <f>AVERAGE('8.8 KIKORONGO-BWERA-24hr'!D92,'10.8 KIKORONGO-BWERA-24HRS'!D92)</f>
        <v>0</v>
      </c>
      <c r="E92" s="49">
        <f>AVERAGE('8.8 KIKORONGO-BWERA-24hr'!E92,'10.8 KIKORONGO-BWERA-24HRS'!E92)</f>
        <v>1.5</v>
      </c>
      <c r="F92" s="49">
        <f>AVERAGE('8.8 KIKORONGO-BWERA-24hr'!F92,'10.8 KIKORONGO-BWERA-24HRS'!F92)</f>
        <v>0</v>
      </c>
      <c r="G92" s="49">
        <f>AVERAGE('8.8 KIKORONGO-BWERA-24hr'!G92,'10.8 KIKORONGO-BWERA-24HRS'!G92)</f>
        <v>0</v>
      </c>
      <c r="H92" s="49">
        <f>AVERAGE('8.8 KIKORONGO-BWERA-24hr'!H92,'10.8 KIKORONGO-BWERA-24HRS'!H92)</f>
        <v>0.5</v>
      </c>
      <c r="I92" s="49">
        <f>AVERAGE('8.8 KIKORONGO-BWERA-24hr'!I92,'10.8 KIKORONGO-BWERA-24HRS'!I92)</f>
        <v>0</v>
      </c>
      <c r="J92" s="49">
        <f>AVERAGE('8.8 KIKORONGO-BWERA-24hr'!J92,'10.8 KIKORONGO-BWERA-24HRS'!J92)</f>
        <v>0</v>
      </c>
      <c r="K92" s="49">
        <f>AVERAGE('8.8 KIKORONGO-BWERA-24hr'!K92,'10.8 KIKORONGO-BWERA-24HRS'!K92)</f>
        <v>0</v>
      </c>
      <c r="L92" s="49">
        <f>AVERAGE('8.8 KIKORONGO-BWERA-24hr'!L92,'10.8 KIKORONGO-BWERA-24HRS'!L92)</f>
        <v>1</v>
      </c>
      <c r="M92" s="49">
        <f>AVERAGE('8.8 KIKORONGO-BWERA-24hr'!M92,'10.8 KIKORONGO-BWERA-24HRS'!M92)</f>
        <v>2</v>
      </c>
      <c r="N92" s="49">
        <f>AVERAGE('8.8 KIKORONGO-BWERA-24hr'!N92,'10.8 KIKORONGO-BWERA-24HRS'!N92)</f>
        <v>0</v>
      </c>
      <c r="O92" s="15">
        <f t="shared" si="35"/>
        <v>3.5</v>
      </c>
      <c r="P92" s="15">
        <f t="shared" si="36"/>
        <v>5.5</v>
      </c>
      <c r="R92" s="8"/>
      <c r="T92"/>
    </row>
    <row r="93" spans="2:20" ht="23.1" customHeight="1" x14ac:dyDescent="0.25">
      <c r="B93" s="23" t="s">
        <v>133</v>
      </c>
      <c r="C93" s="49">
        <f>AVERAGE('8.8 KIKORONGO-BWERA-24hr'!C93,'10.8 KIKORONGO-BWERA-24HRS'!C93)</f>
        <v>0</v>
      </c>
      <c r="D93" s="49">
        <f>AVERAGE('8.8 KIKORONGO-BWERA-24hr'!D93,'10.8 KIKORONGO-BWERA-24HRS'!D93)</f>
        <v>0</v>
      </c>
      <c r="E93" s="49">
        <f>AVERAGE('8.8 KIKORONGO-BWERA-24hr'!E93,'10.8 KIKORONGO-BWERA-24HRS'!E93)</f>
        <v>1</v>
      </c>
      <c r="F93" s="49">
        <f>AVERAGE('8.8 KIKORONGO-BWERA-24hr'!F93,'10.8 KIKORONGO-BWERA-24HRS'!F93)</f>
        <v>3</v>
      </c>
      <c r="G93" s="49">
        <f>AVERAGE('8.8 KIKORONGO-BWERA-24hr'!G93,'10.8 KIKORONGO-BWERA-24HRS'!G93)</f>
        <v>0</v>
      </c>
      <c r="H93" s="49">
        <f>AVERAGE('8.8 KIKORONGO-BWERA-24hr'!H93,'10.8 KIKORONGO-BWERA-24HRS'!H93)</f>
        <v>0</v>
      </c>
      <c r="I93" s="49">
        <f>AVERAGE('8.8 KIKORONGO-BWERA-24hr'!I93,'10.8 KIKORONGO-BWERA-24HRS'!I93)</f>
        <v>0</v>
      </c>
      <c r="J93" s="49">
        <f>AVERAGE('8.8 KIKORONGO-BWERA-24hr'!J93,'10.8 KIKORONGO-BWERA-24HRS'!J93)</f>
        <v>0</v>
      </c>
      <c r="K93" s="49">
        <f>AVERAGE('8.8 KIKORONGO-BWERA-24hr'!K93,'10.8 KIKORONGO-BWERA-24HRS'!K93)</f>
        <v>0</v>
      </c>
      <c r="L93" s="49">
        <f>AVERAGE('8.8 KIKORONGO-BWERA-24hr'!L93,'10.8 KIKORONGO-BWERA-24HRS'!L93)</f>
        <v>0</v>
      </c>
      <c r="M93" s="49">
        <f>AVERAGE('8.8 KIKORONGO-BWERA-24hr'!M93,'10.8 KIKORONGO-BWERA-24HRS'!M93)</f>
        <v>0</v>
      </c>
      <c r="N93" s="49">
        <f>AVERAGE('8.8 KIKORONGO-BWERA-24hr'!N93,'10.8 KIKORONGO-BWERA-24HRS'!N93)</f>
        <v>0</v>
      </c>
      <c r="O93" s="15">
        <f t="shared" si="35"/>
        <v>4</v>
      </c>
      <c r="P93" s="15">
        <f t="shared" si="36"/>
        <v>4</v>
      </c>
      <c r="R93" s="8"/>
      <c r="T93"/>
    </row>
    <row r="94" spans="2:20" ht="23.1" customHeight="1" x14ac:dyDescent="0.25">
      <c r="B94" s="24" t="s">
        <v>134</v>
      </c>
      <c r="C94" s="49">
        <f>AVERAGE('8.8 KIKORONGO-BWERA-24hr'!C94,'10.8 KIKORONGO-BWERA-24HRS'!C94)</f>
        <v>1.5</v>
      </c>
      <c r="D94" s="49">
        <f>AVERAGE('8.8 KIKORONGO-BWERA-24hr'!D94,'10.8 KIKORONGO-BWERA-24HRS'!D94)</f>
        <v>0</v>
      </c>
      <c r="E94" s="49">
        <f>AVERAGE('8.8 KIKORONGO-BWERA-24hr'!E94,'10.8 KIKORONGO-BWERA-24HRS'!E94)</f>
        <v>0</v>
      </c>
      <c r="F94" s="49">
        <f>AVERAGE('8.8 KIKORONGO-BWERA-24hr'!F94,'10.8 KIKORONGO-BWERA-24HRS'!F94)</f>
        <v>1</v>
      </c>
      <c r="G94" s="49">
        <f>AVERAGE('8.8 KIKORONGO-BWERA-24hr'!G94,'10.8 KIKORONGO-BWERA-24HRS'!G94)</f>
        <v>0</v>
      </c>
      <c r="H94" s="49">
        <f>AVERAGE('8.8 KIKORONGO-BWERA-24hr'!H94,'10.8 KIKORONGO-BWERA-24HRS'!H94)</f>
        <v>0.5</v>
      </c>
      <c r="I94" s="49">
        <f>AVERAGE('8.8 KIKORONGO-BWERA-24hr'!I94,'10.8 KIKORONGO-BWERA-24HRS'!I94)</f>
        <v>1</v>
      </c>
      <c r="J94" s="49">
        <f>AVERAGE('8.8 KIKORONGO-BWERA-24hr'!J94,'10.8 KIKORONGO-BWERA-24HRS'!J94)</f>
        <v>0</v>
      </c>
      <c r="K94" s="49">
        <f>AVERAGE('8.8 KIKORONGO-BWERA-24hr'!K94,'10.8 KIKORONGO-BWERA-24HRS'!K94)</f>
        <v>0</v>
      </c>
      <c r="L94" s="49">
        <f>AVERAGE('8.8 KIKORONGO-BWERA-24hr'!L94,'10.8 KIKORONGO-BWERA-24HRS'!L94)</f>
        <v>0</v>
      </c>
      <c r="M94" s="49">
        <f>AVERAGE('8.8 KIKORONGO-BWERA-24hr'!M94,'10.8 KIKORONGO-BWERA-24HRS'!M94)</f>
        <v>1.5</v>
      </c>
      <c r="N94" s="49">
        <f>AVERAGE('8.8 KIKORONGO-BWERA-24hr'!N94,'10.8 KIKORONGO-BWERA-24HRS'!N94)</f>
        <v>0</v>
      </c>
      <c r="O94" s="15">
        <f t="shared" si="35"/>
        <v>4</v>
      </c>
      <c r="P94" s="15">
        <f t="shared" si="36"/>
        <v>5.5</v>
      </c>
      <c r="R94" s="8"/>
      <c r="T94"/>
    </row>
    <row r="95" spans="2:20" ht="23.1" customHeight="1" x14ac:dyDescent="0.25">
      <c r="B95" s="23" t="s">
        <v>135</v>
      </c>
      <c r="C95" s="49">
        <f>AVERAGE('8.8 KIKORONGO-BWERA-24hr'!C95,'10.8 KIKORONGO-BWERA-24HRS'!C95)</f>
        <v>1</v>
      </c>
      <c r="D95" s="49">
        <f>AVERAGE('8.8 KIKORONGO-BWERA-24hr'!D95,'10.8 KIKORONGO-BWERA-24HRS'!D95)</f>
        <v>0</v>
      </c>
      <c r="E95" s="49">
        <f>AVERAGE('8.8 KIKORONGO-BWERA-24hr'!E95,'10.8 KIKORONGO-BWERA-24HRS'!E95)</f>
        <v>0</v>
      </c>
      <c r="F95" s="49">
        <f>AVERAGE('8.8 KIKORONGO-BWERA-24hr'!F95,'10.8 KIKORONGO-BWERA-24HRS'!F95)</f>
        <v>1</v>
      </c>
      <c r="G95" s="49">
        <f>AVERAGE('8.8 KIKORONGO-BWERA-24hr'!G95,'10.8 KIKORONGO-BWERA-24HRS'!G95)</f>
        <v>0</v>
      </c>
      <c r="H95" s="49">
        <f>AVERAGE('8.8 KIKORONGO-BWERA-24hr'!H95,'10.8 KIKORONGO-BWERA-24HRS'!H95)</f>
        <v>0.5</v>
      </c>
      <c r="I95" s="49">
        <f>AVERAGE('8.8 KIKORONGO-BWERA-24hr'!I95,'10.8 KIKORONGO-BWERA-24HRS'!I95)</f>
        <v>0</v>
      </c>
      <c r="J95" s="49">
        <f>AVERAGE('8.8 KIKORONGO-BWERA-24hr'!J95,'10.8 KIKORONGO-BWERA-24HRS'!J95)</f>
        <v>0</v>
      </c>
      <c r="K95" s="49">
        <f>AVERAGE('8.8 KIKORONGO-BWERA-24hr'!K95,'10.8 KIKORONGO-BWERA-24HRS'!K95)</f>
        <v>0</v>
      </c>
      <c r="L95" s="49">
        <f>AVERAGE('8.8 KIKORONGO-BWERA-24hr'!L95,'10.8 KIKORONGO-BWERA-24HRS'!L95)</f>
        <v>0.5</v>
      </c>
      <c r="M95" s="49">
        <f>AVERAGE('8.8 KIKORONGO-BWERA-24hr'!M95,'10.8 KIKORONGO-BWERA-24HRS'!M95)</f>
        <v>0.5</v>
      </c>
      <c r="N95" s="49">
        <f>AVERAGE('8.8 KIKORONGO-BWERA-24hr'!N95,'10.8 KIKORONGO-BWERA-24HRS'!N95)</f>
        <v>0</v>
      </c>
      <c r="O95" s="15">
        <f t="shared" si="35"/>
        <v>3</v>
      </c>
      <c r="P95" s="15">
        <f t="shared" si="36"/>
        <v>3.5</v>
      </c>
      <c r="R95" s="8"/>
      <c r="T95"/>
    </row>
    <row r="96" spans="2:20" ht="23.1" customHeight="1" x14ac:dyDescent="0.25">
      <c r="B96" s="25" t="s">
        <v>136</v>
      </c>
      <c r="C96" s="49">
        <f>AVERAGE('8.8 KIKORONGO-BWERA-24hr'!C96,'10.8 KIKORONGO-BWERA-24HRS'!C96)</f>
        <v>0.5</v>
      </c>
      <c r="D96" s="49">
        <f>AVERAGE('8.8 KIKORONGO-BWERA-24hr'!D96,'10.8 KIKORONGO-BWERA-24HRS'!D96)</f>
        <v>0</v>
      </c>
      <c r="E96" s="49">
        <f>AVERAGE('8.8 KIKORONGO-BWERA-24hr'!E96,'10.8 KIKORONGO-BWERA-24HRS'!E96)</f>
        <v>0</v>
      </c>
      <c r="F96" s="49">
        <f>AVERAGE('8.8 KIKORONGO-BWERA-24hr'!F96,'10.8 KIKORONGO-BWERA-24HRS'!F96)</f>
        <v>0</v>
      </c>
      <c r="G96" s="49">
        <f>AVERAGE('8.8 KIKORONGO-BWERA-24hr'!G96,'10.8 KIKORONGO-BWERA-24HRS'!G96)</f>
        <v>0</v>
      </c>
      <c r="H96" s="49">
        <f>AVERAGE('8.8 KIKORONGO-BWERA-24hr'!H96,'10.8 KIKORONGO-BWERA-24HRS'!H96)</f>
        <v>0</v>
      </c>
      <c r="I96" s="49">
        <f>AVERAGE('8.8 KIKORONGO-BWERA-24hr'!I96,'10.8 KIKORONGO-BWERA-24HRS'!I96)</f>
        <v>0.5</v>
      </c>
      <c r="J96" s="49">
        <f>AVERAGE('8.8 KIKORONGO-BWERA-24hr'!J96,'10.8 KIKORONGO-BWERA-24HRS'!J96)</f>
        <v>0</v>
      </c>
      <c r="K96" s="49">
        <f>AVERAGE('8.8 KIKORONGO-BWERA-24hr'!K96,'10.8 KIKORONGO-BWERA-24HRS'!K96)</f>
        <v>0</v>
      </c>
      <c r="L96" s="49">
        <f>AVERAGE('8.8 KIKORONGO-BWERA-24hr'!L96,'10.8 KIKORONGO-BWERA-24HRS'!L96)</f>
        <v>0</v>
      </c>
      <c r="M96" s="49">
        <f>AVERAGE('8.8 KIKORONGO-BWERA-24hr'!M96,'10.8 KIKORONGO-BWERA-24HRS'!M96)</f>
        <v>1</v>
      </c>
      <c r="N96" s="49">
        <f>AVERAGE('8.8 KIKORONGO-BWERA-24hr'!N96,'10.8 KIKORONGO-BWERA-24HRS'!N96)</f>
        <v>0</v>
      </c>
      <c r="O96" s="15">
        <f t="shared" si="35"/>
        <v>1</v>
      </c>
      <c r="P96" s="15">
        <f t="shared" si="36"/>
        <v>2</v>
      </c>
      <c r="R96" s="8"/>
      <c r="T96"/>
    </row>
    <row r="97" spans="2:20" ht="23.1" customHeight="1" x14ac:dyDescent="0.25">
      <c r="B97" s="23" t="s">
        <v>137</v>
      </c>
      <c r="C97" s="49">
        <f>AVERAGE('8.8 KIKORONGO-BWERA-24hr'!C97,'10.8 KIKORONGO-BWERA-24HRS'!C97)</f>
        <v>1.5</v>
      </c>
      <c r="D97" s="49">
        <f>AVERAGE('8.8 KIKORONGO-BWERA-24hr'!D97,'10.8 KIKORONGO-BWERA-24HRS'!D97)</f>
        <v>0</v>
      </c>
      <c r="E97" s="49">
        <f>AVERAGE('8.8 KIKORONGO-BWERA-24hr'!E97,'10.8 KIKORONGO-BWERA-24HRS'!E97)</f>
        <v>0</v>
      </c>
      <c r="F97" s="49">
        <f>AVERAGE('8.8 KIKORONGO-BWERA-24hr'!F97,'10.8 KIKORONGO-BWERA-24HRS'!F97)</f>
        <v>0</v>
      </c>
      <c r="G97" s="49">
        <f>AVERAGE('8.8 KIKORONGO-BWERA-24hr'!G97,'10.8 KIKORONGO-BWERA-24HRS'!G97)</f>
        <v>0</v>
      </c>
      <c r="H97" s="49">
        <f>AVERAGE('8.8 KIKORONGO-BWERA-24hr'!H97,'10.8 KIKORONGO-BWERA-24HRS'!H97)</f>
        <v>0</v>
      </c>
      <c r="I97" s="49">
        <f>AVERAGE('8.8 KIKORONGO-BWERA-24hr'!I97,'10.8 KIKORONGO-BWERA-24HRS'!I97)</f>
        <v>0</v>
      </c>
      <c r="J97" s="49">
        <f>AVERAGE('8.8 KIKORONGO-BWERA-24hr'!J97,'10.8 KIKORONGO-BWERA-24HRS'!J97)</f>
        <v>0</v>
      </c>
      <c r="K97" s="49">
        <f>AVERAGE('8.8 KIKORONGO-BWERA-24hr'!K97,'10.8 KIKORONGO-BWERA-24HRS'!K97)</f>
        <v>0</v>
      </c>
      <c r="L97" s="49">
        <f>AVERAGE('8.8 KIKORONGO-BWERA-24hr'!L97,'10.8 KIKORONGO-BWERA-24HRS'!L97)</f>
        <v>0.5</v>
      </c>
      <c r="M97" s="49">
        <f>AVERAGE('8.8 KIKORONGO-BWERA-24hr'!M97,'10.8 KIKORONGO-BWERA-24HRS'!M97)</f>
        <v>0</v>
      </c>
      <c r="N97" s="49">
        <f>AVERAGE('8.8 KIKORONGO-BWERA-24hr'!N97,'10.8 KIKORONGO-BWERA-24HRS'!N97)</f>
        <v>0</v>
      </c>
      <c r="O97" s="15">
        <f t="shared" si="35"/>
        <v>2</v>
      </c>
      <c r="P97" s="15">
        <f t="shared" si="36"/>
        <v>2</v>
      </c>
      <c r="R97" s="8"/>
      <c r="T97"/>
    </row>
    <row r="98" spans="2:20" ht="23.1" customHeight="1" x14ac:dyDescent="0.25">
      <c r="B98" s="24" t="s">
        <v>138</v>
      </c>
      <c r="C98" s="49">
        <f>AVERAGE('8.8 KIKORONGO-BWERA-24hr'!C98,'10.8 KIKORONGO-BWERA-24HRS'!C98)</f>
        <v>0.5</v>
      </c>
      <c r="D98" s="49">
        <f>AVERAGE('8.8 KIKORONGO-BWERA-24hr'!D98,'10.8 KIKORONGO-BWERA-24HRS'!D98)</f>
        <v>0</v>
      </c>
      <c r="E98" s="49">
        <f>AVERAGE('8.8 KIKORONGO-BWERA-24hr'!E98,'10.8 KIKORONGO-BWERA-24HRS'!E98)</f>
        <v>0.5</v>
      </c>
      <c r="F98" s="49">
        <f>AVERAGE('8.8 KIKORONGO-BWERA-24hr'!F98,'10.8 KIKORONGO-BWERA-24HRS'!F98)</f>
        <v>0</v>
      </c>
      <c r="G98" s="49">
        <f>AVERAGE('8.8 KIKORONGO-BWERA-24hr'!G98,'10.8 KIKORONGO-BWERA-24HRS'!G98)</f>
        <v>0</v>
      </c>
      <c r="H98" s="49">
        <f>AVERAGE('8.8 KIKORONGO-BWERA-24hr'!H98,'10.8 KIKORONGO-BWERA-24HRS'!H98)</f>
        <v>0</v>
      </c>
      <c r="I98" s="49">
        <f>AVERAGE('8.8 KIKORONGO-BWERA-24hr'!I98,'10.8 KIKORONGO-BWERA-24HRS'!I98)</f>
        <v>0</v>
      </c>
      <c r="J98" s="49">
        <f>AVERAGE('8.8 KIKORONGO-BWERA-24hr'!J98,'10.8 KIKORONGO-BWERA-24HRS'!J98)</f>
        <v>0</v>
      </c>
      <c r="K98" s="49">
        <f>AVERAGE('8.8 KIKORONGO-BWERA-24hr'!K98,'10.8 KIKORONGO-BWERA-24HRS'!K98)</f>
        <v>0</v>
      </c>
      <c r="L98" s="49">
        <f>AVERAGE('8.8 KIKORONGO-BWERA-24hr'!L98,'10.8 KIKORONGO-BWERA-24HRS'!L98)</f>
        <v>0</v>
      </c>
      <c r="M98" s="49">
        <f>AVERAGE('8.8 KIKORONGO-BWERA-24hr'!M98,'10.8 KIKORONGO-BWERA-24HRS'!M98)</f>
        <v>1</v>
      </c>
      <c r="N98" s="49">
        <f>AVERAGE('8.8 KIKORONGO-BWERA-24hr'!N98,'10.8 KIKORONGO-BWERA-24HRS'!N98)</f>
        <v>0</v>
      </c>
      <c r="O98" s="15">
        <f t="shared" si="35"/>
        <v>1</v>
      </c>
      <c r="P98" s="15">
        <f t="shared" si="36"/>
        <v>2</v>
      </c>
      <c r="R98" s="8"/>
      <c r="T98"/>
    </row>
    <row r="99" spans="2:20" ht="23.1" customHeight="1" x14ac:dyDescent="0.25">
      <c r="B99" s="23" t="s">
        <v>139</v>
      </c>
      <c r="C99" s="49">
        <f>AVERAGE('8.8 KIKORONGO-BWERA-24hr'!C99,'10.8 KIKORONGO-BWERA-24HRS'!C99)</f>
        <v>1</v>
      </c>
      <c r="D99" s="49">
        <f>AVERAGE('8.8 KIKORONGO-BWERA-24hr'!D99,'10.8 KIKORONGO-BWERA-24HRS'!D99)</f>
        <v>0</v>
      </c>
      <c r="E99" s="49">
        <f>AVERAGE('8.8 KIKORONGO-BWERA-24hr'!E99,'10.8 KIKORONGO-BWERA-24HRS'!E99)</f>
        <v>0.5</v>
      </c>
      <c r="F99" s="49">
        <f>AVERAGE('8.8 KIKORONGO-BWERA-24hr'!F99,'10.8 KIKORONGO-BWERA-24HRS'!F99)</f>
        <v>0</v>
      </c>
      <c r="G99" s="49">
        <f>AVERAGE('8.8 KIKORONGO-BWERA-24hr'!G99,'10.8 KIKORONGO-BWERA-24HRS'!G99)</f>
        <v>0</v>
      </c>
      <c r="H99" s="49">
        <f>AVERAGE('8.8 KIKORONGO-BWERA-24hr'!H99,'10.8 KIKORONGO-BWERA-24HRS'!H99)</f>
        <v>0</v>
      </c>
      <c r="I99" s="49">
        <f>AVERAGE('8.8 KIKORONGO-BWERA-24hr'!I99,'10.8 KIKORONGO-BWERA-24HRS'!I99)</f>
        <v>0</v>
      </c>
      <c r="J99" s="49">
        <f>AVERAGE('8.8 KIKORONGO-BWERA-24hr'!J99,'10.8 KIKORONGO-BWERA-24HRS'!J99)</f>
        <v>0</v>
      </c>
      <c r="K99" s="49">
        <f>AVERAGE('8.8 KIKORONGO-BWERA-24hr'!K99,'10.8 KIKORONGO-BWERA-24HRS'!K99)</f>
        <v>0</v>
      </c>
      <c r="L99" s="49">
        <f>AVERAGE('8.8 KIKORONGO-BWERA-24hr'!L99,'10.8 KIKORONGO-BWERA-24HRS'!L99)</f>
        <v>0</v>
      </c>
      <c r="M99" s="49">
        <f>AVERAGE('8.8 KIKORONGO-BWERA-24hr'!M99,'10.8 KIKORONGO-BWERA-24HRS'!M99)</f>
        <v>1.5</v>
      </c>
      <c r="N99" s="49">
        <f>AVERAGE('8.8 KIKORONGO-BWERA-24hr'!N99,'10.8 KIKORONGO-BWERA-24HRS'!N99)</f>
        <v>0</v>
      </c>
      <c r="O99" s="15">
        <f t="shared" si="35"/>
        <v>1.5</v>
      </c>
      <c r="P99" s="15">
        <f t="shared" si="36"/>
        <v>3</v>
      </c>
      <c r="R99" s="8"/>
      <c r="T99"/>
    </row>
    <row r="100" spans="2:20" ht="23.1" customHeight="1" x14ac:dyDescent="0.25">
      <c r="B100" s="25" t="s">
        <v>140</v>
      </c>
      <c r="C100" s="49">
        <f>AVERAGE('8.8 KIKORONGO-BWERA-24hr'!C100,'10.8 KIKORONGO-BWERA-24HRS'!C100)</f>
        <v>1</v>
      </c>
      <c r="D100" s="49">
        <f>AVERAGE('8.8 KIKORONGO-BWERA-24hr'!D100,'10.8 KIKORONGO-BWERA-24HRS'!D100)</f>
        <v>0</v>
      </c>
      <c r="E100" s="49">
        <f>AVERAGE('8.8 KIKORONGO-BWERA-24hr'!E100,'10.8 KIKORONGO-BWERA-24HRS'!E100)</f>
        <v>0.5</v>
      </c>
      <c r="F100" s="49">
        <f>AVERAGE('8.8 KIKORONGO-BWERA-24hr'!F100,'10.8 KIKORONGO-BWERA-24HRS'!F100)</f>
        <v>1</v>
      </c>
      <c r="G100" s="49">
        <f>AVERAGE('8.8 KIKORONGO-BWERA-24hr'!G100,'10.8 KIKORONGO-BWERA-24HRS'!G100)</f>
        <v>0</v>
      </c>
      <c r="H100" s="49">
        <f>AVERAGE('8.8 KIKORONGO-BWERA-24hr'!H100,'10.8 KIKORONGO-BWERA-24HRS'!H100)</f>
        <v>0.5</v>
      </c>
      <c r="I100" s="49">
        <f>AVERAGE('8.8 KIKORONGO-BWERA-24hr'!I100,'10.8 KIKORONGO-BWERA-24HRS'!I100)</f>
        <v>0</v>
      </c>
      <c r="J100" s="49">
        <f>AVERAGE('8.8 KIKORONGO-BWERA-24hr'!J100,'10.8 KIKORONGO-BWERA-24HRS'!J100)</f>
        <v>0</v>
      </c>
      <c r="K100" s="49">
        <f>AVERAGE('8.8 KIKORONGO-BWERA-24hr'!K100,'10.8 KIKORONGO-BWERA-24HRS'!K100)</f>
        <v>0</v>
      </c>
      <c r="L100" s="49">
        <f>AVERAGE('8.8 KIKORONGO-BWERA-24hr'!L100,'10.8 KIKORONGO-BWERA-24HRS'!L100)</f>
        <v>0</v>
      </c>
      <c r="M100" s="49">
        <f>AVERAGE('8.8 KIKORONGO-BWERA-24hr'!M100,'10.8 KIKORONGO-BWERA-24HRS'!M100)</f>
        <v>0</v>
      </c>
      <c r="N100" s="49">
        <f>AVERAGE('8.8 KIKORONGO-BWERA-24hr'!N100,'10.8 KIKORONGO-BWERA-24HRS'!N100)</f>
        <v>0</v>
      </c>
      <c r="O100" s="15">
        <f t="shared" si="35"/>
        <v>3</v>
      </c>
      <c r="P100" s="15">
        <f t="shared" si="36"/>
        <v>3</v>
      </c>
      <c r="R100" s="8"/>
      <c r="T100"/>
    </row>
    <row r="101" spans="2:20" ht="23.1" customHeight="1" x14ac:dyDescent="0.25">
      <c r="B101" s="23" t="s">
        <v>141</v>
      </c>
      <c r="C101" s="49">
        <f>AVERAGE('8.8 KIKORONGO-BWERA-24hr'!C101,'10.8 KIKORONGO-BWERA-24HRS'!C101)</f>
        <v>1</v>
      </c>
      <c r="D101" s="49">
        <f>AVERAGE('8.8 KIKORONGO-BWERA-24hr'!D101,'10.8 KIKORONGO-BWERA-24HRS'!D101)</f>
        <v>0</v>
      </c>
      <c r="E101" s="49">
        <f>AVERAGE('8.8 KIKORONGO-BWERA-24hr'!E101,'10.8 KIKORONGO-BWERA-24HRS'!E101)</f>
        <v>1.5</v>
      </c>
      <c r="F101" s="49">
        <f>AVERAGE('8.8 KIKORONGO-BWERA-24hr'!F101,'10.8 KIKORONGO-BWERA-24HRS'!F101)</f>
        <v>0</v>
      </c>
      <c r="G101" s="49">
        <f>AVERAGE('8.8 KIKORONGO-BWERA-24hr'!G101,'10.8 KIKORONGO-BWERA-24HRS'!G101)</f>
        <v>0</v>
      </c>
      <c r="H101" s="49">
        <f>AVERAGE('8.8 KIKORONGO-BWERA-24hr'!H101,'10.8 KIKORONGO-BWERA-24HRS'!H101)</f>
        <v>0</v>
      </c>
      <c r="I101" s="49">
        <f>AVERAGE('8.8 KIKORONGO-BWERA-24hr'!I101,'10.8 KIKORONGO-BWERA-24HRS'!I101)</f>
        <v>0</v>
      </c>
      <c r="J101" s="49">
        <f>AVERAGE('8.8 KIKORONGO-BWERA-24hr'!J101,'10.8 KIKORONGO-BWERA-24HRS'!J101)</f>
        <v>0</v>
      </c>
      <c r="K101" s="49">
        <f>AVERAGE('8.8 KIKORONGO-BWERA-24hr'!K101,'10.8 KIKORONGO-BWERA-24HRS'!K101)</f>
        <v>0</v>
      </c>
      <c r="L101" s="49">
        <f>AVERAGE('8.8 KIKORONGO-BWERA-24hr'!L101,'10.8 KIKORONGO-BWERA-24HRS'!L101)</f>
        <v>0.5</v>
      </c>
      <c r="M101" s="49">
        <f>AVERAGE('8.8 KIKORONGO-BWERA-24hr'!M101,'10.8 KIKORONGO-BWERA-24HRS'!M101)</f>
        <v>0</v>
      </c>
      <c r="N101" s="49">
        <f>AVERAGE('8.8 KIKORONGO-BWERA-24hr'!N101,'10.8 KIKORONGO-BWERA-24HRS'!N101)</f>
        <v>0</v>
      </c>
      <c r="O101" s="15">
        <f t="shared" si="35"/>
        <v>3</v>
      </c>
      <c r="P101" s="15">
        <f t="shared" si="36"/>
        <v>3</v>
      </c>
      <c r="R101" s="8"/>
      <c r="T101"/>
    </row>
    <row r="102" spans="2:20" ht="23.1" customHeight="1" x14ac:dyDescent="0.25">
      <c r="B102" s="24" t="s">
        <v>142</v>
      </c>
      <c r="C102" s="49">
        <f>AVERAGE('8.8 KIKORONGO-BWERA-24hr'!C102,'10.8 KIKORONGO-BWERA-24HRS'!C102)</f>
        <v>2</v>
      </c>
      <c r="D102" s="49">
        <f>AVERAGE('8.8 KIKORONGO-BWERA-24hr'!D102,'10.8 KIKORONGO-BWERA-24HRS'!D102)</f>
        <v>0</v>
      </c>
      <c r="E102" s="49">
        <f>AVERAGE('8.8 KIKORONGO-BWERA-24hr'!E102,'10.8 KIKORONGO-BWERA-24HRS'!E102)</f>
        <v>0.5</v>
      </c>
      <c r="F102" s="49">
        <f>AVERAGE('8.8 KIKORONGO-BWERA-24hr'!F102,'10.8 KIKORONGO-BWERA-24HRS'!F102)</f>
        <v>1</v>
      </c>
      <c r="G102" s="49">
        <f>AVERAGE('8.8 KIKORONGO-BWERA-24hr'!G102,'10.8 KIKORONGO-BWERA-24HRS'!G102)</f>
        <v>0</v>
      </c>
      <c r="H102" s="49">
        <f>AVERAGE('8.8 KIKORONGO-BWERA-24hr'!H102,'10.8 KIKORONGO-BWERA-24HRS'!H102)</f>
        <v>0.5</v>
      </c>
      <c r="I102" s="49">
        <f>AVERAGE('8.8 KIKORONGO-BWERA-24hr'!I102,'10.8 KIKORONGO-BWERA-24HRS'!I102)</f>
        <v>1</v>
      </c>
      <c r="J102" s="49">
        <f>AVERAGE('8.8 KIKORONGO-BWERA-24hr'!J102,'10.8 KIKORONGO-BWERA-24HRS'!J102)</f>
        <v>0</v>
      </c>
      <c r="K102" s="49">
        <f>AVERAGE('8.8 KIKORONGO-BWERA-24hr'!K102,'10.8 KIKORONGO-BWERA-24HRS'!K102)</f>
        <v>0</v>
      </c>
      <c r="L102" s="49">
        <f>AVERAGE('8.8 KIKORONGO-BWERA-24hr'!L102,'10.8 KIKORONGO-BWERA-24HRS'!L102)</f>
        <v>1</v>
      </c>
      <c r="M102" s="49">
        <f>AVERAGE('8.8 KIKORONGO-BWERA-24hr'!M102,'10.8 KIKORONGO-BWERA-24HRS'!M102)</f>
        <v>2</v>
      </c>
      <c r="N102" s="49">
        <f>AVERAGE('8.8 KIKORONGO-BWERA-24hr'!N102,'10.8 KIKORONGO-BWERA-24HRS'!N102)</f>
        <v>0</v>
      </c>
      <c r="O102" s="15">
        <f t="shared" si="35"/>
        <v>6</v>
      </c>
      <c r="P102" s="15">
        <f t="shared" si="36"/>
        <v>8</v>
      </c>
      <c r="R102" s="8"/>
      <c r="T102"/>
    </row>
    <row r="103" spans="2:20" ht="23.1" customHeight="1" x14ac:dyDescent="0.25">
      <c r="B103" s="23" t="s">
        <v>143</v>
      </c>
      <c r="C103" s="49">
        <f>AVERAGE('8.8 KIKORONGO-BWERA-24hr'!C103,'10.8 KIKORONGO-BWERA-24HRS'!C103)</f>
        <v>2.5</v>
      </c>
      <c r="D103" s="49">
        <f>AVERAGE('8.8 KIKORONGO-BWERA-24hr'!D103,'10.8 KIKORONGO-BWERA-24HRS'!D103)</f>
        <v>0</v>
      </c>
      <c r="E103" s="49">
        <f>AVERAGE('8.8 KIKORONGO-BWERA-24hr'!E103,'10.8 KIKORONGO-BWERA-24HRS'!E103)</f>
        <v>0.5</v>
      </c>
      <c r="F103" s="49">
        <f>AVERAGE('8.8 KIKORONGO-BWERA-24hr'!F103,'10.8 KIKORONGO-BWERA-24HRS'!F103)</f>
        <v>0.5</v>
      </c>
      <c r="G103" s="49">
        <f>AVERAGE('8.8 KIKORONGO-BWERA-24hr'!G103,'10.8 KIKORONGO-BWERA-24HRS'!G103)</f>
        <v>0</v>
      </c>
      <c r="H103" s="49">
        <f>AVERAGE('8.8 KIKORONGO-BWERA-24hr'!H103,'10.8 KIKORONGO-BWERA-24HRS'!H103)</f>
        <v>0</v>
      </c>
      <c r="I103" s="49">
        <f>AVERAGE('8.8 KIKORONGO-BWERA-24hr'!I103,'10.8 KIKORONGO-BWERA-24HRS'!I103)</f>
        <v>0.5</v>
      </c>
      <c r="J103" s="49">
        <f>AVERAGE('8.8 KIKORONGO-BWERA-24hr'!J103,'10.8 KIKORONGO-BWERA-24HRS'!J103)</f>
        <v>0</v>
      </c>
      <c r="K103" s="49">
        <f>AVERAGE('8.8 KIKORONGO-BWERA-24hr'!K103,'10.8 KIKORONGO-BWERA-24HRS'!K103)</f>
        <v>0</v>
      </c>
      <c r="L103" s="49">
        <f>AVERAGE('8.8 KIKORONGO-BWERA-24hr'!L103,'10.8 KIKORONGO-BWERA-24HRS'!L103)</f>
        <v>0</v>
      </c>
      <c r="M103" s="49">
        <f>AVERAGE('8.8 KIKORONGO-BWERA-24hr'!M103,'10.8 KIKORONGO-BWERA-24HRS'!M103)</f>
        <v>2.5</v>
      </c>
      <c r="N103" s="49">
        <f>AVERAGE('8.8 KIKORONGO-BWERA-24hr'!N103,'10.8 KIKORONGO-BWERA-24HRS'!N103)</f>
        <v>0</v>
      </c>
      <c r="O103" s="15">
        <f t="shared" si="35"/>
        <v>4</v>
      </c>
      <c r="P103" s="15">
        <f t="shared" si="36"/>
        <v>6.5</v>
      </c>
      <c r="R103" s="8"/>
      <c r="T103"/>
    </row>
    <row r="104" spans="2:20" ht="23.1" customHeight="1" x14ac:dyDescent="0.25">
      <c r="B104" s="25" t="s">
        <v>144</v>
      </c>
      <c r="C104" s="49">
        <f>AVERAGE('8.8 KIKORONGO-BWERA-24hr'!C104,'10.8 KIKORONGO-BWERA-24HRS'!C104)</f>
        <v>2</v>
      </c>
      <c r="D104" s="49">
        <f>AVERAGE('8.8 KIKORONGO-BWERA-24hr'!D104,'10.8 KIKORONGO-BWERA-24HRS'!D104)</f>
        <v>0</v>
      </c>
      <c r="E104" s="49">
        <f>AVERAGE('8.8 KIKORONGO-BWERA-24hr'!E104,'10.8 KIKORONGO-BWERA-24HRS'!E104)</f>
        <v>1</v>
      </c>
      <c r="F104" s="49">
        <f>AVERAGE('8.8 KIKORONGO-BWERA-24hr'!F104,'10.8 KIKORONGO-BWERA-24HRS'!F104)</f>
        <v>1.5</v>
      </c>
      <c r="G104" s="49">
        <f>AVERAGE('8.8 KIKORONGO-BWERA-24hr'!G104,'10.8 KIKORONGO-BWERA-24HRS'!G104)</f>
        <v>0</v>
      </c>
      <c r="H104" s="49">
        <f>AVERAGE('8.8 KIKORONGO-BWERA-24hr'!H104,'10.8 KIKORONGO-BWERA-24HRS'!H104)</f>
        <v>1</v>
      </c>
      <c r="I104" s="49">
        <f>AVERAGE('8.8 KIKORONGO-BWERA-24hr'!I104,'10.8 KIKORONGO-BWERA-24HRS'!I104)</f>
        <v>0.5</v>
      </c>
      <c r="J104" s="49">
        <f>AVERAGE('8.8 KIKORONGO-BWERA-24hr'!J104,'10.8 KIKORONGO-BWERA-24HRS'!J104)</f>
        <v>0</v>
      </c>
      <c r="K104" s="49">
        <f>AVERAGE('8.8 KIKORONGO-BWERA-24hr'!K104,'10.8 KIKORONGO-BWERA-24HRS'!K104)</f>
        <v>0</v>
      </c>
      <c r="L104" s="49">
        <f>AVERAGE('8.8 KIKORONGO-BWERA-24hr'!L104,'10.8 KIKORONGO-BWERA-24HRS'!L104)</f>
        <v>0</v>
      </c>
      <c r="M104" s="49">
        <f>AVERAGE('8.8 KIKORONGO-BWERA-24hr'!M104,'10.8 KIKORONGO-BWERA-24HRS'!M104)</f>
        <v>2.5</v>
      </c>
      <c r="N104" s="49">
        <f>AVERAGE('8.8 KIKORONGO-BWERA-24hr'!N104,'10.8 KIKORONGO-BWERA-24HRS'!N104)</f>
        <v>0</v>
      </c>
      <c r="O104" s="15">
        <f t="shared" si="35"/>
        <v>6</v>
      </c>
      <c r="P104" s="15">
        <f t="shared" si="36"/>
        <v>8.5</v>
      </c>
      <c r="R104" s="8"/>
      <c r="T104"/>
    </row>
    <row r="105" spans="2:20" ht="23.1" customHeight="1" x14ac:dyDescent="0.25">
      <c r="B105" s="23" t="s">
        <v>145</v>
      </c>
      <c r="C105" s="49">
        <f>AVERAGE('8.8 KIKORONGO-BWERA-24hr'!C105,'10.8 KIKORONGO-BWERA-24HRS'!C105)</f>
        <v>1</v>
      </c>
      <c r="D105" s="49">
        <f>AVERAGE('8.8 KIKORONGO-BWERA-24hr'!D105,'10.8 KIKORONGO-BWERA-24HRS'!D105)</f>
        <v>0</v>
      </c>
      <c r="E105" s="49">
        <f>AVERAGE('8.8 KIKORONGO-BWERA-24hr'!E105,'10.8 KIKORONGO-BWERA-24HRS'!E105)</f>
        <v>1</v>
      </c>
      <c r="F105" s="49">
        <f>AVERAGE('8.8 KIKORONGO-BWERA-24hr'!F105,'10.8 KIKORONGO-BWERA-24HRS'!F105)</f>
        <v>2.5</v>
      </c>
      <c r="G105" s="49">
        <f>AVERAGE('8.8 KIKORONGO-BWERA-24hr'!G105,'10.8 KIKORONGO-BWERA-24HRS'!G105)</f>
        <v>0</v>
      </c>
      <c r="H105" s="49">
        <f>AVERAGE('8.8 KIKORONGO-BWERA-24hr'!H105,'10.8 KIKORONGO-BWERA-24HRS'!H105)</f>
        <v>0</v>
      </c>
      <c r="I105" s="49">
        <f>AVERAGE('8.8 KIKORONGO-BWERA-24hr'!I105,'10.8 KIKORONGO-BWERA-24HRS'!I105)</f>
        <v>0</v>
      </c>
      <c r="J105" s="49">
        <f>AVERAGE('8.8 KIKORONGO-BWERA-24hr'!J105,'10.8 KIKORONGO-BWERA-24HRS'!J105)</f>
        <v>0</v>
      </c>
      <c r="K105" s="49">
        <f>AVERAGE('8.8 KIKORONGO-BWERA-24hr'!K105,'10.8 KIKORONGO-BWERA-24HRS'!K105)</f>
        <v>0</v>
      </c>
      <c r="L105" s="49">
        <f>AVERAGE('8.8 KIKORONGO-BWERA-24hr'!L105,'10.8 KIKORONGO-BWERA-24HRS'!L105)</f>
        <v>1</v>
      </c>
      <c r="M105" s="49">
        <f>AVERAGE('8.8 KIKORONGO-BWERA-24hr'!M105,'10.8 KIKORONGO-BWERA-24HRS'!M105)</f>
        <v>2.7665599177511853</v>
      </c>
      <c r="N105" s="49">
        <f>AVERAGE('8.8 KIKORONGO-BWERA-24hr'!N105,'10.8 KIKORONGO-BWERA-24HRS'!N105)</f>
        <v>0</v>
      </c>
      <c r="O105" s="15">
        <f t="shared" si="35"/>
        <v>5.5</v>
      </c>
      <c r="P105" s="15">
        <f t="shared" si="36"/>
        <v>8.2665599177511844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254.42857142857142</v>
      </c>
      <c r="D106" s="16">
        <f t="shared" ref="D106:P106" si="37">SUM(D10:D105)</f>
        <v>0</v>
      </c>
      <c r="E106" s="16">
        <f t="shared" si="37"/>
        <v>128.28571428571428</v>
      </c>
      <c r="F106" s="16">
        <f t="shared" si="37"/>
        <v>164.21428571428572</v>
      </c>
      <c r="G106" s="16">
        <f t="shared" si="37"/>
        <v>0.71428571428571419</v>
      </c>
      <c r="H106" s="16">
        <f t="shared" si="37"/>
        <v>21.928571428571427</v>
      </c>
      <c r="I106" s="16">
        <f t="shared" si="37"/>
        <v>78.357142857142861</v>
      </c>
      <c r="J106" s="16">
        <f t="shared" si="37"/>
        <v>6.0000000000000009</v>
      </c>
      <c r="K106" s="16">
        <f t="shared" si="37"/>
        <v>7.0000000000000027</v>
      </c>
      <c r="L106" s="16">
        <f t="shared" si="37"/>
        <v>49.285714285714292</v>
      </c>
      <c r="M106" s="16">
        <f t="shared" si="37"/>
        <v>213.33798848917985</v>
      </c>
      <c r="N106" s="16">
        <f t="shared" si="37"/>
        <v>0.8571428571428571</v>
      </c>
      <c r="O106" s="16">
        <f t="shared" si="37"/>
        <v>711.07142857142844</v>
      </c>
      <c r="P106" s="16">
        <f t="shared" si="37"/>
        <v>924.40941706060835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0.27523364294317865</v>
      </c>
      <c r="D107" s="43">
        <f t="shared" si="38"/>
        <v>0</v>
      </c>
      <c r="E107" s="43">
        <f t="shared" si="38"/>
        <v>0.13877586264063696</v>
      </c>
      <c r="F107" s="43">
        <f t="shared" si="38"/>
        <v>0.17764237650936773</v>
      </c>
      <c r="G107" s="43">
        <f t="shared" si="38"/>
        <v>7.7269411269842404E-4</v>
      </c>
      <c r="H107" s="43">
        <f t="shared" si="38"/>
        <v>2.3721709259841621E-2</v>
      </c>
      <c r="I107" s="43">
        <f t="shared" si="38"/>
        <v>8.4764544163017139E-2</v>
      </c>
      <c r="J107" s="43">
        <f t="shared" si="38"/>
        <v>6.4906305466667638E-3</v>
      </c>
      <c r="K107" s="43">
        <f t="shared" si="38"/>
        <v>7.5724023044445596E-3</v>
      </c>
      <c r="L107" s="43">
        <f t="shared" si="38"/>
        <v>5.3315893776191274E-2</v>
      </c>
      <c r="M107" s="43">
        <f t="shared" si="38"/>
        <v>0.23078301080871882</v>
      </c>
      <c r="N107" s="43">
        <f t="shared" si="38"/>
        <v>9.2723293523810891E-4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0.35781014565544955</v>
      </c>
      <c r="D108" s="44">
        <f t="shared" ref="D108:N108" si="39">D106/$O$106</f>
        <v>0</v>
      </c>
      <c r="E108" s="44">
        <f t="shared" si="39"/>
        <v>0.18041185334003015</v>
      </c>
      <c r="F108" s="44">
        <f t="shared" si="39"/>
        <v>0.23093922651933707</v>
      </c>
      <c r="G108" s="44">
        <f t="shared" si="39"/>
        <v>1.0045203415369162E-3</v>
      </c>
      <c r="H108" s="44">
        <f t="shared" si="39"/>
        <v>3.0838774485183327E-2</v>
      </c>
      <c r="I108" s="44">
        <f t="shared" si="39"/>
        <v>0.11019588146659973</v>
      </c>
      <c r="J108" s="44">
        <f t="shared" si="39"/>
        <v>8.4379708689100979E-3</v>
      </c>
      <c r="K108" s="44">
        <f t="shared" si="39"/>
        <v>9.8442993470617829E-3</v>
      </c>
      <c r="L108" s="44">
        <f t="shared" si="39"/>
        <v>6.9311903566047231E-2</v>
      </c>
      <c r="M108" s="44"/>
      <c r="N108" s="44">
        <f t="shared" si="39"/>
        <v>1.2054244098442994E-3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3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9" tint="-0.249977111117893"/>
  </sheetPr>
  <dimension ref="B1:AF174"/>
  <sheetViews>
    <sheetView view="pageBreakPreview" topLeftCell="L49" zoomScale="60" workbookViewId="0">
      <selection activeCell="AE52" sqref="AE52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>
        <f>'11.8 KIKORONGO-BWERA'!C3:G3</f>
        <v>0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5" t="s">
        <v>166</v>
      </c>
      <c r="E5" s="66"/>
      <c r="F5" s="41" t="s">
        <v>1</v>
      </c>
      <c r="G5" s="63">
        <f>'11.8 KIKORONGO-BWERA'!G5:H5</f>
        <v>0</v>
      </c>
      <c r="H5" s="64"/>
      <c r="I5" s="14"/>
      <c r="J5" s="2" t="s">
        <v>5</v>
      </c>
      <c r="K5" s="63">
        <f>'11.8 KIKORONGO-BWERA'!K5:L5</f>
        <v>0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'11.8 KIKORONGO-BWERA'!D6:E6</f>
        <v>Clocktower</v>
      </c>
      <c r="E6" s="64"/>
      <c r="F6" s="2" t="s">
        <v>2</v>
      </c>
      <c r="G6" s="63" t="str">
        <f>'11.8 KIKORONGO-BWERA'!G6:H6</f>
        <v>Nsambya</v>
      </c>
      <c r="H6" s="64"/>
      <c r="J6" s="2" t="s">
        <v>21</v>
      </c>
      <c r="K6" s="63">
        <f>'11.8 KIKORONGO-BWERA'!K6:L6</f>
        <v>0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AVERAGE('5.8 BWERA-KIKORONGO'!C10,'6.8 BWERA-KIKORONGO'!C10,'7.8 BWERA-KIKORONGO'!C10,'9.8 BWERA-KIKORONGO'!C10,'8.8 BWERA-KIKORONGO-24h'!C10,'10.8 BWERA-KIKORONGO 24HRS'!C10,'11.8 KIKORONGO-BWERA'!C10)</f>
        <v>2.7142857142857144</v>
      </c>
      <c r="D10" s="49">
        <f>AVERAGE('5.8 BWERA-KIKORONGO'!D10,'6.8 BWERA-KIKORONGO'!D10,'7.8 BWERA-KIKORONGO'!D10,'9.8 BWERA-KIKORONGO'!D10,'8.8 BWERA-KIKORONGO-24h'!D10,'10.8 BWERA-KIKORONGO 24HRS'!D10,'11.8 KIKORONGO-BWERA'!D10)</f>
        <v>0</v>
      </c>
      <c r="E10" s="49">
        <f>AVERAGE('5.8 BWERA-KIKORONGO'!E10,'6.8 BWERA-KIKORONGO'!E10,'7.8 BWERA-KIKORONGO'!E10,'9.8 BWERA-KIKORONGO'!E10,'8.8 BWERA-KIKORONGO-24h'!E10,'10.8 BWERA-KIKORONGO 24HRS'!E10,'11.8 KIKORONGO-BWERA'!E10)</f>
        <v>0.8571428571428571</v>
      </c>
      <c r="F10" s="49">
        <f>AVERAGE('5.8 BWERA-KIKORONGO'!F10,'6.8 BWERA-KIKORONGO'!F10,'7.8 BWERA-KIKORONGO'!F10,'9.8 BWERA-KIKORONGO'!F10,'8.8 BWERA-KIKORONGO-24h'!F10,'10.8 BWERA-KIKORONGO 24HRS'!F10,'11.8 KIKORONGO-BWERA'!F10)</f>
        <v>1.8571428571428572</v>
      </c>
      <c r="G10" s="49">
        <f>AVERAGE('5.8 BWERA-KIKORONGO'!G10,'6.8 BWERA-KIKORONGO'!G10,'7.8 BWERA-KIKORONGO'!G10,'9.8 BWERA-KIKORONGO'!G10,'8.8 BWERA-KIKORONGO-24h'!G10,'10.8 BWERA-KIKORONGO 24HRS'!G10,'11.8 KIKORONGO-BWERA'!G10)</f>
        <v>0</v>
      </c>
      <c r="H10" s="49">
        <f>AVERAGE('5.8 BWERA-KIKORONGO'!H10,'6.8 BWERA-KIKORONGO'!H10,'7.8 BWERA-KIKORONGO'!H10,'9.8 BWERA-KIKORONGO'!H10,'8.8 BWERA-KIKORONGO-24h'!H10,'10.8 BWERA-KIKORONGO 24HRS'!H10,'11.8 KIKORONGO-BWERA'!H10)</f>
        <v>0.14285714285714285</v>
      </c>
      <c r="I10" s="49">
        <f>AVERAGE('5.8 BWERA-KIKORONGO'!I10,'6.8 BWERA-KIKORONGO'!I10,'7.8 BWERA-KIKORONGO'!I10,'9.8 BWERA-KIKORONGO'!I10,'8.8 BWERA-KIKORONGO-24h'!I10,'10.8 BWERA-KIKORONGO 24HRS'!I10,'11.8 KIKORONGO-BWERA'!I10)</f>
        <v>1.4285714285714286</v>
      </c>
      <c r="J10" s="49">
        <f>AVERAGE('5.8 BWERA-KIKORONGO'!J10,'6.8 BWERA-KIKORONGO'!J10,'7.8 BWERA-KIKORONGO'!J10,'9.8 BWERA-KIKORONGO'!J10,'8.8 BWERA-KIKORONGO-24h'!J10,'10.8 BWERA-KIKORONGO 24HRS'!J10,'11.8 KIKORONGO-BWERA'!J10)</f>
        <v>0.7142857142857143</v>
      </c>
      <c r="K10" s="49">
        <f>AVERAGE('5.8 BWERA-KIKORONGO'!K10,'6.8 BWERA-KIKORONGO'!K10,'7.8 BWERA-KIKORONGO'!K10,'9.8 BWERA-KIKORONGO'!K10,'8.8 BWERA-KIKORONGO-24h'!K10,'10.8 BWERA-KIKORONGO 24HRS'!K10,'11.8 KIKORONGO-BWERA'!K10)</f>
        <v>0</v>
      </c>
      <c r="L10" s="49">
        <f>AVERAGE('5.8 BWERA-KIKORONGO'!L10,'6.8 BWERA-KIKORONGO'!L10,'7.8 BWERA-KIKORONGO'!L10,'9.8 BWERA-KIKORONGO'!L10,'8.8 BWERA-KIKORONGO-24h'!L10,'10.8 BWERA-KIKORONGO 24HRS'!L10,'11.8 KIKORONGO-BWERA'!L10)</f>
        <v>0.8571428571428571</v>
      </c>
      <c r="M10" s="49">
        <f>AVERAGE('5.8 BWERA-KIKORONGO'!M10,'6.8 BWERA-KIKORONGO'!M10,'7.8 BWERA-KIKORONGO'!M10,'9.8 BWERA-KIKORONGO'!M10,'8.8 BWERA-KIKORONGO-24h'!M10,'10.8 BWERA-KIKORONGO 24HRS'!M10,'11.8 KIKORONGO-BWERA'!M10)</f>
        <v>1.7142857142857142</v>
      </c>
      <c r="N10" s="49">
        <f>AVERAGE('5.8 BWERA-KIKORONGO'!N10,'6.8 BWERA-KIKORONGO'!N10,'7.8 BWERA-KIKORONGO'!N10,'9.8 BWERA-KIKORONGO'!N10,'8.8 BWERA-KIKORONGO-24h'!N10,'10.8 BWERA-KIKORONGO 24HRS'!N10,'11.8 KIKORONGO-BWERA'!N10)</f>
        <v>0</v>
      </c>
      <c r="O10" s="15">
        <f t="shared" ref="O10:O73" si="0">SUM(C10:L10,N10)</f>
        <v>8.571428571428573</v>
      </c>
      <c r="P10" s="15">
        <f t="shared" ref="P10:P73" si="1">SUM(C10:N10)</f>
        <v>10.285714285714286</v>
      </c>
      <c r="R10" s="1" t="s">
        <v>6</v>
      </c>
      <c r="S10" s="17">
        <f t="shared" ref="S10:AF10" si="2">SUM(C10:C13)</f>
        <v>9.7142857142857153</v>
      </c>
      <c r="T10" s="17">
        <f t="shared" si="2"/>
        <v>0</v>
      </c>
      <c r="U10" s="17">
        <f t="shared" si="2"/>
        <v>5.1428571428571423</v>
      </c>
      <c r="V10" s="17">
        <f t="shared" si="2"/>
        <v>5.4285714285714288</v>
      </c>
      <c r="W10" s="17">
        <f t="shared" si="2"/>
        <v>0.14285714285714285</v>
      </c>
      <c r="X10" s="17">
        <f t="shared" si="2"/>
        <v>1.1428571428571428</v>
      </c>
      <c r="Y10" s="17">
        <f t="shared" si="2"/>
        <v>6.5714285714285712</v>
      </c>
      <c r="Z10" s="17">
        <f t="shared" si="2"/>
        <v>2</v>
      </c>
      <c r="AA10" s="17">
        <f t="shared" si="2"/>
        <v>0.71428571428571419</v>
      </c>
      <c r="AB10" s="17">
        <f t="shared" si="2"/>
        <v>2.1428571428571428</v>
      </c>
      <c r="AC10" s="17">
        <f t="shared" si="2"/>
        <v>9.8571428571428577</v>
      </c>
      <c r="AD10" s="17">
        <f t="shared" si="2"/>
        <v>0</v>
      </c>
      <c r="AE10" s="31">
        <f t="shared" si="2"/>
        <v>33</v>
      </c>
      <c r="AF10" s="31">
        <f t="shared" si="2"/>
        <v>42.857142857142861</v>
      </c>
    </row>
    <row r="11" spans="2:32" s="6" customFormat="1" ht="23.1" customHeight="1" x14ac:dyDescent="0.25">
      <c r="B11" s="23" t="s">
        <v>38</v>
      </c>
      <c r="C11" s="49">
        <f>AVERAGE('5.8 BWERA-KIKORONGO'!C11,'6.8 BWERA-KIKORONGO'!C11,'7.8 BWERA-KIKORONGO'!C11,'9.8 BWERA-KIKORONGO'!C11,'8.8 BWERA-KIKORONGO-24h'!C11,'10.8 BWERA-KIKORONGO 24HRS'!C11,'11.8 KIKORONGO-BWERA'!C11)</f>
        <v>2.1428571428571428</v>
      </c>
      <c r="D11" s="49">
        <f>AVERAGE('5.8 BWERA-KIKORONGO'!D11,'6.8 BWERA-KIKORONGO'!D11,'7.8 BWERA-KIKORONGO'!D11,'9.8 BWERA-KIKORONGO'!D11,'8.8 BWERA-KIKORONGO-24h'!D11,'10.8 BWERA-KIKORONGO 24HRS'!D11,'11.8 KIKORONGO-BWERA'!D11)</f>
        <v>0</v>
      </c>
      <c r="E11" s="49">
        <f>AVERAGE('5.8 BWERA-KIKORONGO'!E11,'6.8 BWERA-KIKORONGO'!E11,'7.8 BWERA-KIKORONGO'!E11,'9.8 BWERA-KIKORONGO'!E11,'8.8 BWERA-KIKORONGO-24h'!E11,'10.8 BWERA-KIKORONGO 24HRS'!E11,'11.8 KIKORONGO-BWERA'!E11)</f>
        <v>1.2857142857142858</v>
      </c>
      <c r="F11" s="49">
        <f>AVERAGE('5.8 BWERA-KIKORONGO'!F11,'6.8 BWERA-KIKORONGO'!F11,'7.8 BWERA-KIKORONGO'!F11,'9.8 BWERA-KIKORONGO'!F11,'8.8 BWERA-KIKORONGO-24h'!F11,'10.8 BWERA-KIKORONGO 24HRS'!F11,'11.8 KIKORONGO-BWERA'!F11)</f>
        <v>1.1428571428571428</v>
      </c>
      <c r="G11" s="49">
        <f>AVERAGE('5.8 BWERA-KIKORONGO'!G11,'6.8 BWERA-KIKORONGO'!G11,'7.8 BWERA-KIKORONGO'!G11,'9.8 BWERA-KIKORONGO'!G11,'8.8 BWERA-KIKORONGO-24h'!G11,'10.8 BWERA-KIKORONGO 24HRS'!G11,'11.8 KIKORONGO-BWERA'!G11)</f>
        <v>0</v>
      </c>
      <c r="H11" s="49">
        <f>AVERAGE('5.8 BWERA-KIKORONGO'!H11,'6.8 BWERA-KIKORONGO'!H11,'7.8 BWERA-KIKORONGO'!H11,'9.8 BWERA-KIKORONGO'!H11,'8.8 BWERA-KIKORONGO-24h'!H11,'10.8 BWERA-KIKORONGO 24HRS'!H11,'11.8 KIKORONGO-BWERA'!H11)</f>
        <v>0.42857142857142855</v>
      </c>
      <c r="I11" s="49">
        <f>AVERAGE('5.8 BWERA-KIKORONGO'!I11,'6.8 BWERA-KIKORONGO'!I11,'7.8 BWERA-KIKORONGO'!I11,'9.8 BWERA-KIKORONGO'!I11,'8.8 BWERA-KIKORONGO-24h'!I11,'10.8 BWERA-KIKORONGO 24HRS'!I11,'11.8 KIKORONGO-BWERA'!I11)</f>
        <v>1.1428571428571428</v>
      </c>
      <c r="J11" s="49">
        <f>AVERAGE('5.8 BWERA-KIKORONGO'!J11,'6.8 BWERA-KIKORONGO'!J11,'7.8 BWERA-KIKORONGO'!J11,'9.8 BWERA-KIKORONGO'!J11,'8.8 BWERA-KIKORONGO-24h'!J11,'10.8 BWERA-KIKORONGO 24HRS'!J11,'11.8 KIKORONGO-BWERA'!J11)</f>
        <v>0.7142857142857143</v>
      </c>
      <c r="K11" s="49">
        <f>AVERAGE('5.8 BWERA-KIKORONGO'!K11,'6.8 BWERA-KIKORONGO'!K11,'7.8 BWERA-KIKORONGO'!K11,'9.8 BWERA-KIKORONGO'!K11,'8.8 BWERA-KIKORONGO-24h'!K11,'10.8 BWERA-KIKORONGO 24HRS'!K11,'11.8 KIKORONGO-BWERA'!K11)</f>
        <v>0.2857142857142857</v>
      </c>
      <c r="L11" s="49">
        <f>AVERAGE('5.8 BWERA-KIKORONGO'!L11,'6.8 BWERA-KIKORONGO'!L11,'7.8 BWERA-KIKORONGO'!L11,'9.8 BWERA-KIKORONGO'!L11,'8.8 BWERA-KIKORONGO-24h'!L11,'10.8 BWERA-KIKORONGO 24HRS'!L11,'11.8 KIKORONGO-BWERA'!L11)</f>
        <v>0.7142857142857143</v>
      </c>
      <c r="M11" s="49">
        <f>AVERAGE('5.8 BWERA-KIKORONGO'!M11,'6.8 BWERA-KIKORONGO'!M11,'7.8 BWERA-KIKORONGO'!M11,'9.8 BWERA-KIKORONGO'!M11,'8.8 BWERA-KIKORONGO-24h'!M11,'10.8 BWERA-KIKORONGO 24HRS'!M11,'11.8 KIKORONGO-BWERA'!M11)</f>
        <v>1.8571428571428572</v>
      </c>
      <c r="N11" s="49">
        <f>AVERAGE('5.8 BWERA-KIKORONGO'!N11,'6.8 BWERA-KIKORONGO'!N11,'7.8 BWERA-KIKORONGO'!N11,'9.8 BWERA-KIKORONGO'!N11,'8.8 BWERA-KIKORONGO-24h'!N11,'10.8 BWERA-KIKORONGO 24HRS'!N11,'11.8 KIKORONGO-BWERA'!N11)</f>
        <v>0</v>
      </c>
      <c r="O11" s="15">
        <f t="shared" si="0"/>
        <v>7.8571428571428568</v>
      </c>
      <c r="P11" s="15">
        <f t="shared" si="1"/>
        <v>9.7142857142857135</v>
      </c>
      <c r="R11" s="1" t="s">
        <v>7</v>
      </c>
      <c r="S11" s="17">
        <f t="shared" ref="S11:AF11" si="3">SUM(C14:C17)</f>
        <v>15.571428571428573</v>
      </c>
      <c r="T11" s="17">
        <f t="shared" si="3"/>
        <v>0</v>
      </c>
      <c r="U11" s="17">
        <f t="shared" si="3"/>
        <v>8.8571428571428577</v>
      </c>
      <c r="V11" s="17">
        <f t="shared" si="3"/>
        <v>8.8571428571428577</v>
      </c>
      <c r="W11" s="17">
        <f t="shared" si="3"/>
        <v>0</v>
      </c>
      <c r="X11" s="17">
        <f t="shared" si="3"/>
        <v>0.71428571428571419</v>
      </c>
      <c r="Y11" s="17">
        <f t="shared" si="3"/>
        <v>6.5714285714285712</v>
      </c>
      <c r="Z11" s="17">
        <f t="shared" si="3"/>
        <v>1.7142857142857144</v>
      </c>
      <c r="AA11" s="17">
        <f t="shared" si="3"/>
        <v>0.2857142857142857</v>
      </c>
      <c r="AB11" s="17">
        <f t="shared" si="3"/>
        <v>0.85714285714285698</v>
      </c>
      <c r="AC11" s="17">
        <f t="shared" si="3"/>
        <v>15.714285714285714</v>
      </c>
      <c r="AD11" s="17">
        <f t="shared" si="3"/>
        <v>0</v>
      </c>
      <c r="AE11" s="31">
        <f t="shared" si="3"/>
        <v>43.428571428571431</v>
      </c>
      <c r="AF11" s="31">
        <f t="shared" si="3"/>
        <v>59.142857142857146</v>
      </c>
    </row>
    <row r="12" spans="2:32" ht="23.1" customHeight="1" x14ac:dyDescent="0.25">
      <c r="B12" s="23" t="s">
        <v>39</v>
      </c>
      <c r="C12" s="49">
        <f>AVERAGE('5.8 BWERA-KIKORONGO'!C12,'6.8 BWERA-KIKORONGO'!C12,'7.8 BWERA-KIKORONGO'!C12,'9.8 BWERA-KIKORONGO'!C12,'8.8 BWERA-KIKORONGO-24h'!C12,'10.8 BWERA-KIKORONGO 24HRS'!C12,'11.8 KIKORONGO-BWERA'!C12)</f>
        <v>1.8571428571428572</v>
      </c>
      <c r="D12" s="49">
        <f>AVERAGE('5.8 BWERA-KIKORONGO'!D12,'6.8 BWERA-KIKORONGO'!D12,'7.8 BWERA-KIKORONGO'!D12,'9.8 BWERA-KIKORONGO'!D12,'8.8 BWERA-KIKORONGO-24h'!D12,'10.8 BWERA-KIKORONGO 24HRS'!D12,'11.8 KIKORONGO-BWERA'!D12)</f>
        <v>0</v>
      </c>
      <c r="E12" s="49">
        <f>AVERAGE('5.8 BWERA-KIKORONGO'!E12,'6.8 BWERA-KIKORONGO'!E12,'7.8 BWERA-KIKORONGO'!E12,'9.8 BWERA-KIKORONGO'!E12,'8.8 BWERA-KIKORONGO-24h'!E12,'10.8 BWERA-KIKORONGO 24HRS'!E12,'11.8 KIKORONGO-BWERA'!E12)</f>
        <v>1.8571428571428572</v>
      </c>
      <c r="F12" s="49">
        <f>AVERAGE('5.8 BWERA-KIKORONGO'!F12,'6.8 BWERA-KIKORONGO'!F12,'7.8 BWERA-KIKORONGO'!F12,'9.8 BWERA-KIKORONGO'!F12,'8.8 BWERA-KIKORONGO-24h'!F12,'10.8 BWERA-KIKORONGO 24HRS'!F12,'11.8 KIKORONGO-BWERA'!F12)</f>
        <v>1.2857142857142858</v>
      </c>
      <c r="G12" s="49">
        <f>AVERAGE('5.8 BWERA-KIKORONGO'!G12,'6.8 BWERA-KIKORONGO'!G12,'7.8 BWERA-KIKORONGO'!G12,'9.8 BWERA-KIKORONGO'!G12,'8.8 BWERA-KIKORONGO-24h'!G12,'10.8 BWERA-KIKORONGO 24HRS'!G12,'11.8 KIKORONGO-BWERA'!G12)</f>
        <v>0</v>
      </c>
      <c r="H12" s="49">
        <f>AVERAGE('5.8 BWERA-KIKORONGO'!H12,'6.8 BWERA-KIKORONGO'!H12,'7.8 BWERA-KIKORONGO'!H12,'9.8 BWERA-KIKORONGO'!H12,'8.8 BWERA-KIKORONGO-24h'!H12,'10.8 BWERA-KIKORONGO 24HRS'!H12,'11.8 KIKORONGO-BWERA'!H12)</f>
        <v>0.14285714285714285</v>
      </c>
      <c r="I12" s="49">
        <f>AVERAGE('5.8 BWERA-KIKORONGO'!I12,'6.8 BWERA-KIKORONGO'!I12,'7.8 BWERA-KIKORONGO'!I12,'9.8 BWERA-KIKORONGO'!I12,'8.8 BWERA-KIKORONGO-24h'!I12,'10.8 BWERA-KIKORONGO 24HRS'!I12,'11.8 KIKORONGO-BWERA'!I12)</f>
        <v>2.2857142857142856</v>
      </c>
      <c r="J12" s="49">
        <f>AVERAGE('5.8 BWERA-KIKORONGO'!J12,'6.8 BWERA-KIKORONGO'!J12,'7.8 BWERA-KIKORONGO'!J12,'9.8 BWERA-KIKORONGO'!J12,'8.8 BWERA-KIKORONGO-24h'!J12,'10.8 BWERA-KIKORONGO 24HRS'!J12,'11.8 KIKORONGO-BWERA'!J12)</f>
        <v>0.5714285714285714</v>
      </c>
      <c r="K12" s="49">
        <f>AVERAGE('5.8 BWERA-KIKORONGO'!K12,'6.8 BWERA-KIKORONGO'!K12,'7.8 BWERA-KIKORONGO'!K12,'9.8 BWERA-KIKORONGO'!K12,'8.8 BWERA-KIKORONGO-24h'!K12,'10.8 BWERA-KIKORONGO 24HRS'!K12,'11.8 KIKORONGO-BWERA'!K12)</f>
        <v>0</v>
      </c>
      <c r="L12" s="49">
        <f>AVERAGE('5.8 BWERA-KIKORONGO'!L12,'6.8 BWERA-KIKORONGO'!L12,'7.8 BWERA-KIKORONGO'!L12,'9.8 BWERA-KIKORONGO'!L12,'8.8 BWERA-KIKORONGO-24h'!L12,'10.8 BWERA-KIKORONGO 24HRS'!L12,'11.8 KIKORONGO-BWERA'!L12)</f>
        <v>0.42857142857142855</v>
      </c>
      <c r="M12" s="49">
        <f>AVERAGE('5.8 BWERA-KIKORONGO'!M12,'6.8 BWERA-KIKORONGO'!M12,'7.8 BWERA-KIKORONGO'!M12,'9.8 BWERA-KIKORONGO'!M12,'8.8 BWERA-KIKORONGO-24h'!M12,'10.8 BWERA-KIKORONGO 24HRS'!M12,'11.8 KIKORONGO-BWERA'!M12)</f>
        <v>3.2857142857142856</v>
      </c>
      <c r="N12" s="49">
        <f>AVERAGE('5.8 BWERA-KIKORONGO'!N12,'6.8 BWERA-KIKORONGO'!N12,'7.8 BWERA-KIKORONGO'!N12,'9.8 BWERA-KIKORONGO'!N12,'8.8 BWERA-KIKORONGO-24h'!N12,'10.8 BWERA-KIKORONGO 24HRS'!N12,'11.8 KIKORONGO-BWERA'!N12)</f>
        <v>0</v>
      </c>
      <c r="O12" s="15">
        <f t="shared" si="0"/>
        <v>8.4285714285714288</v>
      </c>
      <c r="P12" s="15">
        <f t="shared" si="1"/>
        <v>11.714285714285715</v>
      </c>
      <c r="R12" s="1" t="s">
        <v>8</v>
      </c>
      <c r="S12" s="17">
        <f t="shared" ref="S12:AF12" si="4">SUM(C18:C21)</f>
        <v>20.285714285714285</v>
      </c>
      <c r="T12" s="17">
        <f t="shared" si="4"/>
        <v>0</v>
      </c>
      <c r="U12" s="17">
        <f t="shared" si="4"/>
        <v>12</v>
      </c>
      <c r="V12" s="17">
        <f t="shared" si="4"/>
        <v>9.7142857142857153</v>
      </c>
      <c r="W12" s="17">
        <f t="shared" si="4"/>
        <v>0.42857142857142855</v>
      </c>
      <c r="X12" s="17">
        <f t="shared" si="4"/>
        <v>0.2857142857142857</v>
      </c>
      <c r="Y12" s="17">
        <f t="shared" si="4"/>
        <v>6.5714285714285721</v>
      </c>
      <c r="Z12" s="17">
        <f t="shared" si="4"/>
        <v>1.9999999999999998</v>
      </c>
      <c r="AA12" s="17">
        <f t="shared" si="4"/>
        <v>0.14285714285714285</v>
      </c>
      <c r="AB12" s="17">
        <f t="shared" si="4"/>
        <v>1.2857142857142856</v>
      </c>
      <c r="AC12" s="17">
        <f t="shared" si="4"/>
        <v>13.142857142857142</v>
      </c>
      <c r="AD12" s="17">
        <f t="shared" si="4"/>
        <v>0</v>
      </c>
      <c r="AE12" s="31">
        <f t="shared" si="4"/>
        <v>52.714285714285722</v>
      </c>
      <c r="AF12" s="31">
        <f t="shared" si="4"/>
        <v>65.857142857142861</v>
      </c>
    </row>
    <row r="13" spans="2:32" ht="23.1" customHeight="1" x14ac:dyDescent="0.25">
      <c r="B13" s="23" t="s">
        <v>40</v>
      </c>
      <c r="C13" s="49">
        <f>AVERAGE('5.8 BWERA-KIKORONGO'!C13,'6.8 BWERA-KIKORONGO'!C13,'7.8 BWERA-KIKORONGO'!C13,'9.8 BWERA-KIKORONGO'!C13,'8.8 BWERA-KIKORONGO-24h'!C13,'10.8 BWERA-KIKORONGO 24HRS'!C13,'11.8 KIKORONGO-BWERA'!C13)</f>
        <v>3</v>
      </c>
      <c r="D13" s="49">
        <f>AVERAGE('5.8 BWERA-KIKORONGO'!D13,'6.8 BWERA-KIKORONGO'!D13,'7.8 BWERA-KIKORONGO'!D13,'9.8 BWERA-KIKORONGO'!D13,'8.8 BWERA-KIKORONGO-24h'!D13,'10.8 BWERA-KIKORONGO 24HRS'!D13,'11.8 KIKORONGO-BWERA'!D13)</f>
        <v>0</v>
      </c>
      <c r="E13" s="49">
        <f>AVERAGE('5.8 BWERA-KIKORONGO'!E13,'6.8 BWERA-KIKORONGO'!E13,'7.8 BWERA-KIKORONGO'!E13,'9.8 BWERA-KIKORONGO'!E13,'8.8 BWERA-KIKORONGO-24h'!E13,'10.8 BWERA-KIKORONGO 24HRS'!E13,'11.8 KIKORONGO-BWERA'!E13)</f>
        <v>1.1428571428571428</v>
      </c>
      <c r="F13" s="49">
        <f>AVERAGE('5.8 BWERA-KIKORONGO'!F13,'6.8 BWERA-KIKORONGO'!F13,'7.8 BWERA-KIKORONGO'!F13,'9.8 BWERA-KIKORONGO'!F13,'8.8 BWERA-KIKORONGO-24h'!F13,'10.8 BWERA-KIKORONGO 24HRS'!F13,'11.8 KIKORONGO-BWERA'!F13)</f>
        <v>1.1428571428571428</v>
      </c>
      <c r="G13" s="49">
        <f>AVERAGE('5.8 BWERA-KIKORONGO'!G13,'6.8 BWERA-KIKORONGO'!G13,'7.8 BWERA-KIKORONGO'!G13,'9.8 BWERA-KIKORONGO'!G13,'8.8 BWERA-KIKORONGO-24h'!G13,'10.8 BWERA-KIKORONGO 24HRS'!G13,'11.8 KIKORONGO-BWERA'!G13)</f>
        <v>0.14285714285714285</v>
      </c>
      <c r="H13" s="49">
        <f>AVERAGE('5.8 BWERA-KIKORONGO'!H13,'6.8 BWERA-KIKORONGO'!H13,'7.8 BWERA-KIKORONGO'!H13,'9.8 BWERA-KIKORONGO'!H13,'8.8 BWERA-KIKORONGO-24h'!H13,'10.8 BWERA-KIKORONGO 24HRS'!H13,'11.8 KIKORONGO-BWERA'!H13)</f>
        <v>0.42857142857142855</v>
      </c>
      <c r="I13" s="49">
        <f>AVERAGE('5.8 BWERA-KIKORONGO'!I13,'6.8 BWERA-KIKORONGO'!I13,'7.8 BWERA-KIKORONGO'!I13,'9.8 BWERA-KIKORONGO'!I13,'8.8 BWERA-KIKORONGO-24h'!I13,'10.8 BWERA-KIKORONGO 24HRS'!I13,'11.8 KIKORONGO-BWERA'!I13)</f>
        <v>1.7142857142857142</v>
      </c>
      <c r="J13" s="49">
        <f>AVERAGE('5.8 BWERA-KIKORONGO'!J13,'6.8 BWERA-KIKORONGO'!J13,'7.8 BWERA-KIKORONGO'!J13,'9.8 BWERA-KIKORONGO'!J13,'8.8 BWERA-KIKORONGO-24h'!J13,'10.8 BWERA-KIKORONGO 24HRS'!J13,'11.8 KIKORONGO-BWERA'!J13)</f>
        <v>0</v>
      </c>
      <c r="K13" s="49">
        <f>AVERAGE('5.8 BWERA-KIKORONGO'!K13,'6.8 BWERA-KIKORONGO'!K13,'7.8 BWERA-KIKORONGO'!K13,'9.8 BWERA-KIKORONGO'!K13,'8.8 BWERA-KIKORONGO-24h'!K13,'10.8 BWERA-KIKORONGO 24HRS'!K13,'11.8 KIKORONGO-BWERA'!K13)</f>
        <v>0.42857142857142855</v>
      </c>
      <c r="L13" s="49">
        <f>AVERAGE('5.8 BWERA-KIKORONGO'!L13,'6.8 BWERA-KIKORONGO'!L13,'7.8 BWERA-KIKORONGO'!L13,'9.8 BWERA-KIKORONGO'!L13,'8.8 BWERA-KIKORONGO-24h'!L13,'10.8 BWERA-KIKORONGO 24HRS'!L13,'11.8 KIKORONGO-BWERA'!L13)</f>
        <v>0.14285714285714285</v>
      </c>
      <c r="M13" s="49">
        <f>AVERAGE('5.8 BWERA-KIKORONGO'!M13,'6.8 BWERA-KIKORONGO'!M13,'7.8 BWERA-KIKORONGO'!M13,'9.8 BWERA-KIKORONGO'!M13,'8.8 BWERA-KIKORONGO-24h'!M13,'10.8 BWERA-KIKORONGO 24HRS'!M13,'11.8 KIKORONGO-BWERA'!M13)</f>
        <v>3</v>
      </c>
      <c r="N13" s="49">
        <f>AVERAGE('5.8 BWERA-KIKORONGO'!N13,'6.8 BWERA-KIKORONGO'!N13,'7.8 BWERA-KIKORONGO'!N13,'9.8 BWERA-KIKORONGO'!N13,'8.8 BWERA-KIKORONGO-24h'!N13,'10.8 BWERA-KIKORONGO 24HRS'!N13,'11.8 KIKORONGO-BWERA'!N13)</f>
        <v>0</v>
      </c>
      <c r="O13" s="15">
        <f t="shared" si="0"/>
        <v>8.1428571428571423</v>
      </c>
      <c r="P13" s="15">
        <f t="shared" si="1"/>
        <v>11.142857142857142</v>
      </c>
      <c r="R13" s="1" t="s">
        <v>9</v>
      </c>
      <c r="S13" s="17">
        <f t="shared" ref="S13:AF13" si="5">SUM(C22:C25)</f>
        <v>19.857142857142858</v>
      </c>
      <c r="T13" s="17">
        <f t="shared" si="5"/>
        <v>0</v>
      </c>
      <c r="U13" s="17">
        <f t="shared" si="5"/>
        <v>8.8571428571428577</v>
      </c>
      <c r="V13" s="17">
        <f t="shared" si="5"/>
        <v>13.142857142857142</v>
      </c>
      <c r="W13" s="17">
        <f t="shared" si="5"/>
        <v>0.5714285714285714</v>
      </c>
      <c r="X13" s="17">
        <f t="shared" si="5"/>
        <v>0.42857142857142855</v>
      </c>
      <c r="Y13" s="17">
        <f t="shared" si="5"/>
        <v>5.1428571428571423</v>
      </c>
      <c r="Z13" s="17">
        <f t="shared" si="5"/>
        <v>2.7142857142857144</v>
      </c>
      <c r="AA13" s="17">
        <f t="shared" si="5"/>
        <v>0.14285714285714285</v>
      </c>
      <c r="AB13" s="17">
        <f t="shared" si="5"/>
        <v>2.4285714285714284</v>
      </c>
      <c r="AC13" s="17">
        <f t="shared" si="5"/>
        <v>12.285714285714286</v>
      </c>
      <c r="AD13" s="17">
        <f t="shared" si="5"/>
        <v>0</v>
      </c>
      <c r="AE13" s="31">
        <f t="shared" si="5"/>
        <v>53.285714285714292</v>
      </c>
      <c r="AF13" s="31">
        <f t="shared" si="5"/>
        <v>65.571428571428584</v>
      </c>
    </row>
    <row r="14" spans="2:32" ht="23.1" customHeight="1" x14ac:dyDescent="0.25">
      <c r="B14" s="23" t="s">
        <v>41</v>
      </c>
      <c r="C14" s="49">
        <f>AVERAGE('5.8 BWERA-KIKORONGO'!C14,'6.8 BWERA-KIKORONGO'!C14,'7.8 BWERA-KIKORONGO'!C14,'9.8 BWERA-KIKORONGO'!C14,'8.8 BWERA-KIKORONGO-24h'!C14,'10.8 BWERA-KIKORONGO 24HRS'!C14,'11.8 KIKORONGO-BWERA'!C14)</f>
        <v>3.5714285714285716</v>
      </c>
      <c r="D14" s="49">
        <f>AVERAGE('5.8 BWERA-KIKORONGO'!D14,'6.8 BWERA-KIKORONGO'!D14,'7.8 BWERA-KIKORONGO'!D14,'9.8 BWERA-KIKORONGO'!D14,'8.8 BWERA-KIKORONGO-24h'!D14,'10.8 BWERA-KIKORONGO 24HRS'!D14,'11.8 KIKORONGO-BWERA'!D14)</f>
        <v>0</v>
      </c>
      <c r="E14" s="49">
        <f>AVERAGE('5.8 BWERA-KIKORONGO'!E14,'6.8 BWERA-KIKORONGO'!E14,'7.8 BWERA-KIKORONGO'!E14,'9.8 BWERA-KIKORONGO'!E14,'8.8 BWERA-KIKORONGO-24h'!E14,'10.8 BWERA-KIKORONGO 24HRS'!E14,'11.8 KIKORONGO-BWERA'!E14)</f>
        <v>2.1428571428571428</v>
      </c>
      <c r="F14" s="49">
        <f>AVERAGE('5.8 BWERA-KIKORONGO'!F14,'6.8 BWERA-KIKORONGO'!F14,'7.8 BWERA-KIKORONGO'!F14,'9.8 BWERA-KIKORONGO'!F14,'8.8 BWERA-KIKORONGO-24h'!F14,'10.8 BWERA-KIKORONGO 24HRS'!F14,'11.8 KIKORONGO-BWERA'!F14)</f>
        <v>2.1428571428571428</v>
      </c>
      <c r="G14" s="49">
        <f>AVERAGE('5.8 BWERA-KIKORONGO'!G14,'6.8 BWERA-KIKORONGO'!G14,'7.8 BWERA-KIKORONGO'!G14,'9.8 BWERA-KIKORONGO'!G14,'8.8 BWERA-KIKORONGO-24h'!G14,'10.8 BWERA-KIKORONGO 24HRS'!G14,'11.8 KIKORONGO-BWERA'!G14)</f>
        <v>0</v>
      </c>
      <c r="H14" s="49">
        <f>AVERAGE('5.8 BWERA-KIKORONGO'!H14,'6.8 BWERA-KIKORONGO'!H14,'7.8 BWERA-KIKORONGO'!H14,'9.8 BWERA-KIKORONGO'!H14,'8.8 BWERA-KIKORONGO-24h'!H14,'10.8 BWERA-KIKORONGO 24HRS'!H14,'11.8 KIKORONGO-BWERA'!H14)</f>
        <v>0.42857142857142855</v>
      </c>
      <c r="I14" s="49">
        <f>AVERAGE('5.8 BWERA-KIKORONGO'!I14,'6.8 BWERA-KIKORONGO'!I14,'7.8 BWERA-KIKORONGO'!I14,'9.8 BWERA-KIKORONGO'!I14,'8.8 BWERA-KIKORONGO-24h'!I14,'10.8 BWERA-KIKORONGO 24HRS'!I14,'11.8 KIKORONGO-BWERA'!I14)</f>
        <v>1.7142857142857142</v>
      </c>
      <c r="J14" s="49">
        <f>AVERAGE('5.8 BWERA-KIKORONGO'!J14,'6.8 BWERA-KIKORONGO'!J14,'7.8 BWERA-KIKORONGO'!J14,'9.8 BWERA-KIKORONGO'!J14,'8.8 BWERA-KIKORONGO-24h'!J14,'10.8 BWERA-KIKORONGO 24HRS'!J14,'11.8 KIKORONGO-BWERA'!J14)</f>
        <v>0.5714285714285714</v>
      </c>
      <c r="K14" s="49">
        <f>AVERAGE('5.8 BWERA-KIKORONGO'!K14,'6.8 BWERA-KIKORONGO'!K14,'7.8 BWERA-KIKORONGO'!K14,'9.8 BWERA-KIKORONGO'!K14,'8.8 BWERA-KIKORONGO-24h'!K14,'10.8 BWERA-KIKORONGO 24HRS'!K14,'11.8 KIKORONGO-BWERA'!K14)</f>
        <v>0</v>
      </c>
      <c r="L14" s="49">
        <f>AVERAGE('5.8 BWERA-KIKORONGO'!L14,'6.8 BWERA-KIKORONGO'!L14,'7.8 BWERA-KIKORONGO'!L14,'9.8 BWERA-KIKORONGO'!L14,'8.8 BWERA-KIKORONGO-24h'!L14,'10.8 BWERA-KIKORONGO 24HRS'!L14,'11.8 KIKORONGO-BWERA'!L14)</f>
        <v>0.2857142857142857</v>
      </c>
      <c r="M14" s="49">
        <f>AVERAGE('5.8 BWERA-KIKORONGO'!M14,'6.8 BWERA-KIKORONGO'!M14,'7.8 BWERA-KIKORONGO'!M14,'9.8 BWERA-KIKORONGO'!M14,'8.8 BWERA-KIKORONGO-24h'!M14,'10.8 BWERA-KIKORONGO 24HRS'!M14,'11.8 KIKORONGO-BWERA'!M14)</f>
        <v>4.4285714285714288</v>
      </c>
      <c r="N14" s="49">
        <f>AVERAGE('5.8 BWERA-KIKORONGO'!N14,'6.8 BWERA-KIKORONGO'!N14,'7.8 BWERA-KIKORONGO'!N14,'9.8 BWERA-KIKORONGO'!N14,'8.8 BWERA-KIKORONGO-24h'!N14,'10.8 BWERA-KIKORONGO 24HRS'!N14,'11.8 KIKORONGO-BWERA'!N14)</f>
        <v>0</v>
      </c>
      <c r="O14" s="15">
        <f t="shared" si="0"/>
        <v>10.857142857142858</v>
      </c>
      <c r="P14" s="15">
        <f t="shared" si="1"/>
        <v>15.285714285714286</v>
      </c>
      <c r="R14" s="1" t="s">
        <v>10</v>
      </c>
      <c r="S14" s="17">
        <f t="shared" ref="S14:AF14" si="6">SUM(C26:C29)</f>
        <v>21.571428571428573</v>
      </c>
      <c r="T14" s="17">
        <f t="shared" si="6"/>
        <v>0</v>
      </c>
      <c r="U14" s="17">
        <f t="shared" si="6"/>
        <v>7.8571428571428577</v>
      </c>
      <c r="V14" s="17">
        <f t="shared" si="6"/>
        <v>10.285714285714285</v>
      </c>
      <c r="W14" s="17">
        <f t="shared" si="6"/>
        <v>0</v>
      </c>
      <c r="X14" s="17">
        <f t="shared" si="6"/>
        <v>0.14285714285714285</v>
      </c>
      <c r="Y14" s="17">
        <f t="shared" si="6"/>
        <v>2.4285714285714288</v>
      </c>
      <c r="Z14" s="17">
        <f t="shared" si="6"/>
        <v>2.5714285714285716</v>
      </c>
      <c r="AA14" s="17">
        <f t="shared" si="6"/>
        <v>0</v>
      </c>
      <c r="AB14" s="17">
        <f t="shared" si="6"/>
        <v>2.1428571428571428</v>
      </c>
      <c r="AC14" s="17">
        <f t="shared" si="6"/>
        <v>17.285714285714285</v>
      </c>
      <c r="AD14" s="17">
        <f t="shared" si="6"/>
        <v>0.14285714285714285</v>
      </c>
      <c r="AE14" s="31">
        <f t="shared" si="6"/>
        <v>47.142857142857146</v>
      </c>
      <c r="AF14" s="31">
        <f t="shared" si="6"/>
        <v>64.428571428571416</v>
      </c>
    </row>
    <row r="15" spans="2:32" ht="23.1" customHeight="1" x14ac:dyDescent="0.25">
      <c r="B15" s="23" t="s">
        <v>42</v>
      </c>
      <c r="C15" s="49">
        <f>AVERAGE('5.8 BWERA-KIKORONGO'!C15,'6.8 BWERA-KIKORONGO'!C15,'7.8 BWERA-KIKORONGO'!C15,'9.8 BWERA-KIKORONGO'!C15,'8.8 BWERA-KIKORONGO-24h'!C15,'10.8 BWERA-KIKORONGO 24HRS'!C15,'11.8 KIKORONGO-BWERA'!C15)</f>
        <v>4.2857142857142856</v>
      </c>
      <c r="D15" s="49">
        <f>AVERAGE('5.8 BWERA-KIKORONGO'!D15,'6.8 BWERA-KIKORONGO'!D15,'7.8 BWERA-KIKORONGO'!D15,'9.8 BWERA-KIKORONGO'!D15,'8.8 BWERA-KIKORONGO-24h'!D15,'10.8 BWERA-KIKORONGO 24HRS'!D15,'11.8 KIKORONGO-BWERA'!D15)</f>
        <v>0</v>
      </c>
      <c r="E15" s="49">
        <f>AVERAGE('5.8 BWERA-KIKORONGO'!E15,'6.8 BWERA-KIKORONGO'!E15,'7.8 BWERA-KIKORONGO'!E15,'9.8 BWERA-KIKORONGO'!E15,'8.8 BWERA-KIKORONGO-24h'!E15,'10.8 BWERA-KIKORONGO 24HRS'!E15,'11.8 KIKORONGO-BWERA'!E15)</f>
        <v>2</v>
      </c>
      <c r="F15" s="49">
        <f>AVERAGE('5.8 BWERA-KIKORONGO'!F15,'6.8 BWERA-KIKORONGO'!F15,'7.8 BWERA-KIKORONGO'!F15,'9.8 BWERA-KIKORONGO'!F15,'8.8 BWERA-KIKORONGO-24h'!F15,'10.8 BWERA-KIKORONGO 24HRS'!F15,'11.8 KIKORONGO-BWERA'!F15)</f>
        <v>1.5714285714285714</v>
      </c>
      <c r="G15" s="49">
        <f>AVERAGE('5.8 BWERA-KIKORONGO'!G15,'6.8 BWERA-KIKORONGO'!G15,'7.8 BWERA-KIKORONGO'!G15,'9.8 BWERA-KIKORONGO'!G15,'8.8 BWERA-KIKORONGO-24h'!G15,'10.8 BWERA-KIKORONGO 24HRS'!G15,'11.8 KIKORONGO-BWERA'!G15)</f>
        <v>0</v>
      </c>
      <c r="H15" s="49">
        <f>AVERAGE('5.8 BWERA-KIKORONGO'!H15,'6.8 BWERA-KIKORONGO'!H15,'7.8 BWERA-KIKORONGO'!H15,'9.8 BWERA-KIKORONGO'!H15,'8.8 BWERA-KIKORONGO-24h'!H15,'10.8 BWERA-KIKORONGO 24HRS'!H15,'11.8 KIKORONGO-BWERA'!H15)</f>
        <v>0.14285714285714285</v>
      </c>
      <c r="I15" s="49">
        <f>AVERAGE('5.8 BWERA-KIKORONGO'!I15,'6.8 BWERA-KIKORONGO'!I15,'7.8 BWERA-KIKORONGO'!I15,'9.8 BWERA-KIKORONGO'!I15,'8.8 BWERA-KIKORONGO-24h'!I15,'10.8 BWERA-KIKORONGO 24HRS'!I15,'11.8 KIKORONGO-BWERA'!I15)</f>
        <v>1.7142857142857142</v>
      </c>
      <c r="J15" s="49">
        <f>AVERAGE('5.8 BWERA-KIKORONGO'!J15,'6.8 BWERA-KIKORONGO'!J15,'7.8 BWERA-KIKORONGO'!J15,'9.8 BWERA-KIKORONGO'!J15,'8.8 BWERA-KIKORONGO-24h'!J15,'10.8 BWERA-KIKORONGO 24HRS'!J15,'11.8 KIKORONGO-BWERA'!J15)</f>
        <v>0.42857142857142855</v>
      </c>
      <c r="K15" s="49">
        <f>AVERAGE('5.8 BWERA-KIKORONGO'!K15,'6.8 BWERA-KIKORONGO'!K15,'7.8 BWERA-KIKORONGO'!K15,'9.8 BWERA-KIKORONGO'!K15,'8.8 BWERA-KIKORONGO-24h'!K15,'10.8 BWERA-KIKORONGO 24HRS'!K15,'11.8 KIKORONGO-BWERA'!K15)</f>
        <v>0</v>
      </c>
      <c r="L15" s="49">
        <f>AVERAGE('5.8 BWERA-KIKORONGO'!L15,'6.8 BWERA-KIKORONGO'!L15,'7.8 BWERA-KIKORONGO'!L15,'9.8 BWERA-KIKORONGO'!L15,'8.8 BWERA-KIKORONGO-24h'!L15,'10.8 BWERA-KIKORONGO 24HRS'!L15,'11.8 KIKORONGO-BWERA'!L15)</f>
        <v>0</v>
      </c>
      <c r="M15" s="49">
        <f>AVERAGE('5.8 BWERA-KIKORONGO'!M15,'6.8 BWERA-KIKORONGO'!M15,'7.8 BWERA-KIKORONGO'!M15,'9.8 BWERA-KIKORONGO'!M15,'8.8 BWERA-KIKORONGO-24h'!M15,'10.8 BWERA-KIKORONGO 24HRS'!M15,'11.8 KIKORONGO-BWERA'!M15)</f>
        <v>4.5714285714285712</v>
      </c>
      <c r="N15" s="49">
        <f>AVERAGE('5.8 BWERA-KIKORONGO'!N15,'6.8 BWERA-KIKORONGO'!N15,'7.8 BWERA-KIKORONGO'!N15,'9.8 BWERA-KIKORONGO'!N15,'8.8 BWERA-KIKORONGO-24h'!N15,'10.8 BWERA-KIKORONGO 24HRS'!N15,'11.8 KIKORONGO-BWERA'!N15)</f>
        <v>0</v>
      </c>
      <c r="O15" s="15">
        <f t="shared" si="0"/>
        <v>10.142857142857142</v>
      </c>
      <c r="P15" s="15">
        <f t="shared" si="1"/>
        <v>14.714285714285714</v>
      </c>
      <c r="R15" s="1" t="s">
        <v>11</v>
      </c>
      <c r="S15" s="17">
        <f t="shared" ref="S15:AF15" si="7">SUM(C30:C33)</f>
        <v>18.571428571428569</v>
      </c>
      <c r="T15" s="17">
        <f t="shared" si="7"/>
        <v>0</v>
      </c>
      <c r="U15" s="17">
        <f t="shared" si="7"/>
        <v>6.5714285714285712</v>
      </c>
      <c r="V15" s="17">
        <f t="shared" si="7"/>
        <v>12.428571428571427</v>
      </c>
      <c r="W15" s="17">
        <f t="shared" si="7"/>
        <v>0.14285714285714285</v>
      </c>
      <c r="X15" s="17">
        <f t="shared" si="7"/>
        <v>0.14285714285714285</v>
      </c>
      <c r="Y15" s="17">
        <f t="shared" si="7"/>
        <v>3.1428571428571428</v>
      </c>
      <c r="Z15" s="17">
        <f t="shared" si="7"/>
        <v>2.5714285714285712</v>
      </c>
      <c r="AA15" s="17">
        <f t="shared" si="7"/>
        <v>0.42857142857142855</v>
      </c>
      <c r="AB15" s="17">
        <f t="shared" si="7"/>
        <v>1.2857142857142856</v>
      </c>
      <c r="AC15" s="17">
        <f t="shared" si="7"/>
        <v>16.714285714285715</v>
      </c>
      <c r="AD15" s="17">
        <f t="shared" si="7"/>
        <v>0</v>
      </c>
      <c r="AE15" s="31">
        <f t="shared" si="7"/>
        <v>45.285714285714285</v>
      </c>
      <c r="AF15" s="31">
        <f t="shared" si="7"/>
        <v>62</v>
      </c>
    </row>
    <row r="16" spans="2:32" ht="23.1" customHeight="1" x14ac:dyDescent="0.25">
      <c r="B16" s="23" t="s">
        <v>43</v>
      </c>
      <c r="C16" s="49">
        <f>AVERAGE('5.8 BWERA-KIKORONGO'!C16,'6.8 BWERA-KIKORONGO'!C16,'7.8 BWERA-KIKORONGO'!C16,'9.8 BWERA-KIKORONGO'!C16,'8.8 BWERA-KIKORONGO-24h'!C16,'10.8 BWERA-KIKORONGO 24HRS'!C16,'11.8 KIKORONGO-BWERA'!C16)</f>
        <v>2.5714285714285716</v>
      </c>
      <c r="D16" s="49">
        <f>AVERAGE('5.8 BWERA-KIKORONGO'!D16,'6.8 BWERA-KIKORONGO'!D16,'7.8 BWERA-KIKORONGO'!D16,'9.8 BWERA-KIKORONGO'!D16,'8.8 BWERA-KIKORONGO-24h'!D16,'10.8 BWERA-KIKORONGO 24HRS'!D16,'11.8 KIKORONGO-BWERA'!D16)</f>
        <v>0</v>
      </c>
      <c r="E16" s="49">
        <f>AVERAGE('5.8 BWERA-KIKORONGO'!E16,'6.8 BWERA-KIKORONGO'!E16,'7.8 BWERA-KIKORONGO'!E16,'9.8 BWERA-KIKORONGO'!E16,'8.8 BWERA-KIKORONGO-24h'!E16,'10.8 BWERA-KIKORONGO 24HRS'!E16,'11.8 KIKORONGO-BWERA'!E16)</f>
        <v>1.8571428571428572</v>
      </c>
      <c r="F16" s="49">
        <f>AVERAGE('5.8 BWERA-KIKORONGO'!F16,'6.8 BWERA-KIKORONGO'!F16,'7.8 BWERA-KIKORONGO'!F16,'9.8 BWERA-KIKORONGO'!F16,'8.8 BWERA-KIKORONGO-24h'!F16,'10.8 BWERA-KIKORONGO 24HRS'!F16,'11.8 KIKORONGO-BWERA'!F16)</f>
        <v>2.7142857142857144</v>
      </c>
      <c r="G16" s="49">
        <f>AVERAGE('5.8 BWERA-KIKORONGO'!G16,'6.8 BWERA-KIKORONGO'!G16,'7.8 BWERA-KIKORONGO'!G16,'9.8 BWERA-KIKORONGO'!G16,'8.8 BWERA-KIKORONGO-24h'!G16,'10.8 BWERA-KIKORONGO 24HRS'!G16,'11.8 KIKORONGO-BWERA'!G16)</f>
        <v>0</v>
      </c>
      <c r="H16" s="49">
        <f>AVERAGE('5.8 BWERA-KIKORONGO'!H16,'6.8 BWERA-KIKORONGO'!H16,'7.8 BWERA-KIKORONGO'!H16,'9.8 BWERA-KIKORONGO'!H16,'8.8 BWERA-KIKORONGO-24h'!H16,'10.8 BWERA-KIKORONGO 24HRS'!H16,'11.8 KIKORONGO-BWERA'!H16)</f>
        <v>0</v>
      </c>
      <c r="I16" s="49">
        <f>AVERAGE('5.8 BWERA-KIKORONGO'!I16,'6.8 BWERA-KIKORONGO'!I16,'7.8 BWERA-KIKORONGO'!I16,'9.8 BWERA-KIKORONGO'!I16,'8.8 BWERA-KIKORONGO-24h'!I16,'10.8 BWERA-KIKORONGO 24HRS'!I16,'11.8 KIKORONGO-BWERA'!I16)</f>
        <v>1.8571428571428572</v>
      </c>
      <c r="J16" s="49">
        <f>AVERAGE('5.8 BWERA-KIKORONGO'!J16,'6.8 BWERA-KIKORONGO'!J16,'7.8 BWERA-KIKORONGO'!J16,'9.8 BWERA-KIKORONGO'!J16,'8.8 BWERA-KIKORONGO-24h'!J16,'10.8 BWERA-KIKORONGO 24HRS'!J16,'11.8 KIKORONGO-BWERA'!J16)</f>
        <v>0.7142857142857143</v>
      </c>
      <c r="K16" s="49">
        <f>AVERAGE('5.8 BWERA-KIKORONGO'!K16,'6.8 BWERA-KIKORONGO'!K16,'7.8 BWERA-KIKORONGO'!K16,'9.8 BWERA-KIKORONGO'!K16,'8.8 BWERA-KIKORONGO-24h'!K16,'10.8 BWERA-KIKORONGO 24HRS'!K16,'11.8 KIKORONGO-BWERA'!K16)</f>
        <v>0.14285714285714285</v>
      </c>
      <c r="L16" s="49">
        <f>AVERAGE('5.8 BWERA-KIKORONGO'!L16,'6.8 BWERA-KIKORONGO'!L16,'7.8 BWERA-KIKORONGO'!L16,'9.8 BWERA-KIKORONGO'!L16,'8.8 BWERA-KIKORONGO-24h'!L16,'10.8 BWERA-KIKORONGO 24HRS'!L16,'11.8 KIKORONGO-BWERA'!L16)</f>
        <v>0.42857142857142855</v>
      </c>
      <c r="M16" s="49">
        <f>AVERAGE('5.8 BWERA-KIKORONGO'!M16,'6.8 BWERA-KIKORONGO'!M16,'7.8 BWERA-KIKORONGO'!M16,'9.8 BWERA-KIKORONGO'!M16,'8.8 BWERA-KIKORONGO-24h'!M16,'10.8 BWERA-KIKORONGO 24HRS'!M16,'11.8 KIKORONGO-BWERA'!M16)</f>
        <v>3.1428571428571428</v>
      </c>
      <c r="N16" s="49">
        <f>AVERAGE('5.8 BWERA-KIKORONGO'!N16,'6.8 BWERA-KIKORONGO'!N16,'7.8 BWERA-KIKORONGO'!N16,'9.8 BWERA-KIKORONGO'!N16,'8.8 BWERA-KIKORONGO-24h'!N16,'10.8 BWERA-KIKORONGO 24HRS'!N16,'11.8 KIKORONGO-BWERA'!N16)</f>
        <v>0</v>
      </c>
      <c r="O16" s="15">
        <f t="shared" si="0"/>
        <v>10.285714285714285</v>
      </c>
      <c r="P16" s="15">
        <f t="shared" si="1"/>
        <v>13.428571428571427</v>
      </c>
      <c r="R16" s="1" t="s">
        <v>12</v>
      </c>
      <c r="S16" s="17">
        <f t="shared" ref="S16:AF16" si="8">SUM(C34:C37)</f>
        <v>24.714285714285715</v>
      </c>
      <c r="T16" s="17">
        <f t="shared" si="8"/>
        <v>0</v>
      </c>
      <c r="U16" s="17">
        <f t="shared" si="8"/>
        <v>9</v>
      </c>
      <c r="V16" s="17">
        <f t="shared" si="8"/>
        <v>13.857142857142858</v>
      </c>
      <c r="W16" s="17">
        <f t="shared" si="8"/>
        <v>0.2857142857142857</v>
      </c>
      <c r="X16" s="17">
        <f t="shared" si="8"/>
        <v>1.4285714285714284</v>
      </c>
      <c r="Y16" s="17">
        <f t="shared" si="8"/>
        <v>4</v>
      </c>
      <c r="Z16" s="17">
        <f t="shared" si="8"/>
        <v>2.1428571428571428</v>
      </c>
      <c r="AA16" s="17">
        <f t="shared" si="8"/>
        <v>0.2857142857142857</v>
      </c>
      <c r="AB16" s="17">
        <f t="shared" si="8"/>
        <v>0.7142857142857143</v>
      </c>
      <c r="AC16" s="17">
        <f t="shared" si="8"/>
        <v>15.285714285714285</v>
      </c>
      <c r="AD16" s="17">
        <f t="shared" si="8"/>
        <v>0.14285714285714285</v>
      </c>
      <c r="AE16" s="31">
        <f t="shared" si="8"/>
        <v>56.571428571428569</v>
      </c>
      <c r="AF16" s="31">
        <f t="shared" si="8"/>
        <v>71.857142857142861</v>
      </c>
    </row>
    <row r="17" spans="2:32" ht="23.1" customHeight="1" x14ac:dyDescent="0.25">
      <c r="B17" s="23" t="s">
        <v>44</v>
      </c>
      <c r="C17" s="49">
        <f>AVERAGE('5.8 BWERA-KIKORONGO'!C17,'6.8 BWERA-KIKORONGO'!C17,'7.8 BWERA-KIKORONGO'!C17,'9.8 BWERA-KIKORONGO'!C17,'8.8 BWERA-KIKORONGO-24h'!C17,'10.8 BWERA-KIKORONGO 24HRS'!C17,'11.8 KIKORONGO-BWERA'!C17)</f>
        <v>5.1428571428571432</v>
      </c>
      <c r="D17" s="49">
        <f>AVERAGE('5.8 BWERA-KIKORONGO'!D17,'6.8 BWERA-KIKORONGO'!D17,'7.8 BWERA-KIKORONGO'!D17,'9.8 BWERA-KIKORONGO'!D17,'8.8 BWERA-KIKORONGO-24h'!D17,'10.8 BWERA-KIKORONGO 24HRS'!D17,'11.8 KIKORONGO-BWERA'!D17)</f>
        <v>0</v>
      </c>
      <c r="E17" s="49">
        <f>AVERAGE('5.8 BWERA-KIKORONGO'!E17,'6.8 BWERA-KIKORONGO'!E17,'7.8 BWERA-KIKORONGO'!E17,'9.8 BWERA-KIKORONGO'!E17,'8.8 BWERA-KIKORONGO-24h'!E17,'10.8 BWERA-KIKORONGO 24HRS'!E17,'11.8 KIKORONGO-BWERA'!E17)</f>
        <v>2.8571428571428572</v>
      </c>
      <c r="F17" s="49">
        <f>AVERAGE('5.8 BWERA-KIKORONGO'!F17,'6.8 BWERA-KIKORONGO'!F17,'7.8 BWERA-KIKORONGO'!F17,'9.8 BWERA-KIKORONGO'!F17,'8.8 BWERA-KIKORONGO-24h'!F17,'10.8 BWERA-KIKORONGO 24HRS'!F17,'11.8 KIKORONGO-BWERA'!F17)</f>
        <v>2.4285714285714284</v>
      </c>
      <c r="G17" s="49">
        <f>AVERAGE('5.8 BWERA-KIKORONGO'!G17,'6.8 BWERA-KIKORONGO'!G17,'7.8 BWERA-KIKORONGO'!G17,'9.8 BWERA-KIKORONGO'!G17,'8.8 BWERA-KIKORONGO-24h'!G17,'10.8 BWERA-KIKORONGO 24HRS'!G17,'11.8 KIKORONGO-BWERA'!G17)</f>
        <v>0</v>
      </c>
      <c r="H17" s="49">
        <f>AVERAGE('5.8 BWERA-KIKORONGO'!H17,'6.8 BWERA-KIKORONGO'!H17,'7.8 BWERA-KIKORONGO'!H17,'9.8 BWERA-KIKORONGO'!H17,'8.8 BWERA-KIKORONGO-24h'!H17,'10.8 BWERA-KIKORONGO 24HRS'!H17,'11.8 KIKORONGO-BWERA'!H17)</f>
        <v>0.14285714285714285</v>
      </c>
      <c r="I17" s="49">
        <f>AVERAGE('5.8 BWERA-KIKORONGO'!I17,'6.8 BWERA-KIKORONGO'!I17,'7.8 BWERA-KIKORONGO'!I17,'9.8 BWERA-KIKORONGO'!I17,'8.8 BWERA-KIKORONGO-24h'!I17,'10.8 BWERA-KIKORONGO 24HRS'!I17,'11.8 KIKORONGO-BWERA'!I17)</f>
        <v>1.2857142857142858</v>
      </c>
      <c r="J17" s="49">
        <f>AVERAGE('5.8 BWERA-KIKORONGO'!J17,'6.8 BWERA-KIKORONGO'!J17,'7.8 BWERA-KIKORONGO'!J17,'9.8 BWERA-KIKORONGO'!J17,'8.8 BWERA-KIKORONGO-24h'!J17,'10.8 BWERA-KIKORONGO 24HRS'!J17,'11.8 KIKORONGO-BWERA'!J17)</f>
        <v>0</v>
      </c>
      <c r="K17" s="49">
        <f>AVERAGE('5.8 BWERA-KIKORONGO'!K17,'6.8 BWERA-KIKORONGO'!K17,'7.8 BWERA-KIKORONGO'!K17,'9.8 BWERA-KIKORONGO'!K17,'8.8 BWERA-KIKORONGO-24h'!K17,'10.8 BWERA-KIKORONGO 24HRS'!K17,'11.8 KIKORONGO-BWERA'!K17)</f>
        <v>0.14285714285714285</v>
      </c>
      <c r="L17" s="49">
        <f>AVERAGE('5.8 BWERA-KIKORONGO'!L17,'6.8 BWERA-KIKORONGO'!L17,'7.8 BWERA-KIKORONGO'!L17,'9.8 BWERA-KIKORONGO'!L17,'8.8 BWERA-KIKORONGO-24h'!L17,'10.8 BWERA-KIKORONGO 24HRS'!L17,'11.8 KIKORONGO-BWERA'!L17)</f>
        <v>0.14285714285714285</v>
      </c>
      <c r="M17" s="49">
        <f>AVERAGE('5.8 BWERA-KIKORONGO'!M17,'6.8 BWERA-KIKORONGO'!M17,'7.8 BWERA-KIKORONGO'!M17,'9.8 BWERA-KIKORONGO'!M17,'8.8 BWERA-KIKORONGO-24h'!M17,'10.8 BWERA-KIKORONGO 24HRS'!M17,'11.8 KIKORONGO-BWERA'!M17)</f>
        <v>3.5714285714285716</v>
      </c>
      <c r="N17" s="49">
        <f>AVERAGE('5.8 BWERA-KIKORONGO'!N17,'6.8 BWERA-KIKORONGO'!N17,'7.8 BWERA-KIKORONGO'!N17,'9.8 BWERA-KIKORONGO'!N17,'8.8 BWERA-KIKORONGO-24h'!N17,'10.8 BWERA-KIKORONGO 24HRS'!N17,'11.8 KIKORONGO-BWERA'!N17)</f>
        <v>0</v>
      </c>
      <c r="O17" s="15">
        <f t="shared" si="0"/>
        <v>12.142857142857142</v>
      </c>
      <c r="P17" s="15">
        <f t="shared" si="1"/>
        <v>15.714285714285714</v>
      </c>
      <c r="R17" s="1" t="s">
        <v>13</v>
      </c>
      <c r="S17" s="17">
        <f t="shared" ref="S17:AF17" si="9">SUM(C38:C41)</f>
        <v>22.714285714285715</v>
      </c>
      <c r="T17" s="17">
        <f t="shared" si="9"/>
        <v>0</v>
      </c>
      <c r="U17" s="17">
        <f t="shared" si="9"/>
        <v>9.4285714285714288</v>
      </c>
      <c r="V17" s="17">
        <f t="shared" si="9"/>
        <v>13.428571428571429</v>
      </c>
      <c r="W17" s="17">
        <f t="shared" si="9"/>
        <v>0.2857142857142857</v>
      </c>
      <c r="X17" s="17">
        <f t="shared" si="9"/>
        <v>1</v>
      </c>
      <c r="Y17" s="17">
        <f t="shared" si="9"/>
        <v>3</v>
      </c>
      <c r="Z17" s="17">
        <f t="shared" si="9"/>
        <v>1.7142857142857144</v>
      </c>
      <c r="AA17" s="17">
        <f t="shared" si="9"/>
        <v>0</v>
      </c>
      <c r="AB17" s="17">
        <f t="shared" si="9"/>
        <v>0.85714285714285698</v>
      </c>
      <c r="AC17" s="17">
        <f t="shared" si="9"/>
        <v>15.857142857142858</v>
      </c>
      <c r="AD17" s="17">
        <f t="shared" si="9"/>
        <v>0.14285714285714285</v>
      </c>
      <c r="AE17" s="31">
        <f t="shared" si="9"/>
        <v>52.571428571428569</v>
      </c>
      <c r="AF17" s="31">
        <f t="shared" si="9"/>
        <v>68.428571428571431</v>
      </c>
    </row>
    <row r="18" spans="2:32" ht="23.1" customHeight="1" x14ac:dyDescent="0.25">
      <c r="B18" s="23" t="s">
        <v>45</v>
      </c>
      <c r="C18" s="49">
        <f>AVERAGE('5.8 BWERA-KIKORONGO'!C18,'6.8 BWERA-KIKORONGO'!C18,'7.8 BWERA-KIKORONGO'!C18,'9.8 BWERA-KIKORONGO'!C18,'8.8 BWERA-KIKORONGO-24h'!C18,'10.8 BWERA-KIKORONGO 24HRS'!C18,'11.8 KIKORONGO-BWERA'!C18)</f>
        <v>5.4285714285714288</v>
      </c>
      <c r="D18" s="49">
        <f>AVERAGE('5.8 BWERA-KIKORONGO'!D18,'6.8 BWERA-KIKORONGO'!D18,'7.8 BWERA-KIKORONGO'!D18,'9.8 BWERA-KIKORONGO'!D18,'8.8 BWERA-KIKORONGO-24h'!D18,'10.8 BWERA-KIKORONGO 24HRS'!D18,'11.8 KIKORONGO-BWERA'!D18)</f>
        <v>0</v>
      </c>
      <c r="E18" s="49">
        <f>AVERAGE('5.8 BWERA-KIKORONGO'!E18,'6.8 BWERA-KIKORONGO'!E18,'7.8 BWERA-KIKORONGO'!E18,'9.8 BWERA-KIKORONGO'!E18,'8.8 BWERA-KIKORONGO-24h'!E18,'10.8 BWERA-KIKORONGO 24HRS'!E18,'11.8 KIKORONGO-BWERA'!E18)</f>
        <v>2.7142857142857144</v>
      </c>
      <c r="F18" s="49">
        <f>AVERAGE('5.8 BWERA-KIKORONGO'!F18,'6.8 BWERA-KIKORONGO'!F18,'7.8 BWERA-KIKORONGO'!F18,'9.8 BWERA-KIKORONGO'!F18,'8.8 BWERA-KIKORONGO-24h'!F18,'10.8 BWERA-KIKORONGO 24HRS'!F18,'11.8 KIKORONGO-BWERA'!F18)</f>
        <v>3.2857142857142856</v>
      </c>
      <c r="G18" s="49">
        <f>AVERAGE('5.8 BWERA-KIKORONGO'!G18,'6.8 BWERA-KIKORONGO'!G18,'7.8 BWERA-KIKORONGO'!G18,'9.8 BWERA-KIKORONGO'!G18,'8.8 BWERA-KIKORONGO-24h'!G18,'10.8 BWERA-KIKORONGO 24HRS'!G18,'11.8 KIKORONGO-BWERA'!G18)</f>
        <v>0.14285714285714285</v>
      </c>
      <c r="H18" s="49">
        <f>AVERAGE('5.8 BWERA-KIKORONGO'!H18,'6.8 BWERA-KIKORONGO'!H18,'7.8 BWERA-KIKORONGO'!H18,'9.8 BWERA-KIKORONGO'!H18,'8.8 BWERA-KIKORONGO-24h'!H18,'10.8 BWERA-KIKORONGO 24HRS'!H18,'11.8 KIKORONGO-BWERA'!H18)</f>
        <v>0</v>
      </c>
      <c r="I18" s="49">
        <f>AVERAGE('5.8 BWERA-KIKORONGO'!I18,'6.8 BWERA-KIKORONGO'!I18,'7.8 BWERA-KIKORONGO'!I18,'9.8 BWERA-KIKORONGO'!I18,'8.8 BWERA-KIKORONGO-24h'!I18,'10.8 BWERA-KIKORONGO 24HRS'!I18,'11.8 KIKORONGO-BWERA'!I18)</f>
        <v>1.4285714285714286</v>
      </c>
      <c r="J18" s="49">
        <f>AVERAGE('5.8 BWERA-KIKORONGO'!J18,'6.8 BWERA-KIKORONGO'!J18,'7.8 BWERA-KIKORONGO'!J18,'9.8 BWERA-KIKORONGO'!J18,'8.8 BWERA-KIKORONGO-24h'!J18,'10.8 BWERA-KIKORONGO 24HRS'!J18,'11.8 KIKORONGO-BWERA'!J18)</f>
        <v>1.1428571428571428</v>
      </c>
      <c r="K18" s="49">
        <f>AVERAGE('5.8 BWERA-KIKORONGO'!K18,'6.8 BWERA-KIKORONGO'!K18,'7.8 BWERA-KIKORONGO'!K18,'9.8 BWERA-KIKORONGO'!K18,'8.8 BWERA-KIKORONGO-24h'!K18,'10.8 BWERA-KIKORONGO 24HRS'!K18,'11.8 KIKORONGO-BWERA'!K18)</f>
        <v>0</v>
      </c>
      <c r="L18" s="49">
        <f>AVERAGE('5.8 BWERA-KIKORONGO'!L18,'6.8 BWERA-KIKORONGO'!L18,'7.8 BWERA-KIKORONGO'!L18,'9.8 BWERA-KIKORONGO'!L18,'8.8 BWERA-KIKORONGO-24h'!L18,'10.8 BWERA-KIKORONGO 24HRS'!L18,'11.8 KIKORONGO-BWERA'!L18)</f>
        <v>0.42857142857142855</v>
      </c>
      <c r="M18" s="49">
        <f>AVERAGE('5.8 BWERA-KIKORONGO'!M18,'6.8 BWERA-KIKORONGO'!M18,'7.8 BWERA-KIKORONGO'!M18,'9.8 BWERA-KIKORONGO'!M18,'8.8 BWERA-KIKORONGO-24h'!M18,'10.8 BWERA-KIKORONGO 24HRS'!M18,'11.8 KIKORONGO-BWERA'!M18)</f>
        <v>3.1428571428571428</v>
      </c>
      <c r="N18" s="49">
        <f>AVERAGE('5.8 BWERA-KIKORONGO'!N18,'6.8 BWERA-KIKORONGO'!N18,'7.8 BWERA-KIKORONGO'!N18,'9.8 BWERA-KIKORONGO'!N18,'8.8 BWERA-KIKORONGO-24h'!N18,'10.8 BWERA-KIKORONGO 24HRS'!N18,'11.8 KIKORONGO-BWERA'!N18)</f>
        <v>0</v>
      </c>
      <c r="O18" s="15">
        <f t="shared" si="0"/>
        <v>14.571428571428569</v>
      </c>
      <c r="P18" s="15">
        <f t="shared" si="1"/>
        <v>17.714285714285712</v>
      </c>
      <c r="R18" s="1" t="s">
        <v>14</v>
      </c>
      <c r="S18" s="17">
        <f t="shared" ref="S18:AF18" si="10">SUM(C42:C45)</f>
        <v>19.142857142857142</v>
      </c>
      <c r="T18" s="17">
        <f t="shared" si="10"/>
        <v>0</v>
      </c>
      <c r="U18" s="17">
        <f t="shared" si="10"/>
        <v>9.5714285714285712</v>
      </c>
      <c r="V18" s="17">
        <f t="shared" si="10"/>
        <v>12.714285714285715</v>
      </c>
      <c r="W18" s="17">
        <f t="shared" si="10"/>
        <v>0.14285714285714285</v>
      </c>
      <c r="X18" s="17">
        <f t="shared" si="10"/>
        <v>0.14285714285714285</v>
      </c>
      <c r="Y18" s="17">
        <f t="shared" si="10"/>
        <v>4.2857142857142856</v>
      </c>
      <c r="Z18" s="17">
        <f t="shared" si="10"/>
        <v>2.714285714285714</v>
      </c>
      <c r="AA18" s="17">
        <f t="shared" si="10"/>
        <v>0.42857142857142855</v>
      </c>
      <c r="AB18" s="17">
        <f t="shared" si="10"/>
        <v>1.4285714285714284</v>
      </c>
      <c r="AC18" s="17">
        <f t="shared" si="10"/>
        <v>13.428571428571429</v>
      </c>
      <c r="AD18" s="17">
        <f t="shared" si="10"/>
        <v>0</v>
      </c>
      <c r="AE18" s="31">
        <f t="shared" si="10"/>
        <v>50.571428571428577</v>
      </c>
      <c r="AF18" s="31">
        <f t="shared" si="10"/>
        <v>64</v>
      </c>
    </row>
    <row r="19" spans="2:32" ht="23.1" customHeight="1" x14ac:dyDescent="0.25">
      <c r="B19" s="23" t="s">
        <v>46</v>
      </c>
      <c r="C19" s="49">
        <f>AVERAGE('5.8 BWERA-KIKORONGO'!C19,'6.8 BWERA-KIKORONGO'!C19,'7.8 BWERA-KIKORONGO'!C19,'9.8 BWERA-KIKORONGO'!C19,'8.8 BWERA-KIKORONGO-24h'!C19,'10.8 BWERA-KIKORONGO 24HRS'!C19,'11.8 KIKORONGO-BWERA'!C19)</f>
        <v>3.2857142857142856</v>
      </c>
      <c r="D19" s="49">
        <f>AVERAGE('5.8 BWERA-KIKORONGO'!D19,'6.8 BWERA-KIKORONGO'!D19,'7.8 BWERA-KIKORONGO'!D19,'9.8 BWERA-KIKORONGO'!D19,'8.8 BWERA-KIKORONGO-24h'!D19,'10.8 BWERA-KIKORONGO 24HRS'!D19,'11.8 KIKORONGO-BWERA'!D19)</f>
        <v>0</v>
      </c>
      <c r="E19" s="49">
        <f>AVERAGE('5.8 BWERA-KIKORONGO'!E19,'6.8 BWERA-KIKORONGO'!E19,'7.8 BWERA-KIKORONGO'!E19,'9.8 BWERA-KIKORONGO'!E19,'8.8 BWERA-KIKORONGO-24h'!E19,'10.8 BWERA-KIKORONGO 24HRS'!E19,'11.8 KIKORONGO-BWERA'!E19)</f>
        <v>2.8571428571428572</v>
      </c>
      <c r="F19" s="49">
        <f>AVERAGE('5.8 BWERA-KIKORONGO'!F19,'6.8 BWERA-KIKORONGO'!F19,'7.8 BWERA-KIKORONGO'!F19,'9.8 BWERA-KIKORONGO'!F19,'8.8 BWERA-KIKORONGO-24h'!F19,'10.8 BWERA-KIKORONGO 24HRS'!F19,'11.8 KIKORONGO-BWERA'!F19)</f>
        <v>2.1428571428571428</v>
      </c>
      <c r="G19" s="49">
        <f>AVERAGE('5.8 BWERA-KIKORONGO'!G19,'6.8 BWERA-KIKORONGO'!G19,'7.8 BWERA-KIKORONGO'!G19,'9.8 BWERA-KIKORONGO'!G19,'8.8 BWERA-KIKORONGO-24h'!G19,'10.8 BWERA-KIKORONGO 24HRS'!G19,'11.8 KIKORONGO-BWERA'!G19)</f>
        <v>0.2857142857142857</v>
      </c>
      <c r="H19" s="49">
        <f>AVERAGE('5.8 BWERA-KIKORONGO'!H19,'6.8 BWERA-KIKORONGO'!H19,'7.8 BWERA-KIKORONGO'!H19,'9.8 BWERA-KIKORONGO'!H19,'8.8 BWERA-KIKORONGO-24h'!H19,'10.8 BWERA-KIKORONGO 24HRS'!H19,'11.8 KIKORONGO-BWERA'!H19)</f>
        <v>0</v>
      </c>
      <c r="I19" s="49">
        <f>AVERAGE('5.8 BWERA-KIKORONGO'!I19,'6.8 BWERA-KIKORONGO'!I19,'7.8 BWERA-KIKORONGO'!I19,'9.8 BWERA-KIKORONGO'!I19,'8.8 BWERA-KIKORONGO-24h'!I19,'10.8 BWERA-KIKORONGO 24HRS'!I19,'11.8 KIKORONGO-BWERA'!I19)</f>
        <v>1.5714285714285714</v>
      </c>
      <c r="J19" s="49">
        <f>AVERAGE('5.8 BWERA-KIKORONGO'!J19,'6.8 BWERA-KIKORONGO'!J19,'7.8 BWERA-KIKORONGO'!J19,'9.8 BWERA-KIKORONGO'!J19,'8.8 BWERA-KIKORONGO-24h'!J19,'10.8 BWERA-KIKORONGO 24HRS'!J19,'11.8 KIKORONGO-BWERA'!J19)</f>
        <v>0.2857142857142857</v>
      </c>
      <c r="K19" s="49">
        <f>AVERAGE('5.8 BWERA-KIKORONGO'!K19,'6.8 BWERA-KIKORONGO'!K19,'7.8 BWERA-KIKORONGO'!K19,'9.8 BWERA-KIKORONGO'!K19,'8.8 BWERA-KIKORONGO-24h'!K19,'10.8 BWERA-KIKORONGO 24HRS'!K19,'11.8 KIKORONGO-BWERA'!K19)</f>
        <v>0.14285714285714285</v>
      </c>
      <c r="L19" s="49">
        <f>AVERAGE('5.8 BWERA-KIKORONGO'!L19,'6.8 BWERA-KIKORONGO'!L19,'7.8 BWERA-KIKORONGO'!L19,'9.8 BWERA-KIKORONGO'!L19,'8.8 BWERA-KIKORONGO-24h'!L19,'10.8 BWERA-KIKORONGO 24HRS'!L19,'11.8 KIKORONGO-BWERA'!L19)</f>
        <v>0.14285714285714285</v>
      </c>
      <c r="M19" s="49">
        <f>AVERAGE('5.8 BWERA-KIKORONGO'!M19,'6.8 BWERA-KIKORONGO'!M19,'7.8 BWERA-KIKORONGO'!M19,'9.8 BWERA-KIKORONGO'!M19,'8.8 BWERA-KIKORONGO-24h'!M19,'10.8 BWERA-KIKORONGO 24HRS'!M19,'11.8 KIKORONGO-BWERA'!M19)</f>
        <v>3.4285714285714284</v>
      </c>
      <c r="N19" s="49">
        <f>AVERAGE('5.8 BWERA-KIKORONGO'!N19,'6.8 BWERA-KIKORONGO'!N19,'7.8 BWERA-KIKORONGO'!N19,'9.8 BWERA-KIKORONGO'!N19,'8.8 BWERA-KIKORONGO-24h'!N19,'10.8 BWERA-KIKORONGO 24HRS'!N19,'11.8 KIKORONGO-BWERA'!N19)</f>
        <v>0</v>
      </c>
      <c r="O19" s="15">
        <f t="shared" si="0"/>
        <v>10.714285714285714</v>
      </c>
      <c r="P19" s="15">
        <f t="shared" si="1"/>
        <v>14.142857142857142</v>
      </c>
      <c r="R19" s="1" t="s">
        <v>15</v>
      </c>
      <c r="S19" s="17">
        <f t="shared" ref="S19:AF19" si="11">SUM(C46:C49)</f>
        <v>19.714285714285712</v>
      </c>
      <c r="T19" s="17">
        <f t="shared" si="11"/>
        <v>0</v>
      </c>
      <c r="U19" s="17">
        <f t="shared" si="11"/>
        <v>10.714285714285714</v>
      </c>
      <c r="V19" s="17">
        <f t="shared" si="11"/>
        <v>12.714285714285714</v>
      </c>
      <c r="W19" s="17">
        <f t="shared" si="11"/>
        <v>0</v>
      </c>
      <c r="X19" s="17">
        <f t="shared" si="11"/>
        <v>0.85714285714285698</v>
      </c>
      <c r="Y19" s="17">
        <f t="shared" si="11"/>
        <v>3</v>
      </c>
      <c r="Z19" s="17">
        <f t="shared" si="11"/>
        <v>2.8571428571428572</v>
      </c>
      <c r="AA19" s="17">
        <f t="shared" si="11"/>
        <v>0.2857142857142857</v>
      </c>
      <c r="AB19" s="17">
        <f t="shared" si="11"/>
        <v>2.5714285714285712</v>
      </c>
      <c r="AC19" s="17">
        <f t="shared" si="11"/>
        <v>12.428571428571429</v>
      </c>
      <c r="AD19" s="17">
        <f t="shared" si="11"/>
        <v>0.14285714285714285</v>
      </c>
      <c r="AE19" s="31">
        <f t="shared" si="11"/>
        <v>52.857142857142854</v>
      </c>
      <c r="AF19" s="31">
        <f t="shared" si="11"/>
        <v>65.285714285714278</v>
      </c>
    </row>
    <row r="20" spans="2:32" ht="23.1" customHeight="1" x14ac:dyDescent="0.25">
      <c r="B20" s="23" t="s">
        <v>47</v>
      </c>
      <c r="C20" s="49">
        <f>AVERAGE('5.8 BWERA-KIKORONGO'!C20,'6.8 BWERA-KIKORONGO'!C20,'7.8 BWERA-KIKORONGO'!C20,'9.8 BWERA-KIKORONGO'!C20,'8.8 BWERA-KIKORONGO-24h'!C20,'10.8 BWERA-KIKORONGO 24HRS'!C20,'11.8 KIKORONGO-BWERA'!C20)</f>
        <v>4.5714285714285712</v>
      </c>
      <c r="D20" s="49">
        <f>AVERAGE('5.8 BWERA-KIKORONGO'!D20,'6.8 BWERA-KIKORONGO'!D20,'7.8 BWERA-KIKORONGO'!D20,'9.8 BWERA-KIKORONGO'!D20,'8.8 BWERA-KIKORONGO-24h'!D20,'10.8 BWERA-KIKORONGO 24HRS'!D20,'11.8 KIKORONGO-BWERA'!D20)</f>
        <v>0</v>
      </c>
      <c r="E20" s="49">
        <f>AVERAGE('5.8 BWERA-KIKORONGO'!E20,'6.8 BWERA-KIKORONGO'!E20,'7.8 BWERA-KIKORONGO'!E20,'9.8 BWERA-KIKORONGO'!E20,'8.8 BWERA-KIKORONGO-24h'!E20,'10.8 BWERA-KIKORONGO 24HRS'!E20,'11.8 KIKORONGO-BWERA'!E20)</f>
        <v>2.7142857142857144</v>
      </c>
      <c r="F20" s="49">
        <f>AVERAGE('5.8 BWERA-KIKORONGO'!F20,'6.8 BWERA-KIKORONGO'!F20,'7.8 BWERA-KIKORONGO'!F20,'9.8 BWERA-KIKORONGO'!F20,'8.8 BWERA-KIKORONGO-24h'!F20,'10.8 BWERA-KIKORONGO 24HRS'!F20,'11.8 KIKORONGO-BWERA'!F20)</f>
        <v>1.5714285714285714</v>
      </c>
      <c r="G20" s="49">
        <f>AVERAGE('5.8 BWERA-KIKORONGO'!G20,'6.8 BWERA-KIKORONGO'!G20,'7.8 BWERA-KIKORONGO'!G20,'9.8 BWERA-KIKORONGO'!G20,'8.8 BWERA-KIKORONGO-24h'!G20,'10.8 BWERA-KIKORONGO 24HRS'!G20,'11.8 KIKORONGO-BWERA'!G20)</f>
        <v>0</v>
      </c>
      <c r="H20" s="49">
        <f>AVERAGE('5.8 BWERA-KIKORONGO'!H20,'6.8 BWERA-KIKORONGO'!H20,'7.8 BWERA-KIKORONGO'!H20,'9.8 BWERA-KIKORONGO'!H20,'8.8 BWERA-KIKORONGO-24h'!H20,'10.8 BWERA-KIKORONGO 24HRS'!H20,'11.8 KIKORONGO-BWERA'!H20)</f>
        <v>0.2857142857142857</v>
      </c>
      <c r="I20" s="49">
        <f>AVERAGE('5.8 BWERA-KIKORONGO'!I20,'6.8 BWERA-KIKORONGO'!I20,'7.8 BWERA-KIKORONGO'!I20,'9.8 BWERA-KIKORONGO'!I20,'8.8 BWERA-KIKORONGO-24h'!I20,'10.8 BWERA-KIKORONGO 24HRS'!I20,'11.8 KIKORONGO-BWERA'!I20)</f>
        <v>1.8571428571428572</v>
      </c>
      <c r="J20" s="49">
        <f>AVERAGE('5.8 BWERA-KIKORONGO'!J20,'6.8 BWERA-KIKORONGO'!J20,'7.8 BWERA-KIKORONGO'!J20,'9.8 BWERA-KIKORONGO'!J20,'8.8 BWERA-KIKORONGO-24h'!J20,'10.8 BWERA-KIKORONGO 24HRS'!J20,'11.8 KIKORONGO-BWERA'!J20)</f>
        <v>0.42857142857142855</v>
      </c>
      <c r="K20" s="49">
        <f>AVERAGE('5.8 BWERA-KIKORONGO'!K20,'6.8 BWERA-KIKORONGO'!K20,'7.8 BWERA-KIKORONGO'!K20,'9.8 BWERA-KIKORONGO'!K20,'8.8 BWERA-KIKORONGO-24h'!K20,'10.8 BWERA-KIKORONGO 24HRS'!K20,'11.8 KIKORONGO-BWERA'!K20)</f>
        <v>0</v>
      </c>
      <c r="L20" s="49">
        <f>AVERAGE('5.8 BWERA-KIKORONGO'!L20,'6.8 BWERA-KIKORONGO'!L20,'7.8 BWERA-KIKORONGO'!L20,'9.8 BWERA-KIKORONGO'!L20,'8.8 BWERA-KIKORONGO-24h'!L20,'10.8 BWERA-KIKORONGO 24HRS'!L20,'11.8 KIKORONGO-BWERA'!L20)</f>
        <v>0.42857142857142855</v>
      </c>
      <c r="M20" s="49">
        <f>AVERAGE('5.8 BWERA-KIKORONGO'!M20,'6.8 BWERA-KIKORONGO'!M20,'7.8 BWERA-KIKORONGO'!M20,'9.8 BWERA-KIKORONGO'!M20,'8.8 BWERA-KIKORONGO-24h'!M20,'10.8 BWERA-KIKORONGO 24HRS'!M20,'11.8 KIKORONGO-BWERA'!M20)</f>
        <v>2.7142857142857144</v>
      </c>
      <c r="N20" s="49">
        <f>AVERAGE('5.8 BWERA-KIKORONGO'!N20,'6.8 BWERA-KIKORONGO'!N20,'7.8 BWERA-KIKORONGO'!N20,'9.8 BWERA-KIKORONGO'!N20,'8.8 BWERA-KIKORONGO-24h'!N20,'10.8 BWERA-KIKORONGO 24HRS'!N20,'11.8 KIKORONGO-BWERA'!N20)</f>
        <v>0</v>
      </c>
      <c r="O20" s="15">
        <f t="shared" si="0"/>
        <v>11.857142857142859</v>
      </c>
      <c r="P20" s="15">
        <f t="shared" si="1"/>
        <v>14.571428571428573</v>
      </c>
      <c r="R20" s="1" t="s">
        <v>16</v>
      </c>
      <c r="S20" s="17">
        <f t="shared" ref="S20:AF20" si="12">SUM(C50:C53)</f>
        <v>20.571428571428569</v>
      </c>
      <c r="T20" s="17">
        <f t="shared" si="12"/>
        <v>0</v>
      </c>
      <c r="U20" s="17">
        <f t="shared" si="12"/>
        <v>8.4285714285714288</v>
      </c>
      <c r="V20" s="17">
        <f t="shared" si="12"/>
        <v>14.571428571428569</v>
      </c>
      <c r="W20" s="17">
        <f t="shared" si="12"/>
        <v>0</v>
      </c>
      <c r="X20" s="17">
        <f t="shared" si="12"/>
        <v>0.85714285714285698</v>
      </c>
      <c r="Y20" s="17">
        <f t="shared" si="12"/>
        <v>1.2857142857142856</v>
      </c>
      <c r="Z20" s="17">
        <f t="shared" si="12"/>
        <v>2.4285714285714284</v>
      </c>
      <c r="AA20" s="17">
        <f t="shared" si="12"/>
        <v>0</v>
      </c>
      <c r="AB20" s="17">
        <f t="shared" si="12"/>
        <v>2.8571428571428568</v>
      </c>
      <c r="AC20" s="17">
        <f t="shared" si="12"/>
        <v>14.428571428571427</v>
      </c>
      <c r="AD20" s="17">
        <f t="shared" si="12"/>
        <v>0</v>
      </c>
      <c r="AE20" s="31">
        <f t="shared" si="12"/>
        <v>50.999999999999993</v>
      </c>
      <c r="AF20" s="31">
        <f t="shared" si="12"/>
        <v>65.428571428571416</v>
      </c>
    </row>
    <row r="21" spans="2:32" ht="23.1" customHeight="1" x14ac:dyDescent="0.25">
      <c r="B21" s="23" t="s">
        <v>48</v>
      </c>
      <c r="C21" s="49">
        <f>AVERAGE('5.8 BWERA-KIKORONGO'!C21,'6.8 BWERA-KIKORONGO'!C21,'7.8 BWERA-KIKORONGO'!C21,'9.8 BWERA-KIKORONGO'!C21,'8.8 BWERA-KIKORONGO-24h'!C21,'10.8 BWERA-KIKORONGO 24HRS'!C21,'11.8 KIKORONGO-BWERA'!C21)</f>
        <v>7</v>
      </c>
      <c r="D21" s="49">
        <f>AVERAGE('5.8 BWERA-KIKORONGO'!D21,'6.8 BWERA-KIKORONGO'!D21,'7.8 BWERA-KIKORONGO'!D21,'9.8 BWERA-KIKORONGO'!D21,'8.8 BWERA-KIKORONGO-24h'!D21,'10.8 BWERA-KIKORONGO 24HRS'!D21,'11.8 KIKORONGO-BWERA'!D21)</f>
        <v>0</v>
      </c>
      <c r="E21" s="49">
        <f>AVERAGE('5.8 BWERA-KIKORONGO'!E21,'6.8 BWERA-KIKORONGO'!E21,'7.8 BWERA-KIKORONGO'!E21,'9.8 BWERA-KIKORONGO'!E21,'8.8 BWERA-KIKORONGO-24h'!E21,'10.8 BWERA-KIKORONGO 24HRS'!E21,'11.8 KIKORONGO-BWERA'!E21)</f>
        <v>3.7142857142857144</v>
      </c>
      <c r="F21" s="49">
        <f>AVERAGE('5.8 BWERA-KIKORONGO'!F21,'6.8 BWERA-KIKORONGO'!F21,'7.8 BWERA-KIKORONGO'!F21,'9.8 BWERA-KIKORONGO'!F21,'8.8 BWERA-KIKORONGO-24h'!F21,'10.8 BWERA-KIKORONGO 24HRS'!F21,'11.8 KIKORONGO-BWERA'!F21)</f>
        <v>2.7142857142857144</v>
      </c>
      <c r="G21" s="49">
        <f>AVERAGE('5.8 BWERA-KIKORONGO'!G21,'6.8 BWERA-KIKORONGO'!G21,'7.8 BWERA-KIKORONGO'!G21,'9.8 BWERA-KIKORONGO'!G21,'8.8 BWERA-KIKORONGO-24h'!G21,'10.8 BWERA-KIKORONGO 24HRS'!G21,'11.8 KIKORONGO-BWERA'!G21)</f>
        <v>0</v>
      </c>
      <c r="H21" s="49">
        <f>AVERAGE('5.8 BWERA-KIKORONGO'!H21,'6.8 BWERA-KIKORONGO'!H21,'7.8 BWERA-KIKORONGO'!H21,'9.8 BWERA-KIKORONGO'!H21,'8.8 BWERA-KIKORONGO-24h'!H21,'10.8 BWERA-KIKORONGO 24HRS'!H21,'11.8 KIKORONGO-BWERA'!H21)</f>
        <v>0</v>
      </c>
      <c r="I21" s="49">
        <f>AVERAGE('5.8 BWERA-KIKORONGO'!I21,'6.8 BWERA-KIKORONGO'!I21,'7.8 BWERA-KIKORONGO'!I21,'9.8 BWERA-KIKORONGO'!I21,'8.8 BWERA-KIKORONGO-24h'!I21,'10.8 BWERA-KIKORONGO 24HRS'!I21,'11.8 KIKORONGO-BWERA'!I21)</f>
        <v>1.7142857142857142</v>
      </c>
      <c r="J21" s="49">
        <f>AVERAGE('5.8 BWERA-KIKORONGO'!J21,'6.8 BWERA-KIKORONGO'!J21,'7.8 BWERA-KIKORONGO'!J21,'9.8 BWERA-KIKORONGO'!J21,'8.8 BWERA-KIKORONGO-24h'!J21,'10.8 BWERA-KIKORONGO 24HRS'!J21,'11.8 KIKORONGO-BWERA'!J21)</f>
        <v>0.14285714285714285</v>
      </c>
      <c r="K21" s="49">
        <f>AVERAGE('5.8 BWERA-KIKORONGO'!K21,'6.8 BWERA-KIKORONGO'!K21,'7.8 BWERA-KIKORONGO'!K21,'9.8 BWERA-KIKORONGO'!K21,'8.8 BWERA-KIKORONGO-24h'!K21,'10.8 BWERA-KIKORONGO 24HRS'!K21,'11.8 KIKORONGO-BWERA'!K21)</f>
        <v>0</v>
      </c>
      <c r="L21" s="49">
        <f>AVERAGE('5.8 BWERA-KIKORONGO'!L21,'6.8 BWERA-KIKORONGO'!L21,'7.8 BWERA-KIKORONGO'!L21,'9.8 BWERA-KIKORONGO'!L21,'8.8 BWERA-KIKORONGO-24h'!L21,'10.8 BWERA-KIKORONGO 24HRS'!L21,'11.8 KIKORONGO-BWERA'!L21)</f>
        <v>0.2857142857142857</v>
      </c>
      <c r="M21" s="49">
        <f>AVERAGE('5.8 BWERA-KIKORONGO'!M21,'6.8 BWERA-KIKORONGO'!M21,'7.8 BWERA-KIKORONGO'!M21,'9.8 BWERA-KIKORONGO'!M21,'8.8 BWERA-KIKORONGO-24h'!M21,'10.8 BWERA-KIKORONGO 24HRS'!M21,'11.8 KIKORONGO-BWERA'!M21)</f>
        <v>3.8571428571428572</v>
      </c>
      <c r="N21" s="49">
        <f>AVERAGE('5.8 BWERA-KIKORONGO'!N21,'6.8 BWERA-KIKORONGO'!N21,'7.8 BWERA-KIKORONGO'!N21,'9.8 BWERA-KIKORONGO'!N21,'8.8 BWERA-KIKORONGO-24h'!N21,'10.8 BWERA-KIKORONGO 24HRS'!N21,'11.8 KIKORONGO-BWERA'!N21)</f>
        <v>0</v>
      </c>
      <c r="O21" s="15">
        <f t="shared" si="0"/>
        <v>15.571428571428573</v>
      </c>
      <c r="P21" s="15">
        <f t="shared" si="1"/>
        <v>19.428571428571431</v>
      </c>
      <c r="R21" s="36" t="s">
        <v>20</v>
      </c>
      <c r="S21" s="34">
        <f t="shared" ref="S21:AF21" si="13">SUM(C54:C57)</f>
        <v>12.571428571428571</v>
      </c>
      <c r="T21" s="17">
        <f t="shared" si="13"/>
        <v>0</v>
      </c>
      <c r="U21" s="17">
        <f t="shared" si="13"/>
        <v>6.8571428571428568</v>
      </c>
      <c r="V21" s="17">
        <f t="shared" si="13"/>
        <v>8.7142857142857135</v>
      </c>
      <c r="W21" s="17">
        <f t="shared" si="13"/>
        <v>0</v>
      </c>
      <c r="X21" s="17">
        <f t="shared" si="13"/>
        <v>0.5714285714285714</v>
      </c>
      <c r="Y21" s="17">
        <f t="shared" si="13"/>
        <v>2.5714285714285712</v>
      </c>
      <c r="Z21" s="17">
        <f t="shared" si="13"/>
        <v>2.1428571428571428</v>
      </c>
      <c r="AA21" s="17">
        <f t="shared" si="13"/>
        <v>0.2857142857142857</v>
      </c>
      <c r="AB21" s="17">
        <f t="shared" si="13"/>
        <v>2.1428571428571428</v>
      </c>
      <c r="AC21" s="17">
        <f t="shared" si="13"/>
        <v>12.142857142857142</v>
      </c>
      <c r="AD21" s="17">
        <f t="shared" si="13"/>
        <v>0.14285714285714285</v>
      </c>
      <c r="AE21" s="31">
        <f t="shared" si="13"/>
        <v>36</v>
      </c>
      <c r="AF21" s="31">
        <f t="shared" si="13"/>
        <v>48.142857142857139</v>
      </c>
    </row>
    <row r="22" spans="2:32" ht="23.1" customHeight="1" x14ac:dyDescent="0.25">
      <c r="B22" s="23" t="s">
        <v>49</v>
      </c>
      <c r="C22" s="49">
        <f>AVERAGE('5.8 BWERA-KIKORONGO'!C22,'6.8 BWERA-KIKORONGO'!C22,'7.8 BWERA-KIKORONGO'!C22,'9.8 BWERA-KIKORONGO'!C22,'8.8 BWERA-KIKORONGO-24h'!C22,'10.8 BWERA-KIKORONGO 24HRS'!C22,'11.8 KIKORONGO-BWERA'!C22)</f>
        <v>5.8571428571428568</v>
      </c>
      <c r="D22" s="49">
        <f>AVERAGE('5.8 BWERA-KIKORONGO'!D22,'6.8 BWERA-KIKORONGO'!D22,'7.8 BWERA-KIKORONGO'!D22,'9.8 BWERA-KIKORONGO'!D22,'8.8 BWERA-KIKORONGO-24h'!D22,'10.8 BWERA-KIKORONGO 24HRS'!D22,'11.8 KIKORONGO-BWERA'!D22)</f>
        <v>0</v>
      </c>
      <c r="E22" s="49">
        <f>AVERAGE('5.8 BWERA-KIKORONGO'!E22,'6.8 BWERA-KIKORONGO'!E22,'7.8 BWERA-KIKORONGO'!E22,'9.8 BWERA-KIKORONGO'!E22,'8.8 BWERA-KIKORONGO-24h'!E22,'10.8 BWERA-KIKORONGO 24HRS'!E22,'11.8 KIKORONGO-BWERA'!E22)</f>
        <v>2.1428571428571428</v>
      </c>
      <c r="F22" s="49">
        <f>AVERAGE('5.8 BWERA-KIKORONGO'!F22,'6.8 BWERA-KIKORONGO'!F22,'7.8 BWERA-KIKORONGO'!F22,'9.8 BWERA-KIKORONGO'!F22,'8.8 BWERA-KIKORONGO-24h'!F22,'10.8 BWERA-KIKORONGO 24HRS'!F22,'11.8 KIKORONGO-BWERA'!F22)</f>
        <v>2.1428571428571428</v>
      </c>
      <c r="G22" s="49">
        <f>AVERAGE('5.8 BWERA-KIKORONGO'!G22,'6.8 BWERA-KIKORONGO'!G22,'7.8 BWERA-KIKORONGO'!G22,'9.8 BWERA-KIKORONGO'!G22,'8.8 BWERA-KIKORONGO-24h'!G22,'10.8 BWERA-KIKORONGO 24HRS'!G22,'11.8 KIKORONGO-BWERA'!G22)</f>
        <v>0.2857142857142857</v>
      </c>
      <c r="H22" s="49">
        <f>AVERAGE('5.8 BWERA-KIKORONGO'!H22,'6.8 BWERA-KIKORONGO'!H22,'7.8 BWERA-KIKORONGO'!H22,'9.8 BWERA-KIKORONGO'!H22,'8.8 BWERA-KIKORONGO-24h'!H22,'10.8 BWERA-KIKORONGO 24HRS'!H22,'11.8 KIKORONGO-BWERA'!H22)</f>
        <v>0.2857142857142857</v>
      </c>
      <c r="I22" s="49">
        <f>AVERAGE('5.8 BWERA-KIKORONGO'!I22,'6.8 BWERA-KIKORONGO'!I22,'7.8 BWERA-KIKORONGO'!I22,'9.8 BWERA-KIKORONGO'!I22,'8.8 BWERA-KIKORONGO-24h'!I22,'10.8 BWERA-KIKORONGO 24HRS'!I22,'11.8 KIKORONGO-BWERA'!I22)</f>
        <v>1</v>
      </c>
      <c r="J22" s="49">
        <f>AVERAGE('5.8 BWERA-KIKORONGO'!J22,'6.8 BWERA-KIKORONGO'!J22,'7.8 BWERA-KIKORONGO'!J22,'9.8 BWERA-KIKORONGO'!J22,'8.8 BWERA-KIKORONGO-24h'!J22,'10.8 BWERA-KIKORONGO 24HRS'!J22,'11.8 KIKORONGO-BWERA'!J22)</f>
        <v>0.8571428571428571</v>
      </c>
      <c r="K22" s="49">
        <f>AVERAGE('5.8 BWERA-KIKORONGO'!K22,'6.8 BWERA-KIKORONGO'!K22,'7.8 BWERA-KIKORONGO'!K22,'9.8 BWERA-KIKORONGO'!K22,'8.8 BWERA-KIKORONGO-24h'!K22,'10.8 BWERA-KIKORONGO 24HRS'!K22,'11.8 KIKORONGO-BWERA'!K22)</f>
        <v>0</v>
      </c>
      <c r="L22" s="49">
        <f>AVERAGE('5.8 BWERA-KIKORONGO'!L22,'6.8 BWERA-KIKORONGO'!L22,'7.8 BWERA-KIKORONGO'!L22,'9.8 BWERA-KIKORONGO'!L22,'8.8 BWERA-KIKORONGO-24h'!L22,'10.8 BWERA-KIKORONGO 24HRS'!L22,'11.8 KIKORONGO-BWERA'!L22)</f>
        <v>0.14285714285714285</v>
      </c>
      <c r="M22" s="49">
        <f>AVERAGE('5.8 BWERA-KIKORONGO'!M22,'6.8 BWERA-KIKORONGO'!M22,'7.8 BWERA-KIKORONGO'!M22,'9.8 BWERA-KIKORONGO'!M22,'8.8 BWERA-KIKORONGO-24h'!M22,'10.8 BWERA-KIKORONGO 24HRS'!M22,'11.8 KIKORONGO-BWERA'!M22)</f>
        <v>2.5714285714285716</v>
      </c>
      <c r="N22" s="49">
        <f>AVERAGE('5.8 BWERA-KIKORONGO'!N22,'6.8 BWERA-KIKORONGO'!N22,'7.8 BWERA-KIKORONGO'!N22,'9.8 BWERA-KIKORONGO'!N22,'8.8 BWERA-KIKORONGO-24h'!N22,'10.8 BWERA-KIKORONGO 24HRS'!N22,'11.8 KIKORONGO-BWERA'!N22)</f>
        <v>0</v>
      </c>
      <c r="O22" s="15">
        <f t="shared" si="0"/>
        <v>12.714285714285715</v>
      </c>
      <c r="P22" s="15">
        <f t="shared" si="1"/>
        <v>15.285714285714286</v>
      </c>
      <c r="R22" s="1" t="s">
        <v>146</v>
      </c>
      <c r="S22" s="34">
        <f>SUM(C58:C61)</f>
        <v>18.5</v>
      </c>
      <c r="T22" s="34">
        <f t="shared" ref="T22:AF22" si="14">SUM(D58:D61)</f>
        <v>0</v>
      </c>
      <c r="U22" s="34">
        <f t="shared" si="14"/>
        <v>4.5</v>
      </c>
      <c r="V22" s="34">
        <f t="shared" si="14"/>
        <v>10</v>
      </c>
      <c r="W22" s="34">
        <f t="shared" si="14"/>
        <v>0</v>
      </c>
      <c r="X22" s="34">
        <f t="shared" si="14"/>
        <v>1</v>
      </c>
      <c r="Y22" s="34">
        <f t="shared" si="14"/>
        <v>2</v>
      </c>
      <c r="Z22" s="34">
        <f t="shared" si="14"/>
        <v>2</v>
      </c>
      <c r="AA22" s="34">
        <f t="shared" si="14"/>
        <v>0</v>
      </c>
      <c r="AB22" s="34">
        <f t="shared" si="14"/>
        <v>0.5</v>
      </c>
      <c r="AC22" s="34">
        <f t="shared" si="14"/>
        <v>14</v>
      </c>
      <c r="AD22" s="34">
        <f t="shared" si="14"/>
        <v>0</v>
      </c>
      <c r="AE22" s="31">
        <f t="shared" si="14"/>
        <v>38.5</v>
      </c>
      <c r="AF22" s="31">
        <f t="shared" si="14"/>
        <v>52.5</v>
      </c>
    </row>
    <row r="23" spans="2:32" ht="23.1" customHeight="1" x14ac:dyDescent="0.25">
      <c r="B23" s="23" t="s">
        <v>50</v>
      </c>
      <c r="C23" s="49">
        <f>AVERAGE('5.8 BWERA-KIKORONGO'!C23,'6.8 BWERA-KIKORONGO'!C23,'7.8 BWERA-KIKORONGO'!C23,'9.8 BWERA-KIKORONGO'!C23,'8.8 BWERA-KIKORONGO-24h'!C23,'10.8 BWERA-KIKORONGO 24HRS'!C23,'11.8 KIKORONGO-BWERA'!C23)</f>
        <v>3.8571428571428572</v>
      </c>
      <c r="D23" s="49">
        <f>AVERAGE('5.8 BWERA-KIKORONGO'!D23,'6.8 BWERA-KIKORONGO'!D23,'7.8 BWERA-KIKORONGO'!D23,'9.8 BWERA-KIKORONGO'!D23,'8.8 BWERA-KIKORONGO-24h'!D23,'10.8 BWERA-KIKORONGO 24HRS'!D23,'11.8 KIKORONGO-BWERA'!D23)</f>
        <v>0</v>
      </c>
      <c r="E23" s="49">
        <f>AVERAGE('5.8 BWERA-KIKORONGO'!E23,'6.8 BWERA-KIKORONGO'!E23,'7.8 BWERA-KIKORONGO'!E23,'9.8 BWERA-KIKORONGO'!E23,'8.8 BWERA-KIKORONGO-24h'!E23,'10.8 BWERA-KIKORONGO 24HRS'!E23,'11.8 KIKORONGO-BWERA'!E23)</f>
        <v>2.7142857142857144</v>
      </c>
      <c r="F23" s="49">
        <f>AVERAGE('5.8 BWERA-KIKORONGO'!F23,'6.8 BWERA-KIKORONGO'!F23,'7.8 BWERA-KIKORONGO'!F23,'9.8 BWERA-KIKORONGO'!F23,'8.8 BWERA-KIKORONGO-24h'!F23,'10.8 BWERA-KIKORONGO 24HRS'!F23,'11.8 KIKORONGO-BWERA'!F23)</f>
        <v>4</v>
      </c>
      <c r="G23" s="49">
        <f>AVERAGE('5.8 BWERA-KIKORONGO'!G23,'6.8 BWERA-KIKORONGO'!G23,'7.8 BWERA-KIKORONGO'!G23,'9.8 BWERA-KIKORONGO'!G23,'8.8 BWERA-KIKORONGO-24h'!G23,'10.8 BWERA-KIKORONGO 24HRS'!G23,'11.8 KIKORONGO-BWERA'!G23)</f>
        <v>0.2857142857142857</v>
      </c>
      <c r="H23" s="49">
        <f>AVERAGE('5.8 BWERA-KIKORONGO'!H23,'6.8 BWERA-KIKORONGO'!H23,'7.8 BWERA-KIKORONGO'!H23,'9.8 BWERA-KIKORONGO'!H23,'8.8 BWERA-KIKORONGO-24h'!H23,'10.8 BWERA-KIKORONGO 24HRS'!H23,'11.8 KIKORONGO-BWERA'!H23)</f>
        <v>0</v>
      </c>
      <c r="I23" s="49">
        <f>AVERAGE('5.8 BWERA-KIKORONGO'!I23,'6.8 BWERA-KIKORONGO'!I23,'7.8 BWERA-KIKORONGO'!I23,'9.8 BWERA-KIKORONGO'!I23,'8.8 BWERA-KIKORONGO-24h'!I23,'10.8 BWERA-KIKORONGO 24HRS'!I23,'11.8 KIKORONGO-BWERA'!I23)</f>
        <v>1</v>
      </c>
      <c r="J23" s="49">
        <f>AVERAGE('5.8 BWERA-KIKORONGO'!J23,'6.8 BWERA-KIKORONGO'!J23,'7.8 BWERA-KIKORONGO'!J23,'9.8 BWERA-KIKORONGO'!J23,'8.8 BWERA-KIKORONGO-24h'!J23,'10.8 BWERA-KIKORONGO 24HRS'!J23,'11.8 KIKORONGO-BWERA'!J23)</f>
        <v>0.2857142857142857</v>
      </c>
      <c r="K23" s="49">
        <f>AVERAGE('5.8 BWERA-KIKORONGO'!K23,'6.8 BWERA-KIKORONGO'!K23,'7.8 BWERA-KIKORONGO'!K23,'9.8 BWERA-KIKORONGO'!K23,'8.8 BWERA-KIKORONGO-24h'!K23,'10.8 BWERA-KIKORONGO 24HRS'!K23,'11.8 KIKORONGO-BWERA'!K23)</f>
        <v>0.14285714285714285</v>
      </c>
      <c r="L23" s="49">
        <f>AVERAGE('5.8 BWERA-KIKORONGO'!L23,'6.8 BWERA-KIKORONGO'!L23,'7.8 BWERA-KIKORONGO'!L23,'9.8 BWERA-KIKORONGO'!L23,'8.8 BWERA-KIKORONGO-24h'!L23,'10.8 BWERA-KIKORONGO 24HRS'!L23,'11.8 KIKORONGO-BWERA'!L23)</f>
        <v>1.5714285714285714</v>
      </c>
      <c r="M23" s="49">
        <f>AVERAGE('5.8 BWERA-KIKORONGO'!M23,'6.8 BWERA-KIKORONGO'!M23,'7.8 BWERA-KIKORONGO'!M23,'9.8 BWERA-KIKORONGO'!M23,'8.8 BWERA-KIKORONGO-24h'!M23,'10.8 BWERA-KIKORONGO 24HRS'!M23,'11.8 KIKORONGO-BWERA'!M23)</f>
        <v>3.7142857142857144</v>
      </c>
      <c r="N23" s="49">
        <f>AVERAGE('5.8 BWERA-KIKORONGO'!N23,'6.8 BWERA-KIKORONGO'!N23,'7.8 BWERA-KIKORONGO'!N23,'9.8 BWERA-KIKORONGO'!N23,'8.8 BWERA-KIKORONGO-24h'!N23,'10.8 BWERA-KIKORONGO 24HRS'!N23,'11.8 KIKORONGO-BWERA'!N23)</f>
        <v>0</v>
      </c>
      <c r="O23" s="15">
        <f t="shared" si="0"/>
        <v>13.857142857142858</v>
      </c>
      <c r="P23" s="15">
        <f t="shared" si="1"/>
        <v>17.571428571428573</v>
      </c>
      <c r="R23" s="1" t="s">
        <v>147</v>
      </c>
      <c r="S23" s="34">
        <f>SUM(C62:C65)</f>
        <v>12.5</v>
      </c>
      <c r="T23" s="34">
        <f t="shared" ref="T23:AF23" si="15">SUM(D62:D65)</f>
        <v>0</v>
      </c>
      <c r="U23" s="34">
        <f t="shared" si="15"/>
        <v>8</v>
      </c>
      <c r="V23" s="34">
        <f t="shared" si="15"/>
        <v>6.5</v>
      </c>
      <c r="W23" s="34">
        <f t="shared" si="15"/>
        <v>0</v>
      </c>
      <c r="X23" s="34">
        <f t="shared" si="15"/>
        <v>0</v>
      </c>
      <c r="Y23" s="34">
        <f t="shared" si="15"/>
        <v>1</v>
      </c>
      <c r="Z23" s="34">
        <f t="shared" si="15"/>
        <v>2</v>
      </c>
      <c r="AA23" s="34">
        <f t="shared" si="15"/>
        <v>0</v>
      </c>
      <c r="AB23" s="34">
        <f t="shared" si="15"/>
        <v>2.5</v>
      </c>
      <c r="AC23" s="34">
        <f t="shared" si="15"/>
        <v>8.5</v>
      </c>
      <c r="AD23" s="34">
        <f t="shared" si="15"/>
        <v>0.5</v>
      </c>
      <c r="AE23" s="31">
        <f t="shared" si="15"/>
        <v>33</v>
      </c>
      <c r="AF23" s="31">
        <f t="shared" si="15"/>
        <v>41.5</v>
      </c>
    </row>
    <row r="24" spans="2:32" ht="23.1" customHeight="1" x14ac:dyDescent="0.25">
      <c r="B24" s="23" t="s">
        <v>51</v>
      </c>
      <c r="C24" s="49">
        <f>AVERAGE('5.8 BWERA-KIKORONGO'!C24,'6.8 BWERA-KIKORONGO'!C24,'7.8 BWERA-KIKORONGO'!C24,'9.8 BWERA-KIKORONGO'!C24,'8.8 BWERA-KIKORONGO-24h'!C24,'10.8 BWERA-KIKORONGO 24HRS'!C24,'11.8 KIKORONGO-BWERA'!C24)</f>
        <v>5.4285714285714288</v>
      </c>
      <c r="D24" s="49">
        <f>AVERAGE('5.8 BWERA-KIKORONGO'!D24,'6.8 BWERA-KIKORONGO'!D24,'7.8 BWERA-KIKORONGO'!D24,'9.8 BWERA-KIKORONGO'!D24,'8.8 BWERA-KIKORONGO-24h'!D24,'10.8 BWERA-KIKORONGO 24HRS'!D24,'11.8 KIKORONGO-BWERA'!D24)</f>
        <v>0</v>
      </c>
      <c r="E24" s="49">
        <f>AVERAGE('5.8 BWERA-KIKORONGO'!E24,'6.8 BWERA-KIKORONGO'!E24,'7.8 BWERA-KIKORONGO'!E24,'9.8 BWERA-KIKORONGO'!E24,'8.8 BWERA-KIKORONGO-24h'!E24,'10.8 BWERA-KIKORONGO 24HRS'!E24,'11.8 KIKORONGO-BWERA'!E24)</f>
        <v>2.4285714285714284</v>
      </c>
      <c r="F24" s="49">
        <f>AVERAGE('5.8 BWERA-KIKORONGO'!F24,'6.8 BWERA-KIKORONGO'!F24,'7.8 BWERA-KIKORONGO'!F24,'9.8 BWERA-KIKORONGO'!F24,'8.8 BWERA-KIKORONGO-24h'!F24,'10.8 BWERA-KIKORONGO 24HRS'!F24,'11.8 KIKORONGO-BWERA'!F24)</f>
        <v>3.8571428571428572</v>
      </c>
      <c r="G24" s="49">
        <f>AVERAGE('5.8 BWERA-KIKORONGO'!G24,'6.8 BWERA-KIKORONGO'!G24,'7.8 BWERA-KIKORONGO'!G24,'9.8 BWERA-KIKORONGO'!G24,'8.8 BWERA-KIKORONGO-24h'!G24,'10.8 BWERA-KIKORONGO 24HRS'!G24,'11.8 KIKORONGO-BWERA'!G24)</f>
        <v>0</v>
      </c>
      <c r="H24" s="49">
        <f>AVERAGE('5.8 BWERA-KIKORONGO'!H24,'6.8 BWERA-KIKORONGO'!H24,'7.8 BWERA-KIKORONGO'!H24,'9.8 BWERA-KIKORONGO'!H24,'8.8 BWERA-KIKORONGO-24h'!H24,'10.8 BWERA-KIKORONGO 24HRS'!H24,'11.8 KIKORONGO-BWERA'!H24)</f>
        <v>0.14285714285714285</v>
      </c>
      <c r="I24" s="49">
        <f>AVERAGE('5.8 BWERA-KIKORONGO'!I24,'6.8 BWERA-KIKORONGO'!I24,'7.8 BWERA-KIKORONGO'!I24,'9.8 BWERA-KIKORONGO'!I24,'8.8 BWERA-KIKORONGO-24h'!I24,'10.8 BWERA-KIKORONGO 24HRS'!I24,'11.8 KIKORONGO-BWERA'!I24)</f>
        <v>2</v>
      </c>
      <c r="J24" s="49">
        <f>AVERAGE('5.8 BWERA-KIKORONGO'!J24,'6.8 BWERA-KIKORONGO'!J24,'7.8 BWERA-KIKORONGO'!J24,'9.8 BWERA-KIKORONGO'!J24,'8.8 BWERA-KIKORONGO-24h'!J24,'10.8 BWERA-KIKORONGO 24HRS'!J24,'11.8 KIKORONGO-BWERA'!J24)</f>
        <v>1</v>
      </c>
      <c r="K24" s="49">
        <f>AVERAGE('5.8 BWERA-KIKORONGO'!K24,'6.8 BWERA-KIKORONGO'!K24,'7.8 BWERA-KIKORONGO'!K24,'9.8 BWERA-KIKORONGO'!K24,'8.8 BWERA-KIKORONGO-24h'!K24,'10.8 BWERA-KIKORONGO 24HRS'!K24,'11.8 KIKORONGO-BWERA'!K24)</f>
        <v>0</v>
      </c>
      <c r="L24" s="49">
        <f>AVERAGE('5.8 BWERA-KIKORONGO'!L24,'6.8 BWERA-KIKORONGO'!L24,'7.8 BWERA-KIKORONGO'!L24,'9.8 BWERA-KIKORONGO'!L24,'8.8 BWERA-KIKORONGO-24h'!L24,'10.8 BWERA-KIKORONGO 24HRS'!L24,'11.8 KIKORONGO-BWERA'!L24)</f>
        <v>0.42857142857142855</v>
      </c>
      <c r="M24" s="49">
        <f>AVERAGE('5.8 BWERA-KIKORONGO'!M24,'6.8 BWERA-KIKORONGO'!M24,'7.8 BWERA-KIKORONGO'!M24,'9.8 BWERA-KIKORONGO'!M24,'8.8 BWERA-KIKORONGO-24h'!M24,'10.8 BWERA-KIKORONGO 24HRS'!M24,'11.8 KIKORONGO-BWERA'!M24)</f>
        <v>3.4285714285714284</v>
      </c>
      <c r="N24" s="49">
        <f>AVERAGE('5.8 BWERA-KIKORONGO'!N24,'6.8 BWERA-KIKORONGO'!N24,'7.8 BWERA-KIKORONGO'!N24,'9.8 BWERA-KIKORONGO'!N24,'8.8 BWERA-KIKORONGO-24h'!N24,'10.8 BWERA-KIKORONGO 24HRS'!N24,'11.8 KIKORONGO-BWERA'!N24)</f>
        <v>0</v>
      </c>
      <c r="O24" s="15">
        <f t="shared" si="0"/>
        <v>15.285714285714286</v>
      </c>
      <c r="P24" s="15">
        <f t="shared" si="1"/>
        <v>18.714285714285715</v>
      </c>
      <c r="R24" s="1" t="s">
        <v>148</v>
      </c>
      <c r="S24" s="34">
        <f>SUM(C66:C69)</f>
        <v>4</v>
      </c>
      <c r="T24" s="34">
        <f t="shared" ref="T24:AF24" si="16">SUM(D66:D69)</f>
        <v>0</v>
      </c>
      <c r="U24" s="34">
        <f t="shared" si="16"/>
        <v>8</v>
      </c>
      <c r="V24" s="34">
        <f t="shared" si="16"/>
        <v>3.5</v>
      </c>
      <c r="W24" s="34">
        <f t="shared" si="16"/>
        <v>0</v>
      </c>
      <c r="X24" s="34">
        <f t="shared" si="16"/>
        <v>0</v>
      </c>
      <c r="Y24" s="34">
        <f t="shared" si="16"/>
        <v>1</v>
      </c>
      <c r="Z24" s="34">
        <f t="shared" si="16"/>
        <v>1</v>
      </c>
      <c r="AA24" s="34">
        <f t="shared" si="16"/>
        <v>0</v>
      </c>
      <c r="AB24" s="34">
        <f t="shared" si="16"/>
        <v>1.5</v>
      </c>
      <c r="AC24" s="34">
        <f t="shared" si="16"/>
        <v>3.5</v>
      </c>
      <c r="AD24" s="34">
        <f t="shared" si="16"/>
        <v>0</v>
      </c>
      <c r="AE24" s="31">
        <f t="shared" si="16"/>
        <v>19</v>
      </c>
      <c r="AF24" s="31">
        <f t="shared" si="16"/>
        <v>22.5</v>
      </c>
    </row>
    <row r="25" spans="2:32" ht="23.1" customHeight="1" x14ac:dyDescent="0.25">
      <c r="B25" s="23" t="s">
        <v>52</v>
      </c>
      <c r="C25" s="49">
        <f>AVERAGE('5.8 BWERA-KIKORONGO'!C25,'6.8 BWERA-KIKORONGO'!C25,'7.8 BWERA-KIKORONGO'!C25,'9.8 BWERA-KIKORONGO'!C25,'8.8 BWERA-KIKORONGO-24h'!C25,'10.8 BWERA-KIKORONGO 24HRS'!C25,'11.8 KIKORONGO-BWERA'!C25)</f>
        <v>4.7142857142857144</v>
      </c>
      <c r="D25" s="49">
        <f>AVERAGE('5.8 BWERA-KIKORONGO'!D25,'6.8 BWERA-KIKORONGO'!D25,'7.8 BWERA-KIKORONGO'!D25,'9.8 BWERA-KIKORONGO'!D25,'8.8 BWERA-KIKORONGO-24h'!D25,'10.8 BWERA-KIKORONGO 24HRS'!D25,'11.8 KIKORONGO-BWERA'!D25)</f>
        <v>0</v>
      </c>
      <c r="E25" s="49">
        <f>AVERAGE('5.8 BWERA-KIKORONGO'!E25,'6.8 BWERA-KIKORONGO'!E25,'7.8 BWERA-KIKORONGO'!E25,'9.8 BWERA-KIKORONGO'!E25,'8.8 BWERA-KIKORONGO-24h'!E25,'10.8 BWERA-KIKORONGO 24HRS'!E25,'11.8 KIKORONGO-BWERA'!E25)</f>
        <v>1.5714285714285714</v>
      </c>
      <c r="F25" s="49">
        <f>AVERAGE('5.8 BWERA-KIKORONGO'!F25,'6.8 BWERA-KIKORONGO'!F25,'7.8 BWERA-KIKORONGO'!F25,'9.8 BWERA-KIKORONGO'!F25,'8.8 BWERA-KIKORONGO-24h'!F25,'10.8 BWERA-KIKORONGO 24HRS'!F25,'11.8 KIKORONGO-BWERA'!F25)</f>
        <v>3.1428571428571428</v>
      </c>
      <c r="G25" s="49">
        <f>AVERAGE('5.8 BWERA-KIKORONGO'!G25,'6.8 BWERA-KIKORONGO'!G25,'7.8 BWERA-KIKORONGO'!G25,'9.8 BWERA-KIKORONGO'!G25,'8.8 BWERA-KIKORONGO-24h'!G25,'10.8 BWERA-KIKORONGO 24HRS'!G25,'11.8 KIKORONGO-BWERA'!G25)</f>
        <v>0</v>
      </c>
      <c r="H25" s="49">
        <f>AVERAGE('5.8 BWERA-KIKORONGO'!H25,'6.8 BWERA-KIKORONGO'!H25,'7.8 BWERA-KIKORONGO'!H25,'9.8 BWERA-KIKORONGO'!H25,'8.8 BWERA-KIKORONGO-24h'!H25,'10.8 BWERA-KIKORONGO 24HRS'!H25,'11.8 KIKORONGO-BWERA'!H25)</f>
        <v>0</v>
      </c>
      <c r="I25" s="49">
        <f>AVERAGE('5.8 BWERA-KIKORONGO'!I25,'6.8 BWERA-KIKORONGO'!I25,'7.8 BWERA-KIKORONGO'!I25,'9.8 BWERA-KIKORONGO'!I25,'8.8 BWERA-KIKORONGO-24h'!I25,'10.8 BWERA-KIKORONGO 24HRS'!I25,'11.8 KIKORONGO-BWERA'!I25)</f>
        <v>1.1428571428571428</v>
      </c>
      <c r="J25" s="49">
        <f>AVERAGE('5.8 BWERA-KIKORONGO'!J25,'6.8 BWERA-KIKORONGO'!J25,'7.8 BWERA-KIKORONGO'!J25,'9.8 BWERA-KIKORONGO'!J25,'8.8 BWERA-KIKORONGO-24h'!J25,'10.8 BWERA-KIKORONGO 24HRS'!J25,'11.8 KIKORONGO-BWERA'!J25)</f>
        <v>0.5714285714285714</v>
      </c>
      <c r="K25" s="49">
        <f>AVERAGE('5.8 BWERA-KIKORONGO'!K25,'6.8 BWERA-KIKORONGO'!K25,'7.8 BWERA-KIKORONGO'!K25,'9.8 BWERA-KIKORONGO'!K25,'8.8 BWERA-KIKORONGO-24h'!K25,'10.8 BWERA-KIKORONGO 24HRS'!K25,'11.8 KIKORONGO-BWERA'!K25)</f>
        <v>0</v>
      </c>
      <c r="L25" s="49">
        <f>AVERAGE('5.8 BWERA-KIKORONGO'!L25,'6.8 BWERA-KIKORONGO'!L25,'7.8 BWERA-KIKORONGO'!L25,'9.8 BWERA-KIKORONGO'!L25,'8.8 BWERA-KIKORONGO-24h'!L25,'10.8 BWERA-KIKORONGO 24HRS'!L25,'11.8 KIKORONGO-BWERA'!L25)</f>
        <v>0.2857142857142857</v>
      </c>
      <c r="M25" s="49">
        <f>AVERAGE('5.8 BWERA-KIKORONGO'!M25,'6.8 BWERA-KIKORONGO'!M25,'7.8 BWERA-KIKORONGO'!M25,'9.8 BWERA-KIKORONGO'!M25,'8.8 BWERA-KIKORONGO-24h'!M25,'10.8 BWERA-KIKORONGO 24HRS'!M25,'11.8 KIKORONGO-BWERA'!M25)</f>
        <v>2.5714285714285716</v>
      </c>
      <c r="N25" s="49">
        <f>AVERAGE('5.8 BWERA-KIKORONGO'!N25,'6.8 BWERA-KIKORONGO'!N25,'7.8 BWERA-KIKORONGO'!N25,'9.8 BWERA-KIKORONGO'!N25,'8.8 BWERA-KIKORONGO-24h'!N25,'10.8 BWERA-KIKORONGO 24HRS'!N25,'11.8 KIKORONGO-BWERA'!N25)</f>
        <v>0</v>
      </c>
      <c r="O25" s="15">
        <f t="shared" si="0"/>
        <v>11.428571428571429</v>
      </c>
      <c r="P25" s="15">
        <f t="shared" si="1"/>
        <v>14</v>
      </c>
      <c r="R25" s="1" t="s">
        <v>149</v>
      </c>
      <c r="S25" s="34">
        <f>SUM(C70:C73)</f>
        <v>4.5</v>
      </c>
      <c r="T25" s="34">
        <f t="shared" ref="T25:AF25" si="17">SUM(D70:D73)</f>
        <v>0</v>
      </c>
      <c r="U25" s="34">
        <f t="shared" si="17"/>
        <v>1</v>
      </c>
      <c r="V25" s="34">
        <f t="shared" si="17"/>
        <v>1</v>
      </c>
      <c r="W25" s="34">
        <f t="shared" si="17"/>
        <v>0</v>
      </c>
      <c r="X25" s="34">
        <f t="shared" si="17"/>
        <v>0</v>
      </c>
      <c r="Y25" s="34">
        <f t="shared" si="17"/>
        <v>1</v>
      </c>
      <c r="Z25" s="34">
        <f t="shared" si="17"/>
        <v>1</v>
      </c>
      <c r="AA25" s="34">
        <f t="shared" si="17"/>
        <v>0</v>
      </c>
      <c r="AB25" s="34">
        <f t="shared" si="17"/>
        <v>2.5</v>
      </c>
      <c r="AC25" s="34">
        <f t="shared" si="17"/>
        <v>0.5</v>
      </c>
      <c r="AD25" s="34">
        <f t="shared" si="17"/>
        <v>0</v>
      </c>
      <c r="AE25" s="31">
        <f t="shared" si="17"/>
        <v>11</v>
      </c>
      <c r="AF25" s="31">
        <f t="shared" si="17"/>
        <v>11.5</v>
      </c>
    </row>
    <row r="26" spans="2:32" ht="23.1" customHeight="1" x14ac:dyDescent="0.25">
      <c r="B26" s="23" t="s">
        <v>53</v>
      </c>
      <c r="C26" s="49">
        <f>AVERAGE('5.8 BWERA-KIKORONGO'!C26,'6.8 BWERA-KIKORONGO'!C26,'7.8 BWERA-KIKORONGO'!C26,'9.8 BWERA-KIKORONGO'!C26,'8.8 BWERA-KIKORONGO-24h'!C26,'10.8 BWERA-KIKORONGO 24HRS'!C26,'11.8 KIKORONGO-BWERA'!C26)</f>
        <v>6</v>
      </c>
      <c r="D26" s="49">
        <f>AVERAGE('5.8 BWERA-KIKORONGO'!D26,'6.8 BWERA-KIKORONGO'!D26,'7.8 BWERA-KIKORONGO'!D26,'9.8 BWERA-KIKORONGO'!D26,'8.8 BWERA-KIKORONGO-24h'!D26,'10.8 BWERA-KIKORONGO 24HRS'!D26,'11.8 KIKORONGO-BWERA'!D26)</f>
        <v>0</v>
      </c>
      <c r="E26" s="49">
        <f>AVERAGE('5.8 BWERA-KIKORONGO'!E26,'6.8 BWERA-KIKORONGO'!E26,'7.8 BWERA-KIKORONGO'!E26,'9.8 BWERA-KIKORONGO'!E26,'8.8 BWERA-KIKORONGO-24h'!E26,'10.8 BWERA-KIKORONGO 24HRS'!E26,'11.8 KIKORONGO-BWERA'!E26)</f>
        <v>2</v>
      </c>
      <c r="F26" s="49">
        <f>AVERAGE('5.8 BWERA-KIKORONGO'!F26,'6.8 BWERA-KIKORONGO'!F26,'7.8 BWERA-KIKORONGO'!F26,'9.8 BWERA-KIKORONGO'!F26,'8.8 BWERA-KIKORONGO-24h'!F26,'10.8 BWERA-KIKORONGO 24HRS'!F26,'11.8 KIKORONGO-BWERA'!F26)</f>
        <v>3</v>
      </c>
      <c r="G26" s="49">
        <f>AVERAGE('5.8 BWERA-KIKORONGO'!G26,'6.8 BWERA-KIKORONGO'!G26,'7.8 BWERA-KIKORONGO'!G26,'9.8 BWERA-KIKORONGO'!G26,'8.8 BWERA-KIKORONGO-24h'!G26,'10.8 BWERA-KIKORONGO 24HRS'!G26,'11.8 KIKORONGO-BWERA'!G26)</f>
        <v>0</v>
      </c>
      <c r="H26" s="49">
        <f>AVERAGE('5.8 BWERA-KIKORONGO'!H26,'6.8 BWERA-KIKORONGO'!H26,'7.8 BWERA-KIKORONGO'!H26,'9.8 BWERA-KIKORONGO'!H26,'8.8 BWERA-KIKORONGO-24h'!H26,'10.8 BWERA-KIKORONGO 24HRS'!H26,'11.8 KIKORONGO-BWERA'!H26)</f>
        <v>0</v>
      </c>
      <c r="I26" s="49">
        <f>AVERAGE('5.8 BWERA-KIKORONGO'!I26,'6.8 BWERA-KIKORONGO'!I26,'7.8 BWERA-KIKORONGO'!I26,'9.8 BWERA-KIKORONGO'!I26,'8.8 BWERA-KIKORONGO-24h'!I26,'10.8 BWERA-KIKORONGO 24HRS'!I26,'11.8 KIKORONGO-BWERA'!I26)</f>
        <v>1.2857142857142858</v>
      </c>
      <c r="J26" s="49">
        <f>AVERAGE('5.8 BWERA-KIKORONGO'!J26,'6.8 BWERA-KIKORONGO'!J26,'7.8 BWERA-KIKORONGO'!J26,'9.8 BWERA-KIKORONGO'!J26,'8.8 BWERA-KIKORONGO-24h'!J26,'10.8 BWERA-KIKORONGO 24HRS'!J26,'11.8 KIKORONGO-BWERA'!J26)</f>
        <v>0.42857142857142855</v>
      </c>
      <c r="K26" s="49">
        <f>AVERAGE('5.8 BWERA-KIKORONGO'!K26,'6.8 BWERA-KIKORONGO'!K26,'7.8 BWERA-KIKORONGO'!K26,'9.8 BWERA-KIKORONGO'!K26,'8.8 BWERA-KIKORONGO-24h'!K26,'10.8 BWERA-KIKORONGO 24HRS'!K26,'11.8 KIKORONGO-BWERA'!K26)</f>
        <v>0</v>
      </c>
      <c r="L26" s="49">
        <f>AVERAGE('5.8 BWERA-KIKORONGO'!L26,'6.8 BWERA-KIKORONGO'!L26,'7.8 BWERA-KIKORONGO'!L26,'9.8 BWERA-KIKORONGO'!L26,'8.8 BWERA-KIKORONGO-24h'!L26,'10.8 BWERA-KIKORONGO 24HRS'!L26,'11.8 KIKORONGO-BWERA'!L26)</f>
        <v>0.2857142857142857</v>
      </c>
      <c r="M26" s="49">
        <f>AVERAGE('5.8 BWERA-KIKORONGO'!M26,'6.8 BWERA-KIKORONGO'!M26,'7.8 BWERA-KIKORONGO'!M26,'9.8 BWERA-KIKORONGO'!M26,'8.8 BWERA-KIKORONGO-24h'!M26,'10.8 BWERA-KIKORONGO 24HRS'!M26,'11.8 KIKORONGO-BWERA'!M26)</f>
        <v>3.4285714285714284</v>
      </c>
      <c r="N26" s="49">
        <f>AVERAGE('5.8 BWERA-KIKORONGO'!N26,'6.8 BWERA-KIKORONGO'!N26,'7.8 BWERA-KIKORONGO'!N26,'9.8 BWERA-KIKORONGO'!N26,'8.8 BWERA-KIKORONGO-24h'!N26,'10.8 BWERA-KIKORONGO 24HRS'!N26,'11.8 KIKORONGO-BWERA'!N26)</f>
        <v>0</v>
      </c>
      <c r="O26" s="15">
        <f t="shared" si="0"/>
        <v>13.000000000000002</v>
      </c>
      <c r="P26" s="15">
        <f t="shared" si="1"/>
        <v>16.428571428571431</v>
      </c>
      <c r="R26" s="1" t="s">
        <v>150</v>
      </c>
      <c r="S26" s="34">
        <f>SUM(C74:C77)</f>
        <v>6.5</v>
      </c>
      <c r="T26" s="34">
        <f t="shared" ref="T26:AF26" si="18">SUM(D74:D77)</f>
        <v>0</v>
      </c>
      <c r="U26" s="34">
        <f t="shared" si="18"/>
        <v>2</v>
      </c>
      <c r="V26" s="34">
        <f t="shared" si="18"/>
        <v>4</v>
      </c>
      <c r="W26" s="34">
        <f t="shared" si="18"/>
        <v>0</v>
      </c>
      <c r="X26" s="34">
        <f t="shared" si="18"/>
        <v>2</v>
      </c>
      <c r="Y26" s="34">
        <f t="shared" si="18"/>
        <v>2.5</v>
      </c>
      <c r="Z26" s="34">
        <f t="shared" si="18"/>
        <v>1</v>
      </c>
      <c r="AA26" s="34">
        <f t="shared" si="18"/>
        <v>0</v>
      </c>
      <c r="AB26" s="34">
        <f t="shared" si="18"/>
        <v>1.5</v>
      </c>
      <c r="AC26" s="34">
        <f t="shared" si="18"/>
        <v>1.5</v>
      </c>
      <c r="AD26" s="34">
        <f t="shared" si="18"/>
        <v>0</v>
      </c>
      <c r="AE26" s="31">
        <f t="shared" si="18"/>
        <v>19.5</v>
      </c>
      <c r="AF26" s="31">
        <f t="shared" si="18"/>
        <v>21</v>
      </c>
    </row>
    <row r="27" spans="2:32" ht="23.1" customHeight="1" x14ac:dyDescent="0.25">
      <c r="B27" s="23" t="s">
        <v>54</v>
      </c>
      <c r="C27" s="49">
        <f>AVERAGE('5.8 BWERA-KIKORONGO'!C27,'6.8 BWERA-KIKORONGO'!C27,'7.8 BWERA-KIKORONGO'!C27,'9.8 BWERA-KIKORONGO'!C27,'8.8 BWERA-KIKORONGO-24h'!C27,'10.8 BWERA-KIKORONGO 24HRS'!C27,'11.8 KIKORONGO-BWERA'!C27)</f>
        <v>4.7142857142857144</v>
      </c>
      <c r="D27" s="49">
        <f>AVERAGE('5.8 BWERA-KIKORONGO'!D27,'6.8 BWERA-KIKORONGO'!D27,'7.8 BWERA-KIKORONGO'!D27,'9.8 BWERA-KIKORONGO'!D27,'8.8 BWERA-KIKORONGO-24h'!D27,'10.8 BWERA-KIKORONGO 24HRS'!D27,'11.8 KIKORONGO-BWERA'!D27)</f>
        <v>0</v>
      </c>
      <c r="E27" s="49">
        <f>AVERAGE('5.8 BWERA-KIKORONGO'!E27,'6.8 BWERA-KIKORONGO'!E27,'7.8 BWERA-KIKORONGO'!E27,'9.8 BWERA-KIKORONGO'!E27,'8.8 BWERA-KIKORONGO-24h'!E27,'10.8 BWERA-KIKORONGO 24HRS'!E27,'11.8 KIKORONGO-BWERA'!E27)</f>
        <v>2.8571428571428572</v>
      </c>
      <c r="F27" s="49">
        <f>AVERAGE('5.8 BWERA-KIKORONGO'!F27,'6.8 BWERA-KIKORONGO'!F27,'7.8 BWERA-KIKORONGO'!F27,'9.8 BWERA-KIKORONGO'!F27,'8.8 BWERA-KIKORONGO-24h'!F27,'10.8 BWERA-KIKORONGO 24HRS'!F27,'11.8 KIKORONGO-BWERA'!F27)</f>
        <v>2.8571428571428572</v>
      </c>
      <c r="G27" s="49">
        <f>AVERAGE('5.8 BWERA-KIKORONGO'!G27,'6.8 BWERA-KIKORONGO'!G27,'7.8 BWERA-KIKORONGO'!G27,'9.8 BWERA-KIKORONGO'!G27,'8.8 BWERA-KIKORONGO-24h'!G27,'10.8 BWERA-KIKORONGO 24HRS'!G27,'11.8 KIKORONGO-BWERA'!G27)</f>
        <v>0</v>
      </c>
      <c r="H27" s="49">
        <f>AVERAGE('5.8 BWERA-KIKORONGO'!H27,'6.8 BWERA-KIKORONGO'!H27,'7.8 BWERA-KIKORONGO'!H27,'9.8 BWERA-KIKORONGO'!H27,'8.8 BWERA-KIKORONGO-24h'!H27,'10.8 BWERA-KIKORONGO 24HRS'!H27,'11.8 KIKORONGO-BWERA'!H27)</f>
        <v>0</v>
      </c>
      <c r="I27" s="49">
        <f>AVERAGE('5.8 BWERA-KIKORONGO'!I27,'6.8 BWERA-KIKORONGO'!I27,'7.8 BWERA-KIKORONGO'!I27,'9.8 BWERA-KIKORONGO'!I27,'8.8 BWERA-KIKORONGO-24h'!I27,'10.8 BWERA-KIKORONGO 24HRS'!I27,'11.8 KIKORONGO-BWERA'!I27)</f>
        <v>0</v>
      </c>
      <c r="J27" s="49">
        <f>AVERAGE('5.8 BWERA-KIKORONGO'!J27,'6.8 BWERA-KIKORONGO'!J27,'7.8 BWERA-KIKORONGO'!J27,'9.8 BWERA-KIKORONGO'!J27,'8.8 BWERA-KIKORONGO-24h'!J27,'10.8 BWERA-KIKORONGO 24HRS'!J27,'11.8 KIKORONGO-BWERA'!J27)</f>
        <v>1</v>
      </c>
      <c r="K27" s="49">
        <f>AVERAGE('5.8 BWERA-KIKORONGO'!K27,'6.8 BWERA-KIKORONGO'!K27,'7.8 BWERA-KIKORONGO'!K27,'9.8 BWERA-KIKORONGO'!K27,'8.8 BWERA-KIKORONGO-24h'!K27,'10.8 BWERA-KIKORONGO 24HRS'!K27,'11.8 KIKORONGO-BWERA'!K27)</f>
        <v>0</v>
      </c>
      <c r="L27" s="49">
        <f>AVERAGE('5.8 BWERA-KIKORONGO'!L27,'6.8 BWERA-KIKORONGO'!L27,'7.8 BWERA-KIKORONGO'!L27,'9.8 BWERA-KIKORONGO'!L27,'8.8 BWERA-KIKORONGO-24h'!L27,'10.8 BWERA-KIKORONGO 24HRS'!L27,'11.8 KIKORONGO-BWERA'!L27)</f>
        <v>0.7142857142857143</v>
      </c>
      <c r="M27" s="49">
        <f>AVERAGE('5.8 BWERA-KIKORONGO'!M27,'6.8 BWERA-KIKORONGO'!M27,'7.8 BWERA-KIKORONGO'!M27,'9.8 BWERA-KIKORONGO'!M27,'8.8 BWERA-KIKORONGO-24h'!M27,'10.8 BWERA-KIKORONGO 24HRS'!M27,'11.8 KIKORONGO-BWERA'!M27)</f>
        <v>4</v>
      </c>
      <c r="N27" s="49">
        <f>AVERAGE('5.8 BWERA-KIKORONGO'!N27,'6.8 BWERA-KIKORONGO'!N27,'7.8 BWERA-KIKORONGO'!N27,'9.8 BWERA-KIKORONGO'!N27,'8.8 BWERA-KIKORONGO-24h'!N27,'10.8 BWERA-KIKORONGO 24HRS'!N27,'11.8 KIKORONGO-BWERA'!N27)</f>
        <v>0</v>
      </c>
      <c r="O27" s="15">
        <f t="shared" si="0"/>
        <v>12.142857142857142</v>
      </c>
      <c r="P27" s="15">
        <f t="shared" si="1"/>
        <v>16.142857142857142</v>
      </c>
      <c r="R27" s="1" t="s">
        <v>151</v>
      </c>
      <c r="S27" s="34">
        <f>SUM(C78:C81)</f>
        <v>4.5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4</v>
      </c>
      <c r="W27" s="34">
        <f t="shared" si="19"/>
        <v>0</v>
      </c>
      <c r="X27" s="34">
        <f t="shared" si="19"/>
        <v>0.5</v>
      </c>
      <c r="Y27" s="34">
        <f t="shared" si="19"/>
        <v>1</v>
      </c>
      <c r="Z27" s="34">
        <f t="shared" si="19"/>
        <v>0</v>
      </c>
      <c r="AA27" s="34">
        <f t="shared" si="19"/>
        <v>0</v>
      </c>
      <c r="AB27" s="34">
        <f t="shared" si="19"/>
        <v>1</v>
      </c>
      <c r="AC27" s="34">
        <f t="shared" si="19"/>
        <v>1</v>
      </c>
      <c r="AD27" s="34">
        <f t="shared" si="19"/>
        <v>0</v>
      </c>
      <c r="AE27" s="31">
        <f t="shared" si="19"/>
        <v>11</v>
      </c>
      <c r="AF27" s="31">
        <f t="shared" si="19"/>
        <v>12</v>
      </c>
    </row>
    <row r="28" spans="2:32" ht="23.1" customHeight="1" x14ac:dyDescent="0.25">
      <c r="B28" s="23" t="s">
        <v>55</v>
      </c>
      <c r="C28" s="49">
        <f>AVERAGE('5.8 BWERA-KIKORONGO'!C28,'6.8 BWERA-KIKORONGO'!C28,'7.8 BWERA-KIKORONGO'!C28,'9.8 BWERA-KIKORONGO'!C28,'8.8 BWERA-KIKORONGO-24h'!C28,'10.8 BWERA-KIKORONGO 24HRS'!C28,'11.8 KIKORONGO-BWERA'!C28)</f>
        <v>4.7142857142857144</v>
      </c>
      <c r="D28" s="49">
        <f>AVERAGE('5.8 BWERA-KIKORONGO'!D28,'6.8 BWERA-KIKORONGO'!D28,'7.8 BWERA-KIKORONGO'!D28,'9.8 BWERA-KIKORONGO'!D28,'8.8 BWERA-KIKORONGO-24h'!D28,'10.8 BWERA-KIKORONGO 24HRS'!D28,'11.8 KIKORONGO-BWERA'!D28)</f>
        <v>0</v>
      </c>
      <c r="E28" s="49">
        <f>AVERAGE('5.8 BWERA-KIKORONGO'!E28,'6.8 BWERA-KIKORONGO'!E28,'7.8 BWERA-KIKORONGO'!E28,'9.8 BWERA-KIKORONGO'!E28,'8.8 BWERA-KIKORONGO-24h'!E28,'10.8 BWERA-KIKORONGO 24HRS'!E28,'11.8 KIKORONGO-BWERA'!E28)</f>
        <v>1</v>
      </c>
      <c r="F28" s="49">
        <f>AVERAGE('5.8 BWERA-KIKORONGO'!F28,'6.8 BWERA-KIKORONGO'!F28,'7.8 BWERA-KIKORONGO'!F28,'9.8 BWERA-KIKORONGO'!F28,'8.8 BWERA-KIKORONGO-24h'!F28,'10.8 BWERA-KIKORONGO 24HRS'!F28,'11.8 KIKORONGO-BWERA'!F28)</f>
        <v>2.1428571428571428</v>
      </c>
      <c r="G28" s="49">
        <f>AVERAGE('5.8 BWERA-KIKORONGO'!G28,'6.8 BWERA-KIKORONGO'!G28,'7.8 BWERA-KIKORONGO'!G28,'9.8 BWERA-KIKORONGO'!G28,'8.8 BWERA-KIKORONGO-24h'!G28,'10.8 BWERA-KIKORONGO 24HRS'!G28,'11.8 KIKORONGO-BWERA'!G28)</f>
        <v>0</v>
      </c>
      <c r="H28" s="49">
        <f>AVERAGE('5.8 BWERA-KIKORONGO'!H28,'6.8 BWERA-KIKORONGO'!H28,'7.8 BWERA-KIKORONGO'!H28,'9.8 BWERA-KIKORONGO'!H28,'8.8 BWERA-KIKORONGO-24h'!H28,'10.8 BWERA-KIKORONGO 24HRS'!H28,'11.8 KIKORONGO-BWERA'!H28)</f>
        <v>0</v>
      </c>
      <c r="I28" s="49">
        <f>AVERAGE('5.8 BWERA-KIKORONGO'!I28,'6.8 BWERA-KIKORONGO'!I28,'7.8 BWERA-KIKORONGO'!I28,'9.8 BWERA-KIKORONGO'!I28,'8.8 BWERA-KIKORONGO-24h'!I28,'10.8 BWERA-KIKORONGO 24HRS'!I28,'11.8 KIKORONGO-BWERA'!I28)</f>
        <v>0.5714285714285714</v>
      </c>
      <c r="J28" s="49">
        <f>AVERAGE('5.8 BWERA-KIKORONGO'!J28,'6.8 BWERA-KIKORONGO'!J28,'7.8 BWERA-KIKORONGO'!J28,'9.8 BWERA-KIKORONGO'!J28,'8.8 BWERA-KIKORONGO-24h'!J28,'10.8 BWERA-KIKORONGO 24HRS'!J28,'11.8 KIKORONGO-BWERA'!J28)</f>
        <v>0.2857142857142857</v>
      </c>
      <c r="K28" s="49">
        <f>AVERAGE('5.8 BWERA-KIKORONGO'!K28,'6.8 BWERA-KIKORONGO'!K28,'7.8 BWERA-KIKORONGO'!K28,'9.8 BWERA-KIKORONGO'!K28,'8.8 BWERA-KIKORONGO-24h'!K28,'10.8 BWERA-KIKORONGO 24HRS'!K28,'11.8 KIKORONGO-BWERA'!K28)</f>
        <v>0</v>
      </c>
      <c r="L28" s="49">
        <f>AVERAGE('5.8 BWERA-KIKORONGO'!L28,'6.8 BWERA-KIKORONGO'!L28,'7.8 BWERA-KIKORONGO'!L28,'9.8 BWERA-KIKORONGO'!L28,'8.8 BWERA-KIKORONGO-24h'!L28,'10.8 BWERA-KIKORONGO 24HRS'!L28,'11.8 KIKORONGO-BWERA'!L28)</f>
        <v>0.14285714285714285</v>
      </c>
      <c r="M28" s="49">
        <f>AVERAGE('5.8 BWERA-KIKORONGO'!M28,'6.8 BWERA-KIKORONGO'!M28,'7.8 BWERA-KIKORONGO'!M28,'9.8 BWERA-KIKORONGO'!M28,'8.8 BWERA-KIKORONGO-24h'!M28,'10.8 BWERA-KIKORONGO 24HRS'!M28,'11.8 KIKORONGO-BWERA'!M28)</f>
        <v>5</v>
      </c>
      <c r="N28" s="49">
        <f>AVERAGE('5.8 BWERA-KIKORONGO'!N28,'6.8 BWERA-KIKORONGO'!N28,'7.8 BWERA-KIKORONGO'!N28,'9.8 BWERA-KIKORONGO'!N28,'8.8 BWERA-KIKORONGO-24h'!N28,'10.8 BWERA-KIKORONGO 24HRS'!N28,'11.8 KIKORONGO-BWERA'!N28)</f>
        <v>0.14285714285714285</v>
      </c>
      <c r="O28" s="15">
        <f t="shared" si="0"/>
        <v>9</v>
      </c>
      <c r="P28" s="15">
        <f t="shared" si="1"/>
        <v>14</v>
      </c>
      <c r="R28" s="1" t="s">
        <v>152</v>
      </c>
      <c r="S28" s="34">
        <f>SUM(C82:C85)</f>
        <v>2</v>
      </c>
      <c r="T28" s="34">
        <f t="shared" ref="T28:AF28" si="20">SUM(D82:D85)</f>
        <v>0</v>
      </c>
      <c r="U28" s="34">
        <f t="shared" si="20"/>
        <v>2</v>
      </c>
      <c r="V28" s="34">
        <f t="shared" si="20"/>
        <v>1</v>
      </c>
      <c r="W28" s="34">
        <f t="shared" si="20"/>
        <v>0</v>
      </c>
      <c r="X28" s="34">
        <f t="shared" si="20"/>
        <v>0</v>
      </c>
      <c r="Y28" s="34">
        <f t="shared" si="20"/>
        <v>3</v>
      </c>
      <c r="Z28" s="34">
        <f t="shared" si="20"/>
        <v>0</v>
      </c>
      <c r="AA28" s="34">
        <f t="shared" si="20"/>
        <v>0</v>
      </c>
      <c r="AB28" s="34">
        <f t="shared" si="20"/>
        <v>1.5</v>
      </c>
      <c r="AC28" s="34">
        <f t="shared" si="20"/>
        <v>1</v>
      </c>
      <c r="AD28" s="34">
        <f t="shared" si="20"/>
        <v>0</v>
      </c>
      <c r="AE28" s="31">
        <f t="shared" si="20"/>
        <v>9.5</v>
      </c>
      <c r="AF28" s="31">
        <f t="shared" si="20"/>
        <v>10.5</v>
      </c>
    </row>
    <row r="29" spans="2:32" ht="23.1" customHeight="1" x14ac:dyDescent="0.25">
      <c r="B29" s="23" t="s">
        <v>56</v>
      </c>
      <c r="C29" s="49">
        <f>AVERAGE('5.8 BWERA-KIKORONGO'!C29,'6.8 BWERA-KIKORONGO'!C29,'7.8 BWERA-KIKORONGO'!C29,'9.8 BWERA-KIKORONGO'!C29,'8.8 BWERA-KIKORONGO-24h'!C29,'10.8 BWERA-KIKORONGO 24HRS'!C29,'11.8 KIKORONGO-BWERA'!C29)</f>
        <v>6.1428571428571432</v>
      </c>
      <c r="D29" s="49">
        <f>AVERAGE('5.8 BWERA-KIKORONGO'!D29,'6.8 BWERA-KIKORONGO'!D29,'7.8 BWERA-KIKORONGO'!D29,'9.8 BWERA-KIKORONGO'!D29,'8.8 BWERA-KIKORONGO-24h'!D29,'10.8 BWERA-KIKORONGO 24HRS'!D29,'11.8 KIKORONGO-BWERA'!D29)</f>
        <v>0</v>
      </c>
      <c r="E29" s="49">
        <f>AVERAGE('5.8 BWERA-KIKORONGO'!E29,'6.8 BWERA-KIKORONGO'!E29,'7.8 BWERA-KIKORONGO'!E29,'9.8 BWERA-KIKORONGO'!E29,'8.8 BWERA-KIKORONGO-24h'!E29,'10.8 BWERA-KIKORONGO 24HRS'!E29,'11.8 KIKORONGO-BWERA'!E29)</f>
        <v>2</v>
      </c>
      <c r="F29" s="49">
        <f>AVERAGE('5.8 BWERA-KIKORONGO'!F29,'6.8 BWERA-KIKORONGO'!F29,'7.8 BWERA-KIKORONGO'!F29,'9.8 BWERA-KIKORONGO'!F29,'8.8 BWERA-KIKORONGO-24h'!F29,'10.8 BWERA-KIKORONGO 24HRS'!F29,'11.8 KIKORONGO-BWERA'!F29)</f>
        <v>2.2857142857142856</v>
      </c>
      <c r="G29" s="49">
        <f>AVERAGE('5.8 BWERA-KIKORONGO'!G29,'6.8 BWERA-KIKORONGO'!G29,'7.8 BWERA-KIKORONGO'!G29,'9.8 BWERA-KIKORONGO'!G29,'8.8 BWERA-KIKORONGO-24h'!G29,'10.8 BWERA-KIKORONGO 24HRS'!G29,'11.8 KIKORONGO-BWERA'!G29)</f>
        <v>0</v>
      </c>
      <c r="H29" s="49">
        <f>AVERAGE('5.8 BWERA-KIKORONGO'!H29,'6.8 BWERA-KIKORONGO'!H29,'7.8 BWERA-KIKORONGO'!H29,'9.8 BWERA-KIKORONGO'!H29,'8.8 BWERA-KIKORONGO-24h'!H29,'10.8 BWERA-KIKORONGO 24HRS'!H29,'11.8 KIKORONGO-BWERA'!H29)</f>
        <v>0.14285714285714285</v>
      </c>
      <c r="I29" s="49">
        <f>AVERAGE('5.8 BWERA-KIKORONGO'!I29,'6.8 BWERA-KIKORONGO'!I29,'7.8 BWERA-KIKORONGO'!I29,'9.8 BWERA-KIKORONGO'!I29,'8.8 BWERA-KIKORONGO-24h'!I29,'10.8 BWERA-KIKORONGO 24HRS'!I29,'11.8 KIKORONGO-BWERA'!I29)</f>
        <v>0.5714285714285714</v>
      </c>
      <c r="J29" s="49">
        <f>AVERAGE('5.8 BWERA-KIKORONGO'!J29,'6.8 BWERA-KIKORONGO'!J29,'7.8 BWERA-KIKORONGO'!J29,'9.8 BWERA-KIKORONGO'!J29,'8.8 BWERA-KIKORONGO-24h'!J29,'10.8 BWERA-KIKORONGO 24HRS'!J29,'11.8 KIKORONGO-BWERA'!J29)</f>
        <v>0.8571428571428571</v>
      </c>
      <c r="K29" s="49">
        <f>AVERAGE('5.8 BWERA-KIKORONGO'!K29,'6.8 BWERA-KIKORONGO'!K29,'7.8 BWERA-KIKORONGO'!K29,'9.8 BWERA-KIKORONGO'!K29,'8.8 BWERA-KIKORONGO-24h'!K29,'10.8 BWERA-KIKORONGO 24HRS'!K29,'11.8 KIKORONGO-BWERA'!K29)</f>
        <v>0</v>
      </c>
      <c r="L29" s="49">
        <f>AVERAGE('5.8 BWERA-KIKORONGO'!L29,'6.8 BWERA-KIKORONGO'!L29,'7.8 BWERA-KIKORONGO'!L29,'9.8 BWERA-KIKORONGO'!L29,'8.8 BWERA-KIKORONGO-24h'!L29,'10.8 BWERA-KIKORONGO 24HRS'!L29,'11.8 KIKORONGO-BWERA'!L29)</f>
        <v>1</v>
      </c>
      <c r="M29" s="49">
        <f>AVERAGE('5.8 BWERA-KIKORONGO'!M29,'6.8 BWERA-KIKORONGO'!M29,'7.8 BWERA-KIKORONGO'!M29,'9.8 BWERA-KIKORONGO'!M29,'8.8 BWERA-KIKORONGO-24h'!M29,'10.8 BWERA-KIKORONGO 24HRS'!M29,'11.8 KIKORONGO-BWERA'!M29)</f>
        <v>4.8571428571428568</v>
      </c>
      <c r="N29" s="49">
        <f>AVERAGE('5.8 BWERA-KIKORONGO'!N29,'6.8 BWERA-KIKORONGO'!N29,'7.8 BWERA-KIKORONGO'!N29,'9.8 BWERA-KIKORONGO'!N29,'8.8 BWERA-KIKORONGO-24h'!N29,'10.8 BWERA-KIKORONGO 24HRS'!N29,'11.8 KIKORONGO-BWERA'!N29)</f>
        <v>0</v>
      </c>
      <c r="O29" s="15">
        <f t="shared" si="0"/>
        <v>12.999999999999998</v>
      </c>
      <c r="P29" s="15">
        <f t="shared" si="1"/>
        <v>17.857142857142854</v>
      </c>
      <c r="R29" s="1" t="s">
        <v>153</v>
      </c>
      <c r="S29" s="34">
        <f>SUM(C86:C89)</f>
        <v>4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5</v>
      </c>
      <c r="W29" s="34">
        <f t="shared" si="21"/>
        <v>0</v>
      </c>
      <c r="X29" s="34">
        <f t="shared" si="21"/>
        <v>0</v>
      </c>
      <c r="Y29" s="34">
        <f t="shared" si="21"/>
        <v>3</v>
      </c>
      <c r="Z29" s="34">
        <f t="shared" si="21"/>
        <v>0</v>
      </c>
      <c r="AA29" s="34">
        <f t="shared" si="21"/>
        <v>0</v>
      </c>
      <c r="AB29" s="34">
        <f t="shared" si="21"/>
        <v>1</v>
      </c>
      <c r="AC29" s="34">
        <f t="shared" si="21"/>
        <v>0.5</v>
      </c>
      <c r="AD29" s="34">
        <f t="shared" si="21"/>
        <v>0</v>
      </c>
      <c r="AE29" s="31">
        <f t="shared" si="21"/>
        <v>13</v>
      </c>
      <c r="AF29" s="31">
        <f t="shared" si="21"/>
        <v>13.5</v>
      </c>
    </row>
    <row r="30" spans="2:32" ht="23.1" customHeight="1" x14ac:dyDescent="0.25">
      <c r="B30" s="23" t="s">
        <v>57</v>
      </c>
      <c r="C30" s="49">
        <f>AVERAGE('5.8 BWERA-KIKORONGO'!C30,'6.8 BWERA-KIKORONGO'!C30,'7.8 BWERA-KIKORONGO'!C30,'9.8 BWERA-KIKORONGO'!C30,'8.8 BWERA-KIKORONGO-24h'!C30,'10.8 BWERA-KIKORONGO 24HRS'!C30,'11.8 KIKORONGO-BWERA'!C30)</f>
        <v>7</v>
      </c>
      <c r="D30" s="49">
        <f>AVERAGE('5.8 BWERA-KIKORONGO'!D30,'6.8 BWERA-KIKORONGO'!D30,'7.8 BWERA-KIKORONGO'!D30,'9.8 BWERA-KIKORONGO'!D30,'8.8 BWERA-KIKORONGO-24h'!D30,'10.8 BWERA-KIKORONGO 24HRS'!D30,'11.8 KIKORONGO-BWERA'!D30)</f>
        <v>0</v>
      </c>
      <c r="E30" s="49">
        <f>AVERAGE('5.8 BWERA-KIKORONGO'!E30,'6.8 BWERA-KIKORONGO'!E30,'7.8 BWERA-KIKORONGO'!E30,'9.8 BWERA-KIKORONGO'!E30,'8.8 BWERA-KIKORONGO-24h'!E30,'10.8 BWERA-KIKORONGO 24HRS'!E30,'11.8 KIKORONGO-BWERA'!E30)</f>
        <v>2.8571428571428572</v>
      </c>
      <c r="F30" s="49">
        <f>AVERAGE('5.8 BWERA-KIKORONGO'!F30,'6.8 BWERA-KIKORONGO'!F30,'7.8 BWERA-KIKORONGO'!F30,'9.8 BWERA-KIKORONGO'!F30,'8.8 BWERA-KIKORONGO-24h'!F30,'10.8 BWERA-KIKORONGO 24HRS'!F30,'11.8 KIKORONGO-BWERA'!F30)</f>
        <v>2.1428571428571428</v>
      </c>
      <c r="G30" s="49">
        <f>AVERAGE('5.8 BWERA-KIKORONGO'!G30,'6.8 BWERA-KIKORONGO'!G30,'7.8 BWERA-KIKORONGO'!G30,'9.8 BWERA-KIKORONGO'!G30,'8.8 BWERA-KIKORONGO-24h'!G30,'10.8 BWERA-KIKORONGO 24HRS'!G30,'11.8 KIKORONGO-BWERA'!G30)</f>
        <v>0</v>
      </c>
      <c r="H30" s="49">
        <f>AVERAGE('5.8 BWERA-KIKORONGO'!H30,'6.8 BWERA-KIKORONGO'!H30,'7.8 BWERA-KIKORONGO'!H30,'9.8 BWERA-KIKORONGO'!H30,'8.8 BWERA-KIKORONGO-24h'!H30,'10.8 BWERA-KIKORONGO 24HRS'!H30,'11.8 KIKORONGO-BWERA'!H30)</f>
        <v>0</v>
      </c>
      <c r="I30" s="49">
        <f>AVERAGE('5.8 BWERA-KIKORONGO'!I30,'6.8 BWERA-KIKORONGO'!I30,'7.8 BWERA-KIKORONGO'!I30,'9.8 BWERA-KIKORONGO'!I30,'8.8 BWERA-KIKORONGO-24h'!I30,'10.8 BWERA-KIKORONGO 24HRS'!I30,'11.8 KIKORONGO-BWERA'!I30)</f>
        <v>1.1428571428571428</v>
      </c>
      <c r="J30" s="49">
        <f>AVERAGE('5.8 BWERA-KIKORONGO'!J30,'6.8 BWERA-KIKORONGO'!J30,'7.8 BWERA-KIKORONGO'!J30,'9.8 BWERA-KIKORONGO'!J30,'8.8 BWERA-KIKORONGO-24h'!J30,'10.8 BWERA-KIKORONGO 24HRS'!J30,'11.8 KIKORONGO-BWERA'!J30)</f>
        <v>1</v>
      </c>
      <c r="K30" s="49">
        <f>AVERAGE('5.8 BWERA-KIKORONGO'!K30,'6.8 BWERA-KIKORONGO'!K30,'7.8 BWERA-KIKORONGO'!K30,'9.8 BWERA-KIKORONGO'!K30,'8.8 BWERA-KIKORONGO-24h'!K30,'10.8 BWERA-KIKORONGO 24HRS'!K30,'11.8 KIKORONGO-BWERA'!K30)</f>
        <v>0.14285714285714285</v>
      </c>
      <c r="L30" s="49">
        <f>AVERAGE('5.8 BWERA-KIKORONGO'!L30,'6.8 BWERA-KIKORONGO'!L30,'7.8 BWERA-KIKORONGO'!L30,'9.8 BWERA-KIKORONGO'!L30,'8.8 BWERA-KIKORONGO-24h'!L30,'10.8 BWERA-KIKORONGO 24HRS'!L30,'11.8 KIKORONGO-BWERA'!L30)</f>
        <v>0.42857142857142855</v>
      </c>
      <c r="M30" s="49">
        <f>AVERAGE('5.8 BWERA-KIKORONGO'!M30,'6.8 BWERA-KIKORONGO'!M30,'7.8 BWERA-KIKORONGO'!M30,'9.8 BWERA-KIKORONGO'!M30,'8.8 BWERA-KIKORONGO-24h'!M30,'10.8 BWERA-KIKORONGO 24HRS'!M30,'11.8 KIKORONGO-BWERA'!M30)</f>
        <v>5.2857142857142856</v>
      </c>
      <c r="N30" s="49">
        <f>AVERAGE('5.8 BWERA-KIKORONGO'!N30,'6.8 BWERA-KIKORONGO'!N30,'7.8 BWERA-KIKORONGO'!N30,'9.8 BWERA-KIKORONGO'!N30,'8.8 BWERA-KIKORONGO-24h'!N30,'10.8 BWERA-KIKORONGO 24HRS'!N30,'11.8 KIKORONGO-BWERA'!N30)</f>
        <v>0</v>
      </c>
      <c r="O30" s="15">
        <f t="shared" si="0"/>
        <v>14.714285714285714</v>
      </c>
      <c r="P30" s="15">
        <f t="shared" si="1"/>
        <v>20</v>
      </c>
      <c r="R30" s="1" t="s">
        <v>154</v>
      </c>
      <c r="S30" s="34">
        <f>SUM(C90:C93)</f>
        <v>1</v>
      </c>
      <c r="T30" s="34">
        <f t="shared" ref="T30:AF30" si="22">SUM(D90:D93)</f>
        <v>0</v>
      </c>
      <c r="U30" s="34">
        <f t="shared" si="22"/>
        <v>2</v>
      </c>
      <c r="V30" s="34">
        <f t="shared" si="22"/>
        <v>1.5</v>
      </c>
      <c r="W30" s="34">
        <f t="shared" si="22"/>
        <v>0</v>
      </c>
      <c r="X30" s="34">
        <f t="shared" si="22"/>
        <v>0.5</v>
      </c>
      <c r="Y30" s="34">
        <f t="shared" si="22"/>
        <v>2</v>
      </c>
      <c r="Z30" s="34">
        <f t="shared" si="22"/>
        <v>0</v>
      </c>
      <c r="AA30" s="34">
        <f t="shared" si="22"/>
        <v>0</v>
      </c>
      <c r="AB30" s="34">
        <f t="shared" si="22"/>
        <v>1</v>
      </c>
      <c r="AC30" s="34">
        <f t="shared" si="22"/>
        <v>0</v>
      </c>
      <c r="AD30" s="34">
        <f t="shared" si="22"/>
        <v>0</v>
      </c>
      <c r="AE30" s="31">
        <f t="shared" si="22"/>
        <v>8</v>
      </c>
      <c r="AF30" s="31">
        <f t="shared" si="22"/>
        <v>8</v>
      </c>
    </row>
    <row r="31" spans="2:32" ht="23.1" customHeight="1" x14ac:dyDescent="0.25">
      <c r="B31" s="24" t="s">
        <v>58</v>
      </c>
      <c r="C31" s="49">
        <f>AVERAGE('5.8 BWERA-KIKORONGO'!C31,'6.8 BWERA-KIKORONGO'!C31,'7.8 BWERA-KIKORONGO'!C31,'9.8 BWERA-KIKORONGO'!C31,'8.8 BWERA-KIKORONGO-24h'!C31,'10.8 BWERA-KIKORONGO 24HRS'!C31,'11.8 KIKORONGO-BWERA'!C31)</f>
        <v>4.1428571428571432</v>
      </c>
      <c r="D31" s="49">
        <f>AVERAGE('5.8 BWERA-KIKORONGO'!D31,'6.8 BWERA-KIKORONGO'!D31,'7.8 BWERA-KIKORONGO'!D31,'9.8 BWERA-KIKORONGO'!D31,'8.8 BWERA-KIKORONGO-24h'!D31,'10.8 BWERA-KIKORONGO 24HRS'!D31,'11.8 KIKORONGO-BWERA'!D31)</f>
        <v>0</v>
      </c>
      <c r="E31" s="49">
        <f>AVERAGE('5.8 BWERA-KIKORONGO'!E31,'6.8 BWERA-KIKORONGO'!E31,'7.8 BWERA-KIKORONGO'!E31,'9.8 BWERA-KIKORONGO'!E31,'8.8 BWERA-KIKORONGO-24h'!E31,'10.8 BWERA-KIKORONGO 24HRS'!E31,'11.8 KIKORONGO-BWERA'!E31)</f>
        <v>1.2857142857142858</v>
      </c>
      <c r="F31" s="49">
        <f>AVERAGE('5.8 BWERA-KIKORONGO'!F31,'6.8 BWERA-KIKORONGO'!F31,'7.8 BWERA-KIKORONGO'!F31,'9.8 BWERA-KIKORONGO'!F31,'8.8 BWERA-KIKORONGO-24h'!F31,'10.8 BWERA-KIKORONGO 24HRS'!F31,'11.8 KIKORONGO-BWERA'!F31)</f>
        <v>3.5714285714285716</v>
      </c>
      <c r="G31" s="49">
        <f>AVERAGE('5.8 BWERA-KIKORONGO'!G31,'6.8 BWERA-KIKORONGO'!G31,'7.8 BWERA-KIKORONGO'!G31,'9.8 BWERA-KIKORONGO'!G31,'8.8 BWERA-KIKORONGO-24h'!G31,'10.8 BWERA-KIKORONGO 24HRS'!G31,'11.8 KIKORONGO-BWERA'!G31)</f>
        <v>0</v>
      </c>
      <c r="H31" s="49">
        <f>AVERAGE('5.8 BWERA-KIKORONGO'!H31,'6.8 BWERA-KIKORONGO'!H31,'7.8 BWERA-KIKORONGO'!H31,'9.8 BWERA-KIKORONGO'!H31,'8.8 BWERA-KIKORONGO-24h'!H31,'10.8 BWERA-KIKORONGO 24HRS'!H31,'11.8 KIKORONGO-BWERA'!H31)</f>
        <v>0</v>
      </c>
      <c r="I31" s="49">
        <f>AVERAGE('5.8 BWERA-KIKORONGO'!I31,'6.8 BWERA-KIKORONGO'!I31,'7.8 BWERA-KIKORONGO'!I31,'9.8 BWERA-KIKORONGO'!I31,'8.8 BWERA-KIKORONGO-24h'!I31,'10.8 BWERA-KIKORONGO 24HRS'!I31,'11.8 KIKORONGO-BWERA'!I31)</f>
        <v>0.8571428571428571</v>
      </c>
      <c r="J31" s="49">
        <f>AVERAGE('5.8 BWERA-KIKORONGO'!J31,'6.8 BWERA-KIKORONGO'!J31,'7.8 BWERA-KIKORONGO'!J31,'9.8 BWERA-KIKORONGO'!J31,'8.8 BWERA-KIKORONGO-24h'!J31,'10.8 BWERA-KIKORONGO 24HRS'!J31,'11.8 KIKORONGO-BWERA'!J31)</f>
        <v>0.42857142857142855</v>
      </c>
      <c r="K31" s="49">
        <f>AVERAGE('5.8 BWERA-KIKORONGO'!K31,'6.8 BWERA-KIKORONGO'!K31,'7.8 BWERA-KIKORONGO'!K31,'9.8 BWERA-KIKORONGO'!K31,'8.8 BWERA-KIKORONGO-24h'!K31,'10.8 BWERA-KIKORONGO 24HRS'!K31,'11.8 KIKORONGO-BWERA'!K31)</f>
        <v>0</v>
      </c>
      <c r="L31" s="49">
        <f>AVERAGE('5.8 BWERA-KIKORONGO'!L31,'6.8 BWERA-KIKORONGO'!L31,'7.8 BWERA-KIKORONGO'!L31,'9.8 BWERA-KIKORONGO'!L31,'8.8 BWERA-KIKORONGO-24h'!L31,'10.8 BWERA-KIKORONGO 24HRS'!L31,'11.8 KIKORONGO-BWERA'!L31)</f>
        <v>0.42857142857142855</v>
      </c>
      <c r="M31" s="49">
        <f>AVERAGE('5.8 BWERA-KIKORONGO'!M31,'6.8 BWERA-KIKORONGO'!M31,'7.8 BWERA-KIKORONGO'!M31,'9.8 BWERA-KIKORONGO'!M31,'8.8 BWERA-KIKORONGO-24h'!M31,'10.8 BWERA-KIKORONGO 24HRS'!M31,'11.8 KIKORONGO-BWERA'!M31)</f>
        <v>4.2857142857142856</v>
      </c>
      <c r="N31" s="49">
        <f>AVERAGE('5.8 BWERA-KIKORONGO'!N31,'6.8 BWERA-KIKORONGO'!N31,'7.8 BWERA-KIKORONGO'!N31,'9.8 BWERA-KIKORONGO'!N31,'8.8 BWERA-KIKORONGO-24h'!N31,'10.8 BWERA-KIKORONGO 24HRS'!N31,'11.8 KIKORONGO-BWERA'!N31)</f>
        <v>0</v>
      </c>
      <c r="O31" s="15">
        <f t="shared" si="0"/>
        <v>10.714285714285715</v>
      </c>
      <c r="P31" s="15">
        <f t="shared" si="1"/>
        <v>15</v>
      </c>
      <c r="R31" s="1" t="s">
        <v>155</v>
      </c>
      <c r="S31" s="34">
        <f>SUM(C94:C97)</f>
        <v>1</v>
      </c>
      <c r="T31" s="34">
        <f t="shared" ref="T31:AF31" si="23">SUM(D94:D97)</f>
        <v>0</v>
      </c>
      <c r="U31" s="34">
        <f t="shared" si="23"/>
        <v>2</v>
      </c>
      <c r="V31" s="34">
        <f t="shared" si="23"/>
        <v>1.5</v>
      </c>
      <c r="W31" s="34">
        <f t="shared" si="23"/>
        <v>0</v>
      </c>
      <c r="X31" s="34">
        <f t="shared" si="23"/>
        <v>1</v>
      </c>
      <c r="Y31" s="34">
        <f t="shared" si="23"/>
        <v>3.5</v>
      </c>
      <c r="Z31" s="34">
        <f t="shared" si="23"/>
        <v>0</v>
      </c>
      <c r="AA31" s="34">
        <f t="shared" si="23"/>
        <v>0</v>
      </c>
      <c r="AB31" s="34">
        <f t="shared" si="23"/>
        <v>0.5</v>
      </c>
      <c r="AC31" s="34">
        <f t="shared" si="23"/>
        <v>0</v>
      </c>
      <c r="AD31" s="34">
        <f t="shared" si="23"/>
        <v>0</v>
      </c>
      <c r="AE31" s="31">
        <f t="shared" si="23"/>
        <v>9.5</v>
      </c>
      <c r="AF31" s="31">
        <f t="shared" si="23"/>
        <v>9.5</v>
      </c>
    </row>
    <row r="32" spans="2:32" ht="23.1" customHeight="1" x14ac:dyDescent="0.25">
      <c r="B32" s="24" t="s">
        <v>59</v>
      </c>
      <c r="C32" s="49">
        <f>AVERAGE('5.8 BWERA-KIKORONGO'!C32,'6.8 BWERA-KIKORONGO'!C32,'7.8 BWERA-KIKORONGO'!C32,'9.8 BWERA-KIKORONGO'!C32,'8.8 BWERA-KIKORONGO-24h'!C32,'10.8 BWERA-KIKORONGO 24HRS'!C32,'11.8 KIKORONGO-BWERA'!C32)</f>
        <v>3.1428571428571428</v>
      </c>
      <c r="D32" s="49">
        <f>AVERAGE('5.8 BWERA-KIKORONGO'!D32,'6.8 BWERA-KIKORONGO'!D32,'7.8 BWERA-KIKORONGO'!D32,'9.8 BWERA-KIKORONGO'!D32,'8.8 BWERA-KIKORONGO-24h'!D32,'10.8 BWERA-KIKORONGO 24HRS'!D32,'11.8 KIKORONGO-BWERA'!D32)</f>
        <v>0</v>
      </c>
      <c r="E32" s="49">
        <f>AVERAGE('5.8 BWERA-KIKORONGO'!E32,'6.8 BWERA-KIKORONGO'!E32,'7.8 BWERA-KIKORONGO'!E32,'9.8 BWERA-KIKORONGO'!E32,'8.8 BWERA-KIKORONGO-24h'!E32,'10.8 BWERA-KIKORONGO 24HRS'!E32,'11.8 KIKORONGO-BWERA'!E32)</f>
        <v>1.2857142857142858</v>
      </c>
      <c r="F32" s="49">
        <f>AVERAGE('5.8 BWERA-KIKORONGO'!F32,'6.8 BWERA-KIKORONGO'!F32,'7.8 BWERA-KIKORONGO'!F32,'9.8 BWERA-KIKORONGO'!F32,'8.8 BWERA-KIKORONGO-24h'!F32,'10.8 BWERA-KIKORONGO 24HRS'!F32,'11.8 KIKORONGO-BWERA'!F32)</f>
        <v>4.5714285714285712</v>
      </c>
      <c r="G32" s="49">
        <f>AVERAGE('5.8 BWERA-KIKORONGO'!G32,'6.8 BWERA-KIKORONGO'!G32,'7.8 BWERA-KIKORONGO'!G32,'9.8 BWERA-KIKORONGO'!G32,'8.8 BWERA-KIKORONGO-24h'!G32,'10.8 BWERA-KIKORONGO 24HRS'!G32,'11.8 KIKORONGO-BWERA'!G32)</f>
        <v>0.14285714285714285</v>
      </c>
      <c r="H32" s="49">
        <f>AVERAGE('5.8 BWERA-KIKORONGO'!H32,'6.8 BWERA-KIKORONGO'!H32,'7.8 BWERA-KIKORONGO'!H32,'9.8 BWERA-KIKORONGO'!H32,'8.8 BWERA-KIKORONGO-24h'!H32,'10.8 BWERA-KIKORONGO 24HRS'!H32,'11.8 KIKORONGO-BWERA'!H32)</f>
        <v>0</v>
      </c>
      <c r="I32" s="49">
        <f>AVERAGE('5.8 BWERA-KIKORONGO'!I32,'6.8 BWERA-KIKORONGO'!I32,'7.8 BWERA-KIKORONGO'!I32,'9.8 BWERA-KIKORONGO'!I32,'8.8 BWERA-KIKORONGO-24h'!I32,'10.8 BWERA-KIKORONGO 24HRS'!I32,'11.8 KIKORONGO-BWERA'!I32)</f>
        <v>1.1428571428571428</v>
      </c>
      <c r="J32" s="49">
        <f>AVERAGE('5.8 BWERA-KIKORONGO'!J32,'6.8 BWERA-KIKORONGO'!J32,'7.8 BWERA-KIKORONGO'!J32,'9.8 BWERA-KIKORONGO'!J32,'8.8 BWERA-KIKORONGO-24h'!J32,'10.8 BWERA-KIKORONGO 24HRS'!J32,'11.8 KIKORONGO-BWERA'!J32)</f>
        <v>0.7142857142857143</v>
      </c>
      <c r="K32" s="49">
        <f>AVERAGE('5.8 BWERA-KIKORONGO'!K32,'6.8 BWERA-KIKORONGO'!K32,'7.8 BWERA-KIKORONGO'!K32,'9.8 BWERA-KIKORONGO'!K32,'8.8 BWERA-KIKORONGO-24h'!K32,'10.8 BWERA-KIKORONGO 24HRS'!K32,'11.8 KIKORONGO-BWERA'!K32)</f>
        <v>0.14285714285714285</v>
      </c>
      <c r="L32" s="49">
        <f>AVERAGE('5.8 BWERA-KIKORONGO'!L32,'6.8 BWERA-KIKORONGO'!L32,'7.8 BWERA-KIKORONGO'!L32,'9.8 BWERA-KIKORONGO'!L32,'8.8 BWERA-KIKORONGO-24h'!L32,'10.8 BWERA-KIKORONGO 24HRS'!L32,'11.8 KIKORONGO-BWERA'!L32)</f>
        <v>0.42857142857142855</v>
      </c>
      <c r="M32" s="49">
        <f>AVERAGE('5.8 BWERA-KIKORONGO'!M32,'6.8 BWERA-KIKORONGO'!M32,'7.8 BWERA-KIKORONGO'!M32,'9.8 BWERA-KIKORONGO'!M32,'8.8 BWERA-KIKORONGO-24h'!M32,'10.8 BWERA-KIKORONGO 24HRS'!M32,'11.8 KIKORONGO-BWERA'!M32)</f>
        <v>4.4285714285714288</v>
      </c>
      <c r="N32" s="49">
        <f>AVERAGE('5.8 BWERA-KIKORONGO'!N32,'6.8 BWERA-KIKORONGO'!N32,'7.8 BWERA-KIKORONGO'!N32,'9.8 BWERA-KIKORONGO'!N32,'8.8 BWERA-KIKORONGO-24h'!N32,'10.8 BWERA-KIKORONGO 24HRS'!N32,'11.8 KIKORONGO-BWERA'!N32)</f>
        <v>0</v>
      </c>
      <c r="O32" s="15">
        <f t="shared" si="0"/>
        <v>11.571428571428569</v>
      </c>
      <c r="P32" s="15">
        <f t="shared" si="1"/>
        <v>15.999999999999998</v>
      </c>
      <c r="R32" s="1" t="s">
        <v>156</v>
      </c>
      <c r="S32" s="34">
        <f>SUM(C98:C101)</f>
        <v>6.5</v>
      </c>
      <c r="T32" s="34">
        <f t="shared" ref="T32:AF32" si="24">SUM(D98:D101)</f>
        <v>0</v>
      </c>
      <c r="U32" s="34">
        <f t="shared" si="24"/>
        <v>1</v>
      </c>
      <c r="V32" s="34">
        <f t="shared" si="24"/>
        <v>0</v>
      </c>
      <c r="W32" s="34">
        <f t="shared" si="24"/>
        <v>0</v>
      </c>
      <c r="X32" s="34">
        <f t="shared" si="24"/>
        <v>2</v>
      </c>
      <c r="Y32" s="34">
        <f t="shared" si="24"/>
        <v>4.5</v>
      </c>
      <c r="Z32" s="34">
        <f t="shared" si="24"/>
        <v>1.5</v>
      </c>
      <c r="AA32" s="34">
        <f t="shared" si="24"/>
        <v>0</v>
      </c>
      <c r="AB32" s="34">
        <f t="shared" si="24"/>
        <v>3.5</v>
      </c>
      <c r="AC32" s="34">
        <f t="shared" si="24"/>
        <v>0</v>
      </c>
      <c r="AD32" s="34">
        <f t="shared" si="24"/>
        <v>0</v>
      </c>
      <c r="AE32" s="31">
        <f t="shared" si="24"/>
        <v>19</v>
      </c>
      <c r="AF32" s="31">
        <f t="shared" si="24"/>
        <v>19</v>
      </c>
    </row>
    <row r="33" spans="2:32" ht="23.1" customHeight="1" x14ac:dyDescent="0.25">
      <c r="B33" s="23" t="s">
        <v>60</v>
      </c>
      <c r="C33" s="49">
        <f>AVERAGE('5.8 BWERA-KIKORONGO'!C33,'6.8 BWERA-KIKORONGO'!C33,'7.8 BWERA-KIKORONGO'!C33,'9.8 BWERA-KIKORONGO'!C33,'8.8 BWERA-KIKORONGO-24h'!C33,'10.8 BWERA-KIKORONGO 24HRS'!C33,'11.8 KIKORONGO-BWERA'!C33)</f>
        <v>4.2857142857142856</v>
      </c>
      <c r="D33" s="49">
        <f>AVERAGE('5.8 BWERA-KIKORONGO'!D33,'6.8 BWERA-KIKORONGO'!D33,'7.8 BWERA-KIKORONGO'!D33,'9.8 BWERA-KIKORONGO'!D33,'8.8 BWERA-KIKORONGO-24h'!D33,'10.8 BWERA-KIKORONGO 24HRS'!D33,'11.8 KIKORONGO-BWERA'!D33)</f>
        <v>0</v>
      </c>
      <c r="E33" s="49">
        <f>AVERAGE('5.8 BWERA-KIKORONGO'!E33,'6.8 BWERA-KIKORONGO'!E33,'7.8 BWERA-KIKORONGO'!E33,'9.8 BWERA-KIKORONGO'!E33,'8.8 BWERA-KIKORONGO-24h'!E33,'10.8 BWERA-KIKORONGO 24HRS'!E33,'11.8 KIKORONGO-BWERA'!E33)</f>
        <v>1.1428571428571428</v>
      </c>
      <c r="F33" s="49">
        <f>AVERAGE('5.8 BWERA-KIKORONGO'!F33,'6.8 BWERA-KIKORONGO'!F33,'7.8 BWERA-KIKORONGO'!F33,'9.8 BWERA-KIKORONGO'!F33,'8.8 BWERA-KIKORONGO-24h'!F33,'10.8 BWERA-KIKORONGO 24HRS'!F33,'11.8 KIKORONGO-BWERA'!F33)</f>
        <v>2.1428571428571428</v>
      </c>
      <c r="G33" s="49">
        <f>AVERAGE('5.8 BWERA-KIKORONGO'!G33,'6.8 BWERA-KIKORONGO'!G33,'7.8 BWERA-KIKORONGO'!G33,'9.8 BWERA-KIKORONGO'!G33,'8.8 BWERA-KIKORONGO-24h'!G33,'10.8 BWERA-KIKORONGO 24HRS'!G33,'11.8 KIKORONGO-BWERA'!G33)</f>
        <v>0</v>
      </c>
      <c r="H33" s="49">
        <f>AVERAGE('5.8 BWERA-KIKORONGO'!H33,'6.8 BWERA-KIKORONGO'!H33,'7.8 BWERA-KIKORONGO'!H33,'9.8 BWERA-KIKORONGO'!H33,'8.8 BWERA-KIKORONGO-24h'!H33,'10.8 BWERA-KIKORONGO 24HRS'!H33,'11.8 KIKORONGO-BWERA'!H33)</f>
        <v>0.14285714285714285</v>
      </c>
      <c r="I33" s="49">
        <f>AVERAGE('5.8 BWERA-KIKORONGO'!I33,'6.8 BWERA-KIKORONGO'!I33,'7.8 BWERA-KIKORONGO'!I33,'9.8 BWERA-KIKORONGO'!I33,'8.8 BWERA-KIKORONGO-24h'!I33,'10.8 BWERA-KIKORONGO 24HRS'!I33,'11.8 KIKORONGO-BWERA'!I33)</f>
        <v>0</v>
      </c>
      <c r="J33" s="49">
        <f>AVERAGE('5.8 BWERA-KIKORONGO'!J33,'6.8 BWERA-KIKORONGO'!J33,'7.8 BWERA-KIKORONGO'!J33,'9.8 BWERA-KIKORONGO'!J33,'8.8 BWERA-KIKORONGO-24h'!J33,'10.8 BWERA-KIKORONGO 24HRS'!J33,'11.8 KIKORONGO-BWERA'!J33)</f>
        <v>0.42857142857142855</v>
      </c>
      <c r="K33" s="49">
        <f>AVERAGE('5.8 BWERA-KIKORONGO'!K33,'6.8 BWERA-KIKORONGO'!K33,'7.8 BWERA-KIKORONGO'!K33,'9.8 BWERA-KIKORONGO'!K33,'8.8 BWERA-KIKORONGO-24h'!K33,'10.8 BWERA-KIKORONGO 24HRS'!K33,'11.8 KIKORONGO-BWERA'!K33)</f>
        <v>0.14285714285714285</v>
      </c>
      <c r="L33" s="49">
        <f>AVERAGE('5.8 BWERA-KIKORONGO'!L33,'6.8 BWERA-KIKORONGO'!L33,'7.8 BWERA-KIKORONGO'!L33,'9.8 BWERA-KIKORONGO'!L33,'8.8 BWERA-KIKORONGO-24h'!L33,'10.8 BWERA-KIKORONGO 24HRS'!L33,'11.8 KIKORONGO-BWERA'!L33)</f>
        <v>0</v>
      </c>
      <c r="M33" s="49">
        <f>AVERAGE('5.8 BWERA-KIKORONGO'!M33,'6.8 BWERA-KIKORONGO'!M33,'7.8 BWERA-KIKORONGO'!M33,'9.8 BWERA-KIKORONGO'!M33,'8.8 BWERA-KIKORONGO-24h'!M33,'10.8 BWERA-KIKORONGO 24HRS'!M33,'11.8 KIKORONGO-BWERA'!M33)</f>
        <v>2.7142857142857144</v>
      </c>
      <c r="N33" s="49">
        <f>AVERAGE('5.8 BWERA-KIKORONGO'!N33,'6.8 BWERA-KIKORONGO'!N33,'7.8 BWERA-KIKORONGO'!N33,'9.8 BWERA-KIKORONGO'!N33,'8.8 BWERA-KIKORONGO-24h'!N33,'10.8 BWERA-KIKORONGO 24HRS'!N33,'11.8 KIKORONGO-BWERA'!N33)</f>
        <v>0</v>
      </c>
      <c r="O33" s="15">
        <f t="shared" si="0"/>
        <v>8.2857142857142847</v>
      </c>
      <c r="P33" s="15">
        <f t="shared" si="1"/>
        <v>11</v>
      </c>
      <c r="R33" s="1" t="s">
        <v>157</v>
      </c>
      <c r="S33" s="34">
        <f>SUM(C102:C105)</f>
        <v>5</v>
      </c>
      <c r="T33" s="34">
        <f t="shared" ref="T33:AF33" si="25">SUM(D102:D105)</f>
        <v>0</v>
      </c>
      <c r="U33" s="34">
        <f t="shared" si="25"/>
        <v>3</v>
      </c>
      <c r="V33" s="34">
        <f t="shared" si="25"/>
        <v>3.5</v>
      </c>
      <c r="W33" s="34">
        <f t="shared" si="25"/>
        <v>0</v>
      </c>
      <c r="X33" s="34">
        <f t="shared" si="25"/>
        <v>1</v>
      </c>
      <c r="Y33" s="34">
        <f t="shared" si="25"/>
        <v>5.5</v>
      </c>
      <c r="Z33" s="34">
        <f t="shared" si="25"/>
        <v>1.5</v>
      </c>
      <c r="AA33" s="34">
        <f t="shared" si="25"/>
        <v>0</v>
      </c>
      <c r="AB33" s="34">
        <f t="shared" si="25"/>
        <v>2</v>
      </c>
      <c r="AC33" s="34">
        <f t="shared" si="25"/>
        <v>8</v>
      </c>
      <c r="AD33" s="34">
        <f t="shared" si="25"/>
        <v>0</v>
      </c>
      <c r="AE33" s="31">
        <f t="shared" si="25"/>
        <v>21.5</v>
      </c>
      <c r="AF33" s="31">
        <f t="shared" si="25"/>
        <v>29.5</v>
      </c>
    </row>
    <row r="34" spans="2:32" ht="23.1" customHeight="1" x14ac:dyDescent="0.25">
      <c r="B34" s="24" t="s">
        <v>61</v>
      </c>
      <c r="C34" s="49">
        <f>AVERAGE('5.8 BWERA-KIKORONGO'!C34,'6.8 BWERA-KIKORONGO'!C34,'7.8 BWERA-KIKORONGO'!C34,'9.8 BWERA-KIKORONGO'!C34,'8.8 BWERA-KIKORONGO-24h'!C34,'10.8 BWERA-KIKORONGO 24HRS'!C34,'11.8 KIKORONGO-BWERA'!C34)</f>
        <v>5.8571428571428568</v>
      </c>
      <c r="D34" s="49">
        <f>AVERAGE('5.8 BWERA-KIKORONGO'!D34,'6.8 BWERA-KIKORONGO'!D34,'7.8 BWERA-KIKORONGO'!D34,'9.8 BWERA-KIKORONGO'!D34,'8.8 BWERA-KIKORONGO-24h'!D34,'10.8 BWERA-KIKORONGO 24HRS'!D34,'11.8 KIKORONGO-BWERA'!D34)</f>
        <v>0</v>
      </c>
      <c r="E34" s="49">
        <f>AVERAGE('5.8 BWERA-KIKORONGO'!E34,'6.8 BWERA-KIKORONGO'!E34,'7.8 BWERA-KIKORONGO'!E34,'9.8 BWERA-KIKORONGO'!E34,'8.8 BWERA-KIKORONGO-24h'!E34,'10.8 BWERA-KIKORONGO 24HRS'!E34,'11.8 KIKORONGO-BWERA'!E34)</f>
        <v>2.7142857142857144</v>
      </c>
      <c r="F34" s="49">
        <f>AVERAGE('5.8 BWERA-KIKORONGO'!F34,'6.8 BWERA-KIKORONGO'!F34,'7.8 BWERA-KIKORONGO'!F34,'9.8 BWERA-KIKORONGO'!F34,'8.8 BWERA-KIKORONGO-24h'!F34,'10.8 BWERA-KIKORONGO 24HRS'!F34,'11.8 KIKORONGO-BWERA'!F34)</f>
        <v>3.8571428571428572</v>
      </c>
      <c r="G34" s="49">
        <f>AVERAGE('5.8 BWERA-KIKORONGO'!G34,'6.8 BWERA-KIKORONGO'!G34,'7.8 BWERA-KIKORONGO'!G34,'9.8 BWERA-KIKORONGO'!G34,'8.8 BWERA-KIKORONGO-24h'!G34,'10.8 BWERA-KIKORONGO 24HRS'!G34,'11.8 KIKORONGO-BWERA'!G34)</f>
        <v>0</v>
      </c>
      <c r="H34" s="49">
        <f>AVERAGE('5.8 BWERA-KIKORONGO'!H34,'6.8 BWERA-KIKORONGO'!H34,'7.8 BWERA-KIKORONGO'!H34,'9.8 BWERA-KIKORONGO'!H34,'8.8 BWERA-KIKORONGO-24h'!H34,'10.8 BWERA-KIKORONGO 24HRS'!H34,'11.8 KIKORONGO-BWERA'!H34)</f>
        <v>0.14285714285714285</v>
      </c>
      <c r="I34" s="49">
        <f>AVERAGE('5.8 BWERA-KIKORONGO'!I34,'6.8 BWERA-KIKORONGO'!I34,'7.8 BWERA-KIKORONGO'!I34,'9.8 BWERA-KIKORONGO'!I34,'8.8 BWERA-KIKORONGO-24h'!I34,'10.8 BWERA-KIKORONGO 24HRS'!I34,'11.8 KIKORONGO-BWERA'!I34)</f>
        <v>1.2857142857142858</v>
      </c>
      <c r="J34" s="49">
        <f>AVERAGE('5.8 BWERA-KIKORONGO'!J34,'6.8 BWERA-KIKORONGO'!J34,'7.8 BWERA-KIKORONGO'!J34,'9.8 BWERA-KIKORONGO'!J34,'8.8 BWERA-KIKORONGO-24h'!J34,'10.8 BWERA-KIKORONGO 24HRS'!J34,'11.8 KIKORONGO-BWERA'!J34)</f>
        <v>0.42857142857142855</v>
      </c>
      <c r="K34" s="49">
        <f>AVERAGE('5.8 BWERA-KIKORONGO'!K34,'6.8 BWERA-KIKORONGO'!K34,'7.8 BWERA-KIKORONGO'!K34,'9.8 BWERA-KIKORONGO'!K34,'8.8 BWERA-KIKORONGO-24h'!K34,'10.8 BWERA-KIKORONGO 24HRS'!K34,'11.8 KIKORONGO-BWERA'!K34)</f>
        <v>0.2857142857142857</v>
      </c>
      <c r="L34" s="49">
        <f>AVERAGE('5.8 BWERA-KIKORONGO'!L34,'6.8 BWERA-KIKORONGO'!L34,'7.8 BWERA-KIKORONGO'!L34,'9.8 BWERA-KIKORONGO'!L34,'8.8 BWERA-KIKORONGO-24h'!L34,'10.8 BWERA-KIKORONGO 24HRS'!L34,'11.8 KIKORONGO-BWERA'!L34)</f>
        <v>0</v>
      </c>
      <c r="M34" s="49">
        <f>AVERAGE('5.8 BWERA-KIKORONGO'!M34,'6.8 BWERA-KIKORONGO'!M34,'7.8 BWERA-KIKORONGO'!M34,'9.8 BWERA-KIKORONGO'!M34,'8.8 BWERA-KIKORONGO-24h'!M34,'10.8 BWERA-KIKORONGO 24HRS'!M34,'11.8 KIKORONGO-BWERA'!M34)</f>
        <v>3.4285714285714284</v>
      </c>
      <c r="N34" s="49">
        <f>AVERAGE('5.8 BWERA-KIKORONGO'!N34,'6.8 BWERA-KIKORONGO'!N34,'7.8 BWERA-KIKORONGO'!N34,'9.8 BWERA-KIKORONGO'!N34,'8.8 BWERA-KIKORONGO-24h'!N34,'10.8 BWERA-KIKORONGO 24HRS'!N34,'11.8 KIKORONGO-BWERA'!N34)</f>
        <v>0</v>
      </c>
      <c r="O34" s="15">
        <f t="shared" si="0"/>
        <v>14.571428571428573</v>
      </c>
      <c r="P34" s="15">
        <f t="shared" si="1"/>
        <v>18</v>
      </c>
      <c r="R34" s="38" t="s">
        <v>90</v>
      </c>
      <c r="S34" s="39">
        <f t="shared" ref="S34:AF34" si="26">MAX(S10:S12)</f>
        <v>20.285714285714285</v>
      </c>
      <c r="T34" s="39">
        <f t="shared" si="26"/>
        <v>0</v>
      </c>
      <c r="U34" s="39">
        <f t="shared" si="26"/>
        <v>12</v>
      </c>
      <c r="V34" s="39">
        <f t="shared" si="26"/>
        <v>9.7142857142857153</v>
      </c>
      <c r="W34" s="39">
        <f t="shared" si="26"/>
        <v>0.42857142857142855</v>
      </c>
      <c r="X34" s="39">
        <f t="shared" si="26"/>
        <v>1.1428571428571428</v>
      </c>
      <c r="Y34" s="39">
        <f t="shared" si="26"/>
        <v>6.5714285714285721</v>
      </c>
      <c r="Z34" s="39">
        <f t="shared" si="26"/>
        <v>2</v>
      </c>
      <c r="AA34" s="39">
        <f t="shared" si="26"/>
        <v>0.71428571428571419</v>
      </c>
      <c r="AB34" s="39">
        <f t="shared" si="26"/>
        <v>2.1428571428571428</v>
      </c>
      <c r="AC34" s="39">
        <f t="shared" si="26"/>
        <v>15.714285714285714</v>
      </c>
      <c r="AD34" s="39">
        <f t="shared" si="26"/>
        <v>0</v>
      </c>
      <c r="AE34" s="40">
        <f t="shared" si="26"/>
        <v>52.714285714285722</v>
      </c>
      <c r="AF34" s="40">
        <f t="shared" si="26"/>
        <v>65.857142857142861</v>
      </c>
    </row>
    <row r="35" spans="2:32" ht="23.1" customHeight="1" x14ac:dyDescent="0.25">
      <c r="B35" s="24" t="s">
        <v>62</v>
      </c>
      <c r="C35" s="49">
        <f>AVERAGE('5.8 BWERA-KIKORONGO'!C35,'6.8 BWERA-KIKORONGO'!C35,'7.8 BWERA-KIKORONGO'!C35,'9.8 BWERA-KIKORONGO'!C35,'8.8 BWERA-KIKORONGO-24h'!C35,'10.8 BWERA-KIKORONGO 24HRS'!C35,'11.8 KIKORONGO-BWERA'!C35)</f>
        <v>6</v>
      </c>
      <c r="D35" s="49">
        <f>AVERAGE('5.8 BWERA-KIKORONGO'!D35,'6.8 BWERA-KIKORONGO'!D35,'7.8 BWERA-KIKORONGO'!D35,'9.8 BWERA-KIKORONGO'!D35,'8.8 BWERA-KIKORONGO-24h'!D35,'10.8 BWERA-KIKORONGO 24HRS'!D35,'11.8 KIKORONGO-BWERA'!D35)</f>
        <v>0</v>
      </c>
      <c r="E35" s="49">
        <f>AVERAGE('5.8 BWERA-KIKORONGO'!E35,'6.8 BWERA-KIKORONGO'!E35,'7.8 BWERA-KIKORONGO'!E35,'9.8 BWERA-KIKORONGO'!E35,'8.8 BWERA-KIKORONGO-24h'!E35,'10.8 BWERA-KIKORONGO 24HRS'!E35,'11.8 KIKORONGO-BWERA'!E35)</f>
        <v>1.7142857142857142</v>
      </c>
      <c r="F35" s="49">
        <f>AVERAGE('5.8 BWERA-KIKORONGO'!F35,'6.8 BWERA-KIKORONGO'!F35,'7.8 BWERA-KIKORONGO'!F35,'9.8 BWERA-KIKORONGO'!F35,'8.8 BWERA-KIKORONGO-24h'!F35,'10.8 BWERA-KIKORONGO 24HRS'!F35,'11.8 KIKORONGO-BWERA'!F35)</f>
        <v>3.5714285714285716</v>
      </c>
      <c r="G35" s="49">
        <f>AVERAGE('5.8 BWERA-KIKORONGO'!G35,'6.8 BWERA-KIKORONGO'!G35,'7.8 BWERA-KIKORONGO'!G35,'9.8 BWERA-KIKORONGO'!G35,'8.8 BWERA-KIKORONGO-24h'!G35,'10.8 BWERA-KIKORONGO 24HRS'!G35,'11.8 KIKORONGO-BWERA'!G35)</f>
        <v>0</v>
      </c>
      <c r="H35" s="49">
        <f>AVERAGE('5.8 BWERA-KIKORONGO'!H35,'6.8 BWERA-KIKORONGO'!H35,'7.8 BWERA-KIKORONGO'!H35,'9.8 BWERA-KIKORONGO'!H35,'8.8 BWERA-KIKORONGO-24h'!H35,'10.8 BWERA-KIKORONGO 24HRS'!H35,'11.8 KIKORONGO-BWERA'!H35)</f>
        <v>0.42857142857142855</v>
      </c>
      <c r="I35" s="49">
        <f>AVERAGE('5.8 BWERA-KIKORONGO'!I35,'6.8 BWERA-KIKORONGO'!I35,'7.8 BWERA-KIKORONGO'!I35,'9.8 BWERA-KIKORONGO'!I35,'8.8 BWERA-KIKORONGO-24h'!I35,'10.8 BWERA-KIKORONGO 24HRS'!I35,'11.8 KIKORONGO-BWERA'!I35)</f>
        <v>1.2857142857142858</v>
      </c>
      <c r="J35" s="49">
        <f>AVERAGE('5.8 BWERA-KIKORONGO'!J35,'6.8 BWERA-KIKORONGO'!J35,'7.8 BWERA-KIKORONGO'!J35,'9.8 BWERA-KIKORONGO'!J35,'8.8 BWERA-KIKORONGO-24h'!J35,'10.8 BWERA-KIKORONGO 24HRS'!J35,'11.8 KIKORONGO-BWERA'!J35)</f>
        <v>0.5714285714285714</v>
      </c>
      <c r="K35" s="49">
        <f>AVERAGE('5.8 BWERA-KIKORONGO'!K35,'6.8 BWERA-KIKORONGO'!K35,'7.8 BWERA-KIKORONGO'!K35,'9.8 BWERA-KIKORONGO'!K35,'8.8 BWERA-KIKORONGO-24h'!K35,'10.8 BWERA-KIKORONGO 24HRS'!K35,'11.8 KIKORONGO-BWERA'!K35)</f>
        <v>0</v>
      </c>
      <c r="L35" s="49">
        <f>AVERAGE('5.8 BWERA-KIKORONGO'!L35,'6.8 BWERA-KIKORONGO'!L35,'7.8 BWERA-KIKORONGO'!L35,'9.8 BWERA-KIKORONGO'!L35,'8.8 BWERA-KIKORONGO-24h'!L35,'10.8 BWERA-KIKORONGO 24HRS'!L35,'11.8 KIKORONGO-BWERA'!L35)</f>
        <v>0.7142857142857143</v>
      </c>
      <c r="M35" s="49">
        <f>AVERAGE('5.8 BWERA-KIKORONGO'!M35,'6.8 BWERA-KIKORONGO'!M35,'7.8 BWERA-KIKORONGO'!M35,'9.8 BWERA-KIKORONGO'!M35,'8.8 BWERA-KIKORONGO-24h'!M35,'10.8 BWERA-KIKORONGO 24HRS'!M35,'11.8 KIKORONGO-BWERA'!M35)</f>
        <v>3.5714285714285716</v>
      </c>
      <c r="N35" s="49">
        <f>AVERAGE('5.8 BWERA-KIKORONGO'!N35,'6.8 BWERA-KIKORONGO'!N35,'7.8 BWERA-KIKORONGO'!N35,'9.8 BWERA-KIKORONGO'!N35,'8.8 BWERA-KIKORONGO-24h'!N35,'10.8 BWERA-KIKORONGO 24HRS'!N35,'11.8 KIKORONGO-BWERA'!N35)</f>
        <v>0</v>
      </c>
      <c r="O35" s="15">
        <f t="shared" si="0"/>
        <v>14.285714285714286</v>
      </c>
      <c r="P35" s="15">
        <f t="shared" si="1"/>
        <v>17.857142857142858</v>
      </c>
      <c r="R35" s="38" t="s">
        <v>91</v>
      </c>
      <c r="S35" s="39">
        <f t="shared" ref="S35:AF35" si="27">MAX(S13:S18)</f>
        <v>24.714285714285715</v>
      </c>
      <c r="T35" s="39">
        <f t="shared" si="27"/>
        <v>0</v>
      </c>
      <c r="U35" s="39">
        <f t="shared" si="27"/>
        <v>9.5714285714285712</v>
      </c>
      <c r="V35" s="39">
        <f t="shared" si="27"/>
        <v>13.857142857142858</v>
      </c>
      <c r="W35" s="39">
        <f t="shared" si="27"/>
        <v>0.5714285714285714</v>
      </c>
      <c r="X35" s="39">
        <f t="shared" si="27"/>
        <v>1.4285714285714284</v>
      </c>
      <c r="Y35" s="39">
        <f t="shared" si="27"/>
        <v>5.1428571428571423</v>
      </c>
      <c r="Z35" s="39">
        <f t="shared" si="27"/>
        <v>2.7142857142857144</v>
      </c>
      <c r="AA35" s="39">
        <f t="shared" si="27"/>
        <v>0.42857142857142855</v>
      </c>
      <c r="AB35" s="39">
        <f t="shared" si="27"/>
        <v>2.4285714285714284</v>
      </c>
      <c r="AC35" s="39">
        <f t="shared" si="27"/>
        <v>17.285714285714285</v>
      </c>
      <c r="AD35" s="39">
        <f t="shared" si="27"/>
        <v>0.14285714285714285</v>
      </c>
      <c r="AE35" s="40">
        <f t="shared" si="27"/>
        <v>56.571428571428569</v>
      </c>
      <c r="AF35" s="40">
        <f t="shared" si="27"/>
        <v>71.857142857142861</v>
      </c>
    </row>
    <row r="36" spans="2:32" ht="23.1" customHeight="1" x14ac:dyDescent="0.25">
      <c r="B36" s="24" t="s">
        <v>63</v>
      </c>
      <c r="C36" s="49">
        <f>AVERAGE('5.8 BWERA-KIKORONGO'!C36,'6.8 BWERA-KIKORONGO'!C36,'7.8 BWERA-KIKORONGO'!C36,'9.8 BWERA-KIKORONGO'!C36,'8.8 BWERA-KIKORONGO-24h'!C36,'10.8 BWERA-KIKORONGO 24HRS'!C36,'11.8 KIKORONGO-BWERA'!C36)</f>
        <v>6.7142857142857144</v>
      </c>
      <c r="D36" s="49">
        <f>AVERAGE('5.8 BWERA-KIKORONGO'!D36,'6.8 BWERA-KIKORONGO'!D36,'7.8 BWERA-KIKORONGO'!D36,'9.8 BWERA-KIKORONGO'!D36,'8.8 BWERA-KIKORONGO-24h'!D36,'10.8 BWERA-KIKORONGO 24HRS'!D36,'11.8 KIKORONGO-BWERA'!D36)</f>
        <v>0</v>
      </c>
      <c r="E36" s="49">
        <f>AVERAGE('5.8 BWERA-KIKORONGO'!E36,'6.8 BWERA-KIKORONGO'!E36,'7.8 BWERA-KIKORONGO'!E36,'9.8 BWERA-KIKORONGO'!E36,'8.8 BWERA-KIKORONGO-24h'!E36,'10.8 BWERA-KIKORONGO 24HRS'!E36,'11.8 KIKORONGO-BWERA'!E36)</f>
        <v>1.8571428571428572</v>
      </c>
      <c r="F36" s="49">
        <f>AVERAGE('5.8 BWERA-KIKORONGO'!F36,'6.8 BWERA-KIKORONGO'!F36,'7.8 BWERA-KIKORONGO'!F36,'9.8 BWERA-KIKORONGO'!F36,'8.8 BWERA-KIKORONGO-24h'!F36,'10.8 BWERA-KIKORONGO 24HRS'!F36,'11.8 KIKORONGO-BWERA'!F36)</f>
        <v>2.8571428571428572</v>
      </c>
      <c r="G36" s="49">
        <f>AVERAGE('5.8 BWERA-KIKORONGO'!G36,'6.8 BWERA-KIKORONGO'!G36,'7.8 BWERA-KIKORONGO'!G36,'9.8 BWERA-KIKORONGO'!G36,'8.8 BWERA-KIKORONGO-24h'!G36,'10.8 BWERA-KIKORONGO 24HRS'!G36,'11.8 KIKORONGO-BWERA'!G36)</f>
        <v>0.14285714285714285</v>
      </c>
      <c r="H36" s="49">
        <f>AVERAGE('5.8 BWERA-KIKORONGO'!H36,'6.8 BWERA-KIKORONGO'!H36,'7.8 BWERA-KIKORONGO'!H36,'9.8 BWERA-KIKORONGO'!H36,'8.8 BWERA-KIKORONGO-24h'!H36,'10.8 BWERA-KIKORONGO 24HRS'!H36,'11.8 KIKORONGO-BWERA'!H36)</f>
        <v>0.2857142857142857</v>
      </c>
      <c r="I36" s="49">
        <f>AVERAGE('5.8 BWERA-KIKORONGO'!I36,'6.8 BWERA-KIKORONGO'!I36,'7.8 BWERA-KIKORONGO'!I36,'9.8 BWERA-KIKORONGO'!I36,'8.8 BWERA-KIKORONGO-24h'!I36,'10.8 BWERA-KIKORONGO 24HRS'!I36,'11.8 KIKORONGO-BWERA'!I36)</f>
        <v>1.1428571428571428</v>
      </c>
      <c r="J36" s="49">
        <f>AVERAGE('5.8 BWERA-KIKORONGO'!J36,'6.8 BWERA-KIKORONGO'!J36,'7.8 BWERA-KIKORONGO'!J36,'9.8 BWERA-KIKORONGO'!J36,'8.8 BWERA-KIKORONGO-24h'!J36,'10.8 BWERA-KIKORONGO 24HRS'!J36,'11.8 KIKORONGO-BWERA'!J36)</f>
        <v>0.7142857142857143</v>
      </c>
      <c r="K36" s="49">
        <f>AVERAGE('5.8 BWERA-KIKORONGO'!K36,'6.8 BWERA-KIKORONGO'!K36,'7.8 BWERA-KIKORONGO'!K36,'9.8 BWERA-KIKORONGO'!K36,'8.8 BWERA-KIKORONGO-24h'!K36,'10.8 BWERA-KIKORONGO 24HRS'!K36,'11.8 KIKORONGO-BWERA'!K36)</f>
        <v>0</v>
      </c>
      <c r="L36" s="49">
        <f>AVERAGE('5.8 BWERA-KIKORONGO'!L36,'6.8 BWERA-KIKORONGO'!L36,'7.8 BWERA-KIKORONGO'!L36,'9.8 BWERA-KIKORONGO'!L36,'8.8 BWERA-KIKORONGO-24h'!L36,'10.8 BWERA-KIKORONGO 24HRS'!L36,'11.8 KIKORONGO-BWERA'!L36)</f>
        <v>0</v>
      </c>
      <c r="M36" s="49">
        <f>AVERAGE('5.8 BWERA-KIKORONGO'!M36,'6.8 BWERA-KIKORONGO'!M36,'7.8 BWERA-KIKORONGO'!M36,'9.8 BWERA-KIKORONGO'!M36,'8.8 BWERA-KIKORONGO-24h'!M36,'10.8 BWERA-KIKORONGO 24HRS'!M36,'11.8 KIKORONGO-BWERA'!M36)</f>
        <v>5.2857142857142856</v>
      </c>
      <c r="N36" s="49">
        <f>AVERAGE('5.8 BWERA-KIKORONGO'!N36,'6.8 BWERA-KIKORONGO'!N36,'7.8 BWERA-KIKORONGO'!N36,'9.8 BWERA-KIKORONGO'!N36,'8.8 BWERA-KIKORONGO-24h'!N36,'10.8 BWERA-KIKORONGO 24HRS'!N36,'11.8 KIKORONGO-BWERA'!N36)</f>
        <v>0.14285714285714285</v>
      </c>
      <c r="O36" s="15">
        <f t="shared" si="0"/>
        <v>13.857142857142856</v>
      </c>
      <c r="P36" s="15">
        <f t="shared" si="1"/>
        <v>19.142857142857142</v>
      </c>
      <c r="R36" s="38" t="s">
        <v>92</v>
      </c>
      <c r="S36" s="39">
        <f t="shared" ref="S36:AF36" si="28">MAX(S19:S21)</f>
        <v>20.571428571428569</v>
      </c>
      <c r="T36" s="39">
        <f t="shared" si="28"/>
        <v>0</v>
      </c>
      <c r="U36" s="39">
        <f t="shared" si="28"/>
        <v>10.714285714285714</v>
      </c>
      <c r="V36" s="39">
        <f t="shared" si="28"/>
        <v>14.571428571428569</v>
      </c>
      <c r="W36" s="39">
        <f t="shared" si="28"/>
        <v>0</v>
      </c>
      <c r="X36" s="39">
        <f t="shared" si="28"/>
        <v>0.85714285714285698</v>
      </c>
      <c r="Y36" s="39">
        <f t="shared" si="28"/>
        <v>3</v>
      </c>
      <c r="Z36" s="39">
        <f t="shared" si="28"/>
        <v>2.8571428571428572</v>
      </c>
      <c r="AA36" s="39">
        <f t="shared" si="28"/>
        <v>0.2857142857142857</v>
      </c>
      <c r="AB36" s="39">
        <f t="shared" si="28"/>
        <v>2.8571428571428568</v>
      </c>
      <c r="AC36" s="39">
        <f t="shared" si="28"/>
        <v>14.428571428571427</v>
      </c>
      <c r="AD36" s="39">
        <f t="shared" si="28"/>
        <v>0.14285714285714285</v>
      </c>
      <c r="AE36" s="40">
        <f t="shared" si="28"/>
        <v>52.857142857142854</v>
      </c>
      <c r="AF36" s="40">
        <f t="shared" si="28"/>
        <v>65.428571428571416</v>
      </c>
    </row>
    <row r="37" spans="2:32" ht="23.1" customHeight="1" x14ac:dyDescent="0.25">
      <c r="B37" s="23" t="s">
        <v>64</v>
      </c>
      <c r="C37" s="49">
        <f>AVERAGE('5.8 BWERA-KIKORONGO'!C37,'6.8 BWERA-KIKORONGO'!C37,'7.8 BWERA-KIKORONGO'!C37,'9.8 BWERA-KIKORONGO'!C37,'8.8 BWERA-KIKORONGO-24h'!C37,'10.8 BWERA-KIKORONGO 24HRS'!C37,'11.8 KIKORONGO-BWERA'!C37)</f>
        <v>6.1428571428571432</v>
      </c>
      <c r="D37" s="49">
        <f>AVERAGE('5.8 BWERA-KIKORONGO'!D37,'6.8 BWERA-KIKORONGO'!D37,'7.8 BWERA-KIKORONGO'!D37,'9.8 BWERA-KIKORONGO'!D37,'8.8 BWERA-KIKORONGO-24h'!D37,'10.8 BWERA-KIKORONGO 24HRS'!D37,'11.8 KIKORONGO-BWERA'!D37)</f>
        <v>0</v>
      </c>
      <c r="E37" s="49">
        <f>AVERAGE('5.8 BWERA-KIKORONGO'!E37,'6.8 BWERA-KIKORONGO'!E37,'7.8 BWERA-KIKORONGO'!E37,'9.8 BWERA-KIKORONGO'!E37,'8.8 BWERA-KIKORONGO-24h'!E37,'10.8 BWERA-KIKORONGO 24HRS'!E37,'11.8 KIKORONGO-BWERA'!E37)</f>
        <v>2.7142857142857144</v>
      </c>
      <c r="F37" s="49">
        <f>AVERAGE('5.8 BWERA-KIKORONGO'!F37,'6.8 BWERA-KIKORONGO'!F37,'7.8 BWERA-KIKORONGO'!F37,'9.8 BWERA-KIKORONGO'!F37,'8.8 BWERA-KIKORONGO-24h'!F37,'10.8 BWERA-KIKORONGO 24HRS'!F37,'11.8 KIKORONGO-BWERA'!F37)</f>
        <v>3.5714285714285716</v>
      </c>
      <c r="G37" s="49">
        <f>AVERAGE('5.8 BWERA-KIKORONGO'!G37,'6.8 BWERA-KIKORONGO'!G37,'7.8 BWERA-KIKORONGO'!G37,'9.8 BWERA-KIKORONGO'!G37,'8.8 BWERA-KIKORONGO-24h'!G37,'10.8 BWERA-KIKORONGO 24HRS'!G37,'11.8 KIKORONGO-BWERA'!G37)</f>
        <v>0.14285714285714285</v>
      </c>
      <c r="H37" s="49">
        <f>AVERAGE('5.8 BWERA-KIKORONGO'!H37,'6.8 BWERA-KIKORONGO'!H37,'7.8 BWERA-KIKORONGO'!H37,'9.8 BWERA-KIKORONGO'!H37,'8.8 BWERA-KIKORONGO-24h'!H37,'10.8 BWERA-KIKORONGO 24HRS'!H37,'11.8 KIKORONGO-BWERA'!H37)</f>
        <v>0.5714285714285714</v>
      </c>
      <c r="I37" s="49">
        <f>AVERAGE('5.8 BWERA-KIKORONGO'!I37,'6.8 BWERA-KIKORONGO'!I37,'7.8 BWERA-KIKORONGO'!I37,'9.8 BWERA-KIKORONGO'!I37,'8.8 BWERA-KIKORONGO-24h'!I37,'10.8 BWERA-KIKORONGO 24HRS'!I37,'11.8 KIKORONGO-BWERA'!I37)</f>
        <v>0.2857142857142857</v>
      </c>
      <c r="J37" s="49">
        <f>AVERAGE('5.8 BWERA-KIKORONGO'!J37,'6.8 BWERA-KIKORONGO'!J37,'7.8 BWERA-KIKORONGO'!J37,'9.8 BWERA-KIKORONGO'!J37,'8.8 BWERA-KIKORONGO-24h'!J37,'10.8 BWERA-KIKORONGO 24HRS'!J37,'11.8 KIKORONGO-BWERA'!J37)</f>
        <v>0.42857142857142855</v>
      </c>
      <c r="K37" s="49">
        <f>AVERAGE('5.8 BWERA-KIKORONGO'!K37,'6.8 BWERA-KIKORONGO'!K37,'7.8 BWERA-KIKORONGO'!K37,'9.8 BWERA-KIKORONGO'!K37,'8.8 BWERA-KIKORONGO-24h'!K37,'10.8 BWERA-KIKORONGO 24HRS'!K37,'11.8 KIKORONGO-BWERA'!K37)</f>
        <v>0</v>
      </c>
      <c r="L37" s="49">
        <f>AVERAGE('5.8 BWERA-KIKORONGO'!L37,'6.8 BWERA-KIKORONGO'!L37,'7.8 BWERA-KIKORONGO'!L37,'9.8 BWERA-KIKORONGO'!L37,'8.8 BWERA-KIKORONGO-24h'!L37,'10.8 BWERA-KIKORONGO 24HRS'!L37,'11.8 KIKORONGO-BWERA'!L37)</f>
        <v>0</v>
      </c>
      <c r="M37" s="49">
        <f>AVERAGE('5.8 BWERA-KIKORONGO'!M37,'6.8 BWERA-KIKORONGO'!M37,'7.8 BWERA-KIKORONGO'!M37,'9.8 BWERA-KIKORONGO'!M37,'8.8 BWERA-KIKORONGO-24h'!M37,'10.8 BWERA-KIKORONGO 24HRS'!M37,'11.8 KIKORONGO-BWERA'!M37)</f>
        <v>3</v>
      </c>
      <c r="N37" s="49">
        <f>AVERAGE('5.8 BWERA-KIKORONGO'!N37,'6.8 BWERA-KIKORONGO'!N37,'7.8 BWERA-KIKORONGO'!N37,'9.8 BWERA-KIKORONGO'!N37,'8.8 BWERA-KIKORONGO-24h'!N37,'10.8 BWERA-KIKORONGO 24HRS'!N37,'11.8 KIKORONGO-BWERA'!N37)</f>
        <v>0</v>
      </c>
      <c r="O37" s="15">
        <f t="shared" si="0"/>
        <v>13.857142857142858</v>
      </c>
      <c r="P37" s="15">
        <f t="shared" si="1"/>
        <v>16.857142857142858</v>
      </c>
      <c r="R37" s="37" t="s">
        <v>85</v>
      </c>
      <c r="S37" s="35">
        <f t="shared" ref="S37:AF37" si="29">SUM(S10:S12)</f>
        <v>45.571428571428569</v>
      </c>
      <c r="T37" s="16">
        <f t="shared" si="29"/>
        <v>0</v>
      </c>
      <c r="U37" s="16">
        <f t="shared" si="29"/>
        <v>26</v>
      </c>
      <c r="V37" s="16">
        <f t="shared" si="29"/>
        <v>24</v>
      </c>
      <c r="W37" s="16">
        <f t="shared" si="29"/>
        <v>0.5714285714285714</v>
      </c>
      <c r="X37" s="16">
        <f t="shared" si="29"/>
        <v>2.1428571428571428</v>
      </c>
      <c r="Y37" s="16">
        <f t="shared" si="29"/>
        <v>19.714285714285715</v>
      </c>
      <c r="Z37" s="16">
        <f t="shared" si="29"/>
        <v>5.7142857142857144</v>
      </c>
      <c r="AA37" s="16">
        <f t="shared" si="29"/>
        <v>1.1428571428571428</v>
      </c>
      <c r="AB37" s="16">
        <f t="shared" si="29"/>
        <v>4.2857142857142856</v>
      </c>
      <c r="AC37" s="16">
        <f t="shared" si="29"/>
        <v>38.714285714285708</v>
      </c>
      <c r="AD37" s="16">
        <f t="shared" si="29"/>
        <v>0</v>
      </c>
      <c r="AE37" s="32">
        <f t="shared" si="29"/>
        <v>129.14285714285717</v>
      </c>
      <c r="AF37" s="32">
        <f t="shared" si="29"/>
        <v>167.85714285714286</v>
      </c>
    </row>
    <row r="38" spans="2:32" ht="23.1" customHeight="1" x14ac:dyDescent="0.25">
      <c r="B38" s="24" t="s">
        <v>65</v>
      </c>
      <c r="C38" s="49">
        <f>AVERAGE('5.8 BWERA-KIKORONGO'!C38,'6.8 BWERA-KIKORONGO'!C38,'7.8 BWERA-KIKORONGO'!C38,'9.8 BWERA-KIKORONGO'!C38,'8.8 BWERA-KIKORONGO-24h'!C38,'10.8 BWERA-KIKORONGO 24HRS'!C38,'11.8 KIKORONGO-BWERA'!C38)</f>
        <v>5.8571428571428568</v>
      </c>
      <c r="D38" s="49">
        <f>AVERAGE('5.8 BWERA-KIKORONGO'!D38,'6.8 BWERA-KIKORONGO'!D38,'7.8 BWERA-KIKORONGO'!D38,'9.8 BWERA-KIKORONGO'!D38,'8.8 BWERA-KIKORONGO-24h'!D38,'10.8 BWERA-KIKORONGO 24HRS'!D38,'11.8 KIKORONGO-BWERA'!D38)</f>
        <v>0</v>
      </c>
      <c r="E38" s="49">
        <f>AVERAGE('5.8 BWERA-KIKORONGO'!E38,'6.8 BWERA-KIKORONGO'!E38,'7.8 BWERA-KIKORONGO'!E38,'9.8 BWERA-KIKORONGO'!E38,'8.8 BWERA-KIKORONGO-24h'!E38,'10.8 BWERA-KIKORONGO 24HRS'!E38,'11.8 KIKORONGO-BWERA'!E38)</f>
        <v>2.8571428571428572</v>
      </c>
      <c r="F38" s="49">
        <f>AVERAGE('5.8 BWERA-KIKORONGO'!F38,'6.8 BWERA-KIKORONGO'!F38,'7.8 BWERA-KIKORONGO'!F38,'9.8 BWERA-KIKORONGO'!F38,'8.8 BWERA-KIKORONGO-24h'!F38,'10.8 BWERA-KIKORONGO 24HRS'!F38,'11.8 KIKORONGO-BWERA'!F38)</f>
        <v>3.8571428571428572</v>
      </c>
      <c r="G38" s="49">
        <f>AVERAGE('5.8 BWERA-KIKORONGO'!G38,'6.8 BWERA-KIKORONGO'!G38,'7.8 BWERA-KIKORONGO'!G38,'9.8 BWERA-KIKORONGO'!G38,'8.8 BWERA-KIKORONGO-24h'!G38,'10.8 BWERA-KIKORONGO 24HRS'!G38,'11.8 KIKORONGO-BWERA'!G38)</f>
        <v>0</v>
      </c>
      <c r="H38" s="49">
        <f>AVERAGE('5.8 BWERA-KIKORONGO'!H38,'6.8 BWERA-KIKORONGO'!H38,'7.8 BWERA-KIKORONGO'!H38,'9.8 BWERA-KIKORONGO'!H38,'8.8 BWERA-KIKORONGO-24h'!H38,'10.8 BWERA-KIKORONGO 24HRS'!H38,'11.8 KIKORONGO-BWERA'!H38)</f>
        <v>0.14285714285714285</v>
      </c>
      <c r="I38" s="49">
        <f>AVERAGE('5.8 BWERA-KIKORONGO'!I38,'6.8 BWERA-KIKORONGO'!I38,'7.8 BWERA-KIKORONGO'!I38,'9.8 BWERA-KIKORONGO'!I38,'8.8 BWERA-KIKORONGO-24h'!I38,'10.8 BWERA-KIKORONGO 24HRS'!I38,'11.8 KIKORONGO-BWERA'!I38)</f>
        <v>0.7142857142857143</v>
      </c>
      <c r="J38" s="49">
        <f>AVERAGE('5.8 BWERA-KIKORONGO'!J38,'6.8 BWERA-KIKORONGO'!J38,'7.8 BWERA-KIKORONGO'!J38,'9.8 BWERA-KIKORONGO'!J38,'8.8 BWERA-KIKORONGO-24h'!J38,'10.8 BWERA-KIKORONGO 24HRS'!J38,'11.8 KIKORONGO-BWERA'!J38)</f>
        <v>0.5714285714285714</v>
      </c>
      <c r="K38" s="49">
        <f>AVERAGE('5.8 BWERA-KIKORONGO'!K38,'6.8 BWERA-KIKORONGO'!K38,'7.8 BWERA-KIKORONGO'!K38,'9.8 BWERA-KIKORONGO'!K38,'8.8 BWERA-KIKORONGO-24h'!K38,'10.8 BWERA-KIKORONGO 24HRS'!K38,'11.8 KIKORONGO-BWERA'!K38)</f>
        <v>0</v>
      </c>
      <c r="L38" s="49">
        <f>AVERAGE('5.8 BWERA-KIKORONGO'!L38,'6.8 BWERA-KIKORONGO'!L38,'7.8 BWERA-KIKORONGO'!L38,'9.8 BWERA-KIKORONGO'!L38,'8.8 BWERA-KIKORONGO-24h'!L38,'10.8 BWERA-KIKORONGO 24HRS'!L38,'11.8 KIKORONGO-BWERA'!L38)</f>
        <v>0.2857142857142857</v>
      </c>
      <c r="M38" s="49">
        <f>AVERAGE('5.8 BWERA-KIKORONGO'!M38,'6.8 BWERA-KIKORONGO'!M38,'7.8 BWERA-KIKORONGO'!M38,'9.8 BWERA-KIKORONGO'!M38,'8.8 BWERA-KIKORONGO-24h'!M38,'10.8 BWERA-KIKORONGO 24HRS'!M38,'11.8 KIKORONGO-BWERA'!M38)</f>
        <v>4.1428571428571432</v>
      </c>
      <c r="N38" s="49">
        <f>AVERAGE('5.8 BWERA-KIKORONGO'!N38,'6.8 BWERA-KIKORONGO'!N38,'7.8 BWERA-KIKORONGO'!N38,'9.8 BWERA-KIKORONGO'!N38,'8.8 BWERA-KIKORONGO-24h'!N38,'10.8 BWERA-KIKORONGO 24HRS'!N38,'11.8 KIKORONGO-BWERA'!N38)</f>
        <v>0.14285714285714285</v>
      </c>
      <c r="O38" s="15">
        <f t="shared" si="0"/>
        <v>14.428571428571427</v>
      </c>
      <c r="P38" s="15">
        <f t="shared" si="1"/>
        <v>18.571428571428569</v>
      </c>
      <c r="R38" s="28" t="s">
        <v>86</v>
      </c>
      <c r="S38" s="16">
        <f t="shared" ref="S38:AF38" si="30">SUM(S13:S18)</f>
        <v>126.57142857142858</v>
      </c>
      <c r="T38" s="16">
        <f t="shared" si="30"/>
        <v>0</v>
      </c>
      <c r="U38" s="16">
        <f t="shared" si="30"/>
        <v>51.285714285714285</v>
      </c>
      <c r="V38" s="16">
        <f t="shared" si="30"/>
        <v>75.857142857142861</v>
      </c>
      <c r="W38" s="16">
        <f t="shared" si="30"/>
        <v>1.4285714285714284</v>
      </c>
      <c r="X38" s="16">
        <f t="shared" si="30"/>
        <v>3.2857142857142851</v>
      </c>
      <c r="Y38" s="16">
        <f t="shared" si="30"/>
        <v>22</v>
      </c>
      <c r="Z38" s="16">
        <f t="shared" si="30"/>
        <v>14.428571428571429</v>
      </c>
      <c r="AA38" s="16">
        <f t="shared" si="30"/>
        <v>1.2857142857142856</v>
      </c>
      <c r="AB38" s="16">
        <f t="shared" si="30"/>
        <v>8.8571428571428559</v>
      </c>
      <c r="AC38" s="16">
        <f t="shared" si="30"/>
        <v>90.857142857142861</v>
      </c>
      <c r="AD38" s="16">
        <f t="shared" si="30"/>
        <v>0.42857142857142855</v>
      </c>
      <c r="AE38" s="32">
        <f t="shared" si="30"/>
        <v>305.42857142857139</v>
      </c>
      <c r="AF38" s="32">
        <f t="shared" si="30"/>
        <v>396.28571428571433</v>
      </c>
    </row>
    <row r="39" spans="2:32" ht="23.1" customHeight="1" x14ac:dyDescent="0.25">
      <c r="B39" s="24" t="s">
        <v>66</v>
      </c>
      <c r="C39" s="49">
        <f>AVERAGE('5.8 BWERA-KIKORONGO'!C39,'6.8 BWERA-KIKORONGO'!C39,'7.8 BWERA-KIKORONGO'!C39,'9.8 BWERA-KIKORONGO'!C39,'8.8 BWERA-KIKORONGO-24h'!C39,'10.8 BWERA-KIKORONGO 24HRS'!C39,'11.8 KIKORONGO-BWERA'!C39)</f>
        <v>5.5714285714285712</v>
      </c>
      <c r="D39" s="49">
        <f>AVERAGE('5.8 BWERA-KIKORONGO'!D39,'6.8 BWERA-KIKORONGO'!D39,'7.8 BWERA-KIKORONGO'!D39,'9.8 BWERA-KIKORONGO'!D39,'8.8 BWERA-KIKORONGO-24h'!D39,'10.8 BWERA-KIKORONGO 24HRS'!D39,'11.8 KIKORONGO-BWERA'!D39)</f>
        <v>0</v>
      </c>
      <c r="E39" s="49">
        <f>AVERAGE('5.8 BWERA-KIKORONGO'!E39,'6.8 BWERA-KIKORONGO'!E39,'7.8 BWERA-KIKORONGO'!E39,'9.8 BWERA-KIKORONGO'!E39,'8.8 BWERA-KIKORONGO-24h'!E39,'10.8 BWERA-KIKORONGO 24HRS'!E39,'11.8 KIKORONGO-BWERA'!E39)</f>
        <v>2.4285714285714284</v>
      </c>
      <c r="F39" s="49">
        <f>AVERAGE('5.8 BWERA-KIKORONGO'!F39,'6.8 BWERA-KIKORONGO'!F39,'7.8 BWERA-KIKORONGO'!F39,'9.8 BWERA-KIKORONGO'!F39,'8.8 BWERA-KIKORONGO-24h'!F39,'10.8 BWERA-KIKORONGO 24HRS'!F39,'11.8 KIKORONGO-BWERA'!F39)</f>
        <v>2.7142857142857144</v>
      </c>
      <c r="G39" s="49">
        <f>AVERAGE('5.8 BWERA-KIKORONGO'!G39,'6.8 BWERA-KIKORONGO'!G39,'7.8 BWERA-KIKORONGO'!G39,'9.8 BWERA-KIKORONGO'!G39,'8.8 BWERA-KIKORONGO-24h'!G39,'10.8 BWERA-KIKORONGO 24HRS'!G39,'11.8 KIKORONGO-BWERA'!G39)</f>
        <v>0.14285714285714285</v>
      </c>
      <c r="H39" s="49">
        <f>AVERAGE('5.8 BWERA-KIKORONGO'!H39,'6.8 BWERA-KIKORONGO'!H39,'7.8 BWERA-KIKORONGO'!H39,'9.8 BWERA-KIKORONGO'!H39,'8.8 BWERA-KIKORONGO-24h'!H39,'10.8 BWERA-KIKORONGO 24HRS'!H39,'11.8 KIKORONGO-BWERA'!H39)</f>
        <v>0.2857142857142857</v>
      </c>
      <c r="I39" s="49">
        <f>AVERAGE('5.8 BWERA-KIKORONGO'!I39,'6.8 BWERA-KIKORONGO'!I39,'7.8 BWERA-KIKORONGO'!I39,'9.8 BWERA-KIKORONGO'!I39,'8.8 BWERA-KIKORONGO-24h'!I39,'10.8 BWERA-KIKORONGO 24HRS'!I39,'11.8 KIKORONGO-BWERA'!I39)</f>
        <v>0.7142857142857143</v>
      </c>
      <c r="J39" s="49">
        <f>AVERAGE('5.8 BWERA-KIKORONGO'!J39,'6.8 BWERA-KIKORONGO'!J39,'7.8 BWERA-KIKORONGO'!J39,'9.8 BWERA-KIKORONGO'!J39,'8.8 BWERA-KIKORONGO-24h'!J39,'10.8 BWERA-KIKORONGO 24HRS'!J39,'11.8 KIKORONGO-BWERA'!J39)</f>
        <v>0</v>
      </c>
      <c r="K39" s="49">
        <f>AVERAGE('5.8 BWERA-KIKORONGO'!K39,'6.8 BWERA-KIKORONGO'!K39,'7.8 BWERA-KIKORONGO'!K39,'9.8 BWERA-KIKORONGO'!K39,'8.8 BWERA-KIKORONGO-24h'!K39,'10.8 BWERA-KIKORONGO 24HRS'!K39,'11.8 KIKORONGO-BWERA'!K39)</f>
        <v>0</v>
      </c>
      <c r="L39" s="49">
        <f>AVERAGE('5.8 BWERA-KIKORONGO'!L39,'6.8 BWERA-KIKORONGO'!L39,'7.8 BWERA-KIKORONGO'!L39,'9.8 BWERA-KIKORONGO'!L39,'8.8 BWERA-KIKORONGO-24h'!L39,'10.8 BWERA-KIKORONGO 24HRS'!L39,'11.8 KIKORONGO-BWERA'!L39)</f>
        <v>0.42857142857142855</v>
      </c>
      <c r="M39" s="49">
        <f>AVERAGE('5.8 BWERA-KIKORONGO'!M39,'6.8 BWERA-KIKORONGO'!M39,'7.8 BWERA-KIKORONGO'!M39,'9.8 BWERA-KIKORONGO'!M39,'8.8 BWERA-KIKORONGO-24h'!M39,'10.8 BWERA-KIKORONGO 24HRS'!M39,'11.8 KIKORONGO-BWERA'!M39)</f>
        <v>4.1428571428571432</v>
      </c>
      <c r="N39" s="49">
        <f>AVERAGE('5.8 BWERA-KIKORONGO'!N39,'6.8 BWERA-KIKORONGO'!N39,'7.8 BWERA-KIKORONGO'!N39,'9.8 BWERA-KIKORONGO'!N39,'8.8 BWERA-KIKORONGO-24h'!N39,'10.8 BWERA-KIKORONGO 24HRS'!N39,'11.8 KIKORONGO-BWERA'!N39)</f>
        <v>0</v>
      </c>
      <c r="O39" s="15">
        <f t="shared" si="0"/>
        <v>12.285714285714286</v>
      </c>
      <c r="P39" s="15">
        <f t="shared" si="1"/>
        <v>16.428571428571431</v>
      </c>
      <c r="R39" s="29" t="s">
        <v>87</v>
      </c>
      <c r="S39" s="16">
        <f t="shared" ref="S39:AF39" si="31">SUM(S19:S21)</f>
        <v>52.857142857142847</v>
      </c>
      <c r="T39" s="16">
        <f t="shared" si="31"/>
        <v>0</v>
      </c>
      <c r="U39" s="16">
        <f t="shared" si="31"/>
        <v>26</v>
      </c>
      <c r="V39" s="16">
        <f t="shared" si="31"/>
        <v>36</v>
      </c>
      <c r="W39" s="16">
        <f t="shared" si="31"/>
        <v>0</v>
      </c>
      <c r="X39" s="16">
        <f t="shared" si="31"/>
        <v>2.2857142857142856</v>
      </c>
      <c r="Y39" s="16">
        <f t="shared" si="31"/>
        <v>6.8571428571428568</v>
      </c>
      <c r="Z39" s="16">
        <f t="shared" si="31"/>
        <v>7.4285714285714288</v>
      </c>
      <c r="AA39" s="16">
        <f t="shared" si="31"/>
        <v>0.5714285714285714</v>
      </c>
      <c r="AB39" s="16">
        <f t="shared" si="31"/>
        <v>7.5714285714285712</v>
      </c>
      <c r="AC39" s="16">
        <f t="shared" si="31"/>
        <v>39</v>
      </c>
      <c r="AD39" s="16">
        <f t="shared" si="31"/>
        <v>0.2857142857142857</v>
      </c>
      <c r="AE39" s="32">
        <f t="shared" si="31"/>
        <v>139.85714285714283</v>
      </c>
      <c r="AF39" s="32">
        <f t="shared" si="31"/>
        <v>178.85714285714283</v>
      </c>
    </row>
    <row r="40" spans="2:32" ht="23.1" customHeight="1" x14ac:dyDescent="0.25">
      <c r="B40" s="24" t="s">
        <v>67</v>
      </c>
      <c r="C40" s="49">
        <f>AVERAGE('5.8 BWERA-KIKORONGO'!C40,'6.8 BWERA-KIKORONGO'!C40,'7.8 BWERA-KIKORONGO'!C40,'9.8 BWERA-KIKORONGO'!C40,'8.8 BWERA-KIKORONGO-24h'!C40,'10.8 BWERA-KIKORONGO 24HRS'!C40,'11.8 KIKORONGO-BWERA'!C40)</f>
        <v>3.7142857142857144</v>
      </c>
      <c r="D40" s="49">
        <f>AVERAGE('5.8 BWERA-KIKORONGO'!D40,'6.8 BWERA-KIKORONGO'!D40,'7.8 BWERA-KIKORONGO'!D40,'9.8 BWERA-KIKORONGO'!D40,'8.8 BWERA-KIKORONGO-24h'!D40,'10.8 BWERA-KIKORONGO 24HRS'!D40,'11.8 KIKORONGO-BWERA'!D40)</f>
        <v>0</v>
      </c>
      <c r="E40" s="49">
        <f>AVERAGE('5.8 BWERA-KIKORONGO'!E40,'6.8 BWERA-KIKORONGO'!E40,'7.8 BWERA-KIKORONGO'!E40,'9.8 BWERA-KIKORONGO'!E40,'8.8 BWERA-KIKORONGO-24h'!E40,'10.8 BWERA-KIKORONGO 24HRS'!E40,'11.8 KIKORONGO-BWERA'!E40)</f>
        <v>1.5714285714285714</v>
      </c>
      <c r="F40" s="49">
        <f>AVERAGE('5.8 BWERA-KIKORONGO'!F40,'6.8 BWERA-KIKORONGO'!F40,'7.8 BWERA-KIKORONGO'!F40,'9.8 BWERA-KIKORONGO'!F40,'8.8 BWERA-KIKORONGO-24h'!F40,'10.8 BWERA-KIKORONGO 24HRS'!F40,'11.8 KIKORONGO-BWERA'!F40)</f>
        <v>2.2857142857142856</v>
      </c>
      <c r="G40" s="49">
        <f>AVERAGE('5.8 BWERA-KIKORONGO'!G40,'6.8 BWERA-KIKORONGO'!G40,'7.8 BWERA-KIKORONGO'!G40,'9.8 BWERA-KIKORONGO'!G40,'8.8 BWERA-KIKORONGO-24h'!G40,'10.8 BWERA-KIKORONGO 24HRS'!G40,'11.8 KIKORONGO-BWERA'!G40)</f>
        <v>0</v>
      </c>
      <c r="H40" s="49">
        <f>AVERAGE('5.8 BWERA-KIKORONGO'!H40,'6.8 BWERA-KIKORONGO'!H40,'7.8 BWERA-KIKORONGO'!H40,'9.8 BWERA-KIKORONGO'!H40,'8.8 BWERA-KIKORONGO-24h'!H40,'10.8 BWERA-KIKORONGO 24HRS'!H40,'11.8 KIKORONGO-BWERA'!H40)</f>
        <v>0.42857142857142855</v>
      </c>
      <c r="I40" s="49">
        <f>AVERAGE('5.8 BWERA-KIKORONGO'!I40,'6.8 BWERA-KIKORONGO'!I40,'7.8 BWERA-KIKORONGO'!I40,'9.8 BWERA-KIKORONGO'!I40,'8.8 BWERA-KIKORONGO-24h'!I40,'10.8 BWERA-KIKORONGO 24HRS'!I40,'11.8 KIKORONGO-BWERA'!I40)</f>
        <v>0</v>
      </c>
      <c r="J40" s="49">
        <f>AVERAGE('5.8 BWERA-KIKORONGO'!J40,'6.8 BWERA-KIKORONGO'!J40,'7.8 BWERA-KIKORONGO'!J40,'9.8 BWERA-KIKORONGO'!J40,'8.8 BWERA-KIKORONGO-24h'!J40,'10.8 BWERA-KIKORONGO 24HRS'!J40,'11.8 KIKORONGO-BWERA'!J40)</f>
        <v>0.42857142857142855</v>
      </c>
      <c r="K40" s="49">
        <f>AVERAGE('5.8 BWERA-KIKORONGO'!K40,'6.8 BWERA-KIKORONGO'!K40,'7.8 BWERA-KIKORONGO'!K40,'9.8 BWERA-KIKORONGO'!K40,'8.8 BWERA-KIKORONGO-24h'!K40,'10.8 BWERA-KIKORONGO 24HRS'!K40,'11.8 KIKORONGO-BWERA'!K40)</f>
        <v>0</v>
      </c>
      <c r="L40" s="49">
        <f>AVERAGE('5.8 BWERA-KIKORONGO'!L40,'6.8 BWERA-KIKORONGO'!L40,'7.8 BWERA-KIKORONGO'!L40,'9.8 BWERA-KIKORONGO'!L40,'8.8 BWERA-KIKORONGO-24h'!L40,'10.8 BWERA-KIKORONGO 24HRS'!L40,'11.8 KIKORONGO-BWERA'!L40)</f>
        <v>0.14285714285714285</v>
      </c>
      <c r="M40" s="49">
        <f>AVERAGE('5.8 BWERA-KIKORONGO'!M40,'6.8 BWERA-KIKORONGO'!M40,'7.8 BWERA-KIKORONGO'!M40,'9.8 BWERA-KIKORONGO'!M40,'8.8 BWERA-KIKORONGO-24h'!M40,'10.8 BWERA-KIKORONGO 24HRS'!M40,'11.8 KIKORONGO-BWERA'!M40)</f>
        <v>3.1428571428571428</v>
      </c>
      <c r="N40" s="49">
        <f>AVERAGE('5.8 BWERA-KIKORONGO'!N40,'6.8 BWERA-KIKORONGO'!N40,'7.8 BWERA-KIKORONGO'!N40,'9.8 BWERA-KIKORONGO'!N40,'8.8 BWERA-KIKORONGO-24h'!N40,'10.8 BWERA-KIKORONGO 24HRS'!N40,'11.8 KIKORONGO-BWERA'!N40)</f>
        <v>0</v>
      </c>
      <c r="O40" s="15">
        <f t="shared" si="0"/>
        <v>8.5714285714285712</v>
      </c>
      <c r="P40" s="15">
        <f t="shared" si="1"/>
        <v>11.714285714285714</v>
      </c>
      <c r="R40" s="5" t="s">
        <v>17</v>
      </c>
      <c r="S40" s="16">
        <f t="shared" ref="S40:AF40" si="32">SUM(S10:S21)</f>
        <v>225.00000000000003</v>
      </c>
      <c r="T40" s="16">
        <f t="shared" si="32"/>
        <v>0</v>
      </c>
      <c r="U40" s="16">
        <f t="shared" si="32"/>
        <v>103.28571428571429</v>
      </c>
      <c r="V40" s="16">
        <f t="shared" si="32"/>
        <v>135.85714285714286</v>
      </c>
      <c r="W40" s="16">
        <f t="shared" si="32"/>
        <v>1.9999999999999996</v>
      </c>
      <c r="X40" s="16">
        <f t="shared" si="32"/>
        <v>7.7142857142857126</v>
      </c>
      <c r="Y40" s="16">
        <f t="shared" si="32"/>
        <v>48.571428571428569</v>
      </c>
      <c r="Z40" s="16">
        <f t="shared" si="32"/>
        <v>27.571428571428569</v>
      </c>
      <c r="AA40" s="16">
        <f t="shared" si="32"/>
        <v>2.9999999999999996</v>
      </c>
      <c r="AB40" s="16">
        <f t="shared" si="32"/>
        <v>20.714285714285712</v>
      </c>
      <c r="AC40" s="16">
        <f t="shared" si="32"/>
        <v>168.57142857142853</v>
      </c>
      <c r="AD40" s="16">
        <f t="shared" si="32"/>
        <v>0.71428571428571419</v>
      </c>
      <c r="AE40" s="32">
        <f t="shared" si="32"/>
        <v>574.42857142857133</v>
      </c>
      <c r="AF40" s="32">
        <f t="shared" si="32"/>
        <v>743.00000000000011</v>
      </c>
    </row>
    <row r="41" spans="2:32" ht="23.1" customHeight="1" x14ac:dyDescent="0.25">
      <c r="B41" s="23" t="s">
        <v>68</v>
      </c>
      <c r="C41" s="49">
        <f>AVERAGE('5.8 BWERA-KIKORONGO'!C41,'6.8 BWERA-KIKORONGO'!C41,'7.8 BWERA-KIKORONGO'!C41,'9.8 BWERA-KIKORONGO'!C41,'8.8 BWERA-KIKORONGO-24h'!C41,'10.8 BWERA-KIKORONGO 24HRS'!C41,'11.8 KIKORONGO-BWERA'!C41)</f>
        <v>7.5714285714285712</v>
      </c>
      <c r="D41" s="49">
        <f>AVERAGE('5.8 BWERA-KIKORONGO'!D41,'6.8 BWERA-KIKORONGO'!D41,'7.8 BWERA-KIKORONGO'!D41,'9.8 BWERA-KIKORONGO'!D41,'8.8 BWERA-KIKORONGO-24h'!D41,'10.8 BWERA-KIKORONGO 24HRS'!D41,'11.8 KIKORONGO-BWERA'!D41)</f>
        <v>0</v>
      </c>
      <c r="E41" s="49">
        <f>AVERAGE('5.8 BWERA-KIKORONGO'!E41,'6.8 BWERA-KIKORONGO'!E41,'7.8 BWERA-KIKORONGO'!E41,'9.8 BWERA-KIKORONGO'!E41,'8.8 BWERA-KIKORONGO-24h'!E41,'10.8 BWERA-KIKORONGO 24HRS'!E41,'11.8 KIKORONGO-BWERA'!E41)</f>
        <v>2.5714285714285716</v>
      </c>
      <c r="F41" s="49">
        <f>AVERAGE('5.8 BWERA-KIKORONGO'!F41,'6.8 BWERA-KIKORONGO'!F41,'7.8 BWERA-KIKORONGO'!F41,'9.8 BWERA-KIKORONGO'!F41,'8.8 BWERA-KIKORONGO-24h'!F41,'10.8 BWERA-KIKORONGO 24HRS'!F41,'11.8 KIKORONGO-BWERA'!F41)</f>
        <v>4.5714285714285712</v>
      </c>
      <c r="G41" s="49">
        <f>AVERAGE('5.8 BWERA-KIKORONGO'!G41,'6.8 BWERA-KIKORONGO'!G41,'7.8 BWERA-KIKORONGO'!G41,'9.8 BWERA-KIKORONGO'!G41,'8.8 BWERA-KIKORONGO-24h'!G41,'10.8 BWERA-KIKORONGO 24HRS'!G41,'11.8 KIKORONGO-BWERA'!G41)</f>
        <v>0.14285714285714285</v>
      </c>
      <c r="H41" s="49">
        <f>AVERAGE('5.8 BWERA-KIKORONGO'!H41,'6.8 BWERA-KIKORONGO'!H41,'7.8 BWERA-KIKORONGO'!H41,'9.8 BWERA-KIKORONGO'!H41,'8.8 BWERA-KIKORONGO-24h'!H41,'10.8 BWERA-KIKORONGO 24HRS'!H41,'11.8 KIKORONGO-BWERA'!H41)</f>
        <v>0.14285714285714285</v>
      </c>
      <c r="I41" s="49">
        <f>AVERAGE('5.8 BWERA-KIKORONGO'!I41,'6.8 BWERA-KIKORONGO'!I41,'7.8 BWERA-KIKORONGO'!I41,'9.8 BWERA-KIKORONGO'!I41,'8.8 BWERA-KIKORONGO-24h'!I41,'10.8 BWERA-KIKORONGO 24HRS'!I41,'11.8 KIKORONGO-BWERA'!I41)</f>
        <v>1.5714285714285714</v>
      </c>
      <c r="J41" s="49">
        <f>AVERAGE('5.8 BWERA-KIKORONGO'!J41,'6.8 BWERA-KIKORONGO'!J41,'7.8 BWERA-KIKORONGO'!J41,'9.8 BWERA-KIKORONGO'!J41,'8.8 BWERA-KIKORONGO-24h'!J41,'10.8 BWERA-KIKORONGO 24HRS'!J41,'11.8 KIKORONGO-BWERA'!J41)</f>
        <v>0.7142857142857143</v>
      </c>
      <c r="K41" s="49">
        <f>AVERAGE('5.8 BWERA-KIKORONGO'!K41,'6.8 BWERA-KIKORONGO'!K41,'7.8 BWERA-KIKORONGO'!K41,'9.8 BWERA-KIKORONGO'!K41,'8.8 BWERA-KIKORONGO-24h'!K41,'10.8 BWERA-KIKORONGO 24HRS'!K41,'11.8 KIKORONGO-BWERA'!K41)</f>
        <v>0</v>
      </c>
      <c r="L41" s="49">
        <f>AVERAGE('5.8 BWERA-KIKORONGO'!L41,'6.8 BWERA-KIKORONGO'!L41,'7.8 BWERA-KIKORONGO'!L41,'9.8 BWERA-KIKORONGO'!L41,'8.8 BWERA-KIKORONGO-24h'!L41,'10.8 BWERA-KIKORONGO 24HRS'!L41,'11.8 KIKORONGO-BWERA'!L41)</f>
        <v>0</v>
      </c>
      <c r="M41" s="49">
        <f>AVERAGE('5.8 BWERA-KIKORONGO'!M41,'6.8 BWERA-KIKORONGO'!M41,'7.8 BWERA-KIKORONGO'!M41,'9.8 BWERA-KIKORONGO'!M41,'8.8 BWERA-KIKORONGO-24h'!M41,'10.8 BWERA-KIKORONGO 24HRS'!M41,'11.8 KIKORONGO-BWERA'!M41)</f>
        <v>4.4285714285714288</v>
      </c>
      <c r="N41" s="49">
        <f>AVERAGE('5.8 BWERA-KIKORONGO'!N41,'6.8 BWERA-KIKORONGO'!N41,'7.8 BWERA-KIKORONGO'!N41,'9.8 BWERA-KIKORONGO'!N41,'8.8 BWERA-KIKORONGO-24h'!N41,'10.8 BWERA-KIKORONGO 24HRS'!N41,'11.8 KIKORONGO-BWERA'!N41)</f>
        <v>0</v>
      </c>
      <c r="O41" s="15">
        <f t="shared" si="0"/>
        <v>17.285714285714285</v>
      </c>
      <c r="P41" s="15">
        <f t="shared" si="1"/>
        <v>21.714285714285715</v>
      </c>
      <c r="R41" s="5" t="s">
        <v>172</v>
      </c>
      <c r="S41" s="52">
        <f>SUM(S10:S33)</f>
        <v>295</v>
      </c>
      <c r="T41" s="52">
        <f t="shared" ref="T41:AD41" si="33">SUM(T10:T33)</f>
        <v>0</v>
      </c>
      <c r="U41" s="52">
        <f t="shared" si="33"/>
        <v>136.78571428571428</v>
      </c>
      <c r="V41" s="52">
        <f t="shared" si="33"/>
        <v>177.35714285714286</v>
      </c>
      <c r="W41" s="52">
        <f t="shared" si="33"/>
        <v>1.9999999999999996</v>
      </c>
      <c r="X41" s="52">
        <f t="shared" si="33"/>
        <v>15.714285714285712</v>
      </c>
      <c r="Y41" s="52">
        <f t="shared" si="33"/>
        <v>78.571428571428569</v>
      </c>
      <c r="Z41" s="52">
        <f t="shared" si="33"/>
        <v>37.571428571428569</v>
      </c>
      <c r="AA41" s="52">
        <f t="shared" si="33"/>
        <v>2.9999999999999996</v>
      </c>
      <c r="AB41" s="52">
        <f t="shared" si="33"/>
        <v>39.714285714285708</v>
      </c>
      <c r="AC41" s="52">
        <f t="shared" si="33"/>
        <v>207.07142857142853</v>
      </c>
      <c r="AD41" s="52">
        <f t="shared" si="33"/>
        <v>1.2142857142857142</v>
      </c>
      <c r="AE41" s="53">
        <f>SUM(AE10:AE33)</f>
        <v>786.92857142857133</v>
      </c>
      <c r="AF41" s="53">
        <f>SUM(AF10:AF33)</f>
        <v>994.00000000000011</v>
      </c>
    </row>
    <row r="42" spans="2:32" ht="23.1" customHeight="1" x14ac:dyDescent="0.25">
      <c r="B42" s="24" t="s">
        <v>69</v>
      </c>
      <c r="C42" s="49">
        <f>AVERAGE('5.8 BWERA-KIKORONGO'!C42,'6.8 BWERA-KIKORONGO'!C42,'7.8 BWERA-KIKORONGO'!C42,'9.8 BWERA-KIKORONGO'!C42,'8.8 BWERA-KIKORONGO-24h'!C42,'10.8 BWERA-KIKORONGO 24HRS'!C42,'11.8 KIKORONGO-BWERA'!C42)</f>
        <v>3.7142857142857144</v>
      </c>
      <c r="D42" s="49">
        <f>AVERAGE('5.8 BWERA-KIKORONGO'!D42,'6.8 BWERA-KIKORONGO'!D42,'7.8 BWERA-KIKORONGO'!D42,'9.8 BWERA-KIKORONGO'!D42,'8.8 BWERA-KIKORONGO-24h'!D42,'10.8 BWERA-KIKORONGO 24HRS'!D42,'11.8 KIKORONGO-BWERA'!D42)</f>
        <v>0</v>
      </c>
      <c r="E42" s="49">
        <f>AVERAGE('5.8 BWERA-KIKORONGO'!E42,'6.8 BWERA-KIKORONGO'!E42,'7.8 BWERA-KIKORONGO'!E42,'9.8 BWERA-KIKORONGO'!E42,'8.8 BWERA-KIKORONGO-24h'!E42,'10.8 BWERA-KIKORONGO 24HRS'!E42,'11.8 KIKORONGO-BWERA'!E42)</f>
        <v>1.2857142857142858</v>
      </c>
      <c r="F42" s="49">
        <f>AVERAGE('5.8 BWERA-KIKORONGO'!F42,'6.8 BWERA-KIKORONGO'!F42,'7.8 BWERA-KIKORONGO'!F42,'9.8 BWERA-KIKORONGO'!F42,'8.8 BWERA-KIKORONGO-24h'!F42,'10.8 BWERA-KIKORONGO 24HRS'!F42,'11.8 KIKORONGO-BWERA'!F42)</f>
        <v>2.7142857142857144</v>
      </c>
      <c r="G42" s="49">
        <f>AVERAGE('5.8 BWERA-KIKORONGO'!G42,'6.8 BWERA-KIKORONGO'!G42,'7.8 BWERA-KIKORONGO'!G42,'9.8 BWERA-KIKORONGO'!G42,'8.8 BWERA-KIKORONGO-24h'!G42,'10.8 BWERA-KIKORONGO 24HRS'!G42,'11.8 KIKORONGO-BWERA'!G42)</f>
        <v>0.14285714285714285</v>
      </c>
      <c r="H42" s="49">
        <f>AVERAGE('5.8 BWERA-KIKORONGO'!H42,'6.8 BWERA-KIKORONGO'!H42,'7.8 BWERA-KIKORONGO'!H42,'9.8 BWERA-KIKORONGO'!H42,'8.8 BWERA-KIKORONGO-24h'!H42,'10.8 BWERA-KIKORONGO 24HRS'!H42,'11.8 KIKORONGO-BWERA'!H42)</f>
        <v>0</v>
      </c>
      <c r="I42" s="49">
        <f>AVERAGE('5.8 BWERA-KIKORONGO'!I42,'6.8 BWERA-KIKORONGO'!I42,'7.8 BWERA-KIKORONGO'!I42,'9.8 BWERA-KIKORONGO'!I42,'8.8 BWERA-KIKORONGO-24h'!I42,'10.8 BWERA-KIKORONGO 24HRS'!I42,'11.8 KIKORONGO-BWERA'!I42)</f>
        <v>0.8571428571428571</v>
      </c>
      <c r="J42" s="49">
        <f>AVERAGE('5.8 BWERA-KIKORONGO'!J42,'6.8 BWERA-KIKORONGO'!J42,'7.8 BWERA-KIKORONGO'!J42,'9.8 BWERA-KIKORONGO'!J42,'8.8 BWERA-KIKORONGO-24h'!J42,'10.8 BWERA-KIKORONGO 24HRS'!J42,'11.8 KIKORONGO-BWERA'!J42)</f>
        <v>0.8571428571428571</v>
      </c>
      <c r="K42" s="49">
        <f>AVERAGE('5.8 BWERA-KIKORONGO'!K42,'6.8 BWERA-KIKORONGO'!K42,'7.8 BWERA-KIKORONGO'!K42,'9.8 BWERA-KIKORONGO'!K42,'8.8 BWERA-KIKORONGO-24h'!K42,'10.8 BWERA-KIKORONGO 24HRS'!K42,'11.8 KIKORONGO-BWERA'!K42)</f>
        <v>0.2857142857142857</v>
      </c>
      <c r="L42" s="49">
        <f>AVERAGE('5.8 BWERA-KIKORONGO'!L42,'6.8 BWERA-KIKORONGO'!L42,'7.8 BWERA-KIKORONGO'!L42,'9.8 BWERA-KIKORONGO'!L42,'8.8 BWERA-KIKORONGO-24h'!L42,'10.8 BWERA-KIKORONGO 24HRS'!L42,'11.8 KIKORONGO-BWERA'!L42)</f>
        <v>0.14285714285714285</v>
      </c>
      <c r="M42" s="49">
        <f>AVERAGE('5.8 BWERA-KIKORONGO'!M42,'6.8 BWERA-KIKORONGO'!M42,'7.8 BWERA-KIKORONGO'!M42,'9.8 BWERA-KIKORONGO'!M42,'8.8 BWERA-KIKORONGO-24h'!M42,'10.8 BWERA-KIKORONGO 24HRS'!M42,'11.8 KIKORONGO-BWERA'!M42)</f>
        <v>2.5714285714285716</v>
      </c>
      <c r="N42" s="49">
        <f>AVERAGE('5.8 BWERA-KIKORONGO'!N42,'6.8 BWERA-KIKORONGO'!N42,'7.8 BWERA-KIKORONGO'!N42,'9.8 BWERA-KIKORONGO'!N42,'8.8 BWERA-KIKORONGO-24h'!N42,'10.8 BWERA-KIKORONGO 24HRS'!N42,'11.8 KIKORONGO-BWERA'!N42)</f>
        <v>0</v>
      </c>
      <c r="O42" s="15">
        <f t="shared" si="0"/>
        <v>10.000000000000002</v>
      </c>
      <c r="P42" s="15">
        <f t="shared" si="1"/>
        <v>12.571428571428573</v>
      </c>
      <c r="R42" s="5" t="s">
        <v>160</v>
      </c>
      <c r="S42" s="48">
        <f>S41/S40</f>
        <v>1.3111111111111109</v>
      </c>
      <c r="T42" s="48" t="e">
        <f t="shared" ref="T42:AF42" si="34">T41/T40</f>
        <v>#DIV/0!</v>
      </c>
      <c r="U42" s="48">
        <f t="shared" si="34"/>
        <v>1.3243430152143842</v>
      </c>
      <c r="V42" s="48">
        <f t="shared" si="34"/>
        <v>1.3054679284963198</v>
      </c>
      <c r="W42" s="48">
        <f t="shared" si="34"/>
        <v>1</v>
      </c>
      <c r="X42" s="48">
        <f t="shared" si="34"/>
        <v>2.0370370370370372</v>
      </c>
      <c r="Y42" s="48">
        <f t="shared" si="34"/>
        <v>1.6176470588235294</v>
      </c>
      <c r="Z42" s="48">
        <f t="shared" si="34"/>
        <v>1.3626943005181347</v>
      </c>
      <c r="AA42" s="48">
        <f t="shared" si="34"/>
        <v>1</v>
      </c>
      <c r="AB42" s="48">
        <f t="shared" si="34"/>
        <v>1.9172413793103447</v>
      </c>
      <c r="AC42" s="48">
        <f t="shared" si="34"/>
        <v>1.2283898305084746</v>
      </c>
      <c r="AD42" s="48">
        <f t="shared" si="34"/>
        <v>1.7000000000000002</v>
      </c>
      <c r="AE42" s="51">
        <f t="shared" si="34"/>
        <v>1.3699328525242478</v>
      </c>
      <c r="AF42" s="51">
        <f t="shared" si="34"/>
        <v>1.3378196500672948</v>
      </c>
    </row>
    <row r="43" spans="2:32" ht="23.1" customHeight="1" x14ac:dyDescent="0.25">
      <c r="B43" s="23" t="s">
        <v>70</v>
      </c>
      <c r="C43" s="49">
        <f>AVERAGE('5.8 BWERA-KIKORONGO'!C43,'6.8 BWERA-KIKORONGO'!C43,'7.8 BWERA-KIKORONGO'!C43,'9.8 BWERA-KIKORONGO'!C43,'8.8 BWERA-KIKORONGO-24h'!C43,'10.8 BWERA-KIKORONGO 24HRS'!C43,'11.8 KIKORONGO-BWERA'!C43)</f>
        <v>6.8571428571428568</v>
      </c>
      <c r="D43" s="49">
        <f>AVERAGE('5.8 BWERA-KIKORONGO'!D43,'6.8 BWERA-KIKORONGO'!D43,'7.8 BWERA-KIKORONGO'!D43,'9.8 BWERA-KIKORONGO'!D43,'8.8 BWERA-KIKORONGO-24h'!D43,'10.8 BWERA-KIKORONGO 24HRS'!D43,'11.8 KIKORONGO-BWERA'!D43)</f>
        <v>0</v>
      </c>
      <c r="E43" s="49">
        <f>AVERAGE('5.8 BWERA-KIKORONGO'!E43,'6.8 BWERA-KIKORONGO'!E43,'7.8 BWERA-KIKORONGO'!E43,'9.8 BWERA-KIKORONGO'!E43,'8.8 BWERA-KIKORONGO-24h'!E43,'10.8 BWERA-KIKORONGO 24HRS'!E43,'11.8 KIKORONGO-BWERA'!E43)</f>
        <v>1.5714285714285714</v>
      </c>
      <c r="F43" s="49">
        <f>AVERAGE('5.8 BWERA-KIKORONGO'!F43,'6.8 BWERA-KIKORONGO'!F43,'7.8 BWERA-KIKORONGO'!F43,'9.8 BWERA-KIKORONGO'!F43,'8.8 BWERA-KIKORONGO-24h'!F43,'10.8 BWERA-KIKORONGO 24HRS'!F43,'11.8 KIKORONGO-BWERA'!F43)</f>
        <v>3.2857142857142856</v>
      </c>
      <c r="G43" s="49">
        <f>AVERAGE('5.8 BWERA-KIKORONGO'!G43,'6.8 BWERA-KIKORONGO'!G43,'7.8 BWERA-KIKORONGO'!G43,'9.8 BWERA-KIKORONGO'!G43,'8.8 BWERA-KIKORONGO-24h'!G43,'10.8 BWERA-KIKORONGO 24HRS'!G43,'11.8 KIKORONGO-BWERA'!G43)</f>
        <v>0</v>
      </c>
      <c r="H43" s="49">
        <f>AVERAGE('5.8 BWERA-KIKORONGO'!H43,'6.8 BWERA-KIKORONGO'!H43,'7.8 BWERA-KIKORONGO'!H43,'9.8 BWERA-KIKORONGO'!H43,'8.8 BWERA-KIKORONGO-24h'!H43,'10.8 BWERA-KIKORONGO 24HRS'!H43,'11.8 KIKORONGO-BWERA'!H43)</f>
        <v>0</v>
      </c>
      <c r="I43" s="49">
        <f>AVERAGE('5.8 BWERA-KIKORONGO'!I43,'6.8 BWERA-KIKORONGO'!I43,'7.8 BWERA-KIKORONGO'!I43,'9.8 BWERA-KIKORONGO'!I43,'8.8 BWERA-KIKORONGO-24h'!I43,'10.8 BWERA-KIKORONGO 24HRS'!I43,'11.8 KIKORONGO-BWERA'!I43)</f>
        <v>0.8571428571428571</v>
      </c>
      <c r="J43" s="49">
        <f>AVERAGE('5.8 BWERA-KIKORONGO'!J43,'6.8 BWERA-KIKORONGO'!J43,'7.8 BWERA-KIKORONGO'!J43,'9.8 BWERA-KIKORONGO'!J43,'8.8 BWERA-KIKORONGO-24h'!J43,'10.8 BWERA-KIKORONGO 24HRS'!J43,'11.8 KIKORONGO-BWERA'!J43)</f>
        <v>0.42857142857142855</v>
      </c>
      <c r="K43" s="49">
        <f>AVERAGE('5.8 BWERA-KIKORONGO'!K43,'6.8 BWERA-KIKORONGO'!K43,'7.8 BWERA-KIKORONGO'!K43,'9.8 BWERA-KIKORONGO'!K43,'8.8 BWERA-KIKORONGO-24h'!K43,'10.8 BWERA-KIKORONGO 24HRS'!K43,'11.8 KIKORONGO-BWERA'!K43)</f>
        <v>0.14285714285714285</v>
      </c>
      <c r="L43" s="49">
        <f>AVERAGE('5.8 BWERA-KIKORONGO'!L43,'6.8 BWERA-KIKORONGO'!L43,'7.8 BWERA-KIKORONGO'!L43,'9.8 BWERA-KIKORONGO'!L43,'8.8 BWERA-KIKORONGO-24h'!L43,'10.8 BWERA-KIKORONGO 24HRS'!L43,'11.8 KIKORONGO-BWERA'!L43)</f>
        <v>0</v>
      </c>
      <c r="M43" s="49">
        <f>AVERAGE('5.8 BWERA-KIKORONGO'!M43,'6.8 BWERA-KIKORONGO'!M43,'7.8 BWERA-KIKORONGO'!M43,'9.8 BWERA-KIKORONGO'!M43,'8.8 BWERA-KIKORONGO-24h'!M43,'10.8 BWERA-KIKORONGO 24HRS'!M43,'11.8 KIKORONGO-BWERA'!M43)</f>
        <v>3.5714285714285716</v>
      </c>
      <c r="N43" s="49">
        <f>AVERAGE('5.8 BWERA-KIKORONGO'!N43,'6.8 BWERA-KIKORONGO'!N43,'7.8 BWERA-KIKORONGO'!N43,'9.8 BWERA-KIKORONGO'!N43,'8.8 BWERA-KIKORONGO-24h'!N43,'10.8 BWERA-KIKORONGO 24HRS'!N43,'11.8 KIKORONGO-BWERA'!N43)</f>
        <v>0</v>
      </c>
      <c r="O43" s="15">
        <f t="shared" si="0"/>
        <v>13.142857142857144</v>
      </c>
      <c r="P43" s="15">
        <f t="shared" si="1"/>
        <v>16.714285714285715</v>
      </c>
    </row>
    <row r="44" spans="2:32" ht="23.1" customHeight="1" x14ac:dyDescent="0.25">
      <c r="B44" s="25" t="s">
        <v>71</v>
      </c>
      <c r="C44" s="49">
        <f>AVERAGE('5.8 BWERA-KIKORONGO'!C44,'6.8 BWERA-KIKORONGO'!C44,'7.8 BWERA-KIKORONGO'!C44,'9.8 BWERA-KIKORONGO'!C44,'8.8 BWERA-KIKORONGO-24h'!C44,'10.8 BWERA-KIKORONGO 24HRS'!C44,'11.8 KIKORONGO-BWERA'!C44)</f>
        <v>6.1428571428571432</v>
      </c>
      <c r="D44" s="49">
        <f>AVERAGE('5.8 BWERA-KIKORONGO'!D44,'6.8 BWERA-KIKORONGO'!D44,'7.8 BWERA-KIKORONGO'!D44,'9.8 BWERA-KIKORONGO'!D44,'8.8 BWERA-KIKORONGO-24h'!D44,'10.8 BWERA-KIKORONGO 24HRS'!D44,'11.8 KIKORONGO-BWERA'!D44)</f>
        <v>0</v>
      </c>
      <c r="E44" s="49">
        <f>AVERAGE('5.8 BWERA-KIKORONGO'!E44,'6.8 BWERA-KIKORONGO'!E44,'7.8 BWERA-KIKORONGO'!E44,'9.8 BWERA-KIKORONGO'!E44,'8.8 BWERA-KIKORONGO-24h'!E44,'10.8 BWERA-KIKORONGO 24HRS'!E44,'11.8 KIKORONGO-BWERA'!E44)</f>
        <v>3.4285714285714284</v>
      </c>
      <c r="F44" s="49">
        <f>AVERAGE('5.8 BWERA-KIKORONGO'!F44,'6.8 BWERA-KIKORONGO'!F44,'7.8 BWERA-KIKORONGO'!F44,'9.8 BWERA-KIKORONGO'!F44,'8.8 BWERA-KIKORONGO-24h'!F44,'10.8 BWERA-KIKORONGO 24HRS'!F44,'11.8 KIKORONGO-BWERA'!F44)</f>
        <v>2.8571428571428572</v>
      </c>
      <c r="G44" s="49">
        <f>AVERAGE('5.8 BWERA-KIKORONGO'!G44,'6.8 BWERA-KIKORONGO'!G44,'7.8 BWERA-KIKORONGO'!G44,'9.8 BWERA-KIKORONGO'!G44,'8.8 BWERA-KIKORONGO-24h'!G44,'10.8 BWERA-KIKORONGO 24HRS'!G44,'11.8 KIKORONGO-BWERA'!G44)</f>
        <v>0</v>
      </c>
      <c r="H44" s="49">
        <f>AVERAGE('5.8 BWERA-KIKORONGO'!H44,'6.8 BWERA-KIKORONGO'!H44,'7.8 BWERA-KIKORONGO'!H44,'9.8 BWERA-KIKORONGO'!H44,'8.8 BWERA-KIKORONGO-24h'!H44,'10.8 BWERA-KIKORONGO 24HRS'!H44,'11.8 KIKORONGO-BWERA'!H44)</f>
        <v>0</v>
      </c>
      <c r="I44" s="49">
        <f>AVERAGE('5.8 BWERA-KIKORONGO'!I44,'6.8 BWERA-KIKORONGO'!I44,'7.8 BWERA-KIKORONGO'!I44,'9.8 BWERA-KIKORONGO'!I44,'8.8 BWERA-KIKORONGO-24h'!I44,'10.8 BWERA-KIKORONGO 24HRS'!I44,'11.8 KIKORONGO-BWERA'!I44)</f>
        <v>1.4285714285714286</v>
      </c>
      <c r="J44" s="49">
        <f>AVERAGE('5.8 BWERA-KIKORONGO'!J44,'6.8 BWERA-KIKORONGO'!J44,'7.8 BWERA-KIKORONGO'!J44,'9.8 BWERA-KIKORONGO'!J44,'8.8 BWERA-KIKORONGO-24h'!J44,'10.8 BWERA-KIKORONGO 24HRS'!J44,'11.8 KIKORONGO-BWERA'!J44)</f>
        <v>1.2857142857142858</v>
      </c>
      <c r="K44" s="49">
        <f>AVERAGE('5.8 BWERA-KIKORONGO'!K44,'6.8 BWERA-KIKORONGO'!K44,'7.8 BWERA-KIKORONGO'!K44,'9.8 BWERA-KIKORONGO'!K44,'8.8 BWERA-KIKORONGO-24h'!K44,'10.8 BWERA-KIKORONGO 24HRS'!K44,'11.8 KIKORONGO-BWERA'!K44)</f>
        <v>0</v>
      </c>
      <c r="L44" s="49">
        <f>AVERAGE('5.8 BWERA-KIKORONGO'!L44,'6.8 BWERA-KIKORONGO'!L44,'7.8 BWERA-KIKORONGO'!L44,'9.8 BWERA-KIKORONGO'!L44,'8.8 BWERA-KIKORONGO-24h'!L44,'10.8 BWERA-KIKORONGO 24HRS'!L44,'11.8 KIKORONGO-BWERA'!L44)</f>
        <v>0.42857142857142855</v>
      </c>
      <c r="M44" s="49">
        <f>AVERAGE('5.8 BWERA-KIKORONGO'!M44,'6.8 BWERA-KIKORONGO'!M44,'7.8 BWERA-KIKORONGO'!M44,'9.8 BWERA-KIKORONGO'!M44,'8.8 BWERA-KIKORONGO-24h'!M44,'10.8 BWERA-KIKORONGO 24HRS'!M44,'11.8 KIKORONGO-BWERA'!M44)</f>
        <v>5.1428571428571432</v>
      </c>
      <c r="N44" s="49">
        <f>AVERAGE('5.8 BWERA-KIKORONGO'!N44,'6.8 BWERA-KIKORONGO'!N44,'7.8 BWERA-KIKORONGO'!N44,'9.8 BWERA-KIKORONGO'!N44,'8.8 BWERA-KIKORONGO-24h'!N44,'10.8 BWERA-KIKORONGO 24HRS'!N44,'11.8 KIKORONGO-BWERA'!N44)</f>
        <v>0</v>
      </c>
      <c r="O44" s="15">
        <f t="shared" si="0"/>
        <v>15.571428571428573</v>
      </c>
      <c r="P44" s="15">
        <f t="shared" si="1"/>
        <v>20.714285714285715</v>
      </c>
    </row>
    <row r="45" spans="2:32" ht="23.1" customHeight="1" x14ac:dyDescent="0.25">
      <c r="B45" s="23" t="s">
        <v>72</v>
      </c>
      <c r="C45" s="49">
        <f>AVERAGE('5.8 BWERA-KIKORONGO'!C45,'6.8 BWERA-KIKORONGO'!C45,'7.8 BWERA-KIKORONGO'!C45,'9.8 BWERA-KIKORONGO'!C45,'8.8 BWERA-KIKORONGO-24h'!C45,'10.8 BWERA-KIKORONGO 24HRS'!C45,'11.8 KIKORONGO-BWERA'!C45)</f>
        <v>2.4285714285714284</v>
      </c>
      <c r="D45" s="49">
        <f>AVERAGE('5.8 BWERA-KIKORONGO'!D45,'6.8 BWERA-KIKORONGO'!D45,'7.8 BWERA-KIKORONGO'!D45,'9.8 BWERA-KIKORONGO'!D45,'8.8 BWERA-KIKORONGO-24h'!D45,'10.8 BWERA-KIKORONGO 24HRS'!D45,'11.8 KIKORONGO-BWERA'!D45)</f>
        <v>0</v>
      </c>
      <c r="E45" s="49">
        <f>AVERAGE('5.8 BWERA-KIKORONGO'!E45,'6.8 BWERA-KIKORONGO'!E45,'7.8 BWERA-KIKORONGO'!E45,'9.8 BWERA-KIKORONGO'!E45,'8.8 BWERA-KIKORONGO-24h'!E45,'10.8 BWERA-KIKORONGO 24HRS'!E45,'11.8 KIKORONGO-BWERA'!E45)</f>
        <v>3.2857142857142856</v>
      </c>
      <c r="F45" s="49">
        <f>AVERAGE('5.8 BWERA-KIKORONGO'!F45,'6.8 BWERA-KIKORONGO'!F45,'7.8 BWERA-KIKORONGO'!F45,'9.8 BWERA-KIKORONGO'!F45,'8.8 BWERA-KIKORONGO-24h'!F45,'10.8 BWERA-KIKORONGO 24HRS'!F45,'11.8 KIKORONGO-BWERA'!F45)</f>
        <v>3.8571428571428572</v>
      </c>
      <c r="G45" s="49">
        <f>AVERAGE('5.8 BWERA-KIKORONGO'!G45,'6.8 BWERA-KIKORONGO'!G45,'7.8 BWERA-KIKORONGO'!G45,'9.8 BWERA-KIKORONGO'!G45,'8.8 BWERA-KIKORONGO-24h'!G45,'10.8 BWERA-KIKORONGO 24HRS'!G45,'11.8 KIKORONGO-BWERA'!G45)</f>
        <v>0</v>
      </c>
      <c r="H45" s="49">
        <f>AVERAGE('5.8 BWERA-KIKORONGO'!H45,'6.8 BWERA-KIKORONGO'!H45,'7.8 BWERA-KIKORONGO'!H45,'9.8 BWERA-KIKORONGO'!H45,'8.8 BWERA-KIKORONGO-24h'!H45,'10.8 BWERA-KIKORONGO 24HRS'!H45,'11.8 KIKORONGO-BWERA'!H45)</f>
        <v>0.14285714285714285</v>
      </c>
      <c r="I45" s="49">
        <f>AVERAGE('5.8 BWERA-KIKORONGO'!I45,'6.8 BWERA-KIKORONGO'!I45,'7.8 BWERA-KIKORONGO'!I45,'9.8 BWERA-KIKORONGO'!I45,'8.8 BWERA-KIKORONGO-24h'!I45,'10.8 BWERA-KIKORONGO 24HRS'!I45,'11.8 KIKORONGO-BWERA'!I45)</f>
        <v>1.1428571428571428</v>
      </c>
      <c r="J45" s="49">
        <f>AVERAGE('5.8 BWERA-KIKORONGO'!J45,'6.8 BWERA-KIKORONGO'!J45,'7.8 BWERA-KIKORONGO'!J45,'9.8 BWERA-KIKORONGO'!J45,'8.8 BWERA-KIKORONGO-24h'!J45,'10.8 BWERA-KIKORONGO 24HRS'!J45,'11.8 KIKORONGO-BWERA'!J45)</f>
        <v>0.14285714285714285</v>
      </c>
      <c r="K45" s="49">
        <f>AVERAGE('5.8 BWERA-KIKORONGO'!K45,'6.8 BWERA-KIKORONGO'!K45,'7.8 BWERA-KIKORONGO'!K45,'9.8 BWERA-KIKORONGO'!K45,'8.8 BWERA-KIKORONGO-24h'!K45,'10.8 BWERA-KIKORONGO 24HRS'!K45,'11.8 KIKORONGO-BWERA'!K45)</f>
        <v>0</v>
      </c>
      <c r="L45" s="49">
        <f>AVERAGE('5.8 BWERA-KIKORONGO'!L45,'6.8 BWERA-KIKORONGO'!L45,'7.8 BWERA-KIKORONGO'!L45,'9.8 BWERA-KIKORONGO'!L45,'8.8 BWERA-KIKORONGO-24h'!L45,'10.8 BWERA-KIKORONGO 24HRS'!L45,'11.8 KIKORONGO-BWERA'!L45)</f>
        <v>0.8571428571428571</v>
      </c>
      <c r="M45" s="49">
        <f>AVERAGE('5.8 BWERA-KIKORONGO'!M45,'6.8 BWERA-KIKORONGO'!M45,'7.8 BWERA-KIKORONGO'!M45,'9.8 BWERA-KIKORONGO'!M45,'8.8 BWERA-KIKORONGO-24h'!M45,'10.8 BWERA-KIKORONGO 24HRS'!M45,'11.8 KIKORONGO-BWERA'!M45)</f>
        <v>2.1428571428571428</v>
      </c>
      <c r="N45" s="49">
        <f>AVERAGE('5.8 BWERA-KIKORONGO'!N45,'6.8 BWERA-KIKORONGO'!N45,'7.8 BWERA-KIKORONGO'!N45,'9.8 BWERA-KIKORONGO'!N45,'8.8 BWERA-KIKORONGO-24h'!N45,'10.8 BWERA-KIKORONGO 24HRS'!N45,'11.8 KIKORONGO-BWERA'!N45)</f>
        <v>0</v>
      </c>
      <c r="O45" s="15">
        <f t="shared" si="0"/>
        <v>11.857142857142856</v>
      </c>
      <c r="P45" s="15">
        <f t="shared" si="1"/>
        <v>13.999999999999998</v>
      </c>
    </row>
    <row r="46" spans="2:32" ht="23.1" customHeight="1" x14ac:dyDescent="0.25">
      <c r="B46" s="24" t="s">
        <v>73</v>
      </c>
      <c r="C46" s="49">
        <f>AVERAGE('5.8 BWERA-KIKORONGO'!C46,'6.8 BWERA-KIKORONGO'!C46,'7.8 BWERA-KIKORONGO'!C46,'9.8 BWERA-KIKORONGO'!C46,'8.8 BWERA-KIKORONGO-24h'!C46,'10.8 BWERA-KIKORONGO 24HRS'!C46,'11.8 KIKORONGO-BWERA'!C46)</f>
        <v>5.1428571428571432</v>
      </c>
      <c r="D46" s="49">
        <f>AVERAGE('5.8 BWERA-KIKORONGO'!D46,'6.8 BWERA-KIKORONGO'!D46,'7.8 BWERA-KIKORONGO'!D46,'9.8 BWERA-KIKORONGO'!D46,'8.8 BWERA-KIKORONGO-24h'!D46,'10.8 BWERA-KIKORONGO 24HRS'!D46,'11.8 KIKORONGO-BWERA'!D46)</f>
        <v>0</v>
      </c>
      <c r="E46" s="49">
        <f>AVERAGE('5.8 BWERA-KIKORONGO'!E46,'6.8 BWERA-KIKORONGO'!E46,'7.8 BWERA-KIKORONGO'!E46,'9.8 BWERA-KIKORONGO'!E46,'8.8 BWERA-KIKORONGO-24h'!E46,'10.8 BWERA-KIKORONGO 24HRS'!E46,'11.8 KIKORONGO-BWERA'!E46)</f>
        <v>2.1428571428571428</v>
      </c>
      <c r="F46" s="49">
        <f>AVERAGE('5.8 BWERA-KIKORONGO'!F46,'6.8 BWERA-KIKORONGO'!F46,'7.8 BWERA-KIKORONGO'!F46,'9.8 BWERA-KIKORONGO'!F46,'8.8 BWERA-KIKORONGO-24h'!F46,'10.8 BWERA-KIKORONGO 24HRS'!F46,'11.8 KIKORONGO-BWERA'!F46)</f>
        <v>2.4285714285714284</v>
      </c>
      <c r="G46" s="49">
        <f>AVERAGE('5.8 BWERA-KIKORONGO'!G46,'6.8 BWERA-KIKORONGO'!G46,'7.8 BWERA-KIKORONGO'!G46,'9.8 BWERA-KIKORONGO'!G46,'8.8 BWERA-KIKORONGO-24h'!G46,'10.8 BWERA-KIKORONGO 24HRS'!G46,'11.8 KIKORONGO-BWERA'!G46)</f>
        <v>0</v>
      </c>
      <c r="H46" s="49">
        <f>AVERAGE('5.8 BWERA-KIKORONGO'!H46,'6.8 BWERA-KIKORONGO'!H46,'7.8 BWERA-KIKORONGO'!H46,'9.8 BWERA-KIKORONGO'!H46,'8.8 BWERA-KIKORONGO-24h'!H46,'10.8 BWERA-KIKORONGO 24HRS'!H46,'11.8 KIKORONGO-BWERA'!H46)</f>
        <v>0</v>
      </c>
      <c r="I46" s="49">
        <f>AVERAGE('5.8 BWERA-KIKORONGO'!I46,'6.8 BWERA-KIKORONGO'!I46,'7.8 BWERA-KIKORONGO'!I46,'9.8 BWERA-KIKORONGO'!I46,'8.8 BWERA-KIKORONGO-24h'!I46,'10.8 BWERA-KIKORONGO 24HRS'!I46,'11.8 KIKORONGO-BWERA'!I46)</f>
        <v>0.8571428571428571</v>
      </c>
      <c r="J46" s="49">
        <f>AVERAGE('5.8 BWERA-KIKORONGO'!J46,'6.8 BWERA-KIKORONGO'!J46,'7.8 BWERA-KIKORONGO'!J46,'9.8 BWERA-KIKORONGO'!J46,'8.8 BWERA-KIKORONGO-24h'!J46,'10.8 BWERA-KIKORONGO 24HRS'!J46,'11.8 KIKORONGO-BWERA'!J46)</f>
        <v>1</v>
      </c>
      <c r="K46" s="49">
        <f>AVERAGE('5.8 BWERA-KIKORONGO'!K46,'6.8 BWERA-KIKORONGO'!K46,'7.8 BWERA-KIKORONGO'!K46,'9.8 BWERA-KIKORONGO'!K46,'8.8 BWERA-KIKORONGO-24h'!K46,'10.8 BWERA-KIKORONGO 24HRS'!K46,'11.8 KIKORONGO-BWERA'!K46)</f>
        <v>0.2857142857142857</v>
      </c>
      <c r="L46" s="49">
        <f>AVERAGE('5.8 BWERA-KIKORONGO'!L46,'6.8 BWERA-KIKORONGO'!L46,'7.8 BWERA-KIKORONGO'!L46,'9.8 BWERA-KIKORONGO'!L46,'8.8 BWERA-KIKORONGO-24h'!L46,'10.8 BWERA-KIKORONGO 24HRS'!L46,'11.8 KIKORONGO-BWERA'!L46)</f>
        <v>0.42857142857142855</v>
      </c>
      <c r="M46" s="49">
        <f>AVERAGE('5.8 BWERA-KIKORONGO'!M46,'6.8 BWERA-KIKORONGO'!M46,'7.8 BWERA-KIKORONGO'!M46,'9.8 BWERA-KIKORONGO'!M46,'8.8 BWERA-KIKORONGO-24h'!M46,'10.8 BWERA-KIKORONGO 24HRS'!M46,'11.8 KIKORONGO-BWERA'!M46)</f>
        <v>2.7142857142857144</v>
      </c>
      <c r="N46" s="49">
        <f>AVERAGE('5.8 BWERA-KIKORONGO'!N46,'6.8 BWERA-KIKORONGO'!N46,'7.8 BWERA-KIKORONGO'!N46,'9.8 BWERA-KIKORONGO'!N46,'8.8 BWERA-KIKORONGO-24h'!N46,'10.8 BWERA-KIKORONGO 24HRS'!N46,'11.8 KIKORONGO-BWERA'!N46)</f>
        <v>0</v>
      </c>
      <c r="O46" s="15">
        <f t="shared" si="0"/>
        <v>12.285714285714288</v>
      </c>
      <c r="P46" s="15">
        <f t="shared" si="1"/>
        <v>15.000000000000004</v>
      </c>
      <c r="R46" s="8"/>
      <c r="T46"/>
    </row>
    <row r="47" spans="2:32" ht="23.1" customHeight="1" x14ac:dyDescent="0.25">
      <c r="B47" s="24" t="s">
        <v>74</v>
      </c>
      <c r="C47" s="49">
        <f>AVERAGE('5.8 BWERA-KIKORONGO'!C47,'6.8 BWERA-KIKORONGO'!C47,'7.8 BWERA-KIKORONGO'!C47,'9.8 BWERA-KIKORONGO'!C47,'8.8 BWERA-KIKORONGO-24h'!C47,'10.8 BWERA-KIKORONGO 24HRS'!C47,'11.8 KIKORONGO-BWERA'!C47)</f>
        <v>4</v>
      </c>
      <c r="D47" s="49">
        <f>AVERAGE('5.8 BWERA-KIKORONGO'!D47,'6.8 BWERA-KIKORONGO'!D47,'7.8 BWERA-KIKORONGO'!D47,'9.8 BWERA-KIKORONGO'!D47,'8.8 BWERA-KIKORONGO-24h'!D47,'10.8 BWERA-KIKORONGO 24HRS'!D47,'11.8 KIKORONGO-BWERA'!D47)</f>
        <v>0</v>
      </c>
      <c r="E47" s="49">
        <f>AVERAGE('5.8 BWERA-KIKORONGO'!E47,'6.8 BWERA-KIKORONGO'!E47,'7.8 BWERA-KIKORONGO'!E47,'9.8 BWERA-KIKORONGO'!E47,'8.8 BWERA-KIKORONGO-24h'!E47,'10.8 BWERA-KIKORONGO 24HRS'!E47,'11.8 KIKORONGO-BWERA'!E47)</f>
        <v>2.4285714285714284</v>
      </c>
      <c r="F47" s="49">
        <f>AVERAGE('5.8 BWERA-KIKORONGO'!F47,'6.8 BWERA-KIKORONGO'!F47,'7.8 BWERA-KIKORONGO'!F47,'9.8 BWERA-KIKORONGO'!F47,'8.8 BWERA-KIKORONGO-24h'!F47,'10.8 BWERA-KIKORONGO 24HRS'!F47,'11.8 KIKORONGO-BWERA'!F47)</f>
        <v>3.2857142857142856</v>
      </c>
      <c r="G47" s="49">
        <f>AVERAGE('5.8 BWERA-KIKORONGO'!G47,'6.8 BWERA-KIKORONGO'!G47,'7.8 BWERA-KIKORONGO'!G47,'9.8 BWERA-KIKORONGO'!G47,'8.8 BWERA-KIKORONGO-24h'!G47,'10.8 BWERA-KIKORONGO 24HRS'!G47,'11.8 KIKORONGO-BWERA'!G47)</f>
        <v>0</v>
      </c>
      <c r="H47" s="49">
        <f>AVERAGE('5.8 BWERA-KIKORONGO'!H47,'6.8 BWERA-KIKORONGO'!H47,'7.8 BWERA-KIKORONGO'!H47,'9.8 BWERA-KIKORONGO'!H47,'8.8 BWERA-KIKORONGO-24h'!H47,'10.8 BWERA-KIKORONGO 24HRS'!H47,'11.8 KIKORONGO-BWERA'!H47)</f>
        <v>0.14285714285714285</v>
      </c>
      <c r="I47" s="49">
        <f>AVERAGE('5.8 BWERA-KIKORONGO'!I47,'6.8 BWERA-KIKORONGO'!I47,'7.8 BWERA-KIKORONGO'!I47,'9.8 BWERA-KIKORONGO'!I47,'8.8 BWERA-KIKORONGO-24h'!I47,'10.8 BWERA-KIKORONGO 24HRS'!I47,'11.8 KIKORONGO-BWERA'!I47)</f>
        <v>0.42857142857142855</v>
      </c>
      <c r="J47" s="49">
        <f>AVERAGE('5.8 BWERA-KIKORONGO'!J47,'6.8 BWERA-KIKORONGO'!J47,'7.8 BWERA-KIKORONGO'!J47,'9.8 BWERA-KIKORONGO'!J47,'8.8 BWERA-KIKORONGO-24h'!J47,'10.8 BWERA-KIKORONGO 24HRS'!J47,'11.8 KIKORONGO-BWERA'!J47)</f>
        <v>0.42857142857142855</v>
      </c>
      <c r="K47" s="49">
        <f>AVERAGE('5.8 BWERA-KIKORONGO'!K47,'6.8 BWERA-KIKORONGO'!K47,'7.8 BWERA-KIKORONGO'!K47,'9.8 BWERA-KIKORONGO'!K47,'8.8 BWERA-KIKORONGO-24h'!K47,'10.8 BWERA-KIKORONGO 24HRS'!K47,'11.8 KIKORONGO-BWERA'!K47)</f>
        <v>0</v>
      </c>
      <c r="L47" s="49">
        <f>AVERAGE('5.8 BWERA-KIKORONGO'!L47,'6.8 BWERA-KIKORONGO'!L47,'7.8 BWERA-KIKORONGO'!L47,'9.8 BWERA-KIKORONGO'!L47,'8.8 BWERA-KIKORONGO-24h'!L47,'10.8 BWERA-KIKORONGO 24HRS'!L47,'11.8 KIKORONGO-BWERA'!L47)</f>
        <v>1</v>
      </c>
      <c r="M47" s="49">
        <f>AVERAGE('5.8 BWERA-KIKORONGO'!M47,'6.8 BWERA-KIKORONGO'!M47,'7.8 BWERA-KIKORONGO'!M47,'9.8 BWERA-KIKORONGO'!M47,'8.8 BWERA-KIKORONGO-24h'!M47,'10.8 BWERA-KIKORONGO 24HRS'!M47,'11.8 KIKORONGO-BWERA'!M47)</f>
        <v>2.8571428571428572</v>
      </c>
      <c r="N47" s="49">
        <f>AVERAGE('5.8 BWERA-KIKORONGO'!N47,'6.8 BWERA-KIKORONGO'!N47,'7.8 BWERA-KIKORONGO'!N47,'9.8 BWERA-KIKORONGO'!N47,'8.8 BWERA-KIKORONGO-24h'!N47,'10.8 BWERA-KIKORONGO 24HRS'!N47,'11.8 KIKORONGO-BWERA'!N47)</f>
        <v>0</v>
      </c>
      <c r="O47" s="15">
        <f t="shared" si="0"/>
        <v>11.714285714285715</v>
      </c>
      <c r="P47" s="15">
        <f t="shared" si="1"/>
        <v>14.571428571428573</v>
      </c>
      <c r="R47" s="8"/>
      <c r="T47"/>
    </row>
    <row r="48" spans="2:32" ht="23.1" customHeight="1" x14ac:dyDescent="0.25">
      <c r="B48" s="24" t="s">
        <v>75</v>
      </c>
      <c r="C48" s="49">
        <f>AVERAGE('5.8 BWERA-KIKORONGO'!C48,'6.8 BWERA-KIKORONGO'!C48,'7.8 BWERA-KIKORONGO'!C48,'9.8 BWERA-KIKORONGO'!C48,'8.8 BWERA-KIKORONGO-24h'!C48,'10.8 BWERA-KIKORONGO 24HRS'!C48,'11.8 KIKORONGO-BWERA'!C48)</f>
        <v>5.2857142857142856</v>
      </c>
      <c r="D48" s="49">
        <f>AVERAGE('5.8 BWERA-KIKORONGO'!D48,'6.8 BWERA-KIKORONGO'!D48,'7.8 BWERA-KIKORONGO'!D48,'9.8 BWERA-KIKORONGO'!D48,'8.8 BWERA-KIKORONGO-24h'!D48,'10.8 BWERA-KIKORONGO 24HRS'!D48,'11.8 KIKORONGO-BWERA'!D48)</f>
        <v>0</v>
      </c>
      <c r="E48" s="49">
        <f>AVERAGE('5.8 BWERA-KIKORONGO'!E48,'6.8 BWERA-KIKORONGO'!E48,'7.8 BWERA-KIKORONGO'!E48,'9.8 BWERA-KIKORONGO'!E48,'8.8 BWERA-KIKORONGO-24h'!E48,'10.8 BWERA-KIKORONGO 24HRS'!E48,'11.8 KIKORONGO-BWERA'!E48)</f>
        <v>3.1428571428571428</v>
      </c>
      <c r="F48" s="49">
        <f>AVERAGE('5.8 BWERA-KIKORONGO'!F48,'6.8 BWERA-KIKORONGO'!F48,'7.8 BWERA-KIKORONGO'!F48,'9.8 BWERA-KIKORONGO'!F48,'8.8 BWERA-KIKORONGO-24h'!F48,'10.8 BWERA-KIKORONGO 24HRS'!F48,'11.8 KIKORONGO-BWERA'!F48)</f>
        <v>3.1428571428571428</v>
      </c>
      <c r="G48" s="49">
        <f>AVERAGE('5.8 BWERA-KIKORONGO'!G48,'6.8 BWERA-KIKORONGO'!G48,'7.8 BWERA-KIKORONGO'!G48,'9.8 BWERA-KIKORONGO'!G48,'8.8 BWERA-KIKORONGO-24h'!G48,'10.8 BWERA-KIKORONGO 24HRS'!G48,'11.8 KIKORONGO-BWERA'!G48)</f>
        <v>0</v>
      </c>
      <c r="H48" s="49">
        <f>AVERAGE('5.8 BWERA-KIKORONGO'!H48,'6.8 BWERA-KIKORONGO'!H48,'7.8 BWERA-KIKORONGO'!H48,'9.8 BWERA-KIKORONGO'!H48,'8.8 BWERA-KIKORONGO-24h'!H48,'10.8 BWERA-KIKORONGO 24HRS'!H48,'11.8 KIKORONGO-BWERA'!H48)</f>
        <v>0.5714285714285714</v>
      </c>
      <c r="I48" s="49">
        <f>AVERAGE('5.8 BWERA-KIKORONGO'!I48,'6.8 BWERA-KIKORONGO'!I48,'7.8 BWERA-KIKORONGO'!I48,'9.8 BWERA-KIKORONGO'!I48,'8.8 BWERA-KIKORONGO-24h'!I48,'10.8 BWERA-KIKORONGO 24HRS'!I48,'11.8 KIKORONGO-BWERA'!I48)</f>
        <v>0.7142857142857143</v>
      </c>
      <c r="J48" s="49">
        <f>AVERAGE('5.8 BWERA-KIKORONGO'!J48,'6.8 BWERA-KIKORONGO'!J48,'7.8 BWERA-KIKORONGO'!J48,'9.8 BWERA-KIKORONGO'!J48,'8.8 BWERA-KIKORONGO-24h'!J48,'10.8 BWERA-KIKORONGO 24HRS'!J48,'11.8 KIKORONGO-BWERA'!J48)</f>
        <v>0.42857142857142855</v>
      </c>
      <c r="K48" s="49">
        <f>AVERAGE('5.8 BWERA-KIKORONGO'!K48,'6.8 BWERA-KIKORONGO'!K48,'7.8 BWERA-KIKORONGO'!K48,'9.8 BWERA-KIKORONGO'!K48,'8.8 BWERA-KIKORONGO-24h'!K48,'10.8 BWERA-KIKORONGO 24HRS'!K48,'11.8 KIKORONGO-BWERA'!K48)</f>
        <v>0</v>
      </c>
      <c r="L48" s="49">
        <f>AVERAGE('5.8 BWERA-KIKORONGO'!L48,'6.8 BWERA-KIKORONGO'!L48,'7.8 BWERA-KIKORONGO'!L48,'9.8 BWERA-KIKORONGO'!L48,'8.8 BWERA-KIKORONGO-24h'!L48,'10.8 BWERA-KIKORONGO 24HRS'!L48,'11.8 KIKORONGO-BWERA'!L48)</f>
        <v>0.7142857142857143</v>
      </c>
      <c r="M48" s="49">
        <f>AVERAGE('5.8 BWERA-KIKORONGO'!M48,'6.8 BWERA-KIKORONGO'!M48,'7.8 BWERA-KIKORONGO'!M48,'9.8 BWERA-KIKORONGO'!M48,'8.8 BWERA-KIKORONGO-24h'!M48,'10.8 BWERA-KIKORONGO 24HRS'!M48,'11.8 KIKORONGO-BWERA'!M48)</f>
        <v>2.4285714285714284</v>
      </c>
      <c r="N48" s="49">
        <f>AVERAGE('5.8 BWERA-KIKORONGO'!N48,'6.8 BWERA-KIKORONGO'!N48,'7.8 BWERA-KIKORONGO'!N48,'9.8 BWERA-KIKORONGO'!N48,'8.8 BWERA-KIKORONGO-24h'!N48,'10.8 BWERA-KIKORONGO 24HRS'!N48,'11.8 KIKORONGO-BWERA'!N48)</f>
        <v>0</v>
      </c>
      <c r="O48" s="15">
        <f t="shared" si="0"/>
        <v>13.999999999999998</v>
      </c>
      <c r="P48" s="15">
        <f t="shared" si="1"/>
        <v>16.428571428571427</v>
      </c>
      <c r="R48" s="8"/>
      <c r="T48"/>
    </row>
    <row r="49" spans="2:20" ht="23.1" customHeight="1" x14ac:dyDescent="0.25">
      <c r="B49" s="23" t="s">
        <v>76</v>
      </c>
      <c r="C49" s="49">
        <f>AVERAGE('5.8 BWERA-KIKORONGO'!C49,'6.8 BWERA-KIKORONGO'!C49,'7.8 BWERA-KIKORONGO'!C49,'9.8 BWERA-KIKORONGO'!C49,'8.8 BWERA-KIKORONGO-24h'!C49,'10.8 BWERA-KIKORONGO 24HRS'!C49,'11.8 KIKORONGO-BWERA'!C49)</f>
        <v>5.2857142857142856</v>
      </c>
      <c r="D49" s="49">
        <f>AVERAGE('5.8 BWERA-KIKORONGO'!D49,'6.8 BWERA-KIKORONGO'!D49,'7.8 BWERA-KIKORONGO'!D49,'9.8 BWERA-KIKORONGO'!D49,'8.8 BWERA-KIKORONGO-24h'!D49,'10.8 BWERA-KIKORONGO 24HRS'!D49,'11.8 KIKORONGO-BWERA'!D49)</f>
        <v>0</v>
      </c>
      <c r="E49" s="49">
        <f>AVERAGE('5.8 BWERA-KIKORONGO'!E49,'6.8 BWERA-KIKORONGO'!E49,'7.8 BWERA-KIKORONGO'!E49,'9.8 BWERA-KIKORONGO'!E49,'8.8 BWERA-KIKORONGO-24h'!E49,'10.8 BWERA-KIKORONGO 24HRS'!E49,'11.8 KIKORONGO-BWERA'!E49)</f>
        <v>3</v>
      </c>
      <c r="F49" s="49">
        <f>AVERAGE('5.8 BWERA-KIKORONGO'!F49,'6.8 BWERA-KIKORONGO'!F49,'7.8 BWERA-KIKORONGO'!F49,'9.8 BWERA-KIKORONGO'!F49,'8.8 BWERA-KIKORONGO-24h'!F49,'10.8 BWERA-KIKORONGO 24HRS'!F49,'11.8 KIKORONGO-BWERA'!F49)</f>
        <v>3.8571428571428572</v>
      </c>
      <c r="G49" s="49">
        <f>AVERAGE('5.8 BWERA-KIKORONGO'!G49,'6.8 BWERA-KIKORONGO'!G49,'7.8 BWERA-KIKORONGO'!G49,'9.8 BWERA-KIKORONGO'!G49,'8.8 BWERA-KIKORONGO-24h'!G49,'10.8 BWERA-KIKORONGO 24HRS'!G49,'11.8 KIKORONGO-BWERA'!G49)</f>
        <v>0</v>
      </c>
      <c r="H49" s="49">
        <f>AVERAGE('5.8 BWERA-KIKORONGO'!H49,'6.8 BWERA-KIKORONGO'!H49,'7.8 BWERA-KIKORONGO'!H49,'9.8 BWERA-KIKORONGO'!H49,'8.8 BWERA-KIKORONGO-24h'!H49,'10.8 BWERA-KIKORONGO 24HRS'!H49,'11.8 KIKORONGO-BWERA'!H49)</f>
        <v>0.14285714285714285</v>
      </c>
      <c r="I49" s="49">
        <f>AVERAGE('5.8 BWERA-KIKORONGO'!I49,'6.8 BWERA-KIKORONGO'!I49,'7.8 BWERA-KIKORONGO'!I49,'9.8 BWERA-KIKORONGO'!I49,'8.8 BWERA-KIKORONGO-24h'!I49,'10.8 BWERA-KIKORONGO 24HRS'!I49,'11.8 KIKORONGO-BWERA'!I49)</f>
        <v>1</v>
      </c>
      <c r="J49" s="49">
        <f>AVERAGE('5.8 BWERA-KIKORONGO'!J49,'6.8 BWERA-KIKORONGO'!J49,'7.8 BWERA-KIKORONGO'!J49,'9.8 BWERA-KIKORONGO'!J49,'8.8 BWERA-KIKORONGO-24h'!J49,'10.8 BWERA-KIKORONGO 24HRS'!J49,'11.8 KIKORONGO-BWERA'!J49)</f>
        <v>1</v>
      </c>
      <c r="K49" s="49">
        <f>AVERAGE('5.8 BWERA-KIKORONGO'!K49,'6.8 BWERA-KIKORONGO'!K49,'7.8 BWERA-KIKORONGO'!K49,'9.8 BWERA-KIKORONGO'!K49,'8.8 BWERA-KIKORONGO-24h'!K49,'10.8 BWERA-KIKORONGO 24HRS'!K49,'11.8 KIKORONGO-BWERA'!K49)</f>
        <v>0</v>
      </c>
      <c r="L49" s="49">
        <f>AVERAGE('5.8 BWERA-KIKORONGO'!L49,'6.8 BWERA-KIKORONGO'!L49,'7.8 BWERA-KIKORONGO'!L49,'9.8 BWERA-KIKORONGO'!L49,'8.8 BWERA-KIKORONGO-24h'!L49,'10.8 BWERA-KIKORONGO 24HRS'!L49,'11.8 KIKORONGO-BWERA'!L49)</f>
        <v>0.42857142857142855</v>
      </c>
      <c r="M49" s="49">
        <f>AVERAGE('5.8 BWERA-KIKORONGO'!M49,'6.8 BWERA-KIKORONGO'!M49,'7.8 BWERA-KIKORONGO'!M49,'9.8 BWERA-KIKORONGO'!M49,'8.8 BWERA-KIKORONGO-24h'!M49,'10.8 BWERA-KIKORONGO 24HRS'!M49,'11.8 KIKORONGO-BWERA'!M49)</f>
        <v>4.4285714285714288</v>
      </c>
      <c r="N49" s="49">
        <f>AVERAGE('5.8 BWERA-KIKORONGO'!N49,'6.8 BWERA-KIKORONGO'!N49,'7.8 BWERA-KIKORONGO'!N49,'9.8 BWERA-KIKORONGO'!N49,'8.8 BWERA-KIKORONGO-24h'!N49,'10.8 BWERA-KIKORONGO 24HRS'!N49,'11.8 KIKORONGO-BWERA'!N49)</f>
        <v>0.14285714285714285</v>
      </c>
      <c r="O49" s="15">
        <f t="shared" si="0"/>
        <v>14.857142857142856</v>
      </c>
      <c r="P49" s="15">
        <f t="shared" si="1"/>
        <v>19.285714285714285</v>
      </c>
      <c r="R49" s="8"/>
      <c r="T49"/>
    </row>
    <row r="50" spans="2:20" ht="23.1" customHeight="1" x14ac:dyDescent="0.25">
      <c r="B50" s="24" t="s">
        <v>77</v>
      </c>
      <c r="C50" s="49">
        <f>AVERAGE('5.8 BWERA-KIKORONGO'!C50,'6.8 BWERA-KIKORONGO'!C50,'7.8 BWERA-KIKORONGO'!C50,'9.8 BWERA-KIKORONGO'!C50,'8.8 BWERA-KIKORONGO-24h'!C50,'10.8 BWERA-KIKORONGO 24HRS'!C50,'11.8 KIKORONGO-BWERA'!C50)</f>
        <v>5</v>
      </c>
      <c r="D50" s="49">
        <f>AVERAGE('5.8 BWERA-KIKORONGO'!D50,'6.8 BWERA-KIKORONGO'!D50,'7.8 BWERA-KIKORONGO'!D50,'9.8 BWERA-KIKORONGO'!D50,'8.8 BWERA-KIKORONGO-24h'!D50,'10.8 BWERA-KIKORONGO 24HRS'!D50,'11.8 KIKORONGO-BWERA'!D50)</f>
        <v>0</v>
      </c>
      <c r="E50" s="49">
        <f>AVERAGE('5.8 BWERA-KIKORONGO'!E50,'6.8 BWERA-KIKORONGO'!E50,'7.8 BWERA-KIKORONGO'!E50,'9.8 BWERA-KIKORONGO'!E50,'8.8 BWERA-KIKORONGO-24h'!E50,'10.8 BWERA-KIKORONGO 24HRS'!E50,'11.8 KIKORONGO-BWERA'!E50)</f>
        <v>3</v>
      </c>
      <c r="F50" s="49">
        <f>AVERAGE('5.8 BWERA-KIKORONGO'!F50,'6.8 BWERA-KIKORONGO'!F50,'7.8 BWERA-KIKORONGO'!F50,'9.8 BWERA-KIKORONGO'!F50,'8.8 BWERA-KIKORONGO-24h'!F50,'10.8 BWERA-KIKORONGO 24HRS'!F50,'11.8 KIKORONGO-BWERA'!F50)</f>
        <v>4</v>
      </c>
      <c r="G50" s="49">
        <f>AVERAGE('5.8 BWERA-KIKORONGO'!G50,'6.8 BWERA-KIKORONGO'!G50,'7.8 BWERA-KIKORONGO'!G50,'9.8 BWERA-KIKORONGO'!G50,'8.8 BWERA-KIKORONGO-24h'!G50,'10.8 BWERA-KIKORONGO 24HRS'!G50,'11.8 KIKORONGO-BWERA'!G50)</f>
        <v>0</v>
      </c>
      <c r="H50" s="49">
        <f>AVERAGE('5.8 BWERA-KIKORONGO'!H50,'6.8 BWERA-KIKORONGO'!H50,'7.8 BWERA-KIKORONGO'!H50,'9.8 BWERA-KIKORONGO'!H50,'8.8 BWERA-KIKORONGO-24h'!H50,'10.8 BWERA-KIKORONGO 24HRS'!H50,'11.8 KIKORONGO-BWERA'!H50)</f>
        <v>0.2857142857142857</v>
      </c>
      <c r="I50" s="49">
        <f>AVERAGE('5.8 BWERA-KIKORONGO'!I50,'6.8 BWERA-KIKORONGO'!I50,'7.8 BWERA-KIKORONGO'!I50,'9.8 BWERA-KIKORONGO'!I50,'8.8 BWERA-KIKORONGO-24h'!I50,'10.8 BWERA-KIKORONGO 24HRS'!I50,'11.8 KIKORONGO-BWERA'!I50)</f>
        <v>0.42857142857142855</v>
      </c>
      <c r="J50" s="49">
        <f>AVERAGE('5.8 BWERA-KIKORONGO'!J50,'6.8 BWERA-KIKORONGO'!J50,'7.8 BWERA-KIKORONGO'!J50,'9.8 BWERA-KIKORONGO'!J50,'8.8 BWERA-KIKORONGO-24h'!J50,'10.8 BWERA-KIKORONGO 24HRS'!J50,'11.8 KIKORONGO-BWERA'!J50)</f>
        <v>0.7142857142857143</v>
      </c>
      <c r="K50" s="49">
        <f>AVERAGE('5.8 BWERA-KIKORONGO'!K50,'6.8 BWERA-KIKORONGO'!K50,'7.8 BWERA-KIKORONGO'!K50,'9.8 BWERA-KIKORONGO'!K50,'8.8 BWERA-KIKORONGO-24h'!K50,'10.8 BWERA-KIKORONGO 24HRS'!K50,'11.8 KIKORONGO-BWERA'!K50)</f>
        <v>0</v>
      </c>
      <c r="L50" s="49">
        <f>AVERAGE('5.8 BWERA-KIKORONGO'!L50,'6.8 BWERA-KIKORONGO'!L50,'7.8 BWERA-KIKORONGO'!L50,'9.8 BWERA-KIKORONGO'!L50,'8.8 BWERA-KIKORONGO-24h'!L50,'10.8 BWERA-KIKORONGO 24HRS'!L50,'11.8 KIKORONGO-BWERA'!L50)</f>
        <v>0.5714285714285714</v>
      </c>
      <c r="M50" s="49">
        <f>AVERAGE('5.8 BWERA-KIKORONGO'!M50,'6.8 BWERA-KIKORONGO'!M50,'7.8 BWERA-KIKORONGO'!M50,'9.8 BWERA-KIKORONGO'!M50,'8.8 BWERA-KIKORONGO-24h'!M50,'10.8 BWERA-KIKORONGO 24HRS'!M50,'11.8 KIKORONGO-BWERA'!M50)</f>
        <v>4.2857142857142856</v>
      </c>
      <c r="N50" s="49">
        <f>AVERAGE('5.8 BWERA-KIKORONGO'!N50,'6.8 BWERA-KIKORONGO'!N50,'7.8 BWERA-KIKORONGO'!N50,'9.8 BWERA-KIKORONGO'!N50,'8.8 BWERA-KIKORONGO-24h'!N50,'10.8 BWERA-KIKORONGO 24HRS'!N50,'11.8 KIKORONGO-BWERA'!N50)</f>
        <v>0</v>
      </c>
      <c r="O50" s="15">
        <f t="shared" si="0"/>
        <v>14</v>
      </c>
      <c r="P50" s="15">
        <f t="shared" si="1"/>
        <v>18.285714285714285</v>
      </c>
      <c r="R50" s="8"/>
      <c r="T50"/>
    </row>
    <row r="51" spans="2:20" ht="23.1" customHeight="1" x14ac:dyDescent="0.25">
      <c r="B51" s="24" t="s">
        <v>78</v>
      </c>
      <c r="C51" s="49">
        <f>AVERAGE('5.8 BWERA-KIKORONGO'!C51,'6.8 BWERA-KIKORONGO'!C51,'7.8 BWERA-KIKORONGO'!C51,'9.8 BWERA-KIKORONGO'!C51,'8.8 BWERA-KIKORONGO-24h'!C51,'10.8 BWERA-KIKORONGO 24HRS'!C51,'11.8 KIKORONGO-BWERA'!C51)</f>
        <v>4.7142857142857144</v>
      </c>
      <c r="D51" s="49">
        <f>AVERAGE('5.8 BWERA-KIKORONGO'!D51,'6.8 BWERA-KIKORONGO'!D51,'7.8 BWERA-KIKORONGO'!D51,'9.8 BWERA-KIKORONGO'!D51,'8.8 BWERA-KIKORONGO-24h'!D51,'10.8 BWERA-KIKORONGO 24HRS'!D51,'11.8 KIKORONGO-BWERA'!D51)</f>
        <v>0</v>
      </c>
      <c r="E51" s="49">
        <f>AVERAGE('5.8 BWERA-KIKORONGO'!E51,'6.8 BWERA-KIKORONGO'!E51,'7.8 BWERA-KIKORONGO'!E51,'9.8 BWERA-KIKORONGO'!E51,'8.8 BWERA-KIKORONGO-24h'!E51,'10.8 BWERA-KIKORONGO 24HRS'!E51,'11.8 KIKORONGO-BWERA'!E51)</f>
        <v>1.4285714285714286</v>
      </c>
      <c r="F51" s="49">
        <f>AVERAGE('5.8 BWERA-KIKORONGO'!F51,'6.8 BWERA-KIKORONGO'!F51,'7.8 BWERA-KIKORONGO'!F51,'9.8 BWERA-KIKORONGO'!F51,'8.8 BWERA-KIKORONGO-24h'!F51,'10.8 BWERA-KIKORONGO 24HRS'!F51,'11.8 KIKORONGO-BWERA'!F51)</f>
        <v>3.5714285714285716</v>
      </c>
      <c r="G51" s="49">
        <f>AVERAGE('5.8 BWERA-KIKORONGO'!G51,'6.8 BWERA-KIKORONGO'!G51,'7.8 BWERA-KIKORONGO'!G51,'9.8 BWERA-KIKORONGO'!G51,'8.8 BWERA-KIKORONGO-24h'!G51,'10.8 BWERA-KIKORONGO 24HRS'!G51,'11.8 KIKORONGO-BWERA'!G51)</f>
        <v>0</v>
      </c>
      <c r="H51" s="49">
        <f>AVERAGE('5.8 BWERA-KIKORONGO'!H51,'6.8 BWERA-KIKORONGO'!H51,'7.8 BWERA-KIKORONGO'!H51,'9.8 BWERA-KIKORONGO'!H51,'8.8 BWERA-KIKORONGO-24h'!H51,'10.8 BWERA-KIKORONGO 24HRS'!H51,'11.8 KIKORONGO-BWERA'!H51)</f>
        <v>0.14285714285714285</v>
      </c>
      <c r="I51" s="49">
        <f>AVERAGE('5.8 BWERA-KIKORONGO'!I51,'6.8 BWERA-KIKORONGO'!I51,'7.8 BWERA-KIKORONGO'!I51,'9.8 BWERA-KIKORONGO'!I51,'8.8 BWERA-KIKORONGO-24h'!I51,'10.8 BWERA-KIKORONGO 24HRS'!I51,'11.8 KIKORONGO-BWERA'!I51)</f>
        <v>0.42857142857142855</v>
      </c>
      <c r="J51" s="49">
        <f>AVERAGE('5.8 BWERA-KIKORONGO'!J51,'6.8 BWERA-KIKORONGO'!J51,'7.8 BWERA-KIKORONGO'!J51,'9.8 BWERA-KIKORONGO'!J51,'8.8 BWERA-KIKORONGO-24h'!J51,'10.8 BWERA-KIKORONGO 24HRS'!J51,'11.8 KIKORONGO-BWERA'!J51)</f>
        <v>0.5714285714285714</v>
      </c>
      <c r="K51" s="49">
        <f>AVERAGE('5.8 BWERA-KIKORONGO'!K51,'6.8 BWERA-KIKORONGO'!K51,'7.8 BWERA-KIKORONGO'!K51,'9.8 BWERA-KIKORONGO'!K51,'8.8 BWERA-KIKORONGO-24h'!K51,'10.8 BWERA-KIKORONGO 24HRS'!K51,'11.8 KIKORONGO-BWERA'!K51)</f>
        <v>0</v>
      </c>
      <c r="L51" s="49">
        <f>AVERAGE('5.8 BWERA-KIKORONGO'!L51,'6.8 BWERA-KIKORONGO'!L51,'7.8 BWERA-KIKORONGO'!L51,'9.8 BWERA-KIKORONGO'!L51,'8.8 BWERA-KIKORONGO-24h'!L51,'10.8 BWERA-KIKORONGO 24HRS'!L51,'11.8 KIKORONGO-BWERA'!L51)</f>
        <v>0.7142857142857143</v>
      </c>
      <c r="M51" s="49">
        <f>AVERAGE('5.8 BWERA-KIKORONGO'!M51,'6.8 BWERA-KIKORONGO'!M51,'7.8 BWERA-KIKORONGO'!M51,'9.8 BWERA-KIKORONGO'!M51,'8.8 BWERA-KIKORONGO-24h'!M51,'10.8 BWERA-KIKORONGO 24HRS'!M51,'11.8 KIKORONGO-BWERA'!M51)</f>
        <v>5.2857142857142856</v>
      </c>
      <c r="N51" s="49">
        <f>AVERAGE('5.8 BWERA-KIKORONGO'!N51,'6.8 BWERA-KIKORONGO'!N51,'7.8 BWERA-KIKORONGO'!N51,'9.8 BWERA-KIKORONGO'!N51,'8.8 BWERA-KIKORONGO-24h'!N51,'10.8 BWERA-KIKORONGO 24HRS'!N51,'11.8 KIKORONGO-BWERA'!N51)</f>
        <v>0</v>
      </c>
      <c r="O51" s="15">
        <f t="shared" si="0"/>
        <v>11.571428571428571</v>
      </c>
      <c r="P51" s="15">
        <f t="shared" si="1"/>
        <v>16.857142857142858</v>
      </c>
      <c r="R51" s="8"/>
      <c r="T51"/>
    </row>
    <row r="52" spans="2:20" ht="23.1" customHeight="1" x14ac:dyDescent="0.25">
      <c r="B52" s="24" t="s">
        <v>79</v>
      </c>
      <c r="C52" s="49">
        <f>AVERAGE('5.8 BWERA-KIKORONGO'!C52,'6.8 BWERA-KIKORONGO'!C52,'7.8 BWERA-KIKORONGO'!C52,'9.8 BWERA-KIKORONGO'!C52,'8.8 BWERA-KIKORONGO-24h'!C52,'10.8 BWERA-KIKORONGO 24HRS'!C52,'11.8 KIKORONGO-BWERA'!C52)</f>
        <v>5.2857142857142856</v>
      </c>
      <c r="D52" s="49">
        <f>AVERAGE('5.8 BWERA-KIKORONGO'!D52,'6.8 BWERA-KIKORONGO'!D52,'7.8 BWERA-KIKORONGO'!D52,'9.8 BWERA-KIKORONGO'!D52,'8.8 BWERA-KIKORONGO-24h'!D52,'10.8 BWERA-KIKORONGO 24HRS'!D52,'11.8 KIKORONGO-BWERA'!D52)</f>
        <v>0</v>
      </c>
      <c r="E52" s="49">
        <f>AVERAGE('5.8 BWERA-KIKORONGO'!E52,'6.8 BWERA-KIKORONGO'!E52,'7.8 BWERA-KIKORONGO'!E52,'9.8 BWERA-KIKORONGO'!E52,'8.8 BWERA-KIKORONGO-24h'!E52,'10.8 BWERA-KIKORONGO 24HRS'!E52,'11.8 KIKORONGO-BWERA'!E52)</f>
        <v>2.4285714285714284</v>
      </c>
      <c r="F52" s="49">
        <f>AVERAGE('5.8 BWERA-KIKORONGO'!F52,'6.8 BWERA-KIKORONGO'!F52,'7.8 BWERA-KIKORONGO'!F52,'9.8 BWERA-KIKORONGO'!F52,'8.8 BWERA-KIKORONGO-24h'!F52,'10.8 BWERA-KIKORONGO 24HRS'!F52,'11.8 KIKORONGO-BWERA'!F52)</f>
        <v>3.7142857142857144</v>
      </c>
      <c r="G52" s="49">
        <f>AVERAGE('5.8 BWERA-KIKORONGO'!G52,'6.8 BWERA-KIKORONGO'!G52,'7.8 BWERA-KIKORONGO'!G52,'9.8 BWERA-KIKORONGO'!G52,'8.8 BWERA-KIKORONGO-24h'!G52,'10.8 BWERA-KIKORONGO 24HRS'!G52,'11.8 KIKORONGO-BWERA'!G52)</f>
        <v>0</v>
      </c>
      <c r="H52" s="49">
        <f>AVERAGE('5.8 BWERA-KIKORONGO'!H52,'6.8 BWERA-KIKORONGO'!H52,'7.8 BWERA-KIKORONGO'!H52,'9.8 BWERA-KIKORONGO'!H52,'8.8 BWERA-KIKORONGO-24h'!H52,'10.8 BWERA-KIKORONGO 24HRS'!H52,'11.8 KIKORONGO-BWERA'!H52)</f>
        <v>0.2857142857142857</v>
      </c>
      <c r="I52" s="49">
        <f>AVERAGE('5.8 BWERA-KIKORONGO'!I52,'6.8 BWERA-KIKORONGO'!I52,'7.8 BWERA-KIKORONGO'!I52,'9.8 BWERA-KIKORONGO'!I52,'8.8 BWERA-KIKORONGO-24h'!I52,'10.8 BWERA-KIKORONGO 24HRS'!I52,'11.8 KIKORONGO-BWERA'!I52)</f>
        <v>0.14285714285714285</v>
      </c>
      <c r="J52" s="49">
        <f>AVERAGE('5.8 BWERA-KIKORONGO'!J52,'6.8 BWERA-KIKORONGO'!J52,'7.8 BWERA-KIKORONGO'!J52,'9.8 BWERA-KIKORONGO'!J52,'8.8 BWERA-KIKORONGO-24h'!J52,'10.8 BWERA-KIKORONGO 24HRS'!J52,'11.8 KIKORONGO-BWERA'!J52)</f>
        <v>1</v>
      </c>
      <c r="K52" s="49">
        <f>AVERAGE('5.8 BWERA-KIKORONGO'!K52,'6.8 BWERA-KIKORONGO'!K52,'7.8 BWERA-KIKORONGO'!K52,'9.8 BWERA-KIKORONGO'!K52,'8.8 BWERA-KIKORONGO-24h'!K52,'10.8 BWERA-KIKORONGO 24HRS'!K52,'11.8 KIKORONGO-BWERA'!K52)</f>
        <v>0</v>
      </c>
      <c r="L52" s="49">
        <f>AVERAGE('5.8 BWERA-KIKORONGO'!L52,'6.8 BWERA-KIKORONGO'!L52,'7.8 BWERA-KIKORONGO'!L52,'9.8 BWERA-KIKORONGO'!L52,'8.8 BWERA-KIKORONGO-24h'!L52,'10.8 BWERA-KIKORONGO 24HRS'!L52,'11.8 KIKORONGO-BWERA'!L52)</f>
        <v>1</v>
      </c>
      <c r="M52" s="49">
        <f>AVERAGE('5.8 BWERA-KIKORONGO'!M52,'6.8 BWERA-KIKORONGO'!M52,'7.8 BWERA-KIKORONGO'!M52,'9.8 BWERA-KIKORONGO'!M52,'8.8 BWERA-KIKORONGO-24h'!M52,'10.8 BWERA-KIKORONGO 24HRS'!M52,'11.8 KIKORONGO-BWERA'!M52)</f>
        <v>2.1428571428571428</v>
      </c>
      <c r="N52" s="49">
        <f>AVERAGE('5.8 BWERA-KIKORONGO'!N52,'6.8 BWERA-KIKORONGO'!N52,'7.8 BWERA-KIKORONGO'!N52,'9.8 BWERA-KIKORONGO'!N52,'8.8 BWERA-KIKORONGO-24h'!N52,'10.8 BWERA-KIKORONGO 24HRS'!N52,'11.8 KIKORONGO-BWERA'!N52)</f>
        <v>0</v>
      </c>
      <c r="O52" s="15">
        <f t="shared" si="0"/>
        <v>13.857142857142856</v>
      </c>
      <c r="P52" s="15">
        <f t="shared" si="1"/>
        <v>15.999999999999998</v>
      </c>
      <c r="R52" s="8"/>
      <c r="T52"/>
    </row>
    <row r="53" spans="2:20" ht="23.1" customHeight="1" x14ac:dyDescent="0.25">
      <c r="B53" s="23" t="s">
        <v>80</v>
      </c>
      <c r="C53" s="49">
        <f>AVERAGE('5.8 BWERA-KIKORONGO'!C53,'6.8 BWERA-KIKORONGO'!C53,'7.8 BWERA-KIKORONGO'!C53,'9.8 BWERA-KIKORONGO'!C53,'8.8 BWERA-KIKORONGO-24h'!C53,'10.8 BWERA-KIKORONGO 24HRS'!C53,'11.8 KIKORONGO-BWERA'!C53)</f>
        <v>5.5714285714285712</v>
      </c>
      <c r="D53" s="49">
        <f>AVERAGE('5.8 BWERA-KIKORONGO'!D53,'6.8 BWERA-KIKORONGO'!D53,'7.8 BWERA-KIKORONGO'!D53,'9.8 BWERA-KIKORONGO'!D53,'8.8 BWERA-KIKORONGO-24h'!D53,'10.8 BWERA-KIKORONGO 24HRS'!D53,'11.8 KIKORONGO-BWERA'!D53)</f>
        <v>0</v>
      </c>
      <c r="E53" s="49">
        <f>AVERAGE('5.8 BWERA-KIKORONGO'!E53,'6.8 BWERA-KIKORONGO'!E53,'7.8 BWERA-KIKORONGO'!E53,'9.8 BWERA-KIKORONGO'!E53,'8.8 BWERA-KIKORONGO-24h'!E53,'10.8 BWERA-KIKORONGO 24HRS'!E53,'11.8 KIKORONGO-BWERA'!E53)</f>
        <v>1.5714285714285714</v>
      </c>
      <c r="F53" s="49">
        <f>AVERAGE('5.8 BWERA-KIKORONGO'!F53,'6.8 BWERA-KIKORONGO'!F53,'7.8 BWERA-KIKORONGO'!F53,'9.8 BWERA-KIKORONGO'!F53,'8.8 BWERA-KIKORONGO-24h'!F53,'10.8 BWERA-KIKORONGO 24HRS'!F53,'11.8 KIKORONGO-BWERA'!F53)</f>
        <v>3.2857142857142856</v>
      </c>
      <c r="G53" s="49">
        <f>AVERAGE('5.8 BWERA-KIKORONGO'!G53,'6.8 BWERA-KIKORONGO'!G53,'7.8 BWERA-KIKORONGO'!G53,'9.8 BWERA-KIKORONGO'!G53,'8.8 BWERA-KIKORONGO-24h'!G53,'10.8 BWERA-KIKORONGO 24HRS'!G53,'11.8 KIKORONGO-BWERA'!G53)</f>
        <v>0</v>
      </c>
      <c r="H53" s="49">
        <f>AVERAGE('5.8 BWERA-KIKORONGO'!H53,'6.8 BWERA-KIKORONGO'!H53,'7.8 BWERA-KIKORONGO'!H53,'9.8 BWERA-KIKORONGO'!H53,'8.8 BWERA-KIKORONGO-24h'!H53,'10.8 BWERA-KIKORONGO 24HRS'!H53,'11.8 KIKORONGO-BWERA'!H53)</f>
        <v>0.14285714285714285</v>
      </c>
      <c r="I53" s="49">
        <f>AVERAGE('5.8 BWERA-KIKORONGO'!I53,'6.8 BWERA-KIKORONGO'!I53,'7.8 BWERA-KIKORONGO'!I53,'9.8 BWERA-KIKORONGO'!I53,'8.8 BWERA-KIKORONGO-24h'!I53,'10.8 BWERA-KIKORONGO 24HRS'!I53,'11.8 KIKORONGO-BWERA'!I53)</f>
        <v>0.2857142857142857</v>
      </c>
      <c r="J53" s="49">
        <f>AVERAGE('5.8 BWERA-KIKORONGO'!J53,'6.8 BWERA-KIKORONGO'!J53,'7.8 BWERA-KIKORONGO'!J53,'9.8 BWERA-KIKORONGO'!J53,'8.8 BWERA-KIKORONGO-24h'!J53,'10.8 BWERA-KIKORONGO 24HRS'!J53,'11.8 KIKORONGO-BWERA'!J53)</f>
        <v>0.14285714285714285</v>
      </c>
      <c r="K53" s="49">
        <f>AVERAGE('5.8 BWERA-KIKORONGO'!K53,'6.8 BWERA-KIKORONGO'!K53,'7.8 BWERA-KIKORONGO'!K53,'9.8 BWERA-KIKORONGO'!K53,'8.8 BWERA-KIKORONGO-24h'!K53,'10.8 BWERA-KIKORONGO 24HRS'!K53,'11.8 KIKORONGO-BWERA'!K53)</f>
        <v>0</v>
      </c>
      <c r="L53" s="49">
        <f>AVERAGE('5.8 BWERA-KIKORONGO'!L53,'6.8 BWERA-KIKORONGO'!L53,'7.8 BWERA-KIKORONGO'!L53,'9.8 BWERA-KIKORONGO'!L53,'8.8 BWERA-KIKORONGO-24h'!L53,'10.8 BWERA-KIKORONGO 24HRS'!L53,'11.8 KIKORONGO-BWERA'!L53)</f>
        <v>0.5714285714285714</v>
      </c>
      <c r="M53" s="49">
        <f>AVERAGE('5.8 BWERA-KIKORONGO'!M53,'6.8 BWERA-KIKORONGO'!M53,'7.8 BWERA-KIKORONGO'!M53,'9.8 BWERA-KIKORONGO'!M53,'8.8 BWERA-KIKORONGO-24h'!M53,'10.8 BWERA-KIKORONGO 24HRS'!M53,'11.8 KIKORONGO-BWERA'!M53)</f>
        <v>2.7142857142857144</v>
      </c>
      <c r="N53" s="49">
        <f>AVERAGE('5.8 BWERA-KIKORONGO'!N53,'6.8 BWERA-KIKORONGO'!N53,'7.8 BWERA-KIKORONGO'!N53,'9.8 BWERA-KIKORONGO'!N53,'8.8 BWERA-KIKORONGO-24h'!N53,'10.8 BWERA-KIKORONGO 24HRS'!N53,'11.8 KIKORONGO-BWERA'!N53)</f>
        <v>0</v>
      </c>
      <c r="O53" s="15">
        <f t="shared" si="0"/>
        <v>11.571428571428569</v>
      </c>
      <c r="P53" s="15">
        <f t="shared" si="1"/>
        <v>14.285714285714285</v>
      </c>
      <c r="R53" s="8"/>
      <c r="T53"/>
    </row>
    <row r="54" spans="2:20" ht="23.1" customHeight="1" x14ac:dyDescent="0.25">
      <c r="B54" s="23" t="s">
        <v>81</v>
      </c>
      <c r="C54" s="49">
        <f>AVERAGE('5.8 BWERA-KIKORONGO'!C54,'6.8 BWERA-KIKORONGO'!C54,'7.8 BWERA-KIKORONGO'!C54,'9.8 BWERA-KIKORONGO'!C54,'8.8 BWERA-KIKORONGO-24h'!C54,'10.8 BWERA-KIKORONGO 24HRS'!C54,'11.8 KIKORONGO-BWERA'!C54)</f>
        <v>3.5714285714285716</v>
      </c>
      <c r="D54" s="49">
        <f>AVERAGE('5.8 BWERA-KIKORONGO'!D54,'6.8 BWERA-KIKORONGO'!D54,'7.8 BWERA-KIKORONGO'!D54,'9.8 BWERA-KIKORONGO'!D54,'8.8 BWERA-KIKORONGO-24h'!D54,'10.8 BWERA-KIKORONGO 24HRS'!D54,'11.8 KIKORONGO-BWERA'!D54)</f>
        <v>0</v>
      </c>
      <c r="E54" s="49">
        <f>AVERAGE('5.8 BWERA-KIKORONGO'!E54,'6.8 BWERA-KIKORONGO'!E54,'7.8 BWERA-KIKORONGO'!E54,'9.8 BWERA-KIKORONGO'!E54,'8.8 BWERA-KIKORONGO-24h'!E54,'10.8 BWERA-KIKORONGO 24HRS'!E54,'11.8 KIKORONGO-BWERA'!E54)</f>
        <v>1.7142857142857142</v>
      </c>
      <c r="F54" s="49">
        <f>AVERAGE('5.8 BWERA-KIKORONGO'!F54,'6.8 BWERA-KIKORONGO'!F54,'7.8 BWERA-KIKORONGO'!F54,'9.8 BWERA-KIKORONGO'!F54,'8.8 BWERA-KIKORONGO-24h'!F54,'10.8 BWERA-KIKORONGO 24HRS'!F54,'11.8 KIKORONGO-BWERA'!F54)</f>
        <v>2.4285714285714284</v>
      </c>
      <c r="G54" s="49">
        <f>AVERAGE('5.8 BWERA-KIKORONGO'!G54,'6.8 BWERA-KIKORONGO'!G54,'7.8 BWERA-KIKORONGO'!G54,'9.8 BWERA-KIKORONGO'!G54,'8.8 BWERA-KIKORONGO-24h'!G54,'10.8 BWERA-KIKORONGO 24HRS'!G54,'11.8 KIKORONGO-BWERA'!G54)</f>
        <v>0</v>
      </c>
      <c r="H54" s="49">
        <f>AVERAGE('5.8 BWERA-KIKORONGO'!H54,'6.8 BWERA-KIKORONGO'!H54,'7.8 BWERA-KIKORONGO'!H54,'9.8 BWERA-KIKORONGO'!H54,'8.8 BWERA-KIKORONGO-24h'!H54,'10.8 BWERA-KIKORONGO 24HRS'!H54,'11.8 KIKORONGO-BWERA'!H54)</f>
        <v>0</v>
      </c>
      <c r="I54" s="49">
        <f>AVERAGE('5.8 BWERA-KIKORONGO'!I54,'6.8 BWERA-KIKORONGO'!I54,'7.8 BWERA-KIKORONGO'!I54,'9.8 BWERA-KIKORONGO'!I54,'8.8 BWERA-KIKORONGO-24h'!I54,'10.8 BWERA-KIKORONGO 24HRS'!I54,'11.8 KIKORONGO-BWERA'!I54)</f>
        <v>0.8571428571428571</v>
      </c>
      <c r="J54" s="49">
        <f>AVERAGE('5.8 BWERA-KIKORONGO'!J54,'6.8 BWERA-KIKORONGO'!J54,'7.8 BWERA-KIKORONGO'!J54,'9.8 BWERA-KIKORONGO'!J54,'8.8 BWERA-KIKORONGO-24h'!J54,'10.8 BWERA-KIKORONGO 24HRS'!J54,'11.8 KIKORONGO-BWERA'!J54)</f>
        <v>0.7142857142857143</v>
      </c>
      <c r="K54" s="49">
        <f>AVERAGE('5.8 BWERA-KIKORONGO'!K54,'6.8 BWERA-KIKORONGO'!K54,'7.8 BWERA-KIKORONGO'!K54,'9.8 BWERA-KIKORONGO'!K54,'8.8 BWERA-KIKORONGO-24h'!K54,'10.8 BWERA-KIKORONGO 24HRS'!K54,'11.8 KIKORONGO-BWERA'!K54)</f>
        <v>0</v>
      </c>
      <c r="L54" s="49">
        <f>AVERAGE('5.8 BWERA-KIKORONGO'!L54,'6.8 BWERA-KIKORONGO'!L54,'7.8 BWERA-KIKORONGO'!L54,'9.8 BWERA-KIKORONGO'!L54,'8.8 BWERA-KIKORONGO-24h'!L54,'10.8 BWERA-KIKORONGO 24HRS'!L54,'11.8 KIKORONGO-BWERA'!L54)</f>
        <v>0.5714285714285714</v>
      </c>
      <c r="M54" s="49">
        <f>AVERAGE('5.8 BWERA-KIKORONGO'!M54,'6.8 BWERA-KIKORONGO'!M54,'7.8 BWERA-KIKORONGO'!M54,'9.8 BWERA-KIKORONGO'!M54,'8.8 BWERA-KIKORONGO-24h'!M54,'10.8 BWERA-KIKORONGO 24HRS'!M54,'11.8 KIKORONGO-BWERA'!M54)</f>
        <v>3.4285714285714284</v>
      </c>
      <c r="N54" s="49">
        <f>AVERAGE('5.8 BWERA-KIKORONGO'!N54,'6.8 BWERA-KIKORONGO'!N54,'7.8 BWERA-KIKORONGO'!N54,'9.8 BWERA-KIKORONGO'!N54,'8.8 BWERA-KIKORONGO-24h'!N54,'10.8 BWERA-KIKORONGO 24HRS'!N54,'11.8 KIKORONGO-BWERA'!N54)</f>
        <v>0</v>
      </c>
      <c r="O54" s="15">
        <f t="shared" si="0"/>
        <v>9.8571428571428559</v>
      </c>
      <c r="P54" s="15">
        <f t="shared" si="1"/>
        <v>13.285714285714285</v>
      </c>
      <c r="R54" s="8"/>
      <c r="T54"/>
    </row>
    <row r="55" spans="2:20" ht="23.1" customHeight="1" x14ac:dyDescent="0.25">
      <c r="B55" s="23" t="s">
        <v>82</v>
      </c>
      <c r="C55" s="49">
        <f>AVERAGE('5.8 BWERA-KIKORONGO'!C55,'6.8 BWERA-KIKORONGO'!C55,'7.8 BWERA-KIKORONGO'!C55,'9.8 BWERA-KIKORONGO'!C55,'8.8 BWERA-KIKORONGO-24h'!C55,'10.8 BWERA-KIKORONGO 24HRS'!C55,'11.8 KIKORONGO-BWERA'!C55)</f>
        <v>2.7142857142857144</v>
      </c>
      <c r="D55" s="49">
        <f>AVERAGE('5.8 BWERA-KIKORONGO'!D55,'6.8 BWERA-KIKORONGO'!D55,'7.8 BWERA-KIKORONGO'!D55,'9.8 BWERA-KIKORONGO'!D55,'8.8 BWERA-KIKORONGO-24h'!D55,'10.8 BWERA-KIKORONGO 24HRS'!D55,'11.8 KIKORONGO-BWERA'!D55)</f>
        <v>0</v>
      </c>
      <c r="E55" s="49">
        <f>AVERAGE('5.8 BWERA-KIKORONGO'!E55,'6.8 BWERA-KIKORONGO'!E55,'7.8 BWERA-KIKORONGO'!E55,'9.8 BWERA-KIKORONGO'!E55,'8.8 BWERA-KIKORONGO-24h'!E55,'10.8 BWERA-KIKORONGO 24HRS'!E55,'11.8 KIKORONGO-BWERA'!E55)</f>
        <v>1.7142857142857142</v>
      </c>
      <c r="F55" s="49">
        <f>AVERAGE('5.8 BWERA-KIKORONGO'!F55,'6.8 BWERA-KIKORONGO'!F55,'7.8 BWERA-KIKORONGO'!F55,'9.8 BWERA-KIKORONGO'!F55,'8.8 BWERA-KIKORONGO-24h'!F55,'10.8 BWERA-KIKORONGO 24HRS'!F55,'11.8 KIKORONGO-BWERA'!F55)</f>
        <v>2.5714285714285716</v>
      </c>
      <c r="G55" s="49">
        <f>AVERAGE('5.8 BWERA-KIKORONGO'!G55,'6.8 BWERA-KIKORONGO'!G55,'7.8 BWERA-KIKORONGO'!G55,'9.8 BWERA-KIKORONGO'!G55,'8.8 BWERA-KIKORONGO-24h'!G55,'10.8 BWERA-KIKORONGO 24HRS'!G55,'11.8 KIKORONGO-BWERA'!G55)</f>
        <v>0</v>
      </c>
      <c r="H55" s="49">
        <f>AVERAGE('5.8 BWERA-KIKORONGO'!H55,'6.8 BWERA-KIKORONGO'!H55,'7.8 BWERA-KIKORONGO'!H55,'9.8 BWERA-KIKORONGO'!H55,'8.8 BWERA-KIKORONGO-24h'!H55,'10.8 BWERA-KIKORONGO 24HRS'!H55,'11.8 KIKORONGO-BWERA'!H55)</f>
        <v>0.14285714285714285</v>
      </c>
      <c r="I55" s="49">
        <f>AVERAGE('5.8 BWERA-KIKORONGO'!I55,'6.8 BWERA-KIKORONGO'!I55,'7.8 BWERA-KIKORONGO'!I55,'9.8 BWERA-KIKORONGO'!I55,'8.8 BWERA-KIKORONGO-24h'!I55,'10.8 BWERA-KIKORONGO 24HRS'!I55,'11.8 KIKORONGO-BWERA'!I55)</f>
        <v>0.7142857142857143</v>
      </c>
      <c r="J55" s="49">
        <f>AVERAGE('5.8 BWERA-KIKORONGO'!J55,'6.8 BWERA-KIKORONGO'!J55,'7.8 BWERA-KIKORONGO'!J55,'9.8 BWERA-KIKORONGO'!J55,'8.8 BWERA-KIKORONGO-24h'!J55,'10.8 BWERA-KIKORONGO 24HRS'!J55,'11.8 KIKORONGO-BWERA'!J55)</f>
        <v>0.2857142857142857</v>
      </c>
      <c r="K55" s="49">
        <f>AVERAGE('5.8 BWERA-KIKORONGO'!K55,'6.8 BWERA-KIKORONGO'!K55,'7.8 BWERA-KIKORONGO'!K55,'9.8 BWERA-KIKORONGO'!K55,'8.8 BWERA-KIKORONGO-24h'!K55,'10.8 BWERA-KIKORONGO 24HRS'!K55,'11.8 KIKORONGO-BWERA'!K55)</f>
        <v>0</v>
      </c>
      <c r="L55" s="49">
        <f>AVERAGE('5.8 BWERA-KIKORONGO'!L55,'6.8 BWERA-KIKORONGO'!L55,'7.8 BWERA-KIKORONGO'!L55,'9.8 BWERA-KIKORONGO'!L55,'8.8 BWERA-KIKORONGO-24h'!L55,'10.8 BWERA-KIKORONGO 24HRS'!L55,'11.8 KIKORONGO-BWERA'!L55)</f>
        <v>0.2857142857142857</v>
      </c>
      <c r="M55" s="49">
        <f>AVERAGE('5.8 BWERA-KIKORONGO'!M55,'6.8 BWERA-KIKORONGO'!M55,'7.8 BWERA-KIKORONGO'!M55,'9.8 BWERA-KIKORONGO'!M55,'8.8 BWERA-KIKORONGO-24h'!M55,'10.8 BWERA-KIKORONGO 24HRS'!M55,'11.8 KIKORONGO-BWERA'!M55)</f>
        <v>3.5714285714285716</v>
      </c>
      <c r="N55" s="49">
        <f>AVERAGE('5.8 BWERA-KIKORONGO'!N55,'6.8 BWERA-KIKORONGO'!N55,'7.8 BWERA-KIKORONGO'!N55,'9.8 BWERA-KIKORONGO'!N55,'8.8 BWERA-KIKORONGO-24h'!N55,'10.8 BWERA-KIKORONGO 24HRS'!N55,'11.8 KIKORONGO-BWERA'!N55)</f>
        <v>0</v>
      </c>
      <c r="O55" s="15">
        <f t="shared" si="0"/>
        <v>8.4285714285714306</v>
      </c>
      <c r="P55" s="15">
        <f t="shared" si="1"/>
        <v>12.000000000000002</v>
      </c>
      <c r="R55" s="8"/>
      <c r="T55"/>
    </row>
    <row r="56" spans="2:20" ht="23.1" customHeight="1" x14ac:dyDescent="0.25">
      <c r="B56" s="23" t="s">
        <v>83</v>
      </c>
      <c r="C56" s="49">
        <f>AVERAGE('5.8 BWERA-KIKORONGO'!C56,'6.8 BWERA-KIKORONGO'!C56,'7.8 BWERA-KIKORONGO'!C56,'9.8 BWERA-KIKORONGO'!C56,'8.8 BWERA-KIKORONGO-24h'!C56,'10.8 BWERA-KIKORONGO 24HRS'!C56,'11.8 KIKORONGO-BWERA'!C56)</f>
        <v>2.7142857142857144</v>
      </c>
      <c r="D56" s="49">
        <f>AVERAGE('5.8 BWERA-KIKORONGO'!D56,'6.8 BWERA-KIKORONGO'!D56,'7.8 BWERA-KIKORONGO'!D56,'9.8 BWERA-KIKORONGO'!D56,'8.8 BWERA-KIKORONGO-24h'!D56,'10.8 BWERA-KIKORONGO 24HRS'!D56,'11.8 KIKORONGO-BWERA'!D56)</f>
        <v>0</v>
      </c>
      <c r="E56" s="49">
        <f>AVERAGE('5.8 BWERA-KIKORONGO'!E56,'6.8 BWERA-KIKORONGO'!E56,'7.8 BWERA-KIKORONGO'!E56,'9.8 BWERA-KIKORONGO'!E56,'8.8 BWERA-KIKORONGO-24h'!E56,'10.8 BWERA-KIKORONGO 24HRS'!E56,'11.8 KIKORONGO-BWERA'!E56)</f>
        <v>1.7142857142857142</v>
      </c>
      <c r="F56" s="49">
        <f>AVERAGE('5.8 BWERA-KIKORONGO'!F56,'6.8 BWERA-KIKORONGO'!F56,'7.8 BWERA-KIKORONGO'!F56,'9.8 BWERA-KIKORONGO'!F56,'8.8 BWERA-KIKORONGO-24h'!F56,'10.8 BWERA-KIKORONGO 24HRS'!F56,'11.8 KIKORONGO-BWERA'!F56)</f>
        <v>1.1428571428571428</v>
      </c>
      <c r="G56" s="49">
        <f>AVERAGE('5.8 BWERA-KIKORONGO'!G56,'6.8 BWERA-KIKORONGO'!G56,'7.8 BWERA-KIKORONGO'!G56,'9.8 BWERA-KIKORONGO'!G56,'8.8 BWERA-KIKORONGO-24h'!G56,'10.8 BWERA-KIKORONGO 24HRS'!G56,'11.8 KIKORONGO-BWERA'!G56)</f>
        <v>0</v>
      </c>
      <c r="H56" s="49">
        <f>AVERAGE('5.8 BWERA-KIKORONGO'!H56,'6.8 BWERA-KIKORONGO'!H56,'7.8 BWERA-KIKORONGO'!H56,'9.8 BWERA-KIKORONGO'!H56,'8.8 BWERA-KIKORONGO-24h'!H56,'10.8 BWERA-KIKORONGO 24HRS'!H56,'11.8 KIKORONGO-BWERA'!H56)</f>
        <v>0.14285714285714285</v>
      </c>
      <c r="I56" s="49">
        <f>AVERAGE('5.8 BWERA-KIKORONGO'!I56,'6.8 BWERA-KIKORONGO'!I56,'7.8 BWERA-KIKORONGO'!I56,'9.8 BWERA-KIKORONGO'!I56,'8.8 BWERA-KIKORONGO-24h'!I56,'10.8 BWERA-KIKORONGO 24HRS'!I56,'11.8 KIKORONGO-BWERA'!I56)</f>
        <v>0.5714285714285714</v>
      </c>
      <c r="J56" s="49">
        <f>AVERAGE('5.8 BWERA-KIKORONGO'!J56,'6.8 BWERA-KIKORONGO'!J56,'7.8 BWERA-KIKORONGO'!J56,'9.8 BWERA-KIKORONGO'!J56,'8.8 BWERA-KIKORONGO-24h'!J56,'10.8 BWERA-KIKORONGO 24HRS'!J56,'11.8 KIKORONGO-BWERA'!J56)</f>
        <v>0</v>
      </c>
      <c r="K56" s="49">
        <f>AVERAGE('5.8 BWERA-KIKORONGO'!K56,'6.8 BWERA-KIKORONGO'!K56,'7.8 BWERA-KIKORONGO'!K56,'9.8 BWERA-KIKORONGO'!K56,'8.8 BWERA-KIKORONGO-24h'!K56,'10.8 BWERA-KIKORONGO 24HRS'!K56,'11.8 KIKORONGO-BWERA'!K56)</f>
        <v>0.14285714285714285</v>
      </c>
      <c r="L56" s="49">
        <f>AVERAGE('5.8 BWERA-KIKORONGO'!L56,'6.8 BWERA-KIKORONGO'!L56,'7.8 BWERA-KIKORONGO'!L56,'9.8 BWERA-KIKORONGO'!L56,'8.8 BWERA-KIKORONGO-24h'!L56,'10.8 BWERA-KIKORONGO 24HRS'!L56,'11.8 KIKORONGO-BWERA'!L56)</f>
        <v>0.5714285714285714</v>
      </c>
      <c r="M56" s="49">
        <f>AVERAGE('5.8 BWERA-KIKORONGO'!M56,'6.8 BWERA-KIKORONGO'!M56,'7.8 BWERA-KIKORONGO'!M56,'9.8 BWERA-KIKORONGO'!M56,'8.8 BWERA-KIKORONGO-24h'!M56,'10.8 BWERA-KIKORONGO 24HRS'!M56,'11.8 KIKORONGO-BWERA'!M56)</f>
        <v>2</v>
      </c>
      <c r="N56" s="49">
        <f>AVERAGE('5.8 BWERA-KIKORONGO'!N56,'6.8 BWERA-KIKORONGO'!N56,'7.8 BWERA-KIKORONGO'!N56,'9.8 BWERA-KIKORONGO'!N56,'8.8 BWERA-KIKORONGO-24h'!N56,'10.8 BWERA-KIKORONGO 24HRS'!N56,'11.8 KIKORONGO-BWERA'!N56)</f>
        <v>0</v>
      </c>
      <c r="O56" s="15">
        <f t="shared" si="0"/>
        <v>7</v>
      </c>
      <c r="P56" s="15">
        <f t="shared" si="1"/>
        <v>9</v>
      </c>
      <c r="R56" s="8"/>
      <c r="T56"/>
    </row>
    <row r="57" spans="2:20" ht="23.1" customHeight="1" x14ac:dyDescent="0.25">
      <c r="B57" s="23" t="s">
        <v>84</v>
      </c>
      <c r="C57" s="49">
        <f>AVERAGE('5.8 BWERA-KIKORONGO'!C57,'6.8 BWERA-KIKORONGO'!C57,'7.8 BWERA-KIKORONGO'!C57,'9.8 BWERA-KIKORONGO'!C57,'8.8 BWERA-KIKORONGO-24h'!C57,'10.8 BWERA-KIKORONGO 24HRS'!C57,'11.8 KIKORONGO-BWERA'!C57)</f>
        <v>3.5714285714285716</v>
      </c>
      <c r="D57" s="49">
        <f>AVERAGE('5.8 BWERA-KIKORONGO'!D57,'6.8 BWERA-KIKORONGO'!D57,'7.8 BWERA-KIKORONGO'!D57,'9.8 BWERA-KIKORONGO'!D57,'8.8 BWERA-KIKORONGO-24h'!D57,'10.8 BWERA-KIKORONGO 24HRS'!D57,'11.8 KIKORONGO-BWERA'!D57)</f>
        <v>0</v>
      </c>
      <c r="E57" s="49">
        <f>AVERAGE('5.8 BWERA-KIKORONGO'!E57,'6.8 BWERA-KIKORONGO'!E57,'7.8 BWERA-KIKORONGO'!E57,'9.8 BWERA-KIKORONGO'!E57,'8.8 BWERA-KIKORONGO-24h'!E57,'10.8 BWERA-KIKORONGO 24HRS'!E57,'11.8 KIKORONGO-BWERA'!E57)</f>
        <v>1.7142857142857142</v>
      </c>
      <c r="F57" s="49">
        <f>AVERAGE('5.8 BWERA-KIKORONGO'!F57,'6.8 BWERA-KIKORONGO'!F57,'7.8 BWERA-KIKORONGO'!F57,'9.8 BWERA-KIKORONGO'!F57,'8.8 BWERA-KIKORONGO-24h'!F57,'10.8 BWERA-KIKORONGO 24HRS'!F57,'11.8 KIKORONGO-BWERA'!F57)</f>
        <v>2.5714285714285716</v>
      </c>
      <c r="G57" s="49">
        <f>AVERAGE('5.8 BWERA-KIKORONGO'!G57,'6.8 BWERA-KIKORONGO'!G57,'7.8 BWERA-KIKORONGO'!G57,'9.8 BWERA-KIKORONGO'!G57,'8.8 BWERA-KIKORONGO-24h'!G57,'10.8 BWERA-KIKORONGO 24HRS'!G57,'11.8 KIKORONGO-BWERA'!G57)</f>
        <v>0</v>
      </c>
      <c r="H57" s="49">
        <f>AVERAGE('5.8 BWERA-KIKORONGO'!H57,'6.8 BWERA-KIKORONGO'!H57,'7.8 BWERA-KIKORONGO'!H57,'9.8 BWERA-KIKORONGO'!H57,'8.8 BWERA-KIKORONGO-24h'!H57,'10.8 BWERA-KIKORONGO 24HRS'!H57,'11.8 KIKORONGO-BWERA'!H57)</f>
        <v>0.2857142857142857</v>
      </c>
      <c r="I57" s="49">
        <f>AVERAGE('5.8 BWERA-KIKORONGO'!I57,'6.8 BWERA-KIKORONGO'!I57,'7.8 BWERA-KIKORONGO'!I57,'9.8 BWERA-KIKORONGO'!I57,'8.8 BWERA-KIKORONGO-24h'!I57,'10.8 BWERA-KIKORONGO 24HRS'!I57,'11.8 KIKORONGO-BWERA'!I57)</f>
        <v>0.42857142857142855</v>
      </c>
      <c r="J57" s="49">
        <f>AVERAGE('5.8 BWERA-KIKORONGO'!J57,'6.8 BWERA-KIKORONGO'!J57,'7.8 BWERA-KIKORONGO'!J57,'9.8 BWERA-KIKORONGO'!J57,'8.8 BWERA-KIKORONGO-24h'!J57,'10.8 BWERA-KIKORONGO 24HRS'!J57,'11.8 KIKORONGO-BWERA'!J57)</f>
        <v>1.1428571428571428</v>
      </c>
      <c r="K57" s="49">
        <f>AVERAGE('5.8 BWERA-KIKORONGO'!K57,'6.8 BWERA-KIKORONGO'!K57,'7.8 BWERA-KIKORONGO'!K57,'9.8 BWERA-KIKORONGO'!K57,'8.8 BWERA-KIKORONGO-24h'!K57,'10.8 BWERA-KIKORONGO 24HRS'!K57,'11.8 KIKORONGO-BWERA'!K57)</f>
        <v>0.14285714285714285</v>
      </c>
      <c r="L57" s="49">
        <f>AVERAGE('5.8 BWERA-KIKORONGO'!L57,'6.8 BWERA-KIKORONGO'!L57,'7.8 BWERA-KIKORONGO'!L57,'9.8 BWERA-KIKORONGO'!L57,'8.8 BWERA-KIKORONGO-24h'!L57,'10.8 BWERA-KIKORONGO 24HRS'!L57,'11.8 KIKORONGO-BWERA'!L57)</f>
        <v>0.7142857142857143</v>
      </c>
      <c r="M57" s="49">
        <f>AVERAGE('5.8 BWERA-KIKORONGO'!M57,'6.8 BWERA-KIKORONGO'!M57,'7.8 BWERA-KIKORONGO'!M57,'9.8 BWERA-KIKORONGO'!M57,'8.8 BWERA-KIKORONGO-24h'!M57,'10.8 BWERA-KIKORONGO 24HRS'!M57,'11.8 KIKORONGO-BWERA'!M57)</f>
        <v>3.1428571428571428</v>
      </c>
      <c r="N57" s="49">
        <f>AVERAGE('5.8 BWERA-KIKORONGO'!N57,'6.8 BWERA-KIKORONGO'!N57,'7.8 BWERA-KIKORONGO'!N57,'9.8 BWERA-KIKORONGO'!N57,'8.8 BWERA-KIKORONGO-24h'!N57,'10.8 BWERA-KIKORONGO 24HRS'!N57,'11.8 KIKORONGO-BWERA'!N57)</f>
        <v>0.14285714285714285</v>
      </c>
      <c r="O57" s="15">
        <f t="shared" si="0"/>
        <v>10.714285714285714</v>
      </c>
      <c r="P57" s="15">
        <f t="shared" si="1"/>
        <v>13.857142857142856</v>
      </c>
      <c r="R57" s="8"/>
      <c r="T57"/>
    </row>
    <row r="58" spans="2:20" ht="23.1" customHeight="1" x14ac:dyDescent="0.25">
      <c r="B58" s="23" t="s">
        <v>99</v>
      </c>
      <c r="C58" s="49">
        <f>AVERAGE('8.8 BWERA-KIKORONGO-24h'!C58,'10.8 BWERA-KIKORONGO 24HRS'!C58)</f>
        <v>5</v>
      </c>
      <c r="D58" s="49">
        <f>AVERAGE('8.8 BWERA-KIKORONGO-24h'!D58,'10.8 BWERA-KIKORONGO 24HRS'!D58)</f>
        <v>0</v>
      </c>
      <c r="E58" s="49">
        <f>AVERAGE('8.8 BWERA-KIKORONGO-24h'!E58,'10.8 BWERA-KIKORONGO 24HRS'!E58)</f>
        <v>2</v>
      </c>
      <c r="F58" s="49">
        <f>AVERAGE('8.8 BWERA-KIKORONGO-24h'!F58,'10.8 BWERA-KIKORONGO 24HRS'!F58)</f>
        <v>2</v>
      </c>
      <c r="G58" s="49">
        <f>AVERAGE('8.8 BWERA-KIKORONGO-24h'!G58,'10.8 BWERA-KIKORONGO 24HRS'!G58)</f>
        <v>0</v>
      </c>
      <c r="H58" s="49">
        <f>AVERAGE('8.8 BWERA-KIKORONGO-24h'!H58,'10.8 BWERA-KIKORONGO 24HRS'!H58)</f>
        <v>0.5</v>
      </c>
      <c r="I58" s="49">
        <f>AVERAGE('8.8 BWERA-KIKORONGO-24h'!I58,'10.8 BWERA-KIKORONGO 24HRS'!I58)</f>
        <v>1</v>
      </c>
      <c r="J58" s="49">
        <f>AVERAGE('8.8 BWERA-KIKORONGO-24h'!J58,'10.8 BWERA-KIKORONGO 24HRS'!J58)</f>
        <v>1</v>
      </c>
      <c r="K58" s="49">
        <f>AVERAGE('8.8 BWERA-KIKORONGO-24h'!K58,'10.8 BWERA-KIKORONGO 24HRS'!K58)</f>
        <v>0</v>
      </c>
      <c r="L58" s="49">
        <f>AVERAGE('8.8 BWERA-KIKORONGO-24h'!L58,'10.8 BWERA-KIKORONGO 24HRS'!L58)</f>
        <v>0</v>
      </c>
      <c r="M58" s="49">
        <f>AVERAGE('8.8 BWERA-KIKORONGO-24h'!M58,'10.8 BWERA-KIKORONGO 24HRS'!M58)</f>
        <v>5.5</v>
      </c>
      <c r="N58" s="49">
        <f>AVERAGE('8.8 BWERA-KIKORONGO-24h'!N58,'10.8 BWERA-KIKORONGO 24HRS'!N58)</f>
        <v>0</v>
      </c>
      <c r="O58" s="15">
        <f t="shared" si="0"/>
        <v>11.5</v>
      </c>
      <c r="P58" s="15">
        <f t="shared" si="1"/>
        <v>17</v>
      </c>
      <c r="R58" s="8"/>
      <c r="T58"/>
    </row>
    <row r="59" spans="2:20" ht="23.1" customHeight="1" x14ac:dyDescent="0.25">
      <c r="B59" s="23" t="s">
        <v>100</v>
      </c>
      <c r="C59" s="49">
        <f>AVERAGE('8.8 BWERA-KIKORONGO-24h'!C59,'10.8 BWERA-KIKORONGO 24HRS'!C59)</f>
        <v>4</v>
      </c>
      <c r="D59" s="49">
        <f>AVERAGE('8.8 BWERA-KIKORONGO-24h'!D59,'10.8 BWERA-KIKORONGO 24HRS'!D59)</f>
        <v>0</v>
      </c>
      <c r="E59" s="49">
        <f>AVERAGE('8.8 BWERA-KIKORONGO-24h'!E59,'10.8 BWERA-KIKORONGO 24HRS'!E59)</f>
        <v>1</v>
      </c>
      <c r="F59" s="49">
        <f>AVERAGE('8.8 BWERA-KIKORONGO-24h'!F59,'10.8 BWERA-KIKORONGO 24HRS'!F59)</f>
        <v>2.5</v>
      </c>
      <c r="G59" s="49">
        <f>AVERAGE('8.8 BWERA-KIKORONGO-24h'!G59,'10.8 BWERA-KIKORONGO 24HRS'!G59)</f>
        <v>0</v>
      </c>
      <c r="H59" s="49">
        <f>AVERAGE('8.8 BWERA-KIKORONGO-24h'!H59,'10.8 BWERA-KIKORONGO 24HRS'!H59)</f>
        <v>0</v>
      </c>
      <c r="I59" s="49">
        <f>AVERAGE('8.8 BWERA-KIKORONGO-24h'!I59,'10.8 BWERA-KIKORONGO 24HRS'!I59)</f>
        <v>0</v>
      </c>
      <c r="J59" s="49">
        <f>AVERAGE('8.8 BWERA-KIKORONGO-24h'!J59,'10.8 BWERA-KIKORONGO 24HRS'!J59)</f>
        <v>0.5</v>
      </c>
      <c r="K59" s="49">
        <f>AVERAGE('8.8 BWERA-KIKORONGO-24h'!K59,'10.8 BWERA-KIKORONGO 24HRS'!K59)</f>
        <v>0</v>
      </c>
      <c r="L59" s="49">
        <f>AVERAGE('8.8 BWERA-KIKORONGO-24h'!L59,'10.8 BWERA-KIKORONGO 24HRS'!L59)</f>
        <v>0</v>
      </c>
      <c r="M59" s="49">
        <f>AVERAGE('8.8 BWERA-KIKORONGO-24h'!M59,'10.8 BWERA-KIKORONGO 24HRS'!M59)</f>
        <v>4.5</v>
      </c>
      <c r="N59" s="49">
        <f>AVERAGE('8.8 BWERA-KIKORONGO-24h'!N59,'10.8 BWERA-KIKORONGO 24HRS'!N59)</f>
        <v>0</v>
      </c>
      <c r="O59" s="15">
        <f t="shared" si="0"/>
        <v>8</v>
      </c>
      <c r="P59" s="15">
        <f t="shared" si="1"/>
        <v>12.5</v>
      </c>
      <c r="R59" s="8"/>
      <c r="T59"/>
    </row>
    <row r="60" spans="2:20" ht="23.1" customHeight="1" x14ac:dyDescent="0.25">
      <c r="B60" s="23" t="s">
        <v>101</v>
      </c>
      <c r="C60" s="49">
        <f>AVERAGE('8.8 BWERA-KIKORONGO-24h'!C60,'10.8 BWERA-KIKORONGO 24HRS'!C60)</f>
        <v>3</v>
      </c>
      <c r="D60" s="49">
        <f>AVERAGE('8.8 BWERA-KIKORONGO-24h'!D60,'10.8 BWERA-KIKORONGO 24HRS'!D60)</f>
        <v>0</v>
      </c>
      <c r="E60" s="49">
        <f>AVERAGE('8.8 BWERA-KIKORONGO-24h'!E60,'10.8 BWERA-KIKORONGO 24HRS'!E60)</f>
        <v>1</v>
      </c>
      <c r="F60" s="49">
        <f>AVERAGE('8.8 BWERA-KIKORONGO-24h'!F60,'10.8 BWERA-KIKORONGO 24HRS'!F60)</f>
        <v>5</v>
      </c>
      <c r="G60" s="49">
        <f>AVERAGE('8.8 BWERA-KIKORONGO-24h'!G60,'10.8 BWERA-KIKORONGO 24HRS'!G60)</f>
        <v>0</v>
      </c>
      <c r="H60" s="49">
        <f>AVERAGE('8.8 BWERA-KIKORONGO-24h'!H60,'10.8 BWERA-KIKORONGO 24HRS'!H60)</f>
        <v>0.5</v>
      </c>
      <c r="I60" s="49">
        <f>AVERAGE('8.8 BWERA-KIKORONGO-24h'!I60,'10.8 BWERA-KIKORONGO 24HRS'!I60)</f>
        <v>1</v>
      </c>
      <c r="J60" s="49">
        <f>AVERAGE('8.8 BWERA-KIKORONGO-24h'!J60,'10.8 BWERA-KIKORONGO 24HRS'!J60)</f>
        <v>0</v>
      </c>
      <c r="K60" s="49">
        <f>AVERAGE('8.8 BWERA-KIKORONGO-24h'!K60,'10.8 BWERA-KIKORONGO 24HRS'!K60)</f>
        <v>0</v>
      </c>
      <c r="L60" s="49">
        <f>AVERAGE('8.8 BWERA-KIKORONGO-24h'!L60,'10.8 BWERA-KIKORONGO 24HRS'!L60)</f>
        <v>0.5</v>
      </c>
      <c r="M60" s="49">
        <f>AVERAGE('8.8 BWERA-KIKORONGO-24h'!M60,'10.8 BWERA-KIKORONGO 24HRS'!M60)</f>
        <v>1.5</v>
      </c>
      <c r="N60" s="49">
        <f>AVERAGE('8.8 BWERA-KIKORONGO-24h'!N60,'10.8 BWERA-KIKORONGO 24HRS'!N60)</f>
        <v>0</v>
      </c>
      <c r="O60" s="15">
        <f t="shared" si="0"/>
        <v>11</v>
      </c>
      <c r="P60" s="15">
        <f t="shared" si="1"/>
        <v>12.5</v>
      </c>
      <c r="R60" s="8"/>
      <c r="T60"/>
    </row>
    <row r="61" spans="2:20" ht="23.1" customHeight="1" x14ac:dyDescent="0.25">
      <c r="B61" s="23" t="s">
        <v>102</v>
      </c>
      <c r="C61" s="49">
        <f>AVERAGE('8.8 BWERA-KIKORONGO-24h'!C61,'10.8 BWERA-KIKORONGO 24HRS'!C61)</f>
        <v>6.5</v>
      </c>
      <c r="D61" s="49">
        <f>AVERAGE('8.8 BWERA-KIKORONGO-24h'!D61,'10.8 BWERA-KIKORONGO 24HRS'!D61)</f>
        <v>0</v>
      </c>
      <c r="E61" s="49">
        <f>AVERAGE('8.8 BWERA-KIKORONGO-24h'!E61,'10.8 BWERA-KIKORONGO 24HRS'!E61)</f>
        <v>0.5</v>
      </c>
      <c r="F61" s="49">
        <f>AVERAGE('8.8 BWERA-KIKORONGO-24h'!F61,'10.8 BWERA-KIKORONGO 24HRS'!F61)</f>
        <v>0.5</v>
      </c>
      <c r="G61" s="49">
        <f>AVERAGE('8.8 BWERA-KIKORONGO-24h'!G61,'10.8 BWERA-KIKORONGO 24HRS'!G61)</f>
        <v>0</v>
      </c>
      <c r="H61" s="49">
        <f>AVERAGE('8.8 BWERA-KIKORONGO-24h'!H61,'10.8 BWERA-KIKORONGO 24HRS'!H61)</f>
        <v>0</v>
      </c>
      <c r="I61" s="49">
        <f>AVERAGE('8.8 BWERA-KIKORONGO-24h'!I61,'10.8 BWERA-KIKORONGO 24HRS'!I61)</f>
        <v>0</v>
      </c>
      <c r="J61" s="49">
        <f>AVERAGE('8.8 BWERA-KIKORONGO-24h'!J61,'10.8 BWERA-KIKORONGO 24HRS'!J61)</f>
        <v>0.5</v>
      </c>
      <c r="K61" s="49">
        <f>AVERAGE('8.8 BWERA-KIKORONGO-24h'!K61,'10.8 BWERA-KIKORONGO 24HRS'!K61)</f>
        <v>0</v>
      </c>
      <c r="L61" s="49">
        <f>AVERAGE('8.8 BWERA-KIKORONGO-24h'!L61,'10.8 BWERA-KIKORONGO 24HRS'!L61)</f>
        <v>0</v>
      </c>
      <c r="M61" s="49">
        <f>AVERAGE('8.8 BWERA-KIKORONGO-24h'!M61,'10.8 BWERA-KIKORONGO 24HRS'!M61)</f>
        <v>2.5</v>
      </c>
      <c r="N61" s="49">
        <f>AVERAGE('8.8 BWERA-KIKORONGO-24h'!N61,'10.8 BWERA-KIKORONGO 24HRS'!N61)</f>
        <v>0</v>
      </c>
      <c r="O61" s="15">
        <f t="shared" si="0"/>
        <v>8</v>
      </c>
      <c r="P61" s="15">
        <f t="shared" si="1"/>
        <v>10.5</v>
      </c>
      <c r="R61" s="8"/>
      <c r="T61"/>
    </row>
    <row r="62" spans="2:20" ht="23.1" customHeight="1" x14ac:dyDescent="0.25">
      <c r="B62" s="23" t="s">
        <v>107</v>
      </c>
      <c r="C62" s="49">
        <f>AVERAGE('8.8 BWERA-KIKORONGO-24h'!C62,'10.8 BWERA-KIKORONGO 24HRS'!C62)</f>
        <v>6</v>
      </c>
      <c r="D62" s="49">
        <f>AVERAGE('8.8 BWERA-KIKORONGO-24h'!D62,'10.8 BWERA-KIKORONGO 24HRS'!D62)</f>
        <v>0</v>
      </c>
      <c r="E62" s="49">
        <f>AVERAGE('8.8 BWERA-KIKORONGO-24h'!E62,'10.8 BWERA-KIKORONGO 24HRS'!E62)</f>
        <v>0.5</v>
      </c>
      <c r="F62" s="49">
        <f>AVERAGE('8.8 BWERA-KIKORONGO-24h'!F62,'10.8 BWERA-KIKORONGO 24HRS'!F62)</f>
        <v>1</v>
      </c>
      <c r="G62" s="49">
        <f>AVERAGE('8.8 BWERA-KIKORONGO-24h'!G62,'10.8 BWERA-KIKORONGO 24HRS'!G62)</f>
        <v>0</v>
      </c>
      <c r="H62" s="49">
        <f>AVERAGE('8.8 BWERA-KIKORONGO-24h'!H62,'10.8 BWERA-KIKORONGO 24HRS'!H62)</f>
        <v>0</v>
      </c>
      <c r="I62" s="49">
        <f>AVERAGE('8.8 BWERA-KIKORONGO-24h'!I62,'10.8 BWERA-KIKORONGO 24HRS'!I62)</f>
        <v>0</v>
      </c>
      <c r="J62" s="49">
        <f>AVERAGE('8.8 BWERA-KIKORONGO-24h'!J62,'10.8 BWERA-KIKORONGO 24HRS'!J62)</f>
        <v>0.5</v>
      </c>
      <c r="K62" s="49">
        <f>AVERAGE('8.8 BWERA-KIKORONGO-24h'!K62,'10.8 BWERA-KIKORONGO 24HRS'!K62)</f>
        <v>0</v>
      </c>
      <c r="L62" s="49">
        <f>AVERAGE('8.8 BWERA-KIKORONGO-24h'!L62,'10.8 BWERA-KIKORONGO 24HRS'!L62)</f>
        <v>0.5</v>
      </c>
      <c r="M62" s="49">
        <f>AVERAGE('8.8 BWERA-KIKORONGO-24h'!M62,'10.8 BWERA-KIKORONGO 24HRS'!M62)</f>
        <v>3</v>
      </c>
      <c r="N62" s="49">
        <f>AVERAGE('8.8 BWERA-KIKORONGO-24h'!N62,'10.8 BWERA-KIKORONGO 24HRS'!N62)</f>
        <v>0</v>
      </c>
      <c r="O62" s="15">
        <f t="shared" si="0"/>
        <v>8.5</v>
      </c>
      <c r="P62" s="15">
        <f t="shared" si="1"/>
        <v>11.5</v>
      </c>
      <c r="R62" s="8"/>
      <c r="T62"/>
    </row>
    <row r="63" spans="2:20" ht="23.1" customHeight="1" x14ac:dyDescent="0.25">
      <c r="B63" s="23" t="s">
        <v>108</v>
      </c>
      <c r="C63" s="49">
        <f>AVERAGE('8.8 BWERA-KIKORONGO-24h'!C63,'10.8 BWERA-KIKORONGO 24HRS'!C63)</f>
        <v>1</v>
      </c>
      <c r="D63" s="49">
        <f>AVERAGE('8.8 BWERA-KIKORONGO-24h'!D63,'10.8 BWERA-KIKORONGO 24HRS'!D63)</f>
        <v>0</v>
      </c>
      <c r="E63" s="49">
        <f>AVERAGE('8.8 BWERA-KIKORONGO-24h'!E63,'10.8 BWERA-KIKORONGO 24HRS'!E63)</f>
        <v>3.5</v>
      </c>
      <c r="F63" s="49">
        <f>AVERAGE('8.8 BWERA-KIKORONGO-24h'!F63,'10.8 BWERA-KIKORONGO 24HRS'!F63)</f>
        <v>3.5</v>
      </c>
      <c r="G63" s="49">
        <f>AVERAGE('8.8 BWERA-KIKORONGO-24h'!G63,'10.8 BWERA-KIKORONGO 24HRS'!G63)</f>
        <v>0</v>
      </c>
      <c r="H63" s="49">
        <f>AVERAGE('8.8 BWERA-KIKORONGO-24h'!H63,'10.8 BWERA-KIKORONGO 24HRS'!H63)</f>
        <v>0</v>
      </c>
      <c r="I63" s="49">
        <f>AVERAGE('8.8 BWERA-KIKORONGO-24h'!I63,'10.8 BWERA-KIKORONGO 24HRS'!I63)</f>
        <v>0</v>
      </c>
      <c r="J63" s="49">
        <f>AVERAGE('8.8 BWERA-KIKORONGO-24h'!J63,'10.8 BWERA-KIKORONGO 24HRS'!J63)</f>
        <v>0</v>
      </c>
      <c r="K63" s="49">
        <f>AVERAGE('8.8 BWERA-KIKORONGO-24h'!K63,'10.8 BWERA-KIKORONGO 24HRS'!K63)</f>
        <v>0</v>
      </c>
      <c r="L63" s="49">
        <f>AVERAGE('8.8 BWERA-KIKORONGO-24h'!L63,'10.8 BWERA-KIKORONGO 24HRS'!L63)</f>
        <v>0</v>
      </c>
      <c r="M63" s="49">
        <f>AVERAGE('8.8 BWERA-KIKORONGO-24h'!M63,'10.8 BWERA-KIKORONGO 24HRS'!M63)</f>
        <v>3</v>
      </c>
      <c r="N63" s="49">
        <f>AVERAGE('8.8 BWERA-KIKORONGO-24h'!N63,'10.8 BWERA-KIKORONGO 24HRS'!N63)</f>
        <v>0</v>
      </c>
      <c r="O63" s="15">
        <f t="shared" si="0"/>
        <v>8</v>
      </c>
      <c r="P63" s="15">
        <f t="shared" si="1"/>
        <v>11</v>
      </c>
      <c r="R63" s="8"/>
      <c r="T63"/>
    </row>
    <row r="64" spans="2:20" ht="23.1" customHeight="1" x14ac:dyDescent="0.25">
      <c r="B64" s="23" t="s">
        <v>109</v>
      </c>
      <c r="C64" s="49">
        <f>AVERAGE('8.8 BWERA-KIKORONGO-24h'!C64,'10.8 BWERA-KIKORONGO 24HRS'!C64)</f>
        <v>2</v>
      </c>
      <c r="D64" s="49">
        <f>AVERAGE('8.8 BWERA-KIKORONGO-24h'!D64,'10.8 BWERA-KIKORONGO 24HRS'!D64)</f>
        <v>0</v>
      </c>
      <c r="E64" s="49">
        <f>AVERAGE('8.8 BWERA-KIKORONGO-24h'!E64,'10.8 BWERA-KIKORONGO 24HRS'!E64)</f>
        <v>3</v>
      </c>
      <c r="F64" s="49">
        <f>AVERAGE('8.8 BWERA-KIKORONGO-24h'!F64,'10.8 BWERA-KIKORONGO 24HRS'!F64)</f>
        <v>1</v>
      </c>
      <c r="G64" s="49">
        <f>AVERAGE('8.8 BWERA-KIKORONGO-24h'!G64,'10.8 BWERA-KIKORONGO 24HRS'!G64)</f>
        <v>0</v>
      </c>
      <c r="H64" s="49">
        <f>AVERAGE('8.8 BWERA-KIKORONGO-24h'!H64,'10.8 BWERA-KIKORONGO 24HRS'!H64)</f>
        <v>0</v>
      </c>
      <c r="I64" s="49">
        <f>AVERAGE('8.8 BWERA-KIKORONGO-24h'!I64,'10.8 BWERA-KIKORONGO 24HRS'!I64)</f>
        <v>1</v>
      </c>
      <c r="J64" s="49">
        <f>AVERAGE('8.8 BWERA-KIKORONGO-24h'!J64,'10.8 BWERA-KIKORONGO 24HRS'!J64)</f>
        <v>0.5</v>
      </c>
      <c r="K64" s="49">
        <f>AVERAGE('8.8 BWERA-KIKORONGO-24h'!K64,'10.8 BWERA-KIKORONGO 24HRS'!K64)</f>
        <v>0</v>
      </c>
      <c r="L64" s="49">
        <f>AVERAGE('8.8 BWERA-KIKORONGO-24h'!L64,'10.8 BWERA-KIKORONGO 24HRS'!L64)</f>
        <v>1</v>
      </c>
      <c r="M64" s="49">
        <f>AVERAGE('8.8 BWERA-KIKORONGO-24h'!M64,'10.8 BWERA-KIKORONGO 24HRS'!M64)</f>
        <v>1</v>
      </c>
      <c r="N64" s="49">
        <f>AVERAGE('8.8 BWERA-KIKORONGO-24h'!N64,'10.8 BWERA-KIKORONGO 24HRS'!N64)</f>
        <v>0.5</v>
      </c>
      <c r="O64" s="15">
        <f t="shared" si="0"/>
        <v>9</v>
      </c>
      <c r="P64" s="15">
        <f t="shared" si="1"/>
        <v>10</v>
      </c>
      <c r="R64" s="8"/>
      <c r="T64"/>
    </row>
    <row r="65" spans="2:20" ht="23.1" customHeight="1" x14ac:dyDescent="0.25">
      <c r="B65" s="23" t="s">
        <v>158</v>
      </c>
      <c r="C65" s="49">
        <f>AVERAGE('8.8 BWERA-KIKORONGO-24h'!C65,'10.8 BWERA-KIKORONGO 24HRS'!C65)</f>
        <v>3.5</v>
      </c>
      <c r="D65" s="49">
        <f>AVERAGE('8.8 BWERA-KIKORONGO-24h'!D65,'10.8 BWERA-KIKORONGO 24HRS'!D65)</f>
        <v>0</v>
      </c>
      <c r="E65" s="49">
        <f>AVERAGE('8.8 BWERA-KIKORONGO-24h'!E65,'10.8 BWERA-KIKORONGO 24HRS'!E65)</f>
        <v>1</v>
      </c>
      <c r="F65" s="49">
        <f>AVERAGE('8.8 BWERA-KIKORONGO-24h'!F65,'10.8 BWERA-KIKORONGO 24HRS'!F65)</f>
        <v>1</v>
      </c>
      <c r="G65" s="49">
        <f>AVERAGE('8.8 BWERA-KIKORONGO-24h'!G65,'10.8 BWERA-KIKORONGO 24HRS'!G65)</f>
        <v>0</v>
      </c>
      <c r="H65" s="49">
        <f>AVERAGE('8.8 BWERA-KIKORONGO-24h'!H65,'10.8 BWERA-KIKORONGO 24HRS'!H65)</f>
        <v>0</v>
      </c>
      <c r="I65" s="49">
        <f>AVERAGE('8.8 BWERA-KIKORONGO-24h'!I65,'10.8 BWERA-KIKORONGO 24HRS'!I65)</f>
        <v>0</v>
      </c>
      <c r="J65" s="49">
        <f>AVERAGE('8.8 BWERA-KIKORONGO-24h'!J65,'10.8 BWERA-KIKORONGO 24HRS'!J65)</f>
        <v>1</v>
      </c>
      <c r="K65" s="49">
        <f>AVERAGE('8.8 BWERA-KIKORONGO-24h'!K65,'10.8 BWERA-KIKORONGO 24HRS'!K65)</f>
        <v>0</v>
      </c>
      <c r="L65" s="49">
        <f>AVERAGE('8.8 BWERA-KIKORONGO-24h'!L65,'10.8 BWERA-KIKORONGO 24HRS'!L65)</f>
        <v>1</v>
      </c>
      <c r="M65" s="49">
        <f>AVERAGE('8.8 BWERA-KIKORONGO-24h'!M65,'10.8 BWERA-KIKORONGO 24HRS'!M65)</f>
        <v>1.5</v>
      </c>
      <c r="N65" s="49">
        <f>AVERAGE('8.8 BWERA-KIKORONGO-24h'!N65,'10.8 BWERA-KIKORONGO 24HRS'!N65)</f>
        <v>0</v>
      </c>
      <c r="O65" s="15">
        <f t="shared" si="0"/>
        <v>7.5</v>
      </c>
      <c r="P65" s="15">
        <f t="shared" si="1"/>
        <v>9</v>
      </c>
      <c r="R65" s="8"/>
      <c r="T65"/>
    </row>
    <row r="66" spans="2:20" ht="23.1" customHeight="1" x14ac:dyDescent="0.25">
      <c r="B66" s="23" t="s">
        <v>103</v>
      </c>
      <c r="C66" s="49">
        <f>AVERAGE('8.8 BWERA-KIKORONGO-24h'!C66,'10.8 BWERA-KIKORONGO 24HRS'!C66)</f>
        <v>1</v>
      </c>
      <c r="D66" s="49">
        <f>AVERAGE('8.8 BWERA-KIKORONGO-24h'!D66,'10.8 BWERA-KIKORONGO 24HRS'!D66)</f>
        <v>0</v>
      </c>
      <c r="E66" s="49">
        <f>AVERAGE('8.8 BWERA-KIKORONGO-24h'!E66,'10.8 BWERA-KIKORONGO 24HRS'!E66)</f>
        <v>1.5</v>
      </c>
      <c r="F66" s="49">
        <f>AVERAGE('8.8 BWERA-KIKORONGO-24h'!F66,'10.8 BWERA-KIKORONGO 24HRS'!F66)</f>
        <v>1.5</v>
      </c>
      <c r="G66" s="49">
        <f>AVERAGE('8.8 BWERA-KIKORONGO-24h'!G66,'10.8 BWERA-KIKORONGO 24HRS'!G66)</f>
        <v>0</v>
      </c>
      <c r="H66" s="49">
        <f>AVERAGE('8.8 BWERA-KIKORONGO-24h'!H66,'10.8 BWERA-KIKORONGO 24HRS'!H66)</f>
        <v>0</v>
      </c>
      <c r="I66" s="49">
        <f>AVERAGE('8.8 BWERA-KIKORONGO-24h'!I66,'10.8 BWERA-KIKORONGO 24HRS'!I66)</f>
        <v>0</v>
      </c>
      <c r="J66" s="49">
        <f>AVERAGE('8.8 BWERA-KIKORONGO-24h'!J66,'10.8 BWERA-KIKORONGO 24HRS'!J66)</f>
        <v>0.5</v>
      </c>
      <c r="K66" s="49">
        <f>AVERAGE('8.8 BWERA-KIKORONGO-24h'!K66,'10.8 BWERA-KIKORONGO 24HRS'!K66)</f>
        <v>0</v>
      </c>
      <c r="L66" s="49">
        <f>AVERAGE('8.8 BWERA-KIKORONGO-24h'!L66,'10.8 BWERA-KIKORONGO 24HRS'!L66)</f>
        <v>1</v>
      </c>
      <c r="M66" s="49">
        <f>AVERAGE('8.8 BWERA-KIKORONGO-24h'!M66,'10.8 BWERA-KIKORONGO 24HRS'!M66)</f>
        <v>1</v>
      </c>
      <c r="N66" s="49">
        <f>AVERAGE('8.8 BWERA-KIKORONGO-24h'!N66,'10.8 BWERA-KIKORONGO 24HRS'!N66)</f>
        <v>0</v>
      </c>
      <c r="O66" s="15">
        <f t="shared" si="0"/>
        <v>5.5</v>
      </c>
      <c r="P66" s="15">
        <f t="shared" si="1"/>
        <v>6.5</v>
      </c>
      <c r="R66" s="8"/>
      <c r="T66"/>
    </row>
    <row r="67" spans="2:20" ht="23.1" customHeight="1" x14ac:dyDescent="0.25">
      <c r="B67" s="23" t="s">
        <v>104</v>
      </c>
      <c r="C67" s="49">
        <f>AVERAGE('8.8 BWERA-KIKORONGO-24h'!C67,'10.8 BWERA-KIKORONGO 24HRS'!C67)</f>
        <v>0</v>
      </c>
      <c r="D67" s="49">
        <f>AVERAGE('8.8 BWERA-KIKORONGO-24h'!D67,'10.8 BWERA-KIKORONGO 24HRS'!D67)</f>
        <v>0</v>
      </c>
      <c r="E67" s="49">
        <f>AVERAGE('8.8 BWERA-KIKORONGO-24h'!E67,'10.8 BWERA-KIKORONGO 24HRS'!E67)</f>
        <v>0</v>
      </c>
      <c r="F67" s="49">
        <f>AVERAGE('8.8 BWERA-KIKORONGO-24h'!F67,'10.8 BWERA-KIKORONGO 24HRS'!F67)</f>
        <v>0.5</v>
      </c>
      <c r="G67" s="49">
        <f>AVERAGE('8.8 BWERA-KIKORONGO-24h'!G67,'10.8 BWERA-KIKORONGO 24HRS'!G67)</f>
        <v>0</v>
      </c>
      <c r="H67" s="49">
        <f>AVERAGE('8.8 BWERA-KIKORONGO-24h'!H67,'10.8 BWERA-KIKORONGO 24HRS'!H67)</f>
        <v>0</v>
      </c>
      <c r="I67" s="49">
        <f>AVERAGE('8.8 BWERA-KIKORONGO-24h'!I67,'10.8 BWERA-KIKORONGO 24HRS'!I67)</f>
        <v>0</v>
      </c>
      <c r="J67" s="49">
        <f>AVERAGE('8.8 BWERA-KIKORONGO-24h'!J67,'10.8 BWERA-KIKORONGO 24HRS'!J67)</f>
        <v>0.5</v>
      </c>
      <c r="K67" s="49">
        <f>AVERAGE('8.8 BWERA-KIKORONGO-24h'!K67,'10.8 BWERA-KIKORONGO 24HRS'!K67)</f>
        <v>0</v>
      </c>
      <c r="L67" s="49">
        <f>AVERAGE('8.8 BWERA-KIKORONGO-24h'!L67,'10.8 BWERA-KIKORONGO 24HRS'!L67)</f>
        <v>0</v>
      </c>
      <c r="M67" s="49">
        <f>AVERAGE('8.8 BWERA-KIKORONGO-24h'!M67,'10.8 BWERA-KIKORONGO 24HRS'!M67)</f>
        <v>1.5</v>
      </c>
      <c r="N67" s="49">
        <f>AVERAGE('8.8 BWERA-KIKORONGO-24h'!N67,'10.8 BWERA-KIKORONGO 24HRS'!N67)</f>
        <v>0</v>
      </c>
      <c r="O67" s="15">
        <f t="shared" si="0"/>
        <v>1</v>
      </c>
      <c r="P67" s="15">
        <f t="shared" si="1"/>
        <v>2.5</v>
      </c>
      <c r="R67" s="8"/>
      <c r="T67"/>
    </row>
    <row r="68" spans="2:20" ht="23.1" customHeight="1" x14ac:dyDescent="0.25">
      <c r="B68" s="23" t="s">
        <v>105</v>
      </c>
      <c r="C68" s="49">
        <f>AVERAGE('8.8 BWERA-KIKORONGO-24h'!C68,'10.8 BWERA-KIKORONGO 24HRS'!C68)</f>
        <v>2</v>
      </c>
      <c r="D68" s="49">
        <f>AVERAGE('8.8 BWERA-KIKORONGO-24h'!D68,'10.8 BWERA-KIKORONGO 24HRS'!D68)</f>
        <v>0</v>
      </c>
      <c r="E68" s="49">
        <f>AVERAGE('8.8 BWERA-KIKORONGO-24h'!E68,'10.8 BWERA-KIKORONGO 24HRS'!E68)</f>
        <v>1</v>
      </c>
      <c r="F68" s="49">
        <f>AVERAGE('8.8 BWERA-KIKORONGO-24h'!F68,'10.8 BWERA-KIKORONGO 24HRS'!F68)</f>
        <v>0</v>
      </c>
      <c r="G68" s="49">
        <f>AVERAGE('8.8 BWERA-KIKORONGO-24h'!G68,'10.8 BWERA-KIKORONGO 24HRS'!G68)</f>
        <v>0</v>
      </c>
      <c r="H68" s="49">
        <f>AVERAGE('8.8 BWERA-KIKORONGO-24h'!H68,'10.8 BWERA-KIKORONGO 24HRS'!H68)</f>
        <v>0</v>
      </c>
      <c r="I68" s="49">
        <f>AVERAGE('8.8 BWERA-KIKORONGO-24h'!I68,'10.8 BWERA-KIKORONGO 24HRS'!I68)</f>
        <v>0.5</v>
      </c>
      <c r="J68" s="49">
        <f>AVERAGE('8.8 BWERA-KIKORONGO-24h'!J68,'10.8 BWERA-KIKORONGO 24HRS'!J68)</f>
        <v>0</v>
      </c>
      <c r="K68" s="49">
        <f>AVERAGE('8.8 BWERA-KIKORONGO-24h'!K68,'10.8 BWERA-KIKORONGO 24HRS'!K68)</f>
        <v>0</v>
      </c>
      <c r="L68" s="49">
        <f>AVERAGE('8.8 BWERA-KIKORONGO-24h'!L68,'10.8 BWERA-KIKORONGO 24HRS'!L68)</f>
        <v>0</v>
      </c>
      <c r="M68" s="49">
        <f>AVERAGE('8.8 BWERA-KIKORONGO-24h'!M68,'10.8 BWERA-KIKORONGO 24HRS'!M68)</f>
        <v>1</v>
      </c>
      <c r="N68" s="49">
        <f>AVERAGE('8.8 BWERA-KIKORONGO-24h'!N68,'10.8 BWERA-KIKORONGO 24HRS'!N68)</f>
        <v>0</v>
      </c>
      <c r="O68" s="15">
        <f t="shared" si="0"/>
        <v>3.5</v>
      </c>
      <c r="P68" s="15">
        <f t="shared" si="1"/>
        <v>4.5</v>
      </c>
      <c r="R68" s="8"/>
      <c r="T68"/>
    </row>
    <row r="69" spans="2:20" ht="23.1" customHeight="1" x14ac:dyDescent="0.25">
      <c r="B69" s="23" t="s">
        <v>106</v>
      </c>
      <c r="C69" s="49">
        <f>AVERAGE('8.8 BWERA-KIKORONGO-24h'!C69,'10.8 BWERA-KIKORONGO 24HRS'!C69)</f>
        <v>1</v>
      </c>
      <c r="D69" s="49">
        <f>AVERAGE('8.8 BWERA-KIKORONGO-24h'!D69,'10.8 BWERA-KIKORONGO 24HRS'!D69)</f>
        <v>0</v>
      </c>
      <c r="E69" s="49">
        <f>AVERAGE('8.8 BWERA-KIKORONGO-24h'!E69,'10.8 BWERA-KIKORONGO 24HRS'!E69)</f>
        <v>5.5</v>
      </c>
      <c r="F69" s="49">
        <f>AVERAGE('8.8 BWERA-KIKORONGO-24h'!F69,'10.8 BWERA-KIKORONGO 24HRS'!F69)</f>
        <v>1.5</v>
      </c>
      <c r="G69" s="49">
        <f>AVERAGE('8.8 BWERA-KIKORONGO-24h'!G69,'10.8 BWERA-KIKORONGO 24HRS'!G69)</f>
        <v>0</v>
      </c>
      <c r="H69" s="49">
        <f>AVERAGE('8.8 BWERA-KIKORONGO-24h'!H69,'10.8 BWERA-KIKORONGO 24HRS'!H69)</f>
        <v>0</v>
      </c>
      <c r="I69" s="49">
        <f>AVERAGE('8.8 BWERA-KIKORONGO-24h'!I69,'10.8 BWERA-KIKORONGO 24HRS'!I69)</f>
        <v>0.5</v>
      </c>
      <c r="J69" s="49">
        <f>AVERAGE('8.8 BWERA-KIKORONGO-24h'!J69,'10.8 BWERA-KIKORONGO 24HRS'!J69)</f>
        <v>0</v>
      </c>
      <c r="K69" s="49">
        <f>AVERAGE('8.8 BWERA-KIKORONGO-24h'!K69,'10.8 BWERA-KIKORONGO 24HRS'!K69)</f>
        <v>0</v>
      </c>
      <c r="L69" s="49">
        <f>AVERAGE('8.8 BWERA-KIKORONGO-24h'!L69,'10.8 BWERA-KIKORONGO 24HRS'!L69)</f>
        <v>0.5</v>
      </c>
      <c r="M69" s="49">
        <f>AVERAGE('8.8 BWERA-KIKORONGO-24h'!M69,'10.8 BWERA-KIKORONGO 24HRS'!M69)</f>
        <v>0</v>
      </c>
      <c r="N69" s="49">
        <f>AVERAGE('8.8 BWERA-KIKORONGO-24h'!N69,'10.8 BWERA-KIKORONGO 24HRS'!N69)</f>
        <v>0</v>
      </c>
      <c r="O69" s="15">
        <f t="shared" si="0"/>
        <v>9</v>
      </c>
      <c r="P69" s="15">
        <f t="shared" si="1"/>
        <v>9</v>
      </c>
      <c r="R69" s="8"/>
      <c r="T69"/>
    </row>
    <row r="70" spans="2:20" ht="23.1" customHeight="1" x14ac:dyDescent="0.25">
      <c r="B70" s="23" t="s">
        <v>110</v>
      </c>
      <c r="C70" s="49">
        <f>AVERAGE('8.8 BWERA-KIKORONGO-24h'!C70,'10.8 BWERA-KIKORONGO 24HRS'!C70)</f>
        <v>2.5</v>
      </c>
      <c r="D70" s="49">
        <f>AVERAGE('8.8 BWERA-KIKORONGO-24h'!D70,'10.8 BWERA-KIKORONGO 24HRS'!D70)</f>
        <v>0</v>
      </c>
      <c r="E70" s="49">
        <f>AVERAGE('8.8 BWERA-KIKORONGO-24h'!E70,'10.8 BWERA-KIKORONGO 24HRS'!E70)</f>
        <v>1</v>
      </c>
      <c r="F70" s="49">
        <f>AVERAGE('8.8 BWERA-KIKORONGO-24h'!F70,'10.8 BWERA-KIKORONGO 24HRS'!F70)</f>
        <v>1</v>
      </c>
      <c r="G70" s="49">
        <f>AVERAGE('8.8 BWERA-KIKORONGO-24h'!G70,'10.8 BWERA-KIKORONGO 24HRS'!G70)</f>
        <v>0</v>
      </c>
      <c r="H70" s="49">
        <f>AVERAGE('8.8 BWERA-KIKORONGO-24h'!H70,'10.8 BWERA-KIKORONGO 24HRS'!H70)</f>
        <v>0</v>
      </c>
      <c r="I70" s="49">
        <f>AVERAGE('8.8 BWERA-KIKORONGO-24h'!I70,'10.8 BWERA-KIKORONGO 24HRS'!I70)</f>
        <v>0</v>
      </c>
      <c r="J70" s="49">
        <f>AVERAGE('8.8 BWERA-KIKORONGO-24h'!J70,'10.8 BWERA-KIKORONGO 24HRS'!J70)</f>
        <v>0.5</v>
      </c>
      <c r="K70" s="49">
        <f>AVERAGE('8.8 BWERA-KIKORONGO-24h'!K70,'10.8 BWERA-KIKORONGO 24HRS'!K70)</f>
        <v>0</v>
      </c>
      <c r="L70" s="49">
        <f>AVERAGE('8.8 BWERA-KIKORONGO-24h'!L70,'10.8 BWERA-KIKORONGO 24HRS'!L70)</f>
        <v>0</v>
      </c>
      <c r="M70" s="49">
        <f>AVERAGE('8.8 BWERA-KIKORONGO-24h'!M70,'10.8 BWERA-KIKORONGO 24HRS'!M70)</f>
        <v>0.5</v>
      </c>
      <c r="N70" s="49">
        <f>AVERAGE('8.8 BWERA-KIKORONGO-24h'!N70,'10.8 BWERA-KIKORONGO 24HRS'!N70)</f>
        <v>0</v>
      </c>
      <c r="O70" s="15">
        <f t="shared" si="0"/>
        <v>5</v>
      </c>
      <c r="P70" s="15">
        <f t="shared" si="1"/>
        <v>5.5</v>
      </c>
      <c r="R70" s="8"/>
      <c r="T70"/>
    </row>
    <row r="71" spans="2:20" ht="23.1" customHeight="1" x14ac:dyDescent="0.25">
      <c r="B71" s="23" t="s">
        <v>111</v>
      </c>
      <c r="C71" s="49">
        <f>AVERAGE('8.8 BWERA-KIKORONGO-24h'!C71,'10.8 BWERA-KIKORONGO 24HRS'!C71)</f>
        <v>0.5</v>
      </c>
      <c r="D71" s="49">
        <f>AVERAGE('8.8 BWERA-KIKORONGO-24h'!D71,'10.8 BWERA-KIKORONGO 24HRS'!D71)</f>
        <v>0</v>
      </c>
      <c r="E71" s="49">
        <f>AVERAGE('8.8 BWERA-KIKORONGO-24h'!E71,'10.8 BWERA-KIKORONGO 24HRS'!E71)</f>
        <v>0</v>
      </c>
      <c r="F71" s="49">
        <f>AVERAGE('8.8 BWERA-KIKORONGO-24h'!F71,'10.8 BWERA-KIKORONGO 24HRS'!F71)</f>
        <v>0</v>
      </c>
      <c r="G71" s="49">
        <f>AVERAGE('8.8 BWERA-KIKORONGO-24h'!G71,'10.8 BWERA-KIKORONGO 24HRS'!G71)</f>
        <v>0</v>
      </c>
      <c r="H71" s="49">
        <f>AVERAGE('8.8 BWERA-KIKORONGO-24h'!H71,'10.8 BWERA-KIKORONGO 24HRS'!H71)</f>
        <v>0</v>
      </c>
      <c r="I71" s="49">
        <f>AVERAGE('8.8 BWERA-KIKORONGO-24h'!I71,'10.8 BWERA-KIKORONGO 24HRS'!I71)</f>
        <v>1</v>
      </c>
      <c r="J71" s="49">
        <f>AVERAGE('8.8 BWERA-KIKORONGO-24h'!J71,'10.8 BWERA-KIKORONGO 24HRS'!J71)</f>
        <v>0.5</v>
      </c>
      <c r="K71" s="49">
        <f>AVERAGE('8.8 BWERA-KIKORONGO-24h'!K71,'10.8 BWERA-KIKORONGO 24HRS'!K71)</f>
        <v>0</v>
      </c>
      <c r="L71" s="49">
        <f>AVERAGE('8.8 BWERA-KIKORONGO-24h'!L71,'10.8 BWERA-KIKORONGO 24HRS'!L71)</f>
        <v>1</v>
      </c>
      <c r="M71" s="49">
        <f>AVERAGE('8.8 BWERA-KIKORONGO-24h'!M71,'10.8 BWERA-KIKORONGO 24HRS'!M71)</f>
        <v>0</v>
      </c>
      <c r="N71" s="49">
        <f>AVERAGE('8.8 BWERA-KIKORONGO-24h'!N71,'10.8 BWERA-KIKORONGO 24HRS'!N71)</f>
        <v>0</v>
      </c>
      <c r="O71" s="15">
        <f t="shared" si="0"/>
        <v>3</v>
      </c>
      <c r="P71" s="15">
        <f t="shared" si="1"/>
        <v>3</v>
      </c>
      <c r="R71" s="8"/>
      <c r="T71"/>
    </row>
    <row r="72" spans="2:20" ht="23.1" customHeight="1" x14ac:dyDescent="0.25">
      <c r="B72" s="23" t="s">
        <v>112</v>
      </c>
      <c r="C72" s="49">
        <f>AVERAGE('8.8 BWERA-KIKORONGO-24h'!C72,'10.8 BWERA-KIKORONGO 24HRS'!C72)</f>
        <v>1</v>
      </c>
      <c r="D72" s="49">
        <f>AVERAGE('8.8 BWERA-KIKORONGO-24h'!D72,'10.8 BWERA-KIKORONGO 24HRS'!D72)</f>
        <v>0</v>
      </c>
      <c r="E72" s="49">
        <f>AVERAGE('8.8 BWERA-KIKORONGO-24h'!E72,'10.8 BWERA-KIKORONGO 24HRS'!E72)</f>
        <v>0</v>
      </c>
      <c r="F72" s="49">
        <f>AVERAGE('8.8 BWERA-KIKORONGO-24h'!F72,'10.8 BWERA-KIKORONGO 24HRS'!F72)</f>
        <v>0</v>
      </c>
      <c r="G72" s="49">
        <f>AVERAGE('8.8 BWERA-KIKORONGO-24h'!G72,'10.8 BWERA-KIKORONGO 24HRS'!G72)</f>
        <v>0</v>
      </c>
      <c r="H72" s="49">
        <f>AVERAGE('8.8 BWERA-KIKORONGO-24h'!H72,'10.8 BWERA-KIKORONGO 24HRS'!H72)</f>
        <v>0</v>
      </c>
      <c r="I72" s="49">
        <f>AVERAGE('8.8 BWERA-KIKORONGO-24h'!I72,'10.8 BWERA-KIKORONGO 24HRS'!I72)</f>
        <v>0</v>
      </c>
      <c r="J72" s="49">
        <f>AVERAGE('8.8 BWERA-KIKORONGO-24h'!J72,'10.8 BWERA-KIKORONGO 24HRS'!J72)</f>
        <v>0</v>
      </c>
      <c r="K72" s="49">
        <f>AVERAGE('8.8 BWERA-KIKORONGO-24h'!K72,'10.8 BWERA-KIKORONGO 24HRS'!K72)</f>
        <v>0</v>
      </c>
      <c r="L72" s="49">
        <f>AVERAGE('8.8 BWERA-KIKORONGO-24h'!L72,'10.8 BWERA-KIKORONGO 24HRS'!L72)</f>
        <v>0.5</v>
      </c>
      <c r="M72" s="49">
        <f>AVERAGE('8.8 BWERA-KIKORONGO-24h'!M72,'10.8 BWERA-KIKORONGO 24HRS'!M72)</f>
        <v>0</v>
      </c>
      <c r="N72" s="49">
        <f>AVERAGE('8.8 BWERA-KIKORONGO-24h'!N72,'10.8 BWERA-KIKORONGO 24HRS'!N72)</f>
        <v>0</v>
      </c>
      <c r="O72" s="15">
        <f t="shared" si="0"/>
        <v>1.5</v>
      </c>
      <c r="P72" s="15">
        <f t="shared" si="1"/>
        <v>1.5</v>
      </c>
      <c r="R72" s="8"/>
      <c r="T72"/>
    </row>
    <row r="73" spans="2:20" ht="23.1" customHeight="1" x14ac:dyDescent="0.25">
      <c r="B73" s="23" t="s">
        <v>113</v>
      </c>
      <c r="C73" s="49">
        <f>AVERAGE('8.8 BWERA-KIKORONGO-24h'!C73,'10.8 BWERA-KIKORONGO 24HRS'!C73)</f>
        <v>0.5</v>
      </c>
      <c r="D73" s="49">
        <f>AVERAGE('8.8 BWERA-KIKORONGO-24h'!D73,'10.8 BWERA-KIKORONGO 24HRS'!D73)</f>
        <v>0</v>
      </c>
      <c r="E73" s="49">
        <f>AVERAGE('8.8 BWERA-KIKORONGO-24h'!E73,'10.8 BWERA-KIKORONGO 24HRS'!E73)</f>
        <v>0</v>
      </c>
      <c r="F73" s="49">
        <f>AVERAGE('8.8 BWERA-KIKORONGO-24h'!F73,'10.8 BWERA-KIKORONGO 24HRS'!F73)</f>
        <v>0</v>
      </c>
      <c r="G73" s="49">
        <f>AVERAGE('8.8 BWERA-KIKORONGO-24h'!G73,'10.8 BWERA-KIKORONGO 24HRS'!G73)</f>
        <v>0</v>
      </c>
      <c r="H73" s="49">
        <f>AVERAGE('8.8 BWERA-KIKORONGO-24h'!H73,'10.8 BWERA-KIKORONGO 24HRS'!H73)</f>
        <v>0</v>
      </c>
      <c r="I73" s="49">
        <f>AVERAGE('8.8 BWERA-KIKORONGO-24h'!I73,'10.8 BWERA-KIKORONGO 24HRS'!I73)</f>
        <v>0</v>
      </c>
      <c r="J73" s="49">
        <f>AVERAGE('8.8 BWERA-KIKORONGO-24h'!J73,'10.8 BWERA-KIKORONGO 24HRS'!J73)</f>
        <v>0</v>
      </c>
      <c r="K73" s="49">
        <f>AVERAGE('8.8 BWERA-KIKORONGO-24h'!K73,'10.8 BWERA-KIKORONGO 24HRS'!K73)</f>
        <v>0</v>
      </c>
      <c r="L73" s="49">
        <f>AVERAGE('8.8 BWERA-KIKORONGO-24h'!L73,'10.8 BWERA-KIKORONGO 24HRS'!L73)</f>
        <v>1</v>
      </c>
      <c r="M73" s="49">
        <f>AVERAGE('8.8 BWERA-KIKORONGO-24h'!M73,'10.8 BWERA-KIKORONGO 24HRS'!M73)</f>
        <v>0</v>
      </c>
      <c r="N73" s="49">
        <f>AVERAGE('8.8 BWERA-KIKORONGO-24h'!N73,'10.8 BWERA-KIKORONGO 24HRS'!N73)</f>
        <v>0</v>
      </c>
      <c r="O73" s="15">
        <f t="shared" si="0"/>
        <v>1.5</v>
      </c>
      <c r="P73" s="15">
        <f t="shared" si="1"/>
        <v>1.5</v>
      </c>
      <c r="R73" s="8"/>
      <c r="T73"/>
    </row>
    <row r="74" spans="2:20" ht="23.1" customHeight="1" x14ac:dyDescent="0.25">
      <c r="B74" s="23" t="s">
        <v>114</v>
      </c>
      <c r="C74" s="49">
        <f>AVERAGE('8.8 BWERA-KIKORONGO-24h'!C74,'10.8 BWERA-KIKORONGO 24HRS'!C74)</f>
        <v>3</v>
      </c>
      <c r="D74" s="49">
        <f>AVERAGE('8.8 BWERA-KIKORONGO-24h'!D74,'10.8 BWERA-KIKORONGO 24HRS'!D74)</f>
        <v>0</v>
      </c>
      <c r="E74" s="49">
        <f>AVERAGE('8.8 BWERA-KIKORONGO-24h'!E74,'10.8 BWERA-KIKORONGO 24HRS'!E74)</f>
        <v>1.5</v>
      </c>
      <c r="F74" s="49">
        <f>AVERAGE('8.8 BWERA-KIKORONGO-24h'!F74,'10.8 BWERA-KIKORONGO 24HRS'!F74)</f>
        <v>1.5</v>
      </c>
      <c r="G74" s="49">
        <f>AVERAGE('8.8 BWERA-KIKORONGO-24h'!G74,'10.8 BWERA-KIKORONGO 24HRS'!G74)</f>
        <v>0</v>
      </c>
      <c r="H74" s="49">
        <f>AVERAGE('8.8 BWERA-KIKORONGO-24h'!H74,'10.8 BWERA-KIKORONGO 24HRS'!H74)</f>
        <v>0.5</v>
      </c>
      <c r="I74" s="49">
        <f>AVERAGE('8.8 BWERA-KIKORONGO-24h'!I74,'10.8 BWERA-KIKORONGO 24HRS'!I74)</f>
        <v>0.5</v>
      </c>
      <c r="J74" s="49">
        <f>AVERAGE('8.8 BWERA-KIKORONGO-24h'!J74,'10.8 BWERA-KIKORONGO 24HRS'!J74)</f>
        <v>0.5</v>
      </c>
      <c r="K74" s="49">
        <f>AVERAGE('8.8 BWERA-KIKORONGO-24h'!K74,'10.8 BWERA-KIKORONGO 24HRS'!K74)</f>
        <v>0</v>
      </c>
      <c r="L74" s="49">
        <f>AVERAGE('8.8 BWERA-KIKORONGO-24h'!L74,'10.8 BWERA-KIKORONGO 24HRS'!L74)</f>
        <v>1</v>
      </c>
      <c r="M74" s="49">
        <f>AVERAGE('8.8 BWERA-KIKORONGO-24h'!M74,'10.8 BWERA-KIKORONGO 24HRS'!M74)</f>
        <v>1.5</v>
      </c>
      <c r="N74" s="49">
        <f>AVERAGE('8.8 BWERA-KIKORONGO-24h'!N74,'10.8 BWERA-KIKORONGO 24HRS'!N74)</f>
        <v>0</v>
      </c>
      <c r="O74" s="15">
        <f t="shared" ref="O74:O105" si="35">SUM(C74:L74,N74)</f>
        <v>8.5</v>
      </c>
      <c r="P74" s="15">
        <f t="shared" ref="P74:P105" si="36">SUM(C74:N74)</f>
        <v>10</v>
      </c>
      <c r="R74" s="8"/>
      <c r="T74"/>
    </row>
    <row r="75" spans="2:20" ht="23.1" customHeight="1" x14ac:dyDescent="0.25">
      <c r="B75" s="23" t="s">
        <v>115</v>
      </c>
      <c r="C75" s="49">
        <f>AVERAGE('8.8 BWERA-KIKORONGO-24h'!C75,'10.8 BWERA-KIKORONGO 24HRS'!C75)</f>
        <v>0</v>
      </c>
      <c r="D75" s="49">
        <f>AVERAGE('8.8 BWERA-KIKORONGO-24h'!D75,'10.8 BWERA-KIKORONGO 24HRS'!D75)</f>
        <v>0</v>
      </c>
      <c r="E75" s="49">
        <f>AVERAGE('8.8 BWERA-KIKORONGO-24h'!E75,'10.8 BWERA-KIKORONGO 24HRS'!E75)</f>
        <v>0.5</v>
      </c>
      <c r="F75" s="49">
        <f>AVERAGE('8.8 BWERA-KIKORONGO-24h'!F75,'10.8 BWERA-KIKORONGO 24HRS'!F75)</f>
        <v>0</v>
      </c>
      <c r="G75" s="49">
        <f>AVERAGE('8.8 BWERA-KIKORONGO-24h'!G75,'10.8 BWERA-KIKORONGO 24HRS'!G75)</f>
        <v>0</v>
      </c>
      <c r="H75" s="49">
        <f>AVERAGE('8.8 BWERA-KIKORONGO-24h'!H75,'10.8 BWERA-KIKORONGO 24HRS'!H75)</f>
        <v>1</v>
      </c>
      <c r="I75" s="49">
        <f>AVERAGE('8.8 BWERA-KIKORONGO-24h'!I75,'10.8 BWERA-KIKORONGO 24HRS'!I75)</f>
        <v>0.5</v>
      </c>
      <c r="J75" s="49">
        <f>AVERAGE('8.8 BWERA-KIKORONGO-24h'!J75,'10.8 BWERA-KIKORONGO 24HRS'!J75)</f>
        <v>0</v>
      </c>
      <c r="K75" s="49">
        <f>AVERAGE('8.8 BWERA-KIKORONGO-24h'!K75,'10.8 BWERA-KIKORONGO 24HRS'!K75)</f>
        <v>0</v>
      </c>
      <c r="L75" s="49">
        <f>AVERAGE('8.8 BWERA-KIKORONGO-24h'!L75,'10.8 BWERA-KIKORONGO 24HRS'!L75)</f>
        <v>0.5</v>
      </c>
      <c r="M75" s="49">
        <f>AVERAGE('8.8 BWERA-KIKORONGO-24h'!M75,'10.8 BWERA-KIKORONGO 24HRS'!M75)</f>
        <v>0</v>
      </c>
      <c r="N75" s="49">
        <f>AVERAGE('8.8 BWERA-KIKORONGO-24h'!N75,'10.8 BWERA-KIKORONGO 24HRS'!N75)</f>
        <v>0</v>
      </c>
      <c r="O75" s="15">
        <f t="shared" si="35"/>
        <v>2.5</v>
      </c>
      <c r="P75" s="15">
        <f t="shared" si="36"/>
        <v>2.5</v>
      </c>
      <c r="R75" s="8"/>
      <c r="T75"/>
    </row>
    <row r="76" spans="2:20" ht="23.1" customHeight="1" x14ac:dyDescent="0.25">
      <c r="B76" s="23" t="s">
        <v>116</v>
      </c>
      <c r="C76" s="49">
        <f>AVERAGE('8.8 BWERA-KIKORONGO-24h'!C76,'10.8 BWERA-KIKORONGO 24HRS'!C76)</f>
        <v>0.5</v>
      </c>
      <c r="D76" s="49">
        <f>AVERAGE('8.8 BWERA-KIKORONGO-24h'!D76,'10.8 BWERA-KIKORONGO 24HRS'!D76)</f>
        <v>0</v>
      </c>
      <c r="E76" s="49">
        <f>AVERAGE('8.8 BWERA-KIKORONGO-24h'!E76,'10.8 BWERA-KIKORONGO 24HRS'!E76)</f>
        <v>0</v>
      </c>
      <c r="F76" s="49">
        <f>AVERAGE('8.8 BWERA-KIKORONGO-24h'!F76,'10.8 BWERA-KIKORONGO 24HRS'!F76)</f>
        <v>1.5</v>
      </c>
      <c r="G76" s="49">
        <f>AVERAGE('8.8 BWERA-KIKORONGO-24h'!G76,'10.8 BWERA-KIKORONGO 24HRS'!G76)</f>
        <v>0</v>
      </c>
      <c r="H76" s="49">
        <f>AVERAGE('8.8 BWERA-KIKORONGO-24h'!H76,'10.8 BWERA-KIKORONGO 24HRS'!H76)</f>
        <v>0.5</v>
      </c>
      <c r="I76" s="49">
        <f>AVERAGE('8.8 BWERA-KIKORONGO-24h'!I76,'10.8 BWERA-KIKORONGO 24HRS'!I76)</f>
        <v>0</v>
      </c>
      <c r="J76" s="49">
        <f>AVERAGE('8.8 BWERA-KIKORONGO-24h'!J76,'10.8 BWERA-KIKORONGO 24HRS'!J76)</f>
        <v>0</v>
      </c>
      <c r="K76" s="49">
        <f>AVERAGE('8.8 BWERA-KIKORONGO-24h'!K76,'10.8 BWERA-KIKORONGO 24HRS'!K76)</f>
        <v>0</v>
      </c>
      <c r="L76" s="49">
        <f>AVERAGE('8.8 BWERA-KIKORONGO-24h'!L76,'10.8 BWERA-KIKORONGO 24HRS'!L76)</f>
        <v>0</v>
      </c>
      <c r="M76" s="49">
        <f>AVERAGE('8.8 BWERA-KIKORONGO-24h'!M76,'10.8 BWERA-KIKORONGO 24HRS'!M76)</f>
        <v>0</v>
      </c>
      <c r="N76" s="49">
        <f>AVERAGE('8.8 BWERA-KIKORONGO-24h'!N76,'10.8 BWERA-KIKORONGO 24HRS'!N76)</f>
        <v>0</v>
      </c>
      <c r="O76" s="15">
        <f t="shared" si="35"/>
        <v>2.5</v>
      </c>
      <c r="P76" s="15">
        <f t="shared" si="36"/>
        <v>2.5</v>
      </c>
      <c r="R76" s="8"/>
      <c r="T76"/>
    </row>
    <row r="77" spans="2:20" ht="23.1" customHeight="1" x14ac:dyDescent="0.25">
      <c r="B77" s="23" t="s">
        <v>117</v>
      </c>
      <c r="C77" s="49">
        <f>AVERAGE('8.8 BWERA-KIKORONGO-24h'!C77,'10.8 BWERA-KIKORONGO 24HRS'!C77)</f>
        <v>3</v>
      </c>
      <c r="D77" s="49">
        <f>AVERAGE('8.8 BWERA-KIKORONGO-24h'!D77,'10.8 BWERA-KIKORONGO 24HRS'!D77)</f>
        <v>0</v>
      </c>
      <c r="E77" s="49">
        <f>AVERAGE('8.8 BWERA-KIKORONGO-24h'!E77,'10.8 BWERA-KIKORONGO 24HRS'!E77)</f>
        <v>0</v>
      </c>
      <c r="F77" s="49">
        <f>AVERAGE('8.8 BWERA-KIKORONGO-24h'!F77,'10.8 BWERA-KIKORONGO 24HRS'!F77)</f>
        <v>1</v>
      </c>
      <c r="G77" s="49">
        <f>AVERAGE('8.8 BWERA-KIKORONGO-24h'!G77,'10.8 BWERA-KIKORONGO 24HRS'!G77)</f>
        <v>0</v>
      </c>
      <c r="H77" s="49">
        <f>AVERAGE('8.8 BWERA-KIKORONGO-24h'!H77,'10.8 BWERA-KIKORONGO 24HRS'!H77)</f>
        <v>0</v>
      </c>
      <c r="I77" s="49">
        <f>AVERAGE('8.8 BWERA-KIKORONGO-24h'!I77,'10.8 BWERA-KIKORONGO 24HRS'!I77)</f>
        <v>1.5</v>
      </c>
      <c r="J77" s="49">
        <f>AVERAGE('8.8 BWERA-KIKORONGO-24h'!J77,'10.8 BWERA-KIKORONGO 24HRS'!J77)</f>
        <v>0.5</v>
      </c>
      <c r="K77" s="49">
        <f>AVERAGE('8.8 BWERA-KIKORONGO-24h'!K77,'10.8 BWERA-KIKORONGO 24HRS'!K77)</f>
        <v>0</v>
      </c>
      <c r="L77" s="49">
        <f>AVERAGE('8.8 BWERA-KIKORONGO-24h'!L77,'10.8 BWERA-KIKORONGO 24HRS'!L77)</f>
        <v>0</v>
      </c>
      <c r="M77" s="49">
        <f>AVERAGE('8.8 BWERA-KIKORONGO-24h'!M77,'10.8 BWERA-KIKORONGO 24HRS'!M77)</f>
        <v>0</v>
      </c>
      <c r="N77" s="49">
        <f>AVERAGE('8.8 BWERA-KIKORONGO-24h'!N77,'10.8 BWERA-KIKORONGO 24HRS'!N77)</f>
        <v>0</v>
      </c>
      <c r="O77" s="15">
        <f t="shared" si="35"/>
        <v>6</v>
      </c>
      <c r="P77" s="15">
        <f t="shared" si="36"/>
        <v>6</v>
      </c>
      <c r="R77" s="8"/>
      <c r="T77"/>
    </row>
    <row r="78" spans="2:20" ht="23.1" customHeight="1" x14ac:dyDescent="0.25">
      <c r="B78" s="24" t="s">
        <v>118</v>
      </c>
      <c r="C78" s="49">
        <f>AVERAGE('8.8 BWERA-KIKORONGO-24h'!C78,'10.8 BWERA-KIKORONGO 24HRS'!C78)</f>
        <v>1.5</v>
      </c>
      <c r="D78" s="49">
        <f>AVERAGE('8.8 BWERA-KIKORONGO-24h'!D78,'10.8 BWERA-KIKORONGO 24HRS'!D78)</f>
        <v>0</v>
      </c>
      <c r="E78" s="49">
        <f>AVERAGE('8.8 BWERA-KIKORONGO-24h'!E78,'10.8 BWERA-KIKORONGO 24HRS'!E78)</f>
        <v>0</v>
      </c>
      <c r="F78" s="49">
        <f>AVERAGE('8.8 BWERA-KIKORONGO-24h'!F78,'10.8 BWERA-KIKORONGO 24HRS'!F78)</f>
        <v>1.5</v>
      </c>
      <c r="G78" s="49">
        <f>AVERAGE('8.8 BWERA-KIKORONGO-24h'!G78,'10.8 BWERA-KIKORONGO 24HRS'!G78)</f>
        <v>0</v>
      </c>
      <c r="H78" s="49">
        <f>AVERAGE('8.8 BWERA-KIKORONGO-24h'!H78,'10.8 BWERA-KIKORONGO 24HRS'!H78)</f>
        <v>0.5</v>
      </c>
      <c r="I78" s="49">
        <f>AVERAGE('8.8 BWERA-KIKORONGO-24h'!I78,'10.8 BWERA-KIKORONGO 24HRS'!I78)</f>
        <v>0</v>
      </c>
      <c r="J78" s="49">
        <f>AVERAGE('8.8 BWERA-KIKORONGO-24h'!J78,'10.8 BWERA-KIKORONGO 24HRS'!J78)</f>
        <v>0</v>
      </c>
      <c r="K78" s="49">
        <f>AVERAGE('8.8 BWERA-KIKORONGO-24h'!K78,'10.8 BWERA-KIKORONGO 24HRS'!K78)</f>
        <v>0</v>
      </c>
      <c r="L78" s="49">
        <f>AVERAGE('8.8 BWERA-KIKORONGO-24h'!L78,'10.8 BWERA-KIKORONGO 24HRS'!L78)</f>
        <v>1</v>
      </c>
      <c r="M78" s="49">
        <f>AVERAGE('8.8 BWERA-KIKORONGO-24h'!M78,'10.8 BWERA-KIKORONGO 24HRS'!M78)</f>
        <v>1</v>
      </c>
      <c r="N78" s="49">
        <f>AVERAGE('8.8 BWERA-KIKORONGO-24h'!N78,'10.8 BWERA-KIKORONGO 24HRS'!N78)</f>
        <v>0</v>
      </c>
      <c r="O78" s="15">
        <f t="shared" si="35"/>
        <v>4.5</v>
      </c>
      <c r="P78" s="15">
        <f t="shared" si="36"/>
        <v>5.5</v>
      </c>
      <c r="R78" s="8"/>
      <c r="T78"/>
    </row>
    <row r="79" spans="2:20" ht="23.1" customHeight="1" x14ac:dyDescent="0.25">
      <c r="B79" s="23" t="s">
        <v>119</v>
      </c>
      <c r="C79" s="49">
        <f>AVERAGE('8.8 BWERA-KIKORONGO-24h'!C79,'10.8 BWERA-KIKORONGO 24HRS'!C79)</f>
        <v>3</v>
      </c>
      <c r="D79" s="49">
        <f>AVERAGE('8.8 BWERA-KIKORONGO-24h'!D79,'10.8 BWERA-KIKORONGO 24HRS'!D79)</f>
        <v>0</v>
      </c>
      <c r="E79" s="49">
        <f>AVERAGE('8.8 BWERA-KIKORONGO-24h'!E79,'10.8 BWERA-KIKORONGO 24HRS'!E79)</f>
        <v>0</v>
      </c>
      <c r="F79" s="49">
        <f>AVERAGE('8.8 BWERA-KIKORONGO-24h'!F79,'10.8 BWERA-KIKORONGO 24HRS'!F79)</f>
        <v>0</v>
      </c>
      <c r="G79" s="49">
        <f>AVERAGE('8.8 BWERA-KIKORONGO-24h'!G79,'10.8 BWERA-KIKORONGO 24HRS'!G79)</f>
        <v>0</v>
      </c>
      <c r="H79" s="49">
        <f>AVERAGE('8.8 BWERA-KIKORONGO-24h'!H79,'10.8 BWERA-KIKORONGO 24HRS'!H79)</f>
        <v>0</v>
      </c>
      <c r="I79" s="49">
        <f>AVERAGE('8.8 BWERA-KIKORONGO-24h'!I79,'10.8 BWERA-KIKORONGO 24HRS'!I79)</f>
        <v>0</v>
      </c>
      <c r="J79" s="49">
        <f>AVERAGE('8.8 BWERA-KIKORONGO-24h'!J79,'10.8 BWERA-KIKORONGO 24HRS'!J79)</f>
        <v>0</v>
      </c>
      <c r="K79" s="49">
        <f>AVERAGE('8.8 BWERA-KIKORONGO-24h'!K79,'10.8 BWERA-KIKORONGO 24HRS'!K79)</f>
        <v>0</v>
      </c>
      <c r="L79" s="49">
        <f>AVERAGE('8.8 BWERA-KIKORONGO-24h'!L79,'10.8 BWERA-KIKORONGO 24HRS'!L79)</f>
        <v>0</v>
      </c>
      <c r="M79" s="49">
        <f>AVERAGE('8.8 BWERA-KIKORONGO-24h'!M79,'10.8 BWERA-KIKORONGO 24HRS'!M79)</f>
        <v>0</v>
      </c>
      <c r="N79" s="49">
        <f>AVERAGE('8.8 BWERA-KIKORONGO-24h'!N79,'10.8 BWERA-KIKORONGO 24HRS'!N79)</f>
        <v>0</v>
      </c>
      <c r="O79" s="15">
        <f t="shared" si="35"/>
        <v>3</v>
      </c>
      <c r="P79" s="15">
        <f t="shared" si="36"/>
        <v>3</v>
      </c>
      <c r="R79" s="8"/>
      <c r="T79"/>
    </row>
    <row r="80" spans="2:20" ht="23.1" customHeight="1" x14ac:dyDescent="0.25">
      <c r="B80" s="25" t="s">
        <v>120</v>
      </c>
      <c r="C80" s="49">
        <f>AVERAGE('8.8 BWERA-KIKORONGO-24h'!C80,'10.8 BWERA-KIKORONGO 24HRS'!C80)</f>
        <v>0</v>
      </c>
      <c r="D80" s="49">
        <f>AVERAGE('8.8 BWERA-KIKORONGO-24h'!D80,'10.8 BWERA-KIKORONGO 24HRS'!D80)</f>
        <v>0</v>
      </c>
      <c r="E80" s="49">
        <f>AVERAGE('8.8 BWERA-KIKORONGO-24h'!E80,'10.8 BWERA-KIKORONGO 24HRS'!E80)</f>
        <v>0</v>
      </c>
      <c r="F80" s="49">
        <f>AVERAGE('8.8 BWERA-KIKORONGO-24h'!F80,'10.8 BWERA-KIKORONGO 24HRS'!F80)</f>
        <v>1.5</v>
      </c>
      <c r="G80" s="49">
        <f>AVERAGE('8.8 BWERA-KIKORONGO-24h'!G80,'10.8 BWERA-KIKORONGO 24HRS'!G80)</f>
        <v>0</v>
      </c>
      <c r="H80" s="49">
        <f>AVERAGE('8.8 BWERA-KIKORONGO-24h'!H80,'10.8 BWERA-KIKORONGO 24HRS'!H80)</f>
        <v>0</v>
      </c>
      <c r="I80" s="49">
        <f>AVERAGE('8.8 BWERA-KIKORONGO-24h'!I80,'10.8 BWERA-KIKORONGO 24HRS'!I80)</f>
        <v>0</v>
      </c>
      <c r="J80" s="49">
        <f>AVERAGE('8.8 BWERA-KIKORONGO-24h'!J80,'10.8 BWERA-KIKORONGO 24HRS'!J80)</f>
        <v>0</v>
      </c>
      <c r="K80" s="49">
        <f>AVERAGE('8.8 BWERA-KIKORONGO-24h'!K80,'10.8 BWERA-KIKORONGO 24HRS'!K80)</f>
        <v>0</v>
      </c>
      <c r="L80" s="49">
        <f>AVERAGE('8.8 BWERA-KIKORONGO-24h'!L80,'10.8 BWERA-KIKORONGO 24HRS'!L80)</f>
        <v>0</v>
      </c>
      <c r="M80" s="49">
        <f>AVERAGE('8.8 BWERA-KIKORONGO-24h'!M80,'10.8 BWERA-KIKORONGO 24HRS'!M80)</f>
        <v>0</v>
      </c>
      <c r="N80" s="49">
        <f>AVERAGE('8.8 BWERA-KIKORONGO-24h'!N80,'10.8 BWERA-KIKORONGO 24HRS'!N80)</f>
        <v>0</v>
      </c>
      <c r="O80" s="15">
        <f t="shared" si="35"/>
        <v>1.5</v>
      </c>
      <c r="P80" s="15">
        <f t="shared" si="36"/>
        <v>1.5</v>
      </c>
      <c r="R80" s="8"/>
      <c r="T80"/>
    </row>
    <row r="81" spans="2:20" ht="23.1" customHeight="1" x14ac:dyDescent="0.25">
      <c r="B81" s="23" t="s">
        <v>121</v>
      </c>
      <c r="C81" s="49">
        <f>AVERAGE('8.8 BWERA-KIKORONGO-24h'!C81,'10.8 BWERA-KIKORONGO 24HRS'!C81)</f>
        <v>0</v>
      </c>
      <c r="D81" s="49">
        <f>AVERAGE('8.8 BWERA-KIKORONGO-24h'!D81,'10.8 BWERA-KIKORONGO 24HRS'!D81)</f>
        <v>0</v>
      </c>
      <c r="E81" s="49">
        <f>AVERAGE('8.8 BWERA-KIKORONGO-24h'!E81,'10.8 BWERA-KIKORONGO 24HRS'!E81)</f>
        <v>0</v>
      </c>
      <c r="F81" s="49">
        <f>AVERAGE('8.8 BWERA-KIKORONGO-24h'!F81,'10.8 BWERA-KIKORONGO 24HRS'!F81)</f>
        <v>1</v>
      </c>
      <c r="G81" s="49">
        <f>AVERAGE('8.8 BWERA-KIKORONGO-24h'!G81,'10.8 BWERA-KIKORONGO 24HRS'!G81)</f>
        <v>0</v>
      </c>
      <c r="H81" s="49">
        <f>AVERAGE('8.8 BWERA-KIKORONGO-24h'!H81,'10.8 BWERA-KIKORONGO 24HRS'!H81)</f>
        <v>0</v>
      </c>
      <c r="I81" s="49">
        <f>AVERAGE('8.8 BWERA-KIKORONGO-24h'!I81,'10.8 BWERA-KIKORONGO 24HRS'!I81)</f>
        <v>1</v>
      </c>
      <c r="J81" s="49">
        <f>AVERAGE('8.8 BWERA-KIKORONGO-24h'!J81,'10.8 BWERA-KIKORONGO 24HRS'!J81)</f>
        <v>0</v>
      </c>
      <c r="K81" s="49">
        <f>AVERAGE('8.8 BWERA-KIKORONGO-24h'!K81,'10.8 BWERA-KIKORONGO 24HRS'!K81)</f>
        <v>0</v>
      </c>
      <c r="L81" s="49">
        <f>AVERAGE('8.8 BWERA-KIKORONGO-24h'!L81,'10.8 BWERA-KIKORONGO 24HRS'!L81)</f>
        <v>0</v>
      </c>
      <c r="M81" s="49">
        <f>AVERAGE('8.8 BWERA-KIKORONGO-24h'!M81,'10.8 BWERA-KIKORONGO 24HRS'!M81)</f>
        <v>0</v>
      </c>
      <c r="N81" s="49">
        <f>AVERAGE('8.8 BWERA-KIKORONGO-24h'!N81,'10.8 BWERA-KIKORONGO 24HRS'!N81)</f>
        <v>0</v>
      </c>
      <c r="O81" s="15">
        <f t="shared" si="35"/>
        <v>2</v>
      </c>
      <c r="P81" s="15">
        <f t="shared" si="36"/>
        <v>2</v>
      </c>
      <c r="R81" s="8"/>
      <c r="T81"/>
    </row>
    <row r="82" spans="2:20" ht="23.1" customHeight="1" x14ac:dyDescent="0.25">
      <c r="B82" s="24" t="s">
        <v>122</v>
      </c>
      <c r="C82" s="49">
        <f>AVERAGE('8.8 BWERA-KIKORONGO-24h'!C82,'10.8 BWERA-KIKORONGO 24HRS'!C82)</f>
        <v>0</v>
      </c>
      <c r="D82" s="49">
        <f>AVERAGE('8.8 BWERA-KIKORONGO-24h'!D82,'10.8 BWERA-KIKORONGO 24HRS'!D82)</f>
        <v>0</v>
      </c>
      <c r="E82" s="49">
        <f>AVERAGE('8.8 BWERA-KIKORONGO-24h'!E82,'10.8 BWERA-KIKORONGO 24HRS'!E82)</f>
        <v>0</v>
      </c>
      <c r="F82" s="49">
        <f>AVERAGE('8.8 BWERA-KIKORONGO-24h'!F82,'10.8 BWERA-KIKORONGO 24HRS'!F82)</f>
        <v>0</v>
      </c>
      <c r="G82" s="49">
        <f>AVERAGE('8.8 BWERA-KIKORONGO-24h'!G82,'10.8 BWERA-KIKORONGO 24HRS'!G82)</f>
        <v>0</v>
      </c>
      <c r="H82" s="49">
        <f>AVERAGE('8.8 BWERA-KIKORONGO-24h'!H82,'10.8 BWERA-KIKORONGO 24HRS'!H82)</f>
        <v>0</v>
      </c>
      <c r="I82" s="49">
        <f>AVERAGE('8.8 BWERA-KIKORONGO-24h'!I82,'10.8 BWERA-KIKORONGO 24HRS'!I82)</f>
        <v>1</v>
      </c>
      <c r="J82" s="49">
        <f>AVERAGE('8.8 BWERA-KIKORONGO-24h'!J82,'10.8 BWERA-KIKORONGO 24HRS'!J82)</f>
        <v>0</v>
      </c>
      <c r="K82" s="49">
        <f>AVERAGE('8.8 BWERA-KIKORONGO-24h'!K82,'10.8 BWERA-KIKORONGO 24HRS'!K82)</f>
        <v>0</v>
      </c>
      <c r="L82" s="49">
        <f>AVERAGE('8.8 BWERA-KIKORONGO-24h'!L82,'10.8 BWERA-KIKORONGO 24HRS'!L82)</f>
        <v>0</v>
      </c>
      <c r="M82" s="49">
        <f>AVERAGE('8.8 BWERA-KIKORONGO-24h'!M82,'10.8 BWERA-KIKORONGO 24HRS'!M82)</f>
        <v>1</v>
      </c>
      <c r="N82" s="49">
        <f>AVERAGE('8.8 BWERA-KIKORONGO-24h'!N82,'10.8 BWERA-KIKORONGO 24HRS'!N82)</f>
        <v>0</v>
      </c>
      <c r="O82" s="15">
        <f t="shared" si="35"/>
        <v>1</v>
      </c>
      <c r="P82" s="15">
        <f t="shared" si="36"/>
        <v>2</v>
      </c>
      <c r="R82" s="8"/>
      <c r="T82"/>
    </row>
    <row r="83" spans="2:20" ht="23.1" customHeight="1" x14ac:dyDescent="0.25">
      <c r="B83" s="23" t="s">
        <v>123</v>
      </c>
      <c r="C83" s="49">
        <f>AVERAGE('8.8 BWERA-KIKORONGO-24h'!C83,'10.8 BWERA-KIKORONGO 24HRS'!C83)</f>
        <v>0.5</v>
      </c>
      <c r="D83" s="49">
        <f>AVERAGE('8.8 BWERA-KIKORONGO-24h'!D83,'10.8 BWERA-KIKORONGO 24HRS'!D83)</f>
        <v>0</v>
      </c>
      <c r="E83" s="49">
        <f>AVERAGE('8.8 BWERA-KIKORONGO-24h'!E83,'10.8 BWERA-KIKORONGO 24HRS'!E83)</f>
        <v>1</v>
      </c>
      <c r="F83" s="49">
        <f>AVERAGE('8.8 BWERA-KIKORONGO-24h'!F83,'10.8 BWERA-KIKORONGO 24HRS'!F83)</f>
        <v>0</v>
      </c>
      <c r="G83" s="49">
        <f>AVERAGE('8.8 BWERA-KIKORONGO-24h'!G83,'10.8 BWERA-KIKORONGO 24HRS'!G83)</f>
        <v>0</v>
      </c>
      <c r="H83" s="49">
        <f>AVERAGE('8.8 BWERA-KIKORONGO-24h'!H83,'10.8 BWERA-KIKORONGO 24HRS'!H83)</f>
        <v>0</v>
      </c>
      <c r="I83" s="49">
        <f>AVERAGE('8.8 BWERA-KIKORONGO-24h'!I83,'10.8 BWERA-KIKORONGO 24HRS'!I83)</f>
        <v>1</v>
      </c>
      <c r="J83" s="49">
        <f>AVERAGE('8.8 BWERA-KIKORONGO-24h'!J83,'10.8 BWERA-KIKORONGO 24HRS'!J83)</f>
        <v>0</v>
      </c>
      <c r="K83" s="49">
        <f>AVERAGE('8.8 BWERA-KIKORONGO-24h'!K83,'10.8 BWERA-KIKORONGO 24HRS'!K83)</f>
        <v>0</v>
      </c>
      <c r="L83" s="49">
        <f>AVERAGE('8.8 BWERA-KIKORONGO-24h'!L83,'10.8 BWERA-KIKORONGO 24HRS'!L83)</f>
        <v>0.5</v>
      </c>
      <c r="M83" s="49">
        <f>AVERAGE('8.8 BWERA-KIKORONGO-24h'!M83,'10.8 BWERA-KIKORONGO 24HRS'!M83)</f>
        <v>0</v>
      </c>
      <c r="N83" s="49">
        <f>AVERAGE('8.8 BWERA-KIKORONGO-24h'!N83,'10.8 BWERA-KIKORONGO 24HRS'!N83)</f>
        <v>0</v>
      </c>
      <c r="O83" s="15">
        <f t="shared" si="35"/>
        <v>3</v>
      </c>
      <c r="P83" s="15">
        <f t="shared" si="36"/>
        <v>3</v>
      </c>
      <c r="R83" s="8"/>
      <c r="T83"/>
    </row>
    <row r="84" spans="2:20" ht="23.1" customHeight="1" x14ac:dyDescent="0.25">
      <c r="B84" s="25" t="s">
        <v>124</v>
      </c>
      <c r="C84" s="49">
        <f>AVERAGE('8.8 BWERA-KIKORONGO-24h'!C84,'10.8 BWERA-KIKORONGO 24HRS'!C84)</f>
        <v>0</v>
      </c>
      <c r="D84" s="49">
        <f>AVERAGE('8.8 BWERA-KIKORONGO-24h'!D84,'10.8 BWERA-KIKORONGO 24HRS'!D84)</f>
        <v>0</v>
      </c>
      <c r="E84" s="49">
        <f>AVERAGE('8.8 BWERA-KIKORONGO-24h'!E84,'10.8 BWERA-KIKORONGO 24HRS'!E84)</f>
        <v>0.5</v>
      </c>
      <c r="F84" s="49">
        <f>AVERAGE('8.8 BWERA-KIKORONGO-24h'!F84,'10.8 BWERA-KIKORONGO 24HRS'!F84)</f>
        <v>0</v>
      </c>
      <c r="G84" s="49">
        <f>AVERAGE('8.8 BWERA-KIKORONGO-24h'!G84,'10.8 BWERA-KIKORONGO 24HRS'!G84)</f>
        <v>0</v>
      </c>
      <c r="H84" s="49">
        <f>AVERAGE('8.8 BWERA-KIKORONGO-24h'!H84,'10.8 BWERA-KIKORONGO 24HRS'!H84)</f>
        <v>0</v>
      </c>
      <c r="I84" s="49">
        <f>AVERAGE('8.8 BWERA-KIKORONGO-24h'!I84,'10.8 BWERA-KIKORONGO 24HRS'!I84)</f>
        <v>0</v>
      </c>
      <c r="J84" s="49">
        <f>AVERAGE('8.8 BWERA-KIKORONGO-24h'!J84,'10.8 BWERA-KIKORONGO 24HRS'!J84)</f>
        <v>0</v>
      </c>
      <c r="K84" s="49">
        <f>AVERAGE('8.8 BWERA-KIKORONGO-24h'!K84,'10.8 BWERA-KIKORONGO 24HRS'!K84)</f>
        <v>0</v>
      </c>
      <c r="L84" s="49">
        <f>AVERAGE('8.8 BWERA-KIKORONGO-24h'!L84,'10.8 BWERA-KIKORONGO 24HRS'!L84)</f>
        <v>1</v>
      </c>
      <c r="M84" s="49">
        <f>AVERAGE('8.8 BWERA-KIKORONGO-24h'!M84,'10.8 BWERA-KIKORONGO 24HRS'!M84)</f>
        <v>0</v>
      </c>
      <c r="N84" s="49">
        <f>AVERAGE('8.8 BWERA-KIKORONGO-24h'!N84,'10.8 BWERA-KIKORONGO 24HRS'!N84)</f>
        <v>0</v>
      </c>
      <c r="O84" s="15">
        <f t="shared" si="35"/>
        <v>1.5</v>
      </c>
      <c r="P84" s="15">
        <f t="shared" si="36"/>
        <v>1.5</v>
      </c>
      <c r="R84" s="8"/>
      <c r="T84"/>
    </row>
    <row r="85" spans="2:20" ht="23.1" customHeight="1" x14ac:dyDescent="0.25">
      <c r="B85" s="23" t="s">
        <v>125</v>
      </c>
      <c r="C85" s="49">
        <f>AVERAGE('8.8 BWERA-KIKORONGO-24h'!C85,'10.8 BWERA-KIKORONGO 24HRS'!C85)</f>
        <v>1.5</v>
      </c>
      <c r="D85" s="49">
        <f>AVERAGE('8.8 BWERA-KIKORONGO-24h'!D85,'10.8 BWERA-KIKORONGO 24HRS'!D85)</f>
        <v>0</v>
      </c>
      <c r="E85" s="49">
        <f>AVERAGE('8.8 BWERA-KIKORONGO-24h'!E85,'10.8 BWERA-KIKORONGO 24HRS'!E85)</f>
        <v>0.5</v>
      </c>
      <c r="F85" s="49">
        <f>AVERAGE('8.8 BWERA-KIKORONGO-24h'!F85,'10.8 BWERA-KIKORONGO 24HRS'!F85)</f>
        <v>1</v>
      </c>
      <c r="G85" s="49">
        <f>AVERAGE('8.8 BWERA-KIKORONGO-24h'!G85,'10.8 BWERA-KIKORONGO 24HRS'!G85)</f>
        <v>0</v>
      </c>
      <c r="H85" s="49">
        <f>AVERAGE('8.8 BWERA-KIKORONGO-24h'!H85,'10.8 BWERA-KIKORONGO 24HRS'!H85)</f>
        <v>0</v>
      </c>
      <c r="I85" s="49">
        <f>AVERAGE('8.8 BWERA-KIKORONGO-24h'!I85,'10.8 BWERA-KIKORONGO 24HRS'!I85)</f>
        <v>1</v>
      </c>
      <c r="J85" s="49">
        <f>AVERAGE('8.8 BWERA-KIKORONGO-24h'!J85,'10.8 BWERA-KIKORONGO 24HRS'!J85)</f>
        <v>0</v>
      </c>
      <c r="K85" s="49">
        <f>AVERAGE('8.8 BWERA-KIKORONGO-24h'!K85,'10.8 BWERA-KIKORONGO 24HRS'!K85)</f>
        <v>0</v>
      </c>
      <c r="L85" s="49">
        <f>AVERAGE('8.8 BWERA-KIKORONGO-24h'!L85,'10.8 BWERA-KIKORONGO 24HRS'!L85)</f>
        <v>0</v>
      </c>
      <c r="M85" s="49">
        <f>AVERAGE('8.8 BWERA-KIKORONGO-24h'!M85,'10.8 BWERA-KIKORONGO 24HRS'!M85)</f>
        <v>0</v>
      </c>
      <c r="N85" s="49">
        <f>AVERAGE('8.8 BWERA-KIKORONGO-24h'!N85,'10.8 BWERA-KIKORONGO 24HRS'!N85)</f>
        <v>0</v>
      </c>
      <c r="O85" s="15">
        <f t="shared" si="35"/>
        <v>4</v>
      </c>
      <c r="P85" s="15">
        <f t="shared" si="36"/>
        <v>4</v>
      </c>
      <c r="R85" s="8"/>
      <c r="T85"/>
    </row>
    <row r="86" spans="2:20" ht="23.1" customHeight="1" x14ac:dyDescent="0.25">
      <c r="B86" s="24" t="s">
        <v>126</v>
      </c>
      <c r="C86" s="49">
        <f>AVERAGE('8.8 BWERA-KIKORONGO-24h'!C86,'10.8 BWERA-KIKORONGO 24HRS'!C86)</f>
        <v>1</v>
      </c>
      <c r="D86" s="49">
        <f>AVERAGE('8.8 BWERA-KIKORONGO-24h'!D86,'10.8 BWERA-KIKORONGO 24HRS'!D86)</f>
        <v>0</v>
      </c>
      <c r="E86" s="49">
        <f>AVERAGE('8.8 BWERA-KIKORONGO-24h'!E86,'10.8 BWERA-KIKORONGO 24HRS'!E86)</f>
        <v>0</v>
      </c>
      <c r="F86" s="49">
        <f>AVERAGE('8.8 BWERA-KIKORONGO-24h'!F86,'10.8 BWERA-KIKORONGO 24HRS'!F86)</f>
        <v>1</v>
      </c>
      <c r="G86" s="49">
        <f>AVERAGE('8.8 BWERA-KIKORONGO-24h'!G86,'10.8 BWERA-KIKORONGO 24HRS'!G86)</f>
        <v>0</v>
      </c>
      <c r="H86" s="49">
        <f>AVERAGE('8.8 BWERA-KIKORONGO-24h'!H86,'10.8 BWERA-KIKORONGO 24HRS'!H86)</f>
        <v>0</v>
      </c>
      <c r="I86" s="49">
        <f>AVERAGE('8.8 BWERA-KIKORONGO-24h'!I86,'10.8 BWERA-KIKORONGO 24HRS'!I86)</f>
        <v>0</v>
      </c>
      <c r="J86" s="49">
        <f>AVERAGE('8.8 BWERA-KIKORONGO-24h'!J86,'10.8 BWERA-KIKORONGO 24HRS'!J86)</f>
        <v>0</v>
      </c>
      <c r="K86" s="49">
        <f>AVERAGE('8.8 BWERA-KIKORONGO-24h'!K86,'10.8 BWERA-KIKORONGO 24HRS'!K86)</f>
        <v>0</v>
      </c>
      <c r="L86" s="49">
        <f>AVERAGE('8.8 BWERA-KIKORONGO-24h'!L86,'10.8 BWERA-KIKORONGO 24HRS'!L86)</f>
        <v>0</v>
      </c>
      <c r="M86" s="49">
        <f>AVERAGE('8.8 BWERA-KIKORONGO-24h'!M86,'10.8 BWERA-KIKORONGO 24HRS'!M86)</f>
        <v>0.5</v>
      </c>
      <c r="N86" s="49">
        <f>AVERAGE('8.8 BWERA-KIKORONGO-24h'!N86,'10.8 BWERA-KIKORONGO 24HRS'!N86)</f>
        <v>0</v>
      </c>
      <c r="O86" s="15">
        <f t="shared" si="35"/>
        <v>2</v>
      </c>
      <c r="P86" s="15">
        <f t="shared" si="36"/>
        <v>2.5</v>
      </c>
      <c r="R86" s="8"/>
      <c r="T86"/>
    </row>
    <row r="87" spans="2:20" ht="23.1" customHeight="1" x14ac:dyDescent="0.25">
      <c r="B87" s="23" t="s">
        <v>127</v>
      </c>
      <c r="C87" s="49">
        <f>AVERAGE('8.8 BWERA-KIKORONGO-24h'!C87,'10.8 BWERA-KIKORONGO 24HRS'!C87)</f>
        <v>1</v>
      </c>
      <c r="D87" s="49">
        <f>AVERAGE('8.8 BWERA-KIKORONGO-24h'!D87,'10.8 BWERA-KIKORONGO 24HRS'!D87)</f>
        <v>0</v>
      </c>
      <c r="E87" s="49">
        <f>AVERAGE('8.8 BWERA-KIKORONGO-24h'!E87,'10.8 BWERA-KIKORONGO 24HRS'!E87)</f>
        <v>0</v>
      </c>
      <c r="F87" s="49">
        <f>AVERAGE('8.8 BWERA-KIKORONGO-24h'!F87,'10.8 BWERA-KIKORONGO 24HRS'!F87)</f>
        <v>1.5</v>
      </c>
      <c r="G87" s="49">
        <f>AVERAGE('8.8 BWERA-KIKORONGO-24h'!G87,'10.8 BWERA-KIKORONGO 24HRS'!G87)</f>
        <v>0</v>
      </c>
      <c r="H87" s="49">
        <f>AVERAGE('8.8 BWERA-KIKORONGO-24h'!H87,'10.8 BWERA-KIKORONGO 24HRS'!H87)</f>
        <v>0</v>
      </c>
      <c r="I87" s="49">
        <f>AVERAGE('8.8 BWERA-KIKORONGO-24h'!I87,'10.8 BWERA-KIKORONGO 24HRS'!I87)</f>
        <v>1</v>
      </c>
      <c r="J87" s="49">
        <f>AVERAGE('8.8 BWERA-KIKORONGO-24h'!J87,'10.8 BWERA-KIKORONGO 24HRS'!J87)</f>
        <v>0</v>
      </c>
      <c r="K87" s="49">
        <f>AVERAGE('8.8 BWERA-KIKORONGO-24h'!K87,'10.8 BWERA-KIKORONGO 24HRS'!K87)</f>
        <v>0</v>
      </c>
      <c r="L87" s="49">
        <f>AVERAGE('8.8 BWERA-KIKORONGO-24h'!L87,'10.8 BWERA-KIKORONGO 24HRS'!L87)</f>
        <v>1</v>
      </c>
      <c r="M87" s="49">
        <f>AVERAGE('8.8 BWERA-KIKORONGO-24h'!M87,'10.8 BWERA-KIKORONGO 24HRS'!M87)</f>
        <v>0</v>
      </c>
      <c r="N87" s="49">
        <f>AVERAGE('8.8 BWERA-KIKORONGO-24h'!N87,'10.8 BWERA-KIKORONGO 24HRS'!N87)</f>
        <v>0</v>
      </c>
      <c r="O87" s="15">
        <f t="shared" si="35"/>
        <v>4.5</v>
      </c>
      <c r="P87" s="15">
        <f t="shared" si="36"/>
        <v>4.5</v>
      </c>
      <c r="R87" s="8"/>
      <c r="T87"/>
    </row>
    <row r="88" spans="2:20" ht="23.1" customHeight="1" x14ac:dyDescent="0.25">
      <c r="B88" s="25" t="s">
        <v>128</v>
      </c>
      <c r="C88" s="49">
        <f>AVERAGE('8.8 BWERA-KIKORONGO-24h'!C88,'10.8 BWERA-KIKORONGO 24HRS'!C88)</f>
        <v>1.5</v>
      </c>
      <c r="D88" s="49">
        <f>AVERAGE('8.8 BWERA-KIKORONGO-24h'!D88,'10.8 BWERA-KIKORONGO 24HRS'!D88)</f>
        <v>0</v>
      </c>
      <c r="E88" s="49">
        <f>AVERAGE('8.8 BWERA-KIKORONGO-24h'!E88,'10.8 BWERA-KIKORONGO 24HRS'!E88)</f>
        <v>0</v>
      </c>
      <c r="F88" s="49">
        <f>AVERAGE('8.8 BWERA-KIKORONGO-24h'!F88,'10.8 BWERA-KIKORONGO 24HRS'!F88)</f>
        <v>1.5</v>
      </c>
      <c r="G88" s="49">
        <f>AVERAGE('8.8 BWERA-KIKORONGO-24h'!G88,'10.8 BWERA-KIKORONGO 24HRS'!G88)</f>
        <v>0</v>
      </c>
      <c r="H88" s="49">
        <f>AVERAGE('8.8 BWERA-KIKORONGO-24h'!H88,'10.8 BWERA-KIKORONGO 24HRS'!H88)</f>
        <v>0</v>
      </c>
      <c r="I88" s="49">
        <f>AVERAGE('8.8 BWERA-KIKORONGO-24h'!I88,'10.8 BWERA-KIKORONGO 24HRS'!I88)</f>
        <v>1</v>
      </c>
      <c r="J88" s="49">
        <f>AVERAGE('8.8 BWERA-KIKORONGO-24h'!J88,'10.8 BWERA-KIKORONGO 24HRS'!J88)</f>
        <v>0</v>
      </c>
      <c r="K88" s="49">
        <f>AVERAGE('8.8 BWERA-KIKORONGO-24h'!K88,'10.8 BWERA-KIKORONGO 24HRS'!K88)</f>
        <v>0</v>
      </c>
      <c r="L88" s="49">
        <f>AVERAGE('8.8 BWERA-KIKORONGO-24h'!L88,'10.8 BWERA-KIKORONGO 24HRS'!L88)</f>
        <v>0</v>
      </c>
      <c r="M88" s="49">
        <f>AVERAGE('8.8 BWERA-KIKORONGO-24h'!M88,'10.8 BWERA-KIKORONGO 24HRS'!M88)</f>
        <v>0</v>
      </c>
      <c r="N88" s="49">
        <f>AVERAGE('8.8 BWERA-KIKORONGO-24h'!N88,'10.8 BWERA-KIKORONGO 24HRS'!N88)</f>
        <v>0</v>
      </c>
      <c r="O88" s="15">
        <f t="shared" si="35"/>
        <v>4</v>
      </c>
      <c r="P88" s="15">
        <f t="shared" si="36"/>
        <v>4</v>
      </c>
      <c r="R88" s="8"/>
      <c r="T88"/>
    </row>
    <row r="89" spans="2:20" ht="23.1" customHeight="1" x14ac:dyDescent="0.25">
      <c r="B89" s="23" t="s">
        <v>129</v>
      </c>
      <c r="C89" s="49">
        <f>AVERAGE('8.8 BWERA-KIKORONGO-24h'!C89,'10.8 BWERA-KIKORONGO 24HRS'!C89)</f>
        <v>0.5</v>
      </c>
      <c r="D89" s="49">
        <f>AVERAGE('8.8 BWERA-KIKORONGO-24h'!D89,'10.8 BWERA-KIKORONGO 24HRS'!D89)</f>
        <v>0</v>
      </c>
      <c r="E89" s="49">
        <f>AVERAGE('8.8 BWERA-KIKORONGO-24h'!E89,'10.8 BWERA-KIKORONGO 24HRS'!E89)</f>
        <v>0</v>
      </c>
      <c r="F89" s="49">
        <f>AVERAGE('8.8 BWERA-KIKORONGO-24h'!F89,'10.8 BWERA-KIKORONGO 24HRS'!F89)</f>
        <v>1</v>
      </c>
      <c r="G89" s="49">
        <f>AVERAGE('8.8 BWERA-KIKORONGO-24h'!G89,'10.8 BWERA-KIKORONGO 24HRS'!G89)</f>
        <v>0</v>
      </c>
      <c r="H89" s="49">
        <f>AVERAGE('8.8 BWERA-KIKORONGO-24h'!H89,'10.8 BWERA-KIKORONGO 24HRS'!H89)</f>
        <v>0</v>
      </c>
      <c r="I89" s="49">
        <f>AVERAGE('8.8 BWERA-KIKORONGO-24h'!I89,'10.8 BWERA-KIKORONGO 24HRS'!I89)</f>
        <v>1</v>
      </c>
      <c r="J89" s="49">
        <f>AVERAGE('8.8 BWERA-KIKORONGO-24h'!J89,'10.8 BWERA-KIKORONGO 24HRS'!J89)</f>
        <v>0</v>
      </c>
      <c r="K89" s="49">
        <f>AVERAGE('8.8 BWERA-KIKORONGO-24h'!K89,'10.8 BWERA-KIKORONGO 24HRS'!K89)</f>
        <v>0</v>
      </c>
      <c r="L89" s="49">
        <f>AVERAGE('8.8 BWERA-KIKORONGO-24h'!L89,'10.8 BWERA-KIKORONGO 24HRS'!L89)</f>
        <v>0</v>
      </c>
      <c r="M89" s="49">
        <f>AVERAGE('8.8 BWERA-KIKORONGO-24h'!M89,'10.8 BWERA-KIKORONGO 24HRS'!M89)</f>
        <v>0</v>
      </c>
      <c r="N89" s="49">
        <f>AVERAGE('8.8 BWERA-KIKORONGO-24h'!N89,'10.8 BWERA-KIKORONGO 24HRS'!N89)</f>
        <v>0</v>
      </c>
      <c r="O89" s="15">
        <f t="shared" si="35"/>
        <v>2.5</v>
      </c>
      <c r="P89" s="15">
        <f t="shared" si="36"/>
        <v>2.5</v>
      </c>
      <c r="R89" s="8"/>
      <c r="T89"/>
    </row>
    <row r="90" spans="2:20" ht="23.1" customHeight="1" x14ac:dyDescent="0.25">
      <c r="B90" s="24" t="s">
        <v>130</v>
      </c>
      <c r="C90" s="49">
        <f>AVERAGE('8.8 BWERA-KIKORONGO-24h'!C90,'10.8 BWERA-KIKORONGO 24HRS'!C90)</f>
        <v>1</v>
      </c>
      <c r="D90" s="49">
        <f>AVERAGE('8.8 BWERA-KIKORONGO-24h'!D90,'10.8 BWERA-KIKORONGO 24HRS'!D90)</f>
        <v>0</v>
      </c>
      <c r="E90" s="49">
        <f>AVERAGE('8.8 BWERA-KIKORONGO-24h'!E90,'10.8 BWERA-KIKORONGO 24HRS'!E90)</f>
        <v>0.5</v>
      </c>
      <c r="F90" s="49">
        <f>AVERAGE('8.8 BWERA-KIKORONGO-24h'!F90,'10.8 BWERA-KIKORONGO 24HRS'!F90)</f>
        <v>0</v>
      </c>
      <c r="G90" s="49">
        <f>AVERAGE('8.8 BWERA-KIKORONGO-24h'!G90,'10.8 BWERA-KIKORONGO 24HRS'!G90)</f>
        <v>0</v>
      </c>
      <c r="H90" s="49">
        <f>AVERAGE('8.8 BWERA-KIKORONGO-24h'!H90,'10.8 BWERA-KIKORONGO 24HRS'!H90)</f>
        <v>0</v>
      </c>
      <c r="I90" s="49">
        <f>AVERAGE('8.8 BWERA-KIKORONGO-24h'!I90,'10.8 BWERA-KIKORONGO 24HRS'!I90)</f>
        <v>0</v>
      </c>
      <c r="J90" s="49">
        <f>AVERAGE('8.8 BWERA-KIKORONGO-24h'!J90,'10.8 BWERA-KIKORONGO 24HRS'!J90)</f>
        <v>0</v>
      </c>
      <c r="K90" s="49">
        <f>AVERAGE('8.8 BWERA-KIKORONGO-24h'!K90,'10.8 BWERA-KIKORONGO 24HRS'!K90)</f>
        <v>0</v>
      </c>
      <c r="L90" s="49">
        <f>AVERAGE('8.8 BWERA-KIKORONGO-24h'!L90,'10.8 BWERA-KIKORONGO 24HRS'!L90)</f>
        <v>0</v>
      </c>
      <c r="M90" s="49">
        <f>AVERAGE('8.8 BWERA-KIKORONGO-24h'!M90,'10.8 BWERA-KIKORONGO 24HRS'!M90)</f>
        <v>0</v>
      </c>
      <c r="N90" s="49">
        <f>AVERAGE('8.8 BWERA-KIKORONGO-24h'!N90,'10.8 BWERA-KIKORONGO 24HRS'!N90)</f>
        <v>0</v>
      </c>
      <c r="O90" s="15">
        <f t="shared" si="35"/>
        <v>1.5</v>
      </c>
      <c r="P90" s="15">
        <f t="shared" si="36"/>
        <v>1.5</v>
      </c>
      <c r="R90" s="8"/>
      <c r="T90"/>
    </row>
    <row r="91" spans="2:20" ht="23.1" customHeight="1" x14ac:dyDescent="0.25">
      <c r="B91" s="23" t="s">
        <v>131</v>
      </c>
      <c r="C91" s="49">
        <f>AVERAGE('8.8 BWERA-KIKORONGO-24h'!C91,'10.8 BWERA-KIKORONGO 24HRS'!C91)</f>
        <v>0</v>
      </c>
      <c r="D91" s="49">
        <f>AVERAGE('8.8 BWERA-KIKORONGO-24h'!D91,'10.8 BWERA-KIKORONGO 24HRS'!D91)</f>
        <v>0</v>
      </c>
      <c r="E91" s="49">
        <f>AVERAGE('8.8 BWERA-KIKORONGO-24h'!E91,'10.8 BWERA-KIKORONGO 24HRS'!E91)</f>
        <v>1</v>
      </c>
      <c r="F91" s="49">
        <f>AVERAGE('8.8 BWERA-KIKORONGO-24h'!F91,'10.8 BWERA-KIKORONGO 24HRS'!F91)</f>
        <v>0</v>
      </c>
      <c r="G91" s="49">
        <f>AVERAGE('8.8 BWERA-KIKORONGO-24h'!G91,'10.8 BWERA-KIKORONGO 24HRS'!G91)</f>
        <v>0</v>
      </c>
      <c r="H91" s="49">
        <f>AVERAGE('8.8 BWERA-KIKORONGO-24h'!H91,'10.8 BWERA-KIKORONGO 24HRS'!H91)</f>
        <v>0.5</v>
      </c>
      <c r="I91" s="49">
        <f>AVERAGE('8.8 BWERA-KIKORONGO-24h'!I91,'10.8 BWERA-KIKORONGO 24HRS'!I91)</f>
        <v>0</v>
      </c>
      <c r="J91" s="49">
        <f>AVERAGE('8.8 BWERA-KIKORONGO-24h'!J91,'10.8 BWERA-KIKORONGO 24HRS'!J91)</f>
        <v>0</v>
      </c>
      <c r="K91" s="49">
        <f>AVERAGE('8.8 BWERA-KIKORONGO-24h'!K91,'10.8 BWERA-KIKORONGO 24HRS'!K91)</f>
        <v>0</v>
      </c>
      <c r="L91" s="49">
        <f>AVERAGE('8.8 BWERA-KIKORONGO-24h'!L91,'10.8 BWERA-KIKORONGO 24HRS'!L91)</f>
        <v>0</v>
      </c>
      <c r="M91" s="49">
        <f>AVERAGE('8.8 BWERA-KIKORONGO-24h'!M91,'10.8 BWERA-KIKORONGO 24HRS'!M91)</f>
        <v>0</v>
      </c>
      <c r="N91" s="49">
        <f>AVERAGE('8.8 BWERA-KIKORONGO-24h'!N91,'10.8 BWERA-KIKORONGO 24HRS'!N91)</f>
        <v>0</v>
      </c>
      <c r="O91" s="15">
        <f t="shared" si="35"/>
        <v>1.5</v>
      </c>
      <c r="P91" s="15">
        <f t="shared" si="36"/>
        <v>1.5</v>
      </c>
      <c r="R91" s="8"/>
      <c r="T91"/>
    </row>
    <row r="92" spans="2:20" ht="23.1" customHeight="1" x14ac:dyDescent="0.25">
      <c r="B92" s="25" t="s">
        <v>132</v>
      </c>
      <c r="C92" s="49">
        <f>AVERAGE('8.8 BWERA-KIKORONGO-24h'!C92,'10.8 BWERA-KIKORONGO 24HRS'!C92)</f>
        <v>0</v>
      </c>
      <c r="D92" s="49">
        <f>AVERAGE('8.8 BWERA-KIKORONGO-24h'!D92,'10.8 BWERA-KIKORONGO 24HRS'!D92)</f>
        <v>0</v>
      </c>
      <c r="E92" s="49">
        <f>AVERAGE('8.8 BWERA-KIKORONGO-24h'!E92,'10.8 BWERA-KIKORONGO 24HRS'!E92)</f>
        <v>0.5</v>
      </c>
      <c r="F92" s="49">
        <f>AVERAGE('8.8 BWERA-KIKORONGO-24h'!F92,'10.8 BWERA-KIKORONGO 24HRS'!F92)</f>
        <v>1.5</v>
      </c>
      <c r="G92" s="49">
        <f>AVERAGE('8.8 BWERA-KIKORONGO-24h'!G92,'10.8 BWERA-KIKORONGO 24HRS'!G92)</f>
        <v>0</v>
      </c>
      <c r="H92" s="49">
        <f>AVERAGE('8.8 BWERA-KIKORONGO-24h'!H92,'10.8 BWERA-KIKORONGO 24HRS'!H92)</f>
        <v>0</v>
      </c>
      <c r="I92" s="49">
        <f>AVERAGE('8.8 BWERA-KIKORONGO-24h'!I92,'10.8 BWERA-KIKORONGO 24HRS'!I92)</f>
        <v>0.5</v>
      </c>
      <c r="J92" s="49">
        <f>AVERAGE('8.8 BWERA-KIKORONGO-24h'!J92,'10.8 BWERA-KIKORONGO 24HRS'!J92)</f>
        <v>0</v>
      </c>
      <c r="K92" s="49">
        <f>AVERAGE('8.8 BWERA-KIKORONGO-24h'!K92,'10.8 BWERA-KIKORONGO 24HRS'!K92)</f>
        <v>0</v>
      </c>
      <c r="L92" s="49">
        <f>AVERAGE('8.8 BWERA-KIKORONGO-24h'!L92,'10.8 BWERA-KIKORONGO 24HRS'!L92)</f>
        <v>0</v>
      </c>
      <c r="M92" s="49">
        <f>AVERAGE('8.8 BWERA-KIKORONGO-24h'!M92,'10.8 BWERA-KIKORONGO 24HRS'!M92)</f>
        <v>0</v>
      </c>
      <c r="N92" s="49">
        <f>AVERAGE('8.8 BWERA-KIKORONGO-24h'!N92,'10.8 BWERA-KIKORONGO 24HRS'!N92)</f>
        <v>0</v>
      </c>
      <c r="O92" s="15">
        <f t="shared" si="35"/>
        <v>2.5</v>
      </c>
      <c r="P92" s="15">
        <f t="shared" si="36"/>
        <v>2.5</v>
      </c>
      <c r="R92" s="8"/>
      <c r="T92"/>
    </row>
    <row r="93" spans="2:20" ht="23.1" customHeight="1" x14ac:dyDescent="0.25">
      <c r="B93" s="23" t="s">
        <v>133</v>
      </c>
      <c r="C93" s="49">
        <f>AVERAGE('8.8 BWERA-KIKORONGO-24h'!C93,'10.8 BWERA-KIKORONGO 24HRS'!C93)</f>
        <v>0</v>
      </c>
      <c r="D93" s="49">
        <f>AVERAGE('8.8 BWERA-KIKORONGO-24h'!D93,'10.8 BWERA-KIKORONGO 24HRS'!D93)</f>
        <v>0</v>
      </c>
      <c r="E93" s="49">
        <f>AVERAGE('8.8 BWERA-KIKORONGO-24h'!E93,'10.8 BWERA-KIKORONGO 24HRS'!E93)</f>
        <v>0</v>
      </c>
      <c r="F93" s="49">
        <f>AVERAGE('8.8 BWERA-KIKORONGO-24h'!F93,'10.8 BWERA-KIKORONGO 24HRS'!F93)</f>
        <v>0</v>
      </c>
      <c r="G93" s="49">
        <f>AVERAGE('8.8 BWERA-KIKORONGO-24h'!G93,'10.8 BWERA-KIKORONGO 24HRS'!G93)</f>
        <v>0</v>
      </c>
      <c r="H93" s="49">
        <f>AVERAGE('8.8 BWERA-KIKORONGO-24h'!H93,'10.8 BWERA-KIKORONGO 24HRS'!H93)</f>
        <v>0</v>
      </c>
      <c r="I93" s="49">
        <f>AVERAGE('8.8 BWERA-KIKORONGO-24h'!I93,'10.8 BWERA-KIKORONGO 24HRS'!I93)</f>
        <v>1.5</v>
      </c>
      <c r="J93" s="49">
        <f>AVERAGE('8.8 BWERA-KIKORONGO-24h'!J93,'10.8 BWERA-KIKORONGO 24HRS'!J93)</f>
        <v>0</v>
      </c>
      <c r="K93" s="49">
        <f>AVERAGE('8.8 BWERA-KIKORONGO-24h'!K93,'10.8 BWERA-KIKORONGO 24HRS'!K93)</f>
        <v>0</v>
      </c>
      <c r="L93" s="49">
        <f>AVERAGE('8.8 BWERA-KIKORONGO-24h'!L93,'10.8 BWERA-KIKORONGO 24HRS'!L93)</f>
        <v>1</v>
      </c>
      <c r="M93" s="49">
        <f>AVERAGE('8.8 BWERA-KIKORONGO-24h'!M93,'10.8 BWERA-KIKORONGO 24HRS'!M93)</f>
        <v>0</v>
      </c>
      <c r="N93" s="49">
        <f>AVERAGE('8.8 BWERA-KIKORONGO-24h'!N93,'10.8 BWERA-KIKORONGO 24HRS'!N93)</f>
        <v>0</v>
      </c>
      <c r="O93" s="15">
        <f t="shared" si="35"/>
        <v>2.5</v>
      </c>
      <c r="P93" s="15">
        <f t="shared" si="36"/>
        <v>2.5</v>
      </c>
      <c r="R93" s="8"/>
      <c r="T93"/>
    </row>
    <row r="94" spans="2:20" ht="23.1" customHeight="1" x14ac:dyDescent="0.25">
      <c r="B94" s="24" t="s">
        <v>134</v>
      </c>
      <c r="C94" s="49">
        <f>AVERAGE('8.8 BWERA-KIKORONGO-24h'!C94,'10.8 BWERA-KIKORONGO 24HRS'!C94)</f>
        <v>1</v>
      </c>
      <c r="D94" s="49">
        <f>AVERAGE('8.8 BWERA-KIKORONGO-24h'!D94,'10.8 BWERA-KIKORONGO 24HRS'!D94)</f>
        <v>0</v>
      </c>
      <c r="E94" s="49">
        <f>AVERAGE('8.8 BWERA-KIKORONGO-24h'!E94,'10.8 BWERA-KIKORONGO 24HRS'!E94)</f>
        <v>0.5</v>
      </c>
      <c r="F94" s="49">
        <f>AVERAGE('8.8 BWERA-KIKORONGO-24h'!F94,'10.8 BWERA-KIKORONGO 24HRS'!F94)</f>
        <v>0</v>
      </c>
      <c r="G94" s="49">
        <f>AVERAGE('8.8 BWERA-KIKORONGO-24h'!G94,'10.8 BWERA-KIKORONGO 24HRS'!G94)</f>
        <v>0</v>
      </c>
      <c r="H94" s="49">
        <f>AVERAGE('8.8 BWERA-KIKORONGO-24h'!H94,'10.8 BWERA-KIKORONGO 24HRS'!H94)</f>
        <v>0</v>
      </c>
      <c r="I94" s="49">
        <f>AVERAGE('8.8 BWERA-KIKORONGO-24h'!I94,'10.8 BWERA-KIKORONGO 24HRS'!I94)</f>
        <v>0</v>
      </c>
      <c r="J94" s="49">
        <f>AVERAGE('8.8 BWERA-KIKORONGO-24h'!J94,'10.8 BWERA-KIKORONGO 24HRS'!J94)</f>
        <v>0</v>
      </c>
      <c r="K94" s="49">
        <f>AVERAGE('8.8 BWERA-KIKORONGO-24h'!K94,'10.8 BWERA-KIKORONGO 24HRS'!K94)</f>
        <v>0</v>
      </c>
      <c r="L94" s="49">
        <f>AVERAGE('8.8 BWERA-KIKORONGO-24h'!L94,'10.8 BWERA-KIKORONGO 24HRS'!L94)</f>
        <v>0</v>
      </c>
      <c r="M94" s="49">
        <f>AVERAGE('8.8 BWERA-KIKORONGO-24h'!M94,'10.8 BWERA-KIKORONGO 24HRS'!M94)</f>
        <v>0</v>
      </c>
      <c r="N94" s="49">
        <f>AVERAGE('8.8 BWERA-KIKORONGO-24h'!N94,'10.8 BWERA-KIKORONGO 24HRS'!N94)</f>
        <v>0</v>
      </c>
      <c r="O94" s="15">
        <f t="shared" si="35"/>
        <v>1.5</v>
      </c>
      <c r="P94" s="15">
        <f t="shared" si="36"/>
        <v>1.5</v>
      </c>
      <c r="R94" s="8"/>
      <c r="T94"/>
    </row>
    <row r="95" spans="2:20" ht="23.1" customHeight="1" x14ac:dyDescent="0.25">
      <c r="B95" s="23" t="s">
        <v>135</v>
      </c>
      <c r="C95" s="49">
        <f>AVERAGE('8.8 BWERA-KIKORONGO-24h'!C95,'10.8 BWERA-KIKORONGO 24HRS'!C95)</f>
        <v>0</v>
      </c>
      <c r="D95" s="49">
        <f>AVERAGE('8.8 BWERA-KIKORONGO-24h'!D95,'10.8 BWERA-KIKORONGO 24HRS'!D95)</f>
        <v>0</v>
      </c>
      <c r="E95" s="49">
        <f>AVERAGE('8.8 BWERA-KIKORONGO-24h'!E95,'10.8 BWERA-KIKORONGO 24HRS'!E95)</f>
        <v>1</v>
      </c>
      <c r="F95" s="49">
        <f>AVERAGE('8.8 BWERA-KIKORONGO-24h'!F95,'10.8 BWERA-KIKORONGO 24HRS'!F95)</f>
        <v>0</v>
      </c>
      <c r="G95" s="49">
        <f>AVERAGE('8.8 BWERA-KIKORONGO-24h'!G95,'10.8 BWERA-KIKORONGO 24HRS'!G95)</f>
        <v>0</v>
      </c>
      <c r="H95" s="49">
        <f>AVERAGE('8.8 BWERA-KIKORONGO-24h'!H95,'10.8 BWERA-KIKORONGO 24HRS'!H95)</f>
        <v>0.5</v>
      </c>
      <c r="I95" s="49">
        <f>AVERAGE('8.8 BWERA-KIKORONGO-24h'!I95,'10.8 BWERA-KIKORONGO 24HRS'!I95)</f>
        <v>0</v>
      </c>
      <c r="J95" s="49">
        <f>AVERAGE('8.8 BWERA-KIKORONGO-24h'!J95,'10.8 BWERA-KIKORONGO 24HRS'!J95)</f>
        <v>0</v>
      </c>
      <c r="K95" s="49">
        <f>AVERAGE('8.8 BWERA-KIKORONGO-24h'!K95,'10.8 BWERA-KIKORONGO 24HRS'!K95)</f>
        <v>0</v>
      </c>
      <c r="L95" s="49">
        <f>AVERAGE('8.8 BWERA-KIKORONGO-24h'!L95,'10.8 BWERA-KIKORONGO 24HRS'!L95)</f>
        <v>0</v>
      </c>
      <c r="M95" s="49">
        <f>AVERAGE('8.8 BWERA-KIKORONGO-24h'!M95,'10.8 BWERA-KIKORONGO 24HRS'!M95)</f>
        <v>0</v>
      </c>
      <c r="N95" s="49">
        <f>AVERAGE('8.8 BWERA-KIKORONGO-24h'!N95,'10.8 BWERA-KIKORONGO 24HRS'!N95)</f>
        <v>0</v>
      </c>
      <c r="O95" s="15">
        <f t="shared" si="35"/>
        <v>1.5</v>
      </c>
      <c r="P95" s="15">
        <f t="shared" si="36"/>
        <v>1.5</v>
      </c>
      <c r="R95" s="8"/>
      <c r="T95"/>
    </row>
    <row r="96" spans="2:20" ht="23.1" customHeight="1" x14ac:dyDescent="0.25">
      <c r="B96" s="25" t="s">
        <v>136</v>
      </c>
      <c r="C96" s="49">
        <f>AVERAGE('8.8 BWERA-KIKORONGO-24h'!C96,'10.8 BWERA-KIKORONGO 24HRS'!C96)</f>
        <v>0</v>
      </c>
      <c r="D96" s="49">
        <f>AVERAGE('8.8 BWERA-KIKORONGO-24h'!D96,'10.8 BWERA-KIKORONGO 24HRS'!D96)</f>
        <v>0</v>
      </c>
      <c r="E96" s="49">
        <f>AVERAGE('8.8 BWERA-KIKORONGO-24h'!E96,'10.8 BWERA-KIKORONGO 24HRS'!E96)</f>
        <v>0.5</v>
      </c>
      <c r="F96" s="49">
        <f>AVERAGE('8.8 BWERA-KIKORONGO-24h'!F96,'10.8 BWERA-KIKORONGO 24HRS'!F96)</f>
        <v>1.5</v>
      </c>
      <c r="G96" s="49">
        <f>AVERAGE('8.8 BWERA-KIKORONGO-24h'!G96,'10.8 BWERA-KIKORONGO 24HRS'!G96)</f>
        <v>0</v>
      </c>
      <c r="H96" s="49">
        <f>AVERAGE('8.8 BWERA-KIKORONGO-24h'!H96,'10.8 BWERA-KIKORONGO 24HRS'!H96)</f>
        <v>0.5</v>
      </c>
      <c r="I96" s="49">
        <f>AVERAGE('8.8 BWERA-KIKORONGO-24h'!I96,'10.8 BWERA-KIKORONGO 24HRS'!I96)</f>
        <v>2.5</v>
      </c>
      <c r="J96" s="49">
        <f>AVERAGE('8.8 BWERA-KIKORONGO-24h'!J96,'10.8 BWERA-KIKORONGO 24HRS'!J96)</f>
        <v>0</v>
      </c>
      <c r="K96" s="49">
        <f>AVERAGE('8.8 BWERA-KIKORONGO-24h'!K96,'10.8 BWERA-KIKORONGO 24HRS'!K96)</f>
        <v>0</v>
      </c>
      <c r="L96" s="49">
        <f>AVERAGE('8.8 BWERA-KIKORONGO-24h'!L96,'10.8 BWERA-KIKORONGO 24HRS'!L96)</f>
        <v>0</v>
      </c>
      <c r="M96" s="49">
        <f>AVERAGE('8.8 BWERA-KIKORONGO-24h'!M96,'10.8 BWERA-KIKORONGO 24HRS'!M96)</f>
        <v>0</v>
      </c>
      <c r="N96" s="49">
        <f>AVERAGE('8.8 BWERA-KIKORONGO-24h'!N96,'10.8 BWERA-KIKORONGO 24HRS'!N96)</f>
        <v>0</v>
      </c>
      <c r="O96" s="15">
        <f t="shared" si="35"/>
        <v>5</v>
      </c>
      <c r="P96" s="15">
        <f t="shared" si="36"/>
        <v>5</v>
      </c>
      <c r="R96" s="8"/>
      <c r="T96"/>
    </row>
    <row r="97" spans="2:20" ht="23.1" customHeight="1" x14ac:dyDescent="0.25">
      <c r="B97" s="23" t="s">
        <v>137</v>
      </c>
      <c r="C97" s="49">
        <f>AVERAGE('8.8 BWERA-KIKORONGO-24h'!C97,'10.8 BWERA-KIKORONGO 24HRS'!C97)</f>
        <v>0</v>
      </c>
      <c r="D97" s="49">
        <f>AVERAGE('8.8 BWERA-KIKORONGO-24h'!D97,'10.8 BWERA-KIKORONGO 24HRS'!D97)</f>
        <v>0</v>
      </c>
      <c r="E97" s="49">
        <f>AVERAGE('8.8 BWERA-KIKORONGO-24h'!E97,'10.8 BWERA-KIKORONGO 24HRS'!E97)</f>
        <v>0</v>
      </c>
      <c r="F97" s="49">
        <f>AVERAGE('8.8 BWERA-KIKORONGO-24h'!F97,'10.8 BWERA-KIKORONGO 24HRS'!F97)</f>
        <v>0</v>
      </c>
      <c r="G97" s="49">
        <f>AVERAGE('8.8 BWERA-KIKORONGO-24h'!G97,'10.8 BWERA-KIKORONGO 24HRS'!G97)</f>
        <v>0</v>
      </c>
      <c r="H97" s="49">
        <f>AVERAGE('8.8 BWERA-KIKORONGO-24h'!H97,'10.8 BWERA-KIKORONGO 24HRS'!H97)</f>
        <v>0</v>
      </c>
      <c r="I97" s="49">
        <f>AVERAGE('8.8 BWERA-KIKORONGO-24h'!I97,'10.8 BWERA-KIKORONGO 24HRS'!I97)</f>
        <v>1</v>
      </c>
      <c r="J97" s="49">
        <f>AVERAGE('8.8 BWERA-KIKORONGO-24h'!J97,'10.8 BWERA-KIKORONGO 24HRS'!J97)</f>
        <v>0</v>
      </c>
      <c r="K97" s="49">
        <f>AVERAGE('8.8 BWERA-KIKORONGO-24h'!K97,'10.8 BWERA-KIKORONGO 24HRS'!K97)</f>
        <v>0</v>
      </c>
      <c r="L97" s="49">
        <f>AVERAGE('8.8 BWERA-KIKORONGO-24h'!L97,'10.8 BWERA-KIKORONGO 24HRS'!L97)</f>
        <v>0.5</v>
      </c>
      <c r="M97" s="49">
        <f>AVERAGE('8.8 BWERA-KIKORONGO-24h'!M97,'10.8 BWERA-KIKORONGO 24HRS'!M97)</f>
        <v>0</v>
      </c>
      <c r="N97" s="49">
        <f>AVERAGE('8.8 BWERA-KIKORONGO-24h'!N97,'10.8 BWERA-KIKORONGO 24HRS'!N97)</f>
        <v>0</v>
      </c>
      <c r="O97" s="15">
        <f t="shared" si="35"/>
        <v>1.5</v>
      </c>
      <c r="P97" s="15">
        <f t="shared" si="36"/>
        <v>1.5</v>
      </c>
      <c r="R97" s="8"/>
      <c r="T97"/>
    </row>
    <row r="98" spans="2:20" ht="23.1" customHeight="1" x14ac:dyDescent="0.25">
      <c r="B98" s="24" t="s">
        <v>138</v>
      </c>
      <c r="C98" s="49">
        <f>AVERAGE('8.8 BWERA-KIKORONGO-24h'!C98,'10.8 BWERA-KIKORONGO 24HRS'!C98)</f>
        <v>1</v>
      </c>
      <c r="D98" s="49">
        <f>AVERAGE('8.8 BWERA-KIKORONGO-24h'!D98,'10.8 BWERA-KIKORONGO 24HRS'!D98)</f>
        <v>0</v>
      </c>
      <c r="E98" s="49">
        <f>AVERAGE('8.8 BWERA-KIKORONGO-24h'!E98,'10.8 BWERA-KIKORONGO 24HRS'!E98)</f>
        <v>0.5</v>
      </c>
      <c r="F98" s="49">
        <f>AVERAGE('8.8 BWERA-KIKORONGO-24h'!F98,'10.8 BWERA-KIKORONGO 24HRS'!F98)</f>
        <v>0</v>
      </c>
      <c r="G98" s="49">
        <f>AVERAGE('8.8 BWERA-KIKORONGO-24h'!G98,'10.8 BWERA-KIKORONGO 24HRS'!G98)</f>
        <v>0</v>
      </c>
      <c r="H98" s="49">
        <f>AVERAGE('8.8 BWERA-KIKORONGO-24h'!H98,'10.8 BWERA-KIKORONGO 24HRS'!H98)</f>
        <v>1.5</v>
      </c>
      <c r="I98" s="49">
        <f>AVERAGE('8.8 BWERA-KIKORONGO-24h'!I98,'10.8 BWERA-KIKORONGO 24HRS'!I98)</f>
        <v>1</v>
      </c>
      <c r="J98" s="49">
        <f>AVERAGE('8.8 BWERA-KIKORONGO-24h'!J98,'10.8 BWERA-KIKORONGO 24HRS'!J98)</f>
        <v>0</v>
      </c>
      <c r="K98" s="49">
        <f>AVERAGE('8.8 BWERA-KIKORONGO-24h'!K98,'10.8 BWERA-KIKORONGO 24HRS'!K98)</f>
        <v>0</v>
      </c>
      <c r="L98" s="49">
        <f>AVERAGE('8.8 BWERA-KIKORONGO-24h'!L98,'10.8 BWERA-KIKORONGO 24HRS'!L98)</f>
        <v>1</v>
      </c>
      <c r="M98" s="49">
        <f>AVERAGE('8.8 BWERA-KIKORONGO-24h'!M98,'10.8 BWERA-KIKORONGO 24HRS'!M98)</f>
        <v>0</v>
      </c>
      <c r="N98" s="49">
        <f>AVERAGE('8.8 BWERA-KIKORONGO-24h'!N98,'10.8 BWERA-KIKORONGO 24HRS'!N98)</f>
        <v>0</v>
      </c>
      <c r="O98" s="15">
        <f t="shared" si="35"/>
        <v>5</v>
      </c>
      <c r="P98" s="15">
        <f t="shared" si="36"/>
        <v>5</v>
      </c>
      <c r="R98" s="8"/>
      <c r="T98"/>
    </row>
    <row r="99" spans="2:20" ht="23.1" customHeight="1" x14ac:dyDescent="0.25">
      <c r="B99" s="23" t="s">
        <v>139</v>
      </c>
      <c r="C99" s="49">
        <f>AVERAGE('8.8 BWERA-KIKORONGO-24h'!C99,'10.8 BWERA-KIKORONGO 24HRS'!C99)</f>
        <v>0.5</v>
      </c>
      <c r="D99" s="49">
        <f>AVERAGE('8.8 BWERA-KIKORONGO-24h'!D99,'10.8 BWERA-KIKORONGO 24HRS'!D99)</f>
        <v>0</v>
      </c>
      <c r="E99" s="49">
        <f>AVERAGE('8.8 BWERA-KIKORONGO-24h'!E99,'10.8 BWERA-KIKORONGO 24HRS'!E99)</f>
        <v>0</v>
      </c>
      <c r="F99" s="49">
        <f>AVERAGE('8.8 BWERA-KIKORONGO-24h'!F99,'10.8 BWERA-KIKORONGO 24HRS'!F99)</f>
        <v>0</v>
      </c>
      <c r="G99" s="49">
        <f>AVERAGE('8.8 BWERA-KIKORONGO-24h'!G99,'10.8 BWERA-KIKORONGO 24HRS'!G99)</f>
        <v>0</v>
      </c>
      <c r="H99" s="49">
        <f>AVERAGE('8.8 BWERA-KIKORONGO-24h'!H99,'10.8 BWERA-KIKORONGO 24HRS'!H99)</f>
        <v>0.5</v>
      </c>
      <c r="I99" s="49">
        <f>AVERAGE('8.8 BWERA-KIKORONGO-24h'!I99,'10.8 BWERA-KIKORONGO 24HRS'!I99)</f>
        <v>1.5</v>
      </c>
      <c r="J99" s="49">
        <f>AVERAGE('8.8 BWERA-KIKORONGO-24h'!J99,'10.8 BWERA-KIKORONGO 24HRS'!J99)</f>
        <v>0</v>
      </c>
      <c r="K99" s="49">
        <f>AVERAGE('8.8 BWERA-KIKORONGO-24h'!K99,'10.8 BWERA-KIKORONGO 24HRS'!K99)</f>
        <v>0</v>
      </c>
      <c r="L99" s="49">
        <f>AVERAGE('8.8 BWERA-KIKORONGO-24h'!L99,'10.8 BWERA-KIKORONGO 24HRS'!L99)</f>
        <v>1.5</v>
      </c>
      <c r="M99" s="49">
        <f>AVERAGE('8.8 BWERA-KIKORONGO-24h'!M99,'10.8 BWERA-KIKORONGO 24HRS'!M99)</f>
        <v>0</v>
      </c>
      <c r="N99" s="49">
        <f>AVERAGE('8.8 BWERA-KIKORONGO-24h'!N99,'10.8 BWERA-KIKORONGO 24HRS'!N99)</f>
        <v>0</v>
      </c>
      <c r="O99" s="15">
        <f t="shared" si="35"/>
        <v>4</v>
      </c>
      <c r="P99" s="15">
        <f t="shared" si="36"/>
        <v>4</v>
      </c>
      <c r="R99" s="8"/>
      <c r="T99"/>
    </row>
    <row r="100" spans="2:20" ht="23.1" customHeight="1" x14ac:dyDescent="0.25">
      <c r="B100" s="25" t="s">
        <v>140</v>
      </c>
      <c r="C100" s="49">
        <f>AVERAGE('8.8 BWERA-KIKORONGO-24h'!C100,'10.8 BWERA-KIKORONGO 24HRS'!C100)</f>
        <v>3</v>
      </c>
      <c r="D100" s="49">
        <f>AVERAGE('8.8 BWERA-KIKORONGO-24h'!D100,'10.8 BWERA-KIKORONGO 24HRS'!D100)</f>
        <v>0</v>
      </c>
      <c r="E100" s="49">
        <f>AVERAGE('8.8 BWERA-KIKORONGO-24h'!E100,'10.8 BWERA-KIKORONGO 24HRS'!E100)</f>
        <v>0.5</v>
      </c>
      <c r="F100" s="49">
        <f>AVERAGE('8.8 BWERA-KIKORONGO-24h'!F100,'10.8 BWERA-KIKORONGO 24HRS'!F100)</f>
        <v>0</v>
      </c>
      <c r="G100" s="49">
        <f>AVERAGE('8.8 BWERA-KIKORONGO-24h'!G100,'10.8 BWERA-KIKORONGO 24HRS'!G100)</f>
        <v>0</v>
      </c>
      <c r="H100" s="49">
        <f>AVERAGE('8.8 BWERA-KIKORONGO-24h'!H100,'10.8 BWERA-KIKORONGO 24HRS'!H100)</f>
        <v>0</v>
      </c>
      <c r="I100" s="49">
        <f>AVERAGE('8.8 BWERA-KIKORONGO-24h'!I100,'10.8 BWERA-KIKORONGO 24HRS'!I100)</f>
        <v>1</v>
      </c>
      <c r="J100" s="49">
        <f>AVERAGE('8.8 BWERA-KIKORONGO-24h'!J100,'10.8 BWERA-KIKORONGO 24HRS'!J100)</f>
        <v>0</v>
      </c>
      <c r="K100" s="49">
        <f>AVERAGE('8.8 BWERA-KIKORONGO-24h'!K100,'10.8 BWERA-KIKORONGO 24HRS'!K100)</f>
        <v>0</v>
      </c>
      <c r="L100" s="49">
        <f>AVERAGE('8.8 BWERA-KIKORONGO-24h'!L100,'10.8 BWERA-KIKORONGO 24HRS'!L100)</f>
        <v>0.5</v>
      </c>
      <c r="M100" s="49">
        <f>AVERAGE('8.8 BWERA-KIKORONGO-24h'!M100,'10.8 BWERA-KIKORONGO 24HRS'!M100)</f>
        <v>0</v>
      </c>
      <c r="N100" s="49">
        <f>AVERAGE('8.8 BWERA-KIKORONGO-24h'!N100,'10.8 BWERA-KIKORONGO 24HRS'!N100)</f>
        <v>0</v>
      </c>
      <c r="O100" s="15">
        <f t="shared" si="35"/>
        <v>5</v>
      </c>
      <c r="P100" s="15">
        <f t="shared" si="36"/>
        <v>5</v>
      </c>
      <c r="R100" s="8"/>
      <c r="T100"/>
    </row>
    <row r="101" spans="2:20" ht="23.1" customHeight="1" x14ac:dyDescent="0.25">
      <c r="B101" s="23" t="s">
        <v>141</v>
      </c>
      <c r="C101" s="49">
        <f>AVERAGE('8.8 BWERA-KIKORONGO-24h'!C101,'10.8 BWERA-KIKORONGO 24HRS'!C101)</f>
        <v>2</v>
      </c>
      <c r="D101" s="49">
        <f>AVERAGE('8.8 BWERA-KIKORONGO-24h'!D101,'10.8 BWERA-KIKORONGO 24HRS'!D101)</f>
        <v>0</v>
      </c>
      <c r="E101" s="49">
        <f>AVERAGE('8.8 BWERA-KIKORONGO-24h'!E101,'10.8 BWERA-KIKORONGO 24HRS'!E101)</f>
        <v>0</v>
      </c>
      <c r="F101" s="49">
        <f>AVERAGE('8.8 BWERA-KIKORONGO-24h'!F101,'10.8 BWERA-KIKORONGO 24HRS'!F101)</f>
        <v>0</v>
      </c>
      <c r="G101" s="49">
        <f>AVERAGE('8.8 BWERA-KIKORONGO-24h'!G101,'10.8 BWERA-KIKORONGO 24HRS'!G101)</f>
        <v>0</v>
      </c>
      <c r="H101" s="49">
        <f>AVERAGE('8.8 BWERA-KIKORONGO-24h'!H101,'10.8 BWERA-KIKORONGO 24HRS'!H101)</f>
        <v>0</v>
      </c>
      <c r="I101" s="49">
        <f>AVERAGE('8.8 BWERA-KIKORONGO-24h'!I101,'10.8 BWERA-KIKORONGO 24HRS'!I101)</f>
        <v>1</v>
      </c>
      <c r="J101" s="49">
        <f>AVERAGE('8.8 BWERA-KIKORONGO-24h'!J101,'10.8 BWERA-KIKORONGO 24HRS'!J101)</f>
        <v>1.5</v>
      </c>
      <c r="K101" s="49">
        <f>AVERAGE('8.8 BWERA-KIKORONGO-24h'!K101,'10.8 BWERA-KIKORONGO 24HRS'!K101)</f>
        <v>0</v>
      </c>
      <c r="L101" s="49">
        <f>AVERAGE('8.8 BWERA-KIKORONGO-24h'!L101,'10.8 BWERA-KIKORONGO 24HRS'!L101)</f>
        <v>0.5</v>
      </c>
      <c r="M101" s="49">
        <f>AVERAGE('8.8 BWERA-KIKORONGO-24h'!M101,'10.8 BWERA-KIKORONGO 24HRS'!M101)</f>
        <v>0</v>
      </c>
      <c r="N101" s="49">
        <f>AVERAGE('8.8 BWERA-KIKORONGO-24h'!N101,'10.8 BWERA-KIKORONGO 24HRS'!N101)</f>
        <v>0</v>
      </c>
      <c r="O101" s="15">
        <f t="shared" si="35"/>
        <v>5</v>
      </c>
      <c r="P101" s="15">
        <f t="shared" si="36"/>
        <v>5</v>
      </c>
      <c r="R101" s="8"/>
      <c r="T101"/>
    </row>
    <row r="102" spans="2:20" ht="23.1" customHeight="1" x14ac:dyDescent="0.25">
      <c r="B102" s="24" t="s">
        <v>142</v>
      </c>
      <c r="C102" s="49">
        <f>AVERAGE('8.8 BWERA-KIKORONGO-24h'!C102,'10.8 BWERA-KIKORONGO 24HRS'!C102)</f>
        <v>1.5</v>
      </c>
      <c r="D102" s="49">
        <f>AVERAGE('8.8 BWERA-KIKORONGO-24h'!D102,'10.8 BWERA-KIKORONGO 24HRS'!D102)</f>
        <v>0</v>
      </c>
      <c r="E102" s="49">
        <f>AVERAGE('8.8 BWERA-KIKORONGO-24h'!E102,'10.8 BWERA-KIKORONGO 24HRS'!E102)</f>
        <v>0.5</v>
      </c>
      <c r="F102" s="49">
        <f>AVERAGE('8.8 BWERA-KIKORONGO-24h'!F102,'10.8 BWERA-KIKORONGO 24HRS'!F102)</f>
        <v>0.5</v>
      </c>
      <c r="G102" s="49">
        <f>AVERAGE('8.8 BWERA-KIKORONGO-24h'!G102,'10.8 BWERA-KIKORONGO 24HRS'!G102)</f>
        <v>0</v>
      </c>
      <c r="H102" s="49">
        <f>AVERAGE('8.8 BWERA-KIKORONGO-24h'!H102,'10.8 BWERA-KIKORONGO 24HRS'!H102)</f>
        <v>0.5</v>
      </c>
      <c r="I102" s="49">
        <f>AVERAGE('8.8 BWERA-KIKORONGO-24h'!I102,'10.8 BWERA-KIKORONGO 24HRS'!I102)</f>
        <v>1</v>
      </c>
      <c r="J102" s="49">
        <f>AVERAGE('8.8 BWERA-KIKORONGO-24h'!J102,'10.8 BWERA-KIKORONGO 24HRS'!J102)</f>
        <v>0.5</v>
      </c>
      <c r="K102" s="49">
        <f>AVERAGE('8.8 BWERA-KIKORONGO-24h'!K102,'10.8 BWERA-KIKORONGO 24HRS'!K102)</f>
        <v>0</v>
      </c>
      <c r="L102" s="49">
        <f>AVERAGE('8.8 BWERA-KIKORONGO-24h'!L102,'10.8 BWERA-KIKORONGO 24HRS'!L102)</f>
        <v>0.5</v>
      </c>
      <c r="M102" s="49">
        <f>AVERAGE('8.8 BWERA-KIKORONGO-24h'!M102,'10.8 BWERA-KIKORONGO 24HRS'!M102)</f>
        <v>1</v>
      </c>
      <c r="N102" s="49">
        <f>AVERAGE('8.8 BWERA-KIKORONGO-24h'!N102,'10.8 BWERA-KIKORONGO 24HRS'!N102)</f>
        <v>0</v>
      </c>
      <c r="O102" s="15">
        <f t="shared" si="35"/>
        <v>5</v>
      </c>
      <c r="P102" s="15">
        <f t="shared" si="36"/>
        <v>6</v>
      </c>
      <c r="R102" s="8"/>
      <c r="T102"/>
    </row>
    <row r="103" spans="2:20" ht="23.1" customHeight="1" x14ac:dyDescent="0.25">
      <c r="B103" s="23" t="s">
        <v>143</v>
      </c>
      <c r="C103" s="49">
        <f>AVERAGE('8.8 BWERA-KIKORONGO-24h'!C103,'10.8 BWERA-KIKORONGO 24HRS'!C103)</f>
        <v>1</v>
      </c>
      <c r="D103" s="49">
        <f>AVERAGE('8.8 BWERA-KIKORONGO-24h'!D103,'10.8 BWERA-KIKORONGO 24HRS'!D103)</f>
        <v>0</v>
      </c>
      <c r="E103" s="49">
        <f>AVERAGE('8.8 BWERA-KIKORONGO-24h'!E103,'10.8 BWERA-KIKORONGO 24HRS'!E103)</f>
        <v>1</v>
      </c>
      <c r="F103" s="49">
        <f>AVERAGE('8.8 BWERA-KIKORONGO-24h'!F103,'10.8 BWERA-KIKORONGO 24HRS'!F103)</f>
        <v>0</v>
      </c>
      <c r="G103" s="49">
        <f>AVERAGE('8.8 BWERA-KIKORONGO-24h'!G103,'10.8 BWERA-KIKORONGO 24HRS'!G103)</f>
        <v>0</v>
      </c>
      <c r="H103" s="49">
        <f>AVERAGE('8.8 BWERA-KIKORONGO-24h'!H103,'10.8 BWERA-KIKORONGO 24HRS'!H103)</f>
        <v>0.5</v>
      </c>
      <c r="I103" s="49">
        <f>AVERAGE('8.8 BWERA-KIKORONGO-24h'!I103,'10.8 BWERA-KIKORONGO 24HRS'!I103)</f>
        <v>1</v>
      </c>
      <c r="J103" s="49">
        <f>AVERAGE('8.8 BWERA-KIKORONGO-24h'!J103,'10.8 BWERA-KIKORONGO 24HRS'!J103)</f>
        <v>0</v>
      </c>
      <c r="K103" s="49">
        <f>AVERAGE('8.8 BWERA-KIKORONGO-24h'!K103,'10.8 BWERA-KIKORONGO 24HRS'!K103)</f>
        <v>0</v>
      </c>
      <c r="L103" s="49">
        <f>AVERAGE('8.8 BWERA-KIKORONGO-24h'!L103,'10.8 BWERA-KIKORONGO 24HRS'!L103)</f>
        <v>1</v>
      </c>
      <c r="M103" s="49">
        <f>AVERAGE('8.8 BWERA-KIKORONGO-24h'!M103,'10.8 BWERA-KIKORONGO 24HRS'!M103)</f>
        <v>3</v>
      </c>
      <c r="N103" s="49">
        <f>AVERAGE('8.8 BWERA-KIKORONGO-24h'!N103,'10.8 BWERA-KIKORONGO 24HRS'!N103)</f>
        <v>0</v>
      </c>
      <c r="O103" s="15">
        <f t="shared" si="35"/>
        <v>4.5</v>
      </c>
      <c r="P103" s="15">
        <f t="shared" si="36"/>
        <v>7.5</v>
      </c>
      <c r="R103" s="8"/>
      <c r="T103"/>
    </row>
    <row r="104" spans="2:20" ht="23.1" customHeight="1" x14ac:dyDescent="0.25">
      <c r="B104" s="25" t="s">
        <v>144</v>
      </c>
      <c r="C104" s="49">
        <f>AVERAGE('8.8 BWERA-KIKORONGO-24h'!C104,'10.8 BWERA-KIKORONGO 24HRS'!C104)</f>
        <v>2</v>
      </c>
      <c r="D104" s="49">
        <f>AVERAGE('8.8 BWERA-KIKORONGO-24h'!D104,'10.8 BWERA-KIKORONGO 24HRS'!D104)</f>
        <v>0</v>
      </c>
      <c r="E104" s="49">
        <f>AVERAGE('8.8 BWERA-KIKORONGO-24h'!E104,'10.8 BWERA-KIKORONGO 24HRS'!E104)</f>
        <v>1.5</v>
      </c>
      <c r="F104" s="49">
        <f>AVERAGE('8.8 BWERA-KIKORONGO-24h'!F104,'10.8 BWERA-KIKORONGO 24HRS'!F104)</f>
        <v>2</v>
      </c>
      <c r="G104" s="49">
        <f>AVERAGE('8.8 BWERA-KIKORONGO-24h'!G104,'10.8 BWERA-KIKORONGO 24HRS'!G104)</f>
        <v>0</v>
      </c>
      <c r="H104" s="49">
        <f>AVERAGE('8.8 BWERA-KIKORONGO-24h'!H104,'10.8 BWERA-KIKORONGO 24HRS'!H104)</f>
        <v>0</v>
      </c>
      <c r="I104" s="49">
        <f>AVERAGE('8.8 BWERA-KIKORONGO-24h'!I104,'10.8 BWERA-KIKORONGO 24HRS'!I104)</f>
        <v>1.5</v>
      </c>
      <c r="J104" s="49">
        <f>AVERAGE('8.8 BWERA-KIKORONGO-24h'!J104,'10.8 BWERA-KIKORONGO 24HRS'!J104)</f>
        <v>0.5</v>
      </c>
      <c r="K104" s="49">
        <f>AVERAGE('8.8 BWERA-KIKORONGO-24h'!K104,'10.8 BWERA-KIKORONGO 24HRS'!K104)</f>
        <v>0</v>
      </c>
      <c r="L104" s="49">
        <f>AVERAGE('8.8 BWERA-KIKORONGO-24h'!L104,'10.8 BWERA-KIKORONGO 24HRS'!L104)</f>
        <v>0</v>
      </c>
      <c r="M104" s="49">
        <f>AVERAGE('8.8 BWERA-KIKORONGO-24h'!M104,'10.8 BWERA-KIKORONGO 24HRS'!M104)</f>
        <v>1.5</v>
      </c>
      <c r="N104" s="49">
        <f>AVERAGE('8.8 BWERA-KIKORONGO-24h'!N104,'10.8 BWERA-KIKORONGO 24HRS'!N104)</f>
        <v>0</v>
      </c>
      <c r="O104" s="15">
        <f t="shared" si="35"/>
        <v>7.5</v>
      </c>
      <c r="P104" s="15">
        <f t="shared" si="36"/>
        <v>9</v>
      </c>
      <c r="R104" s="8"/>
      <c r="T104"/>
    </row>
    <row r="105" spans="2:20" ht="23.1" customHeight="1" x14ac:dyDescent="0.25">
      <c r="B105" s="23" t="s">
        <v>145</v>
      </c>
      <c r="C105" s="49">
        <f>AVERAGE('8.8 BWERA-KIKORONGO-24h'!C105,'10.8 BWERA-KIKORONGO 24HRS'!C105)</f>
        <v>0.5</v>
      </c>
      <c r="D105" s="49">
        <f>AVERAGE('8.8 BWERA-KIKORONGO-24h'!D105,'10.8 BWERA-KIKORONGO 24HRS'!D105)</f>
        <v>0</v>
      </c>
      <c r="E105" s="49">
        <f>AVERAGE('8.8 BWERA-KIKORONGO-24h'!E105,'10.8 BWERA-KIKORONGO 24HRS'!E105)</f>
        <v>0</v>
      </c>
      <c r="F105" s="49">
        <f>AVERAGE('8.8 BWERA-KIKORONGO-24h'!F105,'10.8 BWERA-KIKORONGO 24HRS'!F105)</f>
        <v>1</v>
      </c>
      <c r="G105" s="49">
        <f>AVERAGE('8.8 BWERA-KIKORONGO-24h'!G105,'10.8 BWERA-KIKORONGO 24HRS'!G105)</f>
        <v>0</v>
      </c>
      <c r="H105" s="49">
        <f>AVERAGE('8.8 BWERA-KIKORONGO-24h'!H105,'10.8 BWERA-KIKORONGO 24HRS'!H105)</f>
        <v>0</v>
      </c>
      <c r="I105" s="49">
        <f>AVERAGE('8.8 BWERA-KIKORONGO-24h'!I105,'10.8 BWERA-KIKORONGO 24HRS'!I105)</f>
        <v>2</v>
      </c>
      <c r="J105" s="49">
        <f>AVERAGE('8.8 BWERA-KIKORONGO-24h'!J105,'10.8 BWERA-KIKORONGO 24HRS'!J105)</f>
        <v>0.5</v>
      </c>
      <c r="K105" s="49">
        <f>AVERAGE('8.8 BWERA-KIKORONGO-24h'!K105,'10.8 BWERA-KIKORONGO 24HRS'!K105)</f>
        <v>0</v>
      </c>
      <c r="L105" s="49">
        <f>AVERAGE('8.8 BWERA-KIKORONGO-24h'!L105,'10.8 BWERA-KIKORONGO 24HRS'!L105)</f>
        <v>0.5</v>
      </c>
      <c r="M105" s="49">
        <f>AVERAGE('8.8 BWERA-KIKORONGO-24h'!M105,'10.8 BWERA-KIKORONGO 24HRS'!M105)</f>
        <v>2.5</v>
      </c>
      <c r="N105" s="49">
        <f>AVERAGE('8.8 BWERA-KIKORONGO-24h'!N105,'10.8 BWERA-KIKORONGO 24HRS'!N105)</f>
        <v>0</v>
      </c>
      <c r="O105" s="15">
        <f t="shared" si="35"/>
        <v>4.5</v>
      </c>
      <c r="P105" s="15">
        <f t="shared" si="36"/>
        <v>7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295</v>
      </c>
      <c r="D106" s="16">
        <f t="shared" ref="D106:P106" si="37">SUM(D10:D105)</f>
        <v>0</v>
      </c>
      <c r="E106" s="16">
        <f t="shared" si="37"/>
        <v>136.78571428571428</v>
      </c>
      <c r="F106" s="16">
        <f t="shared" si="37"/>
        <v>177.35714285714289</v>
      </c>
      <c r="G106" s="16">
        <f t="shared" si="37"/>
        <v>1.9999999999999996</v>
      </c>
      <c r="H106" s="16">
        <f t="shared" si="37"/>
        <v>15.714285714285715</v>
      </c>
      <c r="I106" s="16">
        <f t="shared" si="37"/>
        <v>78.571428571428584</v>
      </c>
      <c r="J106" s="16">
        <f t="shared" si="37"/>
        <v>37.571428571428569</v>
      </c>
      <c r="K106" s="16">
        <f t="shared" si="37"/>
        <v>2.9999999999999991</v>
      </c>
      <c r="L106" s="16">
        <f t="shared" si="37"/>
        <v>39.714285714285722</v>
      </c>
      <c r="M106" s="16">
        <f t="shared" si="37"/>
        <v>207.07142857142856</v>
      </c>
      <c r="N106" s="16">
        <f t="shared" si="37"/>
        <v>1.2142857142857142</v>
      </c>
      <c r="O106" s="16">
        <f t="shared" si="37"/>
        <v>786.92857142857133</v>
      </c>
      <c r="P106" s="16">
        <f t="shared" si="37"/>
        <v>994.00000000000023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0.29678068410462771</v>
      </c>
      <c r="D107" s="43">
        <f t="shared" si="38"/>
        <v>0</v>
      </c>
      <c r="E107" s="43">
        <f t="shared" si="38"/>
        <v>0.13761138258120145</v>
      </c>
      <c r="F107" s="43">
        <f t="shared" si="38"/>
        <v>0.17842770911181374</v>
      </c>
      <c r="G107" s="43">
        <f t="shared" si="38"/>
        <v>2.0120724346076452E-3</v>
      </c>
      <c r="H107" s="43">
        <f t="shared" si="38"/>
        <v>1.5809140557631499E-2</v>
      </c>
      <c r="I107" s="43">
        <f t="shared" si="38"/>
        <v>7.9045702788157507E-2</v>
      </c>
      <c r="J107" s="43">
        <f t="shared" si="38"/>
        <v>3.7798217878700767E-2</v>
      </c>
      <c r="K107" s="43">
        <f t="shared" si="38"/>
        <v>3.0181086519114673E-3</v>
      </c>
      <c r="L107" s="43">
        <f t="shared" si="38"/>
        <v>3.9954009772923252E-2</v>
      </c>
      <c r="M107" s="43">
        <f t="shared" si="38"/>
        <v>0.20832135671169871</v>
      </c>
      <c r="N107" s="43">
        <f t="shared" si="38"/>
        <v>1.2216154067260703E-3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0.37487519288372517</v>
      </c>
      <c r="D108" s="44">
        <f t="shared" ref="D108:N108" si="39">D106/$O$106</f>
        <v>0</v>
      </c>
      <c r="E108" s="44">
        <f t="shared" si="39"/>
        <v>0.17382227466642464</v>
      </c>
      <c r="F108" s="44">
        <f t="shared" si="39"/>
        <v>0.22537895978941644</v>
      </c>
      <c r="G108" s="44">
        <f t="shared" si="39"/>
        <v>2.5415267314150857E-3</v>
      </c>
      <c r="H108" s="44">
        <f t="shared" si="39"/>
        <v>1.9969138603975679E-2</v>
      </c>
      <c r="I108" s="44">
        <f t="shared" si="39"/>
        <v>9.9845693019878404E-2</v>
      </c>
      <c r="J108" s="44">
        <f t="shared" si="39"/>
        <v>4.7744395025869114E-2</v>
      </c>
      <c r="K108" s="44">
        <f t="shared" si="39"/>
        <v>3.8122900971226279E-3</v>
      </c>
      <c r="L108" s="44">
        <f t="shared" si="39"/>
        <v>5.0467459380956717E-2</v>
      </c>
      <c r="M108" s="44"/>
      <c r="N108" s="44">
        <f t="shared" si="39"/>
        <v>1.5430698012163021E-3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3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9" tint="-0.249977111117893"/>
  </sheetPr>
  <dimension ref="B1:AF174"/>
  <sheetViews>
    <sheetView tabSelected="1" view="pageBreakPreview" zoomScale="60" workbookViewId="0">
      <selection activeCell="I99" sqref="I99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>
        <f>'11.8 KIKORONGO-BWERA'!C3:G3</f>
        <v>0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5" t="s">
        <v>166</v>
      </c>
      <c r="E5" s="66"/>
      <c r="F5" s="41" t="s">
        <v>1</v>
      </c>
      <c r="G5" s="63">
        <f>'Avg Week BWERA-KIKORONGO'!G5:H5</f>
        <v>0</v>
      </c>
      <c r="H5" s="64"/>
      <c r="I5" s="14"/>
      <c r="J5" s="2" t="s">
        <v>5</v>
      </c>
      <c r="K5" s="63">
        <f>'Avg Week BWERA-KIKORONGO'!K5:L5</f>
        <v>0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7" t="s">
        <v>161</v>
      </c>
      <c r="E6" s="68"/>
      <c r="F6" s="2" t="s">
        <v>2</v>
      </c>
      <c r="G6" s="67" t="s">
        <v>161</v>
      </c>
      <c r="H6" s="68"/>
      <c r="J6" s="2" t="s">
        <v>21</v>
      </c>
      <c r="K6" s="63">
        <f>'Avg Week BWERA-KIKORONGO'!K6:L6</f>
        <v>0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'Avg Week KIKORONGO-BWERA'!C10+'Avg Week BWERA-KIKORONGO'!C10</f>
        <v>4.5714285714285712</v>
      </c>
      <c r="D10" s="49">
        <f>0.45*('Avg Week KIKORONGO-BWERA'!E10+'Avg Week BWERA-KIKORONGO'!E10)</f>
        <v>1.0285714285714285</v>
      </c>
      <c r="E10" s="49">
        <f>0.55*('Avg Week KIKORONGO-BWERA'!E10+'Avg Week BWERA-KIKORONGO'!E10)</f>
        <v>1.2571428571428571</v>
      </c>
      <c r="F10" s="49">
        <f>'Avg Week KIKORONGO-BWERA'!F10+'Avg Week BWERA-KIKORONGO'!F10</f>
        <v>3.4285714285714288</v>
      </c>
      <c r="G10" s="49">
        <f>'Avg Week KIKORONGO-BWERA'!G10+'Avg Week BWERA-KIKORONGO'!G10</f>
        <v>0</v>
      </c>
      <c r="H10" s="49">
        <f>'Avg Week KIKORONGO-BWERA'!H10+'Avg Week BWERA-KIKORONGO'!H10</f>
        <v>0.42857142857142855</v>
      </c>
      <c r="I10" s="49">
        <f>'Avg Week KIKORONGO-BWERA'!I10+'Avg Week BWERA-KIKORONGO'!I10</f>
        <v>2.2857142857142856</v>
      </c>
      <c r="J10" s="49">
        <f>'Avg Week KIKORONGO-BWERA'!J10+'Avg Week BWERA-KIKORONGO'!J10</f>
        <v>0.7142857142857143</v>
      </c>
      <c r="K10" s="49">
        <f>'Avg Week KIKORONGO-BWERA'!K10+'Avg Week BWERA-KIKORONGO'!K10</f>
        <v>0</v>
      </c>
      <c r="L10" s="49">
        <f>'Avg Week KIKORONGO-BWERA'!L10+'Avg Week BWERA-KIKORONGO'!L10</f>
        <v>1.2857142857142856</v>
      </c>
      <c r="M10" s="49">
        <f>'Avg Week KIKORONGO-BWERA'!M10+'Avg Week BWERA-KIKORONGO'!M10</f>
        <v>3.0476190476190474</v>
      </c>
      <c r="N10" s="49">
        <f>'Avg Week KIKORONGO-BWERA'!N10+'Avg Week BWERA-KIKORONGO'!N10</f>
        <v>0</v>
      </c>
      <c r="O10" s="15">
        <f t="shared" ref="O10:O73" si="0">SUM(C10:L10,N10)</f>
        <v>15</v>
      </c>
      <c r="P10" s="15">
        <f t="shared" ref="P10:P73" si="1">SUM(C10:N10)</f>
        <v>18.047619047619047</v>
      </c>
      <c r="R10" s="1" t="s">
        <v>6</v>
      </c>
      <c r="S10" s="17">
        <f t="shared" ref="S10:AF10" si="2">SUM(C10:C13)</f>
        <v>24.428571428571431</v>
      </c>
      <c r="T10" s="17">
        <f t="shared" si="2"/>
        <v>5.2714285714285714</v>
      </c>
      <c r="U10" s="17">
        <f t="shared" si="2"/>
        <v>6.4428571428571431</v>
      </c>
      <c r="V10" s="17">
        <f t="shared" si="2"/>
        <v>11.571428571428571</v>
      </c>
      <c r="W10" s="17">
        <f t="shared" si="2"/>
        <v>0.14285714285714285</v>
      </c>
      <c r="X10" s="17">
        <f t="shared" si="2"/>
        <v>3</v>
      </c>
      <c r="Y10" s="17">
        <f t="shared" si="2"/>
        <v>8.7142857142857135</v>
      </c>
      <c r="Z10" s="17">
        <f t="shared" si="2"/>
        <v>2.1428571428571428</v>
      </c>
      <c r="AA10" s="17">
        <f t="shared" si="2"/>
        <v>1.1428571428571428</v>
      </c>
      <c r="AB10" s="17">
        <f t="shared" si="2"/>
        <v>4.2857142857142865</v>
      </c>
      <c r="AC10" s="17">
        <f t="shared" si="2"/>
        <v>24.61904761904762</v>
      </c>
      <c r="AD10" s="17">
        <f t="shared" si="2"/>
        <v>0</v>
      </c>
      <c r="AE10" s="31">
        <f t="shared" si="2"/>
        <v>67.142857142857153</v>
      </c>
      <c r="AF10" s="31">
        <f t="shared" si="2"/>
        <v>91.761904761904759</v>
      </c>
    </row>
    <row r="11" spans="2:32" s="6" customFormat="1" ht="23.1" customHeight="1" x14ac:dyDescent="0.25">
      <c r="B11" s="23" t="s">
        <v>38</v>
      </c>
      <c r="C11" s="49">
        <f>'Avg Week KIKORONGO-BWERA'!C11+'Avg Week BWERA-KIKORONGO'!C11</f>
        <v>5</v>
      </c>
      <c r="D11" s="49">
        <f>0.45*('Avg Week KIKORONGO-BWERA'!E11+'Avg Week BWERA-KIKORONGO'!E11)</f>
        <v>1.2857142857142858</v>
      </c>
      <c r="E11" s="49">
        <f>0.55*('Avg Week KIKORONGO-BWERA'!E11+'Avg Week BWERA-KIKORONGO'!E11)</f>
        <v>1.5714285714285716</v>
      </c>
      <c r="F11" s="49">
        <f>'Avg Week KIKORONGO-BWERA'!F11+'Avg Week BWERA-KIKORONGO'!F11</f>
        <v>2.4285714285714288</v>
      </c>
      <c r="G11" s="49">
        <f>'Avg Week KIKORONGO-BWERA'!G11+'Avg Week BWERA-KIKORONGO'!G11</f>
        <v>0</v>
      </c>
      <c r="H11" s="49">
        <f>'Avg Week KIKORONGO-BWERA'!H11+'Avg Week BWERA-KIKORONGO'!H11</f>
        <v>0.42857142857142855</v>
      </c>
      <c r="I11" s="49">
        <f>'Avg Week KIKORONGO-BWERA'!I11+'Avg Week BWERA-KIKORONGO'!I11</f>
        <v>1.5714285714285714</v>
      </c>
      <c r="J11" s="49">
        <f>'Avg Week KIKORONGO-BWERA'!J11+'Avg Week BWERA-KIKORONGO'!J11</f>
        <v>0.7142857142857143</v>
      </c>
      <c r="K11" s="49">
        <f>'Avg Week KIKORONGO-BWERA'!K11+'Avg Week BWERA-KIKORONGO'!K11</f>
        <v>0.5714285714285714</v>
      </c>
      <c r="L11" s="49">
        <f>'Avg Week KIKORONGO-BWERA'!L11+'Avg Week BWERA-KIKORONGO'!L11</f>
        <v>1.4285714285714286</v>
      </c>
      <c r="M11" s="49">
        <f>'Avg Week KIKORONGO-BWERA'!M11+'Avg Week BWERA-KIKORONGO'!M11</f>
        <v>5.4285714285714288</v>
      </c>
      <c r="N11" s="49">
        <f>'Avg Week KIKORONGO-BWERA'!N11+'Avg Week BWERA-KIKORONGO'!N11</f>
        <v>0</v>
      </c>
      <c r="O11" s="15">
        <f t="shared" si="0"/>
        <v>15</v>
      </c>
      <c r="P11" s="15">
        <f t="shared" si="1"/>
        <v>20.428571428571431</v>
      </c>
      <c r="R11" s="1" t="s">
        <v>7</v>
      </c>
      <c r="S11" s="17">
        <f t="shared" ref="S11:AF11" si="3">SUM(C14:C17)</f>
        <v>30.857142857142854</v>
      </c>
      <c r="T11" s="17">
        <f t="shared" si="3"/>
        <v>6.9428571428571431</v>
      </c>
      <c r="U11" s="17">
        <f t="shared" si="3"/>
        <v>8.4857142857142858</v>
      </c>
      <c r="V11" s="17">
        <f t="shared" si="3"/>
        <v>18</v>
      </c>
      <c r="W11" s="17">
        <f t="shared" si="3"/>
        <v>0</v>
      </c>
      <c r="X11" s="17">
        <f t="shared" si="3"/>
        <v>1.857142857142857</v>
      </c>
      <c r="Y11" s="17">
        <f t="shared" si="3"/>
        <v>7.2857142857142847</v>
      </c>
      <c r="Z11" s="17">
        <f t="shared" si="3"/>
        <v>1.7142857142857144</v>
      </c>
      <c r="AA11" s="17">
        <f t="shared" si="3"/>
        <v>0.2857142857142857</v>
      </c>
      <c r="AB11" s="17">
        <f t="shared" si="3"/>
        <v>0.99999999999999989</v>
      </c>
      <c r="AC11" s="17">
        <f t="shared" si="3"/>
        <v>33.714285714285715</v>
      </c>
      <c r="AD11" s="17">
        <f t="shared" si="3"/>
        <v>0</v>
      </c>
      <c r="AE11" s="31">
        <f t="shared" si="3"/>
        <v>76.428571428571431</v>
      </c>
      <c r="AF11" s="31">
        <f t="shared" si="3"/>
        <v>110.14285714285714</v>
      </c>
    </row>
    <row r="12" spans="2:32" ht="23.1" customHeight="1" x14ac:dyDescent="0.25">
      <c r="B12" s="23" t="s">
        <v>39</v>
      </c>
      <c r="C12" s="49">
        <f>'Avg Week KIKORONGO-BWERA'!C12+'Avg Week BWERA-KIKORONGO'!C12</f>
        <v>6.2857142857142865</v>
      </c>
      <c r="D12" s="49">
        <f>0.45*('Avg Week KIKORONGO-BWERA'!E12+'Avg Week BWERA-KIKORONGO'!E12)</f>
        <v>1.5428571428571429</v>
      </c>
      <c r="E12" s="49">
        <f>0.55*('Avg Week KIKORONGO-BWERA'!E12+'Avg Week BWERA-KIKORONGO'!E12)</f>
        <v>1.8857142857142859</v>
      </c>
      <c r="F12" s="49">
        <f>'Avg Week KIKORONGO-BWERA'!F12+'Avg Week BWERA-KIKORONGO'!F12</f>
        <v>2.5714285714285716</v>
      </c>
      <c r="G12" s="49">
        <f>'Avg Week KIKORONGO-BWERA'!G12+'Avg Week BWERA-KIKORONGO'!G12</f>
        <v>0</v>
      </c>
      <c r="H12" s="49">
        <f>'Avg Week KIKORONGO-BWERA'!H12+'Avg Week BWERA-KIKORONGO'!H12</f>
        <v>0.5714285714285714</v>
      </c>
      <c r="I12" s="49">
        <f>'Avg Week KIKORONGO-BWERA'!I12+'Avg Week BWERA-KIKORONGO'!I12</f>
        <v>2.714285714285714</v>
      </c>
      <c r="J12" s="49">
        <f>'Avg Week KIKORONGO-BWERA'!J12+'Avg Week BWERA-KIKORONGO'!J12</f>
        <v>0.5714285714285714</v>
      </c>
      <c r="K12" s="49">
        <f>'Avg Week KIKORONGO-BWERA'!K12+'Avg Week BWERA-KIKORONGO'!K12</f>
        <v>0</v>
      </c>
      <c r="L12" s="49">
        <f>'Avg Week KIKORONGO-BWERA'!L12+'Avg Week BWERA-KIKORONGO'!L12</f>
        <v>0.71428571428571419</v>
      </c>
      <c r="M12" s="49">
        <f>'Avg Week KIKORONGO-BWERA'!M12+'Avg Week BWERA-KIKORONGO'!M12</f>
        <v>7.2857142857142856</v>
      </c>
      <c r="N12" s="49">
        <f>'Avg Week KIKORONGO-BWERA'!N12+'Avg Week BWERA-KIKORONGO'!N12</f>
        <v>0</v>
      </c>
      <c r="O12" s="15">
        <f t="shared" si="0"/>
        <v>16.857142857142858</v>
      </c>
      <c r="P12" s="15">
        <f t="shared" si="1"/>
        <v>24.142857142857142</v>
      </c>
      <c r="R12" s="1" t="s">
        <v>8</v>
      </c>
      <c r="S12" s="17">
        <f t="shared" ref="S12:AF12" si="4">SUM(C18:C21)</f>
        <v>34.857142857142861</v>
      </c>
      <c r="T12" s="17">
        <f t="shared" si="4"/>
        <v>9.2571428571428562</v>
      </c>
      <c r="U12" s="17">
        <f t="shared" si="4"/>
        <v>11.314285714285715</v>
      </c>
      <c r="V12" s="17">
        <f t="shared" si="4"/>
        <v>18.285714285714285</v>
      </c>
      <c r="W12" s="17">
        <f t="shared" si="4"/>
        <v>0.5714285714285714</v>
      </c>
      <c r="X12" s="17">
        <f t="shared" si="4"/>
        <v>1.8571428571428572</v>
      </c>
      <c r="Y12" s="17">
        <f t="shared" si="4"/>
        <v>10</v>
      </c>
      <c r="Z12" s="17">
        <f t="shared" si="4"/>
        <v>1.9999999999999998</v>
      </c>
      <c r="AA12" s="17">
        <f t="shared" si="4"/>
        <v>0.2857142857142857</v>
      </c>
      <c r="AB12" s="17">
        <f t="shared" si="4"/>
        <v>1.7142857142857142</v>
      </c>
      <c r="AC12" s="17">
        <f t="shared" si="4"/>
        <v>29.142857142857139</v>
      </c>
      <c r="AD12" s="17">
        <f t="shared" si="4"/>
        <v>0.14285714285714285</v>
      </c>
      <c r="AE12" s="31">
        <f t="shared" si="4"/>
        <v>90.285714285714278</v>
      </c>
      <c r="AF12" s="31">
        <f t="shared" si="4"/>
        <v>119.42857142857142</v>
      </c>
    </row>
    <row r="13" spans="2:32" ht="23.1" customHeight="1" x14ac:dyDescent="0.25">
      <c r="B13" s="23" t="s">
        <v>40</v>
      </c>
      <c r="C13" s="49">
        <f>'Avg Week KIKORONGO-BWERA'!C13+'Avg Week BWERA-KIKORONGO'!C13</f>
        <v>8.5714285714285712</v>
      </c>
      <c r="D13" s="49">
        <f>0.45*('Avg Week KIKORONGO-BWERA'!E13+'Avg Week BWERA-KIKORONGO'!E13)</f>
        <v>1.4142857142857144</v>
      </c>
      <c r="E13" s="49">
        <f>0.55*('Avg Week KIKORONGO-BWERA'!E13+'Avg Week BWERA-KIKORONGO'!E13)</f>
        <v>1.7285714285714286</v>
      </c>
      <c r="F13" s="49">
        <f>'Avg Week KIKORONGO-BWERA'!F13+'Avg Week BWERA-KIKORONGO'!F13</f>
        <v>3.1428571428571428</v>
      </c>
      <c r="G13" s="49">
        <f>'Avg Week KIKORONGO-BWERA'!G13+'Avg Week BWERA-KIKORONGO'!G13</f>
        <v>0.14285714285714285</v>
      </c>
      <c r="H13" s="49">
        <f>'Avg Week KIKORONGO-BWERA'!H13+'Avg Week BWERA-KIKORONGO'!H13</f>
        <v>1.5714285714285714</v>
      </c>
      <c r="I13" s="49">
        <f>'Avg Week KIKORONGO-BWERA'!I13+'Avg Week BWERA-KIKORONGO'!I13</f>
        <v>2.1428571428571428</v>
      </c>
      <c r="J13" s="49">
        <f>'Avg Week KIKORONGO-BWERA'!J13+'Avg Week BWERA-KIKORONGO'!J13</f>
        <v>0.14285714285714285</v>
      </c>
      <c r="K13" s="49">
        <f>'Avg Week KIKORONGO-BWERA'!K13+'Avg Week BWERA-KIKORONGO'!K13</f>
        <v>0.5714285714285714</v>
      </c>
      <c r="L13" s="49">
        <f>'Avg Week KIKORONGO-BWERA'!L13+'Avg Week BWERA-KIKORONGO'!L13</f>
        <v>0.85714285714285721</v>
      </c>
      <c r="M13" s="49">
        <f>'Avg Week KIKORONGO-BWERA'!M13+'Avg Week BWERA-KIKORONGO'!M13</f>
        <v>8.8571428571428577</v>
      </c>
      <c r="N13" s="49">
        <f>'Avg Week KIKORONGO-BWERA'!N13+'Avg Week BWERA-KIKORONGO'!N13</f>
        <v>0</v>
      </c>
      <c r="O13" s="15">
        <f t="shared" si="0"/>
        <v>20.285714285714288</v>
      </c>
      <c r="P13" s="15">
        <f t="shared" si="1"/>
        <v>29.142857142857146</v>
      </c>
      <c r="R13" s="1" t="s">
        <v>9</v>
      </c>
      <c r="S13" s="17">
        <f t="shared" ref="S13:AF13" si="5">SUM(C22:C25)</f>
        <v>33.428571428571431</v>
      </c>
      <c r="T13" s="17">
        <f t="shared" si="5"/>
        <v>7.3285714285714292</v>
      </c>
      <c r="U13" s="17">
        <f t="shared" si="5"/>
        <v>8.9571428571428591</v>
      </c>
      <c r="V13" s="17">
        <f t="shared" si="5"/>
        <v>22.285714285714285</v>
      </c>
      <c r="W13" s="17">
        <f t="shared" si="5"/>
        <v>0.71428571428571419</v>
      </c>
      <c r="X13" s="17">
        <f t="shared" si="5"/>
        <v>1.1428571428571428</v>
      </c>
      <c r="Y13" s="17">
        <f t="shared" si="5"/>
        <v>8.7142857142857153</v>
      </c>
      <c r="Z13" s="17">
        <f t="shared" si="5"/>
        <v>3.2857142857142856</v>
      </c>
      <c r="AA13" s="17">
        <f t="shared" si="5"/>
        <v>1.2857142857142856</v>
      </c>
      <c r="AB13" s="17">
        <f t="shared" si="5"/>
        <v>3.5714285714285712</v>
      </c>
      <c r="AC13" s="17">
        <f t="shared" si="5"/>
        <v>26.857142857142854</v>
      </c>
      <c r="AD13" s="17">
        <f t="shared" si="5"/>
        <v>0</v>
      </c>
      <c r="AE13" s="31">
        <f t="shared" si="5"/>
        <v>90.714285714285708</v>
      </c>
      <c r="AF13" s="31">
        <f t="shared" si="5"/>
        <v>117.57142857142856</v>
      </c>
    </row>
    <row r="14" spans="2:32" ht="23.1" customHeight="1" x14ac:dyDescent="0.25">
      <c r="B14" s="23" t="s">
        <v>41</v>
      </c>
      <c r="C14" s="49">
        <f>'Avg Week KIKORONGO-BWERA'!C14+'Avg Week BWERA-KIKORONGO'!C14</f>
        <v>6.5714285714285712</v>
      </c>
      <c r="D14" s="49">
        <f>0.45*('Avg Week KIKORONGO-BWERA'!E14+'Avg Week BWERA-KIKORONGO'!E14)</f>
        <v>1.7357142857142855</v>
      </c>
      <c r="E14" s="49">
        <f>0.55*('Avg Week KIKORONGO-BWERA'!E14+'Avg Week BWERA-KIKORONGO'!E14)</f>
        <v>2.1214285714285714</v>
      </c>
      <c r="F14" s="49">
        <f>'Avg Week KIKORONGO-BWERA'!F14+'Avg Week BWERA-KIKORONGO'!F14</f>
        <v>4.7142857142857144</v>
      </c>
      <c r="G14" s="49">
        <f>'Avg Week KIKORONGO-BWERA'!G14+'Avg Week BWERA-KIKORONGO'!G14</f>
        <v>0</v>
      </c>
      <c r="H14" s="49">
        <f>'Avg Week KIKORONGO-BWERA'!H14+'Avg Week BWERA-KIKORONGO'!H14</f>
        <v>1</v>
      </c>
      <c r="I14" s="49">
        <f>'Avg Week KIKORONGO-BWERA'!I14+'Avg Week BWERA-KIKORONGO'!I14</f>
        <v>1.857142857142857</v>
      </c>
      <c r="J14" s="49">
        <f>'Avg Week KIKORONGO-BWERA'!J14+'Avg Week BWERA-KIKORONGO'!J14</f>
        <v>0.5714285714285714</v>
      </c>
      <c r="K14" s="49">
        <f>'Avg Week KIKORONGO-BWERA'!K14+'Avg Week BWERA-KIKORONGO'!K14</f>
        <v>0</v>
      </c>
      <c r="L14" s="49">
        <f>'Avg Week KIKORONGO-BWERA'!L14+'Avg Week BWERA-KIKORONGO'!L14</f>
        <v>0.2857142857142857</v>
      </c>
      <c r="M14" s="49">
        <f>'Avg Week KIKORONGO-BWERA'!M14+'Avg Week BWERA-KIKORONGO'!M14</f>
        <v>9.7142857142857153</v>
      </c>
      <c r="N14" s="49">
        <f>'Avg Week KIKORONGO-BWERA'!N14+'Avg Week BWERA-KIKORONGO'!N14</f>
        <v>0</v>
      </c>
      <c r="O14" s="15">
        <f t="shared" si="0"/>
        <v>18.857142857142858</v>
      </c>
      <c r="P14" s="15">
        <f t="shared" si="1"/>
        <v>28.571428571428573</v>
      </c>
      <c r="R14" s="1" t="s">
        <v>10</v>
      </c>
      <c r="S14" s="17">
        <f t="shared" ref="S14:AF14" si="6">SUM(C26:C29)</f>
        <v>38.714285714285715</v>
      </c>
      <c r="T14" s="17">
        <f t="shared" si="6"/>
        <v>6.0428571428571436</v>
      </c>
      <c r="U14" s="17">
        <f t="shared" si="6"/>
        <v>7.3857142857142852</v>
      </c>
      <c r="V14" s="17">
        <f t="shared" si="6"/>
        <v>19</v>
      </c>
      <c r="W14" s="17">
        <f t="shared" si="6"/>
        <v>0</v>
      </c>
      <c r="X14" s="17">
        <f t="shared" si="6"/>
        <v>0.2857142857142857</v>
      </c>
      <c r="Y14" s="17">
        <f t="shared" si="6"/>
        <v>7.1428571428571423</v>
      </c>
      <c r="Z14" s="17">
        <f t="shared" si="6"/>
        <v>2.7142857142857144</v>
      </c>
      <c r="AA14" s="17">
        <f t="shared" si="6"/>
        <v>0.5714285714285714</v>
      </c>
      <c r="AB14" s="17">
        <f t="shared" si="6"/>
        <v>4.2857142857142856</v>
      </c>
      <c r="AC14" s="17">
        <f t="shared" si="6"/>
        <v>32.285714285714285</v>
      </c>
      <c r="AD14" s="17">
        <f t="shared" si="6"/>
        <v>0.14285714285714285</v>
      </c>
      <c r="AE14" s="31">
        <f t="shared" si="6"/>
        <v>86.285714285714278</v>
      </c>
      <c r="AF14" s="31">
        <f t="shared" si="6"/>
        <v>118.57142857142856</v>
      </c>
    </row>
    <row r="15" spans="2:32" ht="23.1" customHeight="1" x14ac:dyDescent="0.25">
      <c r="B15" s="23" t="s">
        <v>42</v>
      </c>
      <c r="C15" s="49">
        <f>'Avg Week KIKORONGO-BWERA'!C15+'Avg Week BWERA-KIKORONGO'!C15</f>
        <v>9.1428571428571423</v>
      </c>
      <c r="D15" s="49">
        <f>0.45*('Avg Week KIKORONGO-BWERA'!E15+'Avg Week BWERA-KIKORONGO'!E15)</f>
        <v>1.7357142857142858</v>
      </c>
      <c r="E15" s="49">
        <f>0.55*('Avg Week KIKORONGO-BWERA'!E15+'Avg Week BWERA-KIKORONGO'!E15)</f>
        <v>2.1214285714285714</v>
      </c>
      <c r="F15" s="49">
        <f>'Avg Week KIKORONGO-BWERA'!F15+'Avg Week BWERA-KIKORONGO'!F15</f>
        <v>3.5714285714285712</v>
      </c>
      <c r="G15" s="49">
        <f>'Avg Week KIKORONGO-BWERA'!G15+'Avg Week BWERA-KIKORONGO'!G15</f>
        <v>0</v>
      </c>
      <c r="H15" s="49">
        <f>'Avg Week KIKORONGO-BWERA'!H15+'Avg Week BWERA-KIKORONGO'!H15</f>
        <v>0.2857142857142857</v>
      </c>
      <c r="I15" s="49">
        <f>'Avg Week KIKORONGO-BWERA'!I15+'Avg Week BWERA-KIKORONGO'!I15</f>
        <v>1.857142857142857</v>
      </c>
      <c r="J15" s="49">
        <f>'Avg Week KIKORONGO-BWERA'!J15+'Avg Week BWERA-KIKORONGO'!J15</f>
        <v>0.42857142857142855</v>
      </c>
      <c r="K15" s="49">
        <f>'Avg Week KIKORONGO-BWERA'!K15+'Avg Week BWERA-KIKORONGO'!K15</f>
        <v>0</v>
      </c>
      <c r="L15" s="49">
        <f>'Avg Week KIKORONGO-BWERA'!L15+'Avg Week BWERA-KIKORONGO'!L15</f>
        <v>0</v>
      </c>
      <c r="M15" s="49">
        <f>'Avg Week KIKORONGO-BWERA'!M15+'Avg Week BWERA-KIKORONGO'!M15</f>
        <v>10.142857142857142</v>
      </c>
      <c r="N15" s="49">
        <f>'Avg Week KIKORONGO-BWERA'!N15+'Avg Week BWERA-KIKORONGO'!N15</f>
        <v>0</v>
      </c>
      <c r="O15" s="15">
        <f t="shared" si="0"/>
        <v>19.142857142857139</v>
      </c>
      <c r="P15" s="15">
        <f t="shared" si="1"/>
        <v>29.285714285714281</v>
      </c>
      <c r="R15" s="1" t="s">
        <v>11</v>
      </c>
      <c r="S15" s="17">
        <f t="shared" ref="S15:AF15" si="7">SUM(C30:C33)</f>
        <v>33.714285714285715</v>
      </c>
      <c r="T15" s="17">
        <f t="shared" si="7"/>
        <v>7.3285714285714283</v>
      </c>
      <c r="U15" s="17">
        <f t="shared" si="7"/>
        <v>8.9571428571428573</v>
      </c>
      <c r="V15" s="17">
        <f t="shared" si="7"/>
        <v>21.714285714285715</v>
      </c>
      <c r="W15" s="17">
        <f t="shared" si="7"/>
        <v>0.14285714285714285</v>
      </c>
      <c r="X15" s="17">
        <f t="shared" si="7"/>
        <v>1.1428571428571428</v>
      </c>
      <c r="Y15" s="17">
        <f t="shared" si="7"/>
        <v>8</v>
      </c>
      <c r="Z15" s="17">
        <f t="shared" si="7"/>
        <v>2.9999999999999996</v>
      </c>
      <c r="AA15" s="17">
        <f t="shared" si="7"/>
        <v>0.8571428571428571</v>
      </c>
      <c r="AB15" s="17">
        <f t="shared" si="7"/>
        <v>3</v>
      </c>
      <c r="AC15" s="17">
        <f t="shared" si="7"/>
        <v>27.428571428571427</v>
      </c>
      <c r="AD15" s="17">
        <f t="shared" si="7"/>
        <v>0</v>
      </c>
      <c r="AE15" s="31">
        <f t="shared" si="7"/>
        <v>87.857142857142847</v>
      </c>
      <c r="AF15" s="31">
        <f t="shared" si="7"/>
        <v>115.28571428571429</v>
      </c>
    </row>
    <row r="16" spans="2:32" ht="23.1" customHeight="1" x14ac:dyDescent="0.25">
      <c r="B16" s="23" t="s">
        <v>43</v>
      </c>
      <c r="C16" s="49">
        <f>'Avg Week KIKORONGO-BWERA'!C16+'Avg Week BWERA-KIKORONGO'!C16</f>
        <v>6.5714285714285712</v>
      </c>
      <c r="D16" s="49">
        <f>0.45*('Avg Week KIKORONGO-BWERA'!E16+'Avg Week BWERA-KIKORONGO'!E16)</f>
        <v>1.35</v>
      </c>
      <c r="E16" s="49">
        <f>0.55*('Avg Week KIKORONGO-BWERA'!E16+'Avg Week BWERA-KIKORONGO'!E16)</f>
        <v>1.6500000000000001</v>
      </c>
      <c r="F16" s="49">
        <f>'Avg Week KIKORONGO-BWERA'!F16+'Avg Week BWERA-KIKORONGO'!F16</f>
        <v>4.5714285714285712</v>
      </c>
      <c r="G16" s="49">
        <f>'Avg Week KIKORONGO-BWERA'!G16+'Avg Week BWERA-KIKORONGO'!G16</f>
        <v>0</v>
      </c>
      <c r="H16" s="49">
        <f>'Avg Week KIKORONGO-BWERA'!H16+'Avg Week BWERA-KIKORONGO'!H16</f>
        <v>0.42857142857142855</v>
      </c>
      <c r="I16" s="49">
        <f>'Avg Week KIKORONGO-BWERA'!I16+'Avg Week BWERA-KIKORONGO'!I16</f>
        <v>2</v>
      </c>
      <c r="J16" s="49">
        <f>'Avg Week KIKORONGO-BWERA'!J16+'Avg Week BWERA-KIKORONGO'!J16</f>
        <v>0.7142857142857143</v>
      </c>
      <c r="K16" s="49">
        <f>'Avg Week KIKORONGO-BWERA'!K16+'Avg Week BWERA-KIKORONGO'!K16</f>
        <v>0.14285714285714285</v>
      </c>
      <c r="L16" s="49">
        <f>'Avg Week KIKORONGO-BWERA'!L16+'Avg Week BWERA-KIKORONGO'!L16</f>
        <v>0.42857142857142855</v>
      </c>
      <c r="M16" s="49">
        <f>'Avg Week KIKORONGO-BWERA'!M16+'Avg Week BWERA-KIKORONGO'!M16</f>
        <v>6.7142857142857144</v>
      </c>
      <c r="N16" s="49">
        <f>'Avg Week KIKORONGO-BWERA'!N16+'Avg Week BWERA-KIKORONGO'!N16</f>
        <v>0</v>
      </c>
      <c r="O16" s="15">
        <f t="shared" si="0"/>
        <v>17.857142857142854</v>
      </c>
      <c r="P16" s="15">
        <f t="shared" si="1"/>
        <v>24.571428571428569</v>
      </c>
      <c r="R16" s="1" t="s">
        <v>12</v>
      </c>
      <c r="S16" s="17">
        <f t="shared" ref="S16:AF16" si="8">SUM(C34:C37)</f>
        <v>40.285714285714285</v>
      </c>
      <c r="T16" s="17">
        <f t="shared" si="8"/>
        <v>7.9071428571428584</v>
      </c>
      <c r="U16" s="17">
        <f t="shared" si="8"/>
        <v>9.6642857142857164</v>
      </c>
      <c r="V16" s="17">
        <f t="shared" si="8"/>
        <v>22</v>
      </c>
      <c r="W16" s="17">
        <f t="shared" si="8"/>
        <v>0.2857142857142857</v>
      </c>
      <c r="X16" s="17">
        <f t="shared" si="8"/>
        <v>2.5714285714285712</v>
      </c>
      <c r="Y16" s="17">
        <f t="shared" si="8"/>
        <v>8.1428571428571423</v>
      </c>
      <c r="Z16" s="17">
        <f t="shared" si="8"/>
        <v>2.8571428571428568</v>
      </c>
      <c r="AA16" s="17">
        <f t="shared" si="8"/>
        <v>1</v>
      </c>
      <c r="AB16" s="17">
        <f t="shared" si="8"/>
        <v>3.2857142857142856</v>
      </c>
      <c r="AC16" s="17">
        <f t="shared" si="8"/>
        <v>31.142857142857139</v>
      </c>
      <c r="AD16" s="17">
        <f t="shared" si="8"/>
        <v>0.14285714285714285</v>
      </c>
      <c r="AE16" s="31">
        <f t="shared" si="8"/>
        <v>98.142857142857139</v>
      </c>
      <c r="AF16" s="31">
        <f t="shared" si="8"/>
        <v>129.28571428571428</v>
      </c>
    </row>
    <row r="17" spans="2:32" ht="23.1" customHeight="1" x14ac:dyDescent="0.25">
      <c r="B17" s="23" t="s">
        <v>44</v>
      </c>
      <c r="C17" s="49">
        <f>'Avg Week KIKORONGO-BWERA'!C17+'Avg Week BWERA-KIKORONGO'!C17</f>
        <v>8.5714285714285712</v>
      </c>
      <c r="D17" s="49">
        <f>0.45*('Avg Week KIKORONGO-BWERA'!E17+'Avg Week BWERA-KIKORONGO'!E17)</f>
        <v>2.1214285714285714</v>
      </c>
      <c r="E17" s="49">
        <f>0.55*('Avg Week KIKORONGO-BWERA'!E17+'Avg Week BWERA-KIKORONGO'!E17)</f>
        <v>2.592857142857143</v>
      </c>
      <c r="F17" s="49">
        <f>'Avg Week KIKORONGO-BWERA'!F17+'Avg Week BWERA-KIKORONGO'!F17</f>
        <v>5.1428571428571423</v>
      </c>
      <c r="G17" s="49">
        <f>'Avg Week KIKORONGO-BWERA'!G17+'Avg Week BWERA-KIKORONGO'!G17</f>
        <v>0</v>
      </c>
      <c r="H17" s="49">
        <f>'Avg Week KIKORONGO-BWERA'!H17+'Avg Week BWERA-KIKORONGO'!H17</f>
        <v>0.14285714285714285</v>
      </c>
      <c r="I17" s="49">
        <f>'Avg Week KIKORONGO-BWERA'!I17+'Avg Week BWERA-KIKORONGO'!I17</f>
        <v>1.5714285714285716</v>
      </c>
      <c r="J17" s="49">
        <f>'Avg Week KIKORONGO-BWERA'!J17+'Avg Week BWERA-KIKORONGO'!J17</f>
        <v>0</v>
      </c>
      <c r="K17" s="49">
        <f>'Avg Week KIKORONGO-BWERA'!K17+'Avg Week BWERA-KIKORONGO'!K17</f>
        <v>0.14285714285714285</v>
      </c>
      <c r="L17" s="49">
        <f>'Avg Week KIKORONGO-BWERA'!L17+'Avg Week BWERA-KIKORONGO'!L17</f>
        <v>0.2857142857142857</v>
      </c>
      <c r="M17" s="49">
        <f>'Avg Week KIKORONGO-BWERA'!M17+'Avg Week BWERA-KIKORONGO'!M17</f>
        <v>7.1428571428571432</v>
      </c>
      <c r="N17" s="49">
        <f>'Avg Week KIKORONGO-BWERA'!N17+'Avg Week BWERA-KIKORONGO'!N17</f>
        <v>0</v>
      </c>
      <c r="O17" s="15">
        <f t="shared" si="0"/>
        <v>20.571428571428573</v>
      </c>
      <c r="P17" s="15">
        <f t="shared" si="1"/>
        <v>27.714285714285715</v>
      </c>
      <c r="R17" s="1" t="s">
        <v>13</v>
      </c>
      <c r="S17" s="17">
        <f t="shared" ref="S17:AF17" si="9">SUM(C38:C41)</f>
        <v>37.857142857142861</v>
      </c>
      <c r="T17" s="17">
        <f t="shared" si="9"/>
        <v>8.4214285714285708</v>
      </c>
      <c r="U17" s="17">
        <f t="shared" si="9"/>
        <v>10.292857142857144</v>
      </c>
      <c r="V17" s="17">
        <f t="shared" si="9"/>
        <v>22.428571428571427</v>
      </c>
      <c r="W17" s="17">
        <f t="shared" si="9"/>
        <v>0.2857142857142857</v>
      </c>
      <c r="X17" s="17">
        <f t="shared" si="9"/>
        <v>1.5714285714285714</v>
      </c>
      <c r="Y17" s="17">
        <f t="shared" si="9"/>
        <v>7.1428571428571423</v>
      </c>
      <c r="Z17" s="17">
        <f t="shared" si="9"/>
        <v>2.714285714285714</v>
      </c>
      <c r="AA17" s="17">
        <f t="shared" si="9"/>
        <v>0.71428571428571419</v>
      </c>
      <c r="AB17" s="17">
        <f t="shared" si="9"/>
        <v>3.4285714285714284</v>
      </c>
      <c r="AC17" s="17">
        <f t="shared" si="9"/>
        <v>28.142857142857142</v>
      </c>
      <c r="AD17" s="17">
        <f t="shared" si="9"/>
        <v>0.2857142857142857</v>
      </c>
      <c r="AE17" s="31">
        <f t="shared" si="9"/>
        <v>95.142857142857139</v>
      </c>
      <c r="AF17" s="31">
        <f t="shared" si="9"/>
        <v>123.28571428571428</v>
      </c>
    </row>
    <row r="18" spans="2:32" ht="23.1" customHeight="1" x14ac:dyDescent="0.25">
      <c r="B18" s="23" t="s">
        <v>45</v>
      </c>
      <c r="C18" s="49">
        <f>'Avg Week KIKORONGO-BWERA'!C18+'Avg Week BWERA-KIKORONGO'!C18</f>
        <v>10.428571428571429</v>
      </c>
      <c r="D18" s="49">
        <f>0.45*('Avg Week KIKORONGO-BWERA'!E18+'Avg Week BWERA-KIKORONGO'!E18)</f>
        <v>1.9928571428571431</v>
      </c>
      <c r="E18" s="49">
        <f>0.55*('Avg Week KIKORONGO-BWERA'!E18+'Avg Week BWERA-KIKORONGO'!E18)</f>
        <v>2.4357142857142859</v>
      </c>
      <c r="F18" s="49">
        <f>'Avg Week KIKORONGO-BWERA'!F18+'Avg Week BWERA-KIKORONGO'!F18</f>
        <v>5.1428571428571423</v>
      </c>
      <c r="G18" s="49">
        <f>'Avg Week KIKORONGO-BWERA'!G18+'Avg Week BWERA-KIKORONGO'!G18</f>
        <v>0.14285714285714285</v>
      </c>
      <c r="H18" s="49">
        <f>'Avg Week KIKORONGO-BWERA'!H18+'Avg Week BWERA-KIKORONGO'!H18</f>
        <v>0.2857142857142857</v>
      </c>
      <c r="I18" s="49">
        <f>'Avg Week KIKORONGO-BWERA'!I18+'Avg Week BWERA-KIKORONGO'!I18</f>
        <v>1.7142857142857144</v>
      </c>
      <c r="J18" s="49">
        <f>'Avg Week KIKORONGO-BWERA'!J18+'Avg Week BWERA-KIKORONGO'!J18</f>
        <v>1.1428571428571428</v>
      </c>
      <c r="K18" s="49">
        <f>'Avg Week KIKORONGO-BWERA'!K18+'Avg Week BWERA-KIKORONGO'!K18</f>
        <v>0</v>
      </c>
      <c r="L18" s="49">
        <f>'Avg Week KIKORONGO-BWERA'!L18+'Avg Week BWERA-KIKORONGO'!L18</f>
        <v>0.42857142857142855</v>
      </c>
      <c r="M18" s="49">
        <f>'Avg Week KIKORONGO-BWERA'!M18+'Avg Week BWERA-KIKORONGO'!M18</f>
        <v>6.2857142857142856</v>
      </c>
      <c r="N18" s="49">
        <f>'Avg Week KIKORONGO-BWERA'!N18+'Avg Week BWERA-KIKORONGO'!N18</f>
        <v>0</v>
      </c>
      <c r="O18" s="15">
        <f t="shared" si="0"/>
        <v>23.714285714285712</v>
      </c>
      <c r="P18" s="15">
        <f t="shared" si="1"/>
        <v>29.999999999999996</v>
      </c>
      <c r="R18" s="1" t="s">
        <v>14</v>
      </c>
      <c r="S18" s="17">
        <f t="shared" ref="S18:AF18" si="10">SUM(C42:C45)</f>
        <v>35.571428571428569</v>
      </c>
      <c r="T18" s="17">
        <f t="shared" si="10"/>
        <v>8.4857142857142858</v>
      </c>
      <c r="U18" s="17">
        <f t="shared" si="10"/>
        <v>10.371428571428572</v>
      </c>
      <c r="V18" s="17">
        <f t="shared" si="10"/>
        <v>23.142857142857142</v>
      </c>
      <c r="W18" s="17">
        <f t="shared" si="10"/>
        <v>0.14285714285714285</v>
      </c>
      <c r="X18" s="17">
        <f t="shared" si="10"/>
        <v>1.1428571428571428</v>
      </c>
      <c r="Y18" s="17">
        <f t="shared" si="10"/>
        <v>10.285714285714285</v>
      </c>
      <c r="Z18" s="17">
        <f t="shared" si="10"/>
        <v>3.4285714285714284</v>
      </c>
      <c r="AA18" s="17">
        <f t="shared" si="10"/>
        <v>1.4285714285714284</v>
      </c>
      <c r="AB18" s="17">
        <f t="shared" si="10"/>
        <v>4.2857142857142856</v>
      </c>
      <c r="AC18" s="17">
        <f t="shared" si="10"/>
        <v>26.452380952380956</v>
      </c>
      <c r="AD18" s="17">
        <f t="shared" si="10"/>
        <v>0</v>
      </c>
      <c r="AE18" s="31">
        <f t="shared" si="10"/>
        <v>98.285714285714278</v>
      </c>
      <c r="AF18" s="31">
        <f t="shared" si="10"/>
        <v>124.73809523809524</v>
      </c>
    </row>
    <row r="19" spans="2:32" ht="23.1" customHeight="1" x14ac:dyDescent="0.25">
      <c r="B19" s="23" t="s">
        <v>46</v>
      </c>
      <c r="C19" s="49">
        <f>'Avg Week KIKORONGO-BWERA'!C19+'Avg Week BWERA-KIKORONGO'!C19</f>
        <v>5.4285714285714288</v>
      </c>
      <c r="D19" s="49">
        <f>0.45*('Avg Week KIKORONGO-BWERA'!E19+'Avg Week BWERA-KIKORONGO'!E19)</f>
        <v>2.1857142857142859</v>
      </c>
      <c r="E19" s="49">
        <f>0.55*('Avg Week KIKORONGO-BWERA'!E19+'Avg Week BWERA-KIKORONGO'!E19)</f>
        <v>2.6714285714285717</v>
      </c>
      <c r="F19" s="49">
        <f>'Avg Week KIKORONGO-BWERA'!F19+'Avg Week BWERA-KIKORONGO'!F19</f>
        <v>4.8571428571428577</v>
      </c>
      <c r="G19" s="49">
        <f>'Avg Week KIKORONGO-BWERA'!G19+'Avg Week BWERA-KIKORONGO'!G19</f>
        <v>0.2857142857142857</v>
      </c>
      <c r="H19" s="49">
        <f>'Avg Week KIKORONGO-BWERA'!H19+'Avg Week BWERA-KIKORONGO'!H19</f>
        <v>0.14285714285714285</v>
      </c>
      <c r="I19" s="49">
        <f>'Avg Week KIKORONGO-BWERA'!I19+'Avg Week BWERA-KIKORONGO'!I19</f>
        <v>2.4285714285714284</v>
      </c>
      <c r="J19" s="49">
        <f>'Avg Week KIKORONGO-BWERA'!J19+'Avg Week BWERA-KIKORONGO'!J19</f>
        <v>0.2857142857142857</v>
      </c>
      <c r="K19" s="49">
        <f>'Avg Week KIKORONGO-BWERA'!K19+'Avg Week BWERA-KIKORONGO'!K19</f>
        <v>0.14285714285714285</v>
      </c>
      <c r="L19" s="49">
        <f>'Avg Week KIKORONGO-BWERA'!L19+'Avg Week BWERA-KIKORONGO'!L19</f>
        <v>0.2857142857142857</v>
      </c>
      <c r="M19" s="49">
        <f>'Avg Week KIKORONGO-BWERA'!M19+'Avg Week BWERA-KIKORONGO'!M19</f>
        <v>7.7142857142857135</v>
      </c>
      <c r="N19" s="49">
        <f>'Avg Week KIKORONGO-BWERA'!N19+'Avg Week BWERA-KIKORONGO'!N19</f>
        <v>0</v>
      </c>
      <c r="O19" s="15">
        <f t="shared" si="0"/>
        <v>18.714285714285712</v>
      </c>
      <c r="P19" s="15">
        <f t="shared" si="1"/>
        <v>26.428571428571423</v>
      </c>
      <c r="R19" s="1" t="s">
        <v>15</v>
      </c>
      <c r="S19" s="17">
        <f t="shared" ref="S19:AF19" si="11">SUM(C46:C49)</f>
        <v>35.714285714285715</v>
      </c>
      <c r="T19" s="17">
        <f t="shared" si="11"/>
        <v>9.1285714285714299</v>
      </c>
      <c r="U19" s="17">
        <f t="shared" si="11"/>
        <v>11.157142857142858</v>
      </c>
      <c r="V19" s="17">
        <f t="shared" si="11"/>
        <v>21.857142857142858</v>
      </c>
      <c r="W19" s="17">
        <f t="shared" si="11"/>
        <v>0.14285714285714285</v>
      </c>
      <c r="X19" s="17">
        <f t="shared" si="11"/>
        <v>1.857142857142857</v>
      </c>
      <c r="Y19" s="17">
        <f t="shared" si="11"/>
        <v>10</v>
      </c>
      <c r="Z19" s="17">
        <f t="shared" si="11"/>
        <v>3.1428571428571428</v>
      </c>
      <c r="AA19" s="17">
        <f t="shared" si="11"/>
        <v>1</v>
      </c>
      <c r="AB19" s="17">
        <f t="shared" si="11"/>
        <v>5.1428571428571423</v>
      </c>
      <c r="AC19" s="17">
        <f t="shared" si="11"/>
        <v>25.571428571428569</v>
      </c>
      <c r="AD19" s="17">
        <f t="shared" si="11"/>
        <v>0.2857142857142857</v>
      </c>
      <c r="AE19" s="31">
        <f t="shared" si="11"/>
        <v>99.428571428571416</v>
      </c>
      <c r="AF19" s="31">
        <f t="shared" si="11"/>
        <v>125</v>
      </c>
    </row>
    <row r="20" spans="2:32" ht="23.1" customHeight="1" x14ac:dyDescent="0.25">
      <c r="B20" s="23" t="s">
        <v>47</v>
      </c>
      <c r="C20" s="49">
        <f>'Avg Week KIKORONGO-BWERA'!C20+'Avg Week BWERA-KIKORONGO'!C20</f>
        <v>7.2857142857142856</v>
      </c>
      <c r="D20" s="49">
        <f>0.45*('Avg Week KIKORONGO-BWERA'!E20+'Avg Week BWERA-KIKORONGO'!E20)</f>
        <v>2.3142857142857141</v>
      </c>
      <c r="E20" s="49">
        <f>0.55*('Avg Week KIKORONGO-BWERA'!E20+'Avg Week BWERA-KIKORONGO'!E20)</f>
        <v>2.8285714285714287</v>
      </c>
      <c r="F20" s="49">
        <f>'Avg Week KIKORONGO-BWERA'!F20+'Avg Week BWERA-KIKORONGO'!F20</f>
        <v>3</v>
      </c>
      <c r="G20" s="49">
        <f>'Avg Week KIKORONGO-BWERA'!G20+'Avg Week BWERA-KIKORONGO'!G20</f>
        <v>0.14285714285714285</v>
      </c>
      <c r="H20" s="49">
        <f>'Avg Week KIKORONGO-BWERA'!H20+'Avg Week BWERA-KIKORONGO'!H20</f>
        <v>1</v>
      </c>
      <c r="I20" s="49">
        <f>'Avg Week KIKORONGO-BWERA'!I20+'Avg Week BWERA-KIKORONGO'!I20</f>
        <v>3.1428571428571432</v>
      </c>
      <c r="J20" s="49">
        <f>'Avg Week KIKORONGO-BWERA'!J20+'Avg Week BWERA-KIKORONGO'!J20</f>
        <v>0.42857142857142855</v>
      </c>
      <c r="K20" s="49">
        <f>'Avg Week KIKORONGO-BWERA'!K20+'Avg Week BWERA-KIKORONGO'!K20</f>
        <v>0</v>
      </c>
      <c r="L20" s="49">
        <f>'Avg Week KIKORONGO-BWERA'!L20+'Avg Week BWERA-KIKORONGO'!L20</f>
        <v>0.5714285714285714</v>
      </c>
      <c r="M20" s="49">
        <f>'Avg Week KIKORONGO-BWERA'!M20+'Avg Week BWERA-KIKORONGO'!M20</f>
        <v>7.5714285714285712</v>
      </c>
      <c r="N20" s="49">
        <f>'Avg Week KIKORONGO-BWERA'!N20+'Avg Week BWERA-KIKORONGO'!N20</f>
        <v>0</v>
      </c>
      <c r="O20" s="15">
        <f t="shared" si="0"/>
        <v>20.714285714285712</v>
      </c>
      <c r="P20" s="15">
        <f t="shared" si="1"/>
        <v>28.285714285714285</v>
      </c>
      <c r="R20" s="1" t="s">
        <v>16</v>
      </c>
      <c r="S20" s="17">
        <f t="shared" ref="S20:AF20" si="12">SUM(C50:C53)</f>
        <v>36</v>
      </c>
      <c r="T20" s="17">
        <f t="shared" si="12"/>
        <v>10.028571428571428</v>
      </c>
      <c r="U20" s="17">
        <f t="shared" si="12"/>
        <v>12.257142857142858</v>
      </c>
      <c r="V20" s="17">
        <f t="shared" si="12"/>
        <v>27.142857142857146</v>
      </c>
      <c r="W20" s="17">
        <f t="shared" si="12"/>
        <v>0</v>
      </c>
      <c r="X20" s="17">
        <f t="shared" si="12"/>
        <v>1.9999999999999998</v>
      </c>
      <c r="Y20" s="17">
        <f t="shared" si="12"/>
        <v>7.7142857142857135</v>
      </c>
      <c r="Z20" s="17">
        <f t="shared" si="12"/>
        <v>2.8571428571428572</v>
      </c>
      <c r="AA20" s="17">
        <f t="shared" si="12"/>
        <v>0.5714285714285714</v>
      </c>
      <c r="AB20" s="17">
        <f t="shared" si="12"/>
        <v>6.1428571428571432</v>
      </c>
      <c r="AC20" s="17">
        <f t="shared" si="12"/>
        <v>28.857142857142861</v>
      </c>
      <c r="AD20" s="17">
        <f t="shared" si="12"/>
        <v>0</v>
      </c>
      <c r="AE20" s="31">
        <f t="shared" si="12"/>
        <v>104.71428571428572</v>
      </c>
      <c r="AF20" s="31">
        <f t="shared" si="12"/>
        <v>133.57142857142858</v>
      </c>
    </row>
    <row r="21" spans="2:32" ht="23.1" customHeight="1" x14ac:dyDescent="0.25">
      <c r="B21" s="23" t="s">
        <v>48</v>
      </c>
      <c r="C21" s="49">
        <f>'Avg Week KIKORONGO-BWERA'!C21+'Avg Week BWERA-KIKORONGO'!C21</f>
        <v>11.714285714285715</v>
      </c>
      <c r="D21" s="49">
        <f>0.45*('Avg Week KIKORONGO-BWERA'!E21+'Avg Week BWERA-KIKORONGO'!E21)</f>
        <v>2.7642857142857142</v>
      </c>
      <c r="E21" s="49">
        <f>0.55*('Avg Week KIKORONGO-BWERA'!E21+'Avg Week BWERA-KIKORONGO'!E21)</f>
        <v>3.3785714285714286</v>
      </c>
      <c r="F21" s="49">
        <f>'Avg Week KIKORONGO-BWERA'!F21+'Avg Week BWERA-KIKORONGO'!F21</f>
        <v>5.2857142857142865</v>
      </c>
      <c r="G21" s="49">
        <f>'Avg Week KIKORONGO-BWERA'!G21+'Avg Week BWERA-KIKORONGO'!G21</f>
        <v>0</v>
      </c>
      <c r="H21" s="49">
        <f>'Avg Week KIKORONGO-BWERA'!H21+'Avg Week BWERA-KIKORONGO'!H21</f>
        <v>0.42857142857142855</v>
      </c>
      <c r="I21" s="49">
        <f>'Avg Week KIKORONGO-BWERA'!I21+'Avg Week BWERA-KIKORONGO'!I21</f>
        <v>2.7142857142857144</v>
      </c>
      <c r="J21" s="49">
        <f>'Avg Week KIKORONGO-BWERA'!J21+'Avg Week BWERA-KIKORONGO'!J21</f>
        <v>0.14285714285714285</v>
      </c>
      <c r="K21" s="49">
        <f>'Avg Week KIKORONGO-BWERA'!K21+'Avg Week BWERA-KIKORONGO'!K21</f>
        <v>0.14285714285714285</v>
      </c>
      <c r="L21" s="49">
        <f>'Avg Week KIKORONGO-BWERA'!L21+'Avg Week BWERA-KIKORONGO'!L21</f>
        <v>0.42857142857142855</v>
      </c>
      <c r="M21" s="49">
        <f>'Avg Week KIKORONGO-BWERA'!M21+'Avg Week BWERA-KIKORONGO'!M21</f>
        <v>7.5714285714285712</v>
      </c>
      <c r="N21" s="49">
        <f>'Avg Week KIKORONGO-BWERA'!N21+'Avg Week BWERA-KIKORONGO'!N21</f>
        <v>0.14285714285714285</v>
      </c>
      <c r="O21" s="15">
        <f t="shared" si="0"/>
        <v>27.142857142857142</v>
      </c>
      <c r="P21" s="15">
        <f t="shared" si="1"/>
        <v>34.714285714285715</v>
      </c>
      <c r="R21" s="36" t="s">
        <v>20</v>
      </c>
      <c r="S21" s="34">
        <f t="shared" ref="S21:AF21" si="13">SUM(C54:C57)</f>
        <v>25</v>
      </c>
      <c r="T21" s="17">
        <f t="shared" si="13"/>
        <v>7.7142857142857144</v>
      </c>
      <c r="U21" s="17">
        <f t="shared" si="13"/>
        <v>9.4285714285714306</v>
      </c>
      <c r="V21" s="17">
        <f t="shared" si="13"/>
        <v>19.142857142857146</v>
      </c>
      <c r="W21" s="17">
        <f t="shared" si="13"/>
        <v>0.2857142857142857</v>
      </c>
      <c r="X21" s="17">
        <f t="shared" si="13"/>
        <v>0.71428571428571419</v>
      </c>
      <c r="Y21" s="17">
        <f t="shared" si="13"/>
        <v>9.2857142857142847</v>
      </c>
      <c r="Z21" s="17">
        <f t="shared" si="13"/>
        <v>2.7142857142857144</v>
      </c>
      <c r="AA21" s="17">
        <f t="shared" si="13"/>
        <v>0.8571428571428571</v>
      </c>
      <c r="AB21" s="17">
        <f t="shared" si="13"/>
        <v>6.8571428571428568</v>
      </c>
      <c r="AC21" s="17">
        <f t="shared" si="13"/>
        <v>24.428571428571431</v>
      </c>
      <c r="AD21" s="17">
        <f t="shared" si="13"/>
        <v>0.5714285714285714</v>
      </c>
      <c r="AE21" s="31">
        <f t="shared" si="13"/>
        <v>82.571428571428569</v>
      </c>
      <c r="AF21" s="31">
        <f t="shared" si="13"/>
        <v>107</v>
      </c>
    </row>
    <row r="22" spans="2:32" ht="23.1" customHeight="1" x14ac:dyDescent="0.25">
      <c r="B22" s="23" t="s">
        <v>49</v>
      </c>
      <c r="C22" s="49">
        <f>'Avg Week KIKORONGO-BWERA'!C22+'Avg Week BWERA-KIKORONGO'!C22</f>
        <v>8.4285714285714288</v>
      </c>
      <c r="D22" s="49">
        <f>0.45*('Avg Week KIKORONGO-BWERA'!E22+'Avg Week BWERA-KIKORONGO'!E22)</f>
        <v>1.8642857142857141</v>
      </c>
      <c r="E22" s="49">
        <f>0.55*('Avg Week KIKORONGO-BWERA'!E22+'Avg Week BWERA-KIKORONGO'!E22)</f>
        <v>2.2785714285714285</v>
      </c>
      <c r="F22" s="49">
        <f>'Avg Week KIKORONGO-BWERA'!F22+'Avg Week BWERA-KIKORONGO'!F22</f>
        <v>5.1428571428571423</v>
      </c>
      <c r="G22" s="49">
        <f>'Avg Week KIKORONGO-BWERA'!G22+'Avg Week BWERA-KIKORONGO'!G22</f>
        <v>0.2857142857142857</v>
      </c>
      <c r="H22" s="49">
        <f>'Avg Week KIKORONGO-BWERA'!H22+'Avg Week BWERA-KIKORONGO'!H22</f>
        <v>0.2857142857142857</v>
      </c>
      <c r="I22" s="49">
        <f>'Avg Week KIKORONGO-BWERA'!I22+'Avg Week BWERA-KIKORONGO'!I22</f>
        <v>1.7142857142857144</v>
      </c>
      <c r="J22" s="49">
        <f>'Avg Week KIKORONGO-BWERA'!J22+'Avg Week BWERA-KIKORONGO'!J22</f>
        <v>1</v>
      </c>
      <c r="K22" s="49">
        <f>'Avg Week KIKORONGO-BWERA'!K22+'Avg Week BWERA-KIKORONGO'!K22</f>
        <v>0.2857142857142857</v>
      </c>
      <c r="L22" s="49">
        <f>'Avg Week KIKORONGO-BWERA'!L22+'Avg Week BWERA-KIKORONGO'!L22</f>
        <v>0.42857142857142855</v>
      </c>
      <c r="M22" s="49">
        <f>'Avg Week KIKORONGO-BWERA'!M22+'Avg Week BWERA-KIKORONGO'!M22</f>
        <v>6.4285714285714288</v>
      </c>
      <c r="N22" s="49">
        <f>'Avg Week KIKORONGO-BWERA'!N22+'Avg Week BWERA-KIKORONGO'!N22</f>
        <v>0</v>
      </c>
      <c r="O22" s="15">
        <f t="shared" si="0"/>
        <v>21.714285714285712</v>
      </c>
      <c r="P22" s="15">
        <f t="shared" si="1"/>
        <v>28.142857142857139</v>
      </c>
      <c r="R22" s="1" t="s">
        <v>146</v>
      </c>
      <c r="S22" s="34">
        <f>SUM(C58:C61)</f>
        <v>38</v>
      </c>
      <c r="T22" s="34">
        <f t="shared" ref="T22:AF22" si="14">SUM(D58:D61)</f>
        <v>5.3999999999999995</v>
      </c>
      <c r="U22" s="34">
        <f t="shared" si="14"/>
        <v>6.6000000000000005</v>
      </c>
      <c r="V22" s="34">
        <f t="shared" si="14"/>
        <v>19.5</v>
      </c>
      <c r="W22" s="34">
        <f t="shared" si="14"/>
        <v>0</v>
      </c>
      <c r="X22" s="34">
        <f t="shared" si="14"/>
        <v>2</v>
      </c>
      <c r="Y22" s="34">
        <f t="shared" si="14"/>
        <v>6</v>
      </c>
      <c r="Z22" s="34">
        <f t="shared" si="14"/>
        <v>3</v>
      </c>
      <c r="AA22" s="34">
        <f t="shared" si="14"/>
        <v>0</v>
      </c>
      <c r="AB22" s="34">
        <f t="shared" si="14"/>
        <v>6</v>
      </c>
      <c r="AC22" s="34">
        <f t="shared" si="14"/>
        <v>26.5</v>
      </c>
      <c r="AD22" s="34">
        <f t="shared" si="14"/>
        <v>0</v>
      </c>
      <c r="AE22" s="31">
        <f t="shared" si="14"/>
        <v>86.5</v>
      </c>
      <c r="AF22" s="31">
        <f t="shared" si="14"/>
        <v>113</v>
      </c>
    </row>
    <row r="23" spans="2:32" ht="23.1" customHeight="1" x14ac:dyDescent="0.25">
      <c r="B23" s="23" t="s">
        <v>50</v>
      </c>
      <c r="C23" s="49">
        <f>'Avg Week KIKORONGO-BWERA'!C23+'Avg Week BWERA-KIKORONGO'!C23</f>
        <v>7.2857142857142856</v>
      </c>
      <c r="D23" s="49">
        <f>0.45*('Avg Week KIKORONGO-BWERA'!E23+'Avg Week BWERA-KIKORONGO'!E23)</f>
        <v>2.1214285714285714</v>
      </c>
      <c r="E23" s="49">
        <f>0.55*('Avg Week KIKORONGO-BWERA'!E23+'Avg Week BWERA-KIKORONGO'!E23)</f>
        <v>2.592857142857143</v>
      </c>
      <c r="F23" s="49">
        <f>'Avg Week KIKORONGO-BWERA'!F23+'Avg Week BWERA-KIKORONGO'!F23</f>
        <v>6</v>
      </c>
      <c r="G23" s="49">
        <f>'Avg Week KIKORONGO-BWERA'!G23+'Avg Week BWERA-KIKORONGO'!G23</f>
        <v>0.2857142857142857</v>
      </c>
      <c r="H23" s="49">
        <f>'Avg Week KIKORONGO-BWERA'!H23+'Avg Week BWERA-KIKORONGO'!H23</f>
        <v>0</v>
      </c>
      <c r="I23" s="49">
        <f>'Avg Week KIKORONGO-BWERA'!I23+'Avg Week BWERA-KIKORONGO'!I23</f>
        <v>1.4285714285714286</v>
      </c>
      <c r="J23" s="49">
        <f>'Avg Week KIKORONGO-BWERA'!J23+'Avg Week BWERA-KIKORONGO'!J23</f>
        <v>0.2857142857142857</v>
      </c>
      <c r="K23" s="49">
        <f>'Avg Week KIKORONGO-BWERA'!K23+'Avg Week BWERA-KIKORONGO'!K23</f>
        <v>0.42857142857142855</v>
      </c>
      <c r="L23" s="49">
        <f>'Avg Week KIKORONGO-BWERA'!L23+'Avg Week BWERA-KIKORONGO'!L23</f>
        <v>1.7142857142857142</v>
      </c>
      <c r="M23" s="49">
        <f>'Avg Week KIKORONGO-BWERA'!M23+'Avg Week BWERA-KIKORONGO'!M23</f>
        <v>7.1428571428571423</v>
      </c>
      <c r="N23" s="49">
        <f>'Avg Week KIKORONGO-BWERA'!N23+'Avg Week BWERA-KIKORONGO'!N23</f>
        <v>0</v>
      </c>
      <c r="O23" s="15">
        <f t="shared" si="0"/>
        <v>22.142857142857139</v>
      </c>
      <c r="P23" s="15">
        <f t="shared" si="1"/>
        <v>29.285714285714281</v>
      </c>
      <c r="R23" s="1" t="s">
        <v>147</v>
      </c>
      <c r="S23" s="34">
        <f>SUM(C62:C65)</f>
        <v>25.5</v>
      </c>
      <c r="T23" s="34">
        <f t="shared" ref="T23:AF23" si="15">SUM(D62:D65)</f>
        <v>4.5</v>
      </c>
      <c r="U23" s="34">
        <f t="shared" si="15"/>
        <v>5.5000000000000009</v>
      </c>
      <c r="V23" s="34">
        <f t="shared" si="15"/>
        <v>12.5</v>
      </c>
      <c r="W23" s="34">
        <f t="shared" si="15"/>
        <v>0</v>
      </c>
      <c r="X23" s="34">
        <f t="shared" si="15"/>
        <v>0.5</v>
      </c>
      <c r="Y23" s="34">
        <f t="shared" si="15"/>
        <v>3.5</v>
      </c>
      <c r="Z23" s="34">
        <f t="shared" si="15"/>
        <v>2</v>
      </c>
      <c r="AA23" s="34">
        <f t="shared" si="15"/>
        <v>0</v>
      </c>
      <c r="AB23" s="34">
        <f t="shared" si="15"/>
        <v>6.5</v>
      </c>
      <c r="AC23" s="34">
        <f t="shared" si="15"/>
        <v>13</v>
      </c>
      <c r="AD23" s="34">
        <f t="shared" si="15"/>
        <v>0.5</v>
      </c>
      <c r="AE23" s="31">
        <f t="shared" si="15"/>
        <v>61</v>
      </c>
      <c r="AF23" s="31">
        <f t="shared" si="15"/>
        <v>74</v>
      </c>
    </row>
    <row r="24" spans="2:32" ht="23.1" customHeight="1" x14ac:dyDescent="0.25">
      <c r="B24" s="23" t="s">
        <v>51</v>
      </c>
      <c r="C24" s="49">
        <f>'Avg Week KIKORONGO-BWERA'!C24+'Avg Week BWERA-KIKORONGO'!C24</f>
        <v>9.4285714285714288</v>
      </c>
      <c r="D24" s="49">
        <f>0.45*('Avg Week KIKORONGO-BWERA'!E24+'Avg Week BWERA-KIKORONGO'!E24)</f>
        <v>1.9285714285714286</v>
      </c>
      <c r="E24" s="49">
        <f>0.55*('Avg Week KIKORONGO-BWERA'!E24+'Avg Week BWERA-KIKORONGO'!E24)</f>
        <v>2.3571428571428572</v>
      </c>
      <c r="F24" s="49">
        <f>'Avg Week KIKORONGO-BWERA'!F24+'Avg Week BWERA-KIKORONGO'!F24</f>
        <v>6</v>
      </c>
      <c r="G24" s="49">
        <f>'Avg Week KIKORONGO-BWERA'!G24+'Avg Week BWERA-KIKORONGO'!G24</f>
        <v>0.14285714285714285</v>
      </c>
      <c r="H24" s="49">
        <f>'Avg Week KIKORONGO-BWERA'!H24+'Avg Week BWERA-KIKORONGO'!H24</f>
        <v>0.2857142857142857</v>
      </c>
      <c r="I24" s="49">
        <f>'Avg Week KIKORONGO-BWERA'!I24+'Avg Week BWERA-KIKORONGO'!I24</f>
        <v>2.7142857142857144</v>
      </c>
      <c r="J24" s="49">
        <f>'Avg Week KIKORONGO-BWERA'!J24+'Avg Week BWERA-KIKORONGO'!J24</f>
        <v>1.2857142857142856</v>
      </c>
      <c r="K24" s="49">
        <f>'Avg Week KIKORONGO-BWERA'!K24+'Avg Week BWERA-KIKORONGO'!K24</f>
        <v>0.14285714285714285</v>
      </c>
      <c r="L24" s="49">
        <f>'Avg Week KIKORONGO-BWERA'!L24+'Avg Week BWERA-KIKORONGO'!L24</f>
        <v>0.71428571428571419</v>
      </c>
      <c r="M24" s="49">
        <f>'Avg Week KIKORONGO-BWERA'!M24+'Avg Week BWERA-KIKORONGO'!M24</f>
        <v>7</v>
      </c>
      <c r="N24" s="49">
        <f>'Avg Week KIKORONGO-BWERA'!N24+'Avg Week BWERA-KIKORONGO'!N24</f>
        <v>0</v>
      </c>
      <c r="O24" s="15">
        <f t="shared" si="0"/>
        <v>25</v>
      </c>
      <c r="P24" s="15">
        <f t="shared" si="1"/>
        <v>32</v>
      </c>
      <c r="R24" s="1" t="s">
        <v>148</v>
      </c>
      <c r="S24" s="34">
        <f>SUM(C66:C69)</f>
        <v>9.5</v>
      </c>
      <c r="T24" s="34">
        <f t="shared" ref="T24:AF24" si="16">SUM(D66:D69)</f>
        <v>4.7250000000000005</v>
      </c>
      <c r="U24" s="34">
        <f t="shared" si="16"/>
        <v>5.7750000000000004</v>
      </c>
      <c r="V24" s="34">
        <f t="shared" si="16"/>
        <v>10.5</v>
      </c>
      <c r="W24" s="34">
        <f t="shared" si="16"/>
        <v>0</v>
      </c>
      <c r="X24" s="34">
        <f t="shared" si="16"/>
        <v>1.5</v>
      </c>
      <c r="Y24" s="34">
        <f t="shared" si="16"/>
        <v>7</v>
      </c>
      <c r="Z24" s="34">
        <f t="shared" si="16"/>
        <v>1</v>
      </c>
      <c r="AA24" s="34">
        <f t="shared" si="16"/>
        <v>0</v>
      </c>
      <c r="AB24" s="34">
        <f t="shared" si="16"/>
        <v>2.5</v>
      </c>
      <c r="AC24" s="34">
        <f t="shared" si="16"/>
        <v>6</v>
      </c>
      <c r="AD24" s="34">
        <f t="shared" si="16"/>
        <v>0</v>
      </c>
      <c r="AE24" s="31">
        <f t="shared" si="16"/>
        <v>42.5</v>
      </c>
      <c r="AF24" s="31">
        <f t="shared" si="16"/>
        <v>48.5</v>
      </c>
    </row>
    <row r="25" spans="2:32" ht="23.1" customHeight="1" x14ac:dyDescent="0.25">
      <c r="B25" s="23" t="s">
        <v>52</v>
      </c>
      <c r="C25" s="49">
        <f>'Avg Week KIKORONGO-BWERA'!C25+'Avg Week BWERA-KIKORONGO'!C25</f>
        <v>8.2857142857142865</v>
      </c>
      <c r="D25" s="49">
        <f>0.45*('Avg Week KIKORONGO-BWERA'!E25+'Avg Week BWERA-KIKORONGO'!E25)</f>
        <v>1.4142857142857144</v>
      </c>
      <c r="E25" s="49">
        <f>0.55*('Avg Week KIKORONGO-BWERA'!E25+'Avg Week BWERA-KIKORONGO'!E25)</f>
        <v>1.7285714285714286</v>
      </c>
      <c r="F25" s="49">
        <f>'Avg Week KIKORONGO-BWERA'!F25+'Avg Week BWERA-KIKORONGO'!F25</f>
        <v>5.1428571428571423</v>
      </c>
      <c r="G25" s="49">
        <f>'Avg Week KIKORONGO-BWERA'!G25+'Avg Week BWERA-KIKORONGO'!G25</f>
        <v>0</v>
      </c>
      <c r="H25" s="49">
        <f>'Avg Week KIKORONGO-BWERA'!H25+'Avg Week BWERA-KIKORONGO'!H25</f>
        <v>0.5714285714285714</v>
      </c>
      <c r="I25" s="49">
        <f>'Avg Week KIKORONGO-BWERA'!I25+'Avg Week BWERA-KIKORONGO'!I25</f>
        <v>2.8571428571428568</v>
      </c>
      <c r="J25" s="49">
        <f>'Avg Week KIKORONGO-BWERA'!J25+'Avg Week BWERA-KIKORONGO'!J25</f>
        <v>0.71428571428571419</v>
      </c>
      <c r="K25" s="49">
        <f>'Avg Week KIKORONGO-BWERA'!K25+'Avg Week BWERA-KIKORONGO'!K25</f>
        <v>0.42857142857142855</v>
      </c>
      <c r="L25" s="49">
        <f>'Avg Week KIKORONGO-BWERA'!L25+'Avg Week BWERA-KIKORONGO'!L25</f>
        <v>0.71428571428571419</v>
      </c>
      <c r="M25" s="49">
        <f>'Avg Week KIKORONGO-BWERA'!M25+'Avg Week BWERA-KIKORONGO'!M25</f>
        <v>6.2857142857142865</v>
      </c>
      <c r="N25" s="49">
        <f>'Avg Week KIKORONGO-BWERA'!N25+'Avg Week BWERA-KIKORONGO'!N25</f>
        <v>0</v>
      </c>
      <c r="O25" s="15">
        <f t="shared" si="0"/>
        <v>21.857142857142861</v>
      </c>
      <c r="P25" s="15">
        <f t="shared" si="1"/>
        <v>28.142857142857146</v>
      </c>
      <c r="R25" s="1" t="s">
        <v>149</v>
      </c>
      <c r="S25" s="34">
        <f>SUM(C70:C73)</f>
        <v>10</v>
      </c>
      <c r="T25" s="34">
        <f t="shared" ref="T25:AF25" si="17">SUM(D70:D73)</f>
        <v>0.45</v>
      </c>
      <c r="U25" s="34">
        <f t="shared" si="17"/>
        <v>0.55000000000000004</v>
      </c>
      <c r="V25" s="34">
        <f t="shared" si="17"/>
        <v>5</v>
      </c>
      <c r="W25" s="34">
        <f t="shared" si="17"/>
        <v>0</v>
      </c>
      <c r="X25" s="34">
        <f t="shared" si="17"/>
        <v>0.5</v>
      </c>
      <c r="Y25" s="34">
        <f t="shared" si="17"/>
        <v>5.5</v>
      </c>
      <c r="Z25" s="34">
        <f t="shared" si="17"/>
        <v>1</v>
      </c>
      <c r="AA25" s="34">
        <f t="shared" si="17"/>
        <v>0</v>
      </c>
      <c r="AB25" s="34">
        <f t="shared" si="17"/>
        <v>5</v>
      </c>
      <c r="AC25" s="34">
        <f t="shared" si="17"/>
        <v>2</v>
      </c>
      <c r="AD25" s="34">
        <f t="shared" si="17"/>
        <v>0</v>
      </c>
      <c r="AE25" s="31">
        <f t="shared" si="17"/>
        <v>28</v>
      </c>
      <c r="AF25" s="31">
        <f t="shared" si="17"/>
        <v>30</v>
      </c>
    </row>
    <row r="26" spans="2:32" ht="23.1" customHeight="1" x14ac:dyDescent="0.25">
      <c r="B26" s="23" t="s">
        <v>53</v>
      </c>
      <c r="C26" s="49">
        <f>'Avg Week KIKORONGO-BWERA'!C26+'Avg Week BWERA-KIKORONGO'!C26</f>
        <v>10.428571428571429</v>
      </c>
      <c r="D26" s="49">
        <f>0.45*('Avg Week KIKORONGO-BWERA'!E26+'Avg Week BWERA-KIKORONGO'!E26)</f>
        <v>1.4142857142857144</v>
      </c>
      <c r="E26" s="49">
        <f>0.55*('Avg Week KIKORONGO-BWERA'!E26+'Avg Week BWERA-KIKORONGO'!E26)</f>
        <v>1.7285714285714286</v>
      </c>
      <c r="F26" s="49">
        <f>'Avg Week KIKORONGO-BWERA'!F26+'Avg Week BWERA-KIKORONGO'!F26</f>
        <v>4.4285714285714288</v>
      </c>
      <c r="G26" s="49">
        <f>'Avg Week KIKORONGO-BWERA'!G26+'Avg Week BWERA-KIKORONGO'!G26</f>
        <v>0</v>
      </c>
      <c r="H26" s="49">
        <f>'Avg Week KIKORONGO-BWERA'!H26+'Avg Week BWERA-KIKORONGO'!H26</f>
        <v>0.14285714285714285</v>
      </c>
      <c r="I26" s="49">
        <f>'Avg Week KIKORONGO-BWERA'!I26+'Avg Week BWERA-KIKORONGO'!I26</f>
        <v>2.2857142857142856</v>
      </c>
      <c r="J26" s="49">
        <f>'Avg Week KIKORONGO-BWERA'!J26+'Avg Week BWERA-KIKORONGO'!J26</f>
        <v>0.42857142857142855</v>
      </c>
      <c r="K26" s="49">
        <f>'Avg Week KIKORONGO-BWERA'!K26+'Avg Week BWERA-KIKORONGO'!K26</f>
        <v>0</v>
      </c>
      <c r="L26" s="49">
        <f>'Avg Week KIKORONGO-BWERA'!L26+'Avg Week BWERA-KIKORONGO'!L26</f>
        <v>0.42857142857142855</v>
      </c>
      <c r="M26" s="49">
        <f>'Avg Week KIKORONGO-BWERA'!M26+'Avg Week BWERA-KIKORONGO'!M26</f>
        <v>6.4285714285714288</v>
      </c>
      <c r="N26" s="49">
        <f>'Avg Week KIKORONGO-BWERA'!N26+'Avg Week BWERA-KIKORONGO'!N26</f>
        <v>0</v>
      </c>
      <c r="O26" s="15">
        <f t="shared" si="0"/>
        <v>21.285714285714281</v>
      </c>
      <c r="P26" s="15">
        <f t="shared" si="1"/>
        <v>27.714285714285708</v>
      </c>
      <c r="R26" s="1" t="s">
        <v>150</v>
      </c>
      <c r="S26" s="34">
        <f>SUM(C74:C77)</f>
        <v>8.5</v>
      </c>
      <c r="T26" s="34">
        <f t="shared" ref="T26:AF26" si="18">SUM(D74:D77)</f>
        <v>1.125</v>
      </c>
      <c r="U26" s="34">
        <f t="shared" si="18"/>
        <v>1.375</v>
      </c>
      <c r="V26" s="34">
        <f t="shared" si="18"/>
        <v>8</v>
      </c>
      <c r="W26" s="34">
        <f t="shared" si="18"/>
        <v>0</v>
      </c>
      <c r="X26" s="34">
        <f t="shared" si="18"/>
        <v>5</v>
      </c>
      <c r="Y26" s="34">
        <f t="shared" si="18"/>
        <v>2.5</v>
      </c>
      <c r="Z26" s="34">
        <f t="shared" si="18"/>
        <v>1</v>
      </c>
      <c r="AA26" s="34">
        <f t="shared" si="18"/>
        <v>0</v>
      </c>
      <c r="AB26" s="34">
        <f t="shared" si="18"/>
        <v>3.5</v>
      </c>
      <c r="AC26" s="34">
        <f t="shared" si="18"/>
        <v>3</v>
      </c>
      <c r="AD26" s="34">
        <f t="shared" si="18"/>
        <v>0</v>
      </c>
      <c r="AE26" s="31">
        <f t="shared" si="18"/>
        <v>31</v>
      </c>
      <c r="AF26" s="31">
        <f t="shared" si="18"/>
        <v>34</v>
      </c>
    </row>
    <row r="27" spans="2:32" ht="23.1" customHeight="1" x14ac:dyDescent="0.25">
      <c r="B27" s="23" t="s">
        <v>54</v>
      </c>
      <c r="C27" s="49">
        <f>'Avg Week KIKORONGO-BWERA'!C27+'Avg Week BWERA-KIKORONGO'!C27</f>
        <v>8.5714285714285712</v>
      </c>
      <c r="D27" s="49">
        <f>0.45*('Avg Week KIKORONGO-BWERA'!E27+'Avg Week BWERA-KIKORONGO'!E27)</f>
        <v>1.9285714285714286</v>
      </c>
      <c r="E27" s="49">
        <f>0.55*('Avg Week KIKORONGO-BWERA'!E27+'Avg Week BWERA-KIKORONGO'!E27)</f>
        <v>2.3571428571428572</v>
      </c>
      <c r="F27" s="49">
        <f>'Avg Week KIKORONGO-BWERA'!F27+'Avg Week BWERA-KIKORONGO'!F27</f>
        <v>5.5714285714285712</v>
      </c>
      <c r="G27" s="49">
        <f>'Avg Week KIKORONGO-BWERA'!G27+'Avg Week BWERA-KIKORONGO'!G27</f>
        <v>0</v>
      </c>
      <c r="H27" s="49">
        <f>'Avg Week KIKORONGO-BWERA'!H27+'Avg Week BWERA-KIKORONGO'!H27</f>
        <v>0</v>
      </c>
      <c r="I27" s="49">
        <f>'Avg Week KIKORONGO-BWERA'!I27+'Avg Week BWERA-KIKORONGO'!I27</f>
        <v>1.5714285714285714</v>
      </c>
      <c r="J27" s="49">
        <f>'Avg Week KIKORONGO-BWERA'!J27+'Avg Week BWERA-KIKORONGO'!J27</f>
        <v>1.1428571428571428</v>
      </c>
      <c r="K27" s="49">
        <f>'Avg Week KIKORONGO-BWERA'!K27+'Avg Week BWERA-KIKORONGO'!K27</f>
        <v>0.2857142857142857</v>
      </c>
      <c r="L27" s="49">
        <f>'Avg Week KIKORONGO-BWERA'!L27+'Avg Week BWERA-KIKORONGO'!L27</f>
        <v>1.1428571428571428</v>
      </c>
      <c r="M27" s="49">
        <f>'Avg Week KIKORONGO-BWERA'!M27+'Avg Week BWERA-KIKORONGO'!M27</f>
        <v>7</v>
      </c>
      <c r="N27" s="49">
        <f>'Avg Week KIKORONGO-BWERA'!N27+'Avg Week BWERA-KIKORONGO'!N27</f>
        <v>0</v>
      </c>
      <c r="O27" s="15">
        <f t="shared" si="0"/>
        <v>22.571428571428573</v>
      </c>
      <c r="P27" s="15">
        <f t="shared" si="1"/>
        <v>29.571428571428573</v>
      </c>
      <c r="R27" s="1" t="s">
        <v>151</v>
      </c>
      <c r="S27" s="34">
        <f>SUM(C78:C81)</f>
        <v>8.5</v>
      </c>
      <c r="T27" s="34">
        <f t="shared" ref="T27:AF27" si="19">SUM(D78:D81)</f>
        <v>0.22500000000000001</v>
      </c>
      <c r="U27" s="34">
        <f t="shared" si="19"/>
        <v>0.27500000000000002</v>
      </c>
      <c r="V27" s="34">
        <f t="shared" si="19"/>
        <v>6.5</v>
      </c>
      <c r="W27" s="34">
        <f t="shared" si="19"/>
        <v>0</v>
      </c>
      <c r="X27" s="34">
        <f t="shared" si="19"/>
        <v>1</v>
      </c>
      <c r="Y27" s="34">
        <f t="shared" si="19"/>
        <v>2.5</v>
      </c>
      <c r="Z27" s="34">
        <f t="shared" si="19"/>
        <v>0</v>
      </c>
      <c r="AA27" s="34">
        <f t="shared" si="19"/>
        <v>0</v>
      </c>
      <c r="AB27" s="34">
        <f t="shared" si="19"/>
        <v>2</v>
      </c>
      <c r="AC27" s="34">
        <f t="shared" si="19"/>
        <v>3</v>
      </c>
      <c r="AD27" s="34">
        <f t="shared" si="19"/>
        <v>0</v>
      </c>
      <c r="AE27" s="31">
        <f t="shared" si="19"/>
        <v>21</v>
      </c>
      <c r="AF27" s="31">
        <f t="shared" si="19"/>
        <v>24</v>
      </c>
    </row>
    <row r="28" spans="2:32" ht="23.1" customHeight="1" x14ac:dyDescent="0.25">
      <c r="B28" s="23" t="s">
        <v>55</v>
      </c>
      <c r="C28" s="49">
        <f>'Avg Week KIKORONGO-BWERA'!C28+'Avg Week BWERA-KIKORONGO'!C28</f>
        <v>9</v>
      </c>
      <c r="D28" s="49">
        <f>0.45*('Avg Week KIKORONGO-BWERA'!E28+'Avg Week BWERA-KIKORONGO'!E28)</f>
        <v>1.2214285714285715</v>
      </c>
      <c r="E28" s="49">
        <f>0.55*('Avg Week KIKORONGO-BWERA'!E28+'Avg Week BWERA-KIKORONGO'!E28)</f>
        <v>1.4928571428571431</v>
      </c>
      <c r="F28" s="49">
        <f>'Avg Week KIKORONGO-BWERA'!F28+'Avg Week BWERA-KIKORONGO'!F28</f>
        <v>4.5714285714285712</v>
      </c>
      <c r="G28" s="49">
        <f>'Avg Week KIKORONGO-BWERA'!G28+'Avg Week BWERA-KIKORONGO'!G28</f>
        <v>0</v>
      </c>
      <c r="H28" s="49">
        <f>'Avg Week KIKORONGO-BWERA'!H28+'Avg Week BWERA-KIKORONGO'!H28</f>
        <v>0</v>
      </c>
      <c r="I28" s="49">
        <f>'Avg Week KIKORONGO-BWERA'!I28+'Avg Week BWERA-KIKORONGO'!I28</f>
        <v>1.7142857142857142</v>
      </c>
      <c r="J28" s="49">
        <f>'Avg Week KIKORONGO-BWERA'!J28+'Avg Week BWERA-KIKORONGO'!J28</f>
        <v>0.2857142857142857</v>
      </c>
      <c r="K28" s="49">
        <f>'Avg Week KIKORONGO-BWERA'!K28+'Avg Week BWERA-KIKORONGO'!K28</f>
        <v>0</v>
      </c>
      <c r="L28" s="49">
        <f>'Avg Week KIKORONGO-BWERA'!L28+'Avg Week BWERA-KIKORONGO'!L28</f>
        <v>1</v>
      </c>
      <c r="M28" s="49">
        <f>'Avg Week KIKORONGO-BWERA'!M28+'Avg Week BWERA-KIKORONGO'!M28</f>
        <v>10.285714285714285</v>
      </c>
      <c r="N28" s="49">
        <f>'Avg Week KIKORONGO-BWERA'!N28+'Avg Week BWERA-KIKORONGO'!N28</f>
        <v>0.14285714285714285</v>
      </c>
      <c r="O28" s="15">
        <f t="shared" si="0"/>
        <v>19.428571428571427</v>
      </c>
      <c r="P28" s="15">
        <f t="shared" si="1"/>
        <v>29.714285714285712</v>
      </c>
      <c r="R28" s="1" t="s">
        <v>152</v>
      </c>
      <c r="S28" s="34">
        <f>SUM(C82:C85)</f>
        <v>4.5</v>
      </c>
      <c r="T28" s="34">
        <f t="shared" ref="T28:AF28" si="20">SUM(D82:D85)</f>
        <v>1.125</v>
      </c>
      <c r="U28" s="34">
        <f t="shared" si="20"/>
        <v>1.375</v>
      </c>
      <c r="V28" s="34">
        <f t="shared" si="20"/>
        <v>4</v>
      </c>
      <c r="W28" s="34">
        <f t="shared" si="20"/>
        <v>0</v>
      </c>
      <c r="X28" s="34">
        <f t="shared" si="20"/>
        <v>0</v>
      </c>
      <c r="Y28" s="34">
        <f t="shared" si="20"/>
        <v>4</v>
      </c>
      <c r="Z28" s="34">
        <f t="shared" si="20"/>
        <v>0</v>
      </c>
      <c r="AA28" s="34">
        <f t="shared" si="20"/>
        <v>0</v>
      </c>
      <c r="AB28" s="34">
        <f t="shared" si="20"/>
        <v>2</v>
      </c>
      <c r="AC28" s="34">
        <f t="shared" si="20"/>
        <v>1.5</v>
      </c>
      <c r="AD28" s="34">
        <f t="shared" si="20"/>
        <v>0</v>
      </c>
      <c r="AE28" s="31">
        <f t="shared" si="20"/>
        <v>17</v>
      </c>
      <c r="AF28" s="31">
        <f t="shared" si="20"/>
        <v>18.5</v>
      </c>
    </row>
    <row r="29" spans="2:32" ht="23.1" customHeight="1" x14ac:dyDescent="0.25">
      <c r="B29" s="23" t="s">
        <v>56</v>
      </c>
      <c r="C29" s="49">
        <f>'Avg Week KIKORONGO-BWERA'!C29+'Avg Week BWERA-KIKORONGO'!C29</f>
        <v>10.714285714285715</v>
      </c>
      <c r="D29" s="49">
        <f>0.45*('Avg Week KIKORONGO-BWERA'!E29+'Avg Week BWERA-KIKORONGO'!E29)</f>
        <v>1.4785714285714286</v>
      </c>
      <c r="E29" s="49">
        <f>0.55*('Avg Week KIKORONGO-BWERA'!E29+'Avg Week BWERA-KIKORONGO'!E29)</f>
        <v>1.8071428571428572</v>
      </c>
      <c r="F29" s="49">
        <f>'Avg Week KIKORONGO-BWERA'!F29+'Avg Week BWERA-KIKORONGO'!F29</f>
        <v>4.4285714285714288</v>
      </c>
      <c r="G29" s="49">
        <f>'Avg Week KIKORONGO-BWERA'!G29+'Avg Week BWERA-KIKORONGO'!G29</f>
        <v>0</v>
      </c>
      <c r="H29" s="49">
        <f>'Avg Week KIKORONGO-BWERA'!H29+'Avg Week BWERA-KIKORONGO'!H29</f>
        <v>0.14285714285714285</v>
      </c>
      <c r="I29" s="49">
        <f>'Avg Week KIKORONGO-BWERA'!I29+'Avg Week BWERA-KIKORONGO'!I29</f>
        <v>1.5714285714285714</v>
      </c>
      <c r="J29" s="49">
        <f>'Avg Week KIKORONGO-BWERA'!J29+'Avg Week BWERA-KIKORONGO'!J29</f>
        <v>0.8571428571428571</v>
      </c>
      <c r="K29" s="49">
        <f>'Avg Week KIKORONGO-BWERA'!K29+'Avg Week BWERA-KIKORONGO'!K29</f>
        <v>0.2857142857142857</v>
      </c>
      <c r="L29" s="49">
        <f>'Avg Week KIKORONGO-BWERA'!L29+'Avg Week BWERA-KIKORONGO'!L29</f>
        <v>1.7142857142857144</v>
      </c>
      <c r="M29" s="49">
        <f>'Avg Week KIKORONGO-BWERA'!M29+'Avg Week BWERA-KIKORONGO'!M29</f>
        <v>8.5714285714285712</v>
      </c>
      <c r="N29" s="49">
        <f>'Avg Week KIKORONGO-BWERA'!N29+'Avg Week BWERA-KIKORONGO'!N29</f>
        <v>0</v>
      </c>
      <c r="O29" s="15">
        <f t="shared" si="0"/>
        <v>23.000000000000004</v>
      </c>
      <c r="P29" s="15">
        <f t="shared" si="1"/>
        <v>31.571428571428577</v>
      </c>
      <c r="R29" s="1" t="s">
        <v>153</v>
      </c>
      <c r="S29" s="34">
        <f>SUM(C86:C89)</f>
        <v>6</v>
      </c>
      <c r="T29" s="34">
        <f t="shared" ref="T29:AF29" si="21">SUM(D86:D89)</f>
        <v>0.22500000000000001</v>
      </c>
      <c r="U29" s="34">
        <f t="shared" si="21"/>
        <v>0.27500000000000002</v>
      </c>
      <c r="V29" s="34">
        <f t="shared" si="21"/>
        <v>9</v>
      </c>
      <c r="W29" s="34">
        <f t="shared" si="21"/>
        <v>0</v>
      </c>
      <c r="X29" s="34">
        <f t="shared" si="21"/>
        <v>0</v>
      </c>
      <c r="Y29" s="34">
        <f t="shared" si="21"/>
        <v>3.5</v>
      </c>
      <c r="Z29" s="34">
        <f t="shared" si="21"/>
        <v>0</v>
      </c>
      <c r="AA29" s="34">
        <f t="shared" si="21"/>
        <v>0</v>
      </c>
      <c r="AB29" s="34">
        <f t="shared" si="21"/>
        <v>2</v>
      </c>
      <c r="AC29" s="34">
        <f t="shared" si="21"/>
        <v>0.5</v>
      </c>
      <c r="AD29" s="34">
        <f t="shared" si="21"/>
        <v>0</v>
      </c>
      <c r="AE29" s="31">
        <f t="shared" si="21"/>
        <v>21</v>
      </c>
      <c r="AF29" s="31">
        <f t="shared" si="21"/>
        <v>21.5</v>
      </c>
    </row>
    <row r="30" spans="2:32" ht="23.1" customHeight="1" x14ac:dyDescent="0.25">
      <c r="B30" s="23" t="s">
        <v>57</v>
      </c>
      <c r="C30" s="49">
        <f>'Avg Week KIKORONGO-BWERA'!C30+'Avg Week BWERA-KIKORONGO'!C30</f>
        <v>10</v>
      </c>
      <c r="D30" s="49">
        <f>0.45*('Avg Week KIKORONGO-BWERA'!E30+'Avg Week BWERA-KIKORONGO'!E30)</f>
        <v>2.3142857142857141</v>
      </c>
      <c r="E30" s="49">
        <f>0.55*('Avg Week KIKORONGO-BWERA'!E30+'Avg Week BWERA-KIKORONGO'!E30)</f>
        <v>2.8285714285714287</v>
      </c>
      <c r="F30" s="49">
        <f>'Avg Week KIKORONGO-BWERA'!F30+'Avg Week BWERA-KIKORONGO'!F30</f>
        <v>4.2857142857142856</v>
      </c>
      <c r="G30" s="49">
        <f>'Avg Week KIKORONGO-BWERA'!G30+'Avg Week BWERA-KIKORONGO'!G30</f>
        <v>0</v>
      </c>
      <c r="H30" s="49">
        <f>'Avg Week KIKORONGO-BWERA'!H30+'Avg Week BWERA-KIKORONGO'!H30</f>
        <v>0.14285714285714285</v>
      </c>
      <c r="I30" s="49">
        <f>'Avg Week KIKORONGO-BWERA'!I30+'Avg Week BWERA-KIKORONGO'!I30</f>
        <v>2.1428571428571428</v>
      </c>
      <c r="J30" s="49">
        <f>'Avg Week KIKORONGO-BWERA'!J30+'Avg Week BWERA-KIKORONGO'!J30</f>
        <v>1.2857142857142856</v>
      </c>
      <c r="K30" s="49">
        <f>'Avg Week KIKORONGO-BWERA'!K30+'Avg Week BWERA-KIKORONGO'!K30</f>
        <v>0.2857142857142857</v>
      </c>
      <c r="L30" s="49">
        <f>'Avg Week KIKORONGO-BWERA'!L30+'Avg Week BWERA-KIKORONGO'!L30</f>
        <v>0.71428571428571419</v>
      </c>
      <c r="M30" s="49">
        <f>'Avg Week KIKORONGO-BWERA'!M30+'Avg Week BWERA-KIKORONGO'!M30</f>
        <v>8</v>
      </c>
      <c r="N30" s="49">
        <f>'Avg Week KIKORONGO-BWERA'!N30+'Avg Week BWERA-KIKORONGO'!N30</f>
        <v>0</v>
      </c>
      <c r="O30" s="15">
        <f t="shared" si="0"/>
        <v>23.999999999999996</v>
      </c>
      <c r="P30" s="15">
        <f t="shared" si="1"/>
        <v>31.999999999999996</v>
      </c>
      <c r="R30" s="1" t="s">
        <v>154</v>
      </c>
      <c r="S30" s="34">
        <f>SUM(C90:C93)</f>
        <v>4.5</v>
      </c>
      <c r="T30" s="34">
        <f t="shared" ref="T30:AF30" si="22">SUM(D90:D93)</f>
        <v>2.25</v>
      </c>
      <c r="U30" s="34">
        <f t="shared" si="22"/>
        <v>2.75</v>
      </c>
      <c r="V30" s="34">
        <f t="shared" si="22"/>
        <v>6.5</v>
      </c>
      <c r="W30" s="34">
        <f t="shared" si="22"/>
        <v>0</v>
      </c>
      <c r="X30" s="34">
        <f t="shared" si="22"/>
        <v>1</v>
      </c>
      <c r="Y30" s="34">
        <f t="shared" si="22"/>
        <v>3</v>
      </c>
      <c r="Z30" s="34">
        <f t="shared" si="22"/>
        <v>0</v>
      </c>
      <c r="AA30" s="34">
        <f t="shared" si="22"/>
        <v>0</v>
      </c>
      <c r="AB30" s="34">
        <f t="shared" si="22"/>
        <v>3</v>
      </c>
      <c r="AC30" s="34">
        <f t="shared" si="22"/>
        <v>3</v>
      </c>
      <c r="AD30" s="34">
        <f t="shared" si="22"/>
        <v>0</v>
      </c>
      <c r="AE30" s="31">
        <f t="shared" si="22"/>
        <v>23</v>
      </c>
      <c r="AF30" s="31">
        <f t="shared" si="22"/>
        <v>26</v>
      </c>
    </row>
    <row r="31" spans="2:32" ht="23.1" customHeight="1" x14ac:dyDescent="0.25">
      <c r="B31" s="24" t="s">
        <v>58</v>
      </c>
      <c r="C31" s="49">
        <f>'Avg Week KIKORONGO-BWERA'!C31+'Avg Week BWERA-KIKORONGO'!C31</f>
        <v>8.2857142857142865</v>
      </c>
      <c r="D31" s="49">
        <f>0.45*('Avg Week KIKORONGO-BWERA'!E31+'Avg Week BWERA-KIKORONGO'!E31)</f>
        <v>1.5428571428571429</v>
      </c>
      <c r="E31" s="49">
        <f>0.55*('Avg Week KIKORONGO-BWERA'!E31+'Avg Week BWERA-KIKORONGO'!E31)</f>
        <v>1.8857142857142859</v>
      </c>
      <c r="F31" s="49">
        <f>'Avg Week KIKORONGO-BWERA'!F31+'Avg Week BWERA-KIKORONGO'!F31</f>
        <v>5.5714285714285712</v>
      </c>
      <c r="G31" s="49">
        <f>'Avg Week KIKORONGO-BWERA'!G31+'Avg Week BWERA-KIKORONGO'!G31</f>
        <v>0</v>
      </c>
      <c r="H31" s="49">
        <f>'Avg Week KIKORONGO-BWERA'!H31+'Avg Week BWERA-KIKORONGO'!H31</f>
        <v>0</v>
      </c>
      <c r="I31" s="49">
        <f>'Avg Week KIKORONGO-BWERA'!I31+'Avg Week BWERA-KIKORONGO'!I31</f>
        <v>1.5714285714285714</v>
      </c>
      <c r="J31" s="49">
        <f>'Avg Week KIKORONGO-BWERA'!J31+'Avg Week BWERA-KIKORONGO'!J31</f>
        <v>0.5714285714285714</v>
      </c>
      <c r="K31" s="49">
        <f>'Avg Week KIKORONGO-BWERA'!K31+'Avg Week BWERA-KIKORONGO'!K31</f>
        <v>0</v>
      </c>
      <c r="L31" s="49">
        <f>'Avg Week KIKORONGO-BWERA'!L31+'Avg Week BWERA-KIKORONGO'!L31</f>
        <v>0.71428571428571419</v>
      </c>
      <c r="M31" s="49">
        <f>'Avg Week KIKORONGO-BWERA'!M31+'Avg Week BWERA-KIKORONGO'!M31</f>
        <v>6.7142857142857135</v>
      </c>
      <c r="N31" s="49">
        <f>'Avg Week KIKORONGO-BWERA'!N31+'Avg Week BWERA-KIKORONGO'!N31</f>
        <v>0</v>
      </c>
      <c r="O31" s="15">
        <f t="shared" si="0"/>
        <v>20.142857142857146</v>
      </c>
      <c r="P31" s="15">
        <f t="shared" si="1"/>
        <v>26.857142857142861</v>
      </c>
      <c r="R31" s="1" t="s">
        <v>155</v>
      </c>
      <c r="S31" s="34">
        <f>SUM(C94:C97)</f>
        <v>5.5</v>
      </c>
      <c r="T31" s="34">
        <f t="shared" ref="T31:AF31" si="23">SUM(D94:D97)</f>
        <v>0.9</v>
      </c>
      <c r="U31" s="34">
        <f t="shared" si="23"/>
        <v>1.1000000000000001</v>
      </c>
      <c r="V31" s="34">
        <f t="shared" si="23"/>
        <v>3.5</v>
      </c>
      <c r="W31" s="34">
        <f t="shared" si="23"/>
        <v>0</v>
      </c>
      <c r="X31" s="34">
        <f t="shared" si="23"/>
        <v>2</v>
      </c>
      <c r="Y31" s="34">
        <f t="shared" si="23"/>
        <v>5</v>
      </c>
      <c r="Z31" s="34">
        <f t="shared" si="23"/>
        <v>0</v>
      </c>
      <c r="AA31" s="34">
        <f t="shared" si="23"/>
        <v>0</v>
      </c>
      <c r="AB31" s="34">
        <f t="shared" si="23"/>
        <v>1.5</v>
      </c>
      <c r="AC31" s="34">
        <f t="shared" si="23"/>
        <v>3</v>
      </c>
      <c r="AD31" s="34">
        <f t="shared" si="23"/>
        <v>0</v>
      </c>
      <c r="AE31" s="31">
        <f t="shared" si="23"/>
        <v>19.5</v>
      </c>
      <c r="AF31" s="31">
        <f t="shared" si="23"/>
        <v>22.5</v>
      </c>
    </row>
    <row r="32" spans="2:32" ht="23.1" customHeight="1" x14ac:dyDescent="0.25">
      <c r="B32" s="24" t="s">
        <v>59</v>
      </c>
      <c r="C32" s="49">
        <f>'Avg Week KIKORONGO-BWERA'!C32+'Avg Week BWERA-KIKORONGO'!C32</f>
        <v>6</v>
      </c>
      <c r="D32" s="49">
        <f>0.45*('Avg Week KIKORONGO-BWERA'!E32+'Avg Week BWERA-KIKORONGO'!E32)</f>
        <v>1.4785714285714286</v>
      </c>
      <c r="E32" s="49">
        <f>0.55*('Avg Week KIKORONGO-BWERA'!E32+'Avg Week BWERA-KIKORONGO'!E32)</f>
        <v>1.8071428571428572</v>
      </c>
      <c r="F32" s="49">
        <f>'Avg Week KIKORONGO-BWERA'!F32+'Avg Week BWERA-KIKORONGO'!F32</f>
        <v>7.4285714285714288</v>
      </c>
      <c r="G32" s="49">
        <f>'Avg Week KIKORONGO-BWERA'!G32+'Avg Week BWERA-KIKORONGO'!G32</f>
        <v>0.14285714285714285</v>
      </c>
      <c r="H32" s="49">
        <f>'Avg Week KIKORONGO-BWERA'!H32+'Avg Week BWERA-KIKORONGO'!H32</f>
        <v>0.5714285714285714</v>
      </c>
      <c r="I32" s="49">
        <f>'Avg Week KIKORONGO-BWERA'!I32+'Avg Week BWERA-KIKORONGO'!I32</f>
        <v>2.7142857142857144</v>
      </c>
      <c r="J32" s="49">
        <f>'Avg Week KIKORONGO-BWERA'!J32+'Avg Week BWERA-KIKORONGO'!J32</f>
        <v>0.7142857142857143</v>
      </c>
      <c r="K32" s="49">
        <f>'Avg Week KIKORONGO-BWERA'!K32+'Avg Week BWERA-KIKORONGO'!K32</f>
        <v>0.14285714285714285</v>
      </c>
      <c r="L32" s="49">
        <f>'Avg Week KIKORONGO-BWERA'!L32+'Avg Week BWERA-KIKORONGO'!L32</f>
        <v>1</v>
      </c>
      <c r="M32" s="49">
        <f>'Avg Week KIKORONGO-BWERA'!M32+'Avg Week BWERA-KIKORONGO'!M32</f>
        <v>6.8571428571428577</v>
      </c>
      <c r="N32" s="49">
        <f>'Avg Week KIKORONGO-BWERA'!N32+'Avg Week BWERA-KIKORONGO'!N32</f>
        <v>0</v>
      </c>
      <c r="O32" s="15">
        <f t="shared" si="0"/>
        <v>22.000000000000004</v>
      </c>
      <c r="P32" s="15">
        <f t="shared" si="1"/>
        <v>28.857142857142861</v>
      </c>
      <c r="R32" s="1" t="s">
        <v>156</v>
      </c>
      <c r="S32" s="34">
        <f>SUM(C98:C101)</f>
        <v>10</v>
      </c>
      <c r="T32" s="34">
        <f t="shared" ref="T32:AF32" si="24">SUM(D98:D101)</f>
        <v>1.8</v>
      </c>
      <c r="U32" s="34">
        <f t="shared" si="24"/>
        <v>2.2000000000000002</v>
      </c>
      <c r="V32" s="34">
        <f t="shared" si="24"/>
        <v>1</v>
      </c>
      <c r="W32" s="34">
        <f t="shared" si="24"/>
        <v>0</v>
      </c>
      <c r="X32" s="34">
        <f t="shared" si="24"/>
        <v>2.5</v>
      </c>
      <c r="Y32" s="34">
        <f t="shared" si="24"/>
        <v>4.5</v>
      </c>
      <c r="Z32" s="34">
        <f t="shared" si="24"/>
        <v>1.5</v>
      </c>
      <c r="AA32" s="34">
        <f t="shared" si="24"/>
        <v>0</v>
      </c>
      <c r="AB32" s="34">
        <f t="shared" si="24"/>
        <v>4</v>
      </c>
      <c r="AC32" s="34">
        <f t="shared" si="24"/>
        <v>2.5</v>
      </c>
      <c r="AD32" s="34">
        <f t="shared" si="24"/>
        <v>0</v>
      </c>
      <c r="AE32" s="31">
        <f t="shared" si="24"/>
        <v>27.5</v>
      </c>
      <c r="AF32" s="31">
        <f t="shared" si="24"/>
        <v>30</v>
      </c>
    </row>
    <row r="33" spans="2:32" ht="23.1" customHeight="1" x14ac:dyDescent="0.25">
      <c r="B33" s="23" t="s">
        <v>60</v>
      </c>
      <c r="C33" s="49">
        <f>'Avg Week KIKORONGO-BWERA'!C33+'Avg Week BWERA-KIKORONGO'!C33</f>
        <v>9.4285714285714288</v>
      </c>
      <c r="D33" s="49">
        <f>0.45*('Avg Week KIKORONGO-BWERA'!E33+'Avg Week BWERA-KIKORONGO'!E33)</f>
        <v>1.9928571428571431</v>
      </c>
      <c r="E33" s="49">
        <f>0.55*('Avg Week KIKORONGO-BWERA'!E33+'Avg Week BWERA-KIKORONGO'!E33)</f>
        <v>2.4357142857142859</v>
      </c>
      <c r="F33" s="49">
        <f>'Avg Week KIKORONGO-BWERA'!F33+'Avg Week BWERA-KIKORONGO'!F33</f>
        <v>4.4285714285714288</v>
      </c>
      <c r="G33" s="49">
        <f>'Avg Week KIKORONGO-BWERA'!G33+'Avg Week BWERA-KIKORONGO'!G33</f>
        <v>0</v>
      </c>
      <c r="H33" s="49">
        <f>'Avg Week KIKORONGO-BWERA'!H33+'Avg Week BWERA-KIKORONGO'!H33</f>
        <v>0.42857142857142855</v>
      </c>
      <c r="I33" s="49">
        <f>'Avg Week KIKORONGO-BWERA'!I33+'Avg Week BWERA-KIKORONGO'!I33</f>
        <v>1.5714285714285714</v>
      </c>
      <c r="J33" s="49">
        <f>'Avg Week KIKORONGO-BWERA'!J33+'Avg Week BWERA-KIKORONGO'!J33</f>
        <v>0.42857142857142855</v>
      </c>
      <c r="K33" s="49">
        <f>'Avg Week KIKORONGO-BWERA'!K33+'Avg Week BWERA-KIKORONGO'!K33</f>
        <v>0.42857142857142855</v>
      </c>
      <c r="L33" s="49">
        <f>'Avg Week KIKORONGO-BWERA'!L33+'Avg Week BWERA-KIKORONGO'!L33</f>
        <v>0.5714285714285714</v>
      </c>
      <c r="M33" s="49">
        <f>'Avg Week KIKORONGO-BWERA'!M33+'Avg Week BWERA-KIKORONGO'!M33</f>
        <v>5.8571428571428577</v>
      </c>
      <c r="N33" s="49">
        <f>'Avg Week KIKORONGO-BWERA'!N33+'Avg Week BWERA-KIKORONGO'!N33</f>
        <v>0</v>
      </c>
      <c r="O33" s="15">
        <f t="shared" si="0"/>
        <v>21.714285714285712</v>
      </c>
      <c r="P33" s="15">
        <f t="shared" si="1"/>
        <v>27.571428571428569</v>
      </c>
      <c r="R33" s="1" t="s">
        <v>157</v>
      </c>
      <c r="S33" s="34">
        <f>SUM(C102:C105)</f>
        <v>12.5</v>
      </c>
      <c r="T33" s="34">
        <f t="shared" ref="T33:AF33" si="25">SUM(D102:D105)</f>
        <v>2.7</v>
      </c>
      <c r="U33" s="34">
        <f t="shared" si="25"/>
        <v>3.3</v>
      </c>
      <c r="V33" s="34">
        <f t="shared" si="25"/>
        <v>9</v>
      </c>
      <c r="W33" s="34">
        <f t="shared" si="25"/>
        <v>0</v>
      </c>
      <c r="X33" s="34">
        <f t="shared" si="25"/>
        <v>2.5</v>
      </c>
      <c r="Y33" s="34">
        <f t="shared" si="25"/>
        <v>7.5</v>
      </c>
      <c r="Z33" s="34">
        <f t="shared" si="25"/>
        <v>1.5</v>
      </c>
      <c r="AA33" s="34">
        <f t="shared" si="25"/>
        <v>0</v>
      </c>
      <c r="AB33" s="34">
        <f t="shared" si="25"/>
        <v>4</v>
      </c>
      <c r="AC33" s="34">
        <f t="shared" si="25"/>
        <v>17.766559917751184</v>
      </c>
      <c r="AD33" s="34">
        <f t="shared" si="25"/>
        <v>0</v>
      </c>
      <c r="AE33" s="31">
        <f t="shared" si="25"/>
        <v>43</v>
      </c>
      <c r="AF33" s="31">
        <f t="shared" si="25"/>
        <v>60.766559917751181</v>
      </c>
    </row>
    <row r="34" spans="2:32" ht="23.1" customHeight="1" x14ac:dyDescent="0.25">
      <c r="B34" s="24" t="s">
        <v>61</v>
      </c>
      <c r="C34" s="49">
        <f>'Avg Week KIKORONGO-BWERA'!C34+'Avg Week BWERA-KIKORONGO'!C34</f>
        <v>9.7142857142857135</v>
      </c>
      <c r="D34" s="49">
        <f>0.45*('Avg Week KIKORONGO-BWERA'!E34+'Avg Week BWERA-KIKORONGO'!E34)</f>
        <v>2.378571428571429</v>
      </c>
      <c r="E34" s="49">
        <f>0.55*('Avg Week KIKORONGO-BWERA'!E34+'Avg Week BWERA-KIKORONGO'!E34)</f>
        <v>2.9071428571428579</v>
      </c>
      <c r="F34" s="49">
        <f>'Avg Week KIKORONGO-BWERA'!F34+'Avg Week BWERA-KIKORONGO'!F34</f>
        <v>5.8571428571428577</v>
      </c>
      <c r="G34" s="49">
        <f>'Avg Week KIKORONGO-BWERA'!G34+'Avg Week BWERA-KIKORONGO'!G34</f>
        <v>0</v>
      </c>
      <c r="H34" s="49">
        <f>'Avg Week KIKORONGO-BWERA'!H34+'Avg Week BWERA-KIKORONGO'!H34</f>
        <v>0.42857142857142855</v>
      </c>
      <c r="I34" s="49">
        <f>'Avg Week KIKORONGO-BWERA'!I34+'Avg Week BWERA-KIKORONGO'!I34</f>
        <v>2.1428571428571428</v>
      </c>
      <c r="J34" s="49">
        <f>'Avg Week KIKORONGO-BWERA'!J34+'Avg Week BWERA-KIKORONGO'!J34</f>
        <v>0.42857142857142855</v>
      </c>
      <c r="K34" s="49">
        <f>'Avg Week KIKORONGO-BWERA'!K34+'Avg Week BWERA-KIKORONGO'!K34</f>
        <v>0.42857142857142855</v>
      </c>
      <c r="L34" s="49">
        <f>'Avg Week KIKORONGO-BWERA'!L34+'Avg Week BWERA-KIKORONGO'!L34</f>
        <v>0.5714285714285714</v>
      </c>
      <c r="M34" s="49">
        <f>'Avg Week KIKORONGO-BWERA'!M34+'Avg Week BWERA-KIKORONGO'!M34</f>
        <v>6.7142857142857135</v>
      </c>
      <c r="N34" s="49">
        <f>'Avg Week KIKORONGO-BWERA'!N34+'Avg Week BWERA-KIKORONGO'!N34</f>
        <v>0</v>
      </c>
      <c r="O34" s="15">
        <f t="shared" si="0"/>
        <v>24.857142857142854</v>
      </c>
      <c r="P34" s="15">
        <f t="shared" si="1"/>
        <v>31.571428571428569</v>
      </c>
      <c r="R34" s="38" t="s">
        <v>90</v>
      </c>
      <c r="S34" s="39">
        <f t="shared" ref="S34:AF34" si="26">MAX(S10:S12)</f>
        <v>34.857142857142861</v>
      </c>
      <c r="T34" s="39">
        <f t="shared" si="26"/>
        <v>9.2571428571428562</v>
      </c>
      <c r="U34" s="39">
        <f t="shared" si="26"/>
        <v>11.314285714285715</v>
      </c>
      <c r="V34" s="39">
        <f t="shared" si="26"/>
        <v>18.285714285714285</v>
      </c>
      <c r="W34" s="39">
        <f t="shared" si="26"/>
        <v>0.5714285714285714</v>
      </c>
      <c r="X34" s="39">
        <f t="shared" si="26"/>
        <v>3</v>
      </c>
      <c r="Y34" s="39">
        <f t="shared" si="26"/>
        <v>10</v>
      </c>
      <c r="Z34" s="39">
        <f t="shared" si="26"/>
        <v>2.1428571428571428</v>
      </c>
      <c r="AA34" s="39">
        <f t="shared" si="26"/>
        <v>1.1428571428571428</v>
      </c>
      <c r="AB34" s="39">
        <f t="shared" si="26"/>
        <v>4.2857142857142865</v>
      </c>
      <c r="AC34" s="39">
        <f t="shared" si="26"/>
        <v>33.714285714285715</v>
      </c>
      <c r="AD34" s="39">
        <f t="shared" si="26"/>
        <v>0.14285714285714285</v>
      </c>
      <c r="AE34" s="40">
        <f t="shared" si="26"/>
        <v>90.285714285714278</v>
      </c>
      <c r="AF34" s="40">
        <f t="shared" si="26"/>
        <v>119.42857142857142</v>
      </c>
    </row>
    <row r="35" spans="2:32" ht="23.1" customHeight="1" x14ac:dyDescent="0.25">
      <c r="B35" s="24" t="s">
        <v>62</v>
      </c>
      <c r="C35" s="49">
        <f>'Avg Week KIKORONGO-BWERA'!C35+'Avg Week BWERA-KIKORONGO'!C35</f>
        <v>10.857142857142858</v>
      </c>
      <c r="D35" s="49">
        <f>0.45*('Avg Week KIKORONGO-BWERA'!E35+'Avg Week BWERA-KIKORONGO'!E35)</f>
        <v>1.6714285714285715</v>
      </c>
      <c r="E35" s="49">
        <f>0.55*('Avg Week KIKORONGO-BWERA'!E35+'Avg Week BWERA-KIKORONGO'!E35)</f>
        <v>2.0428571428571431</v>
      </c>
      <c r="F35" s="49">
        <f>'Avg Week KIKORONGO-BWERA'!F35+'Avg Week BWERA-KIKORONGO'!F35</f>
        <v>5.1428571428571432</v>
      </c>
      <c r="G35" s="49">
        <f>'Avg Week KIKORONGO-BWERA'!G35+'Avg Week BWERA-KIKORONGO'!G35</f>
        <v>0</v>
      </c>
      <c r="H35" s="49">
        <f>'Avg Week KIKORONGO-BWERA'!H35+'Avg Week BWERA-KIKORONGO'!H35</f>
        <v>1</v>
      </c>
      <c r="I35" s="49">
        <f>'Avg Week KIKORONGO-BWERA'!I35+'Avg Week BWERA-KIKORONGO'!I35</f>
        <v>2.1428571428571428</v>
      </c>
      <c r="J35" s="49">
        <f>'Avg Week KIKORONGO-BWERA'!J35+'Avg Week BWERA-KIKORONGO'!J35</f>
        <v>0.71428571428571419</v>
      </c>
      <c r="K35" s="49">
        <f>'Avg Week KIKORONGO-BWERA'!K35+'Avg Week BWERA-KIKORONGO'!K35</f>
        <v>0</v>
      </c>
      <c r="L35" s="49">
        <f>'Avg Week KIKORONGO-BWERA'!L35+'Avg Week BWERA-KIKORONGO'!L35</f>
        <v>1.4285714285714286</v>
      </c>
      <c r="M35" s="49">
        <f>'Avg Week KIKORONGO-BWERA'!M35+'Avg Week BWERA-KIKORONGO'!M35</f>
        <v>8</v>
      </c>
      <c r="N35" s="49">
        <f>'Avg Week KIKORONGO-BWERA'!N35+'Avg Week BWERA-KIKORONGO'!N35</f>
        <v>0</v>
      </c>
      <c r="O35" s="15">
        <f t="shared" si="0"/>
        <v>25</v>
      </c>
      <c r="P35" s="15">
        <f t="shared" si="1"/>
        <v>33</v>
      </c>
      <c r="R35" s="38" t="s">
        <v>91</v>
      </c>
      <c r="S35" s="39">
        <f t="shared" ref="S35:AF35" si="27">MAX(S13:S18)</f>
        <v>40.285714285714285</v>
      </c>
      <c r="T35" s="39">
        <f t="shared" si="27"/>
        <v>8.4857142857142858</v>
      </c>
      <c r="U35" s="39">
        <f t="shared" si="27"/>
        <v>10.371428571428572</v>
      </c>
      <c r="V35" s="39">
        <f t="shared" si="27"/>
        <v>23.142857142857142</v>
      </c>
      <c r="W35" s="39">
        <f t="shared" si="27"/>
        <v>0.71428571428571419</v>
      </c>
      <c r="X35" s="39">
        <f t="shared" si="27"/>
        <v>2.5714285714285712</v>
      </c>
      <c r="Y35" s="39">
        <f t="shared" si="27"/>
        <v>10.285714285714285</v>
      </c>
      <c r="Z35" s="39">
        <f t="shared" si="27"/>
        <v>3.4285714285714284</v>
      </c>
      <c r="AA35" s="39">
        <f t="shared" si="27"/>
        <v>1.4285714285714284</v>
      </c>
      <c r="AB35" s="39">
        <f t="shared" si="27"/>
        <v>4.2857142857142856</v>
      </c>
      <c r="AC35" s="39">
        <f t="shared" si="27"/>
        <v>32.285714285714285</v>
      </c>
      <c r="AD35" s="39">
        <f t="shared" si="27"/>
        <v>0.2857142857142857</v>
      </c>
      <c r="AE35" s="40">
        <f t="shared" si="27"/>
        <v>98.285714285714278</v>
      </c>
      <c r="AF35" s="40">
        <f t="shared" si="27"/>
        <v>129.28571428571428</v>
      </c>
    </row>
    <row r="36" spans="2:32" ht="23.1" customHeight="1" x14ac:dyDescent="0.25">
      <c r="B36" s="24" t="s">
        <v>63</v>
      </c>
      <c r="C36" s="49">
        <f>'Avg Week KIKORONGO-BWERA'!C36+'Avg Week BWERA-KIKORONGO'!C36</f>
        <v>11</v>
      </c>
      <c r="D36" s="49">
        <f>0.45*('Avg Week KIKORONGO-BWERA'!E36+'Avg Week BWERA-KIKORONGO'!E36)</f>
        <v>1.2214285714285715</v>
      </c>
      <c r="E36" s="49">
        <f>0.55*('Avg Week KIKORONGO-BWERA'!E36+'Avg Week BWERA-KIKORONGO'!E36)</f>
        <v>1.4928571428571431</v>
      </c>
      <c r="F36" s="49">
        <f>'Avg Week KIKORONGO-BWERA'!F36+'Avg Week BWERA-KIKORONGO'!F36</f>
        <v>5.2857142857142856</v>
      </c>
      <c r="G36" s="49">
        <f>'Avg Week KIKORONGO-BWERA'!G36+'Avg Week BWERA-KIKORONGO'!G36</f>
        <v>0.14285714285714285</v>
      </c>
      <c r="H36" s="49">
        <f>'Avg Week KIKORONGO-BWERA'!H36+'Avg Week BWERA-KIKORONGO'!H36</f>
        <v>0.42857142857142855</v>
      </c>
      <c r="I36" s="49">
        <f>'Avg Week KIKORONGO-BWERA'!I36+'Avg Week BWERA-KIKORONGO'!I36</f>
        <v>2.4285714285714288</v>
      </c>
      <c r="J36" s="49">
        <f>'Avg Week KIKORONGO-BWERA'!J36+'Avg Week BWERA-KIKORONGO'!J36</f>
        <v>1.1428571428571428</v>
      </c>
      <c r="K36" s="49">
        <f>'Avg Week KIKORONGO-BWERA'!K36+'Avg Week BWERA-KIKORONGO'!K36</f>
        <v>0</v>
      </c>
      <c r="L36" s="49">
        <f>'Avg Week KIKORONGO-BWERA'!L36+'Avg Week BWERA-KIKORONGO'!L36</f>
        <v>0.42857142857142855</v>
      </c>
      <c r="M36" s="49">
        <f>'Avg Week KIKORONGO-BWERA'!M36+'Avg Week BWERA-KIKORONGO'!M36</f>
        <v>10.142857142857142</v>
      </c>
      <c r="N36" s="49">
        <f>'Avg Week KIKORONGO-BWERA'!N36+'Avg Week BWERA-KIKORONGO'!N36</f>
        <v>0.14285714285714285</v>
      </c>
      <c r="O36" s="15">
        <f t="shared" si="0"/>
        <v>23.714285714285712</v>
      </c>
      <c r="P36" s="15">
        <f t="shared" si="1"/>
        <v>33.857142857142854</v>
      </c>
      <c r="R36" s="38" t="s">
        <v>92</v>
      </c>
      <c r="S36" s="39">
        <f t="shared" ref="S36:AF36" si="28">MAX(S19:S21)</f>
        <v>36</v>
      </c>
      <c r="T36" s="39">
        <f t="shared" si="28"/>
        <v>10.028571428571428</v>
      </c>
      <c r="U36" s="39">
        <f t="shared" si="28"/>
        <v>12.257142857142858</v>
      </c>
      <c r="V36" s="39">
        <f t="shared" si="28"/>
        <v>27.142857142857146</v>
      </c>
      <c r="W36" s="39">
        <f t="shared" si="28"/>
        <v>0.2857142857142857</v>
      </c>
      <c r="X36" s="39">
        <f t="shared" si="28"/>
        <v>1.9999999999999998</v>
      </c>
      <c r="Y36" s="39">
        <f t="shared" si="28"/>
        <v>10</v>
      </c>
      <c r="Z36" s="39">
        <f t="shared" si="28"/>
        <v>3.1428571428571428</v>
      </c>
      <c r="AA36" s="39">
        <f t="shared" si="28"/>
        <v>1</v>
      </c>
      <c r="AB36" s="39">
        <f t="shared" si="28"/>
        <v>6.8571428571428568</v>
      </c>
      <c r="AC36" s="39">
        <f t="shared" si="28"/>
        <v>28.857142857142861</v>
      </c>
      <c r="AD36" s="39">
        <f t="shared" si="28"/>
        <v>0.5714285714285714</v>
      </c>
      <c r="AE36" s="40">
        <f t="shared" si="28"/>
        <v>104.71428571428572</v>
      </c>
      <c r="AF36" s="40">
        <f t="shared" si="28"/>
        <v>133.57142857142858</v>
      </c>
    </row>
    <row r="37" spans="2:32" ht="23.1" customHeight="1" x14ac:dyDescent="0.25">
      <c r="B37" s="23" t="s">
        <v>64</v>
      </c>
      <c r="C37" s="49">
        <f>'Avg Week KIKORONGO-BWERA'!C37+'Avg Week BWERA-KIKORONGO'!C37</f>
        <v>8.7142857142857153</v>
      </c>
      <c r="D37" s="49">
        <f>0.45*('Avg Week KIKORONGO-BWERA'!E37+'Avg Week BWERA-KIKORONGO'!E37)</f>
        <v>2.6357142857142861</v>
      </c>
      <c r="E37" s="49">
        <f>0.55*('Avg Week KIKORONGO-BWERA'!E37+'Avg Week BWERA-KIKORONGO'!E37)</f>
        <v>3.221428571428572</v>
      </c>
      <c r="F37" s="49">
        <f>'Avg Week KIKORONGO-BWERA'!F37+'Avg Week BWERA-KIKORONGO'!F37</f>
        <v>5.7142857142857144</v>
      </c>
      <c r="G37" s="49">
        <f>'Avg Week KIKORONGO-BWERA'!G37+'Avg Week BWERA-KIKORONGO'!G37</f>
        <v>0.14285714285714285</v>
      </c>
      <c r="H37" s="49">
        <f>'Avg Week KIKORONGO-BWERA'!H37+'Avg Week BWERA-KIKORONGO'!H37</f>
        <v>0.71428571428571419</v>
      </c>
      <c r="I37" s="49">
        <f>'Avg Week KIKORONGO-BWERA'!I37+'Avg Week BWERA-KIKORONGO'!I37</f>
        <v>1.4285714285714284</v>
      </c>
      <c r="J37" s="49">
        <f>'Avg Week KIKORONGO-BWERA'!J37+'Avg Week BWERA-KIKORONGO'!J37</f>
        <v>0.5714285714285714</v>
      </c>
      <c r="K37" s="49">
        <f>'Avg Week KIKORONGO-BWERA'!K37+'Avg Week BWERA-KIKORONGO'!K37</f>
        <v>0.5714285714285714</v>
      </c>
      <c r="L37" s="49">
        <f>'Avg Week KIKORONGO-BWERA'!L37+'Avg Week BWERA-KIKORONGO'!L37</f>
        <v>0.8571428571428571</v>
      </c>
      <c r="M37" s="49">
        <f>'Avg Week KIKORONGO-BWERA'!M37+'Avg Week BWERA-KIKORONGO'!M37</f>
        <v>6.2857142857142856</v>
      </c>
      <c r="N37" s="49">
        <f>'Avg Week KIKORONGO-BWERA'!N37+'Avg Week BWERA-KIKORONGO'!N37</f>
        <v>0</v>
      </c>
      <c r="O37" s="15">
        <f t="shared" si="0"/>
        <v>24.571428571428577</v>
      </c>
      <c r="P37" s="15">
        <f t="shared" si="1"/>
        <v>30.857142857142861</v>
      </c>
      <c r="R37" s="37" t="s">
        <v>85</v>
      </c>
      <c r="S37" s="35">
        <f t="shared" ref="S37:AF37" si="29">SUM(S10:S12)</f>
        <v>90.142857142857139</v>
      </c>
      <c r="T37" s="16">
        <f t="shared" si="29"/>
        <v>21.471428571428572</v>
      </c>
      <c r="U37" s="16">
        <f t="shared" si="29"/>
        <v>26.242857142857144</v>
      </c>
      <c r="V37" s="16">
        <f t="shared" si="29"/>
        <v>47.857142857142854</v>
      </c>
      <c r="W37" s="16">
        <f t="shared" si="29"/>
        <v>0.71428571428571419</v>
      </c>
      <c r="X37" s="16">
        <f t="shared" si="29"/>
        <v>6.7142857142857135</v>
      </c>
      <c r="Y37" s="16">
        <f t="shared" si="29"/>
        <v>26</v>
      </c>
      <c r="Z37" s="16">
        <f t="shared" si="29"/>
        <v>5.8571428571428568</v>
      </c>
      <c r="AA37" s="16">
        <f t="shared" si="29"/>
        <v>1.714285714285714</v>
      </c>
      <c r="AB37" s="16">
        <f t="shared" si="29"/>
        <v>7.0000000000000009</v>
      </c>
      <c r="AC37" s="16">
        <f t="shared" si="29"/>
        <v>87.476190476190482</v>
      </c>
      <c r="AD37" s="16">
        <f t="shared" si="29"/>
        <v>0.14285714285714285</v>
      </c>
      <c r="AE37" s="32">
        <f t="shared" si="29"/>
        <v>233.85714285714286</v>
      </c>
      <c r="AF37" s="32">
        <f t="shared" si="29"/>
        <v>321.33333333333331</v>
      </c>
    </row>
    <row r="38" spans="2:32" ht="23.1" customHeight="1" x14ac:dyDescent="0.25">
      <c r="B38" s="24" t="s">
        <v>65</v>
      </c>
      <c r="C38" s="49">
        <f>'Avg Week KIKORONGO-BWERA'!C38+'Avg Week BWERA-KIKORONGO'!C38</f>
        <v>8.7142857142857135</v>
      </c>
      <c r="D38" s="49">
        <f>0.45*('Avg Week KIKORONGO-BWERA'!E38+'Avg Week BWERA-KIKORONGO'!E38)</f>
        <v>2.25</v>
      </c>
      <c r="E38" s="49">
        <f>0.55*('Avg Week KIKORONGO-BWERA'!E38+'Avg Week BWERA-KIKORONGO'!E38)</f>
        <v>2.75</v>
      </c>
      <c r="F38" s="49">
        <f>'Avg Week KIKORONGO-BWERA'!F38+'Avg Week BWERA-KIKORONGO'!F38</f>
        <v>6.1428571428571423</v>
      </c>
      <c r="G38" s="49">
        <f>'Avg Week KIKORONGO-BWERA'!G38+'Avg Week BWERA-KIKORONGO'!G38</f>
        <v>0</v>
      </c>
      <c r="H38" s="49">
        <f>'Avg Week KIKORONGO-BWERA'!H38+'Avg Week BWERA-KIKORONGO'!H38</f>
        <v>0.5714285714285714</v>
      </c>
      <c r="I38" s="49">
        <f>'Avg Week KIKORONGO-BWERA'!I38+'Avg Week BWERA-KIKORONGO'!I38</f>
        <v>1.4285714285714286</v>
      </c>
      <c r="J38" s="49">
        <f>'Avg Week KIKORONGO-BWERA'!J38+'Avg Week BWERA-KIKORONGO'!J38</f>
        <v>0.5714285714285714</v>
      </c>
      <c r="K38" s="49">
        <f>'Avg Week KIKORONGO-BWERA'!K38+'Avg Week BWERA-KIKORONGO'!K38</f>
        <v>0</v>
      </c>
      <c r="L38" s="49">
        <f>'Avg Week KIKORONGO-BWERA'!L38+'Avg Week BWERA-KIKORONGO'!L38</f>
        <v>0.8571428571428571</v>
      </c>
      <c r="M38" s="49">
        <f>'Avg Week KIKORONGO-BWERA'!M38+'Avg Week BWERA-KIKORONGO'!M38</f>
        <v>6.1428571428571432</v>
      </c>
      <c r="N38" s="49">
        <f>'Avg Week KIKORONGO-BWERA'!N38+'Avg Week BWERA-KIKORONGO'!N38</f>
        <v>0.14285714285714285</v>
      </c>
      <c r="O38" s="15">
        <f t="shared" si="0"/>
        <v>23.428571428571427</v>
      </c>
      <c r="P38" s="15">
        <f t="shared" si="1"/>
        <v>29.571428571428569</v>
      </c>
      <c r="R38" s="28" t="s">
        <v>86</v>
      </c>
      <c r="S38" s="16">
        <f t="shared" ref="S38:AF38" si="30">SUM(S13:S18)</f>
        <v>219.57142857142856</v>
      </c>
      <c r="T38" s="16">
        <f t="shared" si="30"/>
        <v>45.51428571428572</v>
      </c>
      <c r="U38" s="16">
        <f t="shared" si="30"/>
        <v>55.628571428571441</v>
      </c>
      <c r="V38" s="16">
        <f t="shared" si="30"/>
        <v>130.57142857142858</v>
      </c>
      <c r="W38" s="16">
        <f t="shared" si="30"/>
        <v>1.5714285714285712</v>
      </c>
      <c r="X38" s="16">
        <f t="shared" si="30"/>
        <v>7.8571428571428559</v>
      </c>
      <c r="Y38" s="16">
        <f t="shared" si="30"/>
        <v>49.428571428571423</v>
      </c>
      <c r="Z38" s="16">
        <f t="shared" si="30"/>
        <v>18</v>
      </c>
      <c r="AA38" s="16">
        <f t="shared" si="30"/>
        <v>5.8571428571428559</v>
      </c>
      <c r="AB38" s="16">
        <f t="shared" si="30"/>
        <v>21.857142857142854</v>
      </c>
      <c r="AC38" s="16">
        <f t="shared" si="30"/>
        <v>172.30952380952382</v>
      </c>
      <c r="AD38" s="16">
        <f t="shared" si="30"/>
        <v>0.5714285714285714</v>
      </c>
      <c r="AE38" s="32">
        <f t="shared" si="30"/>
        <v>556.42857142857133</v>
      </c>
      <c r="AF38" s="32">
        <f t="shared" si="30"/>
        <v>728.73809523809518</v>
      </c>
    </row>
    <row r="39" spans="2:32" ht="23.1" customHeight="1" x14ac:dyDescent="0.25">
      <c r="B39" s="24" t="s">
        <v>66</v>
      </c>
      <c r="C39" s="49">
        <f>'Avg Week KIKORONGO-BWERA'!C39+'Avg Week BWERA-KIKORONGO'!C39</f>
        <v>8.4285714285714288</v>
      </c>
      <c r="D39" s="49">
        <f>0.45*('Avg Week KIKORONGO-BWERA'!E39+'Avg Week BWERA-KIKORONGO'!E39)</f>
        <v>2.121428571428571</v>
      </c>
      <c r="E39" s="49">
        <f>0.55*('Avg Week KIKORONGO-BWERA'!E39+'Avg Week BWERA-KIKORONGO'!E39)</f>
        <v>2.5928571428571425</v>
      </c>
      <c r="F39" s="49">
        <f>'Avg Week KIKORONGO-BWERA'!F39+'Avg Week BWERA-KIKORONGO'!F39</f>
        <v>5.5714285714285712</v>
      </c>
      <c r="G39" s="49">
        <f>'Avg Week KIKORONGO-BWERA'!G39+'Avg Week BWERA-KIKORONGO'!G39</f>
        <v>0.14285714285714285</v>
      </c>
      <c r="H39" s="49">
        <f>'Avg Week KIKORONGO-BWERA'!H39+'Avg Week BWERA-KIKORONGO'!H39</f>
        <v>0.42857142857142855</v>
      </c>
      <c r="I39" s="49">
        <f>'Avg Week KIKORONGO-BWERA'!I39+'Avg Week BWERA-KIKORONGO'!I39</f>
        <v>1.4285714285714286</v>
      </c>
      <c r="J39" s="49">
        <f>'Avg Week KIKORONGO-BWERA'!J39+'Avg Week BWERA-KIKORONGO'!J39</f>
        <v>0.2857142857142857</v>
      </c>
      <c r="K39" s="49">
        <f>'Avg Week KIKORONGO-BWERA'!K39+'Avg Week BWERA-KIKORONGO'!K39</f>
        <v>0.2857142857142857</v>
      </c>
      <c r="L39" s="49">
        <f>'Avg Week KIKORONGO-BWERA'!L39+'Avg Week BWERA-KIKORONGO'!L39</f>
        <v>0.8571428571428571</v>
      </c>
      <c r="M39" s="49">
        <f>'Avg Week KIKORONGO-BWERA'!M39+'Avg Week BWERA-KIKORONGO'!M39</f>
        <v>7.4285714285714288</v>
      </c>
      <c r="N39" s="49">
        <f>'Avg Week KIKORONGO-BWERA'!N39+'Avg Week BWERA-KIKORONGO'!N39</f>
        <v>0</v>
      </c>
      <c r="O39" s="15">
        <f t="shared" si="0"/>
        <v>22.142857142857139</v>
      </c>
      <c r="P39" s="15">
        <f t="shared" si="1"/>
        <v>29.571428571428569</v>
      </c>
      <c r="R39" s="29" t="s">
        <v>87</v>
      </c>
      <c r="S39" s="16">
        <f t="shared" ref="S39:AF39" si="31">SUM(S19:S21)</f>
        <v>96.714285714285722</v>
      </c>
      <c r="T39" s="16">
        <f t="shared" si="31"/>
        <v>26.871428571428574</v>
      </c>
      <c r="U39" s="16">
        <f t="shared" si="31"/>
        <v>32.842857142857149</v>
      </c>
      <c r="V39" s="16">
        <f t="shared" si="31"/>
        <v>68.142857142857139</v>
      </c>
      <c r="W39" s="16">
        <f t="shared" si="31"/>
        <v>0.42857142857142855</v>
      </c>
      <c r="X39" s="16">
        <f t="shared" si="31"/>
        <v>4.5714285714285712</v>
      </c>
      <c r="Y39" s="16">
        <f t="shared" si="31"/>
        <v>27</v>
      </c>
      <c r="Z39" s="16">
        <f t="shared" si="31"/>
        <v>8.7142857142857153</v>
      </c>
      <c r="AA39" s="16">
        <f t="shared" si="31"/>
        <v>2.4285714285714284</v>
      </c>
      <c r="AB39" s="16">
        <f t="shared" si="31"/>
        <v>18.142857142857142</v>
      </c>
      <c r="AC39" s="16">
        <f t="shared" si="31"/>
        <v>78.857142857142861</v>
      </c>
      <c r="AD39" s="16">
        <f t="shared" si="31"/>
        <v>0.8571428571428571</v>
      </c>
      <c r="AE39" s="32">
        <f t="shared" si="31"/>
        <v>286.71428571428572</v>
      </c>
      <c r="AF39" s="32">
        <f t="shared" si="31"/>
        <v>365.57142857142856</v>
      </c>
    </row>
    <row r="40" spans="2:32" ht="23.1" customHeight="1" x14ac:dyDescent="0.25">
      <c r="B40" s="24" t="s">
        <v>67</v>
      </c>
      <c r="C40" s="49">
        <f>'Avg Week KIKORONGO-BWERA'!C40+'Avg Week BWERA-KIKORONGO'!C40</f>
        <v>7.5714285714285712</v>
      </c>
      <c r="D40" s="49">
        <f>0.45*('Avg Week KIKORONGO-BWERA'!E40+'Avg Week BWERA-KIKORONGO'!E40)</f>
        <v>1.6714285714285715</v>
      </c>
      <c r="E40" s="49">
        <f>0.55*('Avg Week KIKORONGO-BWERA'!E40+'Avg Week BWERA-KIKORONGO'!E40)</f>
        <v>2.0428571428571431</v>
      </c>
      <c r="F40" s="49">
        <f>'Avg Week KIKORONGO-BWERA'!F40+'Avg Week BWERA-KIKORONGO'!F40</f>
        <v>4.5714285714285712</v>
      </c>
      <c r="G40" s="49">
        <f>'Avg Week KIKORONGO-BWERA'!G40+'Avg Week BWERA-KIKORONGO'!G40</f>
        <v>0</v>
      </c>
      <c r="H40" s="49">
        <f>'Avg Week KIKORONGO-BWERA'!H40+'Avg Week BWERA-KIKORONGO'!H40</f>
        <v>0.42857142857142855</v>
      </c>
      <c r="I40" s="49">
        <f>'Avg Week KIKORONGO-BWERA'!I40+'Avg Week BWERA-KIKORONGO'!I40</f>
        <v>1.1428571428571428</v>
      </c>
      <c r="J40" s="49">
        <f>'Avg Week KIKORONGO-BWERA'!J40+'Avg Week BWERA-KIKORONGO'!J40</f>
        <v>0.71428571428571419</v>
      </c>
      <c r="K40" s="49">
        <f>'Avg Week KIKORONGO-BWERA'!K40+'Avg Week BWERA-KIKORONGO'!K40</f>
        <v>0.14285714285714285</v>
      </c>
      <c r="L40" s="49">
        <f>'Avg Week KIKORONGO-BWERA'!L40+'Avg Week BWERA-KIKORONGO'!L40</f>
        <v>0.85714285714285721</v>
      </c>
      <c r="M40" s="49">
        <f>'Avg Week KIKORONGO-BWERA'!M40+'Avg Week BWERA-KIKORONGO'!M40</f>
        <v>6.4285714285714288</v>
      </c>
      <c r="N40" s="49">
        <f>'Avg Week KIKORONGO-BWERA'!N40+'Avg Week BWERA-KIKORONGO'!N40</f>
        <v>0.14285714285714285</v>
      </c>
      <c r="O40" s="15">
        <f t="shared" si="0"/>
        <v>19.285714285714285</v>
      </c>
      <c r="P40" s="15">
        <f t="shared" si="1"/>
        <v>25.714285714285712</v>
      </c>
      <c r="R40" s="5" t="s">
        <v>17</v>
      </c>
      <c r="S40" s="16">
        <f t="shared" ref="S40:AF40" si="32">SUM(S10:S21)</f>
        <v>406.42857142857139</v>
      </c>
      <c r="T40" s="16">
        <f t="shared" si="32"/>
        <v>93.857142857142847</v>
      </c>
      <c r="U40" s="16">
        <f t="shared" si="32"/>
        <v>114.71428571428571</v>
      </c>
      <c r="V40" s="16">
        <f t="shared" si="32"/>
        <v>246.57142857142856</v>
      </c>
      <c r="W40" s="16">
        <f t="shared" si="32"/>
        <v>2.7142857142857135</v>
      </c>
      <c r="X40" s="16">
        <f t="shared" si="32"/>
        <v>19.142857142857142</v>
      </c>
      <c r="Y40" s="16">
        <f t="shared" si="32"/>
        <v>102.42857142857142</v>
      </c>
      <c r="Z40" s="16">
        <f t="shared" si="32"/>
        <v>32.571428571428569</v>
      </c>
      <c r="AA40" s="16">
        <f t="shared" si="32"/>
        <v>10</v>
      </c>
      <c r="AB40" s="16">
        <f t="shared" si="32"/>
        <v>47</v>
      </c>
      <c r="AC40" s="16">
        <f t="shared" si="32"/>
        <v>338.64285714285711</v>
      </c>
      <c r="AD40" s="16">
        <f t="shared" si="32"/>
        <v>1.5714285714285712</v>
      </c>
      <c r="AE40" s="32">
        <f t="shared" si="32"/>
        <v>1077</v>
      </c>
      <c r="AF40" s="32">
        <f t="shared" si="32"/>
        <v>1415.6428571428571</v>
      </c>
    </row>
    <row r="41" spans="2:32" ht="23.1" customHeight="1" x14ac:dyDescent="0.25">
      <c r="B41" s="23" t="s">
        <v>68</v>
      </c>
      <c r="C41" s="49">
        <f>'Avg Week KIKORONGO-BWERA'!C41+'Avg Week BWERA-KIKORONGO'!C41</f>
        <v>13.142857142857142</v>
      </c>
      <c r="D41" s="49">
        <f>0.45*('Avg Week KIKORONGO-BWERA'!E41+'Avg Week BWERA-KIKORONGO'!E41)</f>
        <v>2.378571428571429</v>
      </c>
      <c r="E41" s="49">
        <f>0.55*('Avg Week KIKORONGO-BWERA'!E41+'Avg Week BWERA-KIKORONGO'!E41)</f>
        <v>2.9071428571428579</v>
      </c>
      <c r="F41" s="49">
        <f>'Avg Week KIKORONGO-BWERA'!F41+'Avg Week BWERA-KIKORONGO'!F41</f>
        <v>6.1428571428571423</v>
      </c>
      <c r="G41" s="49">
        <f>'Avg Week KIKORONGO-BWERA'!G41+'Avg Week BWERA-KIKORONGO'!G41</f>
        <v>0.14285714285714285</v>
      </c>
      <c r="H41" s="49">
        <f>'Avg Week KIKORONGO-BWERA'!H41+'Avg Week BWERA-KIKORONGO'!H41</f>
        <v>0.14285714285714285</v>
      </c>
      <c r="I41" s="49">
        <f>'Avg Week KIKORONGO-BWERA'!I41+'Avg Week BWERA-KIKORONGO'!I41</f>
        <v>3.1428571428571428</v>
      </c>
      <c r="J41" s="49">
        <f>'Avg Week KIKORONGO-BWERA'!J41+'Avg Week BWERA-KIKORONGO'!J41</f>
        <v>1.1428571428571428</v>
      </c>
      <c r="K41" s="49">
        <f>'Avg Week KIKORONGO-BWERA'!K41+'Avg Week BWERA-KIKORONGO'!K41</f>
        <v>0.2857142857142857</v>
      </c>
      <c r="L41" s="49">
        <f>'Avg Week KIKORONGO-BWERA'!L41+'Avg Week BWERA-KIKORONGO'!L41</f>
        <v>0.8571428571428571</v>
      </c>
      <c r="M41" s="49">
        <f>'Avg Week KIKORONGO-BWERA'!M41+'Avg Week BWERA-KIKORONGO'!M41</f>
        <v>8.1428571428571423</v>
      </c>
      <c r="N41" s="49">
        <f>'Avg Week KIKORONGO-BWERA'!N41+'Avg Week BWERA-KIKORONGO'!N41</f>
        <v>0</v>
      </c>
      <c r="O41" s="15">
        <f t="shared" si="0"/>
        <v>30.285714285714285</v>
      </c>
      <c r="P41" s="15">
        <f t="shared" si="1"/>
        <v>38.428571428571431</v>
      </c>
      <c r="R41" s="5" t="s">
        <v>172</v>
      </c>
      <c r="S41" s="52">
        <f>SUM(S10:S33)</f>
        <v>549.42857142857133</v>
      </c>
      <c r="T41" s="52">
        <f t="shared" ref="T41:AD41" si="33">SUM(T10:T33)</f>
        <v>119.28214285714284</v>
      </c>
      <c r="U41" s="52">
        <f t="shared" si="33"/>
        <v>145.78928571428571</v>
      </c>
      <c r="V41" s="52">
        <f t="shared" si="33"/>
        <v>341.57142857142856</v>
      </c>
      <c r="W41" s="52">
        <f t="shared" si="33"/>
        <v>2.7142857142857135</v>
      </c>
      <c r="X41" s="52">
        <f t="shared" si="33"/>
        <v>37.642857142857139</v>
      </c>
      <c r="Y41" s="52">
        <f t="shared" si="33"/>
        <v>156.92857142857142</v>
      </c>
      <c r="Z41" s="52">
        <f t="shared" si="33"/>
        <v>43.571428571428569</v>
      </c>
      <c r="AA41" s="52">
        <f t="shared" si="33"/>
        <v>10</v>
      </c>
      <c r="AB41" s="52">
        <f t="shared" si="33"/>
        <v>89</v>
      </c>
      <c r="AC41" s="52">
        <f t="shared" si="33"/>
        <v>420.40941706060829</v>
      </c>
      <c r="AD41" s="52">
        <f t="shared" si="33"/>
        <v>2.0714285714285712</v>
      </c>
      <c r="AE41" s="53">
        <f>SUM(AE10:AE33)</f>
        <v>1498</v>
      </c>
      <c r="AF41" s="53">
        <f>SUM(AF10:AF33)</f>
        <v>1918.4094170606083</v>
      </c>
    </row>
    <row r="42" spans="2:32" ht="23.1" customHeight="1" x14ac:dyDescent="0.25">
      <c r="B42" s="24" t="s">
        <v>69</v>
      </c>
      <c r="C42" s="49">
        <f>'Avg Week KIKORONGO-BWERA'!C42+'Avg Week BWERA-KIKORONGO'!C42</f>
        <v>9</v>
      </c>
      <c r="D42" s="49">
        <f>0.45*('Avg Week KIKORONGO-BWERA'!E42+'Avg Week BWERA-KIKORONGO'!E42)</f>
        <v>1.5428571428571429</v>
      </c>
      <c r="E42" s="49">
        <f>0.55*('Avg Week KIKORONGO-BWERA'!E42+'Avg Week BWERA-KIKORONGO'!E42)</f>
        <v>1.8857142857142859</v>
      </c>
      <c r="F42" s="49">
        <f>'Avg Week KIKORONGO-BWERA'!F42+'Avg Week BWERA-KIKORONGO'!F42</f>
        <v>5.8571428571428577</v>
      </c>
      <c r="G42" s="49">
        <f>'Avg Week KIKORONGO-BWERA'!G42+'Avg Week BWERA-KIKORONGO'!G42</f>
        <v>0.14285714285714285</v>
      </c>
      <c r="H42" s="49">
        <f>'Avg Week KIKORONGO-BWERA'!H42+'Avg Week BWERA-KIKORONGO'!H42</f>
        <v>0.14285714285714285</v>
      </c>
      <c r="I42" s="49">
        <f>'Avg Week KIKORONGO-BWERA'!I42+'Avg Week BWERA-KIKORONGO'!I42</f>
        <v>2</v>
      </c>
      <c r="J42" s="49">
        <f>'Avg Week KIKORONGO-BWERA'!J42+'Avg Week BWERA-KIKORONGO'!J42</f>
        <v>0.8571428571428571</v>
      </c>
      <c r="K42" s="49">
        <f>'Avg Week KIKORONGO-BWERA'!K42+'Avg Week BWERA-KIKORONGO'!K42</f>
        <v>0.71428571428571419</v>
      </c>
      <c r="L42" s="49">
        <f>'Avg Week KIKORONGO-BWERA'!L42+'Avg Week BWERA-KIKORONGO'!L42</f>
        <v>1</v>
      </c>
      <c r="M42" s="49">
        <f>'Avg Week KIKORONGO-BWERA'!M42+'Avg Week BWERA-KIKORONGO'!M42</f>
        <v>5.7142857142857144</v>
      </c>
      <c r="N42" s="49">
        <f>'Avg Week KIKORONGO-BWERA'!N42+'Avg Week BWERA-KIKORONGO'!N42</f>
        <v>0</v>
      </c>
      <c r="O42" s="15">
        <f t="shared" si="0"/>
        <v>23.142857142857142</v>
      </c>
      <c r="P42" s="15">
        <f t="shared" si="1"/>
        <v>28.857142857142858</v>
      </c>
      <c r="R42" s="5" t="s">
        <v>160</v>
      </c>
      <c r="S42" s="48">
        <f>S41/S40</f>
        <v>1.3518453427065025</v>
      </c>
      <c r="T42" s="48">
        <f t="shared" ref="T42:AF42" si="34">T41/T40</f>
        <v>1.2708904109589041</v>
      </c>
      <c r="U42" s="48">
        <f t="shared" si="34"/>
        <v>1.2708904109589041</v>
      </c>
      <c r="V42" s="48">
        <f t="shared" si="34"/>
        <v>1.3852838933951332</v>
      </c>
      <c r="W42" s="48">
        <f t="shared" si="34"/>
        <v>1</v>
      </c>
      <c r="X42" s="48">
        <f t="shared" si="34"/>
        <v>1.966417910447761</v>
      </c>
      <c r="Y42" s="48">
        <f t="shared" si="34"/>
        <v>1.5320781032078103</v>
      </c>
      <c r="Z42" s="48">
        <f t="shared" si="34"/>
        <v>1.3377192982456141</v>
      </c>
      <c r="AA42" s="48">
        <f t="shared" si="34"/>
        <v>1</v>
      </c>
      <c r="AB42" s="48">
        <f t="shared" si="34"/>
        <v>1.8936170212765957</v>
      </c>
      <c r="AC42" s="48">
        <f t="shared" si="34"/>
        <v>1.2414536677596533</v>
      </c>
      <c r="AD42" s="48">
        <f t="shared" si="34"/>
        <v>1.3181818181818183</v>
      </c>
      <c r="AE42" s="51">
        <f t="shared" si="34"/>
        <v>1.3909006499535748</v>
      </c>
      <c r="AF42" s="51">
        <f t="shared" si="34"/>
        <v>1.355150705830189</v>
      </c>
    </row>
    <row r="43" spans="2:32" ht="23.1" customHeight="1" x14ac:dyDescent="0.25">
      <c r="B43" s="23" t="s">
        <v>70</v>
      </c>
      <c r="C43" s="49">
        <f>'Avg Week KIKORONGO-BWERA'!C43+'Avg Week BWERA-KIKORONGO'!C43</f>
        <v>10.142857142857142</v>
      </c>
      <c r="D43" s="49">
        <f>0.45*('Avg Week KIKORONGO-BWERA'!E43+'Avg Week BWERA-KIKORONGO'!E43)</f>
        <v>1.4142857142857144</v>
      </c>
      <c r="E43" s="49">
        <f>0.55*('Avg Week KIKORONGO-BWERA'!E43+'Avg Week BWERA-KIKORONGO'!E43)</f>
        <v>1.7285714285714286</v>
      </c>
      <c r="F43" s="49">
        <f>'Avg Week KIKORONGO-BWERA'!F43+'Avg Week BWERA-KIKORONGO'!F43</f>
        <v>5.2857142857142856</v>
      </c>
      <c r="G43" s="49">
        <f>'Avg Week KIKORONGO-BWERA'!G43+'Avg Week BWERA-KIKORONGO'!G43</f>
        <v>0</v>
      </c>
      <c r="H43" s="49">
        <f>'Avg Week KIKORONGO-BWERA'!H43+'Avg Week BWERA-KIKORONGO'!H43</f>
        <v>0.7142857142857143</v>
      </c>
      <c r="I43" s="49">
        <f>'Avg Week KIKORONGO-BWERA'!I43+'Avg Week BWERA-KIKORONGO'!I43</f>
        <v>2.7142857142857144</v>
      </c>
      <c r="J43" s="49">
        <f>'Avg Week KIKORONGO-BWERA'!J43+'Avg Week BWERA-KIKORONGO'!J43</f>
        <v>1.1428571428571428</v>
      </c>
      <c r="K43" s="49">
        <f>'Avg Week KIKORONGO-BWERA'!K43+'Avg Week BWERA-KIKORONGO'!K43</f>
        <v>0.42857142857142855</v>
      </c>
      <c r="L43" s="49">
        <f>'Avg Week KIKORONGO-BWERA'!L43+'Avg Week BWERA-KIKORONGO'!L43</f>
        <v>0.7142857142857143</v>
      </c>
      <c r="M43" s="49">
        <f>'Avg Week KIKORONGO-BWERA'!M43+'Avg Week BWERA-KIKORONGO'!M43</f>
        <v>6.7380952380952381</v>
      </c>
      <c r="N43" s="49">
        <f>'Avg Week KIKORONGO-BWERA'!N43+'Avg Week BWERA-KIKORONGO'!N43</f>
        <v>0</v>
      </c>
      <c r="O43" s="15">
        <f t="shared" si="0"/>
        <v>24.285714285714285</v>
      </c>
      <c r="P43" s="15">
        <f t="shared" si="1"/>
        <v>31.023809523809522</v>
      </c>
    </row>
    <row r="44" spans="2:32" ht="23.1" customHeight="1" x14ac:dyDescent="0.25">
      <c r="B44" s="25" t="s">
        <v>71</v>
      </c>
      <c r="C44" s="49">
        <f>'Avg Week KIKORONGO-BWERA'!C44+'Avg Week BWERA-KIKORONGO'!C44</f>
        <v>9.7142857142857153</v>
      </c>
      <c r="D44" s="49">
        <f>0.45*('Avg Week KIKORONGO-BWERA'!E44+'Avg Week BWERA-KIKORONGO'!E44)</f>
        <v>2.25</v>
      </c>
      <c r="E44" s="49">
        <f>0.55*('Avg Week KIKORONGO-BWERA'!E44+'Avg Week BWERA-KIKORONGO'!E44)</f>
        <v>2.75</v>
      </c>
      <c r="F44" s="49">
        <f>'Avg Week KIKORONGO-BWERA'!F44+'Avg Week BWERA-KIKORONGO'!F44</f>
        <v>5</v>
      </c>
      <c r="G44" s="49">
        <f>'Avg Week KIKORONGO-BWERA'!G44+'Avg Week BWERA-KIKORONGO'!G44</f>
        <v>0</v>
      </c>
      <c r="H44" s="49">
        <f>'Avg Week KIKORONGO-BWERA'!H44+'Avg Week BWERA-KIKORONGO'!H44</f>
        <v>0</v>
      </c>
      <c r="I44" s="49">
        <f>'Avg Week KIKORONGO-BWERA'!I44+'Avg Week BWERA-KIKORONGO'!I44</f>
        <v>3</v>
      </c>
      <c r="J44" s="49">
        <f>'Avg Week KIKORONGO-BWERA'!J44+'Avg Week BWERA-KIKORONGO'!J44</f>
        <v>1.2857142857142858</v>
      </c>
      <c r="K44" s="49">
        <f>'Avg Week KIKORONGO-BWERA'!K44+'Avg Week BWERA-KIKORONGO'!K44</f>
        <v>0.2857142857142857</v>
      </c>
      <c r="L44" s="49">
        <f>'Avg Week KIKORONGO-BWERA'!L44+'Avg Week BWERA-KIKORONGO'!L44</f>
        <v>0.8571428571428571</v>
      </c>
      <c r="M44" s="49">
        <f>'Avg Week KIKORONGO-BWERA'!M44+'Avg Week BWERA-KIKORONGO'!M44</f>
        <v>8.5714285714285712</v>
      </c>
      <c r="N44" s="49">
        <f>'Avg Week KIKORONGO-BWERA'!N44+'Avg Week BWERA-KIKORONGO'!N44</f>
        <v>0</v>
      </c>
      <c r="O44" s="15">
        <f t="shared" si="0"/>
        <v>25.142857142857142</v>
      </c>
      <c r="P44" s="15">
        <f t="shared" si="1"/>
        <v>33.714285714285715</v>
      </c>
    </row>
    <row r="45" spans="2:32" ht="23.1" customHeight="1" x14ac:dyDescent="0.25">
      <c r="B45" s="23" t="s">
        <v>72</v>
      </c>
      <c r="C45" s="49">
        <f>'Avg Week KIKORONGO-BWERA'!C45+'Avg Week BWERA-KIKORONGO'!C45</f>
        <v>6.7142857142857135</v>
      </c>
      <c r="D45" s="49">
        <f>0.45*('Avg Week KIKORONGO-BWERA'!E45+'Avg Week BWERA-KIKORONGO'!E45)</f>
        <v>3.2785714285714285</v>
      </c>
      <c r="E45" s="49">
        <f>0.55*('Avg Week KIKORONGO-BWERA'!E45+'Avg Week BWERA-KIKORONGO'!E45)</f>
        <v>4.0071428571428571</v>
      </c>
      <c r="F45" s="49">
        <f>'Avg Week KIKORONGO-BWERA'!F45+'Avg Week BWERA-KIKORONGO'!F45</f>
        <v>7</v>
      </c>
      <c r="G45" s="49">
        <f>'Avg Week KIKORONGO-BWERA'!G45+'Avg Week BWERA-KIKORONGO'!G45</f>
        <v>0</v>
      </c>
      <c r="H45" s="49">
        <f>'Avg Week KIKORONGO-BWERA'!H45+'Avg Week BWERA-KIKORONGO'!H45</f>
        <v>0.2857142857142857</v>
      </c>
      <c r="I45" s="49">
        <f>'Avg Week KIKORONGO-BWERA'!I45+'Avg Week BWERA-KIKORONGO'!I45</f>
        <v>2.5714285714285712</v>
      </c>
      <c r="J45" s="49">
        <f>'Avg Week KIKORONGO-BWERA'!J45+'Avg Week BWERA-KIKORONGO'!J45</f>
        <v>0.14285714285714285</v>
      </c>
      <c r="K45" s="49">
        <f>'Avg Week KIKORONGO-BWERA'!K45+'Avg Week BWERA-KIKORONGO'!K45</f>
        <v>0</v>
      </c>
      <c r="L45" s="49">
        <f>'Avg Week KIKORONGO-BWERA'!L45+'Avg Week BWERA-KIKORONGO'!L45</f>
        <v>1.7142857142857142</v>
      </c>
      <c r="M45" s="49">
        <f>'Avg Week KIKORONGO-BWERA'!M45+'Avg Week BWERA-KIKORONGO'!M45</f>
        <v>5.4285714285714288</v>
      </c>
      <c r="N45" s="49">
        <f>'Avg Week KIKORONGO-BWERA'!N45+'Avg Week BWERA-KIKORONGO'!N45</f>
        <v>0</v>
      </c>
      <c r="O45" s="15">
        <f t="shared" si="0"/>
        <v>25.714285714285712</v>
      </c>
      <c r="P45" s="15">
        <f t="shared" si="1"/>
        <v>31.142857142857139</v>
      </c>
    </row>
    <row r="46" spans="2:32" ht="23.1" customHeight="1" x14ac:dyDescent="0.25">
      <c r="B46" s="24" t="s">
        <v>73</v>
      </c>
      <c r="C46" s="49">
        <f>'Avg Week KIKORONGO-BWERA'!C46+'Avg Week BWERA-KIKORONGO'!C46</f>
        <v>9.2857142857142865</v>
      </c>
      <c r="D46" s="49">
        <f>0.45*('Avg Week KIKORONGO-BWERA'!E46+'Avg Week BWERA-KIKORONGO'!E46)</f>
        <v>2.0571428571428569</v>
      </c>
      <c r="E46" s="49">
        <f>0.55*('Avg Week KIKORONGO-BWERA'!E46+'Avg Week BWERA-KIKORONGO'!E46)</f>
        <v>2.5142857142857142</v>
      </c>
      <c r="F46" s="49">
        <f>'Avg Week KIKORONGO-BWERA'!F46+'Avg Week BWERA-KIKORONGO'!F46</f>
        <v>4.8571428571428568</v>
      </c>
      <c r="G46" s="49">
        <f>'Avg Week KIKORONGO-BWERA'!G46+'Avg Week BWERA-KIKORONGO'!G46</f>
        <v>0</v>
      </c>
      <c r="H46" s="49">
        <f>'Avg Week KIKORONGO-BWERA'!H46+'Avg Week BWERA-KIKORONGO'!H46</f>
        <v>0.42857142857142855</v>
      </c>
      <c r="I46" s="49">
        <f>'Avg Week KIKORONGO-BWERA'!I46+'Avg Week BWERA-KIKORONGO'!I46</f>
        <v>3.4285714285714288</v>
      </c>
      <c r="J46" s="49">
        <f>'Avg Week KIKORONGO-BWERA'!J46+'Avg Week BWERA-KIKORONGO'!J46</f>
        <v>1.2857142857142856</v>
      </c>
      <c r="K46" s="49">
        <f>'Avg Week KIKORONGO-BWERA'!K46+'Avg Week BWERA-KIKORONGO'!K46</f>
        <v>0.2857142857142857</v>
      </c>
      <c r="L46" s="49">
        <f>'Avg Week KIKORONGO-BWERA'!L46+'Avg Week BWERA-KIKORONGO'!L46</f>
        <v>1.4285714285714286</v>
      </c>
      <c r="M46" s="49">
        <f>'Avg Week KIKORONGO-BWERA'!M46+'Avg Week BWERA-KIKORONGO'!M46</f>
        <v>5.4285714285714288</v>
      </c>
      <c r="N46" s="49">
        <f>'Avg Week KIKORONGO-BWERA'!N46+'Avg Week BWERA-KIKORONGO'!N46</f>
        <v>0</v>
      </c>
      <c r="O46" s="15">
        <f t="shared" si="0"/>
        <v>25.571428571428566</v>
      </c>
      <c r="P46" s="15">
        <f t="shared" si="1"/>
        <v>30.999999999999993</v>
      </c>
      <c r="R46" s="8"/>
      <c r="T46"/>
    </row>
    <row r="47" spans="2:32" ht="23.1" customHeight="1" x14ac:dyDescent="0.25">
      <c r="B47" s="24" t="s">
        <v>74</v>
      </c>
      <c r="C47" s="49">
        <f>'Avg Week KIKORONGO-BWERA'!C47+'Avg Week BWERA-KIKORONGO'!C47</f>
        <v>8.1428571428571423</v>
      </c>
      <c r="D47" s="49">
        <f>0.45*('Avg Week KIKORONGO-BWERA'!E47+'Avg Week BWERA-KIKORONGO'!E47)</f>
        <v>1.9928571428571431</v>
      </c>
      <c r="E47" s="49">
        <f>0.55*('Avg Week KIKORONGO-BWERA'!E47+'Avg Week BWERA-KIKORONGO'!E47)</f>
        <v>2.4357142857142859</v>
      </c>
      <c r="F47" s="49">
        <f>'Avg Week KIKORONGO-BWERA'!F47+'Avg Week BWERA-KIKORONGO'!F47</f>
        <v>5</v>
      </c>
      <c r="G47" s="49">
        <f>'Avg Week KIKORONGO-BWERA'!G47+'Avg Week BWERA-KIKORONGO'!G47</f>
        <v>0</v>
      </c>
      <c r="H47" s="49">
        <f>'Avg Week KIKORONGO-BWERA'!H47+'Avg Week BWERA-KIKORONGO'!H47</f>
        <v>0.2857142857142857</v>
      </c>
      <c r="I47" s="49">
        <f>'Avg Week KIKORONGO-BWERA'!I47+'Avg Week BWERA-KIKORONGO'!I47</f>
        <v>1.1428571428571428</v>
      </c>
      <c r="J47" s="49">
        <f>'Avg Week KIKORONGO-BWERA'!J47+'Avg Week BWERA-KIKORONGO'!J47</f>
        <v>0.42857142857142855</v>
      </c>
      <c r="K47" s="49">
        <f>'Avg Week KIKORONGO-BWERA'!K47+'Avg Week BWERA-KIKORONGO'!K47</f>
        <v>0.14285714285714285</v>
      </c>
      <c r="L47" s="49">
        <f>'Avg Week KIKORONGO-BWERA'!L47+'Avg Week BWERA-KIKORONGO'!L47</f>
        <v>1.2857142857142856</v>
      </c>
      <c r="M47" s="49">
        <f>'Avg Week KIKORONGO-BWERA'!M47+'Avg Week BWERA-KIKORONGO'!M47</f>
        <v>6.8571428571428577</v>
      </c>
      <c r="N47" s="49">
        <f>'Avg Week KIKORONGO-BWERA'!N47+'Avg Week BWERA-KIKORONGO'!N47</f>
        <v>0</v>
      </c>
      <c r="O47" s="15">
        <f t="shared" si="0"/>
        <v>20.857142857142854</v>
      </c>
      <c r="P47" s="15">
        <f t="shared" si="1"/>
        <v>27.714285714285712</v>
      </c>
      <c r="R47" s="8"/>
      <c r="T47"/>
    </row>
    <row r="48" spans="2:32" ht="23.1" customHeight="1" x14ac:dyDescent="0.25">
      <c r="B48" s="24" t="s">
        <v>75</v>
      </c>
      <c r="C48" s="49">
        <f>'Avg Week KIKORONGO-BWERA'!C48+'Avg Week BWERA-KIKORONGO'!C48</f>
        <v>8.8571428571428577</v>
      </c>
      <c r="D48" s="49">
        <f>0.45*('Avg Week KIKORONGO-BWERA'!E48+'Avg Week BWERA-KIKORONGO'!E48)</f>
        <v>2.3785714285714286</v>
      </c>
      <c r="E48" s="49">
        <f>0.55*('Avg Week KIKORONGO-BWERA'!E48+'Avg Week BWERA-KIKORONGO'!E48)</f>
        <v>2.9071428571428575</v>
      </c>
      <c r="F48" s="49">
        <f>'Avg Week KIKORONGO-BWERA'!F48+'Avg Week BWERA-KIKORONGO'!F48</f>
        <v>5.8571428571428577</v>
      </c>
      <c r="G48" s="49">
        <f>'Avg Week KIKORONGO-BWERA'!G48+'Avg Week BWERA-KIKORONGO'!G48</f>
        <v>0.14285714285714285</v>
      </c>
      <c r="H48" s="49">
        <f>'Avg Week KIKORONGO-BWERA'!H48+'Avg Week BWERA-KIKORONGO'!H48</f>
        <v>0.71428571428571419</v>
      </c>
      <c r="I48" s="49">
        <f>'Avg Week KIKORONGO-BWERA'!I48+'Avg Week BWERA-KIKORONGO'!I48</f>
        <v>2.2857142857142856</v>
      </c>
      <c r="J48" s="49">
        <f>'Avg Week KIKORONGO-BWERA'!J48+'Avg Week BWERA-KIKORONGO'!J48</f>
        <v>0.42857142857142855</v>
      </c>
      <c r="K48" s="49">
        <f>'Avg Week KIKORONGO-BWERA'!K48+'Avg Week BWERA-KIKORONGO'!K48</f>
        <v>0.14285714285714285</v>
      </c>
      <c r="L48" s="49">
        <f>'Avg Week KIKORONGO-BWERA'!L48+'Avg Week BWERA-KIKORONGO'!L48</f>
        <v>1.2857142857142856</v>
      </c>
      <c r="M48" s="49">
        <f>'Avg Week KIKORONGO-BWERA'!M48+'Avg Week BWERA-KIKORONGO'!M48</f>
        <v>6</v>
      </c>
      <c r="N48" s="49">
        <f>'Avg Week KIKORONGO-BWERA'!N48+'Avg Week BWERA-KIKORONGO'!N48</f>
        <v>0</v>
      </c>
      <c r="O48" s="15">
        <f t="shared" si="0"/>
        <v>24.999999999999996</v>
      </c>
      <c r="P48" s="15">
        <f t="shared" si="1"/>
        <v>30.999999999999996</v>
      </c>
      <c r="R48" s="8"/>
      <c r="T48"/>
    </row>
    <row r="49" spans="2:20" ht="23.1" customHeight="1" x14ac:dyDescent="0.25">
      <c r="B49" s="23" t="s">
        <v>76</v>
      </c>
      <c r="C49" s="49">
        <f>'Avg Week KIKORONGO-BWERA'!C49+'Avg Week BWERA-KIKORONGO'!C49</f>
        <v>9.4285714285714288</v>
      </c>
      <c r="D49" s="49">
        <f>0.45*('Avg Week KIKORONGO-BWERA'!E49+'Avg Week BWERA-KIKORONGO'!E49)</f>
        <v>2.7</v>
      </c>
      <c r="E49" s="49">
        <f>0.55*('Avg Week KIKORONGO-BWERA'!E49+'Avg Week BWERA-KIKORONGO'!E49)</f>
        <v>3.3000000000000003</v>
      </c>
      <c r="F49" s="49">
        <f>'Avg Week KIKORONGO-BWERA'!F49+'Avg Week BWERA-KIKORONGO'!F49</f>
        <v>6.1428571428571423</v>
      </c>
      <c r="G49" s="49">
        <f>'Avg Week KIKORONGO-BWERA'!G49+'Avg Week BWERA-KIKORONGO'!G49</f>
        <v>0</v>
      </c>
      <c r="H49" s="49">
        <f>'Avg Week KIKORONGO-BWERA'!H49+'Avg Week BWERA-KIKORONGO'!H49</f>
        <v>0.42857142857142855</v>
      </c>
      <c r="I49" s="49">
        <f>'Avg Week KIKORONGO-BWERA'!I49+'Avg Week BWERA-KIKORONGO'!I49</f>
        <v>3.1428571428571428</v>
      </c>
      <c r="J49" s="49">
        <f>'Avg Week KIKORONGO-BWERA'!J49+'Avg Week BWERA-KIKORONGO'!J49</f>
        <v>1</v>
      </c>
      <c r="K49" s="49">
        <f>'Avg Week KIKORONGO-BWERA'!K49+'Avg Week BWERA-KIKORONGO'!K49</f>
        <v>0.42857142857142855</v>
      </c>
      <c r="L49" s="49">
        <f>'Avg Week KIKORONGO-BWERA'!L49+'Avg Week BWERA-KIKORONGO'!L49</f>
        <v>1.1428571428571428</v>
      </c>
      <c r="M49" s="49">
        <f>'Avg Week KIKORONGO-BWERA'!M49+'Avg Week BWERA-KIKORONGO'!M49</f>
        <v>7.2857142857142865</v>
      </c>
      <c r="N49" s="49">
        <f>'Avg Week KIKORONGO-BWERA'!N49+'Avg Week BWERA-KIKORONGO'!N49</f>
        <v>0.2857142857142857</v>
      </c>
      <c r="O49" s="15">
        <f t="shared" si="0"/>
        <v>27.999999999999996</v>
      </c>
      <c r="P49" s="15">
        <f t="shared" si="1"/>
        <v>35.285714285714285</v>
      </c>
      <c r="R49" s="8"/>
      <c r="T49"/>
    </row>
    <row r="50" spans="2:20" ht="23.1" customHeight="1" x14ac:dyDescent="0.25">
      <c r="B50" s="24" t="s">
        <v>77</v>
      </c>
      <c r="C50" s="49">
        <f>'Avg Week KIKORONGO-BWERA'!C50+'Avg Week BWERA-KIKORONGO'!C50</f>
        <v>9.2857142857142847</v>
      </c>
      <c r="D50" s="49">
        <f>0.45*('Avg Week KIKORONGO-BWERA'!E50+'Avg Week BWERA-KIKORONGO'!E50)</f>
        <v>2.9571428571428573</v>
      </c>
      <c r="E50" s="49">
        <f>0.55*('Avg Week KIKORONGO-BWERA'!E50+'Avg Week BWERA-KIKORONGO'!E50)</f>
        <v>3.6142857142857143</v>
      </c>
      <c r="F50" s="49">
        <f>'Avg Week KIKORONGO-BWERA'!F50+'Avg Week BWERA-KIKORONGO'!F50</f>
        <v>7.7142857142857144</v>
      </c>
      <c r="G50" s="49">
        <f>'Avg Week KIKORONGO-BWERA'!G50+'Avg Week BWERA-KIKORONGO'!G50</f>
        <v>0</v>
      </c>
      <c r="H50" s="49">
        <f>'Avg Week KIKORONGO-BWERA'!H50+'Avg Week BWERA-KIKORONGO'!H50</f>
        <v>0.8571428571428571</v>
      </c>
      <c r="I50" s="49">
        <f>'Avg Week KIKORONGO-BWERA'!I50+'Avg Week BWERA-KIKORONGO'!I50</f>
        <v>1.1428571428571428</v>
      </c>
      <c r="J50" s="49">
        <f>'Avg Week KIKORONGO-BWERA'!J50+'Avg Week BWERA-KIKORONGO'!J50</f>
        <v>1</v>
      </c>
      <c r="K50" s="49">
        <f>'Avg Week KIKORONGO-BWERA'!K50+'Avg Week BWERA-KIKORONGO'!K50</f>
        <v>0.14285714285714285</v>
      </c>
      <c r="L50" s="49">
        <f>'Avg Week KIKORONGO-BWERA'!L50+'Avg Week BWERA-KIKORONGO'!L50</f>
        <v>1.8571428571428572</v>
      </c>
      <c r="M50" s="49">
        <f>'Avg Week KIKORONGO-BWERA'!M50+'Avg Week BWERA-KIKORONGO'!M50</f>
        <v>8.4285714285714288</v>
      </c>
      <c r="N50" s="49">
        <f>'Avg Week KIKORONGO-BWERA'!N50+'Avg Week BWERA-KIKORONGO'!N50</f>
        <v>0</v>
      </c>
      <c r="O50" s="15">
        <f t="shared" si="0"/>
        <v>28.571428571428569</v>
      </c>
      <c r="P50" s="15">
        <f t="shared" si="1"/>
        <v>37</v>
      </c>
      <c r="R50" s="8"/>
      <c r="T50"/>
    </row>
    <row r="51" spans="2:20" ht="23.1" customHeight="1" x14ac:dyDescent="0.25">
      <c r="B51" s="24" t="s">
        <v>78</v>
      </c>
      <c r="C51" s="49">
        <f>'Avg Week KIKORONGO-BWERA'!C51+'Avg Week BWERA-KIKORONGO'!C51</f>
        <v>8.2857142857142865</v>
      </c>
      <c r="D51" s="49">
        <f>0.45*('Avg Week KIKORONGO-BWERA'!E51+'Avg Week BWERA-KIKORONGO'!E51)</f>
        <v>2.5714285714285716</v>
      </c>
      <c r="E51" s="49">
        <f>0.55*('Avg Week KIKORONGO-BWERA'!E51+'Avg Week BWERA-KIKORONGO'!E51)</f>
        <v>3.1428571428571432</v>
      </c>
      <c r="F51" s="49">
        <f>'Avg Week KIKORONGO-BWERA'!F51+'Avg Week BWERA-KIKORONGO'!F51</f>
        <v>7.1428571428571432</v>
      </c>
      <c r="G51" s="49">
        <f>'Avg Week KIKORONGO-BWERA'!G51+'Avg Week BWERA-KIKORONGO'!G51</f>
        <v>0</v>
      </c>
      <c r="H51" s="49">
        <f>'Avg Week KIKORONGO-BWERA'!H51+'Avg Week BWERA-KIKORONGO'!H51</f>
        <v>0.42857142857142855</v>
      </c>
      <c r="I51" s="49">
        <f>'Avg Week KIKORONGO-BWERA'!I51+'Avg Week BWERA-KIKORONGO'!I51</f>
        <v>1.8571428571428572</v>
      </c>
      <c r="J51" s="49">
        <f>'Avg Week KIKORONGO-BWERA'!J51+'Avg Week BWERA-KIKORONGO'!J51</f>
        <v>0.5714285714285714</v>
      </c>
      <c r="K51" s="49">
        <f>'Avg Week KIKORONGO-BWERA'!K51+'Avg Week BWERA-KIKORONGO'!K51</f>
        <v>0.14285714285714285</v>
      </c>
      <c r="L51" s="49">
        <f>'Avg Week KIKORONGO-BWERA'!L51+'Avg Week BWERA-KIKORONGO'!L51</f>
        <v>1.2857142857142856</v>
      </c>
      <c r="M51" s="49">
        <f>'Avg Week KIKORONGO-BWERA'!M51+'Avg Week BWERA-KIKORONGO'!M51</f>
        <v>9</v>
      </c>
      <c r="N51" s="49">
        <f>'Avg Week KIKORONGO-BWERA'!N51+'Avg Week BWERA-KIKORONGO'!N51</f>
        <v>0</v>
      </c>
      <c r="O51" s="15">
        <f t="shared" si="0"/>
        <v>25.428571428571427</v>
      </c>
      <c r="P51" s="15">
        <f t="shared" si="1"/>
        <v>34.428571428571431</v>
      </c>
      <c r="R51" s="8"/>
      <c r="T51"/>
    </row>
    <row r="52" spans="2:20" ht="23.1" customHeight="1" x14ac:dyDescent="0.25">
      <c r="B52" s="24" t="s">
        <v>79</v>
      </c>
      <c r="C52" s="49">
        <f>'Avg Week KIKORONGO-BWERA'!C52+'Avg Week BWERA-KIKORONGO'!C52</f>
        <v>9.5714285714285712</v>
      </c>
      <c r="D52" s="49">
        <f>0.45*('Avg Week KIKORONGO-BWERA'!E52+'Avg Week BWERA-KIKORONGO'!E52)</f>
        <v>2.8285714285714287</v>
      </c>
      <c r="E52" s="49">
        <f>0.55*('Avg Week KIKORONGO-BWERA'!E52+'Avg Week BWERA-KIKORONGO'!E52)</f>
        <v>3.4571428571428573</v>
      </c>
      <c r="F52" s="49">
        <f>'Avg Week KIKORONGO-BWERA'!F52+'Avg Week BWERA-KIKORONGO'!F52</f>
        <v>6.5714285714285712</v>
      </c>
      <c r="G52" s="49">
        <f>'Avg Week KIKORONGO-BWERA'!G52+'Avg Week BWERA-KIKORONGO'!G52</f>
        <v>0</v>
      </c>
      <c r="H52" s="49">
        <f>'Avg Week KIKORONGO-BWERA'!H52+'Avg Week BWERA-KIKORONGO'!H52</f>
        <v>0.5714285714285714</v>
      </c>
      <c r="I52" s="49">
        <f>'Avg Week KIKORONGO-BWERA'!I52+'Avg Week BWERA-KIKORONGO'!I52</f>
        <v>2.2857142857142856</v>
      </c>
      <c r="J52" s="49">
        <f>'Avg Week KIKORONGO-BWERA'!J52+'Avg Week BWERA-KIKORONGO'!J52</f>
        <v>1.1428571428571428</v>
      </c>
      <c r="K52" s="49">
        <f>'Avg Week KIKORONGO-BWERA'!K52+'Avg Week BWERA-KIKORONGO'!K52</f>
        <v>0.14285714285714285</v>
      </c>
      <c r="L52" s="49">
        <f>'Avg Week KIKORONGO-BWERA'!L52+'Avg Week BWERA-KIKORONGO'!L52</f>
        <v>1.7142857142857144</v>
      </c>
      <c r="M52" s="49">
        <f>'Avg Week KIKORONGO-BWERA'!M52+'Avg Week BWERA-KIKORONGO'!M52</f>
        <v>6</v>
      </c>
      <c r="N52" s="49">
        <f>'Avg Week KIKORONGO-BWERA'!N52+'Avg Week BWERA-KIKORONGO'!N52</f>
        <v>0</v>
      </c>
      <c r="O52" s="15">
        <f t="shared" si="0"/>
        <v>28.285714285714288</v>
      </c>
      <c r="P52" s="15">
        <f t="shared" si="1"/>
        <v>34.285714285714292</v>
      </c>
      <c r="R52" s="8"/>
      <c r="T52"/>
    </row>
    <row r="53" spans="2:20" ht="23.1" customHeight="1" x14ac:dyDescent="0.25">
      <c r="B53" s="23" t="s">
        <v>80</v>
      </c>
      <c r="C53" s="49">
        <f>'Avg Week KIKORONGO-BWERA'!C53+'Avg Week BWERA-KIKORONGO'!C53</f>
        <v>8.8571428571428577</v>
      </c>
      <c r="D53" s="49">
        <f>0.45*('Avg Week KIKORONGO-BWERA'!E53+'Avg Week BWERA-KIKORONGO'!E53)</f>
        <v>1.6714285714285715</v>
      </c>
      <c r="E53" s="49">
        <f>0.55*('Avg Week KIKORONGO-BWERA'!E53+'Avg Week BWERA-KIKORONGO'!E53)</f>
        <v>2.0428571428571431</v>
      </c>
      <c r="F53" s="49">
        <f>'Avg Week KIKORONGO-BWERA'!F53+'Avg Week BWERA-KIKORONGO'!F53</f>
        <v>5.7142857142857135</v>
      </c>
      <c r="G53" s="49">
        <f>'Avg Week KIKORONGO-BWERA'!G53+'Avg Week BWERA-KIKORONGO'!G53</f>
        <v>0</v>
      </c>
      <c r="H53" s="49">
        <f>'Avg Week KIKORONGO-BWERA'!H53+'Avg Week BWERA-KIKORONGO'!H53</f>
        <v>0.14285714285714285</v>
      </c>
      <c r="I53" s="49">
        <f>'Avg Week KIKORONGO-BWERA'!I53+'Avg Week BWERA-KIKORONGO'!I53</f>
        <v>2.4285714285714284</v>
      </c>
      <c r="J53" s="49">
        <f>'Avg Week KIKORONGO-BWERA'!J53+'Avg Week BWERA-KIKORONGO'!J53</f>
        <v>0.14285714285714285</v>
      </c>
      <c r="K53" s="49">
        <f>'Avg Week KIKORONGO-BWERA'!K53+'Avg Week BWERA-KIKORONGO'!K53</f>
        <v>0.14285714285714285</v>
      </c>
      <c r="L53" s="49">
        <f>'Avg Week KIKORONGO-BWERA'!L53+'Avg Week BWERA-KIKORONGO'!L53</f>
        <v>1.2857142857142856</v>
      </c>
      <c r="M53" s="49">
        <f>'Avg Week KIKORONGO-BWERA'!M53+'Avg Week BWERA-KIKORONGO'!M53</f>
        <v>5.4285714285714288</v>
      </c>
      <c r="N53" s="49">
        <f>'Avg Week KIKORONGO-BWERA'!N53+'Avg Week BWERA-KIKORONGO'!N53</f>
        <v>0</v>
      </c>
      <c r="O53" s="15">
        <f t="shared" si="0"/>
        <v>22.428571428571423</v>
      </c>
      <c r="P53" s="15">
        <f t="shared" si="1"/>
        <v>27.857142857142854</v>
      </c>
      <c r="R53" s="8"/>
      <c r="T53"/>
    </row>
    <row r="54" spans="2:20" ht="23.1" customHeight="1" x14ac:dyDescent="0.25">
      <c r="B54" s="23" t="s">
        <v>81</v>
      </c>
      <c r="C54" s="49">
        <f>'Avg Week KIKORONGO-BWERA'!C54+'Avg Week BWERA-KIKORONGO'!C54</f>
        <v>5.8571428571428577</v>
      </c>
      <c r="D54" s="49">
        <f>0.45*('Avg Week KIKORONGO-BWERA'!E54+'Avg Week BWERA-KIKORONGO'!E54)</f>
        <v>1.8</v>
      </c>
      <c r="E54" s="49">
        <f>0.55*('Avg Week KIKORONGO-BWERA'!E54+'Avg Week BWERA-KIKORONGO'!E54)</f>
        <v>2.2000000000000002</v>
      </c>
      <c r="F54" s="49">
        <f>'Avg Week KIKORONGO-BWERA'!F54+'Avg Week BWERA-KIKORONGO'!F54</f>
        <v>6.2857142857142856</v>
      </c>
      <c r="G54" s="49">
        <f>'Avg Week KIKORONGO-BWERA'!G54+'Avg Week BWERA-KIKORONGO'!G54</f>
        <v>0</v>
      </c>
      <c r="H54" s="49">
        <f>'Avg Week KIKORONGO-BWERA'!H54+'Avg Week BWERA-KIKORONGO'!H54</f>
        <v>0</v>
      </c>
      <c r="I54" s="49">
        <f>'Avg Week KIKORONGO-BWERA'!I54+'Avg Week BWERA-KIKORONGO'!I54</f>
        <v>2.7142857142857144</v>
      </c>
      <c r="J54" s="49">
        <f>'Avg Week KIKORONGO-BWERA'!J54+'Avg Week BWERA-KIKORONGO'!J54</f>
        <v>1</v>
      </c>
      <c r="K54" s="49">
        <f>'Avg Week KIKORONGO-BWERA'!K54+'Avg Week BWERA-KIKORONGO'!K54</f>
        <v>0.2857142857142857</v>
      </c>
      <c r="L54" s="49">
        <f>'Avg Week KIKORONGO-BWERA'!L54+'Avg Week BWERA-KIKORONGO'!L54</f>
        <v>1.2857142857142856</v>
      </c>
      <c r="M54" s="49">
        <f>'Avg Week KIKORONGO-BWERA'!M54+'Avg Week BWERA-KIKORONGO'!M54</f>
        <v>7</v>
      </c>
      <c r="N54" s="49">
        <f>'Avg Week KIKORONGO-BWERA'!N54+'Avg Week BWERA-KIKORONGO'!N54</f>
        <v>0.42857142857142855</v>
      </c>
      <c r="O54" s="15">
        <f t="shared" si="0"/>
        <v>21.857142857142854</v>
      </c>
      <c r="P54" s="15">
        <f t="shared" si="1"/>
        <v>28.857142857142854</v>
      </c>
      <c r="R54" s="8"/>
      <c r="T54"/>
    </row>
    <row r="55" spans="2:20" ht="23.1" customHeight="1" x14ac:dyDescent="0.25">
      <c r="B55" s="23" t="s">
        <v>82</v>
      </c>
      <c r="C55" s="49">
        <f>'Avg Week KIKORONGO-BWERA'!C55+'Avg Week BWERA-KIKORONGO'!C55</f>
        <v>7.1428571428571432</v>
      </c>
      <c r="D55" s="49">
        <f>0.45*('Avg Week KIKORONGO-BWERA'!E55+'Avg Week BWERA-KIKORONGO'!E55)</f>
        <v>2.4428571428571431</v>
      </c>
      <c r="E55" s="49">
        <f>0.55*('Avg Week KIKORONGO-BWERA'!E55+'Avg Week BWERA-KIKORONGO'!E55)</f>
        <v>2.9857142857142862</v>
      </c>
      <c r="F55" s="49">
        <f>'Avg Week KIKORONGO-BWERA'!F55+'Avg Week BWERA-KIKORONGO'!F55</f>
        <v>5.5714285714285712</v>
      </c>
      <c r="G55" s="49">
        <f>'Avg Week KIKORONGO-BWERA'!G55+'Avg Week BWERA-KIKORONGO'!G55</f>
        <v>0</v>
      </c>
      <c r="H55" s="49">
        <f>'Avg Week KIKORONGO-BWERA'!H55+'Avg Week BWERA-KIKORONGO'!H55</f>
        <v>0.14285714285714285</v>
      </c>
      <c r="I55" s="49">
        <f>'Avg Week KIKORONGO-BWERA'!I55+'Avg Week BWERA-KIKORONGO'!I55</f>
        <v>2.2857142857142856</v>
      </c>
      <c r="J55" s="49">
        <f>'Avg Week KIKORONGO-BWERA'!J55+'Avg Week BWERA-KIKORONGO'!J55</f>
        <v>0.42857142857142855</v>
      </c>
      <c r="K55" s="49">
        <f>'Avg Week KIKORONGO-BWERA'!K55+'Avg Week BWERA-KIKORONGO'!K55</f>
        <v>0</v>
      </c>
      <c r="L55" s="49">
        <f>'Avg Week KIKORONGO-BWERA'!L55+'Avg Week BWERA-KIKORONGO'!L55</f>
        <v>1.2857142857142856</v>
      </c>
      <c r="M55" s="49">
        <f>'Avg Week KIKORONGO-BWERA'!M55+'Avg Week BWERA-KIKORONGO'!M55</f>
        <v>7</v>
      </c>
      <c r="N55" s="49">
        <f>'Avg Week KIKORONGO-BWERA'!N55+'Avg Week BWERA-KIKORONGO'!N55</f>
        <v>0</v>
      </c>
      <c r="O55" s="15">
        <f t="shared" si="0"/>
        <v>22.285714285714281</v>
      </c>
      <c r="P55" s="15">
        <f t="shared" si="1"/>
        <v>29.285714285714281</v>
      </c>
      <c r="R55" s="8"/>
      <c r="T55"/>
    </row>
    <row r="56" spans="2:20" ht="23.1" customHeight="1" x14ac:dyDescent="0.25">
      <c r="B56" s="23" t="s">
        <v>83</v>
      </c>
      <c r="C56" s="49">
        <f>'Avg Week KIKORONGO-BWERA'!C56+'Avg Week BWERA-KIKORONGO'!C56</f>
        <v>6</v>
      </c>
      <c r="D56" s="49">
        <f>0.45*('Avg Week KIKORONGO-BWERA'!E56+'Avg Week BWERA-KIKORONGO'!E56)</f>
        <v>1.7357142857142855</v>
      </c>
      <c r="E56" s="49">
        <f>0.55*('Avg Week KIKORONGO-BWERA'!E56+'Avg Week BWERA-KIKORONGO'!E56)</f>
        <v>2.1214285714285714</v>
      </c>
      <c r="F56" s="49">
        <f>'Avg Week KIKORONGO-BWERA'!F56+'Avg Week BWERA-KIKORONGO'!F56</f>
        <v>3.4285714285714284</v>
      </c>
      <c r="G56" s="49">
        <f>'Avg Week KIKORONGO-BWERA'!G56+'Avg Week BWERA-KIKORONGO'!G56</f>
        <v>0</v>
      </c>
      <c r="H56" s="49">
        <f>'Avg Week KIKORONGO-BWERA'!H56+'Avg Week BWERA-KIKORONGO'!H56</f>
        <v>0.2857142857142857</v>
      </c>
      <c r="I56" s="49">
        <f>'Avg Week KIKORONGO-BWERA'!I56+'Avg Week BWERA-KIKORONGO'!I56</f>
        <v>2</v>
      </c>
      <c r="J56" s="49">
        <f>'Avg Week KIKORONGO-BWERA'!J56+'Avg Week BWERA-KIKORONGO'!J56</f>
        <v>0</v>
      </c>
      <c r="K56" s="49">
        <f>'Avg Week KIKORONGO-BWERA'!K56+'Avg Week BWERA-KIKORONGO'!K56</f>
        <v>0.2857142857142857</v>
      </c>
      <c r="L56" s="49">
        <f>'Avg Week KIKORONGO-BWERA'!L56+'Avg Week BWERA-KIKORONGO'!L56</f>
        <v>2</v>
      </c>
      <c r="M56" s="49">
        <f>'Avg Week KIKORONGO-BWERA'!M56+'Avg Week BWERA-KIKORONGO'!M56</f>
        <v>5.7142857142857144</v>
      </c>
      <c r="N56" s="49">
        <f>'Avg Week KIKORONGO-BWERA'!N56+'Avg Week BWERA-KIKORONGO'!N56</f>
        <v>0</v>
      </c>
      <c r="O56" s="15">
        <f t="shared" si="0"/>
        <v>17.857142857142861</v>
      </c>
      <c r="P56" s="15">
        <f t="shared" si="1"/>
        <v>23.571428571428577</v>
      </c>
      <c r="R56" s="8"/>
      <c r="T56"/>
    </row>
    <row r="57" spans="2:20" ht="23.1" customHeight="1" x14ac:dyDescent="0.25">
      <c r="B57" s="23" t="s">
        <v>84</v>
      </c>
      <c r="C57" s="49">
        <f>'Avg Week KIKORONGO-BWERA'!C57+'Avg Week BWERA-KIKORONGO'!C57</f>
        <v>6</v>
      </c>
      <c r="D57" s="49">
        <f>0.45*('Avg Week KIKORONGO-BWERA'!E57+'Avg Week BWERA-KIKORONGO'!E57)</f>
        <v>1.7357142857142855</v>
      </c>
      <c r="E57" s="49">
        <f>0.55*('Avg Week KIKORONGO-BWERA'!E57+'Avg Week BWERA-KIKORONGO'!E57)</f>
        <v>2.1214285714285714</v>
      </c>
      <c r="F57" s="49">
        <f>'Avg Week KIKORONGO-BWERA'!F57+'Avg Week BWERA-KIKORONGO'!F57</f>
        <v>3.8571428571428577</v>
      </c>
      <c r="G57" s="49">
        <f>'Avg Week KIKORONGO-BWERA'!G57+'Avg Week BWERA-KIKORONGO'!G57</f>
        <v>0.2857142857142857</v>
      </c>
      <c r="H57" s="49">
        <f>'Avg Week KIKORONGO-BWERA'!H57+'Avg Week BWERA-KIKORONGO'!H57</f>
        <v>0.2857142857142857</v>
      </c>
      <c r="I57" s="49">
        <f>'Avg Week KIKORONGO-BWERA'!I57+'Avg Week BWERA-KIKORONGO'!I57</f>
        <v>2.2857142857142856</v>
      </c>
      <c r="J57" s="49">
        <f>'Avg Week KIKORONGO-BWERA'!J57+'Avg Week BWERA-KIKORONGO'!J57</f>
        <v>1.2857142857142856</v>
      </c>
      <c r="K57" s="49">
        <f>'Avg Week KIKORONGO-BWERA'!K57+'Avg Week BWERA-KIKORONGO'!K57</f>
        <v>0.2857142857142857</v>
      </c>
      <c r="L57" s="49">
        <f>'Avg Week KIKORONGO-BWERA'!L57+'Avg Week BWERA-KIKORONGO'!L57</f>
        <v>2.2857142857142856</v>
      </c>
      <c r="M57" s="49">
        <f>'Avg Week KIKORONGO-BWERA'!M57+'Avg Week BWERA-KIKORONGO'!M57</f>
        <v>4.7142857142857144</v>
      </c>
      <c r="N57" s="49">
        <f>'Avg Week KIKORONGO-BWERA'!N57+'Avg Week BWERA-KIKORONGO'!N57</f>
        <v>0.14285714285714285</v>
      </c>
      <c r="O57" s="15">
        <f t="shared" si="0"/>
        <v>20.571428571428569</v>
      </c>
      <c r="P57" s="15">
        <f t="shared" si="1"/>
        <v>25.285714285714285</v>
      </c>
      <c r="R57" s="8"/>
      <c r="T57"/>
    </row>
    <row r="58" spans="2:20" ht="23.1" customHeight="1" x14ac:dyDescent="0.25">
      <c r="B58" s="23" t="s">
        <v>99</v>
      </c>
      <c r="C58" s="49">
        <f>'Avg Week KIKORONGO-BWERA'!C58+'Avg Week BWERA-KIKORONGO'!C58</f>
        <v>9.5</v>
      </c>
      <c r="D58" s="49">
        <f>0.45*('Avg Week KIKORONGO-BWERA'!E58+'Avg Week BWERA-KIKORONGO'!E58)</f>
        <v>3.375</v>
      </c>
      <c r="E58" s="49">
        <f>0.55*('Avg Week KIKORONGO-BWERA'!E58+'Avg Week BWERA-KIKORONGO'!E58)</f>
        <v>4.125</v>
      </c>
      <c r="F58" s="49">
        <f>'Avg Week KIKORONGO-BWERA'!F58+'Avg Week BWERA-KIKORONGO'!F58</f>
        <v>7</v>
      </c>
      <c r="G58" s="49">
        <f>'Avg Week KIKORONGO-BWERA'!G58+'Avg Week BWERA-KIKORONGO'!G58</f>
        <v>0</v>
      </c>
      <c r="H58" s="49">
        <f>'Avg Week KIKORONGO-BWERA'!H58+'Avg Week BWERA-KIKORONGO'!H58</f>
        <v>1.5</v>
      </c>
      <c r="I58" s="49">
        <f>'Avg Week KIKORONGO-BWERA'!I58+'Avg Week BWERA-KIKORONGO'!I58</f>
        <v>2.5</v>
      </c>
      <c r="J58" s="49">
        <f>'Avg Week KIKORONGO-BWERA'!J58+'Avg Week BWERA-KIKORONGO'!J58</f>
        <v>1.5</v>
      </c>
      <c r="K58" s="49">
        <f>'Avg Week KIKORONGO-BWERA'!K58+'Avg Week BWERA-KIKORONGO'!K58</f>
        <v>0</v>
      </c>
      <c r="L58" s="49">
        <f>'Avg Week KIKORONGO-BWERA'!L58+'Avg Week BWERA-KIKORONGO'!L58</f>
        <v>2</v>
      </c>
      <c r="M58" s="49">
        <f>'Avg Week KIKORONGO-BWERA'!M58+'Avg Week BWERA-KIKORONGO'!M58</f>
        <v>9.5</v>
      </c>
      <c r="N58" s="49">
        <f>'Avg Week KIKORONGO-BWERA'!N58+'Avg Week BWERA-KIKORONGO'!N58</f>
        <v>0</v>
      </c>
      <c r="O58" s="15">
        <f t="shared" si="0"/>
        <v>31.5</v>
      </c>
      <c r="P58" s="15">
        <f t="shared" si="1"/>
        <v>41</v>
      </c>
      <c r="R58" s="8"/>
      <c r="T58"/>
    </row>
    <row r="59" spans="2:20" ht="23.1" customHeight="1" x14ac:dyDescent="0.25">
      <c r="B59" s="23" t="s">
        <v>100</v>
      </c>
      <c r="C59" s="49">
        <f>'Avg Week KIKORONGO-BWERA'!C59+'Avg Week BWERA-KIKORONGO'!C59</f>
        <v>9.5</v>
      </c>
      <c r="D59" s="49">
        <f>0.45*('Avg Week KIKORONGO-BWERA'!E59+'Avg Week BWERA-KIKORONGO'!E59)</f>
        <v>0.67500000000000004</v>
      </c>
      <c r="E59" s="49">
        <f>0.55*('Avg Week KIKORONGO-BWERA'!E59+'Avg Week BWERA-KIKORONGO'!E59)</f>
        <v>0.82500000000000007</v>
      </c>
      <c r="F59" s="49">
        <f>'Avg Week KIKORONGO-BWERA'!F59+'Avg Week BWERA-KIKORONGO'!F59</f>
        <v>3.5</v>
      </c>
      <c r="G59" s="49">
        <f>'Avg Week KIKORONGO-BWERA'!G59+'Avg Week BWERA-KIKORONGO'!G59</f>
        <v>0</v>
      </c>
      <c r="H59" s="49">
        <f>'Avg Week KIKORONGO-BWERA'!H59+'Avg Week BWERA-KIKORONGO'!H59</f>
        <v>0</v>
      </c>
      <c r="I59" s="49">
        <f>'Avg Week KIKORONGO-BWERA'!I59+'Avg Week BWERA-KIKORONGO'!I59</f>
        <v>0.5</v>
      </c>
      <c r="J59" s="49">
        <f>'Avg Week KIKORONGO-BWERA'!J59+'Avg Week BWERA-KIKORONGO'!J59</f>
        <v>0.5</v>
      </c>
      <c r="K59" s="49">
        <f>'Avg Week KIKORONGO-BWERA'!K59+'Avg Week BWERA-KIKORONGO'!K59</f>
        <v>0</v>
      </c>
      <c r="L59" s="49">
        <f>'Avg Week KIKORONGO-BWERA'!L59+'Avg Week BWERA-KIKORONGO'!L59</f>
        <v>1</v>
      </c>
      <c r="M59" s="49">
        <f>'Avg Week KIKORONGO-BWERA'!M59+'Avg Week BWERA-KIKORONGO'!M59</f>
        <v>8.5</v>
      </c>
      <c r="N59" s="49">
        <f>'Avg Week KIKORONGO-BWERA'!N59+'Avg Week BWERA-KIKORONGO'!N59</f>
        <v>0</v>
      </c>
      <c r="O59" s="15">
        <f t="shared" si="0"/>
        <v>16.5</v>
      </c>
      <c r="P59" s="15">
        <f t="shared" si="1"/>
        <v>25</v>
      </c>
      <c r="R59" s="8"/>
      <c r="T59"/>
    </row>
    <row r="60" spans="2:20" ht="23.1" customHeight="1" x14ac:dyDescent="0.25">
      <c r="B60" s="23" t="s">
        <v>101</v>
      </c>
      <c r="C60" s="49">
        <f>'Avg Week KIKORONGO-BWERA'!C60+'Avg Week BWERA-KIKORONGO'!C60</f>
        <v>7.5</v>
      </c>
      <c r="D60" s="49">
        <f>0.45*('Avg Week KIKORONGO-BWERA'!E60+'Avg Week BWERA-KIKORONGO'!E60)</f>
        <v>0.67500000000000004</v>
      </c>
      <c r="E60" s="49">
        <f>0.55*('Avg Week KIKORONGO-BWERA'!E60+'Avg Week BWERA-KIKORONGO'!E60)</f>
        <v>0.82500000000000007</v>
      </c>
      <c r="F60" s="49">
        <f>'Avg Week KIKORONGO-BWERA'!F60+'Avg Week BWERA-KIKORONGO'!F60</f>
        <v>6.5</v>
      </c>
      <c r="G60" s="49">
        <f>'Avg Week KIKORONGO-BWERA'!G60+'Avg Week BWERA-KIKORONGO'!G60</f>
        <v>0</v>
      </c>
      <c r="H60" s="49">
        <f>'Avg Week KIKORONGO-BWERA'!H60+'Avg Week BWERA-KIKORONGO'!H60</f>
        <v>0.5</v>
      </c>
      <c r="I60" s="49">
        <f>'Avg Week KIKORONGO-BWERA'!I60+'Avg Week BWERA-KIKORONGO'!I60</f>
        <v>2</v>
      </c>
      <c r="J60" s="49">
        <f>'Avg Week KIKORONGO-BWERA'!J60+'Avg Week BWERA-KIKORONGO'!J60</f>
        <v>0.5</v>
      </c>
      <c r="K60" s="49">
        <f>'Avg Week KIKORONGO-BWERA'!K60+'Avg Week BWERA-KIKORONGO'!K60</f>
        <v>0</v>
      </c>
      <c r="L60" s="49">
        <f>'Avg Week KIKORONGO-BWERA'!L60+'Avg Week BWERA-KIKORONGO'!L60</f>
        <v>2</v>
      </c>
      <c r="M60" s="49">
        <f>'Avg Week KIKORONGO-BWERA'!M60+'Avg Week BWERA-KIKORONGO'!M60</f>
        <v>5</v>
      </c>
      <c r="N60" s="49">
        <f>'Avg Week KIKORONGO-BWERA'!N60+'Avg Week BWERA-KIKORONGO'!N60</f>
        <v>0</v>
      </c>
      <c r="O60" s="15">
        <f t="shared" si="0"/>
        <v>20.5</v>
      </c>
      <c r="P60" s="15">
        <f t="shared" si="1"/>
        <v>25.5</v>
      </c>
      <c r="R60" s="8"/>
      <c r="T60"/>
    </row>
    <row r="61" spans="2:20" ht="23.1" customHeight="1" x14ac:dyDescent="0.25">
      <c r="B61" s="23" t="s">
        <v>102</v>
      </c>
      <c r="C61" s="49">
        <f>'Avg Week KIKORONGO-BWERA'!C61+'Avg Week BWERA-KIKORONGO'!C61</f>
        <v>11.5</v>
      </c>
      <c r="D61" s="49">
        <f>0.45*('Avg Week KIKORONGO-BWERA'!E61+'Avg Week BWERA-KIKORONGO'!E61)</f>
        <v>0.67500000000000004</v>
      </c>
      <c r="E61" s="49">
        <f>0.55*('Avg Week KIKORONGO-BWERA'!E61+'Avg Week BWERA-KIKORONGO'!E61)</f>
        <v>0.82500000000000007</v>
      </c>
      <c r="F61" s="49">
        <f>'Avg Week KIKORONGO-BWERA'!F61+'Avg Week BWERA-KIKORONGO'!F61</f>
        <v>2.5</v>
      </c>
      <c r="G61" s="49">
        <f>'Avg Week KIKORONGO-BWERA'!G61+'Avg Week BWERA-KIKORONGO'!G61</f>
        <v>0</v>
      </c>
      <c r="H61" s="49">
        <f>'Avg Week KIKORONGO-BWERA'!H61+'Avg Week BWERA-KIKORONGO'!H61</f>
        <v>0</v>
      </c>
      <c r="I61" s="49">
        <f>'Avg Week KIKORONGO-BWERA'!I61+'Avg Week BWERA-KIKORONGO'!I61</f>
        <v>1</v>
      </c>
      <c r="J61" s="49">
        <f>'Avg Week KIKORONGO-BWERA'!J61+'Avg Week BWERA-KIKORONGO'!J61</f>
        <v>0.5</v>
      </c>
      <c r="K61" s="49">
        <f>'Avg Week KIKORONGO-BWERA'!K61+'Avg Week BWERA-KIKORONGO'!K61</f>
        <v>0</v>
      </c>
      <c r="L61" s="49">
        <f>'Avg Week KIKORONGO-BWERA'!L61+'Avg Week BWERA-KIKORONGO'!L61</f>
        <v>1</v>
      </c>
      <c r="M61" s="49">
        <f>'Avg Week KIKORONGO-BWERA'!M61+'Avg Week BWERA-KIKORONGO'!M61</f>
        <v>3.5</v>
      </c>
      <c r="N61" s="49">
        <f>'Avg Week KIKORONGO-BWERA'!N61+'Avg Week BWERA-KIKORONGO'!N61</f>
        <v>0</v>
      </c>
      <c r="O61" s="15">
        <f t="shared" si="0"/>
        <v>18</v>
      </c>
      <c r="P61" s="15">
        <f t="shared" si="1"/>
        <v>21.5</v>
      </c>
      <c r="R61" s="8"/>
      <c r="T61"/>
    </row>
    <row r="62" spans="2:20" ht="23.1" customHeight="1" x14ac:dyDescent="0.25">
      <c r="B62" s="23" t="s">
        <v>107</v>
      </c>
      <c r="C62" s="49">
        <f>'Avg Week KIKORONGO-BWERA'!C62+'Avg Week BWERA-KIKORONGO'!C62</f>
        <v>9.5</v>
      </c>
      <c r="D62" s="49">
        <f>0.45*('Avg Week KIKORONGO-BWERA'!E62+'Avg Week BWERA-KIKORONGO'!E62)</f>
        <v>0.67500000000000004</v>
      </c>
      <c r="E62" s="49">
        <f>0.55*('Avg Week KIKORONGO-BWERA'!E62+'Avg Week BWERA-KIKORONGO'!E62)</f>
        <v>0.82500000000000007</v>
      </c>
      <c r="F62" s="49">
        <f>'Avg Week KIKORONGO-BWERA'!F62+'Avg Week BWERA-KIKORONGO'!F62</f>
        <v>3</v>
      </c>
      <c r="G62" s="49">
        <f>'Avg Week KIKORONGO-BWERA'!G62+'Avg Week BWERA-KIKORONGO'!G62</f>
        <v>0</v>
      </c>
      <c r="H62" s="49">
        <f>'Avg Week KIKORONGO-BWERA'!H62+'Avg Week BWERA-KIKORONGO'!H62</f>
        <v>0</v>
      </c>
      <c r="I62" s="49">
        <f>'Avg Week KIKORONGO-BWERA'!I62+'Avg Week BWERA-KIKORONGO'!I62</f>
        <v>0.5</v>
      </c>
      <c r="J62" s="49">
        <f>'Avg Week KIKORONGO-BWERA'!J62+'Avg Week BWERA-KIKORONGO'!J62</f>
        <v>0.5</v>
      </c>
      <c r="K62" s="49">
        <f>'Avg Week KIKORONGO-BWERA'!K62+'Avg Week BWERA-KIKORONGO'!K62</f>
        <v>0</v>
      </c>
      <c r="L62" s="49">
        <f>'Avg Week KIKORONGO-BWERA'!L62+'Avg Week BWERA-KIKORONGO'!L62</f>
        <v>2.5</v>
      </c>
      <c r="M62" s="49">
        <f>'Avg Week KIKORONGO-BWERA'!M62+'Avg Week BWERA-KIKORONGO'!M62</f>
        <v>5</v>
      </c>
      <c r="N62" s="49">
        <f>'Avg Week KIKORONGO-BWERA'!N62+'Avg Week BWERA-KIKORONGO'!N62</f>
        <v>0</v>
      </c>
      <c r="O62" s="15">
        <f t="shared" si="0"/>
        <v>17.5</v>
      </c>
      <c r="P62" s="15">
        <f t="shared" si="1"/>
        <v>22.5</v>
      </c>
      <c r="R62" s="8"/>
      <c r="T62"/>
    </row>
    <row r="63" spans="2:20" ht="23.1" customHeight="1" x14ac:dyDescent="0.25">
      <c r="B63" s="23" t="s">
        <v>108</v>
      </c>
      <c r="C63" s="49">
        <f>'Avg Week KIKORONGO-BWERA'!C63+'Avg Week BWERA-KIKORONGO'!C63</f>
        <v>5.5</v>
      </c>
      <c r="D63" s="49">
        <f>0.45*('Avg Week KIKORONGO-BWERA'!E63+'Avg Week BWERA-KIKORONGO'!E63)</f>
        <v>1.575</v>
      </c>
      <c r="E63" s="49">
        <f>0.55*('Avg Week KIKORONGO-BWERA'!E63+'Avg Week BWERA-KIKORONGO'!E63)</f>
        <v>1.9250000000000003</v>
      </c>
      <c r="F63" s="49">
        <f>'Avg Week KIKORONGO-BWERA'!F63+'Avg Week BWERA-KIKORONGO'!F63</f>
        <v>6.5</v>
      </c>
      <c r="G63" s="49">
        <f>'Avg Week KIKORONGO-BWERA'!G63+'Avg Week BWERA-KIKORONGO'!G63</f>
        <v>0</v>
      </c>
      <c r="H63" s="49">
        <f>'Avg Week KIKORONGO-BWERA'!H63+'Avg Week BWERA-KIKORONGO'!H63</f>
        <v>0.5</v>
      </c>
      <c r="I63" s="49">
        <f>'Avg Week KIKORONGO-BWERA'!I63+'Avg Week BWERA-KIKORONGO'!I63</f>
        <v>0.5</v>
      </c>
      <c r="J63" s="49">
        <f>'Avg Week KIKORONGO-BWERA'!J63+'Avg Week BWERA-KIKORONGO'!J63</f>
        <v>0</v>
      </c>
      <c r="K63" s="49">
        <f>'Avg Week KIKORONGO-BWERA'!K63+'Avg Week BWERA-KIKORONGO'!K63</f>
        <v>0</v>
      </c>
      <c r="L63" s="49">
        <f>'Avg Week KIKORONGO-BWERA'!L63+'Avg Week BWERA-KIKORONGO'!L63</f>
        <v>0.5</v>
      </c>
      <c r="M63" s="49">
        <f>'Avg Week KIKORONGO-BWERA'!M63+'Avg Week BWERA-KIKORONGO'!M63</f>
        <v>5</v>
      </c>
      <c r="N63" s="49">
        <f>'Avg Week KIKORONGO-BWERA'!N63+'Avg Week BWERA-KIKORONGO'!N63</f>
        <v>0</v>
      </c>
      <c r="O63" s="15">
        <f t="shared" si="0"/>
        <v>17</v>
      </c>
      <c r="P63" s="15">
        <f t="shared" si="1"/>
        <v>22</v>
      </c>
      <c r="R63" s="8"/>
      <c r="T63"/>
    </row>
    <row r="64" spans="2:20" ht="23.1" customHeight="1" x14ac:dyDescent="0.25">
      <c r="B64" s="23" t="s">
        <v>109</v>
      </c>
      <c r="C64" s="49">
        <f>'Avg Week KIKORONGO-BWERA'!C64+'Avg Week BWERA-KIKORONGO'!C64</f>
        <v>4.5</v>
      </c>
      <c r="D64" s="49">
        <f>0.45*('Avg Week KIKORONGO-BWERA'!E64+'Avg Week BWERA-KIKORONGO'!E64)</f>
        <v>1.8</v>
      </c>
      <c r="E64" s="49">
        <f>0.55*('Avg Week KIKORONGO-BWERA'!E64+'Avg Week BWERA-KIKORONGO'!E64)</f>
        <v>2.2000000000000002</v>
      </c>
      <c r="F64" s="49">
        <f>'Avg Week KIKORONGO-BWERA'!F64+'Avg Week BWERA-KIKORONGO'!F64</f>
        <v>2</v>
      </c>
      <c r="G64" s="49">
        <f>'Avg Week KIKORONGO-BWERA'!G64+'Avg Week BWERA-KIKORONGO'!G64</f>
        <v>0</v>
      </c>
      <c r="H64" s="49">
        <f>'Avg Week KIKORONGO-BWERA'!H64+'Avg Week BWERA-KIKORONGO'!H64</f>
        <v>0</v>
      </c>
      <c r="I64" s="49">
        <f>'Avg Week KIKORONGO-BWERA'!I64+'Avg Week BWERA-KIKORONGO'!I64</f>
        <v>2.5</v>
      </c>
      <c r="J64" s="49">
        <f>'Avg Week KIKORONGO-BWERA'!J64+'Avg Week BWERA-KIKORONGO'!J64</f>
        <v>0.5</v>
      </c>
      <c r="K64" s="49">
        <f>'Avg Week KIKORONGO-BWERA'!K64+'Avg Week BWERA-KIKORONGO'!K64</f>
        <v>0</v>
      </c>
      <c r="L64" s="49">
        <f>'Avg Week KIKORONGO-BWERA'!L64+'Avg Week BWERA-KIKORONGO'!L64</f>
        <v>2</v>
      </c>
      <c r="M64" s="49">
        <f>'Avg Week KIKORONGO-BWERA'!M64+'Avg Week BWERA-KIKORONGO'!M64</f>
        <v>1</v>
      </c>
      <c r="N64" s="49">
        <f>'Avg Week KIKORONGO-BWERA'!N64+'Avg Week BWERA-KIKORONGO'!N64</f>
        <v>0.5</v>
      </c>
      <c r="O64" s="15">
        <f t="shared" si="0"/>
        <v>16</v>
      </c>
      <c r="P64" s="15">
        <f t="shared" si="1"/>
        <v>17</v>
      </c>
      <c r="R64" s="8"/>
      <c r="T64"/>
    </row>
    <row r="65" spans="2:20" ht="23.1" customHeight="1" x14ac:dyDescent="0.25">
      <c r="B65" s="23" t="s">
        <v>158</v>
      </c>
      <c r="C65" s="49">
        <f>'Avg Week KIKORONGO-BWERA'!C65+'Avg Week BWERA-KIKORONGO'!C65</f>
        <v>6</v>
      </c>
      <c r="D65" s="49">
        <f>0.45*('Avg Week KIKORONGO-BWERA'!E65+'Avg Week BWERA-KIKORONGO'!E65)</f>
        <v>0.45</v>
      </c>
      <c r="E65" s="49">
        <f>0.55*('Avg Week KIKORONGO-BWERA'!E65+'Avg Week BWERA-KIKORONGO'!E65)</f>
        <v>0.55000000000000004</v>
      </c>
      <c r="F65" s="49">
        <f>'Avg Week KIKORONGO-BWERA'!F65+'Avg Week BWERA-KIKORONGO'!F65</f>
        <v>1</v>
      </c>
      <c r="G65" s="49">
        <f>'Avg Week KIKORONGO-BWERA'!G65+'Avg Week BWERA-KIKORONGO'!G65</f>
        <v>0</v>
      </c>
      <c r="H65" s="49">
        <f>'Avg Week KIKORONGO-BWERA'!H65+'Avg Week BWERA-KIKORONGO'!H65</f>
        <v>0</v>
      </c>
      <c r="I65" s="49">
        <f>'Avg Week KIKORONGO-BWERA'!I65+'Avg Week BWERA-KIKORONGO'!I65</f>
        <v>0</v>
      </c>
      <c r="J65" s="49">
        <f>'Avg Week KIKORONGO-BWERA'!J65+'Avg Week BWERA-KIKORONGO'!J65</f>
        <v>1</v>
      </c>
      <c r="K65" s="49">
        <f>'Avg Week KIKORONGO-BWERA'!K65+'Avg Week BWERA-KIKORONGO'!K65</f>
        <v>0</v>
      </c>
      <c r="L65" s="49">
        <f>'Avg Week KIKORONGO-BWERA'!L65+'Avg Week BWERA-KIKORONGO'!L65</f>
        <v>1.5</v>
      </c>
      <c r="M65" s="49">
        <f>'Avg Week KIKORONGO-BWERA'!M65+'Avg Week BWERA-KIKORONGO'!M65</f>
        <v>2</v>
      </c>
      <c r="N65" s="49">
        <f>'Avg Week KIKORONGO-BWERA'!N65+'Avg Week BWERA-KIKORONGO'!N65</f>
        <v>0</v>
      </c>
      <c r="O65" s="15">
        <f t="shared" si="0"/>
        <v>10.5</v>
      </c>
      <c r="P65" s="15">
        <f t="shared" si="1"/>
        <v>12.5</v>
      </c>
      <c r="R65" s="8"/>
      <c r="T65"/>
    </row>
    <row r="66" spans="2:20" ht="23.1" customHeight="1" x14ac:dyDescent="0.25">
      <c r="B66" s="23" t="s">
        <v>103</v>
      </c>
      <c r="C66" s="49">
        <f>'Avg Week KIKORONGO-BWERA'!C66+'Avg Week BWERA-KIKORONGO'!C66</f>
        <v>3</v>
      </c>
      <c r="D66" s="49">
        <f>0.45*('Avg Week KIKORONGO-BWERA'!E66+'Avg Week BWERA-KIKORONGO'!E66)</f>
        <v>0.9</v>
      </c>
      <c r="E66" s="49">
        <f>0.55*('Avg Week KIKORONGO-BWERA'!E66+'Avg Week BWERA-KIKORONGO'!E66)</f>
        <v>1.1000000000000001</v>
      </c>
      <c r="F66" s="49">
        <f>'Avg Week KIKORONGO-BWERA'!F66+'Avg Week BWERA-KIKORONGO'!F66</f>
        <v>2.5</v>
      </c>
      <c r="G66" s="49">
        <f>'Avg Week KIKORONGO-BWERA'!G66+'Avg Week BWERA-KIKORONGO'!G66</f>
        <v>0</v>
      </c>
      <c r="H66" s="49">
        <f>'Avg Week KIKORONGO-BWERA'!H66+'Avg Week BWERA-KIKORONGO'!H66</f>
        <v>1</v>
      </c>
      <c r="I66" s="49">
        <f>'Avg Week KIKORONGO-BWERA'!I66+'Avg Week BWERA-KIKORONGO'!I66</f>
        <v>2.5</v>
      </c>
      <c r="J66" s="49">
        <f>'Avg Week KIKORONGO-BWERA'!J66+'Avg Week BWERA-KIKORONGO'!J66</f>
        <v>0.5</v>
      </c>
      <c r="K66" s="49">
        <f>'Avg Week KIKORONGO-BWERA'!K66+'Avg Week BWERA-KIKORONGO'!K66</f>
        <v>0</v>
      </c>
      <c r="L66" s="49">
        <f>'Avg Week KIKORONGO-BWERA'!L66+'Avg Week BWERA-KIKORONGO'!L66</f>
        <v>1</v>
      </c>
      <c r="M66" s="49">
        <f>'Avg Week KIKORONGO-BWERA'!M66+'Avg Week BWERA-KIKORONGO'!M66</f>
        <v>1.5</v>
      </c>
      <c r="N66" s="49">
        <f>'Avg Week KIKORONGO-BWERA'!N66+'Avg Week BWERA-KIKORONGO'!N66</f>
        <v>0</v>
      </c>
      <c r="O66" s="15">
        <f t="shared" si="0"/>
        <v>12.5</v>
      </c>
      <c r="P66" s="15">
        <f t="shared" si="1"/>
        <v>14</v>
      </c>
      <c r="R66" s="8"/>
      <c r="T66"/>
    </row>
    <row r="67" spans="2:20" ht="23.1" customHeight="1" x14ac:dyDescent="0.25">
      <c r="B67" s="23" t="s">
        <v>104</v>
      </c>
      <c r="C67" s="49">
        <f>'Avg Week KIKORONGO-BWERA'!C67+'Avg Week BWERA-KIKORONGO'!C67</f>
        <v>2</v>
      </c>
      <c r="D67" s="49">
        <f>0.45*('Avg Week KIKORONGO-BWERA'!E67+'Avg Week BWERA-KIKORONGO'!E67)</f>
        <v>0.45</v>
      </c>
      <c r="E67" s="49">
        <f>0.55*('Avg Week KIKORONGO-BWERA'!E67+'Avg Week BWERA-KIKORONGO'!E67)</f>
        <v>0.55000000000000004</v>
      </c>
      <c r="F67" s="49">
        <f>'Avg Week KIKORONGO-BWERA'!F67+'Avg Week BWERA-KIKORONGO'!F67</f>
        <v>2.5</v>
      </c>
      <c r="G67" s="49">
        <f>'Avg Week KIKORONGO-BWERA'!G67+'Avg Week BWERA-KIKORONGO'!G67</f>
        <v>0</v>
      </c>
      <c r="H67" s="49">
        <f>'Avg Week KIKORONGO-BWERA'!H67+'Avg Week BWERA-KIKORONGO'!H67</f>
        <v>0.5</v>
      </c>
      <c r="I67" s="49">
        <f>'Avg Week KIKORONGO-BWERA'!I67+'Avg Week BWERA-KIKORONGO'!I67</f>
        <v>1</v>
      </c>
      <c r="J67" s="49">
        <f>'Avg Week KIKORONGO-BWERA'!J67+'Avg Week BWERA-KIKORONGO'!J67</f>
        <v>0.5</v>
      </c>
      <c r="K67" s="49">
        <f>'Avg Week KIKORONGO-BWERA'!K67+'Avg Week BWERA-KIKORONGO'!K67</f>
        <v>0</v>
      </c>
      <c r="L67" s="49">
        <f>'Avg Week KIKORONGO-BWERA'!L67+'Avg Week BWERA-KIKORONGO'!L67</f>
        <v>0</v>
      </c>
      <c r="M67" s="49">
        <f>'Avg Week KIKORONGO-BWERA'!M67+'Avg Week BWERA-KIKORONGO'!M67</f>
        <v>2.5</v>
      </c>
      <c r="N67" s="49">
        <f>'Avg Week KIKORONGO-BWERA'!N67+'Avg Week BWERA-KIKORONGO'!N67</f>
        <v>0</v>
      </c>
      <c r="O67" s="15">
        <f t="shared" si="0"/>
        <v>7.5</v>
      </c>
      <c r="P67" s="15">
        <f t="shared" si="1"/>
        <v>10</v>
      </c>
      <c r="R67" s="8"/>
      <c r="T67"/>
    </row>
    <row r="68" spans="2:20" ht="23.1" customHeight="1" x14ac:dyDescent="0.25">
      <c r="B68" s="23" t="s">
        <v>105</v>
      </c>
      <c r="C68" s="49">
        <f>'Avg Week KIKORONGO-BWERA'!C68+'Avg Week BWERA-KIKORONGO'!C68</f>
        <v>3.5</v>
      </c>
      <c r="D68" s="49">
        <f>0.45*('Avg Week KIKORONGO-BWERA'!E68+'Avg Week BWERA-KIKORONGO'!E68)</f>
        <v>0.67500000000000004</v>
      </c>
      <c r="E68" s="49">
        <f>0.55*('Avg Week KIKORONGO-BWERA'!E68+'Avg Week BWERA-KIKORONGO'!E68)</f>
        <v>0.82500000000000007</v>
      </c>
      <c r="F68" s="49">
        <f>'Avg Week KIKORONGO-BWERA'!F68+'Avg Week BWERA-KIKORONGO'!F68</f>
        <v>1</v>
      </c>
      <c r="G68" s="49">
        <f>'Avg Week KIKORONGO-BWERA'!G68+'Avg Week BWERA-KIKORONGO'!G68</f>
        <v>0</v>
      </c>
      <c r="H68" s="49">
        <f>'Avg Week KIKORONGO-BWERA'!H68+'Avg Week BWERA-KIKORONGO'!H68</f>
        <v>0</v>
      </c>
      <c r="I68" s="49">
        <f>'Avg Week KIKORONGO-BWERA'!I68+'Avg Week BWERA-KIKORONGO'!I68</f>
        <v>1.5</v>
      </c>
      <c r="J68" s="49">
        <f>'Avg Week KIKORONGO-BWERA'!J68+'Avg Week BWERA-KIKORONGO'!J68</f>
        <v>0</v>
      </c>
      <c r="K68" s="49">
        <f>'Avg Week KIKORONGO-BWERA'!K68+'Avg Week BWERA-KIKORONGO'!K68</f>
        <v>0</v>
      </c>
      <c r="L68" s="49">
        <f>'Avg Week KIKORONGO-BWERA'!L68+'Avg Week BWERA-KIKORONGO'!L68</f>
        <v>0.5</v>
      </c>
      <c r="M68" s="49">
        <f>'Avg Week KIKORONGO-BWERA'!M68+'Avg Week BWERA-KIKORONGO'!M68</f>
        <v>1.5</v>
      </c>
      <c r="N68" s="49">
        <f>'Avg Week KIKORONGO-BWERA'!N68+'Avg Week BWERA-KIKORONGO'!N68</f>
        <v>0</v>
      </c>
      <c r="O68" s="15">
        <f t="shared" si="0"/>
        <v>8</v>
      </c>
      <c r="P68" s="15">
        <f t="shared" si="1"/>
        <v>9.5</v>
      </c>
      <c r="R68" s="8"/>
      <c r="T68"/>
    </row>
    <row r="69" spans="2:20" ht="23.1" customHeight="1" x14ac:dyDescent="0.25">
      <c r="B69" s="23" t="s">
        <v>106</v>
      </c>
      <c r="C69" s="49">
        <f>'Avg Week KIKORONGO-BWERA'!C69+'Avg Week BWERA-KIKORONGO'!C69</f>
        <v>1</v>
      </c>
      <c r="D69" s="49">
        <f>0.45*('Avg Week KIKORONGO-BWERA'!E69+'Avg Week BWERA-KIKORONGO'!E69)</f>
        <v>2.7</v>
      </c>
      <c r="E69" s="49">
        <f>0.55*('Avg Week KIKORONGO-BWERA'!E69+'Avg Week BWERA-KIKORONGO'!E69)</f>
        <v>3.3000000000000003</v>
      </c>
      <c r="F69" s="49">
        <f>'Avg Week KIKORONGO-BWERA'!F69+'Avg Week BWERA-KIKORONGO'!F69</f>
        <v>4.5</v>
      </c>
      <c r="G69" s="49">
        <f>'Avg Week KIKORONGO-BWERA'!G69+'Avg Week BWERA-KIKORONGO'!G69</f>
        <v>0</v>
      </c>
      <c r="H69" s="49">
        <f>'Avg Week KIKORONGO-BWERA'!H69+'Avg Week BWERA-KIKORONGO'!H69</f>
        <v>0</v>
      </c>
      <c r="I69" s="49">
        <f>'Avg Week KIKORONGO-BWERA'!I69+'Avg Week BWERA-KIKORONGO'!I69</f>
        <v>2</v>
      </c>
      <c r="J69" s="49">
        <f>'Avg Week KIKORONGO-BWERA'!J69+'Avg Week BWERA-KIKORONGO'!J69</f>
        <v>0</v>
      </c>
      <c r="K69" s="49">
        <f>'Avg Week KIKORONGO-BWERA'!K69+'Avg Week BWERA-KIKORONGO'!K69</f>
        <v>0</v>
      </c>
      <c r="L69" s="49">
        <f>'Avg Week KIKORONGO-BWERA'!L69+'Avg Week BWERA-KIKORONGO'!L69</f>
        <v>1</v>
      </c>
      <c r="M69" s="49">
        <f>'Avg Week KIKORONGO-BWERA'!M69+'Avg Week BWERA-KIKORONGO'!M69</f>
        <v>0.5</v>
      </c>
      <c r="N69" s="49">
        <f>'Avg Week KIKORONGO-BWERA'!N69+'Avg Week BWERA-KIKORONGO'!N69</f>
        <v>0</v>
      </c>
      <c r="O69" s="15">
        <f t="shared" si="0"/>
        <v>14.5</v>
      </c>
      <c r="P69" s="15">
        <f t="shared" si="1"/>
        <v>15</v>
      </c>
      <c r="R69" s="8"/>
      <c r="T69"/>
    </row>
    <row r="70" spans="2:20" ht="23.1" customHeight="1" x14ac:dyDescent="0.25">
      <c r="B70" s="23" t="s">
        <v>110</v>
      </c>
      <c r="C70" s="49">
        <f>'Avg Week KIKORONGO-BWERA'!C70+'Avg Week BWERA-KIKORONGO'!C70</f>
        <v>3</v>
      </c>
      <c r="D70" s="49">
        <f>0.45*('Avg Week KIKORONGO-BWERA'!E70+'Avg Week BWERA-KIKORONGO'!E70)</f>
        <v>0.45</v>
      </c>
      <c r="E70" s="49">
        <f>0.55*('Avg Week KIKORONGO-BWERA'!E70+'Avg Week BWERA-KIKORONGO'!E70)</f>
        <v>0.55000000000000004</v>
      </c>
      <c r="F70" s="49">
        <f>'Avg Week KIKORONGO-BWERA'!F70+'Avg Week BWERA-KIKORONGO'!F70</f>
        <v>2</v>
      </c>
      <c r="G70" s="49">
        <f>'Avg Week KIKORONGO-BWERA'!G70+'Avg Week BWERA-KIKORONGO'!G70</f>
        <v>0</v>
      </c>
      <c r="H70" s="49">
        <f>'Avg Week KIKORONGO-BWERA'!H70+'Avg Week BWERA-KIKORONGO'!H70</f>
        <v>0</v>
      </c>
      <c r="I70" s="49">
        <f>'Avg Week KIKORONGO-BWERA'!I70+'Avg Week BWERA-KIKORONGO'!I70</f>
        <v>1.5</v>
      </c>
      <c r="J70" s="49">
        <f>'Avg Week KIKORONGO-BWERA'!J70+'Avg Week BWERA-KIKORONGO'!J70</f>
        <v>0.5</v>
      </c>
      <c r="K70" s="49">
        <f>'Avg Week KIKORONGO-BWERA'!K70+'Avg Week BWERA-KIKORONGO'!K70</f>
        <v>0</v>
      </c>
      <c r="L70" s="49">
        <f>'Avg Week KIKORONGO-BWERA'!L70+'Avg Week BWERA-KIKORONGO'!L70</f>
        <v>1.5</v>
      </c>
      <c r="M70" s="49">
        <f>'Avg Week KIKORONGO-BWERA'!M70+'Avg Week BWERA-KIKORONGO'!M70</f>
        <v>1</v>
      </c>
      <c r="N70" s="49">
        <f>'Avg Week KIKORONGO-BWERA'!N70+'Avg Week BWERA-KIKORONGO'!N70</f>
        <v>0</v>
      </c>
      <c r="O70" s="15">
        <f t="shared" si="0"/>
        <v>9.5</v>
      </c>
      <c r="P70" s="15">
        <f t="shared" si="1"/>
        <v>10.5</v>
      </c>
      <c r="R70" s="8"/>
      <c r="T70"/>
    </row>
    <row r="71" spans="2:20" ht="23.1" customHeight="1" x14ac:dyDescent="0.25">
      <c r="B71" s="23" t="s">
        <v>111</v>
      </c>
      <c r="C71" s="49">
        <f>'Avg Week KIKORONGO-BWERA'!C71+'Avg Week BWERA-KIKORONGO'!C71</f>
        <v>3.5</v>
      </c>
      <c r="D71" s="49">
        <f>0.45*('Avg Week KIKORONGO-BWERA'!E71+'Avg Week BWERA-KIKORONGO'!E71)</f>
        <v>0</v>
      </c>
      <c r="E71" s="49">
        <f>0.55*('Avg Week KIKORONGO-BWERA'!E71+'Avg Week BWERA-KIKORONGO'!E71)</f>
        <v>0</v>
      </c>
      <c r="F71" s="49">
        <f>'Avg Week KIKORONGO-BWERA'!F71+'Avg Week BWERA-KIKORONGO'!F71</f>
        <v>1</v>
      </c>
      <c r="G71" s="49">
        <f>'Avg Week KIKORONGO-BWERA'!G71+'Avg Week BWERA-KIKORONGO'!G71</f>
        <v>0</v>
      </c>
      <c r="H71" s="49">
        <f>'Avg Week KIKORONGO-BWERA'!H71+'Avg Week BWERA-KIKORONGO'!H71</f>
        <v>0.5</v>
      </c>
      <c r="I71" s="49">
        <f>'Avg Week KIKORONGO-BWERA'!I71+'Avg Week BWERA-KIKORONGO'!I71</f>
        <v>1.5</v>
      </c>
      <c r="J71" s="49">
        <f>'Avg Week KIKORONGO-BWERA'!J71+'Avg Week BWERA-KIKORONGO'!J71</f>
        <v>0.5</v>
      </c>
      <c r="K71" s="49">
        <f>'Avg Week KIKORONGO-BWERA'!K71+'Avg Week BWERA-KIKORONGO'!K71</f>
        <v>0</v>
      </c>
      <c r="L71" s="49">
        <f>'Avg Week KIKORONGO-BWERA'!L71+'Avg Week BWERA-KIKORONGO'!L71</f>
        <v>2</v>
      </c>
      <c r="M71" s="49">
        <f>'Avg Week KIKORONGO-BWERA'!M71+'Avg Week BWERA-KIKORONGO'!M71</f>
        <v>0.5</v>
      </c>
      <c r="N71" s="49">
        <f>'Avg Week KIKORONGO-BWERA'!N71+'Avg Week BWERA-KIKORONGO'!N71</f>
        <v>0</v>
      </c>
      <c r="O71" s="15">
        <f t="shared" si="0"/>
        <v>9</v>
      </c>
      <c r="P71" s="15">
        <f t="shared" si="1"/>
        <v>9.5</v>
      </c>
      <c r="R71" s="8"/>
      <c r="T71"/>
    </row>
    <row r="72" spans="2:20" ht="23.1" customHeight="1" x14ac:dyDescent="0.25">
      <c r="B72" s="23" t="s">
        <v>112</v>
      </c>
      <c r="C72" s="49">
        <f>'Avg Week KIKORONGO-BWERA'!C72+'Avg Week BWERA-KIKORONGO'!C72</f>
        <v>2</v>
      </c>
      <c r="D72" s="49">
        <f>0.45*('Avg Week KIKORONGO-BWERA'!E72+'Avg Week BWERA-KIKORONGO'!E72)</f>
        <v>0</v>
      </c>
      <c r="E72" s="49">
        <f>0.55*('Avg Week KIKORONGO-BWERA'!E72+'Avg Week BWERA-KIKORONGO'!E72)</f>
        <v>0</v>
      </c>
      <c r="F72" s="49">
        <f>'Avg Week KIKORONGO-BWERA'!F72+'Avg Week BWERA-KIKORONGO'!F72</f>
        <v>1.5</v>
      </c>
      <c r="G72" s="49">
        <f>'Avg Week KIKORONGO-BWERA'!G72+'Avg Week BWERA-KIKORONGO'!G72</f>
        <v>0</v>
      </c>
      <c r="H72" s="49">
        <f>'Avg Week KIKORONGO-BWERA'!H72+'Avg Week BWERA-KIKORONGO'!H72</f>
        <v>0</v>
      </c>
      <c r="I72" s="49">
        <f>'Avg Week KIKORONGO-BWERA'!I72+'Avg Week BWERA-KIKORONGO'!I72</f>
        <v>1.5</v>
      </c>
      <c r="J72" s="49">
        <f>'Avg Week KIKORONGO-BWERA'!J72+'Avg Week BWERA-KIKORONGO'!J72</f>
        <v>0</v>
      </c>
      <c r="K72" s="49">
        <f>'Avg Week KIKORONGO-BWERA'!K72+'Avg Week BWERA-KIKORONGO'!K72</f>
        <v>0</v>
      </c>
      <c r="L72" s="49">
        <f>'Avg Week KIKORONGO-BWERA'!L72+'Avg Week BWERA-KIKORONGO'!L72</f>
        <v>0.5</v>
      </c>
      <c r="M72" s="49">
        <f>'Avg Week KIKORONGO-BWERA'!M72+'Avg Week BWERA-KIKORONGO'!M72</f>
        <v>0.5</v>
      </c>
      <c r="N72" s="49">
        <f>'Avg Week KIKORONGO-BWERA'!N72+'Avg Week BWERA-KIKORONGO'!N72</f>
        <v>0</v>
      </c>
      <c r="O72" s="15">
        <f t="shared" si="0"/>
        <v>5.5</v>
      </c>
      <c r="P72" s="15">
        <f t="shared" si="1"/>
        <v>6</v>
      </c>
      <c r="R72" s="8"/>
      <c r="T72"/>
    </row>
    <row r="73" spans="2:20" ht="23.1" customHeight="1" x14ac:dyDescent="0.25">
      <c r="B73" s="23" t="s">
        <v>113</v>
      </c>
      <c r="C73" s="49">
        <f>'Avg Week KIKORONGO-BWERA'!C73+'Avg Week BWERA-KIKORONGO'!C73</f>
        <v>1.5</v>
      </c>
      <c r="D73" s="49">
        <f>0.45*('Avg Week KIKORONGO-BWERA'!E73+'Avg Week BWERA-KIKORONGO'!E73)</f>
        <v>0</v>
      </c>
      <c r="E73" s="49">
        <f>0.55*('Avg Week KIKORONGO-BWERA'!E73+'Avg Week BWERA-KIKORONGO'!E73)</f>
        <v>0</v>
      </c>
      <c r="F73" s="49">
        <f>'Avg Week KIKORONGO-BWERA'!F73+'Avg Week BWERA-KIKORONGO'!F73</f>
        <v>0.5</v>
      </c>
      <c r="G73" s="49">
        <f>'Avg Week KIKORONGO-BWERA'!G73+'Avg Week BWERA-KIKORONGO'!G73</f>
        <v>0</v>
      </c>
      <c r="H73" s="49">
        <f>'Avg Week KIKORONGO-BWERA'!H73+'Avg Week BWERA-KIKORONGO'!H73</f>
        <v>0</v>
      </c>
      <c r="I73" s="49">
        <f>'Avg Week KIKORONGO-BWERA'!I73+'Avg Week BWERA-KIKORONGO'!I73</f>
        <v>1</v>
      </c>
      <c r="J73" s="49">
        <f>'Avg Week KIKORONGO-BWERA'!J73+'Avg Week BWERA-KIKORONGO'!J73</f>
        <v>0</v>
      </c>
      <c r="K73" s="49">
        <f>'Avg Week KIKORONGO-BWERA'!K73+'Avg Week BWERA-KIKORONGO'!K73</f>
        <v>0</v>
      </c>
      <c r="L73" s="49">
        <f>'Avg Week KIKORONGO-BWERA'!L73+'Avg Week BWERA-KIKORONGO'!L73</f>
        <v>1</v>
      </c>
      <c r="M73" s="49">
        <f>'Avg Week KIKORONGO-BWERA'!M73+'Avg Week BWERA-KIKORONGO'!M73</f>
        <v>0</v>
      </c>
      <c r="N73" s="49">
        <f>'Avg Week KIKORONGO-BWERA'!N73+'Avg Week BWERA-KIKORONGO'!N73</f>
        <v>0</v>
      </c>
      <c r="O73" s="15">
        <f t="shared" si="0"/>
        <v>4</v>
      </c>
      <c r="P73" s="15">
        <f t="shared" si="1"/>
        <v>4</v>
      </c>
      <c r="R73" s="8"/>
      <c r="T73"/>
    </row>
    <row r="74" spans="2:20" ht="23.1" customHeight="1" x14ac:dyDescent="0.25">
      <c r="B74" s="23" t="s">
        <v>114</v>
      </c>
      <c r="C74" s="49">
        <f>'Avg Week KIKORONGO-BWERA'!C74+'Avg Week BWERA-KIKORONGO'!C74</f>
        <v>4</v>
      </c>
      <c r="D74" s="49">
        <f>0.45*('Avg Week KIKORONGO-BWERA'!E74+'Avg Week BWERA-KIKORONGO'!E74)</f>
        <v>0.67500000000000004</v>
      </c>
      <c r="E74" s="49">
        <f>0.55*('Avg Week KIKORONGO-BWERA'!E74+'Avg Week BWERA-KIKORONGO'!E74)</f>
        <v>0.82500000000000007</v>
      </c>
      <c r="F74" s="49">
        <f>'Avg Week KIKORONGO-BWERA'!F74+'Avg Week BWERA-KIKORONGO'!F74</f>
        <v>2.5</v>
      </c>
      <c r="G74" s="49">
        <f>'Avg Week KIKORONGO-BWERA'!G74+'Avg Week BWERA-KIKORONGO'!G74</f>
        <v>0</v>
      </c>
      <c r="H74" s="49">
        <f>'Avg Week KIKORONGO-BWERA'!H74+'Avg Week BWERA-KIKORONGO'!H74</f>
        <v>1.5</v>
      </c>
      <c r="I74" s="49">
        <f>'Avg Week KIKORONGO-BWERA'!I74+'Avg Week BWERA-KIKORONGO'!I74</f>
        <v>0.5</v>
      </c>
      <c r="J74" s="49">
        <f>'Avg Week KIKORONGO-BWERA'!J74+'Avg Week BWERA-KIKORONGO'!J74</f>
        <v>0.5</v>
      </c>
      <c r="K74" s="49">
        <f>'Avg Week KIKORONGO-BWERA'!K74+'Avg Week BWERA-KIKORONGO'!K74</f>
        <v>0</v>
      </c>
      <c r="L74" s="49">
        <f>'Avg Week KIKORONGO-BWERA'!L74+'Avg Week BWERA-KIKORONGO'!L74</f>
        <v>2</v>
      </c>
      <c r="M74" s="49">
        <f>'Avg Week KIKORONGO-BWERA'!M74+'Avg Week BWERA-KIKORONGO'!M74</f>
        <v>1.5</v>
      </c>
      <c r="N74" s="49">
        <f>'Avg Week KIKORONGO-BWERA'!N74+'Avg Week BWERA-KIKORONGO'!N74</f>
        <v>0</v>
      </c>
      <c r="O74" s="15">
        <f t="shared" ref="O74:O105" si="35">SUM(C74:L74,N74)</f>
        <v>12.5</v>
      </c>
      <c r="P74" s="15">
        <f t="shared" ref="P74:P105" si="36">SUM(C74:N74)</f>
        <v>14</v>
      </c>
      <c r="R74" s="8"/>
      <c r="T74"/>
    </row>
    <row r="75" spans="2:20" ht="23.1" customHeight="1" x14ac:dyDescent="0.25">
      <c r="B75" s="23" t="s">
        <v>115</v>
      </c>
      <c r="C75" s="49">
        <f>'Avg Week KIKORONGO-BWERA'!C75+'Avg Week BWERA-KIKORONGO'!C75</f>
        <v>0</v>
      </c>
      <c r="D75" s="49">
        <f>0.45*('Avg Week KIKORONGO-BWERA'!E75+'Avg Week BWERA-KIKORONGO'!E75)</f>
        <v>0.45</v>
      </c>
      <c r="E75" s="49">
        <f>0.55*('Avg Week KIKORONGO-BWERA'!E75+'Avg Week BWERA-KIKORONGO'!E75)</f>
        <v>0.55000000000000004</v>
      </c>
      <c r="F75" s="49">
        <f>'Avg Week KIKORONGO-BWERA'!F75+'Avg Week BWERA-KIKORONGO'!F75</f>
        <v>1</v>
      </c>
      <c r="G75" s="49">
        <f>'Avg Week KIKORONGO-BWERA'!G75+'Avg Week BWERA-KIKORONGO'!G75</f>
        <v>0</v>
      </c>
      <c r="H75" s="49">
        <f>'Avg Week KIKORONGO-BWERA'!H75+'Avg Week BWERA-KIKORONGO'!H75</f>
        <v>1.5</v>
      </c>
      <c r="I75" s="49">
        <f>'Avg Week KIKORONGO-BWERA'!I75+'Avg Week BWERA-KIKORONGO'!I75</f>
        <v>0.5</v>
      </c>
      <c r="J75" s="49">
        <f>'Avg Week KIKORONGO-BWERA'!J75+'Avg Week BWERA-KIKORONGO'!J75</f>
        <v>0</v>
      </c>
      <c r="K75" s="49">
        <f>'Avg Week KIKORONGO-BWERA'!K75+'Avg Week BWERA-KIKORONGO'!K75</f>
        <v>0</v>
      </c>
      <c r="L75" s="49">
        <f>'Avg Week KIKORONGO-BWERA'!L75+'Avg Week BWERA-KIKORONGO'!L75</f>
        <v>0.5</v>
      </c>
      <c r="M75" s="49">
        <f>'Avg Week KIKORONGO-BWERA'!M75+'Avg Week BWERA-KIKORONGO'!M75</f>
        <v>1.5</v>
      </c>
      <c r="N75" s="49">
        <f>'Avg Week KIKORONGO-BWERA'!N75+'Avg Week BWERA-KIKORONGO'!N75</f>
        <v>0</v>
      </c>
      <c r="O75" s="15">
        <f t="shared" si="35"/>
        <v>4.5</v>
      </c>
      <c r="P75" s="15">
        <f t="shared" si="36"/>
        <v>6</v>
      </c>
      <c r="R75" s="8"/>
      <c r="T75"/>
    </row>
    <row r="76" spans="2:20" ht="23.1" customHeight="1" x14ac:dyDescent="0.25">
      <c r="B76" s="23" t="s">
        <v>116</v>
      </c>
      <c r="C76" s="49">
        <f>'Avg Week KIKORONGO-BWERA'!C76+'Avg Week BWERA-KIKORONGO'!C76</f>
        <v>1.5</v>
      </c>
      <c r="D76" s="49">
        <f>0.45*('Avg Week KIKORONGO-BWERA'!E76+'Avg Week BWERA-KIKORONGO'!E76)</f>
        <v>0</v>
      </c>
      <c r="E76" s="49">
        <f>0.55*('Avg Week KIKORONGO-BWERA'!E76+'Avg Week BWERA-KIKORONGO'!E76)</f>
        <v>0</v>
      </c>
      <c r="F76" s="49">
        <f>'Avg Week KIKORONGO-BWERA'!F76+'Avg Week BWERA-KIKORONGO'!F76</f>
        <v>3</v>
      </c>
      <c r="G76" s="49">
        <f>'Avg Week KIKORONGO-BWERA'!G76+'Avg Week BWERA-KIKORONGO'!G76</f>
        <v>0</v>
      </c>
      <c r="H76" s="49">
        <f>'Avg Week KIKORONGO-BWERA'!H76+'Avg Week BWERA-KIKORONGO'!H76</f>
        <v>1.5</v>
      </c>
      <c r="I76" s="49">
        <f>'Avg Week KIKORONGO-BWERA'!I76+'Avg Week BWERA-KIKORONGO'!I76</f>
        <v>0</v>
      </c>
      <c r="J76" s="49">
        <f>'Avg Week KIKORONGO-BWERA'!J76+'Avg Week BWERA-KIKORONGO'!J76</f>
        <v>0</v>
      </c>
      <c r="K76" s="49">
        <f>'Avg Week KIKORONGO-BWERA'!K76+'Avg Week BWERA-KIKORONGO'!K76</f>
        <v>0</v>
      </c>
      <c r="L76" s="49">
        <f>'Avg Week KIKORONGO-BWERA'!L76+'Avg Week BWERA-KIKORONGO'!L76</f>
        <v>0</v>
      </c>
      <c r="M76" s="49">
        <f>'Avg Week KIKORONGO-BWERA'!M76+'Avg Week BWERA-KIKORONGO'!M76</f>
        <v>0</v>
      </c>
      <c r="N76" s="49">
        <f>'Avg Week KIKORONGO-BWERA'!N76+'Avg Week BWERA-KIKORONGO'!N76</f>
        <v>0</v>
      </c>
      <c r="O76" s="15">
        <f t="shared" si="35"/>
        <v>6</v>
      </c>
      <c r="P76" s="15">
        <f t="shared" si="36"/>
        <v>6</v>
      </c>
      <c r="R76" s="8"/>
      <c r="T76"/>
    </row>
    <row r="77" spans="2:20" ht="23.1" customHeight="1" x14ac:dyDescent="0.25">
      <c r="B77" s="23" t="s">
        <v>117</v>
      </c>
      <c r="C77" s="49">
        <f>'Avg Week KIKORONGO-BWERA'!C77+'Avg Week BWERA-KIKORONGO'!C77</f>
        <v>3</v>
      </c>
      <c r="D77" s="49">
        <f>0.45*('Avg Week KIKORONGO-BWERA'!E77+'Avg Week BWERA-KIKORONGO'!E77)</f>
        <v>0</v>
      </c>
      <c r="E77" s="49">
        <f>0.55*('Avg Week KIKORONGO-BWERA'!E77+'Avg Week BWERA-KIKORONGO'!E77)</f>
        <v>0</v>
      </c>
      <c r="F77" s="49">
        <f>'Avg Week KIKORONGO-BWERA'!F77+'Avg Week BWERA-KIKORONGO'!F77</f>
        <v>1.5</v>
      </c>
      <c r="G77" s="49">
        <f>'Avg Week KIKORONGO-BWERA'!G77+'Avg Week BWERA-KIKORONGO'!G77</f>
        <v>0</v>
      </c>
      <c r="H77" s="49">
        <f>'Avg Week KIKORONGO-BWERA'!H77+'Avg Week BWERA-KIKORONGO'!H77</f>
        <v>0.5</v>
      </c>
      <c r="I77" s="49">
        <f>'Avg Week KIKORONGO-BWERA'!I77+'Avg Week BWERA-KIKORONGO'!I77</f>
        <v>1.5</v>
      </c>
      <c r="J77" s="49">
        <f>'Avg Week KIKORONGO-BWERA'!J77+'Avg Week BWERA-KIKORONGO'!J77</f>
        <v>0.5</v>
      </c>
      <c r="K77" s="49">
        <f>'Avg Week KIKORONGO-BWERA'!K77+'Avg Week BWERA-KIKORONGO'!K77</f>
        <v>0</v>
      </c>
      <c r="L77" s="49">
        <f>'Avg Week KIKORONGO-BWERA'!L77+'Avg Week BWERA-KIKORONGO'!L77</f>
        <v>1</v>
      </c>
      <c r="M77" s="49">
        <f>'Avg Week KIKORONGO-BWERA'!M77+'Avg Week BWERA-KIKORONGO'!M77</f>
        <v>0</v>
      </c>
      <c r="N77" s="49">
        <f>'Avg Week KIKORONGO-BWERA'!N77+'Avg Week BWERA-KIKORONGO'!N77</f>
        <v>0</v>
      </c>
      <c r="O77" s="15">
        <f t="shared" si="35"/>
        <v>8</v>
      </c>
      <c r="P77" s="15">
        <f t="shared" si="36"/>
        <v>8</v>
      </c>
      <c r="R77" s="8"/>
      <c r="T77"/>
    </row>
    <row r="78" spans="2:20" ht="23.1" customHeight="1" x14ac:dyDescent="0.25">
      <c r="B78" s="24" t="s">
        <v>118</v>
      </c>
      <c r="C78" s="49">
        <f>'Avg Week KIKORONGO-BWERA'!C78+'Avg Week BWERA-KIKORONGO'!C78</f>
        <v>3</v>
      </c>
      <c r="D78" s="49">
        <f>0.45*('Avg Week KIKORONGO-BWERA'!E78+'Avg Week BWERA-KIKORONGO'!E78)</f>
        <v>0.22500000000000001</v>
      </c>
      <c r="E78" s="49">
        <f>0.55*('Avg Week KIKORONGO-BWERA'!E78+'Avg Week BWERA-KIKORONGO'!E78)</f>
        <v>0.27500000000000002</v>
      </c>
      <c r="F78" s="49">
        <f>'Avg Week KIKORONGO-BWERA'!F78+'Avg Week BWERA-KIKORONGO'!F78</f>
        <v>2</v>
      </c>
      <c r="G78" s="49">
        <f>'Avg Week KIKORONGO-BWERA'!G78+'Avg Week BWERA-KIKORONGO'!G78</f>
        <v>0</v>
      </c>
      <c r="H78" s="49">
        <f>'Avg Week KIKORONGO-BWERA'!H78+'Avg Week BWERA-KIKORONGO'!H78</f>
        <v>0.5</v>
      </c>
      <c r="I78" s="49">
        <f>'Avg Week KIKORONGO-BWERA'!I78+'Avg Week BWERA-KIKORONGO'!I78</f>
        <v>0</v>
      </c>
      <c r="J78" s="49">
        <f>'Avg Week KIKORONGO-BWERA'!J78+'Avg Week BWERA-KIKORONGO'!J78</f>
        <v>0</v>
      </c>
      <c r="K78" s="49">
        <f>'Avg Week KIKORONGO-BWERA'!K78+'Avg Week BWERA-KIKORONGO'!K78</f>
        <v>0</v>
      </c>
      <c r="L78" s="49">
        <f>'Avg Week KIKORONGO-BWERA'!L78+'Avg Week BWERA-KIKORONGO'!L78</f>
        <v>1.5</v>
      </c>
      <c r="M78" s="49">
        <f>'Avg Week KIKORONGO-BWERA'!M78+'Avg Week BWERA-KIKORONGO'!M78</f>
        <v>1</v>
      </c>
      <c r="N78" s="49">
        <f>'Avg Week KIKORONGO-BWERA'!N78+'Avg Week BWERA-KIKORONGO'!N78</f>
        <v>0</v>
      </c>
      <c r="O78" s="15">
        <f t="shared" si="35"/>
        <v>7.5</v>
      </c>
      <c r="P78" s="15">
        <f t="shared" si="36"/>
        <v>8.5</v>
      </c>
      <c r="R78" s="8"/>
      <c r="T78"/>
    </row>
    <row r="79" spans="2:20" ht="23.1" customHeight="1" x14ac:dyDescent="0.25">
      <c r="B79" s="23" t="s">
        <v>119</v>
      </c>
      <c r="C79" s="49">
        <f>'Avg Week KIKORONGO-BWERA'!C79+'Avg Week BWERA-KIKORONGO'!C79</f>
        <v>4</v>
      </c>
      <c r="D79" s="49">
        <f>0.45*('Avg Week KIKORONGO-BWERA'!E79+'Avg Week BWERA-KIKORONGO'!E79)</f>
        <v>0</v>
      </c>
      <c r="E79" s="49">
        <f>0.55*('Avg Week KIKORONGO-BWERA'!E79+'Avg Week BWERA-KIKORONGO'!E79)</f>
        <v>0</v>
      </c>
      <c r="F79" s="49">
        <f>'Avg Week KIKORONGO-BWERA'!F79+'Avg Week BWERA-KIKORONGO'!F79</f>
        <v>1</v>
      </c>
      <c r="G79" s="49">
        <f>'Avg Week KIKORONGO-BWERA'!G79+'Avg Week BWERA-KIKORONGO'!G79</f>
        <v>0</v>
      </c>
      <c r="H79" s="49">
        <f>'Avg Week KIKORONGO-BWERA'!H79+'Avg Week BWERA-KIKORONGO'!H79</f>
        <v>0</v>
      </c>
      <c r="I79" s="49">
        <f>'Avg Week KIKORONGO-BWERA'!I79+'Avg Week BWERA-KIKORONGO'!I79</f>
        <v>0.5</v>
      </c>
      <c r="J79" s="49">
        <f>'Avg Week KIKORONGO-BWERA'!J79+'Avg Week BWERA-KIKORONGO'!J79</f>
        <v>0</v>
      </c>
      <c r="K79" s="49">
        <f>'Avg Week KIKORONGO-BWERA'!K79+'Avg Week BWERA-KIKORONGO'!K79</f>
        <v>0</v>
      </c>
      <c r="L79" s="49">
        <f>'Avg Week KIKORONGO-BWERA'!L79+'Avg Week BWERA-KIKORONGO'!L79</f>
        <v>0</v>
      </c>
      <c r="M79" s="49">
        <f>'Avg Week KIKORONGO-BWERA'!M79+'Avg Week BWERA-KIKORONGO'!M79</f>
        <v>1.5</v>
      </c>
      <c r="N79" s="49">
        <f>'Avg Week KIKORONGO-BWERA'!N79+'Avg Week BWERA-KIKORONGO'!N79</f>
        <v>0</v>
      </c>
      <c r="O79" s="15">
        <f t="shared" si="35"/>
        <v>5.5</v>
      </c>
      <c r="P79" s="15">
        <f t="shared" si="36"/>
        <v>7</v>
      </c>
      <c r="R79" s="8"/>
      <c r="T79"/>
    </row>
    <row r="80" spans="2:20" ht="23.1" customHeight="1" x14ac:dyDescent="0.25">
      <c r="B80" s="25" t="s">
        <v>120</v>
      </c>
      <c r="C80" s="49">
        <f>'Avg Week KIKORONGO-BWERA'!C80+'Avg Week BWERA-KIKORONGO'!C80</f>
        <v>1.5</v>
      </c>
      <c r="D80" s="49">
        <f>0.45*('Avg Week KIKORONGO-BWERA'!E80+'Avg Week BWERA-KIKORONGO'!E80)</f>
        <v>0</v>
      </c>
      <c r="E80" s="49">
        <f>0.55*('Avg Week KIKORONGO-BWERA'!E80+'Avg Week BWERA-KIKORONGO'!E80)</f>
        <v>0</v>
      </c>
      <c r="F80" s="49">
        <f>'Avg Week KIKORONGO-BWERA'!F80+'Avg Week BWERA-KIKORONGO'!F80</f>
        <v>1.5</v>
      </c>
      <c r="G80" s="49">
        <f>'Avg Week KIKORONGO-BWERA'!G80+'Avg Week BWERA-KIKORONGO'!G80</f>
        <v>0</v>
      </c>
      <c r="H80" s="49">
        <f>'Avg Week KIKORONGO-BWERA'!H80+'Avg Week BWERA-KIKORONGO'!H80</f>
        <v>0</v>
      </c>
      <c r="I80" s="49">
        <f>'Avg Week KIKORONGO-BWERA'!I80+'Avg Week BWERA-KIKORONGO'!I80</f>
        <v>1</v>
      </c>
      <c r="J80" s="49">
        <f>'Avg Week KIKORONGO-BWERA'!J80+'Avg Week BWERA-KIKORONGO'!J80</f>
        <v>0</v>
      </c>
      <c r="K80" s="49">
        <f>'Avg Week KIKORONGO-BWERA'!K80+'Avg Week BWERA-KIKORONGO'!K80</f>
        <v>0</v>
      </c>
      <c r="L80" s="49">
        <f>'Avg Week KIKORONGO-BWERA'!L80+'Avg Week BWERA-KIKORONGO'!L80</f>
        <v>0</v>
      </c>
      <c r="M80" s="49">
        <f>'Avg Week KIKORONGO-BWERA'!M80+'Avg Week BWERA-KIKORONGO'!M80</f>
        <v>0.5</v>
      </c>
      <c r="N80" s="49">
        <f>'Avg Week KIKORONGO-BWERA'!N80+'Avg Week BWERA-KIKORONGO'!N80</f>
        <v>0</v>
      </c>
      <c r="O80" s="15">
        <f t="shared" si="35"/>
        <v>4</v>
      </c>
      <c r="P80" s="15">
        <f t="shared" si="36"/>
        <v>4.5</v>
      </c>
      <c r="R80" s="8"/>
      <c r="T80"/>
    </row>
    <row r="81" spans="2:20" ht="23.1" customHeight="1" x14ac:dyDescent="0.25">
      <c r="B81" s="23" t="s">
        <v>121</v>
      </c>
      <c r="C81" s="49">
        <f>'Avg Week KIKORONGO-BWERA'!C81+'Avg Week BWERA-KIKORONGO'!C81</f>
        <v>0</v>
      </c>
      <c r="D81" s="49">
        <f>0.45*('Avg Week KIKORONGO-BWERA'!E81+'Avg Week BWERA-KIKORONGO'!E81)</f>
        <v>0</v>
      </c>
      <c r="E81" s="49">
        <f>0.55*('Avg Week KIKORONGO-BWERA'!E81+'Avg Week BWERA-KIKORONGO'!E81)</f>
        <v>0</v>
      </c>
      <c r="F81" s="49">
        <f>'Avg Week KIKORONGO-BWERA'!F81+'Avg Week BWERA-KIKORONGO'!F81</f>
        <v>2</v>
      </c>
      <c r="G81" s="49">
        <f>'Avg Week KIKORONGO-BWERA'!G81+'Avg Week BWERA-KIKORONGO'!G81</f>
        <v>0</v>
      </c>
      <c r="H81" s="49">
        <f>'Avg Week KIKORONGO-BWERA'!H81+'Avg Week BWERA-KIKORONGO'!H81</f>
        <v>0.5</v>
      </c>
      <c r="I81" s="49">
        <f>'Avg Week KIKORONGO-BWERA'!I81+'Avg Week BWERA-KIKORONGO'!I81</f>
        <v>1</v>
      </c>
      <c r="J81" s="49">
        <f>'Avg Week KIKORONGO-BWERA'!J81+'Avg Week BWERA-KIKORONGO'!J81</f>
        <v>0</v>
      </c>
      <c r="K81" s="49">
        <f>'Avg Week KIKORONGO-BWERA'!K81+'Avg Week BWERA-KIKORONGO'!K81</f>
        <v>0</v>
      </c>
      <c r="L81" s="49">
        <f>'Avg Week KIKORONGO-BWERA'!L81+'Avg Week BWERA-KIKORONGO'!L81</f>
        <v>0.5</v>
      </c>
      <c r="M81" s="49">
        <f>'Avg Week KIKORONGO-BWERA'!M81+'Avg Week BWERA-KIKORONGO'!M81</f>
        <v>0</v>
      </c>
      <c r="N81" s="49">
        <f>'Avg Week KIKORONGO-BWERA'!N81+'Avg Week BWERA-KIKORONGO'!N81</f>
        <v>0</v>
      </c>
      <c r="O81" s="15">
        <f t="shared" si="35"/>
        <v>4</v>
      </c>
      <c r="P81" s="15">
        <f t="shared" si="36"/>
        <v>4</v>
      </c>
      <c r="R81" s="8"/>
      <c r="T81"/>
    </row>
    <row r="82" spans="2:20" ht="23.1" customHeight="1" x14ac:dyDescent="0.25">
      <c r="B82" s="24" t="s">
        <v>122</v>
      </c>
      <c r="C82" s="49">
        <f>'Avg Week KIKORONGO-BWERA'!C82+'Avg Week BWERA-KIKORONGO'!C82</f>
        <v>1.5</v>
      </c>
      <c r="D82" s="49">
        <f>0.45*('Avg Week KIKORONGO-BWERA'!E82+'Avg Week BWERA-KIKORONGO'!E82)</f>
        <v>0.22500000000000001</v>
      </c>
      <c r="E82" s="49">
        <f>0.55*('Avg Week KIKORONGO-BWERA'!E82+'Avg Week BWERA-KIKORONGO'!E82)</f>
        <v>0.27500000000000002</v>
      </c>
      <c r="F82" s="49">
        <f>'Avg Week KIKORONGO-BWERA'!F82+'Avg Week BWERA-KIKORONGO'!F82</f>
        <v>1</v>
      </c>
      <c r="G82" s="49">
        <f>'Avg Week KIKORONGO-BWERA'!G82+'Avg Week BWERA-KIKORONGO'!G82</f>
        <v>0</v>
      </c>
      <c r="H82" s="49">
        <f>'Avg Week KIKORONGO-BWERA'!H82+'Avg Week BWERA-KIKORONGO'!H82</f>
        <v>0</v>
      </c>
      <c r="I82" s="49">
        <f>'Avg Week KIKORONGO-BWERA'!I82+'Avg Week BWERA-KIKORONGO'!I82</f>
        <v>1</v>
      </c>
      <c r="J82" s="49">
        <f>'Avg Week KIKORONGO-BWERA'!J82+'Avg Week BWERA-KIKORONGO'!J82</f>
        <v>0</v>
      </c>
      <c r="K82" s="49">
        <f>'Avg Week KIKORONGO-BWERA'!K82+'Avg Week BWERA-KIKORONGO'!K82</f>
        <v>0</v>
      </c>
      <c r="L82" s="49">
        <f>'Avg Week KIKORONGO-BWERA'!L82+'Avg Week BWERA-KIKORONGO'!L82</f>
        <v>0.5</v>
      </c>
      <c r="M82" s="49">
        <f>'Avg Week KIKORONGO-BWERA'!M82+'Avg Week BWERA-KIKORONGO'!M82</f>
        <v>1.5</v>
      </c>
      <c r="N82" s="49">
        <f>'Avg Week KIKORONGO-BWERA'!N82+'Avg Week BWERA-KIKORONGO'!N82</f>
        <v>0</v>
      </c>
      <c r="O82" s="15">
        <f t="shared" si="35"/>
        <v>4.5</v>
      </c>
      <c r="P82" s="15">
        <f t="shared" si="36"/>
        <v>6</v>
      </c>
      <c r="R82" s="8"/>
      <c r="T82"/>
    </row>
    <row r="83" spans="2:20" ht="23.1" customHeight="1" x14ac:dyDescent="0.25">
      <c r="B83" s="23" t="s">
        <v>123</v>
      </c>
      <c r="C83" s="49">
        <f>'Avg Week KIKORONGO-BWERA'!C83+'Avg Week BWERA-KIKORONGO'!C83</f>
        <v>1.5</v>
      </c>
      <c r="D83" s="49">
        <f>0.45*('Avg Week KIKORONGO-BWERA'!E83+'Avg Week BWERA-KIKORONGO'!E83)</f>
        <v>0.45</v>
      </c>
      <c r="E83" s="49">
        <f>0.55*('Avg Week KIKORONGO-BWERA'!E83+'Avg Week BWERA-KIKORONGO'!E83)</f>
        <v>0.55000000000000004</v>
      </c>
      <c r="F83" s="49">
        <f>'Avg Week KIKORONGO-BWERA'!F83+'Avg Week BWERA-KIKORONGO'!F83</f>
        <v>0</v>
      </c>
      <c r="G83" s="49">
        <f>'Avg Week KIKORONGO-BWERA'!G83+'Avg Week BWERA-KIKORONGO'!G83</f>
        <v>0</v>
      </c>
      <c r="H83" s="49">
        <f>'Avg Week KIKORONGO-BWERA'!H83+'Avg Week BWERA-KIKORONGO'!H83</f>
        <v>0</v>
      </c>
      <c r="I83" s="49">
        <f>'Avg Week KIKORONGO-BWERA'!I83+'Avg Week BWERA-KIKORONGO'!I83</f>
        <v>1</v>
      </c>
      <c r="J83" s="49">
        <f>'Avg Week KIKORONGO-BWERA'!J83+'Avg Week BWERA-KIKORONGO'!J83</f>
        <v>0</v>
      </c>
      <c r="K83" s="49">
        <f>'Avg Week KIKORONGO-BWERA'!K83+'Avg Week BWERA-KIKORONGO'!K83</f>
        <v>0</v>
      </c>
      <c r="L83" s="49">
        <f>'Avg Week KIKORONGO-BWERA'!L83+'Avg Week BWERA-KIKORONGO'!L83</f>
        <v>0.5</v>
      </c>
      <c r="M83" s="49">
        <f>'Avg Week KIKORONGO-BWERA'!M83+'Avg Week BWERA-KIKORONGO'!M83</f>
        <v>0</v>
      </c>
      <c r="N83" s="49">
        <f>'Avg Week KIKORONGO-BWERA'!N83+'Avg Week BWERA-KIKORONGO'!N83</f>
        <v>0</v>
      </c>
      <c r="O83" s="15">
        <f t="shared" si="35"/>
        <v>4</v>
      </c>
      <c r="P83" s="15">
        <f t="shared" si="36"/>
        <v>4</v>
      </c>
      <c r="R83" s="8"/>
      <c r="T83"/>
    </row>
    <row r="84" spans="2:20" ht="23.1" customHeight="1" x14ac:dyDescent="0.25">
      <c r="B84" s="25" t="s">
        <v>124</v>
      </c>
      <c r="C84" s="49">
        <f>'Avg Week KIKORONGO-BWERA'!C84+'Avg Week BWERA-KIKORONGO'!C84</f>
        <v>0</v>
      </c>
      <c r="D84" s="49">
        <f>0.45*('Avg Week KIKORONGO-BWERA'!E84+'Avg Week BWERA-KIKORONGO'!E84)</f>
        <v>0.22500000000000001</v>
      </c>
      <c r="E84" s="49">
        <f>0.55*('Avg Week KIKORONGO-BWERA'!E84+'Avg Week BWERA-KIKORONGO'!E84)</f>
        <v>0.27500000000000002</v>
      </c>
      <c r="F84" s="49">
        <f>'Avg Week KIKORONGO-BWERA'!F84+'Avg Week BWERA-KIKORONGO'!F84</f>
        <v>0.5</v>
      </c>
      <c r="G84" s="49">
        <f>'Avg Week KIKORONGO-BWERA'!G84+'Avg Week BWERA-KIKORONGO'!G84</f>
        <v>0</v>
      </c>
      <c r="H84" s="49">
        <f>'Avg Week KIKORONGO-BWERA'!H84+'Avg Week BWERA-KIKORONGO'!H84</f>
        <v>0</v>
      </c>
      <c r="I84" s="49">
        <f>'Avg Week KIKORONGO-BWERA'!I84+'Avg Week BWERA-KIKORONGO'!I84</f>
        <v>1</v>
      </c>
      <c r="J84" s="49">
        <f>'Avg Week KIKORONGO-BWERA'!J84+'Avg Week BWERA-KIKORONGO'!J84</f>
        <v>0</v>
      </c>
      <c r="K84" s="49">
        <f>'Avg Week KIKORONGO-BWERA'!K84+'Avg Week BWERA-KIKORONGO'!K84</f>
        <v>0</v>
      </c>
      <c r="L84" s="49">
        <f>'Avg Week KIKORONGO-BWERA'!L84+'Avg Week BWERA-KIKORONGO'!L84</f>
        <v>1</v>
      </c>
      <c r="M84" s="49">
        <f>'Avg Week KIKORONGO-BWERA'!M84+'Avg Week BWERA-KIKORONGO'!M84</f>
        <v>0</v>
      </c>
      <c r="N84" s="49">
        <f>'Avg Week KIKORONGO-BWERA'!N84+'Avg Week BWERA-KIKORONGO'!N84</f>
        <v>0</v>
      </c>
      <c r="O84" s="15">
        <f t="shared" si="35"/>
        <v>3</v>
      </c>
      <c r="P84" s="15">
        <f t="shared" si="36"/>
        <v>3</v>
      </c>
      <c r="R84" s="8"/>
      <c r="T84"/>
    </row>
    <row r="85" spans="2:20" ht="23.1" customHeight="1" x14ac:dyDescent="0.25">
      <c r="B85" s="23" t="s">
        <v>125</v>
      </c>
      <c r="C85" s="49">
        <f>'Avg Week KIKORONGO-BWERA'!C85+'Avg Week BWERA-KIKORONGO'!C85</f>
        <v>1.5</v>
      </c>
      <c r="D85" s="49">
        <f>0.45*('Avg Week KIKORONGO-BWERA'!E85+'Avg Week BWERA-KIKORONGO'!E85)</f>
        <v>0.22500000000000001</v>
      </c>
      <c r="E85" s="49">
        <f>0.55*('Avg Week KIKORONGO-BWERA'!E85+'Avg Week BWERA-KIKORONGO'!E85)</f>
        <v>0.27500000000000002</v>
      </c>
      <c r="F85" s="49">
        <f>'Avg Week KIKORONGO-BWERA'!F85+'Avg Week BWERA-KIKORONGO'!F85</f>
        <v>2.5</v>
      </c>
      <c r="G85" s="49">
        <f>'Avg Week KIKORONGO-BWERA'!G85+'Avg Week BWERA-KIKORONGO'!G85</f>
        <v>0</v>
      </c>
      <c r="H85" s="49">
        <f>'Avg Week KIKORONGO-BWERA'!H85+'Avg Week BWERA-KIKORONGO'!H85</f>
        <v>0</v>
      </c>
      <c r="I85" s="49">
        <f>'Avg Week KIKORONGO-BWERA'!I85+'Avg Week BWERA-KIKORONGO'!I85</f>
        <v>1</v>
      </c>
      <c r="J85" s="49">
        <f>'Avg Week KIKORONGO-BWERA'!J85+'Avg Week BWERA-KIKORONGO'!J85</f>
        <v>0</v>
      </c>
      <c r="K85" s="49">
        <f>'Avg Week KIKORONGO-BWERA'!K85+'Avg Week BWERA-KIKORONGO'!K85</f>
        <v>0</v>
      </c>
      <c r="L85" s="49">
        <f>'Avg Week KIKORONGO-BWERA'!L85+'Avg Week BWERA-KIKORONGO'!L85</f>
        <v>0</v>
      </c>
      <c r="M85" s="49">
        <f>'Avg Week KIKORONGO-BWERA'!M85+'Avg Week BWERA-KIKORONGO'!M85</f>
        <v>0</v>
      </c>
      <c r="N85" s="49">
        <f>'Avg Week KIKORONGO-BWERA'!N85+'Avg Week BWERA-KIKORONGO'!N85</f>
        <v>0</v>
      </c>
      <c r="O85" s="15">
        <f t="shared" si="35"/>
        <v>5.5</v>
      </c>
      <c r="P85" s="15">
        <f t="shared" si="36"/>
        <v>5.5</v>
      </c>
      <c r="R85" s="8"/>
      <c r="T85"/>
    </row>
    <row r="86" spans="2:20" ht="23.1" customHeight="1" x14ac:dyDescent="0.25">
      <c r="B86" s="24" t="s">
        <v>126</v>
      </c>
      <c r="C86" s="49">
        <f>'Avg Week KIKORONGO-BWERA'!C86+'Avg Week BWERA-KIKORONGO'!C86</f>
        <v>1</v>
      </c>
      <c r="D86" s="49">
        <f>0.45*('Avg Week KIKORONGO-BWERA'!E86+'Avg Week BWERA-KIKORONGO'!E86)</f>
        <v>0</v>
      </c>
      <c r="E86" s="49">
        <f>0.55*('Avg Week KIKORONGO-BWERA'!E86+'Avg Week BWERA-KIKORONGO'!E86)</f>
        <v>0</v>
      </c>
      <c r="F86" s="49">
        <f>'Avg Week KIKORONGO-BWERA'!F86+'Avg Week BWERA-KIKORONGO'!F86</f>
        <v>2.5</v>
      </c>
      <c r="G86" s="49">
        <f>'Avg Week KIKORONGO-BWERA'!G86+'Avg Week BWERA-KIKORONGO'!G86</f>
        <v>0</v>
      </c>
      <c r="H86" s="49">
        <f>'Avg Week KIKORONGO-BWERA'!H86+'Avg Week BWERA-KIKORONGO'!H86</f>
        <v>0</v>
      </c>
      <c r="I86" s="49">
        <f>'Avg Week KIKORONGO-BWERA'!I86+'Avg Week BWERA-KIKORONGO'!I86</f>
        <v>0</v>
      </c>
      <c r="J86" s="49">
        <f>'Avg Week KIKORONGO-BWERA'!J86+'Avg Week BWERA-KIKORONGO'!J86</f>
        <v>0</v>
      </c>
      <c r="K86" s="49">
        <f>'Avg Week KIKORONGO-BWERA'!K86+'Avg Week BWERA-KIKORONGO'!K86</f>
        <v>0</v>
      </c>
      <c r="L86" s="49">
        <f>'Avg Week KIKORONGO-BWERA'!L86+'Avg Week BWERA-KIKORONGO'!L86</f>
        <v>0</v>
      </c>
      <c r="M86" s="49">
        <f>'Avg Week KIKORONGO-BWERA'!M86+'Avg Week BWERA-KIKORONGO'!M86</f>
        <v>0.5</v>
      </c>
      <c r="N86" s="49">
        <f>'Avg Week KIKORONGO-BWERA'!N86+'Avg Week BWERA-KIKORONGO'!N86</f>
        <v>0</v>
      </c>
      <c r="O86" s="15">
        <f t="shared" si="35"/>
        <v>3.5</v>
      </c>
      <c r="P86" s="15">
        <f t="shared" si="36"/>
        <v>4</v>
      </c>
      <c r="R86" s="8"/>
      <c r="T86"/>
    </row>
    <row r="87" spans="2:20" ht="23.1" customHeight="1" x14ac:dyDescent="0.25">
      <c r="B87" s="23" t="s">
        <v>127</v>
      </c>
      <c r="C87" s="49">
        <f>'Avg Week KIKORONGO-BWERA'!C87+'Avg Week BWERA-KIKORONGO'!C87</f>
        <v>1</v>
      </c>
      <c r="D87" s="49">
        <f>0.45*('Avg Week KIKORONGO-BWERA'!E87+'Avg Week BWERA-KIKORONGO'!E87)</f>
        <v>0</v>
      </c>
      <c r="E87" s="49">
        <f>0.55*('Avg Week KIKORONGO-BWERA'!E87+'Avg Week BWERA-KIKORONGO'!E87)</f>
        <v>0</v>
      </c>
      <c r="F87" s="49">
        <f>'Avg Week KIKORONGO-BWERA'!F87+'Avg Week BWERA-KIKORONGO'!F87</f>
        <v>3</v>
      </c>
      <c r="G87" s="49">
        <f>'Avg Week KIKORONGO-BWERA'!G87+'Avg Week BWERA-KIKORONGO'!G87</f>
        <v>0</v>
      </c>
      <c r="H87" s="49">
        <f>'Avg Week KIKORONGO-BWERA'!H87+'Avg Week BWERA-KIKORONGO'!H87</f>
        <v>0</v>
      </c>
      <c r="I87" s="49">
        <f>'Avg Week KIKORONGO-BWERA'!I87+'Avg Week BWERA-KIKORONGO'!I87</f>
        <v>1.5</v>
      </c>
      <c r="J87" s="49">
        <f>'Avg Week KIKORONGO-BWERA'!J87+'Avg Week BWERA-KIKORONGO'!J87</f>
        <v>0</v>
      </c>
      <c r="K87" s="49">
        <f>'Avg Week KIKORONGO-BWERA'!K87+'Avg Week BWERA-KIKORONGO'!K87</f>
        <v>0</v>
      </c>
      <c r="L87" s="49">
        <f>'Avg Week KIKORONGO-BWERA'!L87+'Avg Week BWERA-KIKORONGO'!L87</f>
        <v>1</v>
      </c>
      <c r="M87" s="49">
        <f>'Avg Week KIKORONGO-BWERA'!M87+'Avg Week BWERA-KIKORONGO'!M87</f>
        <v>0</v>
      </c>
      <c r="N87" s="49">
        <f>'Avg Week KIKORONGO-BWERA'!N87+'Avg Week BWERA-KIKORONGO'!N87</f>
        <v>0</v>
      </c>
      <c r="O87" s="15">
        <f t="shared" si="35"/>
        <v>6.5</v>
      </c>
      <c r="P87" s="15">
        <f t="shared" si="36"/>
        <v>6.5</v>
      </c>
      <c r="R87" s="8"/>
      <c r="T87"/>
    </row>
    <row r="88" spans="2:20" ht="23.1" customHeight="1" x14ac:dyDescent="0.25">
      <c r="B88" s="25" t="s">
        <v>128</v>
      </c>
      <c r="C88" s="49">
        <f>'Avg Week KIKORONGO-BWERA'!C88+'Avg Week BWERA-KIKORONGO'!C88</f>
        <v>2.5</v>
      </c>
      <c r="D88" s="49">
        <f>0.45*('Avg Week KIKORONGO-BWERA'!E88+'Avg Week BWERA-KIKORONGO'!E88)</f>
        <v>0.22500000000000001</v>
      </c>
      <c r="E88" s="49">
        <f>0.55*('Avg Week KIKORONGO-BWERA'!E88+'Avg Week BWERA-KIKORONGO'!E88)</f>
        <v>0.27500000000000002</v>
      </c>
      <c r="F88" s="49">
        <f>'Avg Week KIKORONGO-BWERA'!F88+'Avg Week BWERA-KIKORONGO'!F88</f>
        <v>2</v>
      </c>
      <c r="G88" s="49">
        <f>'Avg Week KIKORONGO-BWERA'!G88+'Avg Week BWERA-KIKORONGO'!G88</f>
        <v>0</v>
      </c>
      <c r="H88" s="49">
        <f>'Avg Week KIKORONGO-BWERA'!H88+'Avg Week BWERA-KIKORONGO'!H88</f>
        <v>0</v>
      </c>
      <c r="I88" s="49">
        <f>'Avg Week KIKORONGO-BWERA'!I88+'Avg Week BWERA-KIKORONGO'!I88</f>
        <v>1</v>
      </c>
      <c r="J88" s="49">
        <f>'Avg Week KIKORONGO-BWERA'!J88+'Avg Week BWERA-KIKORONGO'!J88</f>
        <v>0</v>
      </c>
      <c r="K88" s="49">
        <f>'Avg Week KIKORONGO-BWERA'!K88+'Avg Week BWERA-KIKORONGO'!K88</f>
        <v>0</v>
      </c>
      <c r="L88" s="49">
        <f>'Avg Week KIKORONGO-BWERA'!L88+'Avg Week BWERA-KIKORONGO'!L88</f>
        <v>1</v>
      </c>
      <c r="M88" s="49">
        <f>'Avg Week KIKORONGO-BWERA'!M88+'Avg Week BWERA-KIKORONGO'!M88</f>
        <v>0</v>
      </c>
      <c r="N88" s="49">
        <f>'Avg Week KIKORONGO-BWERA'!N88+'Avg Week BWERA-KIKORONGO'!N88</f>
        <v>0</v>
      </c>
      <c r="O88" s="15">
        <f t="shared" si="35"/>
        <v>7</v>
      </c>
      <c r="P88" s="15">
        <f t="shared" si="36"/>
        <v>7</v>
      </c>
      <c r="R88" s="8"/>
      <c r="T88"/>
    </row>
    <row r="89" spans="2:20" ht="23.1" customHeight="1" x14ac:dyDescent="0.25">
      <c r="B89" s="23" t="s">
        <v>129</v>
      </c>
      <c r="C89" s="49">
        <f>'Avg Week KIKORONGO-BWERA'!C89+'Avg Week BWERA-KIKORONGO'!C89</f>
        <v>1.5</v>
      </c>
      <c r="D89" s="49">
        <f>0.45*('Avg Week KIKORONGO-BWERA'!E89+'Avg Week BWERA-KIKORONGO'!E89)</f>
        <v>0</v>
      </c>
      <c r="E89" s="49">
        <f>0.55*('Avg Week KIKORONGO-BWERA'!E89+'Avg Week BWERA-KIKORONGO'!E89)</f>
        <v>0</v>
      </c>
      <c r="F89" s="49">
        <f>'Avg Week KIKORONGO-BWERA'!F89+'Avg Week BWERA-KIKORONGO'!F89</f>
        <v>1.5</v>
      </c>
      <c r="G89" s="49">
        <f>'Avg Week KIKORONGO-BWERA'!G89+'Avg Week BWERA-KIKORONGO'!G89</f>
        <v>0</v>
      </c>
      <c r="H89" s="49">
        <f>'Avg Week KIKORONGO-BWERA'!H89+'Avg Week BWERA-KIKORONGO'!H89</f>
        <v>0</v>
      </c>
      <c r="I89" s="49">
        <f>'Avg Week KIKORONGO-BWERA'!I89+'Avg Week BWERA-KIKORONGO'!I89</f>
        <v>1</v>
      </c>
      <c r="J89" s="49">
        <f>'Avg Week KIKORONGO-BWERA'!J89+'Avg Week BWERA-KIKORONGO'!J89</f>
        <v>0</v>
      </c>
      <c r="K89" s="49">
        <f>'Avg Week KIKORONGO-BWERA'!K89+'Avg Week BWERA-KIKORONGO'!K89</f>
        <v>0</v>
      </c>
      <c r="L89" s="49">
        <f>'Avg Week KIKORONGO-BWERA'!L89+'Avg Week BWERA-KIKORONGO'!L89</f>
        <v>0</v>
      </c>
      <c r="M89" s="49">
        <f>'Avg Week KIKORONGO-BWERA'!M89+'Avg Week BWERA-KIKORONGO'!M89</f>
        <v>0</v>
      </c>
      <c r="N89" s="49">
        <f>'Avg Week KIKORONGO-BWERA'!N89+'Avg Week BWERA-KIKORONGO'!N89</f>
        <v>0</v>
      </c>
      <c r="O89" s="15">
        <f t="shared" si="35"/>
        <v>4</v>
      </c>
      <c r="P89" s="15">
        <f t="shared" si="36"/>
        <v>4</v>
      </c>
      <c r="R89" s="8"/>
      <c r="T89"/>
    </row>
    <row r="90" spans="2:20" ht="23.1" customHeight="1" x14ac:dyDescent="0.25">
      <c r="B90" s="24" t="s">
        <v>130</v>
      </c>
      <c r="C90" s="49">
        <f>'Avg Week KIKORONGO-BWERA'!C90+'Avg Week BWERA-KIKORONGO'!C90</f>
        <v>2.5</v>
      </c>
      <c r="D90" s="49">
        <f>0.45*('Avg Week KIKORONGO-BWERA'!E90+'Avg Week BWERA-KIKORONGO'!E90)</f>
        <v>0.45</v>
      </c>
      <c r="E90" s="49">
        <f>0.55*('Avg Week KIKORONGO-BWERA'!E90+'Avg Week BWERA-KIKORONGO'!E90)</f>
        <v>0.55000000000000004</v>
      </c>
      <c r="F90" s="49">
        <f>'Avg Week KIKORONGO-BWERA'!F90+'Avg Week BWERA-KIKORONGO'!F90</f>
        <v>0.5</v>
      </c>
      <c r="G90" s="49">
        <f>'Avg Week KIKORONGO-BWERA'!G90+'Avg Week BWERA-KIKORONGO'!G90</f>
        <v>0</v>
      </c>
      <c r="H90" s="49">
        <f>'Avg Week KIKORONGO-BWERA'!H90+'Avg Week BWERA-KIKORONGO'!H90</f>
        <v>0</v>
      </c>
      <c r="I90" s="49">
        <f>'Avg Week KIKORONGO-BWERA'!I90+'Avg Week BWERA-KIKORONGO'!I90</f>
        <v>0</v>
      </c>
      <c r="J90" s="49">
        <f>'Avg Week KIKORONGO-BWERA'!J90+'Avg Week BWERA-KIKORONGO'!J90</f>
        <v>0</v>
      </c>
      <c r="K90" s="49">
        <f>'Avg Week KIKORONGO-BWERA'!K90+'Avg Week BWERA-KIKORONGO'!K90</f>
        <v>0</v>
      </c>
      <c r="L90" s="49">
        <f>'Avg Week KIKORONGO-BWERA'!L90+'Avg Week BWERA-KIKORONGO'!L90</f>
        <v>1</v>
      </c>
      <c r="M90" s="49">
        <f>'Avg Week KIKORONGO-BWERA'!M90+'Avg Week BWERA-KIKORONGO'!M90</f>
        <v>0</v>
      </c>
      <c r="N90" s="49">
        <f>'Avg Week KIKORONGO-BWERA'!N90+'Avg Week BWERA-KIKORONGO'!N90</f>
        <v>0</v>
      </c>
      <c r="O90" s="15">
        <f t="shared" si="35"/>
        <v>5</v>
      </c>
      <c r="P90" s="15">
        <f t="shared" si="36"/>
        <v>5</v>
      </c>
      <c r="R90" s="8"/>
      <c r="T90"/>
    </row>
    <row r="91" spans="2:20" ht="23.1" customHeight="1" x14ac:dyDescent="0.25">
      <c r="B91" s="23" t="s">
        <v>131</v>
      </c>
      <c r="C91" s="49">
        <f>'Avg Week KIKORONGO-BWERA'!C91+'Avg Week BWERA-KIKORONGO'!C91</f>
        <v>1.5</v>
      </c>
      <c r="D91" s="49">
        <f>0.45*('Avg Week KIKORONGO-BWERA'!E91+'Avg Week BWERA-KIKORONGO'!E91)</f>
        <v>0.45</v>
      </c>
      <c r="E91" s="49">
        <f>0.55*('Avg Week KIKORONGO-BWERA'!E91+'Avg Week BWERA-KIKORONGO'!E91)</f>
        <v>0.55000000000000004</v>
      </c>
      <c r="F91" s="49">
        <f>'Avg Week KIKORONGO-BWERA'!F91+'Avg Week BWERA-KIKORONGO'!F91</f>
        <v>1.5</v>
      </c>
      <c r="G91" s="49">
        <f>'Avg Week KIKORONGO-BWERA'!G91+'Avg Week BWERA-KIKORONGO'!G91</f>
        <v>0</v>
      </c>
      <c r="H91" s="49">
        <f>'Avg Week KIKORONGO-BWERA'!H91+'Avg Week BWERA-KIKORONGO'!H91</f>
        <v>0.5</v>
      </c>
      <c r="I91" s="49">
        <f>'Avg Week KIKORONGO-BWERA'!I91+'Avg Week BWERA-KIKORONGO'!I91</f>
        <v>1</v>
      </c>
      <c r="J91" s="49">
        <f>'Avg Week KIKORONGO-BWERA'!J91+'Avg Week BWERA-KIKORONGO'!J91</f>
        <v>0</v>
      </c>
      <c r="K91" s="49">
        <f>'Avg Week KIKORONGO-BWERA'!K91+'Avg Week BWERA-KIKORONGO'!K91</f>
        <v>0</v>
      </c>
      <c r="L91" s="49">
        <f>'Avg Week KIKORONGO-BWERA'!L91+'Avg Week BWERA-KIKORONGO'!L91</f>
        <v>0</v>
      </c>
      <c r="M91" s="49">
        <f>'Avg Week KIKORONGO-BWERA'!M91+'Avg Week BWERA-KIKORONGO'!M91</f>
        <v>1</v>
      </c>
      <c r="N91" s="49">
        <f>'Avg Week KIKORONGO-BWERA'!N91+'Avg Week BWERA-KIKORONGO'!N91</f>
        <v>0</v>
      </c>
      <c r="O91" s="15">
        <f t="shared" si="35"/>
        <v>5.5</v>
      </c>
      <c r="P91" s="15">
        <f t="shared" si="36"/>
        <v>6.5</v>
      </c>
      <c r="R91" s="8"/>
      <c r="T91"/>
    </row>
    <row r="92" spans="2:20" ht="23.1" customHeight="1" x14ac:dyDescent="0.25">
      <c r="B92" s="25" t="s">
        <v>132</v>
      </c>
      <c r="C92" s="49">
        <f>'Avg Week KIKORONGO-BWERA'!C92+'Avg Week BWERA-KIKORONGO'!C92</f>
        <v>0.5</v>
      </c>
      <c r="D92" s="49">
        <f>0.45*('Avg Week KIKORONGO-BWERA'!E92+'Avg Week BWERA-KIKORONGO'!E92)</f>
        <v>0.9</v>
      </c>
      <c r="E92" s="49">
        <f>0.55*('Avg Week KIKORONGO-BWERA'!E92+'Avg Week BWERA-KIKORONGO'!E92)</f>
        <v>1.1000000000000001</v>
      </c>
      <c r="F92" s="49">
        <f>'Avg Week KIKORONGO-BWERA'!F92+'Avg Week BWERA-KIKORONGO'!F92</f>
        <v>1.5</v>
      </c>
      <c r="G92" s="49">
        <f>'Avg Week KIKORONGO-BWERA'!G92+'Avg Week BWERA-KIKORONGO'!G92</f>
        <v>0</v>
      </c>
      <c r="H92" s="49">
        <f>'Avg Week KIKORONGO-BWERA'!H92+'Avg Week BWERA-KIKORONGO'!H92</f>
        <v>0.5</v>
      </c>
      <c r="I92" s="49">
        <f>'Avg Week KIKORONGO-BWERA'!I92+'Avg Week BWERA-KIKORONGO'!I92</f>
        <v>0.5</v>
      </c>
      <c r="J92" s="49">
        <f>'Avg Week KIKORONGO-BWERA'!J92+'Avg Week BWERA-KIKORONGO'!J92</f>
        <v>0</v>
      </c>
      <c r="K92" s="49">
        <f>'Avg Week KIKORONGO-BWERA'!K92+'Avg Week BWERA-KIKORONGO'!K92</f>
        <v>0</v>
      </c>
      <c r="L92" s="49">
        <f>'Avg Week KIKORONGO-BWERA'!L92+'Avg Week BWERA-KIKORONGO'!L92</f>
        <v>1</v>
      </c>
      <c r="M92" s="49">
        <f>'Avg Week KIKORONGO-BWERA'!M92+'Avg Week BWERA-KIKORONGO'!M92</f>
        <v>2</v>
      </c>
      <c r="N92" s="49">
        <f>'Avg Week KIKORONGO-BWERA'!N92+'Avg Week BWERA-KIKORONGO'!N92</f>
        <v>0</v>
      </c>
      <c r="O92" s="15">
        <f t="shared" si="35"/>
        <v>6</v>
      </c>
      <c r="P92" s="15">
        <f t="shared" si="36"/>
        <v>8</v>
      </c>
      <c r="R92" s="8"/>
      <c r="T92"/>
    </row>
    <row r="93" spans="2:20" ht="23.1" customHeight="1" x14ac:dyDescent="0.25">
      <c r="B93" s="23" t="s">
        <v>133</v>
      </c>
      <c r="C93" s="49">
        <f>'Avg Week KIKORONGO-BWERA'!C93+'Avg Week BWERA-KIKORONGO'!C93</f>
        <v>0</v>
      </c>
      <c r="D93" s="49">
        <f>0.45*('Avg Week KIKORONGO-BWERA'!E93+'Avg Week BWERA-KIKORONGO'!E93)</f>
        <v>0.45</v>
      </c>
      <c r="E93" s="49">
        <f>0.55*('Avg Week KIKORONGO-BWERA'!E93+'Avg Week BWERA-KIKORONGO'!E93)</f>
        <v>0.55000000000000004</v>
      </c>
      <c r="F93" s="49">
        <f>'Avg Week KIKORONGO-BWERA'!F93+'Avg Week BWERA-KIKORONGO'!F93</f>
        <v>3</v>
      </c>
      <c r="G93" s="49">
        <f>'Avg Week KIKORONGO-BWERA'!G93+'Avg Week BWERA-KIKORONGO'!G93</f>
        <v>0</v>
      </c>
      <c r="H93" s="49">
        <f>'Avg Week KIKORONGO-BWERA'!H93+'Avg Week BWERA-KIKORONGO'!H93</f>
        <v>0</v>
      </c>
      <c r="I93" s="49">
        <f>'Avg Week KIKORONGO-BWERA'!I93+'Avg Week BWERA-KIKORONGO'!I93</f>
        <v>1.5</v>
      </c>
      <c r="J93" s="49">
        <f>'Avg Week KIKORONGO-BWERA'!J93+'Avg Week BWERA-KIKORONGO'!J93</f>
        <v>0</v>
      </c>
      <c r="K93" s="49">
        <f>'Avg Week KIKORONGO-BWERA'!K93+'Avg Week BWERA-KIKORONGO'!K93</f>
        <v>0</v>
      </c>
      <c r="L93" s="49">
        <f>'Avg Week KIKORONGO-BWERA'!L93+'Avg Week BWERA-KIKORONGO'!L93</f>
        <v>1</v>
      </c>
      <c r="M93" s="49">
        <f>'Avg Week KIKORONGO-BWERA'!M93+'Avg Week BWERA-KIKORONGO'!M93</f>
        <v>0</v>
      </c>
      <c r="N93" s="49">
        <f>'Avg Week KIKORONGO-BWERA'!N93+'Avg Week BWERA-KIKORONGO'!N93</f>
        <v>0</v>
      </c>
      <c r="O93" s="15">
        <f t="shared" si="35"/>
        <v>6.5</v>
      </c>
      <c r="P93" s="15">
        <f t="shared" si="36"/>
        <v>6.5</v>
      </c>
      <c r="R93" s="8"/>
      <c r="T93"/>
    </row>
    <row r="94" spans="2:20" ht="23.1" customHeight="1" x14ac:dyDescent="0.25">
      <c r="B94" s="24" t="s">
        <v>134</v>
      </c>
      <c r="C94" s="49">
        <f>'Avg Week KIKORONGO-BWERA'!C94+'Avg Week BWERA-KIKORONGO'!C94</f>
        <v>2.5</v>
      </c>
      <c r="D94" s="49">
        <f>0.45*('Avg Week KIKORONGO-BWERA'!E94+'Avg Week BWERA-KIKORONGO'!E94)</f>
        <v>0.22500000000000001</v>
      </c>
      <c r="E94" s="49">
        <f>0.55*('Avg Week KIKORONGO-BWERA'!E94+'Avg Week BWERA-KIKORONGO'!E94)</f>
        <v>0.27500000000000002</v>
      </c>
      <c r="F94" s="49">
        <f>'Avg Week KIKORONGO-BWERA'!F94+'Avg Week BWERA-KIKORONGO'!F94</f>
        <v>1</v>
      </c>
      <c r="G94" s="49">
        <f>'Avg Week KIKORONGO-BWERA'!G94+'Avg Week BWERA-KIKORONGO'!G94</f>
        <v>0</v>
      </c>
      <c r="H94" s="49">
        <f>'Avg Week KIKORONGO-BWERA'!H94+'Avg Week BWERA-KIKORONGO'!H94</f>
        <v>0.5</v>
      </c>
      <c r="I94" s="49">
        <f>'Avg Week KIKORONGO-BWERA'!I94+'Avg Week BWERA-KIKORONGO'!I94</f>
        <v>1</v>
      </c>
      <c r="J94" s="49">
        <f>'Avg Week KIKORONGO-BWERA'!J94+'Avg Week BWERA-KIKORONGO'!J94</f>
        <v>0</v>
      </c>
      <c r="K94" s="49">
        <f>'Avg Week KIKORONGO-BWERA'!K94+'Avg Week BWERA-KIKORONGO'!K94</f>
        <v>0</v>
      </c>
      <c r="L94" s="49">
        <f>'Avg Week KIKORONGO-BWERA'!L94+'Avg Week BWERA-KIKORONGO'!L94</f>
        <v>0</v>
      </c>
      <c r="M94" s="49">
        <f>'Avg Week KIKORONGO-BWERA'!M94+'Avg Week BWERA-KIKORONGO'!M94</f>
        <v>1.5</v>
      </c>
      <c r="N94" s="49">
        <f>'Avg Week KIKORONGO-BWERA'!N94+'Avg Week BWERA-KIKORONGO'!N94</f>
        <v>0</v>
      </c>
      <c r="O94" s="15">
        <f t="shared" si="35"/>
        <v>5.5</v>
      </c>
      <c r="P94" s="15">
        <f t="shared" si="36"/>
        <v>7</v>
      </c>
      <c r="R94" s="8"/>
      <c r="T94"/>
    </row>
    <row r="95" spans="2:20" ht="23.1" customHeight="1" x14ac:dyDescent="0.25">
      <c r="B95" s="23" t="s">
        <v>135</v>
      </c>
      <c r="C95" s="49">
        <f>'Avg Week KIKORONGO-BWERA'!C95+'Avg Week BWERA-KIKORONGO'!C95</f>
        <v>1</v>
      </c>
      <c r="D95" s="49">
        <f>0.45*('Avg Week KIKORONGO-BWERA'!E95+'Avg Week BWERA-KIKORONGO'!E95)</f>
        <v>0.45</v>
      </c>
      <c r="E95" s="49">
        <f>0.55*('Avg Week KIKORONGO-BWERA'!E95+'Avg Week BWERA-KIKORONGO'!E95)</f>
        <v>0.55000000000000004</v>
      </c>
      <c r="F95" s="49">
        <f>'Avg Week KIKORONGO-BWERA'!F95+'Avg Week BWERA-KIKORONGO'!F95</f>
        <v>1</v>
      </c>
      <c r="G95" s="49">
        <f>'Avg Week KIKORONGO-BWERA'!G95+'Avg Week BWERA-KIKORONGO'!G95</f>
        <v>0</v>
      </c>
      <c r="H95" s="49">
        <f>'Avg Week KIKORONGO-BWERA'!H95+'Avg Week BWERA-KIKORONGO'!H95</f>
        <v>1</v>
      </c>
      <c r="I95" s="49">
        <f>'Avg Week KIKORONGO-BWERA'!I95+'Avg Week BWERA-KIKORONGO'!I95</f>
        <v>0</v>
      </c>
      <c r="J95" s="49">
        <f>'Avg Week KIKORONGO-BWERA'!J95+'Avg Week BWERA-KIKORONGO'!J95</f>
        <v>0</v>
      </c>
      <c r="K95" s="49">
        <f>'Avg Week KIKORONGO-BWERA'!K95+'Avg Week BWERA-KIKORONGO'!K95</f>
        <v>0</v>
      </c>
      <c r="L95" s="49">
        <f>'Avg Week KIKORONGO-BWERA'!L95+'Avg Week BWERA-KIKORONGO'!L95</f>
        <v>0.5</v>
      </c>
      <c r="M95" s="49">
        <f>'Avg Week KIKORONGO-BWERA'!M95+'Avg Week BWERA-KIKORONGO'!M95</f>
        <v>0.5</v>
      </c>
      <c r="N95" s="49">
        <f>'Avg Week KIKORONGO-BWERA'!N95+'Avg Week BWERA-KIKORONGO'!N95</f>
        <v>0</v>
      </c>
      <c r="O95" s="15">
        <f t="shared" si="35"/>
        <v>4.5</v>
      </c>
      <c r="P95" s="15">
        <f t="shared" si="36"/>
        <v>5</v>
      </c>
      <c r="R95" s="8"/>
      <c r="T95"/>
    </row>
    <row r="96" spans="2:20" ht="23.1" customHeight="1" x14ac:dyDescent="0.25">
      <c r="B96" s="25" t="s">
        <v>136</v>
      </c>
      <c r="C96" s="49">
        <f>'Avg Week KIKORONGO-BWERA'!C96+'Avg Week BWERA-KIKORONGO'!C96</f>
        <v>0.5</v>
      </c>
      <c r="D96" s="49">
        <f>0.45*('Avg Week KIKORONGO-BWERA'!E96+'Avg Week BWERA-KIKORONGO'!E96)</f>
        <v>0.22500000000000001</v>
      </c>
      <c r="E96" s="49">
        <f>0.55*('Avg Week KIKORONGO-BWERA'!E96+'Avg Week BWERA-KIKORONGO'!E96)</f>
        <v>0.27500000000000002</v>
      </c>
      <c r="F96" s="49">
        <f>'Avg Week KIKORONGO-BWERA'!F96+'Avg Week BWERA-KIKORONGO'!F96</f>
        <v>1.5</v>
      </c>
      <c r="G96" s="49">
        <f>'Avg Week KIKORONGO-BWERA'!G96+'Avg Week BWERA-KIKORONGO'!G96</f>
        <v>0</v>
      </c>
      <c r="H96" s="49">
        <f>'Avg Week KIKORONGO-BWERA'!H96+'Avg Week BWERA-KIKORONGO'!H96</f>
        <v>0.5</v>
      </c>
      <c r="I96" s="49">
        <f>'Avg Week KIKORONGO-BWERA'!I96+'Avg Week BWERA-KIKORONGO'!I96</f>
        <v>3</v>
      </c>
      <c r="J96" s="49">
        <f>'Avg Week KIKORONGO-BWERA'!J96+'Avg Week BWERA-KIKORONGO'!J96</f>
        <v>0</v>
      </c>
      <c r="K96" s="49">
        <f>'Avg Week KIKORONGO-BWERA'!K96+'Avg Week BWERA-KIKORONGO'!K96</f>
        <v>0</v>
      </c>
      <c r="L96" s="49">
        <f>'Avg Week KIKORONGO-BWERA'!L96+'Avg Week BWERA-KIKORONGO'!L96</f>
        <v>0</v>
      </c>
      <c r="M96" s="49">
        <f>'Avg Week KIKORONGO-BWERA'!M96+'Avg Week BWERA-KIKORONGO'!M96</f>
        <v>1</v>
      </c>
      <c r="N96" s="49">
        <f>'Avg Week KIKORONGO-BWERA'!N96+'Avg Week BWERA-KIKORONGO'!N96</f>
        <v>0</v>
      </c>
      <c r="O96" s="15">
        <f t="shared" si="35"/>
        <v>6</v>
      </c>
      <c r="P96" s="15">
        <f t="shared" si="36"/>
        <v>7</v>
      </c>
      <c r="R96" s="8"/>
      <c r="T96"/>
    </row>
    <row r="97" spans="2:20" ht="23.1" customHeight="1" x14ac:dyDescent="0.25">
      <c r="B97" s="23" t="s">
        <v>137</v>
      </c>
      <c r="C97" s="49">
        <f>'Avg Week KIKORONGO-BWERA'!C97+'Avg Week BWERA-KIKORONGO'!C97</f>
        <v>1.5</v>
      </c>
      <c r="D97" s="49">
        <f>0.45*('Avg Week KIKORONGO-BWERA'!E97+'Avg Week BWERA-KIKORONGO'!E97)</f>
        <v>0</v>
      </c>
      <c r="E97" s="49">
        <f>0.55*('Avg Week KIKORONGO-BWERA'!E97+'Avg Week BWERA-KIKORONGO'!E97)</f>
        <v>0</v>
      </c>
      <c r="F97" s="49">
        <f>'Avg Week KIKORONGO-BWERA'!F97+'Avg Week BWERA-KIKORONGO'!F97</f>
        <v>0</v>
      </c>
      <c r="G97" s="49">
        <f>'Avg Week KIKORONGO-BWERA'!G97+'Avg Week BWERA-KIKORONGO'!G97</f>
        <v>0</v>
      </c>
      <c r="H97" s="49">
        <f>'Avg Week KIKORONGO-BWERA'!H97+'Avg Week BWERA-KIKORONGO'!H97</f>
        <v>0</v>
      </c>
      <c r="I97" s="49">
        <f>'Avg Week KIKORONGO-BWERA'!I97+'Avg Week BWERA-KIKORONGO'!I97</f>
        <v>1</v>
      </c>
      <c r="J97" s="49">
        <f>'Avg Week KIKORONGO-BWERA'!J97+'Avg Week BWERA-KIKORONGO'!J97</f>
        <v>0</v>
      </c>
      <c r="K97" s="49">
        <f>'Avg Week KIKORONGO-BWERA'!K97+'Avg Week BWERA-KIKORONGO'!K97</f>
        <v>0</v>
      </c>
      <c r="L97" s="49">
        <f>'Avg Week KIKORONGO-BWERA'!L97+'Avg Week BWERA-KIKORONGO'!L97</f>
        <v>1</v>
      </c>
      <c r="M97" s="49">
        <f>'Avg Week KIKORONGO-BWERA'!M97+'Avg Week BWERA-KIKORONGO'!M97</f>
        <v>0</v>
      </c>
      <c r="N97" s="49">
        <f>'Avg Week KIKORONGO-BWERA'!N97+'Avg Week BWERA-KIKORONGO'!N97</f>
        <v>0</v>
      </c>
      <c r="O97" s="15">
        <f t="shared" si="35"/>
        <v>3.5</v>
      </c>
      <c r="P97" s="15">
        <f t="shared" si="36"/>
        <v>3.5</v>
      </c>
      <c r="R97" s="8"/>
      <c r="T97"/>
    </row>
    <row r="98" spans="2:20" ht="23.1" customHeight="1" x14ac:dyDescent="0.25">
      <c r="B98" s="24" t="s">
        <v>138</v>
      </c>
      <c r="C98" s="49">
        <f>'Avg Week KIKORONGO-BWERA'!C98+'Avg Week BWERA-KIKORONGO'!C98</f>
        <v>1.5</v>
      </c>
      <c r="D98" s="49">
        <f>0.45*('Avg Week KIKORONGO-BWERA'!E98+'Avg Week BWERA-KIKORONGO'!E98)</f>
        <v>0.45</v>
      </c>
      <c r="E98" s="49">
        <f>0.55*('Avg Week KIKORONGO-BWERA'!E98+'Avg Week BWERA-KIKORONGO'!E98)</f>
        <v>0.55000000000000004</v>
      </c>
      <c r="F98" s="49">
        <f>'Avg Week KIKORONGO-BWERA'!F98+'Avg Week BWERA-KIKORONGO'!F98</f>
        <v>0</v>
      </c>
      <c r="G98" s="49">
        <f>'Avg Week KIKORONGO-BWERA'!G98+'Avg Week BWERA-KIKORONGO'!G98</f>
        <v>0</v>
      </c>
      <c r="H98" s="49">
        <f>'Avg Week KIKORONGO-BWERA'!H98+'Avg Week BWERA-KIKORONGO'!H98</f>
        <v>1.5</v>
      </c>
      <c r="I98" s="49">
        <f>'Avg Week KIKORONGO-BWERA'!I98+'Avg Week BWERA-KIKORONGO'!I98</f>
        <v>1</v>
      </c>
      <c r="J98" s="49">
        <f>'Avg Week KIKORONGO-BWERA'!J98+'Avg Week BWERA-KIKORONGO'!J98</f>
        <v>0</v>
      </c>
      <c r="K98" s="49">
        <f>'Avg Week KIKORONGO-BWERA'!K98+'Avg Week BWERA-KIKORONGO'!K98</f>
        <v>0</v>
      </c>
      <c r="L98" s="49">
        <f>'Avg Week KIKORONGO-BWERA'!L98+'Avg Week BWERA-KIKORONGO'!L98</f>
        <v>1</v>
      </c>
      <c r="M98" s="49">
        <f>'Avg Week KIKORONGO-BWERA'!M98+'Avg Week BWERA-KIKORONGO'!M98</f>
        <v>1</v>
      </c>
      <c r="N98" s="49">
        <f>'Avg Week KIKORONGO-BWERA'!N98+'Avg Week BWERA-KIKORONGO'!N98</f>
        <v>0</v>
      </c>
      <c r="O98" s="15">
        <f t="shared" si="35"/>
        <v>6</v>
      </c>
      <c r="P98" s="15">
        <f t="shared" si="36"/>
        <v>7</v>
      </c>
      <c r="R98" s="8"/>
      <c r="T98"/>
    </row>
    <row r="99" spans="2:20" ht="23.1" customHeight="1" x14ac:dyDescent="0.25">
      <c r="B99" s="23" t="s">
        <v>139</v>
      </c>
      <c r="C99" s="49">
        <f>'Avg Week KIKORONGO-BWERA'!C99+'Avg Week BWERA-KIKORONGO'!C99</f>
        <v>1.5</v>
      </c>
      <c r="D99" s="49">
        <f>0.45*('Avg Week KIKORONGO-BWERA'!E99+'Avg Week BWERA-KIKORONGO'!E99)</f>
        <v>0.22500000000000001</v>
      </c>
      <c r="E99" s="49">
        <f>0.55*('Avg Week KIKORONGO-BWERA'!E99+'Avg Week BWERA-KIKORONGO'!E99)</f>
        <v>0.27500000000000002</v>
      </c>
      <c r="F99" s="49">
        <f>'Avg Week KIKORONGO-BWERA'!F99+'Avg Week BWERA-KIKORONGO'!F99</f>
        <v>0</v>
      </c>
      <c r="G99" s="49">
        <f>'Avg Week KIKORONGO-BWERA'!G99+'Avg Week BWERA-KIKORONGO'!G99</f>
        <v>0</v>
      </c>
      <c r="H99" s="49">
        <f>'Avg Week KIKORONGO-BWERA'!H99+'Avg Week BWERA-KIKORONGO'!H99</f>
        <v>0.5</v>
      </c>
      <c r="I99" s="49">
        <f>'Avg Week KIKORONGO-BWERA'!I99+'Avg Week BWERA-KIKORONGO'!I99</f>
        <v>1.5</v>
      </c>
      <c r="J99" s="49">
        <f>'Avg Week KIKORONGO-BWERA'!J99+'Avg Week BWERA-KIKORONGO'!J99</f>
        <v>0</v>
      </c>
      <c r="K99" s="49">
        <f>'Avg Week KIKORONGO-BWERA'!K99+'Avg Week BWERA-KIKORONGO'!K99</f>
        <v>0</v>
      </c>
      <c r="L99" s="49">
        <f>'Avg Week KIKORONGO-BWERA'!L99+'Avg Week BWERA-KIKORONGO'!L99</f>
        <v>1.5</v>
      </c>
      <c r="M99" s="49">
        <f>'Avg Week KIKORONGO-BWERA'!M99+'Avg Week BWERA-KIKORONGO'!M99</f>
        <v>1.5</v>
      </c>
      <c r="N99" s="49">
        <f>'Avg Week KIKORONGO-BWERA'!N99+'Avg Week BWERA-KIKORONGO'!N99</f>
        <v>0</v>
      </c>
      <c r="O99" s="15">
        <f t="shared" si="35"/>
        <v>5.5</v>
      </c>
      <c r="P99" s="15">
        <f t="shared" si="36"/>
        <v>7</v>
      </c>
      <c r="R99" s="8"/>
      <c r="T99"/>
    </row>
    <row r="100" spans="2:20" ht="23.1" customHeight="1" x14ac:dyDescent="0.25">
      <c r="B100" s="25" t="s">
        <v>140</v>
      </c>
      <c r="C100" s="49">
        <f>'Avg Week KIKORONGO-BWERA'!C100+'Avg Week BWERA-KIKORONGO'!C100</f>
        <v>4</v>
      </c>
      <c r="D100" s="49">
        <f>0.45*('Avg Week KIKORONGO-BWERA'!E100+'Avg Week BWERA-KIKORONGO'!E100)</f>
        <v>0.45</v>
      </c>
      <c r="E100" s="49">
        <f>0.55*('Avg Week KIKORONGO-BWERA'!E100+'Avg Week BWERA-KIKORONGO'!E100)</f>
        <v>0.55000000000000004</v>
      </c>
      <c r="F100" s="49">
        <f>'Avg Week KIKORONGO-BWERA'!F100+'Avg Week BWERA-KIKORONGO'!F100</f>
        <v>1</v>
      </c>
      <c r="G100" s="49">
        <f>'Avg Week KIKORONGO-BWERA'!G100+'Avg Week BWERA-KIKORONGO'!G100</f>
        <v>0</v>
      </c>
      <c r="H100" s="49">
        <f>'Avg Week KIKORONGO-BWERA'!H100+'Avg Week BWERA-KIKORONGO'!H100</f>
        <v>0.5</v>
      </c>
      <c r="I100" s="49">
        <f>'Avg Week KIKORONGO-BWERA'!I100+'Avg Week BWERA-KIKORONGO'!I100</f>
        <v>1</v>
      </c>
      <c r="J100" s="49">
        <f>'Avg Week KIKORONGO-BWERA'!J100+'Avg Week BWERA-KIKORONGO'!J100</f>
        <v>0</v>
      </c>
      <c r="K100" s="49">
        <f>'Avg Week KIKORONGO-BWERA'!K100+'Avg Week BWERA-KIKORONGO'!K100</f>
        <v>0</v>
      </c>
      <c r="L100" s="49">
        <f>'Avg Week KIKORONGO-BWERA'!L100+'Avg Week BWERA-KIKORONGO'!L100</f>
        <v>0.5</v>
      </c>
      <c r="M100" s="49">
        <f>'Avg Week KIKORONGO-BWERA'!M100+'Avg Week BWERA-KIKORONGO'!M100</f>
        <v>0</v>
      </c>
      <c r="N100" s="49">
        <f>'Avg Week KIKORONGO-BWERA'!N100+'Avg Week BWERA-KIKORONGO'!N100</f>
        <v>0</v>
      </c>
      <c r="O100" s="15">
        <f t="shared" si="35"/>
        <v>8</v>
      </c>
      <c r="P100" s="15">
        <f t="shared" si="36"/>
        <v>8</v>
      </c>
      <c r="R100" s="8"/>
      <c r="T100"/>
    </row>
    <row r="101" spans="2:20" ht="23.1" customHeight="1" x14ac:dyDescent="0.25">
      <c r="B101" s="23" t="s">
        <v>141</v>
      </c>
      <c r="C101" s="49">
        <f>'Avg Week KIKORONGO-BWERA'!C101+'Avg Week BWERA-KIKORONGO'!C101</f>
        <v>3</v>
      </c>
      <c r="D101" s="49">
        <f>0.45*('Avg Week KIKORONGO-BWERA'!E101+'Avg Week BWERA-KIKORONGO'!E101)</f>
        <v>0.67500000000000004</v>
      </c>
      <c r="E101" s="49">
        <f>0.55*('Avg Week KIKORONGO-BWERA'!E101+'Avg Week BWERA-KIKORONGO'!E101)</f>
        <v>0.82500000000000007</v>
      </c>
      <c r="F101" s="49">
        <f>'Avg Week KIKORONGO-BWERA'!F101+'Avg Week BWERA-KIKORONGO'!F101</f>
        <v>0</v>
      </c>
      <c r="G101" s="49">
        <f>'Avg Week KIKORONGO-BWERA'!G101+'Avg Week BWERA-KIKORONGO'!G101</f>
        <v>0</v>
      </c>
      <c r="H101" s="49">
        <f>'Avg Week KIKORONGO-BWERA'!H101+'Avg Week BWERA-KIKORONGO'!H101</f>
        <v>0</v>
      </c>
      <c r="I101" s="49">
        <f>'Avg Week KIKORONGO-BWERA'!I101+'Avg Week BWERA-KIKORONGO'!I101</f>
        <v>1</v>
      </c>
      <c r="J101" s="49">
        <f>'Avg Week KIKORONGO-BWERA'!J101+'Avg Week BWERA-KIKORONGO'!J101</f>
        <v>1.5</v>
      </c>
      <c r="K101" s="49">
        <f>'Avg Week KIKORONGO-BWERA'!K101+'Avg Week BWERA-KIKORONGO'!K101</f>
        <v>0</v>
      </c>
      <c r="L101" s="49">
        <f>'Avg Week KIKORONGO-BWERA'!L101+'Avg Week BWERA-KIKORONGO'!L101</f>
        <v>1</v>
      </c>
      <c r="M101" s="49">
        <f>'Avg Week KIKORONGO-BWERA'!M101+'Avg Week BWERA-KIKORONGO'!M101</f>
        <v>0</v>
      </c>
      <c r="N101" s="49">
        <f>'Avg Week KIKORONGO-BWERA'!N101+'Avg Week BWERA-KIKORONGO'!N101</f>
        <v>0</v>
      </c>
      <c r="O101" s="15">
        <f t="shared" si="35"/>
        <v>8</v>
      </c>
      <c r="P101" s="15">
        <f t="shared" si="36"/>
        <v>8</v>
      </c>
      <c r="R101" s="8"/>
      <c r="T101"/>
    </row>
    <row r="102" spans="2:20" ht="23.1" customHeight="1" x14ac:dyDescent="0.25">
      <c r="B102" s="24" t="s">
        <v>142</v>
      </c>
      <c r="C102" s="49">
        <f>'Avg Week KIKORONGO-BWERA'!C102+'Avg Week BWERA-KIKORONGO'!C102</f>
        <v>3.5</v>
      </c>
      <c r="D102" s="49">
        <f>0.45*('Avg Week KIKORONGO-BWERA'!E102+'Avg Week BWERA-KIKORONGO'!E102)</f>
        <v>0.45</v>
      </c>
      <c r="E102" s="49">
        <f>0.55*('Avg Week KIKORONGO-BWERA'!E102+'Avg Week BWERA-KIKORONGO'!E102)</f>
        <v>0.55000000000000004</v>
      </c>
      <c r="F102" s="49">
        <f>'Avg Week KIKORONGO-BWERA'!F102+'Avg Week BWERA-KIKORONGO'!F102</f>
        <v>1.5</v>
      </c>
      <c r="G102" s="49">
        <f>'Avg Week KIKORONGO-BWERA'!G102+'Avg Week BWERA-KIKORONGO'!G102</f>
        <v>0</v>
      </c>
      <c r="H102" s="49">
        <f>'Avg Week KIKORONGO-BWERA'!H102+'Avg Week BWERA-KIKORONGO'!H102</f>
        <v>1</v>
      </c>
      <c r="I102" s="49">
        <f>'Avg Week KIKORONGO-BWERA'!I102+'Avg Week BWERA-KIKORONGO'!I102</f>
        <v>2</v>
      </c>
      <c r="J102" s="49">
        <f>'Avg Week KIKORONGO-BWERA'!J102+'Avg Week BWERA-KIKORONGO'!J102</f>
        <v>0.5</v>
      </c>
      <c r="K102" s="49">
        <f>'Avg Week KIKORONGO-BWERA'!K102+'Avg Week BWERA-KIKORONGO'!K102</f>
        <v>0</v>
      </c>
      <c r="L102" s="49">
        <f>'Avg Week KIKORONGO-BWERA'!L102+'Avg Week BWERA-KIKORONGO'!L102</f>
        <v>1.5</v>
      </c>
      <c r="M102" s="49">
        <f>'Avg Week KIKORONGO-BWERA'!M102+'Avg Week BWERA-KIKORONGO'!M102</f>
        <v>3</v>
      </c>
      <c r="N102" s="49">
        <f>'Avg Week KIKORONGO-BWERA'!N102+'Avg Week BWERA-KIKORONGO'!N102</f>
        <v>0</v>
      </c>
      <c r="O102" s="15">
        <f t="shared" si="35"/>
        <v>11</v>
      </c>
      <c r="P102" s="15">
        <f t="shared" si="36"/>
        <v>14</v>
      </c>
      <c r="R102" s="8"/>
      <c r="T102"/>
    </row>
    <row r="103" spans="2:20" ht="23.1" customHeight="1" x14ac:dyDescent="0.25">
      <c r="B103" s="23" t="s">
        <v>143</v>
      </c>
      <c r="C103" s="49">
        <f>'Avg Week KIKORONGO-BWERA'!C103+'Avg Week BWERA-KIKORONGO'!C103</f>
        <v>3.5</v>
      </c>
      <c r="D103" s="49">
        <f>0.45*('Avg Week KIKORONGO-BWERA'!E103+'Avg Week BWERA-KIKORONGO'!E103)</f>
        <v>0.67500000000000004</v>
      </c>
      <c r="E103" s="49">
        <f>0.55*('Avg Week KIKORONGO-BWERA'!E103+'Avg Week BWERA-KIKORONGO'!E103)</f>
        <v>0.82500000000000007</v>
      </c>
      <c r="F103" s="49">
        <f>'Avg Week KIKORONGO-BWERA'!F103+'Avg Week BWERA-KIKORONGO'!F103</f>
        <v>0.5</v>
      </c>
      <c r="G103" s="49">
        <f>'Avg Week KIKORONGO-BWERA'!G103+'Avg Week BWERA-KIKORONGO'!G103</f>
        <v>0</v>
      </c>
      <c r="H103" s="49">
        <f>'Avg Week KIKORONGO-BWERA'!H103+'Avg Week BWERA-KIKORONGO'!H103</f>
        <v>0.5</v>
      </c>
      <c r="I103" s="49">
        <f>'Avg Week KIKORONGO-BWERA'!I103+'Avg Week BWERA-KIKORONGO'!I103</f>
        <v>1.5</v>
      </c>
      <c r="J103" s="49">
        <f>'Avg Week KIKORONGO-BWERA'!J103+'Avg Week BWERA-KIKORONGO'!J103</f>
        <v>0</v>
      </c>
      <c r="K103" s="49">
        <f>'Avg Week KIKORONGO-BWERA'!K103+'Avg Week BWERA-KIKORONGO'!K103</f>
        <v>0</v>
      </c>
      <c r="L103" s="49">
        <f>'Avg Week KIKORONGO-BWERA'!L103+'Avg Week BWERA-KIKORONGO'!L103</f>
        <v>1</v>
      </c>
      <c r="M103" s="49">
        <f>'Avg Week KIKORONGO-BWERA'!M103+'Avg Week BWERA-KIKORONGO'!M103</f>
        <v>5.5</v>
      </c>
      <c r="N103" s="49">
        <f>'Avg Week KIKORONGO-BWERA'!N103+'Avg Week BWERA-KIKORONGO'!N103</f>
        <v>0</v>
      </c>
      <c r="O103" s="15">
        <f t="shared" si="35"/>
        <v>8.5</v>
      </c>
      <c r="P103" s="15">
        <f t="shared" si="36"/>
        <v>14</v>
      </c>
      <c r="R103" s="8"/>
      <c r="T103"/>
    </row>
    <row r="104" spans="2:20" ht="23.1" customHeight="1" x14ac:dyDescent="0.25">
      <c r="B104" s="25" t="s">
        <v>144</v>
      </c>
      <c r="C104" s="49">
        <f>'Avg Week KIKORONGO-BWERA'!C104+'Avg Week BWERA-KIKORONGO'!C104</f>
        <v>4</v>
      </c>
      <c r="D104" s="49">
        <f>0.45*('Avg Week KIKORONGO-BWERA'!E104+'Avg Week BWERA-KIKORONGO'!E104)</f>
        <v>1.125</v>
      </c>
      <c r="E104" s="49">
        <f>0.55*('Avg Week KIKORONGO-BWERA'!E104+'Avg Week BWERA-KIKORONGO'!E104)</f>
        <v>1.375</v>
      </c>
      <c r="F104" s="49">
        <f>'Avg Week KIKORONGO-BWERA'!F104+'Avg Week BWERA-KIKORONGO'!F104</f>
        <v>3.5</v>
      </c>
      <c r="G104" s="49">
        <f>'Avg Week KIKORONGO-BWERA'!G104+'Avg Week BWERA-KIKORONGO'!G104</f>
        <v>0</v>
      </c>
      <c r="H104" s="49">
        <f>'Avg Week KIKORONGO-BWERA'!H104+'Avg Week BWERA-KIKORONGO'!H104</f>
        <v>1</v>
      </c>
      <c r="I104" s="49">
        <f>'Avg Week KIKORONGO-BWERA'!I104+'Avg Week BWERA-KIKORONGO'!I104</f>
        <v>2</v>
      </c>
      <c r="J104" s="49">
        <f>'Avg Week KIKORONGO-BWERA'!J104+'Avg Week BWERA-KIKORONGO'!J104</f>
        <v>0.5</v>
      </c>
      <c r="K104" s="49">
        <f>'Avg Week KIKORONGO-BWERA'!K104+'Avg Week BWERA-KIKORONGO'!K104</f>
        <v>0</v>
      </c>
      <c r="L104" s="49">
        <f>'Avg Week KIKORONGO-BWERA'!L104+'Avg Week BWERA-KIKORONGO'!L104</f>
        <v>0</v>
      </c>
      <c r="M104" s="49">
        <f>'Avg Week KIKORONGO-BWERA'!M104+'Avg Week BWERA-KIKORONGO'!M104</f>
        <v>4</v>
      </c>
      <c r="N104" s="49">
        <f>'Avg Week KIKORONGO-BWERA'!N104+'Avg Week BWERA-KIKORONGO'!N104</f>
        <v>0</v>
      </c>
      <c r="O104" s="15">
        <f t="shared" si="35"/>
        <v>13.5</v>
      </c>
      <c r="P104" s="15">
        <f t="shared" si="36"/>
        <v>17.5</v>
      </c>
      <c r="R104" s="8"/>
      <c r="T104"/>
    </row>
    <row r="105" spans="2:20" ht="23.1" customHeight="1" x14ac:dyDescent="0.25">
      <c r="B105" s="23" t="s">
        <v>145</v>
      </c>
      <c r="C105" s="49">
        <f>'Avg Week KIKORONGO-BWERA'!C105+'Avg Week BWERA-KIKORONGO'!C105</f>
        <v>1.5</v>
      </c>
      <c r="D105" s="49">
        <f>0.45*('Avg Week KIKORONGO-BWERA'!E105+'Avg Week BWERA-KIKORONGO'!E105)</f>
        <v>0.45</v>
      </c>
      <c r="E105" s="49">
        <f>0.55*('Avg Week KIKORONGO-BWERA'!E105+'Avg Week BWERA-KIKORONGO'!E105)</f>
        <v>0.55000000000000004</v>
      </c>
      <c r="F105" s="49">
        <f>'Avg Week KIKORONGO-BWERA'!F105+'Avg Week BWERA-KIKORONGO'!F105</f>
        <v>3.5</v>
      </c>
      <c r="G105" s="49">
        <f>'Avg Week KIKORONGO-BWERA'!G105+'Avg Week BWERA-KIKORONGO'!G105</f>
        <v>0</v>
      </c>
      <c r="H105" s="49">
        <f>'Avg Week KIKORONGO-BWERA'!H105+'Avg Week BWERA-KIKORONGO'!H105</f>
        <v>0</v>
      </c>
      <c r="I105" s="49">
        <f>'Avg Week KIKORONGO-BWERA'!I105+'Avg Week BWERA-KIKORONGO'!I105</f>
        <v>2</v>
      </c>
      <c r="J105" s="49">
        <f>'Avg Week KIKORONGO-BWERA'!J105+'Avg Week BWERA-KIKORONGO'!J105</f>
        <v>0.5</v>
      </c>
      <c r="K105" s="49">
        <f>'Avg Week KIKORONGO-BWERA'!K105+'Avg Week BWERA-KIKORONGO'!K105</f>
        <v>0</v>
      </c>
      <c r="L105" s="49">
        <f>'Avg Week KIKORONGO-BWERA'!L105+'Avg Week BWERA-KIKORONGO'!L105</f>
        <v>1.5</v>
      </c>
      <c r="M105" s="49">
        <f>'Avg Week KIKORONGO-BWERA'!M105+'Avg Week BWERA-KIKORONGO'!M105</f>
        <v>5.2665599177511853</v>
      </c>
      <c r="N105" s="49">
        <f>'Avg Week KIKORONGO-BWERA'!N105+'Avg Week BWERA-KIKORONGO'!N105</f>
        <v>0</v>
      </c>
      <c r="O105" s="15">
        <f t="shared" si="35"/>
        <v>10</v>
      </c>
      <c r="P105" s="15">
        <f t="shared" si="36"/>
        <v>15.266559917751184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549.42857142857144</v>
      </c>
      <c r="D106" s="16">
        <f t="shared" ref="D106:P106" si="37">SUM(D10:D105)</f>
        <v>119.28214285714284</v>
      </c>
      <c r="E106" s="16">
        <f t="shared" si="37"/>
        <v>145.78928571428582</v>
      </c>
      <c r="F106" s="16">
        <f t="shared" si="37"/>
        <v>341.57142857142861</v>
      </c>
      <c r="G106" s="16">
        <f t="shared" si="37"/>
        <v>2.7142857142857135</v>
      </c>
      <c r="H106" s="16">
        <f t="shared" si="37"/>
        <v>37.642857142857139</v>
      </c>
      <c r="I106" s="16">
        <f t="shared" si="37"/>
        <v>156.92857142857144</v>
      </c>
      <c r="J106" s="16">
        <f t="shared" si="37"/>
        <v>43.571428571428569</v>
      </c>
      <c r="K106" s="16">
        <f t="shared" si="37"/>
        <v>10</v>
      </c>
      <c r="L106" s="16">
        <f t="shared" si="37"/>
        <v>89</v>
      </c>
      <c r="M106" s="16">
        <f t="shared" si="37"/>
        <v>420.4094170606084</v>
      </c>
      <c r="N106" s="16">
        <f t="shared" si="37"/>
        <v>2.0714285714285712</v>
      </c>
      <c r="O106" s="16">
        <f t="shared" si="37"/>
        <v>1498.0000000000002</v>
      </c>
      <c r="P106" s="16">
        <f t="shared" si="37"/>
        <v>1918.4094170606083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0.28639797456291016</v>
      </c>
      <c r="D107" s="43">
        <f t="shared" si="38"/>
        <v>6.2177625795804964E-2</v>
      </c>
      <c r="E107" s="43">
        <f t="shared" si="38"/>
        <v>7.5994875972650575E-2</v>
      </c>
      <c r="F107" s="43">
        <f t="shared" si="38"/>
        <v>0.17804928683825227</v>
      </c>
      <c r="G107" s="43">
        <f t="shared" si="38"/>
        <v>1.4148625888443297E-3</v>
      </c>
      <c r="H107" s="43">
        <f t="shared" si="38"/>
        <v>1.962191011370952E-2</v>
      </c>
      <c r="I107" s="43">
        <f t="shared" si="38"/>
        <v>8.1801397570815615E-2</v>
      </c>
      <c r="J107" s="43">
        <f t="shared" si="38"/>
        <v>2.2712267873553717E-2</v>
      </c>
      <c r="K107" s="43">
        <f t="shared" si="38"/>
        <v>5.2126516431106893E-3</v>
      </c>
      <c r="L107" s="43">
        <f t="shared" si="38"/>
        <v>4.6392599623685138E-2</v>
      </c>
      <c r="M107" s="43">
        <f t="shared" si="38"/>
        <v>0.21914478386201874</v>
      </c>
      <c r="N107" s="43">
        <f t="shared" si="38"/>
        <v>1.079763554644357E-3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0.36677474728209036</v>
      </c>
      <c r="D108" s="44">
        <f t="shared" ref="D108:N108" si="39">D106/$O$106</f>
        <v>7.9627598703032598E-2</v>
      </c>
      <c r="E108" s="44">
        <f t="shared" si="39"/>
        <v>9.7322620637039919E-2</v>
      </c>
      <c r="F108" s="44">
        <f t="shared" si="39"/>
        <v>0.22801831012778942</v>
      </c>
      <c r="G108" s="44">
        <f t="shared" si="39"/>
        <v>1.8119397291626923E-3</v>
      </c>
      <c r="H108" s="44">
        <f t="shared" si="39"/>
        <v>2.5128743086019447E-2</v>
      </c>
      <c r="I108" s="44">
        <f t="shared" si="39"/>
        <v>0.10475872592027465</v>
      </c>
      <c r="J108" s="44">
        <f t="shared" si="39"/>
        <v>2.9086400915506384E-2</v>
      </c>
      <c r="K108" s="44">
        <f t="shared" si="39"/>
        <v>6.675567423230974E-3</v>
      </c>
      <c r="L108" s="44">
        <f t="shared" si="39"/>
        <v>5.9412550066755665E-2</v>
      </c>
      <c r="M108" s="44"/>
      <c r="N108" s="44">
        <f t="shared" si="39"/>
        <v>1.3827961090978444E-3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3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34</vt:i4>
      </vt:variant>
    </vt:vector>
  </HeadingPairs>
  <TitlesOfParts>
    <vt:vector size="51" baseType="lpstr">
      <vt:lpstr>5.8 KIKORONGO-BWERA</vt:lpstr>
      <vt:lpstr>5.8 BWERA-KIKORONGO</vt:lpstr>
      <vt:lpstr>6.8 KIKORONGO-BWERA</vt:lpstr>
      <vt:lpstr>6.8 BWERA-KIKORONGO</vt:lpstr>
      <vt:lpstr>7.8 KIKORONGO-BWERA</vt:lpstr>
      <vt:lpstr>7.8 BWERA-KIKORONGO</vt:lpstr>
      <vt:lpstr>8.8 KIKORONGO-BWERA-24hr</vt:lpstr>
      <vt:lpstr>8.8 BWERA-KIKORONGO-24h</vt:lpstr>
      <vt:lpstr>9.8 KIKORONGO-BWERA</vt:lpstr>
      <vt:lpstr>9.8 BWERA-KIKORONGO</vt:lpstr>
      <vt:lpstr>10.8 KIKORONGO-BWERA-24HRS</vt:lpstr>
      <vt:lpstr>10.8 BWERA-KIKORONGO 24HRS</vt:lpstr>
      <vt:lpstr>11.8 BWERA-KIKORONGO</vt:lpstr>
      <vt:lpstr>11.8 KIKORONGO-BWERA</vt:lpstr>
      <vt:lpstr>Avg Week KIKORONGO-BWERA</vt:lpstr>
      <vt:lpstr>Avg Week BWERA-KIKORONGO</vt:lpstr>
      <vt:lpstr>Avg Week KIKORONGO-BWERA-2Dir</vt:lpstr>
      <vt:lpstr>'10.8 BWERA-KIKORONGO 24HRS'!Print_Area</vt:lpstr>
      <vt:lpstr>'10.8 KIKORONGO-BWERA-24HRS'!Print_Area</vt:lpstr>
      <vt:lpstr>'11.8 BWERA-KIKORONGO'!Print_Area</vt:lpstr>
      <vt:lpstr>'11.8 KIKORONGO-BWERA'!Print_Area</vt:lpstr>
      <vt:lpstr>'5.8 BWERA-KIKORONGO'!Print_Area</vt:lpstr>
      <vt:lpstr>'5.8 KIKORONGO-BWERA'!Print_Area</vt:lpstr>
      <vt:lpstr>'6.8 BWERA-KIKORONGO'!Print_Area</vt:lpstr>
      <vt:lpstr>'6.8 KIKORONGO-BWERA'!Print_Area</vt:lpstr>
      <vt:lpstr>'7.8 BWERA-KIKORONGO'!Print_Area</vt:lpstr>
      <vt:lpstr>'7.8 KIKORONGO-BWERA'!Print_Area</vt:lpstr>
      <vt:lpstr>'8.8 BWERA-KIKORONGO-24h'!Print_Area</vt:lpstr>
      <vt:lpstr>'8.8 KIKORONGO-BWERA-24hr'!Print_Area</vt:lpstr>
      <vt:lpstr>'9.8 BWERA-KIKORONGO'!Print_Area</vt:lpstr>
      <vt:lpstr>'9.8 KIKORONGO-BWERA'!Print_Area</vt:lpstr>
      <vt:lpstr>'Avg Week BWERA-KIKORONGO'!Print_Area</vt:lpstr>
      <vt:lpstr>'Avg Week KIKORONGO-BWERA'!Print_Area</vt:lpstr>
      <vt:lpstr>'Avg Week KIKORONGO-BWERA-2Dir'!Print_Area</vt:lpstr>
      <vt:lpstr>'10.8 BWERA-KIKORONGO 24HRS'!Print_Titles</vt:lpstr>
      <vt:lpstr>'10.8 KIKORONGO-BWERA-24HRS'!Print_Titles</vt:lpstr>
      <vt:lpstr>'11.8 BWERA-KIKORONGO'!Print_Titles</vt:lpstr>
      <vt:lpstr>'11.8 KIKORONGO-BWERA'!Print_Titles</vt:lpstr>
      <vt:lpstr>'5.8 BWERA-KIKORONGO'!Print_Titles</vt:lpstr>
      <vt:lpstr>'5.8 KIKORONGO-BWERA'!Print_Titles</vt:lpstr>
      <vt:lpstr>'6.8 BWERA-KIKORONGO'!Print_Titles</vt:lpstr>
      <vt:lpstr>'6.8 KIKORONGO-BWERA'!Print_Titles</vt:lpstr>
      <vt:lpstr>'7.8 BWERA-KIKORONGO'!Print_Titles</vt:lpstr>
      <vt:lpstr>'7.8 KIKORONGO-BWERA'!Print_Titles</vt:lpstr>
      <vt:lpstr>'8.8 BWERA-KIKORONGO-24h'!Print_Titles</vt:lpstr>
      <vt:lpstr>'8.8 KIKORONGO-BWERA-24hr'!Print_Titles</vt:lpstr>
      <vt:lpstr>'9.8 BWERA-KIKORONGO'!Print_Titles</vt:lpstr>
      <vt:lpstr>'9.8 KIKORONGO-BWERA'!Print_Titles</vt:lpstr>
      <vt:lpstr>'Avg Week BWERA-KIKORONGO'!Print_Titles</vt:lpstr>
      <vt:lpstr>'Avg Week KIKORONGO-BWERA'!Print_Titles</vt:lpstr>
      <vt:lpstr>'Avg Week KIKORONGO-BWERA-2Dir'!Print_Titles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USER</cp:lastModifiedBy>
  <cp:lastPrinted>2019-07-25T18:18:41Z</cp:lastPrinted>
  <dcterms:created xsi:type="dcterms:W3CDTF">2010-07-06T07:39:49Z</dcterms:created>
  <dcterms:modified xsi:type="dcterms:W3CDTF">2020-04-09T06:22:03Z</dcterms:modified>
</cp:coreProperties>
</file>