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-4 Analysis Complete-Benard\STN144 SUAM BORDER POST\MCC\"/>
    </mc:Choice>
  </mc:AlternateContent>
  <bookViews>
    <workbookView xWindow="-120" yWindow="-120" windowWidth="20730" windowHeight="11160" tabRatio="940" firstSheet="13" activeTab="16"/>
  </bookViews>
  <sheets>
    <sheet name="23.08 Suam- Bukwo" sheetId="93" r:id="rId1"/>
    <sheet name="23.08 Bukwo-Suam" sheetId="94" r:id="rId2"/>
    <sheet name="24.08 Suam-Bukwo-24h" sheetId="101" r:id="rId3"/>
    <sheet name="24.08 Bukwo-Suam-24h" sheetId="109" r:id="rId4"/>
    <sheet name="25.08 Suam-Bukwo" sheetId="95" r:id="rId5"/>
    <sheet name="25.08 Bukwo-Suam" sheetId="96" r:id="rId6"/>
    <sheet name="26.08 Suam-Bukwo-24h" sheetId="105" r:id="rId7"/>
    <sheet name="26.08 Bukwo-Suam-24h" sheetId="110" r:id="rId8"/>
    <sheet name="27.08 Suam-Bukwo" sheetId="97" r:id="rId9"/>
    <sheet name="27.08 Bukwo-Suam" sheetId="98" r:id="rId10"/>
    <sheet name="28.08 Suam-Bukwo" sheetId="99" r:id="rId11"/>
    <sheet name="28.08 Bukwo-Suam" sheetId="100" r:id="rId12"/>
    <sheet name="29.08 Suam-Bukwo" sheetId="103" r:id="rId13"/>
    <sheet name="29.08 Bukwo-Suam" sheetId="104" r:id="rId14"/>
    <sheet name="Avg Week Saum-Bukwo" sheetId="107" r:id="rId15"/>
    <sheet name="Avg Week Bukwo-Suam" sheetId="108" r:id="rId16"/>
    <sheet name="Avg Week Suam-Bukwo-2Dir" sheetId="111" r:id="rId17"/>
  </sheets>
  <definedNames>
    <definedName name="_xlnm.Print_Area" localSheetId="1">'23.08 Bukwo-Suam'!$A$1:$AF$60</definedName>
    <definedName name="_xlnm.Print_Area" localSheetId="0">'23.08 Suam- Bukwo'!$A$1:$AF$60</definedName>
    <definedName name="_xlnm.Print_Area" localSheetId="3">'24.08 Bukwo-Suam-24h'!$A$1:$AF$108</definedName>
    <definedName name="_xlnm.Print_Area" localSheetId="2">'24.08 Suam-Bukwo-24h'!$A$1:$AF$108</definedName>
    <definedName name="_xlnm.Print_Area" localSheetId="5">'25.08 Bukwo-Suam'!$A$1:$AF$60</definedName>
    <definedName name="_xlnm.Print_Area" localSheetId="4">'25.08 Suam-Bukwo'!$A$1:$AF$60</definedName>
    <definedName name="_xlnm.Print_Area" localSheetId="7">'26.08 Bukwo-Suam-24h'!$A$1:$AF$108</definedName>
    <definedName name="_xlnm.Print_Area" localSheetId="6">'26.08 Suam-Bukwo-24h'!$A$1:$AF$108</definedName>
    <definedName name="_xlnm.Print_Area" localSheetId="9">'27.08 Bukwo-Suam'!$A$1:$AF$60</definedName>
    <definedName name="_xlnm.Print_Area" localSheetId="8">'27.08 Suam-Bukwo'!$A$1:$AF$60</definedName>
    <definedName name="_xlnm.Print_Area" localSheetId="11">'28.08 Bukwo-Suam'!$A$1:$AF$60</definedName>
    <definedName name="_xlnm.Print_Area" localSheetId="10">'28.08 Suam-Bukwo'!$A$1:$AF$60</definedName>
    <definedName name="_xlnm.Print_Area" localSheetId="13">'29.08 Bukwo-Suam'!$A$1:$AF$60</definedName>
    <definedName name="_xlnm.Print_Area" localSheetId="12">'29.08 Suam-Bukwo'!$A$1:$AF$60</definedName>
    <definedName name="_xlnm.Print_Area" localSheetId="15">'Avg Week Bukwo-Suam'!$A$1:$AF$108</definedName>
    <definedName name="_xlnm.Print_Area" localSheetId="14">'Avg Week Saum-Bukwo'!$A$1:$AF$108</definedName>
    <definedName name="_xlnm.Print_Area" localSheetId="16">'Avg Week Suam-Bukwo-2Dir'!$A$1:$AF$108</definedName>
    <definedName name="_xlnm.Print_Titles" localSheetId="1">'23.08 Bukwo-Suam'!$1:$8</definedName>
    <definedName name="_xlnm.Print_Titles" localSheetId="0">'23.08 Suam- Bukwo'!$1:$8</definedName>
    <definedName name="_xlnm.Print_Titles" localSheetId="3">'24.08 Bukwo-Suam-24h'!$1:$8</definedName>
    <definedName name="_xlnm.Print_Titles" localSheetId="2">'24.08 Suam-Bukwo-24h'!$1:$8</definedName>
    <definedName name="_xlnm.Print_Titles" localSheetId="5">'25.08 Bukwo-Suam'!$1:$8</definedName>
    <definedName name="_xlnm.Print_Titles" localSheetId="4">'25.08 Suam-Bukwo'!$1:$8</definedName>
    <definedName name="_xlnm.Print_Titles" localSheetId="7">'26.08 Bukwo-Suam-24h'!$1:$8</definedName>
    <definedName name="_xlnm.Print_Titles" localSheetId="6">'26.08 Suam-Bukwo-24h'!$1:$8</definedName>
    <definedName name="_xlnm.Print_Titles" localSheetId="9">'27.08 Bukwo-Suam'!$1:$8</definedName>
    <definedName name="_xlnm.Print_Titles" localSheetId="8">'27.08 Suam-Bukwo'!$1:$8</definedName>
    <definedName name="_xlnm.Print_Titles" localSheetId="11">'28.08 Bukwo-Suam'!$1:$8</definedName>
    <definedName name="_xlnm.Print_Titles" localSheetId="10">'28.08 Suam-Bukwo'!$1:$8</definedName>
    <definedName name="_xlnm.Print_Titles" localSheetId="13">'29.08 Bukwo-Suam'!$1:$8</definedName>
    <definedName name="_xlnm.Print_Titles" localSheetId="12">'29.08 Suam-Bukwo'!$1:$8</definedName>
    <definedName name="_xlnm.Print_Titles" localSheetId="15">'Avg Week Bukwo-Suam'!$1:$8</definedName>
    <definedName name="_xlnm.Print_Titles" localSheetId="14">'Avg Week Saum-Bukwo'!$1:$8</definedName>
    <definedName name="_xlnm.Print_Titles" localSheetId="16">'Avg Week Suam-Bukwo-2Dir'!$1:$8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08" i="108" l="1"/>
  <c r="L108" i="108"/>
  <c r="K108" i="108"/>
  <c r="J108" i="108"/>
  <c r="I108" i="108"/>
  <c r="H108" i="108"/>
  <c r="G108" i="108"/>
  <c r="F108" i="108"/>
  <c r="E108" i="108"/>
  <c r="D108" i="108"/>
  <c r="C108" i="108"/>
  <c r="N107" i="108"/>
  <c r="M107" i="108"/>
  <c r="L107" i="108"/>
  <c r="K107" i="108"/>
  <c r="J107" i="108"/>
  <c r="I107" i="108"/>
  <c r="H107" i="108"/>
  <c r="G107" i="108"/>
  <c r="F107" i="108"/>
  <c r="E107" i="108"/>
  <c r="D107" i="108"/>
  <c r="C107" i="108"/>
  <c r="D106" i="111"/>
  <c r="C107" i="111"/>
  <c r="P58" i="107" l="1"/>
  <c r="P59" i="107"/>
  <c r="P60" i="107"/>
  <c r="P61" i="107"/>
  <c r="P62" i="107"/>
  <c r="P63" i="107"/>
  <c r="P64" i="107"/>
  <c r="P65" i="107"/>
  <c r="AF23" i="107" s="1"/>
  <c r="P66" i="107"/>
  <c r="P67" i="107"/>
  <c r="P68" i="107"/>
  <c r="P69" i="107"/>
  <c r="P70" i="107"/>
  <c r="P71" i="107"/>
  <c r="P72" i="107"/>
  <c r="P73" i="107"/>
  <c r="AF25" i="107" s="1"/>
  <c r="P74" i="107"/>
  <c r="P75" i="107"/>
  <c r="P76" i="107"/>
  <c r="P77" i="107"/>
  <c r="P78" i="107"/>
  <c r="P79" i="107"/>
  <c r="P80" i="107"/>
  <c r="P81" i="107"/>
  <c r="AF27" i="107" s="1"/>
  <c r="P82" i="107"/>
  <c r="P83" i="107"/>
  <c r="P84" i="107"/>
  <c r="P85" i="107"/>
  <c r="P86" i="107"/>
  <c r="P87" i="107"/>
  <c r="P88" i="107"/>
  <c r="P89" i="107"/>
  <c r="AF29" i="107" s="1"/>
  <c r="P90" i="107"/>
  <c r="P91" i="107"/>
  <c r="P92" i="107"/>
  <c r="P93" i="107"/>
  <c r="P94" i="107"/>
  <c r="P95" i="107"/>
  <c r="P96" i="107"/>
  <c r="P97" i="107"/>
  <c r="AF31" i="107" s="1"/>
  <c r="P98" i="107"/>
  <c r="P99" i="107"/>
  <c r="P100" i="107"/>
  <c r="P101" i="107"/>
  <c r="P102" i="107"/>
  <c r="P103" i="107"/>
  <c r="P104" i="107"/>
  <c r="P105" i="107"/>
  <c r="AF33" i="107" s="1"/>
  <c r="O58" i="107"/>
  <c r="O59" i="107"/>
  <c r="O60" i="107"/>
  <c r="O61" i="107"/>
  <c r="O62" i="107"/>
  <c r="O63" i="107"/>
  <c r="O64" i="107"/>
  <c r="O65" i="107"/>
  <c r="O106" i="107" s="1"/>
  <c r="O66" i="107"/>
  <c r="O67" i="107"/>
  <c r="O68" i="107"/>
  <c r="O69" i="107"/>
  <c r="O70" i="107"/>
  <c r="O71" i="107"/>
  <c r="O72" i="107"/>
  <c r="O73" i="107"/>
  <c r="AE25" i="107" s="1"/>
  <c r="O74" i="107"/>
  <c r="O75" i="107"/>
  <c r="O76" i="107"/>
  <c r="O77" i="107"/>
  <c r="O78" i="107"/>
  <c r="O79" i="107"/>
  <c r="O80" i="107"/>
  <c r="O81" i="107"/>
  <c r="AE27" i="107" s="1"/>
  <c r="O82" i="107"/>
  <c r="O83" i="107"/>
  <c r="O84" i="107"/>
  <c r="O85" i="107"/>
  <c r="O86" i="107"/>
  <c r="O87" i="107"/>
  <c r="O88" i="107"/>
  <c r="O89" i="107"/>
  <c r="AE29" i="107" s="1"/>
  <c r="O90" i="107"/>
  <c r="O91" i="107"/>
  <c r="O92" i="107"/>
  <c r="O93" i="107"/>
  <c r="O94" i="107"/>
  <c r="O95" i="107"/>
  <c r="O96" i="107"/>
  <c r="O97" i="107"/>
  <c r="AE31" i="107" s="1"/>
  <c r="O98" i="107"/>
  <c r="O99" i="107"/>
  <c r="O100" i="107"/>
  <c r="O101" i="107"/>
  <c r="O102" i="107"/>
  <c r="O103" i="107"/>
  <c r="O104" i="107"/>
  <c r="O105" i="107"/>
  <c r="AE33" i="107" s="1"/>
  <c r="D58" i="107"/>
  <c r="E58" i="107"/>
  <c r="F58" i="107"/>
  <c r="G58" i="107"/>
  <c r="H58" i="107"/>
  <c r="I58" i="107"/>
  <c r="J58" i="107"/>
  <c r="K58" i="107"/>
  <c r="K106" i="107" s="1"/>
  <c r="L58" i="107"/>
  <c r="M58" i="107"/>
  <c r="N58" i="107"/>
  <c r="D59" i="107"/>
  <c r="E59" i="107"/>
  <c r="F59" i="107"/>
  <c r="G59" i="107"/>
  <c r="H59" i="107"/>
  <c r="X22" i="107" s="1"/>
  <c r="I59" i="107"/>
  <c r="J59" i="107"/>
  <c r="K59" i="107"/>
  <c r="L59" i="107"/>
  <c r="M59" i="107"/>
  <c r="N59" i="107"/>
  <c r="D60" i="107"/>
  <c r="E60" i="107"/>
  <c r="U22" i="107" s="1"/>
  <c r="F60" i="107"/>
  <c r="G60" i="107"/>
  <c r="H60" i="107"/>
  <c r="I60" i="107"/>
  <c r="J60" i="107"/>
  <c r="K60" i="107"/>
  <c r="L60" i="107"/>
  <c r="M60" i="107"/>
  <c r="AC22" i="107" s="1"/>
  <c r="N60" i="107"/>
  <c r="D61" i="107"/>
  <c r="E61" i="107"/>
  <c r="F61" i="107"/>
  <c r="G61" i="107"/>
  <c r="H61" i="107"/>
  <c r="I61" i="107"/>
  <c r="J61" i="107"/>
  <c r="J106" i="107" s="1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L62" i="107"/>
  <c r="M62" i="107"/>
  <c r="N62" i="107"/>
  <c r="D63" i="107"/>
  <c r="D106" i="107" s="1"/>
  <c r="E63" i="107"/>
  <c r="F63" i="107"/>
  <c r="G63" i="107"/>
  <c r="H63" i="107"/>
  <c r="I63" i="107"/>
  <c r="J63" i="107"/>
  <c r="K63" i="107"/>
  <c r="L63" i="107"/>
  <c r="L106" i="107" s="1"/>
  <c r="M63" i="107"/>
  <c r="N63" i="107"/>
  <c r="D64" i="107"/>
  <c r="E64" i="107"/>
  <c r="F64" i="107"/>
  <c r="G64" i="107"/>
  <c r="H64" i="107"/>
  <c r="I64" i="107"/>
  <c r="I106" i="107" s="1"/>
  <c r="J64" i="107"/>
  <c r="K64" i="107"/>
  <c r="L64" i="107"/>
  <c r="M64" i="107"/>
  <c r="N64" i="107"/>
  <c r="D65" i="107"/>
  <c r="E65" i="107"/>
  <c r="F65" i="107"/>
  <c r="V23" i="107" s="1"/>
  <c r="G65" i="107"/>
  <c r="H65" i="107"/>
  <c r="I65" i="107"/>
  <c r="J65" i="107"/>
  <c r="K65" i="107"/>
  <c r="L65" i="107"/>
  <c r="M65" i="107"/>
  <c r="N65" i="107"/>
  <c r="AD23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X24" i="107" s="1"/>
  <c r="I67" i="107"/>
  <c r="J67" i="107"/>
  <c r="K67" i="107"/>
  <c r="L67" i="107"/>
  <c r="M67" i="107"/>
  <c r="N67" i="107"/>
  <c r="D68" i="107"/>
  <c r="E68" i="107"/>
  <c r="U24" i="107" s="1"/>
  <c r="F68" i="107"/>
  <c r="G68" i="107"/>
  <c r="H68" i="107"/>
  <c r="I68" i="107"/>
  <c r="J68" i="107"/>
  <c r="K68" i="107"/>
  <c r="L68" i="107"/>
  <c r="M68" i="107"/>
  <c r="AC24" i="107" s="1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D70" i="107"/>
  <c r="E70" i="107"/>
  <c r="F70" i="107"/>
  <c r="G70" i="107"/>
  <c r="W25" i="107" s="1"/>
  <c r="H70" i="107"/>
  <c r="I70" i="107"/>
  <c r="J70" i="107"/>
  <c r="K70" i="107"/>
  <c r="L70" i="107"/>
  <c r="M70" i="107"/>
  <c r="N70" i="107"/>
  <c r="D71" i="107"/>
  <c r="T25" i="107" s="1"/>
  <c r="E71" i="107"/>
  <c r="F71" i="107"/>
  <c r="G71" i="107"/>
  <c r="H71" i="107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Y25" i="107" s="1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AA26" i="107" s="1"/>
  <c r="L74" i="107"/>
  <c r="M74" i="107"/>
  <c r="N74" i="107"/>
  <c r="D75" i="107"/>
  <c r="E75" i="107"/>
  <c r="F75" i="107"/>
  <c r="G75" i="107"/>
  <c r="H75" i="107"/>
  <c r="X26" i="107" s="1"/>
  <c r="I75" i="107"/>
  <c r="J75" i="107"/>
  <c r="K75" i="107"/>
  <c r="L75" i="107"/>
  <c r="M75" i="107"/>
  <c r="N75" i="107"/>
  <c r="D76" i="107"/>
  <c r="E76" i="107"/>
  <c r="U26" i="107" s="1"/>
  <c r="F76" i="107"/>
  <c r="G76" i="107"/>
  <c r="H76" i="107"/>
  <c r="I76" i="107"/>
  <c r="J76" i="107"/>
  <c r="K76" i="107"/>
  <c r="L76" i="107"/>
  <c r="M76" i="107"/>
  <c r="AC26" i="107" s="1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L78" i="107"/>
  <c r="M78" i="107"/>
  <c r="N78" i="107"/>
  <c r="D79" i="107"/>
  <c r="T27" i="107" s="1"/>
  <c r="E79" i="107"/>
  <c r="F79" i="107"/>
  <c r="G79" i="107"/>
  <c r="H79" i="107"/>
  <c r="I79" i="107"/>
  <c r="J79" i="107"/>
  <c r="K79" i="107"/>
  <c r="L79" i="107"/>
  <c r="AB27" i="107" s="1"/>
  <c r="M79" i="107"/>
  <c r="N79" i="107"/>
  <c r="D80" i="107"/>
  <c r="E80" i="107"/>
  <c r="F80" i="107"/>
  <c r="G80" i="107"/>
  <c r="H80" i="107"/>
  <c r="I80" i="107"/>
  <c r="Y27" i="107" s="1"/>
  <c r="J80" i="107"/>
  <c r="K80" i="107"/>
  <c r="L80" i="107"/>
  <c r="M80" i="107"/>
  <c r="N80" i="107"/>
  <c r="D81" i="107"/>
  <c r="E81" i="107"/>
  <c r="F81" i="107"/>
  <c r="V27" i="107" s="1"/>
  <c r="G81" i="107"/>
  <c r="H81" i="107"/>
  <c r="I81" i="107"/>
  <c r="J81" i="107"/>
  <c r="K81" i="107"/>
  <c r="L81" i="107"/>
  <c r="M81" i="107"/>
  <c r="N81" i="107"/>
  <c r="AD27" i="107" s="1"/>
  <c r="D82" i="107"/>
  <c r="E82" i="107"/>
  <c r="F82" i="107"/>
  <c r="G82" i="107"/>
  <c r="H82" i="107"/>
  <c r="I82" i="107"/>
  <c r="J82" i="107"/>
  <c r="K82" i="107"/>
  <c r="AA28" i="107" s="1"/>
  <c r="L82" i="107"/>
  <c r="M82" i="107"/>
  <c r="N82" i="107"/>
  <c r="D83" i="107"/>
  <c r="E83" i="107"/>
  <c r="F83" i="107"/>
  <c r="G83" i="107"/>
  <c r="H83" i="107"/>
  <c r="X28" i="107" s="1"/>
  <c r="I83" i="107"/>
  <c r="J83" i="107"/>
  <c r="K83" i="107"/>
  <c r="L83" i="107"/>
  <c r="M83" i="107"/>
  <c r="N83" i="107"/>
  <c r="D84" i="107"/>
  <c r="E84" i="107"/>
  <c r="U28" i="107" s="1"/>
  <c r="F84" i="107"/>
  <c r="G84" i="107"/>
  <c r="H84" i="107"/>
  <c r="I84" i="107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T29" i="107" s="1"/>
  <c r="E87" i="107"/>
  <c r="F87" i="107"/>
  <c r="G87" i="107"/>
  <c r="H87" i="107"/>
  <c r="I87" i="107"/>
  <c r="J87" i="107"/>
  <c r="K87" i="107"/>
  <c r="L87" i="107"/>
  <c r="AB29" i="107" s="1"/>
  <c r="M87" i="107"/>
  <c r="N87" i="107"/>
  <c r="D88" i="107"/>
  <c r="E88" i="107"/>
  <c r="F88" i="107"/>
  <c r="G88" i="107"/>
  <c r="H88" i="107"/>
  <c r="I88" i="107"/>
  <c r="Y29" i="107" s="1"/>
  <c r="J88" i="107"/>
  <c r="K88" i="107"/>
  <c r="L88" i="107"/>
  <c r="M88" i="107"/>
  <c r="N88" i="107"/>
  <c r="D89" i="107"/>
  <c r="E89" i="107"/>
  <c r="F89" i="107"/>
  <c r="V29" i="107" s="1"/>
  <c r="G89" i="107"/>
  <c r="H89" i="107"/>
  <c r="I89" i="107"/>
  <c r="J89" i="107"/>
  <c r="K89" i="107"/>
  <c r="L89" i="107"/>
  <c r="M89" i="107"/>
  <c r="N89" i="107"/>
  <c r="AD29" i="107" s="1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U30" i="107" s="1"/>
  <c r="F92" i="107"/>
  <c r="G92" i="107"/>
  <c r="H92" i="107"/>
  <c r="I92" i="107"/>
  <c r="J92" i="107"/>
  <c r="K92" i="107"/>
  <c r="L92" i="107"/>
  <c r="M92" i="107"/>
  <c r="AC30" i="107" s="1"/>
  <c r="N92" i="107"/>
  <c r="D93" i="107"/>
  <c r="E93" i="107"/>
  <c r="F93" i="107"/>
  <c r="G93" i="107"/>
  <c r="H93" i="107"/>
  <c r="I93" i="107"/>
  <c r="J93" i="107"/>
  <c r="Z30" i="107" s="1"/>
  <c r="K93" i="107"/>
  <c r="L93" i="107"/>
  <c r="M93" i="107"/>
  <c r="N93" i="107"/>
  <c r="D94" i="107"/>
  <c r="E94" i="107"/>
  <c r="F94" i="107"/>
  <c r="G94" i="107"/>
  <c r="W31" i="107" s="1"/>
  <c r="H94" i="107"/>
  <c r="I94" i="107"/>
  <c r="J94" i="107"/>
  <c r="K94" i="107"/>
  <c r="L94" i="107"/>
  <c r="M94" i="107"/>
  <c r="N94" i="107"/>
  <c r="D95" i="107"/>
  <c r="T31" i="107" s="1"/>
  <c r="E95" i="107"/>
  <c r="F95" i="107"/>
  <c r="G95" i="107"/>
  <c r="H95" i="107"/>
  <c r="I95" i="107"/>
  <c r="J95" i="107"/>
  <c r="K95" i="107"/>
  <c r="L95" i="107"/>
  <c r="AB31" i="107" s="1"/>
  <c r="M95" i="107"/>
  <c r="N95" i="107"/>
  <c r="D96" i="107"/>
  <c r="E96" i="107"/>
  <c r="F96" i="107"/>
  <c r="G96" i="107"/>
  <c r="H96" i="107"/>
  <c r="I96" i="107"/>
  <c r="Y31" i="107" s="1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AA32" i="107" s="1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U32" i="107" s="1"/>
  <c r="F100" i="107"/>
  <c r="G100" i="107"/>
  <c r="H100" i="107"/>
  <c r="I100" i="107"/>
  <c r="J100" i="107"/>
  <c r="K100" i="107"/>
  <c r="L100" i="107"/>
  <c r="M100" i="107"/>
  <c r="AC32" i="107" s="1"/>
  <c r="N100" i="107"/>
  <c r="D101" i="107"/>
  <c r="E101" i="107"/>
  <c r="F101" i="107"/>
  <c r="G101" i="107"/>
  <c r="H101" i="107"/>
  <c r="I101" i="107"/>
  <c r="J101" i="107"/>
  <c r="J101" i="111" s="1"/>
  <c r="K101" i="107"/>
  <c r="L101" i="107"/>
  <c r="M101" i="107"/>
  <c r="N101" i="107"/>
  <c r="D102" i="107"/>
  <c r="E102" i="107"/>
  <c r="F102" i="107"/>
  <c r="G102" i="107"/>
  <c r="W33" i="107" s="1"/>
  <c r="H102" i="107"/>
  <c r="I102" i="107"/>
  <c r="J102" i="107"/>
  <c r="K102" i="107"/>
  <c r="L102" i="107"/>
  <c r="M102" i="107"/>
  <c r="N102" i="107"/>
  <c r="D103" i="107"/>
  <c r="D103" i="111" s="1"/>
  <c r="E103" i="107"/>
  <c r="F103" i="107"/>
  <c r="G103" i="107"/>
  <c r="H103" i="107"/>
  <c r="I103" i="107"/>
  <c r="J103" i="107"/>
  <c r="K103" i="107"/>
  <c r="L103" i="107"/>
  <c r="L103" i="111" s="1"/>
  <c r="M103" i="107"/>
  <c r="N103" i="107"/>
  <c r="D104" i="107"/>
  <c r="E104" i="107"/>
  <c r="F104" i="107"/>
  <c r="G104" i="107"/>
  <c r="H104" i="107"/>
  <c r="I104" i="107"/>
  <c r="Y33" i="107" s="1"/>
  <c r="J104" i="107"/>
  <c r="K104" i="107"/>
  <c r="L104" i="107"/>
  <c r="M104" i="107"/>
  <c r="N104" i="107"/>
  <c r="D105" i="107"/>
  <c r="E105" i="107"/>
  <c r="F105" i="107"/>
  <c r="F105" i="111" s="1"/>
  <c r="G105" i="107"/>
  <c r="H105" i="107"/>
  <c r="I105" i="107"/>
  <c r="J105" i="107"/>
  <c r="K105" i="107"/>
  <c r="L105" i="107"/>
  <c r="M105" i="107"/>
  <c r="N105" i="107"/>
  <c r="N105" i="111" s="1"/>
  <c r="C59" i="107"/>
  <c r="C60" i="107"/>
  <c r="C61" i="107"/>
  <c r="C62" i="107"/>
  <c r="C63" i="107"/>
  <c r="C64" i="107"/>
  <c r="C65" i="107"/>
  <c r="C66" i="107"/>
  <c r="C66" i="111" s="1"/>
  <c r="S24" i="111" s="1"/>
  <c r="C67" i="107"/>
  <c r="C68" i="107"/>
  <c r="C69" i="107"/>
  <c r="C70" i="107"/>
  <c r="C71" i="107"/>
  <c r="C72" i="107"/>
  <c r="C73" i="107"/>
  <c r="C74" i="107"/>
  <c r="S26" i="107" s="1"/>
  <c r="C75" i="107"/>
  <c r="C76" i="107"/>
  <c r="C77" i="107"/>
  <c r="C78" i="107"/>
  <c r="C79" i="107"/>
  <c r="C80" i="107"/>
  <c r="C81" i="107"/>
  <c r="C82" i="107"/>
  <c r="C82" i="111" s="1"/>
  <c r="S28" i="111" s="1"/>
  <c r="C83" i="107"/>
  <c r="C84" i="107"/>
  <c r="C85" i="107"/>
  <c r="C86" i="107"/>
  <c r="C87" i="107"/>
  <c r="C88" i="107"/>
  <c r="C89" i="107"/>
  <c r="C90" i="107"/>
  <c r="S30" i="107" s="1"/>
  <c r="C91" i="107"/>
  <c r="C92" i="107"/>
  <c r="C93" i="107"/>
  <c r="C94" i="107"/>
  <c r="C95" i="107"/>
  <c r="C96" i="107"/>
  <c r="S31" i="107" s="1"/>
  <c r="C97" i="107"/>
  <c r="C98" i="107"/>
  <c r="C98" i="111" s="1"/>
  <c r="S32" i="111" s="1"/>
  <c r="C99" i="107"/>
  <c r="C100" i="107"/>
  <c r="C101" i="107"/>
  <c r="C102" i="107"/>
  <c r="C103" i="107"/>
  <c r="C104" i="107"/>
  <c r="C105" i="107"/>
  <c r="C58" i="107"/>
  <c r="P58" i="108"/>
  <c r="P59" i="108"/>
  <c r="P60" i="108"/>
  <c r="P61" i="108"/>
  <c r="P62" i="108"/>
  <c r="P63" i="108"/>
  <c r="P64" i="108"/>
  <c r="P65" i="108"/>
  <c r="P106" i="108" s="1"/>
  <c r="P66" i="108"/>
  <c r="P67" i="108"/>
  <c r="P68" i="108"/>
  <c r="P69" i="108"/>
  <c r="P70" i="108"/>
  <c r="P71" i="108"/>
  <c r="P72" i="108"/>
  <c r="P73" i="108"/>
  <c r="AF25" i="108" s="1"/>
  <c r="P74" i="108"/>
  <c r="P75" i="108"/>
  <c r="P76" i="108"/>
  <c r="P77" i="108"/>
  <c r="P78" i="108"/>
  <c r="P79" i="108"/>
  <c r="P80" i="108"/>
  <c r="P81" i="108"/>
  <c r="AF27" i="108" s="1"/>
  <c r="P82" i="108"/>
  <c r="P83" i="108"/>
  <c r="P84" i="108"/>
  <c r="P85" i="108"/>
  <c r="P86" i="108"/>
  <c r="P87" i="108"/>
  <c r="P88" i="108"/>
  <c r="P89" i="108"/>
  <c r="AF29" i="108" s="1"/>
  <c r="P90" i="108"/>
  <c r="P91" i="108"/>
  <c r="P92" i="108"/>
  <c r="P93" i="108"/>
  <c r="P94" i="108"/>
  <c r="P95" i="108"/>
  <c r="P96" i="108"/>
  <c r="P97" i="108"/>
  <c r="AF31" i="108" s="1"/>
  <c r="P98" i="108"/>
  <c r="P99" i="108"/>
  <c r="P100" i="108"/>
  <c r="P101" i="108"/>
  <c r="P102" i="108"/>
  <c r="P103" i="108"/>
  <c r="P104" i="108"/>
  <c r="P105" i="108"/>
  <c r="AF33" i="108" s="1"/>
  <c r="O58" i="108"/>
  <c r="O59" i="108"/>
  <c r="O60" i="108"/>
  <c r="O61" i="108"/>
  <c r="O62" i="108"/>
  <c r="O63" i="108"/>
  <c r="O64" i="108"/>
  <c r="O65" i="108"/>
  <c r="AE23" i="108" s="1"/>
  <c r="O66" i="108"/>
  <c r="O67" i="108"/>
  <c r="O68" i="108"/>
  <c r="O69" i="108"/>
  <c r="O70" i="108"/>
  <c r="O71" i="108"/>
  <c r="O72" i="108"/>
  <c r="O73" i="108"/>
  <c r="AE25" i="108" s="1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O86" i="108"/>
  <c r="O87" i="108"/>
  <c r="O88" i="108"/>
  <c r="O89" i="108"/>
  <c r="AE29" i="108" s="1"/>
  <c r="O90" i="108"/>
  <c r="O91" i="108"/>
  <c r="O92" i="108"/>
  <c r="O93" i="108"/>
  <c r="O94" i="108"/>
  <c r="O95" i="108"/>
  <c r="O96" i="108"/>
  <c r="O97" i="108"/>
  <c r="AE31" i="108" s="1"/>
  <c r="O98" i="108"/>
  <c r="O99" i="108"/>
  <c r="O100" i="108"/>
  <c r="O101" i="108"/>
  <c r="O102" i="108"/>
  <c r="O103" i="108"/>
  <c r="O104" i="108"/>
  <c r="O105" i="108"/>
  <c r="AE33" i="108" s="1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E60" i="111" s="1"/>
  <c r="F60" i="108"/>
  <c r="G60" i="108"/>
  <c r="H60" i="108"/>
  <c r="I60" i="108"/>
  <c r="J60" i="108"/>
  <c r="K60" i="108"/>
  <c r="L60" i="108"/>
  <c r="M60" i="108"/>
  <c r="M60" i="111" s="1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G62" i="111" s="1"/>
  <c r="W23" i="111" s="1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J85" i="111" s="1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D87" i="111" s="1"/>
  <c r="E87" i="108"/>
  <c r="F87" i="108"/>
  <c r="G87" i="108"/>
  <c r="H87" i="108"/>
  <c r="I87" i="108"/>
  <c r="J87" i="108"/>
  <c r="K87" i="108"/>
  <c r="L87" i="108"/>
  <c r="L87" i="111" s="1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I96" i="111" s="1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K98" i="111" s="1"/>
  <c r="AA32" i="111" s="1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Z32" i="108" s="1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L102" i="108"/>
  <c r="M102" i="108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H104" i="108"/>
  <c r="I104" i="108"/>
  <c r="Y33" i="108" s="1"/>
  <c r="J104" i="108"/>
  <c r="K104" i="108"/>
  <c r="L104" i="108"/>
  <c r="M104" i="108"/>
  <c r="N104" i="108"/>
  <c r="D105" i="108"/>
  <c r="E105" i="108"/>
  <c r="F105" i="108"/>
  <c r="V33" i="108" s="1"/>
  <c r="G105" i="108"/>
  <c r="H105" i="108"/>
  <c r="I105" i="108"/>
  <c r="J105" i="108"/>
  <c r="K105" i="108"/>
  <c r="L105" i="108"/>
  <c r="M105" i="108"/>
  <c r="N105" i="108"/>
  <c r="AD33" i="108" s="1"/>
  <c r="C59" i="108"/>
  <c r="C60" i="108"/>
  <c r="C61" i="108"/>
  <c r="C62" i="108"/>
  <c r="C63" i="108"/>
  <c r="C64" i="108"/>
  <c r="C65" i="108"/>
  <c r="C66" i="108"/>
  <c r="C106" i="108" s="1"/>
  <c r="C67" i="108"/>
  <c r="C68" i="108"/>
  <c r="C69" i="108"/>
  <c r="C70" i="108"/>
  <c r="C71" i="108"/>
  <c r="C72" i="108"/>
  <c r="C73" i="108"/>
  <c r="C74" i="108"/>
  <c r="S26" i="108" s="1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S30" i="108" s="1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AE37" i="107"/>
  <c r="W37" i="107"/>
  <c r="AC33" i="107"/>
  <c r="AA33" i="107"/>
  <c r="Z33" i="107"/>
  <c r="X33" i="107"/>
  <c r="U33" i="107"/>
  <c r="S33" i="107"/>
  <c r="AF32" i="107"/>
  <c r="AE32" i="107"/>
  <c r="AD32" i="107"/>
  <c r="AB32" i="107"/>
  <c r="Y32" i="107"/>
  <c r="W32" i="107"/>
  <c r="V32" i="107"/>
  <c r="T32" i="107"/>
  <c r="AD31" i="107"/>
  <c r="AC31" i="107"/>
  <c r="AA31" i="107"/>
  <c r="Z31" i="107"/>
  <c r="X31" i="107"/>
  <c r="V31" i="107"/>
  <c r="U31" i="107"/>
  <c r="AF30" i="107"/>
  <c r="AE30" i="107"/>
  <c r="AD30" i="107"/>
  <c r="AB30" i="107"/>
  <c r="AA30" i="107"/>
  <c r="Y30" i="107"/>
  <c r="W30" i="107"/>
  <c r="V30" i="107"/>
  <c r="T30" i="107"/>
  <c r="AC29" i="107"/>
  <c r="AA29" i="107"/>
  <c r="Z29" i="107"/>
  <c r="X29" i="107"/>
  <c r="U29" i="107"/>
  <c r="S29" i="107"/>
  <c r="AF28" i="107"/>
  <c r="AE28" i="107"/>
  <c r="AD28" i="107"/>
  <c r="AB28" i="107"/>
  <c r="Y28" i="107"/>
  <c r="W28" i="107"/>
  <c r="V28" i="107"/>
  <c r="T28" i="107"/>
  <c r="AC27" i="107"/>
  <c r="AA27" i="107"/>
  <c r="Z27" i="107"/>
  <c r="X27" i="107"/>
  <c r="U27" i="107"/>
  <c r="S27" i="107"/>
  <c r="AF26" i="107"/>
  <c r="AE26" i="107"/>
  <c r="AD26" i="107"/>
  <c r="AB26" i="107"/>
  <c r="Y26" i="107"/>
  <c r="W26" i="107"/>
  <c r="V26" i="107"/>
  <c r="T26" i="107"/>
  <c r="AD25" i="107"/>
  <c r="AC25" i="107"/>
  <c r="AA25" i="107"/>
  <c r="Z25" i="107"/>
  <c r="X25" i="107"/>
  <c r="V25" i="107"/>
  <c r="U25" i="107"/>
  <c r="S25" i="107"/>
  <c r="AF24" i="107"/>
  <c r="AE24" i="107"/>
  <c r="AD24" i="107"/>
  <c r="AB24" i="107"/>
  <c r="Y24" i="107"/>
  <c r="W24" i="107"/>
  <c r="V24" i="107"/>
  <c r="T24" i="107"/>
  <c r="AE23" i="107"/>
  <c r="AC23" i="107"/>
  <c r="AA23" i="107"/>
  <c r="Z23" i="107"/>
  <c r="Y23" i="107"/>
  <c r="X23" i="107"/>
  <c r="U23" i="107"/>
  <c r="S23" i="107"/>
  <c r="AF22" i="107"/>
  <c r="AE22" i="107"/>
  <c r="AD22" i="107"/>
  <c r="AB22" i="107"/>
  <c r="Y22" i="107"/>
  <c r="W22" i="107"/>
  <c r="V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X20" i="107"/>
  <c r="W20" i="107"/>
  <c r="V20" i="107"/>
  <c r="U20" i="107"/>
  <c r="U36" i="107" s="1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9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AA35" i="107" s="1"/>
  <c r="Z15" i="107"/>
  <c r="Y15" i="107"/>
  <c r="X15" i="107"/>
  <c r="W15" i="107"/>
  <c r="V15" i="107"/>
  <c r="U15" i="107"/>
  <c r="T15" i="107"/>
  <c r="S15" i="107"/>
  <c r="S35" i="107" s="1"/>
  <c r="AF14" i="107"/>
  <c r="AE14" i="107"/>
  <c r="AD14" i="107"/>
  <c r="AC14" i="107"/>
  <c r="AB14" i="107"/>
  <c r="AA14" i="107"/>
  <c r="Z14" i="107"/>
  <c r="Y14" i="107"/>
  <c r="Y38" i="107" s="1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C40" i="107" s="1"/>
  <c r="AB12" i="107"/>
  <c r="AA12" i="107"/>
  <c r="Z12" i="107"/>
  <c r="Y12" i="107"/>
  <c r="X12" i="107"/>
  <c r="W12" i="107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40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E37" i="108"/>
  <c r="W37" i="108"/>
  <c r="AC33" i="108"/>
  <c r="AA33" i="108"/>
  <c r="Z33" i="108"/>
  <c r="X33" i="108"/>
  <c r="U33" i="108"/>
  <c r="S33" i="108"/>
  <c r="AF32" i="108"/>
  <c r="AE32" i="108"/>
  <c r="AD32" i="108"/>
  <c r="AB32" i="108"/>
  <c r="Y32" i="108"/>
  <c r="W32" i="108"/>
  <c r="V32" i="108"/>
  <c r="T32" i="108"/>
  <c r="S32" i="108"/>
  <c r="AC31" i="108"/>
  <c r="AA31" i="108"/>
  <c r="Z31" i="108"/>
  <c r="X31" i="108"/>
  <c r="U31" i="108"/>
  <c r="S31" i="108"/>
  <c r="AF30" i="108"/>
  <c r="AE30" i="108"/>
  <c r="AD30" i="108"/>
  <c r="AB30" i="108"/>
  <c r="Y30" i="108"/>
  <c r="W30" i="108"/>
  <c r="V30" i="108"/>
  <c r="T30" i="108"/>
  <c r="AC29" i="108"/>
  <c r="AA29" i="108"/>
  <c r="Z29" i="108"/>
  <c r="X29" i="108"/>
  <c r="U29" i="108"/>
  <c r="T29" i="108"/>
  <c r="S29" i="108"/>
  <c r="AF28" i="108"/>
  <c r="AE28" i="108"/>
  <c r="AD28" i="108"/>
  <c r="AB28" i="108"/>
  <c r="Y28" i="108"/>
  <c r="W28" i="108"/>
  <c r="V28" i="108"/>
  <c r="T28" i="108"/>
  <c r="S28" i="108"/>
  <c r="AC27" i="108"/>
  <c r="AA27" i="108"/>
  <c r="Z27" i="108"/>
  <c r="X27" i="108"/>
  <c r="U27" i="108"/>
  <c r="S27" i="108"/>
  <c r="AF26" i="108"/>
  <c r="AE26" i="108"/>
  <c r="AD26" i="108"/>
  <c r="AB26" i="108"/>
  <c r="Y26" i="108"/>
  <c r="W26" i="108"/>
  <c r="V26" i="108"/>
  <c r="T26" i="108"/>
  <c r="AC25" i="108"/>
  <c r="AA25" i="108"/>
  <c r="Z25" i="108"/>
  <c r="X25" i="108"/>
  <c r="U25" i="108"/>
  <c r="S25" i="108"/>
  <c r="AF24" i="108"/>
  <c r="AE24" i="108"/>
  <c r="AD24" i="108"/>
  <c r="AB24" i="108"/>
  <c r="Y24" i="108"/>
  <c r="W24" i="108"/>
  <c r="V24" i="108"/>
  <c r="T24" i="108"/>
  <c r="S24" i="108"/>
  <c r="AC23" i="108"/>
  <c r="AA23" i="108"/>
  <c r="Z23" i="108"/>
  <c r="X23" i="108"/>
  <c r="U23" i="108"/>
  <c r="S23" i="108"/>
  <c r="AF22" i="108"/>
  <c r="AE22" i="108"/>
  <c r="AD22" i="108"/>
  <c r="AC22" i="108"/>
  <c r="AB22" i="108"/>
  <c r="Y22" i="108"/>
  <c r="W22" i="108"/>
  <c r="V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40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Y37" i="111"/>
  <c r="AF21" i="111"/>
  <c r="AE21" i="111"/>
  <c r="AD21" i="111"/>
  <c r="AC21" i="111"/>
  <c r="AB21" i="111"/>
  <c r="AA21" i="111"/>
  <c r="Z21" i="111"/>
  <c r="Y21" i="111"/>
  <c r="X21" i="111"/>
  <c r="W21" i="111"/>
  <c r="V21" i="111"/>
  <c r="U21" i="111"/>
  <c r="T21" i="111"/>
  <c r="S21" i="111"/>
  <c r="AF20" i="111"/>
  <c r="AE20" i="111"/>
  <c r="AE36" i="111" s="1"/>
  <c r="AD20" i="111"/>
  <c r="AC20" i="111"/>
  <c r="AB20" i="111"/>
  <c r="AA20" i="111"/>
  <c r="Z20" i="111"/>
  <c r="Y20" i="111"/>
  <c r="X20" i="111"/>
  <c r="W20" i="111"/>
  <c r="W36" i="111" s="1"/>
  <c r="V20" i="111"/>
  <c r="U20" i="111"/>
  <c r="T20" i="111"/>
  <c r="S20" i="111"/>
  <c r="AF19" i="111"/>
  <c r="AF39" i="111" s="1"/>
  <c r="AE19" i="111"/>
  <c r="AE39" i="111" s="1"/>
  <c r="AD19" i="111"/>
  <c r="AD39" i="111" s="1"/>
  <c r="AC19" i="111"/>
  <c r="AC36" i="111" s="1"/>
  <c r="AB19" i="111"/>
  <c r="AB36" i="111" s="1"/>
  <c r="AA19" i="111"/>
  <c r="AA36" i="111" s="1"/>
  <c r="Z19" i="111"/>
  <c r="Z39" i="111" s="1"/>
  <c r="Y19" i="111"/>
  <c r="Y39" i="111" s="1"/>
  <c r="X19" i="111"/>
  <c r="X39" i="111" s="1"/>
  <c r="W19" i="111"/>
  <c r="W39" i="111" s="1"/>
  <c r="V19" i="111"/>
  <c r="V39" i="111" s="1"/>
  <c r="U19" i="111"/>
  <c r="U39" i="111" s="1"/>
  <c r="T19" i="111"/>
  <c r="T36" i="111" s="1"/>
  <c r="S19" i="111"/>
  <c r="S36" i="111" s="1"/>
  <c r="AF18" i="111"/>
  <c r="AE18" i="111"/>
  <c r="AD18" i="111"/>
  <c r="AC18" i="111"/>
  <c r="AB18" i="111"/>
  <c r="AA18" i="111"/>
  <c r="Z18" i="111"/>
  <c r="Y18" i="111"/>
  <c r="X18" i="111"/>
  <c r="W18" i="111"/>
  <c r="V18" i="111"/>
  <c r="U18" i="111"/>
  <c r="T18" i="111"/>
  <c r="S18" i="111"/>
  <c r="AF17" i="111"/>
  <c r="AE17" i="111"/>
  <c r="AD17" i="111"/>
  <c r="AC17" i="111"/>
  <c r="AB17" i="111"/>
  <c r="AA17" i="111"/>
  <c r="Z17" i="111"/>
  <c r="Y17" i="111"/>
  <c r="X17" i="111"/>
  <c r="W17" i="111"/>
  <c r="V17" i="111"/>
  <c r="U17" i="111"/>
  <c r="T17" i="111"/>
  <c r="S17" i="111"/>
  <c r="AF16" i="111"/>
  <c r="AE16" i="111"/>
  <c r="AD16" i="111"/>
  <c r="AC16" i="111"/>
  <c r="AB16" i="111"/>
  <c r="AA16" i="111"/>
  <c r="Z16" i="111"/>
  <c r="Y16" i="111"/>
  <c r="X16" i="111"/>
  <c r="W16" i="111"/>
  <c r="V16" i="111"/>
  <c r="U16" i="111"/>
  <c r="T16" i="111"/>
  <c r="S16" i="111"/>
  <c r="AF15" i="111"/>
  <c r="AE15" i="111"/>
  <c r="AD15" i="111"/>
  <c r="AC15" i="111"/>
  <c r="AC35" i="111" s="1"/>
  <c r="AB15" i="111"/>
  <c r="AA15" i="111"/>
  <c r="Z15" i="111"/>
  <c r="Y15" i="111"/>
  <c r="X15" i="111"/>
  <c r="W15" i="111"/>
  <c r="V15" i="111"/>
  <c r="U15" i="111"/>
  <c r="U35" i="111" s="1"/>
  <c r="T15" i="111"/>
  <c r="S15" i="111"/>
  <c r="AF14" i="111"/>
  <c r="AE14" i="111"/>
  <c r="AD14" i="111"/>
  <c r="AC14" i="111"/>
  <c r="AB14" i="111"/>
  <c r="AA14" i="111"/>
  <c r="AA38" i="111" s="1"/>
  <c r="Z14" i="111"/>
  <c r="Y14" i="111"/>
  <c r="X14" i="111"/>
  <c r="W14" i="111"/>
  <c r="V14" i="111"/>
  <c r="U14" i="111"/>
  <c r="T14" i="111"/>
  <c r="S14" i="111"/>
  <c r="S38" i="111" s="1"/>
  <c r="AF13" i="111"/>
  <c r="AF38" i="111" s="1"/>
  <c r="AE13" i="111"/>
  <c r="AE38" i="111" s="1"/>
  <c r="AD13" i="111"/>
  <c r="AD38" i="111" s="1"/>
  <c r="AC13" i="111"/>
  <c r="AC38" i="111" s="1"/>
  <c r="AB13" i="111"/>
  <c r="AB38" i="111" s="1"/>
  <c r="AA13" i="111"/>
  <c r="AA35" i="111" s="1"/>
  <c r="Z13" i="111"/>
  <c r="Z35" i="111" s="1"/>
  <c r="Y13" i="111"/>
  <c r="Y35" i="111" s="1"/>
  <c r="X13" i="111"/>
  <c r="X38" i="111" s="1"/>
  <c r="W13" i="111"/>
  <c r="W38" i="111" s="1"/>
  <c r="V13" i="111"/>
  <c r="V38" i="111" s="1"/>
  <c r="U13" i="111"/>
  <c r="U38" i="111" s="1"/>
  <c r="T13" i="111"/>
  <c r="T38" i="111" s="1"/>
  <c r="S13" i="111"/>
  <c r="S35" i="111" s="1"/>
  <c r="AF12" i="111"/>
  <c r="AE12" i="111"/>
  <c r="AE40" i="111" s="1"/>
  <c r="AD12" i="111"/>
  <c r="AC12" i="111"/>
  <c r="AB12" i="111"/>
  <c r="AA12" i="111"/>
  <c r="Z12" i="111"/>
  <c r="Y12" i="111"/>
  <c r="X12" i="111"/>
  <c r="W12" i="111"/>
  <c r="W40" i="111" s="1"/>
  <c r="V12" i="111"/>
  <c r="U12" i="111"/>
  <c r="T12" i="111"/>
  <c r="S12" i="111"/>
  <c r="AF11" i="111"/>
  <c r="AE11" i="111"/>
  <c r="AD11" i="111"/>
  <c r="AC11" i="111"/>
  <c r="AB11" i="111"/>
  <c r="AA11" i="111"/>
  <c r="Z11" i="111"/>
  <c r="Y11" i="111"/>
  <c r="X11" i="111"/>
  <c r="W11" i="111"/>
  <c r="V11" i="111"/>
  <c r="U11" i="111"/>
  <c r="T11" i="111"/>
  <c r="S11" i="111"/>
  <c r="AF10" i="111"/>
  <c r="AF34" i="111" s="1"/>
  <c r="AE10" i="111"/>
  <c r="AE34" i="111" s="1"/>
  <c r="AD10" i="111"/>
  <c r="AC10" i="111"/>
  <c r="AB10" i="111"/>
  <c r="AB40" i="111" s="1"/>
  <c r="AA10" i="111"/>
  <c r="AA40" i="111" s="1"/>
  <c r="Z10" i="111"/>
  <c r="Z40" i="111" s="1"/>
  <c r="Y10" i="111"/>
  <c r="Y40" i="111" s="1"/>
  <c r="X10" i="111"/>
  <c r="X34" i="111" s="1"/>
  <c r="W10" i="111"/>
  <c r="W34" i="111" s="1"/>
  <c r="V10" i="111"/>
  <c r="U10" i="111"/>
  <c r="T10" i="111"/>
  <c r="T40" i="111" s="1"/>
  <c r="S10" i="111"/>
  <c r="S34" i="111" s="1"/>
  <c r="D58" i="111"/>
  <c r="T22" i="111" s="1"/>
  <c r="E58" i="111"/>
  <c r="F58" i="111"/>
  <c r="G58" i="111"/>
  <c r="H58" i="111"/>
  <c r="I58" i="111"/>
  <c r="J58" i="111"/>
  <c r="L58" i="111"/>
  <c r="M58" i="111"/>
  <c r="AC22" i="111" s="1"/>
  <c r="N58" i="111"/>
  <c r="D59" i="111"/>
  <c r="E59" i="111"/>
  <c r="F59" i="111"/>
  <c r="G59" i="111"/>
  <c r="I59" i="111"/>
  <c r="J59" i="111"/>
  <c r="K59" i="111"/>
  <c r="L59" i="111"/>
  <c r="M59" i="111"/>
  <c r="N59" i="111"/>
  <c r="D60" i="111"/>
  <c r="F60" i="111"/>
  <c r="G60" i="111"/>
  <c r="H60" i="111"/>
  <c r="I60" i="111"/>
  <c r="J60" i="111"/>
  <c r="K60" i="111"/>
  <c r="L60" i="111"/>
  <c r="N60" i="111"/>
  <c r="D61" i="111"/>
  <c r="E61" i="111"/>
  <c r="F61" i="111"/>
  <c r="G61" i="111"/>
  <c r="H61" i="111"/>
  <c r="I61" i="111"/>
  <c r="K61" i="111"/>
  <c r="L61" i="111"/>
  <c r="M61" i="111"/>
  <c r="N61" i="111"/>
  <c r="D62" i="111"/>
  <c r="E62" i="111"/>
  <c r="U23" i="111" s="1"/>
  <c r="F62" i="111"/>
  <c r="H62" i="111"/>
  <c r="X23" i="111" s="1"/>
  <c r="I62" i="111"/>
  <c r="J62" i="111"/>
  <c r="K62" i="111"/>
  <c r="L62" i="111"/>
  <c r="M62" i="111"/>
  <c r="N62" i="111"/>
  <c r="E63" i="111"/>
  <c r="F63" i="111"/>
  <c r="G63" i="111"/>
  <c r="H63" i="111"/>
  <c r="I63" i="111"/>
  <c r="J63" i="111"/>
  <c r="K63" i="111"/>
  <c r="M63" i="111"/>
  <c r="N63" i="111"/>
  <c r="D64" i="111"/>
  <c r="E64" i="111"/>
  <c r="F64" i="111"/>
  <c r="G64" i="111"/>
  <c r="H64" i="111"/>
  <c r="J64" i="111"/>
  <c r="K64" i="111"/>
  <c r="L64" i="111"/>
  <c r="M64" i="111"/>
  <c r="N64" i="111"/>
  <c r="D65" i="111"/>
  <c r="E65" i="111"/>
  <c r="G65" i="111"/>
  <c r="H65" i="111"/>
  <c r="I65" i="111"/>
  <c r="J65" i="111"/>
  <c r="K65" i="111"/>
  <c r="L65" i="111"/>
  <c r="M65" i="111"/>
  <c r="D66" i="111"/>
  <c r="E66" i="111"/>
  <c r="F66" i="111"/>
  <c r="G66" i="111"/>
  <c r="H66" i="111"/>
  <c r="I66" i="111"/>
  <c r="J66" i="111"/>
  <c r="L66" i="111"/>
  <c r="M66" i="111"/>
  <c r="N66" i="111"/>
  <c r="D67" i="111"/>
  <c r="E67" i="111"/>
  <c r="F67" i="111"/>
  <c r="G67" i="111"/>
  <c r="I67" i="111"/>
  <c r="J67" i="111"/>
  <c r="K67" i="111"/>
  <c r="L67" i="111"/>
  <c r="M67" i="111"/>
  <c r="N67" i="111"/>
  <c r="D68" i="111"/>
  <c r="F68" i="111"/>
  <c r="G68" i="111"/>
  <c r="H68" i="111"/>
  <c r="I68" i="111"/>
  <c r="J68" i="111"/>
  <c r="K68" i="111"/>
  <c r="L68" i="111"/>
  <c r="N68" i="111"/>
  <c r="D69" i="111"/>
  <c r="E69" i="111"/>
  <c r="F69" i="111"/>
  <c r="G69" i="111"/>
  <c r="H69" i="111"/>
  <c r="I69" i="111"/>
  <c r="K69" i="111"/>
  <c r="L69" i="111"/>
  <c r="M69" i="111"/>
  <c r="N69" i="111"/>
  <c r="D70" i="111"/>
  <c r="E70" i="111"/>
  <c r="F70" i="111"/>
  <c r="H70" i="111"/>
  <c r="I70" i="111"/>
  <c r="J70" i="111"/>
  <c r="Z25" i="111" s="1"/>
  <c r="K70" i="111"/>
  <c r="L70" i="111"/>
  <c r="M70" i="111"/>
  <c r="N70" i="111"/>
  <c r="E71" i="111"/>
  <c r="F71" i="111"/>
  <c r="G71" i="111"/>
  <c r="H71" i="111"/>
  <c r="I71" i="111"/>
  <c r="J71" i="111"/>
  <c r="K71" i="111"/>
  <c r="M71" i="111"/>
  <c r="N71" i="111"/>
  <c r="D72" i="111"/>
  <c r="E72" i="111"/>
  <c r="F72" i="111"/>
  <c r="G72" i="111"/>
  <c r="H72" i="111"/>
  <c r="J72" i="111"/>
  <c r="K72" i="111"/>
  <c r="L72" i="111"/>
  <c r="M72" i="111"/>
  <c r="N72" i="111"/>
  <c r="D73" i="111"/>
  <c r="E73" i="111"/>
  <c r="G73" i="111"/>
  <c r="H73" i="111"/>
  <c r="I73" i="111"/>
  <c r="J73" i="111"/>
  <c r="K73" i="111"/>
  <c r="L73" i="111"/>
  <c r="M73" i="111"/>
  <c r="D74" i="111"/>
  <c r="E74" i="111"/>
  <c r="F74" i="111"/>
  <c r="G74" i="111"/>
  <c r="W26" i="111" s="1"/>
  <c r="H74" i="111"/>
  <c r="I74" i="111"/>
  <c r="J74" i="111"/>
  <c r="L74" i="111"/>
  <c r="M74" i="111"/>
  <c r="N74" i="111"/>
  <c r="D75" i="111"/>
  <c r="E75" i="111"/>
  <c r="F75" i="111"/>
  <c r="G75" i="111"/>
  <c r="I75" i="111"/>
  <c r="J75" i="111"/>
  <c r="K75" i="111"/>
  <c r="L75" i="111"/>
  <c r="M75" i="111"/>
  <c r="N75" i="111"/>
  <c r="D76" i="111"/>
  <c r="F76" i="111"/>
  <c r="G76" i="111"/>
  <c r="H76" i="111"/>
  <c r="I76" i="111"/>
  <c r="J76" i="111"/>
  <c r="K76" i="111"/>
  <c r="L76" i="111"/>
  <c r="N76" i="111"/>
  <c r="D77" i="111"/>
  <c r="E77" i="111"/>
  <c r="F77" i="111"/>
  <c r="G77" i="111"/>
  <c r="H77" i="111"/>
  <c r="I77" i="111"/>
  <c r="K77" i="111"/>
  <c r="L77" i="111"/>
  <c r="M77" i="111"/>
  <c r="N77" i="111"/>
  <c r="D78" i="111"/>
  <c r="E78" i="111"/>
  <c r="F78" i="111"/>
  <c r="H78" i="111"/>
  <c r="I78" i="111"/>
  <c r="J78" i="111"/>
  <c r="K78" i="111"/>
  <c r="L78" i="111"/>
  <c r="M78" i="111"/>
  <c r="N78" i="111"/>
  <c r="E79" i="111"/>
  <c r="F79" i="111"/>
  <c r="G79" i="111"/>
  <c r="H79" i="111"/>
  <c r="I79" i="111"/>
  <c r="J79" i="111"/>
  <c r="K79" i="111"/>
  <c r="M79" i="111"/>
  <c r="N79" i="111"/>
  <c r="D80" i="111"/>
  <c r="E80" i="111"/>
  <c r="F80" i="111"/>
  <c r="G80" i="111"/>
  <c r="H80" i="111"/>
  <c r="J80" i="111"/>
  <c r="K80" i="111"/>
  <c r="L80" i="111"/>
  <c r="M80" i="111"/>
  <c r="N80" i="111"/>
  <c r="D81" i="111"/>
  <c r="E81" i="111"/>
  <c r="G81" i="111"/>
  <c r="H81" i="111"/>
  <c r="I81" i="111"/>
  <c r="J81" i="111"/>
  <c r="K81" i="111"/>
  <c r="L81" i="111"/>
  <c r="M81" i="111"/>
  <c r="D82" i="111"/>
  <c r="E82" i="111"/>
  <c r="F82" i="111"/>
  <c r="G82" i="111"/>
  <c r="H82" i="111"/>
  <c r="I82" i="111"/>
  <c r="Y28" i="111" s="1"/>
  <c r="J82" i="111"/>
  <c r="L82" i="111"/>
  <c r="M82" i="111"/>
  <c r="N82" i="111"/>
  <c r="AD28" i="111" s="1"/>
  <c r="D83" i="111"/>
  <c r="E83" i="111"/>
  <c r="F83" i="111"/>
  <c r="G83" i="111"/>
  <c r="I83" i="111"/>
  <c r="J83" i="111"/>
  <c r="K83" i="111"/>
  <c r="L83" i="111"/>
  <c r="M83" i="111"/>
  <c r="N83" i="111"/>
  <c r="D84" i="111"/>
  <c r="F84" i="111"/>
  <c r="G84" i="111"/>
  <c r="H84" i="111"/>
  <c r="I84" i="111"/>
  <c r="J84" i="111"/>
  <c r="K84" i="111"/>
  <c r="L84" i="111"/>
  <c r="N84" i="111"/>
  <c r="D85" i="111"/>
  <c r="E85" i="111"/>
  <c r="F85" i="111"/>
  <c r="G85" i="111"/>
  <c r="H85" i="111"/>
  <c r="I85" i="111"/>
  <c r="K85" i="111"/>
  <c r="L85" i="111"/>
  <c r="M85" i="111"/>
  <c r="N85" i="111"/>
  <c r="D86" i="111"/>
  <c r="E86" i="111"/>
  <c r="F86" i="111"/>
  <c r="H86" i="111"/>
  <c r="I86" i="111"/>
  <c r="J86" i="111"/>
  <c r="K86" i="111"/>
  <c r="L86" i="111"/>
  <c r="M86" i="111"/>
  <c r="N86" i="111"/>
  <c r="E87" i="111"/>
  <c r="F87" i="111"/>
  <c r="G87" i="111"/>
  <c r="H87" i="111"/>
  <c r="I87" i="111"/>
  <c r="J87" i="111"/>
  <c r="K87" i="111"/>
  <c r="M87" i="111"/>
  <c r="N87" i="111"/>
  <c r="D88" i="111"/>
  <c r="E88" i="111"/>
  <c r="F88" i="111"/>
  <c r="G88" i="111"/>
  <c r="H88" i="111"/>
  <c r="J88" i="111"/>
  <c r="K88" i="111"/>
  <c r="L88" i="111"/>
  <c r="M88" i="111"/>
  <c r="N88" i="111"/>
  <c r="D89" i="111"/>
  <c r="E89" i="111"/>
  <c r="G89" i="111"/>
  <c r="H89" i="111"/>
  <c r="I89" i="111"/>
  <c r="J89" i="111"/>
  <c r="K89" i="111"/>
  <c r="L89" i="111"/>
  <c r="M89" i="111"/>
  <c r="D90" i="111"/>
  <c r="E90" i="111"/>
  <c r="F90" i="111"/>
  <c r="G90" i="111"/>
  <c r="H90" i="111"/>
  <c r="I90" i="111"/>
  <c r="J90" i="111"/>
  <c r="L90" i="111"/>
  <c r="M90" i="111"/>
  <c r="N90" i="111"/>
  <c r="D91" i="111"/>
  <c r="E91" i="111"/>
  <c r="F91" i="111"/>
  <c r="G91" i="111"/>
  <c r="I91" i="111"/>
  <c r="J91" i="111"/>
  <c r="K91" i="111"/>
  <c r="L91" i="111"/>
  <c r="M91" i="111"/>
  <c r="N91" i="111"/>
  <c r="D92" i="111"/>
  <c r="F92" i="111"/>
  <c r="G92" i="111"/>
  <c r="H92" i="111"/>
  <c r="I92" i="111"/>
  <c r="J92" i="111"/>
  <c r="K92" i="111"/>
  <c r="L92" i="111"/>
  <c r="N92" i="111"/>
  <c r="D93" i="111"/>
  <c r="E93" i="111"/>
  <c r="F93" i="111"/>
  <c r="G93" i="111"/>
  <c r="H93" i="111"/>
  <c r="I93" i="111"/>
  <c r="K93" i="111"/>
  <c r="L93" i="111"/>
  <c r="M93" i="111"/>
  <c r="N93" i="111"/>
  <c r="D94" i="111"/>
  <c r="E94" i="111"/>
  <c r="F94" i="111"/>
  <c r="H94" i="111"/>
  <c r="X31" i="111" s="1"/>
  <c r="I94" i="111"/>
  <c r="J94" i="111"/>
  <c r="Z31" i="111" s="1"/>
  <c r="K94" i="111"/>
  <c r="L94" i="111"/>
  <c r="M94" i="111"/>
  <c r="N94" i="111"/>
  <c r="E95" i="111"/>
  <c r="F95" i="111"/>
  <c r="G95" i="111"/>
  <c r="H95" i="111"/>
  <c r="I95" i="111"/>
  <c r="J95" i="111"/>
  <c r="K95" i="111"/>
  <c r="M95" i="111"/>
  <c r="N95" i="111"/>
  <c r="D96" i="111"/>
  <c r="E96" i="111"/>
  <c r="F96" i="111"/>
  <c r="G96" i="111"/>
  <c r="H96" i="111"/>
  <c r="J96" i="111"/>
  <c r="K96" i="111"/>
  <c r="L96" i="111"/>
  <c r="M96" i="111"/>
  <c r="N96" i="111"/>
  <c r="D97" i="111"/>
  <c r="E97" i="111"/>
  <c r="G97" i="111"/>
  <c r="H97" i="111"/>
  <c r="I97" i="111"/>
  <c r="J97" i="111"/>
  <c r="K97" i="111"/>
  <c r="L97" i="111"/>
  <c r="M97" i="111"/>
  <c r="D98" i="111"/>
  <c r="E98" i="111"/>
  <c r="F98" i="111"/>
  <c r="G98" i="111"/>
  <c r="H98" i="111"/>
  <c r="I98" i="111"/>
  <c r="J98" i="111"/>
  <c r="L98" i="111"/>
  <c r="AB32" i="111" s="1"/>
  <c r="M98" i="111"/>
  <c r="N98" i="111"/>
  <c r="D99" i="111"/>
  <c r="E99" i="111"/>
  <c r="F99" i="111"/>
  <c r="G99" i="111"/>
  <c r="I99" i="111"/>
  <c r="J99" i="111"/>
  <c r="K99" i="111"/>
  <c r="L99" i="111"/>
  <c r="M99" i="111"/>
  <c r="N99" i="111"/>
  <c r="D100" i="111"/>
  <c r="F100" i="111"/>
  <c r="G100" i="111"/>
  <c r="H100" i="111"/>
  <c r="I100" i="111"/>
  <c r="J100" i="111"/>
  <c r="K100" i="111"/>
  <c r="L100" i="111"/>
  <c r="N100" i="111"/>
  <c r="D101" i="111"/>
  <c r="E101" i="111"/>
  <c r="F101" i="111"/>
  <c r="G101" i="111"/>
  <c r="H101" i="111"/>
  <c r="I101" i="111"/>
  <c r="K101" i="111"/>
  <c r="L101" i="111"/>
  <c r="M101" i="111"/>
  <c r="N101" i="111"/>
  <c r="D102" i="111"/>
  <c r="E102" i="111"/>
  <c r="F102" i="111"/>
  <c r="H102" i="111"/>
  <c r="I102" i="111"/>
  <c r="J102" i="111"/>
  <c r="Z33" i="111" s="1"/>
  <c r="K102" i="111"/>
  <c r="AA33" i="111" s="1"/>
  <c r="L102" i="111"/>
  <c r="M102" i="111"/>
  <c r="N102" i="111"/>
  <c r="E103" i="111"/>
  <c r="F103" i="111"/>
  <c r="G103" i="111"/>
  <c r="H103" i="111"/>
  <c r="I103" i="111"/>
  <c r="J103" i="111"/>
  <c r="K103" i="111"/>
  <c r="M103" i="111"/>
  <c r="N103" i="111"/>
  <c r="D104" i="111"/>
  <c r="E104" i="111"/>
  <c r="F104" i="111"/>
  <c r="G104" i="111"/>
  <c r="H104" i="111"/>
  <c r="J104" i="111"/>
  <c r="K104" i="111"/>
  <c r="L104" i="111"/>
  <c r="M104" i="111"/>
  <c r="N104" i="111"/>
  <c r="D105" i="111"/>
  <c r="E105" i="111"/>
  <c r="G105" i="111"/>
  <c r="H105" i="111"/>
  <c r="I105" i="111"/>
  <c r="J105" i="111"/>
  <c r="K105" i="111"/>
  <c r="L105" i="111"/>
  <c r="M105" i="111"/>
  <c r="C59" i="111"/>
  <c r="C60" i="111"/>
  <c r="C61" i="111"/>
  <c r="C62" i="111"/>
  <c r="C63" i="111"/>
  <c r="C64" i="111"/>
  <c r="C65" i="111"/>
  <c r="C67" i="111"/>
  <c r="C68" i="111"/>
  <c r="C69" i="111"/>
  <c r="C70" i="111"/>
  <c r="C71" i="111"/>
  <c r="C72" i="111"/>
  <c r="C73" i="111"/>
  <c r="C75" i="111"/>
  <c r="C76" i="111"/>
  <c r="C77" i="111"/>
  <c r="C78" i="111"/>
  <c r="C79" i="111"/>
  <c r="C80" i="111"/>
  <c r="C81" i="111"/>
  <c r="C83" i="111"/>
  <c r="C84" i="111"/>
  <c r="C85" i="111"/>
  <c r="C86" i="111"/>
  <c r="C87" i="111"/>
  <c r="C88" i="111"/>
  <c r="C89" i="111"/>
  <c r="C91" i="111"/>
  <c r="C92" i="111"/>
  <c r="C93" i="111"/>
  <c r="C94" i="111"/>
  <c r="C95" i="111"/>
  <c r="C96" i="111"/>
  <c r="C97" i="111"/>
  <c r="C99" i="111"/>
  <c r="C100" i="111"/>
  <c r="C101" i="111"/>
  <c r="C102" i="111"/>
  <c r="C103" i="111"/>
  <c r="C104" i="111"/>
  <c r="C105" i="111"/>
  <c r="C58" i="111"/>
  <c r="S22" i="111" s="1"/>
  <c r="O106" i="108"/>
  <c r="J106" i="108"/>
  <c r="I106" i="108"/>
  <c r="H106" i="108"/>
  <c r="H106" i="107"/>
  <c r="P106" i="107" l="1"/>
  <c r="G106" i="107"/>
  <c r="U29" i="111"/>
  <c r="T28" i="111"/>
  <c r="Y26" i="111"/>
  <c r="X25" i="111"/>
  <c r="V24" i="111"/>
  <c r="AC23" i="111"/>
  <c r="AB22" i="111"/>
  <c r="Z32" i="107"/>
  <c r="Z41" i="107" s="1"/>
  <c r="Z42" i="107" s="1"/>
  <c r="T33" i="107"/>
  <c r="AB33" i="107"/>
  <c r="N106" i="107"/>
  <c r="F106" i="107"/>
  <c r="O60" i="111"/>
  <c r="Y32" i="111"/>
  <c r="V30" i="111"/>
  <c r="AC29" i="111"/>
  <c r="AB28" i="111"/>
  <c r="Z27" i="111"/>
  <c r="AD24" i="111"/>
  <c r="M106" i="107"/>
  <c r="E106" i="107"/>
  <c r="X33" i="111"/>
  <c r="AD30" i="111"/>
  <c r="AB29" i="111"/>
  <c r="Z28" i="111"/>
  <c r="U25" i="111"/>
  <c r="T24" i="111"/>
  <c r="AA23" i="111"/>
  <c r="Y22" i="111"/>
  <c r="Z22" i="107"/>
  <c r="T23" i="107"/>
  <c r="AB23" i="107"/>
  <c r="V33" i="107"/>
  <c r="AD33" i="107"/>
  <c r="I104" i="111"/>
  <c r="O104" i="111" s="1"/>
  <c r="G102" i="111"/>
  <c r="W33" i="111" s="1"/>
  <c r="W32" i="111"/>
  <c r="U31" i="111"/>
  <c r="T30" i="111"/>
  <c r="AA29" i="111"/>
  <c r="X27" i="111"/>
  <c r="V26" i="111"/>
  <c r="AC25" i="111"/>
  <c r="AB24" i="111"/>
  <c r="Z23" i="111"/>
  <c r="AA22" i="107"/>
  <c r="AC31" i="111"/>
  <c r="AB30" i="111"/>
  <c r="Z29" i="111"/>
  <c r="AD26" i="111"/>
  <c r="AC33" i="111"/>
  <c r="U33" i="111"/>
  <c r="W28" i="111"/>
  <c r="U27" i="111"/>
  <c r="T26" i="111"/>
  <c r="AA25" i="111"/>
  <c r="Y24" i="111"/>
  <c r="V22" i="111"/>
  <c r="U41" i="107"/>
  <c r="U42" i="107" s="1"/>
  <c r="AC41" i="107"/>
  <c r="AC42" i="107" s="1"/>
  <c r="T32" i="111"/>
  <c r="Y30" i="111"/>
  <c r="X29" i="111"/>
  <c r="V28" i="111"/>
  <c r="AC27" i="111"/>
  <c r="AB26" i="111"/>
  <c r="AD22" i="111"/>
  <c r="V41" i="107"/>
  <c r="AD41" i="107"/>
  <c r="S29" i="111"/>
  <c r="S25" i="111"/>
  <c r="S24" i="107"/>
  <c r="S41" i="107" s="1"/>
  <c r="S42" i="107" s="1"/>
  <c r="S28" i="107"/>
  <c r="S32" i="107"/>
  <c r="S33" i="111"/>
  <c r="C106" i="107"/>
  <c r="C90" i="111"/>
  <c r="C74" i="111"/>
  <c r="AF23" i="108"/>
  <c r="U24" i="111"/>
  <c r="AD31" i="111"/>
  <c r="L95" i="111"/>
  <c r="AB31" i="111" s="1"/>
  <c r="AB31" i="108"/>
  <c r="U30" i="108"/>
  <c r="E92" i="111"/>
  <c r="M84" i="111"/>
  <c r="AC28" i="108"/>
  <c r="V27" i="108"/>
  <c r="F81" i="111"/>
  <c r="W27" i="108"/>
  <c r="G78" i="111"/>
  <c r="W27" i="111" s="1"/>
  <c r="U26" i="108"/>
  <c r="E76" i="111"/>
  <c r="F73" i="111"/>
  <c r="V25" i="108"/>
  <c r="J69" i="111"/>
  <c r="Z24" i="108"/>
  <c r="Z41" i="108" s="1"/>
  <c r="Z42" i="108" s="1"/>
  <c r="E100" i="111"/>
  <c r="U32" i="111" s="1"/>
  <c r="U32" i="108"/>
  <c r="W31" i="108"/>
  <c r="G94" i="111"/>
  <c r="W31" i="111" s="1"/>
  <c r="H91" i="111"/>
  <c r="X30" i="111" s="1"/>
  <c r="X30" i="108"/>
  <c r="N89" i="111"/>
  <c r="AD29" i="111" s="1"/>
  <c r="AD29" i="108"/>
  <c r="Y29" i="108"/>
  <c r="I88" i="111"/>
  <c r="G86" i="111"/>
  <c r="O86" i="111" s="1"/>
  <c r="W29" i="108"/>
  <c r="E84" i="111"/>
  <c r="U28" i="111" s="1"/>
  <c r="U28" i="108"/>
  <c r="AD27" i="108"/>
  <c r="N81" i="111"/>
  <c r="L79" i="111"/>
  <c r="AB27" i="111" s="1"/>
  <c r="AB27" i="108"/>
  <c r="J77" i="111"/>
  <c r="Z26" i="111" s="1"/>
  <c r="Z26" i="108"/>
  <c r="H75" i="111"/>
  <c r="O75" i="111" s="1"/>
  <c r="X26" i="108"/>
  <c r="N73" i="111"/>
  <c r="AD25" i="108"/>
  <c r="L71" i="111"/>
  <c r="AB25" i="111" s="1"/>
  <c r="AB25" i="108"/>
  <c r="D71" i="111"/>
  <c r="T25" i="111" s="1"/>
  <c r="T25" i="108"/>
  <c r="M68" i="111"/>
  <c r="AC24" i="111" s="1"/>
  <c r="AC24" i="108"/>
  <c r="E68" i="111"/>
  <c r="U24" i="108"/>
  <c r="X24" i="108"/>
  <c r="H67" i="111"/>
  <c r="K66" i="111"/>
  <c r="AA24" i="111" s="1"/>
  <c r="AA24" i="108"/>
  <c r="AD23" i="108"/>
  <c r="AD41" i="108" s="1"/>
  <c r="N65" i="111"/>
  <c r="P65" i="111" s="1"/>
  <c r="V23" i="108"/>
  <c r="F65" i="111"/>
  <c r="O65" i="111" s="1"/>
  <c r="I64" i="111"/>
  <c r="P64" i="111" s="1"/>
  <c r="Y23" i="108"/>
  <c r="AB23" i="108"/>
  <c r="L63" i="111"/>
  <c r="T23" i="108"/>
  <c r="T41" i="108" s="1"/>
  <c r="D63" i="111"/>
  <c r="P63" i="111" s="1"/>
  <c r="Z22" i="108"/>
  <c r="J61" i="111"/>
  <c r="Z22" i="111" s="1"/>
  <c r="AA22" i="108"/>
  <c r="K58" i="111"/>
  <c r="AA22" i="111" s="1"/>
  <c r="K106" i="108"/>
  <c r="P105" i="111"/>
  <c r="P73" i="111"/>
  <c r="AD33" i="111"/>
  <c r="V33" i="111"/>
  <c r="V32" i="111"/>
  <c r="U26" i="111"/>
  <c r="Z24" i="111"/>
  <c r="W22" i="111"/>
  <c r="X32" i="108"/>
  <c r="H99" i="111"/>
  <c r="V31" i="108"/>
  <c r="F97" i="111"/>
  <c r="J93" i="111"/>
  <c r="O93" i="111" s="1"/>
  <c r="Z30" i="108"/>
  <c r="K90" i="111"/>
  <c r="AA30" i="108"/>
  <c r="X28" i="108"/>
  <c r="H83" i="111"/>
  <c r="X28" i="111" s="1"/>
  <c r="D79" i="111"/>
  <c r="T27" i="108"/>
  <c r="D106" i="108"/>
  <c r="L106" i="108"/>
  <c r="O96" i="111"/>
  <c r="O88" i="111"/>
  <c r="O105" i="111"/>
  <c r="AD32" i="111"/>
  <c r="Y29" i="111"/>
  <c r="AD27" i="111"/>
  <c r="U41" i="108"/>
  <c r="U42" i="108" s="1"/>
  <c r="AC41" i="108"/>
  <c r="AC42" i="108" s="1"/>
  <c r="U22" i="108"/>
  <c r="Z28" i="108"/>
  <c r="O90" i="111"/>
  <c r="M100" i="111"/>
  <c r="AC32" i="111" s="1"/>
  <c r="AC32" i="108"/>
  <c r="AD31" i="108"/>
  <c r="N97" i="111"/>
  <c r="P97" i="111" s="1"/>
  <c r="D95" i="111"/>
  <c r="T31" i="111" s="1"/>
  <c r="T31" i="108"/>
  <c r="AC30" i="108"/>
  <c r="M92" i="111"/>
  <c r="AC30" i="111" s="1"/>
  <c r="F89" i="111"/>
  <c r="V29" i="111" s="1"/>
  <c r="V29" i="108"/>
  <c r="K82" i="111"/>
  <c r="AA28" i="111" s="1"/>
  <c r="AA28" i="108"/>
  <c r="I80" i="111"/>
  <c r="P80" i="111" s="1"/>
  <c r="Y27" i="108"/>
  <c r="AC26" i="108"/>
  <c r="M76" i="111"/>
  <c r="AC26" i="111" s="1"/>
  <c r="AA26" i="108"/>
  <c r="K74" i="111"/>
  <c r="AA26" i="111" s="1"/>
  <c r="Y25" i="108"/>
  <c r="Y41" i="108" s="1"/>
  <c r="Y42" i="108" s="1"/>
  <c r="I72" i="111"/>
  <c r="Y25" i="111" s="1"/>
  <c r="G70" i="111"/>
  <c r="W25" i="111" s="1"/>
  <c r="W25" i="108"/>
  <c r="H59" i="111"/>
  <c r="O59" i="111" s="1"/>
  <c r="X22" i="108"/>
  <c r="E106" i="108"/>
  <c r="M106" i="108"/>
  <c r="O103" i="111"/>
  <c r="O87" i="111"/>
  <c r="AB33" i="111"/>
  <c r="T33" i="111"/>
  <c r="AA31" i="111"/>
  <c r="P88" i="111"/>
  <c r="O73" i="111"/>
  <c r="X24" i="111"/>
  <c r="U22" i="111"/>
  <c r="N106" i="108"/>
  <c r="F106" i="108"/>
  <c r="O94" i="111"/>
  <c r="O97" i="111"/>
  <c r="W24" i="111"/>
  <c r="Y31" i="108"/>
  <c r="G106" i="108"/>
  <c r="O101" i="111"/>
  <c r="O85" i="111"/>
  <c r="O77" i="111"/>
  <c r="O69" i="111"/>
  <c r="O61" i="111"/>
  <c r="Z32" i="111"/>
  <c r="Y31" i="111"/>
  <c r="W30" i="111"/>
  <c r="AC28" i="111"/>
  <c r="AA27" i="111"/>
  <c r="P72" i="111"/>
  <c r="T23" i="111"/>
  <c r="W23" i="108"/>
  <c r="AB29" i="108"/>
  <c r="AB41" i="108" s="1"/>
  <c r="O92" i="111"/>
  <c r="O76" i="111"/>
  <c r="O68" i="111"/>
  <c r="P96" i="111"/>
  <c r="T29" i="111"/>
  <c r="V25" i="111"/>
  <c r="AB23" i="111"/>
  <c r="O99" i="111"/>
  <c r="O83" i="111"/>
  <c r="X32" i="111"/>
  <c r="V31" i="111"/>
  <c r="U30" i="111"/>
  <c r="AD25" i="111"/>
  <c r="AA32" i="108"/>
  <c r="O78" i="111"/>
  <c r="O62" i="111"/>
  <c r="V41" i="108"/>
  <c r="O67" i="111"/>
  <c r="P103" i="111"/>
  <c r="P87" i="111"/>
  <c r="P71" i="111"/>
  <c r="S23" i="111"/>
  <c r="S41" i="111" s="1"/>
  <c r="S27" i="111"/>
  <c r="S31" i="111"/>
  <c r="P102" i="111"/>
  <c r="P94" i="111"/>
  <c r="P86" i="111"/>
  <c r="P78" i="111"/>
  <c r="P62" i="111"/>
  <c r="O102" i="111"/>
  <c r="P101" i="111"/>
  <c r="P85" i="111"/>
  <c r="P77" i="111"/>
  <c r="P69" i="111"/>
  <c r="P61" i="111"/>
  <c r="S26" i="111"/>
  <c r="S30" i="111"/>
  <c r="P84" i="111"/>
  <c r="P76" i="111"/>
  <c r="P60" i="111"/>
  <c r="P99" i="111"/>
  <c r="P83" i="111"/>
  <c r="P67" i="111"/>
  <c r="P59" i="111"/>
  <c r="P98" i="111"/>
  <c r="P90" i="111"/>
  <c r="P74" i="111"/>
  <c r="O98" i="111"/>
  <c r="C106" i="111"/>
  <c r="O58" i="111"/>
  <c r="P58" i="111"/>
  <c r="Z34" i="107"/>
  <c r="T35" i="107"/>
  <c r="AB35" i="107"/>
  <c r="V36" i="107"/>
  <c r="AD36" i="107"/>
  <c r="X37" i="107"/>
  <c r="AF37" i="107"/>
  <c r="Z38" i="107"/>
  <c r="T39" i="107"/>
  <c r="AB39" i="107"/>
  <c r="V40" i="107"/>
  <c r="AD40" i="107"/>
  <c r="X41" i="107"/>
  <c r="AF41" i="107"/>
  <c r="AF42" i="107" s="1"/>
  <c r="AE41" i="107"/>
  <c r="AE42" i="107" s="1"/>
  <c r="S34" i="107"/>
  <c r="AA34" i="107"/>
  <c r="U35" i="107"/>
  <c r="AC35" i="107"/>
  <c r="W36" i="107"/>
  <c r="AE36" i="107"/>
  <c r="Y37" i="107"/>
  <c r="W40" i="107"/>
  <c r="AE40" i="107"/>
  <c r="Y41" i="107"/>
  <c r="Y42" i="107" s="1"/>
  <c r="W41" i="107"/>
  <c r="T34" i="107"/>
  <c r="AB34" i="107"/>
  <c r="V35" i="107"/>
  <c r="AD35" i="107"/>
  <c r="X36" i="107"/>
  <c r="AF36" i="107"/>
  <c r="Z37" i="107"/>
  <c r="X40" i="107"/>
  <c r="AF40" i="107"/>
  <c r="Y34" i="107"/>
  <c r="U34" i="107"/>
  <c r="AC34" i="107"/>
  <c r="W35" i="107"/>
  <c r="AE35" i="107"/>
  <c r="Y36" i="107"/>
  <c r="S37" i="107"/>
  <c r="AA37" i="107"/>
  <c r="AA41" i="107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AA39" i="107"/>
  <c r="S36" i="107"/>
  <c r="U37" i="107"/>
  <c r="AC37" i="107"/>
  <c r="V37" i="107"/>
  <c r="AD37" i="107"/>
  <c r="Y34" i="108"/>
  <c r="Z34" i="108"/>
  <c r="T35" i="108"/>
  <c r="AB35" i="108"/>
  <c r="V36" i="108"/>
  <c r="AD36" i="108"/>
  <c r="X37" i="108"/>
  <c r="AF37" i="108"/>
  <c r="Z38" i="108"/>
  <c r="T39" i="108"/>
  <c r="AB39" i="108"/>
  <c r="V40" i="108"/>
  <c r="V42" i="108" s="1"/>
  <c r="AD40" i="108"/>
  <c r="X41" i="108"/>
  <c r="AF41" i="108"/>
  <c r="AE41" i="108"/>
  <c r="S34" i="108"/>
  <c r="AA34" i="108"/>
  <c r="U35" i="108"/>
  <c r="AC35" i="108"/>
  <c r="W36" i="108"/>
  <c r="AE36" i="108"/>
  <c r="Y37" i="108"/>
  <c r="W40" i="108"/>
  <c r="AE40" i="108"/>
  <c r="T34" i="108"/>
  <c r="AB34" i="108"/>
  <c r="V35" i="108"/>
  <c r="AD35" i="108"/>
  <c r="X36" i="108"/>
  <c r="AF36" i="108"/>
  <c r="Z37" i="108"/>
  <c r="X40" i="108"/>
  <c r="AF40" i="108"/>
  <c r="W41" i="108"/>
  <c r="U34" i="108"/>
  <c r="AC34" i="108"/>
  <c r="W35" i="108"/>
  <c r="AE35" i="108"/>
  <c r="Y36" i="108"/>
  <c r="S37" i="108"/>
  <c r="AA37" i="108"/>
  <c r="S41" i="108"/>
  <c r="S42" i="108" s="1"/>
  <c r="AA41" i="108"/>
  <c r="AA42" i="108" s="1"/>
  <c r="AA39" i="108"/>
  <c r="V34" i="108"/>
  <c r="AD34" i="108"/>
  <c r="X35" i="108"/>
  <c r="AF35" i="108"/>
  <c r="Z36" i="108"/>
  <c r="T37" i="108"/>
  <c r="AB37" i="108"/>
  <c r="S36" i="108"/>
  <c r="U37" i="108"/>
  <c r="AC37" i="108"/>
  <c r="V37" i="108"/>
  <c r="AD37" i="108"/>
  <c r="AC39" i="111"/>
  <c r="Y34" i="111"/>
  <c r="U36" i="111"/>
  <c r="W37" i="111"/>
  <c r="AE37" i="111"/>
  <c r="Y38" i="111"/>
  <c r="S39" i="111"/>
  <c r="AA39" i="111"/>
  <c r="U40" i="111"/>
  <c r="AC40" i="111"/>
  <c r="Z34" i="111"/>
  <c r="T35" i="111"/>
  <c r="AB35" i="111"/>
  <c r="V36" i="111"/>
  <c r="AD36" i="111"/>
  <c r="X37" i="111"/>
  <c r="AF37" i="111"/>
  <c r="Z38" i="111"/>
  <c r="T39" i="111"/>
  <c r="AB39" i="111"/>
  <c r="V40" i="111"/>
  <c r="AD40" i="111"/>
  <c r="AA34" i="111"/>
  <c r="T34" i="111"/>
  <c r="AB34" i="111"/>
  <c r="V35" i="111"/>
  <c r="AD35" i="111"/>
  <c r="X36" i="111"/>
  <c r="AF36" i="111"/>
  <c r="Z37" i="111"/>
  <c r="X40" i="111"/>
  <c r="AF40" i="111"/>
  <c r="U34" i="111"/>
  <c r="AC34" i="111"/>
  <c r="W35" i="111"/>
  <c r="AE35" i="111"/>
  <c r="Y36" i="111"/>
  <c r="S37" i="111"/>
  <c r="AA37" i="111"/>
  <c r="V34" i="111"/>
  <c r="AD34" i="111"/>
  <c r="X35" i="111"/>
  <c r="AF35" i="111"/>
  <c r="Z36" i="111"/>
  <c r="T37" i="111"/>
  <c r="AB37" i="111"/>
  <c r="U37" i="111"/>
  <c r="AC37" i="111"/>
  <c r="S40" i="111"/>
  <c r="V37" i="111"/>
  <c r="AD37" i="111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D10" i="111" s="1"/>
  <c r="E10" i="107"/>
  <c r="E10" i="111" s="1"/>
  <c r="F10" i="107"/>
  <c r="F10" i="111" s="1"/>
  <c r="G10" i="107"/>
  <c r="G10" i="111" s="1"/>
  <c r="H10" i="107"/>
  <c r="H10" i="111" s="1"/>
  <c r="I10" i="107"/>
  <c r="I10" i="111" s="1"/>
  <c r="J10" i="107"/>
  <c r="J10" i="111" s="1"/>
  <c r="K10" i="107"/>
  <c r="K10" i="111" s="1"/>
  <c r="L10" i="107"/>
  <c r="L10" i="111" s="1"/>
  <c r="M10" i="107"/>
  <c r="M10" i="111" s="1"/>
  <c r="N10" i="107"/>
  <c r="N10" i="111" s="1"/>
  <c r="C10" i="107"/>
  <c r="C10" i="111" s="1"/>
  <c r="AB41" i="111" l="1"/>
  <c r="AB42" i="111" s="1"/>
  <c r="O70" i="111"/>
  <c r="P95" i="111"/>
  <c r="O66" i="111"/>
  <c r="AE24" i="111" s="1"/>
  <c r="Y27" i="111"/>
  <c r="Y41" i="111" s="1"/>
  <c r="Y42" i="111" s="1"/>
  <c r="O63" i="111"/>
  <c r="E106" i="111"/>
  <c r="U41" i="111"/>
  <c r="P100" i="111"/>
  <c r="O100" i="111"/>
  <c r="Y23" i="111"/>
  <c r="AD42" i="107"/>
  <c r="O82" i="111"/>
  <c r="P104" i="111"/>
  <c r="AD23" i="111"/>
  <c r="V23" i="111"/>
  <c r="O71" i="111"/>
  <c r="O64" i="111"/>
  <c r="O80" i="111"/>
  <c r="O79" i="111"/>
  <c r="AE27" i="111" s="1"/>
  <c r="P66" i="111"/>
  <c r="P70" i="111"/>
  <c r="Y33" i="111"/>
  <c r="O95" i="111"/>
  <c r="AE31" i="111" s="1"/>
  <c r="N106" i="111"/>
  <c r="P79" i="111"/>
  <c r="O81" i="111"/>
  <c r="P92" i="111"/>
  <c r="AD41" i="111"/>
  <c r="AC41" i="111"/>
  <c r="AC42" i="111" s="1"/>
  <c r="AE32" i="111"/>
  <c r="P75" i="111"/>
  <c r="AF26" i="111" s="1"/>
  <c r="P93" i="111"/>
  <c r="O91" i="111"/>
  <c r="AE30" i="111" s="1"/>
  <c r="O72" i="111"/>
  <c r="L106" i="111"/>
  <c r="T27" i="111"/>
  <c r="T41" i="111" s="1"/>
  <c r="T42" i="111" s="1"/>
  <c r="G106" i="111"/>
  <c r="W29" i="111"/>
  <c r="W41" i="111" s="1"/>
  <c r="P91" i="111"/>
  <c r="AF30" i="111" s="1"/>
  <c r="AF33" i="111"/>
  <c r="AF22" i="111"/>
  <c r="P82" i="111"/>
  <c r="O84" i="111"/>
  <c r="H106" i="111"/>
  <c r="Z30" i="111"/>
  <c r="Z41" i="111" s="1"/>
  <c r="Z42" i="111" s="1"/>
  <c r="I106" i="111"/>
  <c r="U42" i="111"/>
  <c r="AE33" i="111"/>
  <c r="F106" i="111"/>
  <c r="X22" i="111"/>
  <c r="X41" i="111" s="1"/>
  <c r="V27" i="111"/>
  <c r="V41" i="111" s="1"/>
  <c r="V42" i="111" s="1"/>
  <c r="J106" i="111"/>
  <c r="AF32" i="111"/>
  <c r="P68" i="111"/>
  <c r="AF23" i="111"/>
  <c r="X26" i="111"/>
  <c r="K106" i="111"/>
  <c r="AA30" i="111"/>
  <c r="AA41" i="111" s="1"/>
  <c r="AA42" i="111" s="1"/>
  <c r="P81" i="111"/>
  <c r="O74" i="111"/>
  <c r="AE26" i="111" s="1"/>
  <c r="AD42" i="111"/>
  <c r="AF25" i="111"/>
  <c r="AE23" i="111"/>
  <c r="O89" i="111"/>
  <c r="AE29" i="111" s="1"/>
  <c r="P89" i="111"/>
  <c r="AF29" i="111" s="1"/>
  <c r="M106" i="111"/>
  <c r="AF27" i="111"/>
  <c r="AF31" i="111"/>
  <c r="AE22" i="111"/>
  <c r="AE42" i="108"/>
  <c r="AF42" i="108"/>
  <c r="S42" i="111"/>
  <c r="K6" i="98"/>
  <c r="K6" i="99" s="1"/>
  <c r="K6" i="100" s="1"/>
  <c r="K6" i="101" s="1"/>
  <c r="K6" i="109" s="1"/>
  <c r="K6" i="105" s="1"/>
  <c r="K6" i="110" s="1"/>
  <c r="K6" i="103" s="1"/>
  <c r="K5" i="101"/>
  <c r="K5" i="109" s="1"/>
  <c r="G5" i="98"/>
  <c r="G5" i="99" s="1"/>
  <c r="G5" i="100" s="1"/>
  <c r="G5" i="101" s="1"/>
  <c r="G5" i="109" s="1"/>
  <c r="G5" i="105" s="1"/>
  <c r="G5" i="110" s="1"/>
  <c r="G5" i="103" s="1"/>
  <c r="K6" i="97"/>
  <c r="G5" i="97"/>
  <c r="K6" i="94"/>
  <c r="G5" i="94"/>
  <c r="G6" i="104"/>
  <c r="G6" i="108" s="1"/>
  <c r="G6" i="110"/>
  <c r="G6" i="100"/>
  <c r="G6" i="98"/>
  <c r="G6" i="109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5" i="104"/>
  <c r="D5" i="110"/>
  <c r="D5" i="109"/>
  <c r="D5" i="100"/>
  <c r="D5" i="98"/>
  <c r="D5" i="96"/>
  <c r="D5" i="94"/>
  <c r="P106" i="111" l="1"/>
  <c r="AE28" i="111"/>
  <c r="AE25" i="111"/>
  <c r="AF24" i="111"/>
  <c r="O106" i="111"/>
  <c r="AE41" i="111"/>
  <c r="AE42" i="111" s="1"/>
  <c r="AF28" i="111"/>
  <c r="AF41" i="111" s="1"/>
  <c r="AF42" i="111" s="1"/>
  <c r="K5" i="108"/>
  <c r="K5" i="111" s="1"/>
  <c r="K5" i="107"/>
  <c r="K6" i="107"/>
  <c r="K6" i="104"/>
  <c r="K6" i="108" s="1"/>
  <c r="K6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Y19" i="105"/>
  <c r="X19" i="105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S27" i="99" l="1"/>
  <c r="AA27" i="99"/>
  <c r="S39" i="101"/>
  <c r="T27" i="103"/>
  <c r="AB27" i="103"/>
  <c r="X39" i="105"/>
  <c r="U39" i="109"/>
  <c r="V39" i="105"/>
  <c r="Z39" i="105"/>
  <c r="AD39" i="105"/>
  <c r="AA39" i="101"/>
  <c r="V39" i="101"/>
  <c r="AA26" i="9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AF32" i="101" l="1"/>
  <c r="Y38" i="105"/>
  <c r="AF33" i="101"/>
  <c r="U38" i="109"/>
  <c r="X26" i="96"/>
  <c r="AB26" i="98"/>
  <c r="W38" i="110"/>
  <c r="S38" i="110"/>
  <c r="T36" i="105"/>
  <c r="X36" i="101"/>
  <c r="AD26" i="97"/>
  <c r="S35" i="110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W27" i="95"/>
  <c r="W24" i="95"/>
  <c r="AB24" i="98"/>
  <c r="W26" i="96"/>
  <c r="AC26" i="97"/>
  <c r="AC23" i="97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V22" i="93" l="1"/>
  <c r="AE24" i="98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C107" i="107"/>
  <c r="F107" i="105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K108" i="111" l="1"/>
  <c r="N107" i="111"/>
  <c r="M107" i="107"/>
  <c r="F108" i="107"/>
  <c r="AF42" i="110"/>
  <c r="AE42" i="110"/>
  <c r="AE42" i="109"/>
  <c r="AF42" i="109"/>
  <c r="K107" i="107"/>
  <c r="C108" i="107"/>
  <c r="L107" i="107"/>
  <c r="K108" i="107"/>
  <c r="D107" i="107"/>
  <c r="G107" i="107"/>
  <c r="J107" i="107"/>
  <c r="N108" i="107"/>
  <c r="G108" i="107"/>
  <c r="L108" i="107"/>
  <c r="F107" i="107"/>
  <c r="I107" i="107"/>
  <c r="E107" i="107"/>
  <c r="N107" i="107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K107" i="111" l="1"/>
  <c r="E108" i="111"/>
  <c r="F108" i="111"/>
  <c r="H107" i="111"/>
  <c r="F107" i="111"/>
  <c r="E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<sst xmlns="http://schemas.openxmlformats.org/spreadsheetml/2006/main" count="2346" uniqueCount="184">
  <si>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</si>
  <si>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</si>
  <si>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</si>
  <si>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</si>
  <si>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</si>
  <si>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</si>
  <si>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</si>
  <si>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</si>
  <si>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</si>
  <si>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</si>
  <si>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</si>
  <si>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</si>
  <si>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</si>
  <si>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</si>
  <si>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</si>
  <si>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</si>
  <si>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</si>
  <si>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</si>
  <si>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</si>
  <si>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</si>
  <si>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</si>
  <si>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</si>
  <si>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</si>
  <si>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</si>
  <si>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</si>
  <si>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</si>
  <si>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</si>
  <si>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</si>
  <si>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</si>
  <si>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</si>
  <si>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</si>
  <si>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</si>
  <si>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</si>
  <si>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</si>
  <si>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</si>
  <si>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</si>
  <si>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</si>
  <si>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</si>
  <si>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</si>
  <si>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</si>
  <si>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</si>
  <si>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</si>
  <si>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</si>
  <si>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</si>
  <si>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</si>
  <si>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</si>
  <si>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</si>
  <si>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</si>
  <si>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</si>
  <si>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</si>
  <si>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</si>
  <si>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</si>
  <si>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</si>
  <si>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</si>
  <si>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</si>
  <si>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</si>
  <si>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</si>
  <si>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</si>
  <si>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</si>
  <si>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</si>
  <si>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</si>
  <si>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</si>
  <si>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</si>
  <si>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</si>
  <si>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</si>
  <si>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</si>
  <si>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</si>
  <si>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</si>
  <si>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</si>
  <si>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</si>
  <si>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</si>
  <si>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</si>
  <si>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</si>
  <si>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</si>
  <si>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</si>
  <si>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</si>
  <si>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</si>
  <si>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</si>
  <si>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</si>
  <si>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</si>
  <si>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</si>
  <si>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</si>
  <si>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</si>
  <si>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</si>
  <si>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</si>
  <si>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</si>
  <si>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</si>
  <si>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</si>
  <si>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</si>
  <si>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</si>
  <si>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</si>
  <si>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</si>
  <si>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</si>
  <si>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</si>
  <si>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</si>
  <si>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</si>
  <si>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</si>
  <si>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</si>
  <si>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</si>
  <si>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</si>
  <si>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</si>
  <si>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</si>
  <si>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</si>
  <si>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</si>
  <si>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</si>
  <si>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</si>
  <si>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</si>
  <si>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</si>
  <si>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</si>
  <si>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</si>
  <si>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</si>
  <si>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</si>
  <si>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</si>
  <si>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</si>
  <si>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</si>
  <si>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</si>
  <si>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</si>
  <si>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</si>
  <si>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</si>
  <si>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</si>
  <si>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</si>
  <si>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</si>
  <si>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</si>
  <si>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</si>
  <si>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</si>
  <si>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</si>
  <si>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</si>
  <si>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</si>
  <si>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</si>
  <si>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</si>
  <si>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</si>
  <si>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</si>
  <si>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</si>
  <si>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</si>
  <si>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</si>
  <si>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</si>
  <si>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</si>
  <si>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</si>
  <si>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</si>
  <si>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</si>
  <si>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</si>
  <si>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</si>
  <si>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</si>
  <si>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</si>
  <si>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</si>
  <si>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</si>
  <si>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</si>
  <si>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</si>
  <si>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</si>
  <si>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</si>
  <si>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</si>
  <si>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</si>
  <si>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</si>
  <si>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</si>
  <si>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</si>
  <si>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</si>
  <si>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</si>
  <si>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</si>
  <si>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</si>
  <si>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</si>
  <si>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</si>
  <si>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</si>
  <si>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</si>
  <si>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23.08.19</t>
  </si>
  <si>
    <t>SUAM</t>
  </si>
  <si>
    <t>BUKWO</t>
  </si>
  <si>
    <t>KAMKAMBA</t>
  </si>
  <si>
    <t>IVAN</t>
  </si>
  <si>
    <t>Kato</t>
  </si>
  <si>
    <t>NORMAN</t>
  </si>
  <si>
    <t>24.08.19</t>
  </si>
  <si>
    <t>25.08.19</t>
  </si>
  <si>
    <t>KATO</t>
  </si>
  <si>
    <t>26.08.19</t>
  </si>
  <si>
    <t>27.08.19</t>
  </si>
  <si>
    <t>28.08.19</t>
  </si>
  <si>
    <t>29.08.19</t>
  </si>
  <si>
    <t>MCC-C5-STN144-SUAM-BUKWO</t>
  </si>
  <si>
    <t>MCC-C5-STN 144-SUAM-BUKWO</t>
  </si>
  <si>
    <t>20.45-21.00</t>
  </si>
  <si>
    <t>15.15-15.30</t>
  </si>
  <si>
    <t>12.00-12.15</t>
  </si>
  <si>
    <t xml:space="preserve">MCC-C5-ROAD 144 SUAM-BUKWO 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</si>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</sst>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Suam- Bukwo'!$AE$9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Suam- 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Suam- Bukwo'!$AE$10:$AE$21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'23.08 Suam- Bukwo'!$AF$9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Suam- 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Suam- Bukwo'!$AF$10:$AF$21</c:f>
              <c:numCache>
                <c:formatCode>0</c:formatCode>
                <c:ptCount val="12"/>
                <c:pt idx="0">
                  <c:v>20</c:v>
                </c:pt>
                <c:pt idx="1">
                  <c:v>31</c:v>
                </c:pt>
                <c:pt idx="2">
                  <c:v>53</c:v>
                </c:pt>
                <c:pt idx="3">
                  <c:v>72</c:v>
                </c:pt>
                <c:pt idx="4">
                  <c:v>73</c:v>
                </c:pt>
                <c:pt idx="5">
                  <c:v>66</c:v>
                </c:pt>
                <c:pt idx="6">
                  <c:v>70</c:v>
                </c:pt>
                <c:pt idx="7">
                  <c:v>61</c:v>
                </c:pt>
                <c:pt idx="8">
                  <c:v>41</c:v>
                </c:pt>
                <c:pt idx="9">
                  <c:v>41</c:v>
                </c:pt>
                <c:pt idx="10">
                  <c:v>54</c:v>
                </c:pt>
                <c:pt idx="11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2304"/>
        <c:axId val="211764440"/>
      </c:lineChart>
      <c:catAx>
        <c:axId val="213052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64440"/>
        <c:crosses val="autoZero"/>
        <c:auto val="1"/>
        <c:lblAlgn val="ctr"/>
        <c:lblOffset val="100"/>
        <c:noMultiLvlLbl val="0"/>
      </c:catAx>
      <c:valAx>
        <c:axId val="211764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305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Suam- 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Suam- Bukwo'!$C$59:$N$59</c:f>
              <c:numCache>
                <c:formatCode>0.0%</c:formatCode>
                <c:ptCount val="12"/>
                <c:pt idx="0">
                  <c:v>4.8465266558966073E-3</c:v>
                </c:pt>
                <c:pt idx="1">
                  <c:v>1.1308562197092083E-2</c:v>
                </c:pt>
                <c:pt idx="2">
                  <c:v>2.10016155088853E-2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3.2310177705977383E-2</c:v>
                </c:pt>
                <c:pt idx="7">
                  <c:v>1.6155088852988692E-3</c:v>
                </c:pt>
                <c:pt idx="8">
                  <c:v>0</c:v>
                </c:pt>
                <c:pt idx="9">
                  <c:v>0</c:v>
                </c:pt>
                <c:pt idx="10">
                  <c:v>0.92891760904684972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Suam- 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Suam- Bukwo'!$C$60:$N$60</c:f>
              <c:numCache>
                <c:formatCode>0.00%</c:formatCode>
                <c:ptCount val="12"/>
                <c:pt idx="0">
                  <c:v>6.8181818181818177E-2</c:v>
                </c:pt>
                <c:pt idx="1">
                  <c:v>0.15909090909090909</c:v>
                </c:pt>
                <c:pt idx="2">
                  <c:v>0.29545454545454547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0.45454545454545453</c:v>
                </c:pt>
                <c:pt idx="7">
                  <c:v>2.2727272727272728E-2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Bukwo-Suam'!$AE$9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Bukwo-Suam'!$AE$10:$AE$21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'23.08 Bukwo-Suam'!$AF$9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Bukwo-Suam'!$AF$10:$AF$21</c:f>
              <c:numCache>
                <c:formatCode>0</c:formatCode>
                <c:ptCount val="12"/>
                <c:pt idx="0">
                  <c:v>21</c:v>
                </c:pt>
                <c:pt idx="1">
                  <c:v>19</c:v>
                </c:pt>
                <c:pt idx="2">
                  <c:v>23</c:v>
                </c:pt>
                <c:pt idx="3">
                  <c:v>25</c:v>
                </c:pt>
                <c:pt idx="4">
                  <c:v>52</c:v>
                </c:pt>
                <c:pt idx="5">
                  <c:v>33</c:v>
                </c:pt>
                <c:pt idx="6">
                  <c:v>60</c:v>
                </c:pt>
                <c:pt idx="7">
                  <c:v>35</c:v>
                </c:pt>
                <c:pt idx="8">
                  <c:v>46</c:v>
                </c:pt>
                <c:pt idx="9">
                  <c:v>43</c:v>
                </c:pt>
                <c:pt idx="10">
                  <c:v>33</c:v>
                </c:pt>
                <c:pt idx="11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24080"/>
        <c:axId val="211922512"/>
      </c:lineChart>
      <c:catAx>
        <c:axId val="211924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2512"/>
        <c:crosses val="autoZero"/>
        <c:auto val="1"/>
        <c:lblAlgn val="ctr"/>
        <c:lblOffset val="100"/>
        <c:noMultiLvlLbl val="0"/>
      </c:catAx>
      <c:valAx>
        <c:axId val="211922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Bukwo-Suam'!$C$59:$N$59</c:f>
              <c:numCache>
                <c:formatCode>0.0%</c:formatCode>
                <c:ptCount val="12"/>
                <c:pt idx="0">
                  <c:v>1.1547344110854504E-2</c:v>
                </c:pt>
                <c:pt idx="1">
                  <c:v>6.9284064665127024E-3</c:v>
                </c:pt>
                <c:pt idx="2">
                  <c:v>2.0785219399538105E-2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3.695150115473441E-2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0.92378752886836024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'23.08 Bukwo-Suam'!$S$9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Bukwo-Suam'!$S$10:$S$21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'23.08 Bukwo-Suam'!$T$9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'23.08 Bukwo-Suam'!$T$10:$T$21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'23.08 Bukwo-Suam'!$U$9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'23.08 Bukwo-Suam'!$V$9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'23.08 Bukwo-Suam'!$W$9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'23.08 Bukwo-Suam'!$X$9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'23.08 Bukwo-Suam'!$Y$9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'23.08 Bukwo-Suam'!$Z$9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'23.08 Bukwo-Suam'!$AA$9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'23.08 Bukwo-Suam'!$AB$9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'23.08 Bukwo-Suam'!$AC$9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Bukwo-Suam'!$AC$10:$AC$21</c:f>
              <c:numCache>
                <c:formatCode>0</c:formatCode>
                <c:ptCount val="12"/>
                <c:pt idx="0">
                  <c:v>19</c:v>
                </c:pt>
                <c:pt idx="1">
                  <c:v>18</c:v>
                </c:pt>
                <c:pt idx="2">
                  <c:v>22</c:v>
                </c:pt>
                <c:pt idx="3">
                  <c:v>23</c:v>
                </c:pt>
                <c:pt idx="4">
                  <c:v>45</c:v>
                </c:pt>
                <c:pt idx="5">
                  <c:v>31</c:v>
                </c:pt>
                <c:pt idx="6">
                  <c:v>54</c:v>
                </c:pt>
                <c:pt idx="7">
                  <c:v>34</c:v>
                </c:pt>
                <c:pt idx="8">
                  <c:v>43</c:v>
                </c:pt>
                <c:pt idx="9">
                  <c:v>39</c:v>
                </c:pt>
                <c:pt idx="10">
                  <c:v>33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'23.08 Bukwo-Suam'!$AD$9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'23.08 Bukwo-Suam'!$AD$10:$AD$21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23296"/>
        <c:axId val="211923688"/>
      </c:lineChart>
      <c:catAx>
        <c:axId val="21192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3688"/>
        <c:crosses val="autoZero"/>
        <c:auto val="1"/>
        <c:lblAlgn val="ctr"/>
        <c:lblOffset val="100"/>
        <c:noMultiLvlLbl val="0"/>
      </c:catAx>
      <c:valAx>
        <c:axId val="21192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'23.08 Bukwo-Suam'!$C$60:$N$60</c:f>
              <c:numCache>
                <c:formatCode>0.00%</c:formatCode>
                <c:ptCount val="12"/>
                <c:pt idx="0">
                  <c:v>0.15151515151515152</c:v>
                </c:pt>
                <c:pt idx="1">
                  <c:v>9.0909090909090912E-2</c:v>
                </c:pt>
                <c:pt idx="2">
                  <c:v>0.27272727272727271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0.48484848484848486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Suam-Bukwo-24h'!$AE$9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Suam-Bukwo-24h'!$R$10:$R$33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Suam-Bukwo-24h'!$AE$10:$AE$33</c:f>
              <c:numCache>
                <c:formatCode>0</c:formatCode>
                <c:ptCount val="24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8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'24.08 Suam-Bukwo-24h'!$AF$9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Suam-Bukwo-24h'!$R$10:$R$33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Suam-Bukwo-24h'!$AF$10:$AF$33</c:f>
              <c:numCache>
                <c:formatCode>0</c:formatCode>
                <c:ptCount val="24"/>
                <c:pt idx="0">
                  <c:v>21</c:v>
                </c:pt>
                <c:pt idx="1">
                  <c:v>33</c:v>
                </c:pt>
                <c:pt idx="2">
                  <c:v>52</c:v>
                </c:pt>
                <c:pt idx="3">
                  <c:v>59</c:v>
                </c:pt>
                <c:pt idx="4">
                  <c:v>50</c:v>
                </c:pt>
                <c:pt idx="5">
                  <c:v>50</c:v>
                </c:pt>
                <c:pt idx="6">
                  <c:v>48</c:v>
                </c:pt>
                <c:pt idx="7">
                  <c:v>55</c:v>
                </c:pt>
                <c:pt idx="8">
                  <c:v>46</c:v>
                </c:pt>
                <c:pt idx="9">
                  <c:v>43</c:v>
                </c:pt>
                <c:pt idx="10">
                  <c:v>39</c:v>
                </c:pt>
                <c:pt idx="11">
                  <c:v>42</c:v>
                </c:pt>
                <c:pt idx="12">
                  <c:v>30</c:v>
                </c:pt>
                <c:pt idx="13">
                  <c:v>35</c:v>
                </c:pt>
                <c:pt idx="14">
                  <c:v>43</c:v>
                </c:pt>
                <c:pt idx="15">
                  <c:v>32</c:v>
                </c:pt>
                <c:pt idx="16">
                  <c:v>9</c:v>
                </c:pt>
                <c:pt idx="17">
                  <c:v>3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21336"/>
        <c:axId val="211927216"/>
      </c:lineChart>
      <c:catAx>
        <c:axId val="211921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7216"/>
        <c:crosses val="autoZero"/>
        <c:auto val="1"/>
        <c:lblAlgn val="ctr"/>
        <c:lblOffset val="100"/>
        <c:noMultiLvlLbl val="0"/>
      </c:catAx>
      <c:valAx>
        <c:axId val="211927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Suam-Bukwo-24h'!$C$9:$N$9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Suam-Bukwo-24h'!$C$107:$N$107</c:f>
              <c:numCache>
                <c:formatCode>0.0%</c:formatCode>
                <c:ptCount val="12"/>
                <c:pt idx="0">
                  <c:v>5.7061340941512127E-3</c:v>
                </c:pt>
                <c:pt idx="1">
                  <c:v>1.7118402282453638E-2</c:v>
                </c:pt>
                <c:pt idx="2">
                  <c:v>1.1412268188302425E-2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4.7075606276747506E-2</c:v>
                </c:pt>
                <c:pt idx="7">
                  <c:v>1.4265335235378032E-3</c:v>
                </c:pt>
                <c:pt idx="8">
                  <c:v>0</c:v>
                </c:pt>
                <c:pt idx="9">
                  <c:v>0</c:v>
                </c:pt>
                <c:pt idx="10">
                  <c:v>0.91583452211126959</c:v>
                </c:pt>
                <c:pt idx="11">
                  <c:v>1.4265335235378032E-3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Suam-Bukwo-24h'!$C$9:$N$9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Suam-Bukwo-24h'!$C$108:$N$108</c:f>
              <c:numCache>
                <c:formatCode>0.00%</c:formatCode>
                <c:ptCount val="12"/>
                <c:pt idx="0">
                  <c:v>6.6666666666666666E-2</c:v>
                </c:pt>
                <c:pt idx="1">
                  <c:v>0.2</c:v>
                </c:pt>
                <c:pt idx="2">
                  <c:v>0.13333333333333333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0.55000000000000004</c:v>
                </c:pt>
                <c:pt idx="7">
                  <c:v>1.6666666666666666E-2</c:v>
                </c:pt>
                <c:pt idx="8">
                  <c:v>0</c:v>
                </c:pt>
                <c:pt idx="9">
                  <c:v>0</c:v>
                </c:pt>
                <c:pt idx="11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'24.08 Bukwo-Suam-24h'!$AE$9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'24.08 Bukwo-Suam-24h'!$R$10:$R$33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Bukwo-Suam-24h'!$AE$10:$AE$33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'24.08 Bukwo-Suam-24h'!$AF$9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'24.08 Bukwo-Suam-24h'!$R$10:$R$33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'24.08 Bukwo-Suam-24h'!$AF$10:$AF$33</c:f>
              <c:numCache>
                <c:formatCode>0</c:formatCode>
                <c:ptCount val="24"/>
                <c:pt idx="0">
                  <c:v>16</c:v>
                </c:pt>
                <c:pt idx="1">
                  <c:v>22</c:v>
                </c:pt>
                <c:pt idx="2">
                  <c:v>36</c:v>
                </c:pt>
                <c:pt idx="3">
                  <c:v>46</c:v>
                </c:pt>
                <c:pt idx="4">
                  <c:v>38</c:v>
                </c:pt>
                <c:pt idx="5">
                  <c:v>6</c:v>
                </c:pt>
                <c:pt idx="6">
                  <c:v>19</c:v>
                </c:pt>
                <c:pt idx="7">
                  <c:v>53</c:v>
                </c:pt>
                <c:pt idx="8">
                  <c:v>38</c:v>
                </c:pt>
                <c:pt idx="9">
                  <c:v>52</c:v>
                </c:pt>
                <c:pt idx="10">
                  <c:v>33</c:v>
                </c:pt>
                <c:pt idx="11">
                  <c:v>50</c:v>
                </c:pt>
                <c:pt idx="12">
                  <c:v>38</c:v>
                </c:pt>
                <c:pt idx="13">
                  <c:v>31</c:v>
                </c:pt>
                <c:pt idx="14">
                  <c:v>43</c:v>
                </c:pt>
                <c:pt idx="15">
                  <c:v>38</c:v>
                </c:pt>
                <c:pt idx="16">
                  <c:v>13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2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67576"/>
        <c:axId val="212939336"/>
      </c:lineChart>
      <c:catAx>
        <c:axId val="211767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39336"/>
        <c:crosses val="autoZero"/>
        <c:auto val="1"/>
        <c:lblAlgn val="ctr"/>
        <c:lblOffset val="100"/>
        <c:noMultiLvlLbl val="0"/>
      </c:catAx>
      <c:valAx>
        <c:axId val="212939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6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Bukwo-Suam-24h'!$C$9:$N$9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Bukwo-Suam-24h'!$C$107:$N$107</c:f>
              <c:numCache>
                <c:formatCode>0.0%</c:formatCode>
                <c:ptCount val="12"/>
                <c:pt idx="0">
                  <c:v>5.0505050505050509E-3</c:v>
                </c:pt>
                <c:pt idx="1">
                  <c:v>1.1784511784511785E-2</c:v>
                </c:pt>
                <c:pt idx="2">
                  <c:v>1.1784511784511785E-2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4.7138047138047139E-2</c:v>
                </c:pt>
                <c:pt idx="7">
                  <c:v>3.3670033670033669E-3</c:v>
                </c:pt>
                <c:pt idx="8">
                  <c:v>0</c:v>
                </c:pt>
                <c:pt idx="9">
                  <c:v>0</c:v>
                </c:pt>
                <c:pt idx="10">
                  <c:v>0.92087542087542085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'24.08 Bukwo-Suam-24h'!$C$9:$N$9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'24.08 Bukwo-Suam-24h'!$C$108:$N$108</c:f>
              <c:numCache>
                <c:formatCode>0.00%</c:formatCode>
                <c:ptCount val="12"/>
                <c:pt idx="0">
                  <c:v>6.3829787234042548E-2</c:v>
                </c:pt>
                <c:pt idx="1">
                  <c:v>0.14893617021276595</c:v>
                </c:pt>
                <c:pt idx="2">
                  <c:v>0.14893617021276595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0.5957446808510638</c:v>
                </c:pt>
                <c:pt idx="7">
                  <c:v>4.2553191489361701E-2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Suam-Bukwo'!$AE$9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Suam-Bukwo'!$AE$10:$AE$21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'25.08 Suam-Bukwo'!$AF$9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Suam-Bukwo'!$AF$10:$AF$21</c:f>
              <c:numCache>
                <c:formatCode>0</c:formatCode>
                <c:ptCount val="12"/>
                <c:pt idx="0">
                  <c:v>26</c:v>
                </c:pt>
                <c:pt idx="1">
                  <c:v>37</c:v>
                </c:pt>
                <c:pt idx="2">
                  <c:v>29</c:v>
                </c:pt>
                <c:pt idx="3">
                  <c:v>65</c:v>
                </c:pt>
                <c:pt idx="4">
                  <c:v>48</c:v>
                </c:pt>
                <c:pt idx="5">
                  <c:v>45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43256"/>
        <c:axId val="212935808"/>
      </c:lineChart>
      <c:catAx>
        <c:axId val="2129432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35808"/>
        <c:crosses val="autoZero"/>
        <c:auto val="1"/>
        <c:lblAlgn val="ctr"/>
        <c:lblOffset val="100"/>
        <c:noMultiLvlLbl val="0"/>
      </c:catAx>
      <c:valAx>
        <c:axId val="212935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4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Suam-Bukwo'!$C$59:$N$59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3.875968992248062E-3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0.99612403100775193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Suam-Bukwo'!$S$9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Suam-Bukwo'!$S$10:$S$21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'25.08 Suam-Bukwo'!$T$9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Suam-Bukwo'!$T$10:$T$21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'25.08 Suam-Bukwo'!$U$9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'25.08 Suam-Bukwo'!$V$9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'25.08 Suam-Bukwo'!$W$9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'25.08 Suam-Bukwo'!$X$9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'25.08 Suam-Bukwo'!$Y$9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'25.08 Suam-Bukwo'!$Z$9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'25.08 Suam-Bukwo'!$AA$9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'25.08 Suam-Bukwo'!$AB$9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'25.08 Suam-Bukwo'!$AC$9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Suam-Bukwo'!$AC$10:$AC$21</c:f>
              <c:numCache>
                <c:formatCode>0</c:formatCode>
                <c:ptCount val="12"/>
                <c:pt idx="0">
                  <c:v>26</c:v>
                </c:pt>
                <c:pt idx="1">
                  <c:v>37</c:v>
                </c:pt>
                <c:pt idx="2">
                  <c:v>29</c:v>
                </c:pt>
                <c:pt idx="3">
                  <c:v>65</c:v>
                </c:pt>
                <c:pt idx="4">
                  <c:v>47</c:v>
                </c:pt>
                <c:pt idx="5">
                  <c:v>45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'25.08 Suam-Bukwo'!$AD$9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Suam-Bukwo'!$AD$10:$AD$21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36984"/>
        <c:axId val="212940904"/>
      </c:lineChart>
      <c:catAx>
        <c:axId val="21293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40904"/>
        <c:crosses val="autoZero"/>
        <c:auto val="1"/>
        <c:lblAlgn val="ctr"/>
        <c:lblOffset val="100"/>
        <c:noMultiLvlLbl val="0"/>
      </c:catAx>
      <c:valAx>
        <c:axId val="21294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3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Suam-Bukwo'!$C$60:$N$60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Bukwo-Suam'!$AE$9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Bukwo-Suam'!$AE$10:$AE$21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58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'25.08 Bukwo-Suam'!$AF$9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Bukwo-Suam'!$AF$10:$AF$21</c:f>
              <c:numCache>
                <c:formatCode>0</c:formatCode>
                <c:ptCount val="12"/>
                <c:pt idx="0">
                  <c:v>19</c:v>
                </c:pt>
                <c:pt idx="1">
                  <c:v>45</c:v>
                </c:pt>
                <c:pt idx="2">
                  <c:v>42</c:v>
                </c:pt>
                <c:pt idx="3">
                  <c:v>58</c:v>
                </c:pt>
                <c:pt idx="4">
                  <c:v>42</c:v>
                </c:pt>
                <c:pt idx="5">
                  <c:v>46</c:v>
                </c:pt>
                <c:pt idx="6">
                  <c:v>37</c:v>
                </c:pt>
                <c:pt idx="7">
                  <c:v>45</c:v>
                </c:pt>
                <c:pt idx="8">
                  <c:v>42</c:v>
                </c:pt>
                <c:pt idx="9">
                  <c:v>55</c:v>
                </c:pt>
                <c:pt idx="10">
                  <c:v>54</c:v>
                </c:pt>
                <c:pt idx="11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936200"/>
        <c:axId val="212942864"/>
      </c:lineChart>
      <c:catAx>
        <c:axId val="212936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42864"/>
        <c:crosses val="autoZero"/>
        <c:auto val="1"/>
        <c:lblAlgn val="ctr"/>
        <c:lblOffset val="100"/>
        <c:noMultiLvlLbl val="0"/>
      </c:catAx>
      <c:valAx>
        <c:axId val="212942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3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Bukwo-Suam'!$C$59:$N$59</c:f>
              <c:numCache>
                <c:formatCode>0.0%</c:formatCode>
                <c:ptCount val="12"/>
                <c:pt idx="0">
                  <c:v>0</c:v>
                </c:pt>
                <c:pt idx="1">
                  <c:v>1.1428571428571429E-2</c:v>
                </c:pt>
                <c:pt idx="2">
                  <c:v>1.3333333333333334E-2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4.1904761904761903E-2</c:v>
                </c:pt>
                <c:pt idx="7">
                  <c:v>3.8095238095238095E-3</c:v>
                </c:pt>
                <c:pt idx="8">
                  <c:v>0</c:v>
                </c:pt>
                <c:pt idx="9">
                  <c:v>0</c:v>
                </c:pt>
                <c:pt idx="10">
                  <c:v>0.92952380952380953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'25.08 Bukwo-Suam'!$S$9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Bukwo-Suam'!$S$10:$S$21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'25.08 Bukwo-Suam'!$T$9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'25.08 Bukwo-Suam'!$T$10:$T$21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'25.08 Bukwo-Suam'!$U$9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'25.08 Bukwo-Suam'!$V$9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'25.08 Bukwo-Suam'!$W$9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'25.08 Bukwo-Suam'!$X$9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'25.08 Bukwo-Suam'!$Y$9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Bukwo-Suam'!$Y$10:$Y$21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'25.08 Bukwo-Suam'!$Z$9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'25.08 Bukwo-Suam'!$AA$9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'25.08 Bukwo-Suam'!$AB$9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'25.08 Bukwo-Suam'!$AC$9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Bukwo-Suam'!$AC$10:$AC$21</c:f>
              <c:numCache>
                <c:formatCode>0</c:formatCode>
                <c:ptCount val="12"/>
                <c:pt idx="0">
                  <c:v>17</c:v>
                </c:pt>
                <c:pt idx="1">
                  <c:v>42</c:v>
                </c:pt>
                <c:pt idx="2">
                  <c:v>39</c:v>
                </c:pt>
                <c:pt idx="3">
                  <c:v>57</c:v>
                </c:pt>
                <c:pt idx="4">
                  <c:v>38</c:v>
                </c:pt>
                <c:pt idx="5">
                  <c:v>45</c:v>
                </c:pt>
                <c:pt idx="6">
                  <c:v>35</c:v>
                </c:pt>
                <c:pt idx="7">
                  <c:v>42</c:v>
                </c:pt>
                <c:pt idx="8">
                  <c:v>37</c:v>
                </c:pt>
                <c:pt idx="9">
                  <c:v>51</c:v>
                </c:pt>
                <c:pt idx="10">
                  <c:v>49</c:v>
                </c:pt>
                <c:pt idx="1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'25.08 Bukwo-Suam'!$AD$9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'25.08 Bukwo-Suam'!$AD$10:$AD$21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40512"/>
        <c:axId val="211926432"/>
      </c:lineChart>
      <c:catAx>
        <c:axId val="21294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926432"/>
        <c:crosses val="autoZero"/>
        <c:auto val="1"/>
        <c:lblAlgn val="ctr"/>
        <c:lblOffset val="100"/>
        <c:noMultiLvlLbl val="0"/>
      </c:catAx>
      <c:valAx>
        <c:axId val="21192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29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'25.08 Bukwo-Suam'!$C$60:$N$60</c:f>
              <c:numCache>
                <c:formatCode>0.00%</c:formatCode>
                <c:ptCount val="12"/>
                <c:pt idx="0">
                  <c:v>0</c:v>
                </c:pt>
                <c:pt idx="1">
                  <c:v>6.5934065934065936E-2</c:v>
                </c:pt>
                <c:pt idx="2">
                  <c:v>7.6923076923076927E-2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0.24175824175824176</c:v>
                </c:pt>
                <c:pt idx="7">
                  <c:v>2.197802197802198E-2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'26.08 Suam-Bukwo-24h'!$AE$9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'26.08 Suam-Bukwo-24h'!$R$10:$R$33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'26.08 Suam-Bukwo-24h'!$AE$10:$AE$33</c:f>
              <c:numCache>
                <c:formatCode>0</c:formatCode>
                <c:ptCount val="24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13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'26.08 Suam-Bukwo-24h'!$AF$9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'26.08 Suam-Bukwo-24h'!$R$10:$R$33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'26.08 Suam-Bukwo-24h'!$AF$10:$AF$33</c:f>
              <c:numCache>
                <c:formatCode>0</c:formatCode>
                <c:ptCount val="24"/>
                <c:pt idx="0">
                  <c:v>26</c:v>
                </c:pt>
                <c:pt idx="1">
                  <c:v>52</c:v>
                </c:pt>
                <c:pt idx="2">
                  <c:v>68</c:v>
                </c:pt>
                <c:pt idx="3">
                  <c:v>78</c:v>
                </c:pt>
                <c:pt idx="4">
                  <c:v>65</c:v>
                </c:pt>
                <c:pt idx="5">
                  <c:v>68</c:v>
                </c:pt>
                <c:pt idx="6">
                  <c:v>53</c:v>
                </c:pt>
                <c:pt idx="7">
                  <c:v>53</c:v>
                </c:pt>
                <c:pt idx="8">
                  <c:v>19</c:v>
                </c:pt>
                <c:pt idx="9">
                  <c:v>18</c:v>
                </c:pt>
                <c:pt idx="10">
                  <c:v>25</c:v>
                </c:pt>
                <c:pt idx="11">
                  <c:v>37</c:v>
                </c:pt>
                <c:pt idx="12">
                  <c:v>33</c:v>
                </c:pt>
                <c:pt idx="13">
                  <c:v>22</c:v>
                </c:pt>
                <c:pt idx="14">
                  <c:v>22</c:v>
                </c:pt>
                <c:pt idx="15">
                  <c:v>11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332672"/>
        <c:axId val="215330712"/>
      </c:lineChart>
      <c:catAx>
        <c:axId val="215332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30712"/>
        <c:crosses val="autoZero"/>
        <c:auto val="1"/>
        <c:lblAlgn val="ctr"/>
        <c:lblOffset val="100"/>
        <c:noMultiLvlLbl val="0"/>
      </c:catAx>
      <c:valAx>
        <c:axId val="215330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3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Suam-Bukwo-24h'!$C$9:$N$9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Suam-Bukwo-24h'!$C$107:$N$107</c:f>
              <c:numCache>
                <c:formatCode>0.0%</c:formatCode>
                <c:ptCount val="12"/>
                <c:pt idx="0">
                  <c:v>1.0510510510510511E-2</c:v>
                </c:pt>
                <c:pt idx="1">
                  <c:v>6.006006006006006E-3</c:v>
                </c:pt>
                <c:pt idx="2">
                  <c:v>1.8018018018018018E-2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4.6546546546546545E-2</c:v>
                </c:pt>
                <c:pt idx="7">
                  <c:v>1.5015015015015015E-3</c:v>
                </c:pt>
                <c:pt idx="8">
                  <c:v>0</c:v>
                </c:pt>
                <c:pt idx="9">
                  <c:v>0</c:v>
                </c:pt>
                <c:pt idx="10">
                  <c:v>0.89939939939939939</c:v>
                </c:pt>
                <c:pt idx="11">
                  <c:v>1.8018018018018018E-2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Suam-Bukwo-24h'!$C$9:$N$9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Suam-Bukwo-24h'!$C$108:$N$108</c:f>
              <c:numCache>
                <c:formatCode>0.00%</c:formatCode>
                <c:ptCount val="12"/>
                <c:pt idx="0">
                  <c:v>0.1044776119402985</c:v>
                </c:pt>
                <c:pt idx="1">
                  <c:v>5.9701492537313432E-2</c:v>
                </c:pt>
                <c:pt idx="2">
                  <c:v>0.17910447761194029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0.46268656716417911</c:v>
                </c:pt>
                <c:pt idx="7">
                  <c:v>1.4925373134328358E-2</c:v>
                </c:pt>
                <c:pt idx="8">
                  <c:v>0</c:v>
                </c:pt>
                <c:pt idx="9">
                  <c:v>0</c:v>
                </c:pt>
                <c:pt idx="11">
                  <c:v>0.17910447761194029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'26.08 Bukwo-Suam-24h'!$AE$9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'26.08 Bukwo-Suam-24h'!$R$10:$R$33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'26.08 Bukwo-Suam-24h'!$AE$10:$AE$33</c:f>
              <c:numCache>
                <c:formatCode>0</c:formatCode>
                <c:ptCount val="24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'26.08 Bukwo-Suam-24h'!$AF$9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'26.08 Bukwo-Suam-24h'!$R$10:$R$33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'26.08 Bukwo-Suam-24h'!$AF$10:$AF$33</c:f>
              <c:numCache>
                <c:formatCode>0</c:formatCode>
                <c:ptCount val="24"/>
                <c:pt idx="0">
                  <c:v>18</c:v>
                </c:pt>
                <c:pt idx="1">
                  <c:v>40</c:v>
                </c:pt>
                <c:pt idx="2">
                  <c:v>56</c:v>
                </c:pt>
                <c:pt idx="3">
                  <c:v>69</c:v>
                </c:pt>
                <c:pt idx="4">
                  <c:v>55</c:v>
                </c:pt>
                <c:pt idx="5">
                  <c:v>69</c:v>
                </c:pt>
                <c:pt idx="6">
                  <c:v>56</c:v>
                </c:pt>
                <c:pt idx="7">
                  <c:v>61</c:v>
                </c:pt>
                <c:pt idx="8">
                  <c:v>24</c:v>
                </c:pt>
                <c:pt idx="9">
                  <c:v>25</c:v>
                </c:pt>
                <c:pt idx="10">
                  <c:v>27</c:v>
                </c:pt>
                <c:pt idx="11">
                  <c:v>24</c:v>
                </c:pt>
                <c:pt idx="12">
                  <c:v>20</c:v>
                </c:pt>
                <c:pt idx="13">
                  <c:v>21</c:v>
                </c:pt>
                <c:pt idx="14">
                  <c:v>15</c:v>
                </c:pt>
                <c:pt idx="15">
                  <c:v>13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331104"/>
        <c:axId val="215334240"/>
      </c:lineChart>
      <c:catAx>
        <c:axId val="215331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34240"/>
        <c:crosses val="autoZero"/>
        <c:auto val="1"/>
        <c:lblAlgn val="ctr"/>
        <c:lblOffset val="100"/>
        <c:noMultiLvlLbl val="0"/>
      </c:catAx>
      <c:valAx>
        <c:axId val="215334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Bukwo-Suam-24h'!$C$9:$N$9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Bukwo-Suam-24h'!$C$107:$N$107</c:f>
              <c:numCache>
                <c:formatCode>0.0%</c:formatCode>
                <c:ptCount val="12"/>
                <c:pt idx="0">
                  <c:v>1.6474464579901153E-2</c:v>
                </c:pt>
                <c:pt idx="1">
                  <c:v>8.2372322899505763E-3</c:v>
                </c:pt>
                <c:pt idx="2">
                  <c:v>1.6474464579901153E-2</c:v>
                </c:pt>
                <c:pt idx="3">
                  <c:v>1.6474464579901153E-3</c:v>
                </c:pt>
                <c:pt idx="4">
                  <c:v>0</c:v>
                </c:pt>
                <c:pt idx="5">
                  <c:v>0</c:v>
                </c:pt>
                <c:pt idx="6">
                  <c:v>1.9769357495881382E-2</c:v>
                </c:pt>
                <c:pt idx="7">
                  <c:v>3.2948929159802307E-3</c:v>
                </c:pt>
                <c:pt idx="8">
                  <c:v>0</c:v>
                </c:pt>
                <c:pt idx="9">
                  <c:v>0</c:v>
                </c:pt>
                <c:pt idx="10">
                  <c:v>0.92586490939044486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'26.08 Bukwo-Suam-24h'!$C$9:$N$9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'26.08 Bukwo-Suam-24h'!$C$108:$N$108</c:f>
              <c:numCache>
                <c:formatCode>0.00%</c:formatCode>
                <c:ptCount val="12"/>
                <c:pt idx="0">
                  <c:v>0.25</c:v>
                </c:pt>
                <c:pt idx="1">
                  <c:v>0.125</c:v>
                </c:pt>
                <c:pt idx="2">
                  <c:v>0.25</c:v>
                </c:pt>
                <c:pt idx="3">
                  <c:v>2.5000000000000001E-2</c:v>
                </c:pt>
                <c:pt idx="4">
                  <c:v>0</c:v>
                </c:pt>
                <c:pt idx="5">
                  <c:v>0</c:v>
                </c:pt>
                <c:pt idx="6">
                  <c:v>0.3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'27.08 Suam-Bukwo'!$AE$9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'27.08 Suam-Bukwo'!$AE$10:$AE$21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'27.08 Suam-Bukwo'!$AF$9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'27.08 Suam-Bukwo'!$AF$10:$AF$21</c:f>
              <c:numCache>
                <c:formatCode>0</c:formatCode>
                <c:ptCount val="12"/>
                <c:pt idx="0">
                  <c:v>9</c:v>
                </c:pt>
                <c:pt idx="1">
                  <c:v>15</c:v>
                </c:pt>
                <c:pt idx="2">
                  <c:v>42</c:v>
                </c:pt>
                <c:pt idx="3">
                  <c:v>71</c:v>
                </c:pt>
                <c:pt idx="4">
                  <c:v>84</c:v>
                </c:pt>
                <c:pt idx="5">
                  <c:v>69</c:v>
                </c:pt>
                <c:pt idx="6">
                  <c:v>60</c:v>
                </c:pt>
                <c:pt idx="7">
                  <c:v>52</c:v>
                </c:pt>
                <c:pt idx="8">
                  <c:v>39</c:v>
                </c:pt>
                <c:pt idx="9">
                  <c:v>47</c:v>
                </c:pt>
                <c:pt idx="10">
                  <c:v>58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331888"/>
        <c:axId val="215332280"/>
      </c:lineChart>
      <c:catAx>
        <c:axId val="2153318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32280"/>
        <c:crosses val="autoZero"/>
        <c:auto val="1"/>
        <c:lblAlgn val="ctr"/>
        <c:lblOffset val="100"/>
        <c:noMultiLvlLbl val="0"/>
      </c:catAx>
      <c:valAx>
        <c:axId val="215332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3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Suam-Bukwo'!$C$59:$N$59</c:f>
              <c:numCache>
                <c:formatCode>0.0%</c:formatCode>
                <c:ptCount val="12"/>
                <c:pt idx="0">
                  <c:v>9.9502487562189053E-3</c:v>
                </c:pt>
                <c:pt idx="1">
                  <c:v>1.658374792703151E-3</c:v>
                </c:pt>
                <c:pt idx="2">
                  <c:v>2.1558872305140961E-2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4.4776119402985072E-2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0.92205638474295193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'27.08 Suam-Bukwo'!$S$9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'27.08 Suam-Bukwo'!$S$10:$S$21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'27.08 Suam-Bukwo'!$T$9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'27.08 Suam-Bukwo'!$T$10:$T$21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'27.08 Suam-Bukwo'!$U$9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'27.08 Suam-Bukwo'!$V$9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'27.08 Suam-Bukwo'!$W$9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'27.08 Suam-Bukwo'!$X$9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'27.08 Suam-Bukwo'!$Y$9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'27.08 Suam-Bukwo'!$Z$9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'27.08 Suam-Bukwo'!$AA$9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'27.08 Suam-Bukwo'!$AB$9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'27.08 Suam-Bukwo'!$AC$9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Suam-Bukwo'!$AC$10:$AC$21</c:f>
              <c:numCache>
                <c:formatCode>0</c:formatCode>
                <c:ptCount val="12"/>
                <c:pt idx="0">
                  <c:v>9</c:v>
                </c:pt>
                <c:pt idx="1">
                  <c:v>14</c:v>
                </c:pt>
                <c:pt idx="2">
                  <c:v>39</c:v>
                </c:pt>
                <c:pt idx="3">
                  <c:v>64</c:v>
                </c:pt>
                <c:pt idx="4">
                  <c:v>79</c:v>
                </c:pt>
                <c:pt idx="5">
                  <c:v>61</c:v>
                </c:pt>
                <c:pt idx="6">
                  <c:v>58</c:v>
                </c:pt>
                <c:pt idx="7">
                  <c:v>47</c:v>
                </c:pt>
                <c:pt idx="8">
                  <c:v>35</c:v>
                </c:pt>
                <c:pt idx="9">
                  <c:v>43</c:v>
                </c:pt>
                <c:pt idx="10">
                  <c:v>55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'27.08 Suam-Bukwo'!$AD$9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'27.08 Suam-Bukwo'!$AD$10:$AD$21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310472"/>
        <c:axId val="226310080"/>
      </c:lineChart>
      <c:catAx>
        <c:axId val="22631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10080"/>
        <c:crosses val="autoZero"/>
        <c:auto val="1"/>
        <c:lblAlgn val="ctr"/>
        <c:lblOffset val="100"/>
        <c:noMultiLvlLbl val="0"/>
      </c:catAx>
      <c:valAx>
        <c:axId val="2263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1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Suam-Bukwo'!$C$60:$N$60</c:f>
              <c:numCache>
                <c:formatCode>0.00%</c:formatCode>
                <c:ptCount val="12"/>
                <c:pt idx="0">
                  <c:v>0.1276595744680851</c:v>
                </c:pt>
                <c:pt idx="1">
                  <c:v>2.1276595744680851E-2</c:v>
                </c:pt>
                <c:pt idx="2">
                  <c:v>0.27659574468085107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0.57446808510638303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'27.08 Bukwo-Suam'!$AE$9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'27.08 Bukwo-Suam'!$AE$10:$AE$21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'27.08 Bukwo-Suam'!$AF$9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'27.08 Bukwo-Suam'!$AF$10:$AF$21</c:f>
              <c:numCache>
                <c:formatCode>0</c:formatCode>
                <c:ptCount val="12"/>
                <c:pt idx="0">
                  <c:v>9</c:v>
                </c:pt>
                <c:pt idx="1">
                  <c:v>11</c:v>
                </c:pt>
                <c:pt idx="2">
                  <c:v>34</c:v>
                </c:pt>
                <c:pt idx="3">
                  <c:v>46</c:v>
                </c:pt>
                <c:pt idx="4">
                  <c:v>53</c:v>
                </c:pt>
                <c:pt idx="5">
                  <c:v>61</c:v>
                </c:pt>
                <c:pt idx="6">
                  <c:v>64</c:v>
                </c:pt>
                <c:pt idx="7">
                  <c:v>68</c:v>
                </c:pt>
                <c:pt idx="8">
                  <c:v>59</c:v>
                </c:pt>
                <c:pt idx="9">
                  <c:v>51</c:v>
                </c:pt>
                <c:pt idx="10">
                  <c:v>62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307728"/>
        <c:axId val="226304592"/>
      </c:lineChart>
      <c:catAx>
        <c:axId val="226307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4592"/>
        <c:crosses val="autoZero"/>
        <c:auto val="1"/>
        <c:lblAlgn val="ctr"/>
        <c:lblOffset val="100"/>
        <c:noMultiLvlLbl val="0"/>
      </c:catAx>
      <c:valAx>
        <c:axId val="226304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Bukwo-Suam'!$C$59:$N$59</c:f>
              <c:numCache>
                <c:formatCode>0.0%</c:formatCode>
                <c:ptCount val="12"/>
                <c:pt idx="0">
                  <c:v>8.7873462214411256E-3</c:v>
                </c:pt>
                <c:pt idx="1">
                  <c:v>5.272407732864675E-3</c:v>
                </c:pt>
                <c:pt idx="2">
                  <c:v>1.5817223198594025E-2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4.9209138840070298E-2</c:v>
                </c:pt>
                <c:pt idx="7">
                  <c:v>1.7574692442882249E-3</c:v>
                </c:pt>
                <c:pt idx="8">
                  <c:v>0</c:v>
                </c:pt>
                <c:pt idx="9">
                  <c:v>0</c:v>
                </c:pt>
                <c:pt idx="10">
                  <c:v>0.91915641476274168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'27.08 Bukwo-Suam'!$C$60:$N$60</c:f>
              <c:numCache>
                <c:formatCode>0.00%</c:formatCode>
                <c:ptCount val="12"/>
                <c:pt idx="0">
                  <c:v>0.10869565217391304</c:v>
                </c:pt>
                <c:pt idx="1">
                  <c:v>6.5217391304347824E-2</c:v>
                </c:pt>
                <c:pt idx="2">
                  <c:v>0.19565217391304349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0.60869565217391308</c:v>
                </c:pt>
                <c:pt idx="7">
                  <c:v>2.1739130434782608E-2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Suam-Bukwo'!$AE$9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Suam-Bukwo'!$AE$10:$AE$21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'28.08 Suam-Bukwo'!$AF$9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Suam-Bukwo'!$AF$10:$AF$21</c:f>
              <c:numCache>
                <c:formatCode>0</c:formatCode>
                <c:ptCount val="12"/>
                <c:pt idx="0">
                  <c:v>7</c:v>
                </c:pt>
                <c:pt idx="1">
                  <c:v>21</c:v>
                </c:pt>
                <c:pt idx="2">
                  <c:v>32</c:v>
                </c:pt>
                <c:pt idx="3">
                  <c:v>54</c:v>
                </c:pt>
                <c:pt idx="4">
                  <c:v>63</c:v>
                </c:pt>
                <c:pt idx="5">
                  <c:v>65</c:v>
                </c:pt>
                <c:pt idx="6">
                  <c:v>49</c:v>
                </c:pt>
                <c:pt idx="7">
                  <c:v>38</c:v>
                </c:pt>
                <c:pt idx="8">
                  <c:v>48</c:v>
                </c:pt>
                <c:pt idx="9">
                  <c:v>61</c:v>
                </c:pt>
                <c:pt idx="10">
                  <c:v>57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308904"/>
        <c:axId val="226303808"/>
      </c:lineChart>
      <c:catAx>
        <c:axId val="226308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3808"/>
        <c:crosses val="autoZero"/>
        <c:auto val="1"/>
        <c:lblAlgn val="ctr"/>
        <c:lblOffset val="100"/>
        <c:noMultiLvlLbl val="0"/>
      </c:catAx>
      <c:valAx>
        <c:axId val="226303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Suam-Bukwo'!$C$59:$N$59</c:f>
              <c:numCache>
                <c:formatCode>0.0%</c:formatCode>
                <c:ptCount val="12"/>
                <c:pt idx="0">
                  <c:v>2.1621621621621623E-2</c:v>
                </c:pt>
                <c:pt idx="1">
                  <c:v>0</c:v>
                </c:pt>
                <c:pt idx="2">
                  <c:v>1.8018018018018018E-2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4.6846846846846847E-2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0.91351351351351351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Suam-Bukwo'!$S$9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Suam-Bukwo'!$S$10:$S$21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'28.08 Suam-Bukwo'!$T$9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Suam-Bukwo'!$T$10:$T$21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'28.08 Suam-Bukwo'!$U$9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Suam-Bukwo'!$U$10:$U$21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'28.08 Suam-Bukwo'!$V$9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'28.08 Suam-Bukwo'!$W$9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'28.08 Suam-Bukwo'!$X$9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'28.08 Suam-Bukwo'!$Y$9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'28.08 Suam-Bukwo'!$Z$9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'28.08 Suam-Bukwo'!$AA$9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'28.08 Suam-Bukwo'!$AB$9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'28.08 Suam-Bukwo'!$AC$9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Suam-Bukwo'!$AC$10:$AC$21</c:f>
              <c:numCache>
                <c:formatCode>0</c:formatCode>
                <c:ptCount val="12"/>
                <c:pt idx="0">
                  <c:v>6</c:v>
                </c:pt>
                <c:pt idx="1">
                  <c:v>16</c:v>
                </c:pt>
                <c:pt idx="2">
                  <c:v>28</c:v>
                </c:pt>
                <c:pt idx="3">
                  <c:v>52</c:v>
                </c:pt>
                <c:pt idx="4">
                  <c:v>60</c:v>
                </c:pt>
                <c:pt idx="5">
                  <c:v>60</c:v>
                </c:pt>
                <c:pt idx="6">
                  <c:v>45</c:v>
                </c:pt>
                <c:pt idx="7">
                  <c:v>33</c:v>
                </c:pt>
                <c:pt idx="8">
                  <c:v>45</c:v>
                </c:pt>
                <c:pt idx="9">
                  <c:v>56</c:v>
                </c:pt>
                <c:pt idx="10">
                  <c:v>49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'28.08 Suam-Bukwo'!$AD$9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Suam-Bukwo'!$AD$10:$AD$21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309688"/>
        <c:axId val="226304984"/>
      </c:lineChart>
      <c:catAx>
        <c:axId val="226309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4984"/>
        <c:crosses val="autoZero"/>
        <c:auto val="1"/>
        <c:lblAlgn val="ctr"/>
        <c:lblOffset val="100"/>
        <c:noMultiLvlLbl val="0"/>
      </c:catAx>
      <c:valAx>
        <c:axId val="22630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Suam-Bukwo'!$C$60:$N$60</c:f>
              <c:numCache>
                <c:formatCode>0.00%</c:formatCode>
                <c:ptCount val="12"/>
                <c:pt idx="0">
                  <c:v>0.25</c:v>
                </c:pt>
                <c:pt idx="1">
                  <c:v>0</c:v>
                </c:pt>
                <c:pt idx="2">
                  <c:v>0.20833333333333334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0.54166666666666663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Bukwo-Suam'!$AE$9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Bukwo-Suam'!$AE$10:$AE$21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'28.08 Bukwo-Suam'!$AF$9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Bukwo-Suam'!$AF$10:$AF$21</c:f>
              <c:numCache>
                <c:formatCode>0</c:formatCode>
                <c:ptCount val="12"/>
                <c:pt idx="0">
                  <c:v>4</c:v>
                </c:pt>
                <c:pt idx="1">
                  <c:v>12</c:v>
                </c:pt>
                <c:pt idx="2">
                  <c:v>10</c:v>
                </c:pt>
                <c:pt idx="3">
                  <c:v>27</c:v>
                </c:pt>
                <c:pt idx="4">
                  <c:v>39</c:v>
                </c:pt>
                <c:pt idx="5">
                  <c:v>64</c:v>
                </c:pt>
                <c:pt idx="6">
                  <c:v>52</c:v>
                </c:pt>
                <c:pt idx="7">
                  <c:v>53</c:v>
                </c:pt>
                <c:pt idx="8">
                  <c:v>62</c:v>
                </c:pt>
                <c:pt idx="9">
                  <c:v>58</c:v>
                </c:pt>
                <c:pt idx="10">
                  <c:v>39</c:v>
                </c:pt>
                <c:pt idx="11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306552"/>
        <c:axId val="228370424"/>
      </c:lineChart>
      <c:catAx>
        <c:axId val="226306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0424"/>
        <c:crosses val="autoZero"/>
        <c:auto val="1"/>
        <c:lblAlgn val="ctr"/>
        <c:lblOffset val="100"/>
        <c:noMultiLvlLbl val="0"/>
      </c:catAx>
      <c:valAx>
        <c:axId val="228370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30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Bukwo-Suam'!$C$59:$N$59</c:f>
              <c:numCache>
                <c:formatCode>0.0%</c:formatCode>
                <c:ptCount val="12"/>
                <c:pt idx="0">
                  <c:v>1.6771488469601678E-2</c:v>
                </c:pt>
                <c:pt idx="1">
                  <c:v>2.0964360587002098E-3</c:v>
                </c:pt>
                <c:pt idx="2">
                  <c:v>1.4675052410901468E-2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3.7735849056603772E-2</c:v>
                </c:pt>
                <c:pt idx="7">
                  <c:v>8.385744234800839E-3</c:v>
                </c:pt>
                <c:pt idx="8">
                  <c:v>2.0964360587002098E-3</c:v>
                </c:pt>
                <c:pt idx="9">
                  <c:v>0</c:v>
                </c:pt>
                <c:pt idx="10">
                  <c:v>0.91823899371069184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'28.08 Bukwo-Suam'!$S$9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Bukwo-Suam'!$S$10:$S$21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'28.08 Bukwo-Suam'!$T$9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'28.08 Bukwo-Suam'!$T$10:$T$21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'28.08 Bukwo-Suam'!$U$9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'28.08 Bukwo-Suam'!$V$9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'28.08 Bukwo-Suam'!$W$9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'28.08 Bukwo-Suam'!$X$9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'28.08 Bukwo-Suam'!$Y$9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'28.08 Bukwo-Suam'!$Z$9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'28.08 Bukwo-Suam'!$AA$9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'28.08 Bukwo-Suam'!$AB$9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'28.08 Bukwo-Suam'!$AC$9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Bukwo-Suam'!$AC$10:$AC$21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6</c:v>
                </c:pt>
                <c:pt idx="3">
                  <c:v>25</c:v>
                </c:pt>
                <c:pt idx="4">
                  <c:v>38</c:v>
                </c:pt>
                <c:pt idx="5">
                  <c:v>59</c:v>
                </c:pt>
                <c:pt idx="6">
                  <c:v>50</c:v>
                </c:pt>
                <c:pt idx="7">
                  <c:v>48</c:v>
                </c:pt>
                <c:pt idx="8">
                  <c:v>52</c:v>
                </c:pt>
                <c:pt idx="9">
                  <c:v>54</c:v>
                </c:pt>
                <c:pt idx="10">
                  <c:v>37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'28.08 Bukwo-Suam'!$AD$9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'28.08 Bukwo-Suam'!$AD$10:$AD$21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3168"/>
        <c:axId val="228368464"/>
      </c:lineChart>
      <c:catAx>
        <c:axId val="22837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68464"/>
        <c:crosses val="autoZero"/>
        <c:auto val="1"/>
        <c:lblAlgn val="ctr"/>
        <c:lblOffset val="100"/>
        <c:noMultiLvlLbl val="0"/>
      </c:catAx>
      <c:valAx>
        <c:axId val="2283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'28.08 Bukwo-Suam'!$C$60:$N$60</c:f>
              <c:numCache>
                <c:formatCode>0.00%</c:formatCode>
                <c:ptCount val="12"/>
                <c:pt idx="0">
                  <c:v>0.20512820512820512</c:v>
                </c:pt>
                <c:pt idx="1">
                  <c:v>2.564102564102564E-2</c:v>
                </c:pt>
                <c:pt idx="2">
                  <c:v>0.17948717948717949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0.46153846153846156</c:v>
                </c:pt>
                <c:pt idx="7">
                  <c:v>0.10256410256410256</c:v>
                </c:pt>
                <c:pt idx="8">
                  <c:v>2.564102564102564E-2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'29.08 Suam-Bukwo'!$AE$9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Suam-Bukwo'!$AE$10:$AE$21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'29.08 Suam-Bukwo'!$AF$9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Suam-Bukwo'!$AF$10:$AF$21</c:f>
              <c:numCache>
                <c:formatCode>0</c:formatCode>
                <c:ptCount val="12"/>
                <c:pt idx="0">
                  <c:v>5</c:v>
                </c:pt>
                <c:pt idx="1">
                  <c:v>11</c:v>
                </c:pt>
                <c:pt idx="2">
                  <c:v>51</c:v>
                </c:pt>
                <c:pt idx="3">
                  <c:v>65</c:v>
                </c:pt>
                <c:pt idx="4">
                  <c:v>79</c:v>
                </c:pt>
                <c:pt idx="5">
                  <c:v>77</c:v>
                </c:pt>
                <c:pt idx="6">
                  <c:v>64</c:v>
                </c:pt>
                <c:pt idx="7">
                  <c:v>66</c:v>
                </c:pt>
                <c:pt idx="8">
                  <c:v>67</c:v>
                </c:pt>
                <c:pt idx="9">
                  <c:v>67</c:v>
                </c:pt>
                <c:pt idx="10">
                  <c:v>64</c:v>
                </c:pt>
                <c:pt idx="11">
                  <c:v>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70032"/>
        <c:axId val="228374344"/>
      </c:lineChart>
      <c:catAx>
        <c:axId val="228370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4344"/>
        <c:crosses val="autoZero"/>
        <c:auto val="1"/>
        <c:lblAlgn val="ctr"/>
        <c:lblOffset val="100"/>
        <c:noMultiLvlLbl val="0"/>
      </c:catAx>
      <c:valAx>
        <c:axId val="228374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'29.08 Suam-Bukwo'!$C$59:$N$59</c:f>
              <c:numCache>
                <c:formatCode>0.0%</c:formatCode>
                <c:ptCount val="12"/>
                <c:pt idx="0">
                  <c:v>1.3412816691505217E-2</c:v>
                </c:pt>
                <c:pt idx="1">
                  <c:v>1.4903129657228018E-3</c:v>
                </c:pt>
                <c:pt idx="2">
                  <c:v>2.6825633383010434E-2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3.7257824143070044E-2</c:v>
                </c:pt>
                <c:pt idx="7">
                  <c:v>0</c:v>
                </c:pt>
                <c:pt idx="8">
                  <c:v>0</c:v>
                </c:pt>
                <c:pt idx="9">
                  <c:v>1.3412816691505217E-2</c:v>
                </c:pt>
                <c:pt idx="10">
                  <c:v>0.90760059612518629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'29.08 Suam-Bukwo'!$S$9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Suam-Bukwo'!$S$10:$S$21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'29.08 Suam-Bukwo'!$T$9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'29.08 Suam-Bukwo'!$R$10:$R$21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Suam-Bukwo'!$T$10:$T$21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'29.08 Suam-Bukwo'!$U$9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Suam-Bukwo'!$U$10:$U$21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'29.08 Suam-Bukwo'!$V$9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'29.08 Suam-Bukwo'!$W$9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'29.08 Suam-Bukwo'!$X$9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'29.08 Suam-Bukwo'!$Y$9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'29.08 Suam-Bukwo'!$Z$9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'29.08 Suam-Bukwo'!$AA$9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'29.08 Suam-Bukwo'!$AB$9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'29.08 Suam-Bukwo'!$AC$9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Suam-Bukwo'!$AC$10:$AC$21</c:f>
              <c:numCache>
                <c:formatCode>0</c:formatCode>
                <c:ptCount val="12"/>
                <c:pt idx="0">
                  <c:v>5</c:v>
                </c:pt>
                <c:pt idx="1">
                  <c:v>6</c:v>
                </c:pt>
                <c:pt idx="2">
                  <c:v>47</c:v>
                </c:pt>
                <c:pt idx="3">
                  <c:v>62</c:v>
                </c:pt>
                <c:pt idx="4">
                  <c:v>76</c:v>
                </c:pt>
                <c:pt idx="5">
                  <c:v>70</c:v>
                </c:pt>
                <c:pt idx="6">
                  <c:v>60</c:v>
                </c:pt>
                <c:pt idx="7">
                  <c:v>61</c:v>
                </c:pt>
                <c:pt idx="8">
                  <c:v>61</c:v>
                </c:pt>
                <c:pt idx="9">
                  <c:v>61</c:v>
                </c:pt>
                <c:pt idx="10">
                  <c:v>58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'29.08 Suam-Bukwo'!$AD$9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Suam-Bukwo'!$AD$10:$AD$21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3952"/>
        <c:axId val="228374736"/>
      </c:lineChart>
      <c:catAx>
        <c:axId val="22837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4736"/>
        <c:crosses val="autoZero"/>
        <c:auto val="1"/>
        <c:lblAlgn val="ctr"/>
        <c:lblOffset val="100"/>
        <c:noMultiLvlLbl val="0"/>
      </c:catAx>
      <c:valAx>
        <c:axId val="2283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'29.08 Suam-Bukwo'!$C$9:$N$9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'29.08 Suam-Bukwo'!$C$60:$N$60</c:f>
              <c:numCache>
                <c:formatCode>0.00%</c:formatCode>
                <c:ptCount val="12"/>
                <c:pt idx="0">
                  <c:v>0.14516129032258066</c:v>
                </c:pt>
                <c:pt idx="1">
                  <c:v>1.6129032258064516E-2</c:v>
                </c:pt>
                <c:pt idx="2">
                  <c:v>0.29032258064516131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0.40322580645161288</c:v>
                </c:pt>
                <c:pt idx="7">
                  <c:v>0</c:v>
                </c:pt>
                <c:pt idx="8">
                  <c:v>0</c:v>
                </c:pt>
                <c:pt idx="9">
                  <c:v>0.14516129032258066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'29.08 Bukwo-Suam'!$AE$9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Bukwo-Suam'!$AE$10:$AE$21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'29.08 Bukwo-Suam'!$AF$9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Bukwo-Suam'!$AF$10:$AF$21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31</c:v>
                </c:pt>
                <c:pt idx="3">
                  <c:v>62</c:v>
                </c:pt>
                <c:pt idx="4">
                  <c:v>49</c:v>
                </c:pt>
                <c:pt idx="5">
                  <c:v>75</c:v>
                </c:pt>
                <c:pt idx="6">
                  <c:v>23</c:v>
                </c:pt>
                <c:pt idx="7">
                  <c:v>51</c:v>
                </c:pt>
                <c:pt idx="8">
                  <c:v>41</c:v>
                </c:pt>
                <c:pt idx="9">
                  <c:v>52</c:v>
                </c:pt>
                <c:pt idx="10">
                  <c:v>37</c:v>
                </c:pt>
                <c:pt idx="11">
                  <c:v>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71208"/>
        <c:axId val="228371992"/>
      </c:lineChart>
      <c:catAx>
        <c:axId val="228371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1992"/>
        <c:crosses val="autoZero"/>
        <c:auto val="1"/>
        <c:lblAlgn val="ctr"/>
        <c:lblOffset val="100"/>
        <c:noMultiLvlLbl val="0"/>
      </c:catAx>
      <c:valAx>
        <c:axId val="228371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37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'29.08 Bukwo-Suam'!$C$59:$N$59</c:f>
              <c:numCache>
                <c:formatCode>0.0%</c:formatCode>
                <c:ptCount val="12"/>
                <c:pt idx="0">
                  <c:v>5.9171597633136093E-3</c:v>
                </c:pt>
                <c:pt idx="1">
                  <c:v>5.9171597633136093E-3</c:v>
                </c:pt>
                <c:pt idx="2">
                  <c:v>1.3806706114398421E-2</c:v>
                </c:pt>
                <c:pt idx="3">
                  <c:v>1.9723865877712033E-3</c:v>
                </c:pt>
                <c:pt idx="4">
                  <c:v>0</c:v>
                </c:pt>
                <c:pt idx="5">
                  <c:v>0</c:v>
                </c:pt>
                <c:pt idx="6">
                  <c:v>2.1696252465483234E-2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0.95069033530571989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'29.08 Bukwo-Suam'!$S$9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Bukwo-Suam'!$S$10:$S$21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'29.08 Bukwo-Suam'!$T$9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'29.08 Bukwo-Suam'!$R$10:$R$21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'29.08 Bukwo-Suam'!$T$10:$T$21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'29.08 Bukwo-Suam'!$U$9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'29.08 Bukwo-Suam'!$V$9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'29.08 Bukwo-Suam'!$W$9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'29.08 Bukwo-Suam'!$X$9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'29.08 Bukwo-Suam'!$Y$9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'29.08 Bukwo-Suam'!$Z$9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'29.08 Bukwo-Suam'!$AA$9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'29.08 Bukwo-Suam'!$AB$9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'29.08 Bukwo-Suam'!$AC$9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Bukwo-Suam'!$AC$10:$AC$21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29</c:v>
                </c:pt>
                <c:pt idx="3">
                  <c:v>56</c:v>
                </c:pt>
                <c:pt idx="4">
                  <c:v>48</c:v>
                </c:pt>
                <c:pt idx="5">
                  <c:v>72</c:v>
                </c:pt>
                <c:pt idx="6">
                  <c:v>22</c:v>
                </c:pt>
                <c:pt idx="7">
                  <c:v>48</c:v>
                </c:pt>
                <c:pt idx="8">
                  <c:v>39</c:v>
                </c:pt>
                <c:pt idx="9">
                  <c:v>51</c:v>
                </c:pt>
                <c:pt idx="10">
                  <c:v>35</c:v>
                </c:pt>
                <c:pt idx="1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'29.08 Bukwo-Suam'!$AD$9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'29.08 Bukwo-Suam'!$AD$10:$AD$21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933872"/>
        <c:axId val="228931912"/>
      </c:lineChart>
      <c:catAx>
        <c:axId val="22893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931912"/>
        <c:crosses val="autoZero"/>
        <c:auto val="1"/>
        <c:lblAlgn val="ctr"/>
        <c:lblOffset val="100"/>
        <c:noMultiLvlLbl val="0"/>
      </c:catAx>
      <c:valAx>
        <c:axId val="22893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93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'29.08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'29.08 Bukwo-Suam'!$C$60:$N$60</c:f>
              <c:numCache>
                <c:formatCode>0.00%</c:formatCode>
                <c:ptCount val="12"/>
                <c:pt idx="0">
                  <c:v>0.12</c:v>
                </c:pt>
                <c:pt idx="1">
                  <c:v>0.12</c:v>
                </c:pt>
                <c:pt idx="2">
                  <c:v>0.28000000000000003</c:v>
                </c:pt>
                <c:pt idx="3">
                  <c:v>0.04</c:v>
                </c:pt>
                <c:pt idx="4">
                  <c:v>0</c:v>
                </c:pt>
                <c:pt idx="5">
                  <c:v>0</c:v>
                </c:pt>
                <c:pt idx="6">
                  <c:v>0.44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Saum-Bukwo'!$AE$9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Saum-Bukwo'!$R$10:$R$33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Saum-Bukwo'!$AE$10:$AE$33</c:f>
              <c:numCache>
                <c:formatCode>0</c:formatCode>
                <c:ptCount val="24"/>
                <c:pt idx="0">
                  <c:v>1.4285714285714284</c:v>
                </c:pt>
                <c:pt idx="1">
                  <c:v>3.5714285714285712</c:v>
                </c:pt>
                <c:pt idx="2">
                  <c:v>3.1428571428571423</c:v>
                </c:pt>
                <c:pt idx="3">
                  <c:v>3</c:v>
                </c:pt>
                <c:pt idx="4">
                  <c:v>3.4285714285714288</c:v>
                </c:pt>
                <c:pt idx="5">
                  <c:v>5.7142857142857144</c:v>
                </c:pt>
                <c:pt idx="6">
                  <c:v>2.5714285714285712</c:v>
                </c:pt>
                <c:pt idx="7">
                  <c:v>4.2857142857142856</c:v>
                </c:pt>
                <c:pt idx="8">
                  <c:v>3.2857142857142856</c:v>
                </c:pt>
                <c:pt idx="9">
                  <c:v>2.4285714285714284</c:v>
                </c:pt>
                <c:pt idx="10">
                  <c:v>3.2857142857142856</c:v>
                </c:pt>
                <c:pt idx="11">
                  <c:v>4.7142857142857135</c:v>
                </c:pt>
                <c:pt idx="12">
                  <c:v>5</c:v>
                </c:pt>
                <c:pt idx="13">
                  <c:v>4</c:v>
                </c:pt>
                <c:pt idx="14">
                  <c:v>2.5</c:v>
                </c:pt>
                <c:pt idx="15">
                  <c:v>2</c:v>
                </c:pt>
                <c:pt idx="16">
                  <c:v>1.5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</c:v>
                </c:pt>
                <c:pt idx="2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Saum-Bukwo'!$AF$9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Saum-Bukwo'!$R$10:$R$33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Saum-Bukwo'!$AF$10:$AF$33</c:f>
              <c:numCache>
                <c:formatCode>0</c:formatCode>
                <c:ptCount val="24"/>
                <c:pt idx="0">
                  <c:v>16.285714285714285</c:v>
                </c:pt>
                <c:pt idx="1">
                  <c:v>28.571428571428569</c:v>
                </c:pt>
                <c:pt idx="2">
                  <c:v>46.714285714285715</c:v>
                </c:pt>
                <c:pt idx="3">
                  <c:v>66.285714285714278</c:v>
                </c:pt>
                <c:pt idx="4">
                  <c:v>66</c:v>
                </c:pt>
                <c:pt idx="5">
                  <c:v>62.857142857142854</c:v>
                </c:pt>
                <c:pt idx="6">
                  <c:v>50.285714285714285</c:v>
                </c:pt>
                <c:pt idx="7">
                  <c:v>46.428571428571431</c:v>
                </c:pt>
                <c:pt idx="8">
                  <c:v>37.142857142857139</c:v>
                </c:pt>
                <c:pt idx="9">
                  <c:v>39.571428571428569</c:v>
                </c:pt>
                <c:pt idx="10">
                  <c:v>42.428571428571431</c:v>
                </c:pt>
                <c:pt idx="11">
                  <c:v>41.142857142857139</c:v>
                </c:pt>
                <c:pt idx="12">
                  <c:v>31.5</c:v>
                </c:pt>
                <c:pt idx="13">
                  <c:v>28.5</c:v>
                </c:pt>
                <c:pt idx="14">
                  <c:v>32.5</c:v>
                </c:pt>
                <c:pt idx="15">
                  <c:v>21.5</c:v>
                </c:pt>
                <c:pt idx="16">
                  <c:v>8</c:v>
                </c:pt>
                <c:pt idx="17">
                  <c:v>1.5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6.5</c:v>
                </c:pt>
                <c:pt idx="23">
                  <c:v>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2696"/>
        <c:axId val="228930736"/>
      </c:lineChart>
      <c:catAx>
        <c:axId val="228932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930736"/>
        <c:crosses val="autoZero"/>
        <c:auto val="1"/>
        <c:lblAlgn val="ctr"/>
        <c:lblOffset val="100"/>
        <c:noMultiLvlLbl val="0"/>
      </c:catAx>
      <c:valAx>
        <c:axId val="228930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93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Saum-Bukwo'!$C$9:$N$9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Saum-Bukwo'!$C$107:$N$107</c:f>
              <c:numCache>
                <c:formatCode>0.0%</c:formatCode>
                <c:ptCount val="12"/>
                <c:pt idx="0">
                  <c:v>1.128572935344373E-2</c:v>
                </c:pt>
                <c:pt idx="1">
                  <c:v>6.328446366417044E-3</c:v>
                </c:pt>
                <c:pt idx="2">
                  <c:v>2.0356502478641497E-2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4.7568821854234777E-2</c:v>
                </c:pt>
                <c:pt idx="7">
                  <c:v>1.1602151671764583E-3</c:v>
                </c:pt>
                <c:pt idx="8">
                  <c:v>0</c:v>
                </c:pt>
                <c:pt idx="9">
                  <c:v>1.8985339099251138E-3</c:v>
                </c:pt>
                <c:pt idx="10">
                  <c:v>0.90865942411138045</c:v>
                </c:pt>
                <c:pt idx="11">
                  <c:v>2.7423267587807195E-3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Saum-Bukwo'!$C$9:$N$9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Saum-Bukwo'!$C$108:$N$108</c:f>
              <c:numCache>
                <c:formatCode>0.00%</c:formatCode>
                <c:ptCount val="12"/>
                <c:pt idx="0">
                  <c:v>0.12355658198614319</c:v>
                </c:pt>
                <c:pt idx="1">
                  <c:v>6.9284064665127001E-2</c:v>
                </c:pt>
                <c:pt idx="2">
                  <c:v>0.22286374133949194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0.52078521939953804</c:v>
                </c:pt>
                <c:pt idx="7">
                  <c:v>1.2702078521939953E-2</c:v>
                </c:pt>
                <c:pt idx="8">
                  <c:v>0</c:v>
                </c:pt>
                <c:pt idx="9">
                  <c:v>2.0785219399538108E-2</c:v>
                </c:pt>
                <c:pt idx="11">
                  <c:v>3.0023094688221709E-2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Bukwo-Suam'!$AE$9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Bukwo-Suam'!$R$10:$R$33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Bukwo-Suam'!$AE$10:$AE$33</c:f>
              <c:numCache>
                <c:formatCode>0</c:formatCode>
                <c:ptCount val="24"/>
                <c:pt idx="0">
                  <c:v>0.5714285714285714</c:v>
                </c:pt>
                <c:pt idx="1">
                  <c:v>1.5714285714285712</c:v>
                </c:pt>
                <c:pt idx="2">
                  <c:v>1.8571428571428568</c:v>
                </c:pt>
                <c:pt idx="3">
                  <c:v>3</c:v>
                </c:pt>
                <c:pt idx="4">
                  <c:v>2.4285714285714284</c:v>
                </c:pt>
                <c:pt idx="5">
                  <c:v>3.7142857142857144</c:v>
                </c:pt>
                <c:pt idx="6">
                  <c:v>2.7142857142857135</c:v>
                </c:pt>
                <c:pt idx="7">
                  <c:v>2.2857142857142856</c:v>
                </c:pt>
                <c:pt idx="8">
                  <c:v>3.7142857142857144</c:v>
                </c:pt>
                <c:pt idx="9">
                  <c:v>3.2857142857142856</c:v>
                </c:pt>
                <c:pt idx="10">
                  <c:v>2.7142857142857144</c:v>
                </c:pt>
                <c:pt idx="11">
                  <c:v>3.1428571428571423</c:v>
                </c:pt>
                <c:pt idx="12">
                  <c:v>3</c:v>
                </c:pt>
                <c:pt idx="13">
                  <c:v>1.5</c:v>
                </c:pt>
                <c:pt idx="14">
                  <c:v>3.5</c:v>
                </c:pt>
                <c:pt idx="15">
                  <c:v>0.5</c:v>
                </c:pt>
                <c:pt idx="16">
                  <c:v>0.5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0</c:v>
                </c:pt>
                <c:pt idx="23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Bukwo-Suam'!$AF$9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Bukwo-Suam'!$R$10:$R$33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Bukwo-Suam'!$AF$10:$AF$33</c:f>
              <c:numCache>
                <c:formatCode>0</c:formatCode>
                <c:ptCount val="24"/>
                <c:pt idx="0">
                  <c:v>13.142857142857142</c:v>
                </c:pt>
                <c:pt idx="1">
                  <c:v>21.571428571428573</c:v>
                </c:pt>
                <c:pt idx="2">
                  <c:v>32.714285714285715</c:v>
                </c:pt>
                <c:pt idx="3">
                  <c:v>47.285714285714285</c:v>
                </c:pt>
                <c:pt idx="4">
                  <c:v>46.428571428571431</c:v>
                </c:pt>
                <c:pt idx="5">
                  <c:v>49.714285714285715</c:v>
                </c:pt>
                <c:pt idx="6">
                  <c:v>43.857142857142854</c:v>
                </c:pt>
                <c:pt idx="7">
                  <c:v>51.999999999999993</c:v>
                </c:pt>
                <c:pt idx="8">
                  <c:v>44.142857142857139</c:v>
                </c:pt>
                <c:pt idx="9">
                  <c:v>47.857142857142861</c:v>
                </c:pt>
                <c:pt idx="10">
                  <c:v>40.285714285714285</c:v>
                </c:pt>
                <c:pt idx="11">
                  <c:v>48.285714285714292</c:v>
                </c:pt>
                <c:pt idx="12">
                  <c:v>29</c:v>
                </c:pt>
                <c:pt idx="13">
                  <c:v>26</c:v>
                </c:pt>
                <c:pt idx="14">
                  <c:v>29</c:v>
                </c:pt>
                <c:pt idx="15">
                  <c:v>25.5</c:v>
                </c:pt>
                <c:pt idx="16">
                  <c:v>10</c:v>
                </c:pt>
                <c:pt idx="17">
                  <c:v>1.5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2.5</c:v>
                </c:pt>
                <c:pt idx="23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7008"/>
        <c:axId val="228937400"/>
      </c:lineChart>
      <c:catAx>
        <c:axId val="228937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937400"/>
        <c:crosses val="autoZero"/>
        <c:auto val="1"/>
        <c:lblAlgn val="ctr"/>
        <c:lblOffset val="100"/>
        <c:noMultiLvlLbl val="0"/>
      </c:catAx>
      <c:valAx>
        <c:axId val="228937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893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0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Bukwo-Suam'!$C$107:$N$107</c:f>
              <c:numCache>
                <c:formatCode>0.0%</c:formatCode>
                <c:ptCount val="12"/>
                <c:pt idx="0">
                  <c:v>1.0117268337548861E-2</c:v>
                </c:pt>
                <c:pt idx="1">
                  <c:v>0</c:v>
                </c:pt>
                <c:pt idx="2">
                  <c:v>1.6325592090135666E-2</c:v>
                </c:pt>
                <c:pt idx="3">
                  <c:v>4.5987583352494828E-4</c:v>
                </c:pt>
                <c:pt idx="4">
                  <c:v>0</c:v>
                </c:pt>
                <c:pt idx="5">
                  <c:v>0</c:v>
                </c:pt>
                <c:pt idx="6">
                  <c:v>3.7364911473902043E-2</c:v>
                </c:pt>
                <c:pt idx="7">
                  <c:v>3.1041618762934005E-3</c:v>
                </c:pt>
                <c:pt idx="8">
                  <c:v>2.2993791676247414E-4</c:v>
                </c:pt>
                <c:pt idx="9">
                  <c:v>0</c:v>
                </c:pt>
                <c:pt idx="10">
                  <c:v>0.93239825247183283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Bukwo-Suam'!$C$9:$N$9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Bukwo-Suam'!$C$108:$N$108</c:f>
              <c:numCache>
                <c:formatCode>0.00%</c:formatCode>
                <c:ptCount val="12"/>
                <c:pt idx="0">
                  <c:v>0.1496598639455782</c:v>
                </c:pt>
                <c:pt idx="1">
                  <c:v>0</c:v>
                </c:pt>
                <c:pt idx="2">
                  <c:v>0.2414965986394558</c:v>
                </c:pt>
                <c:pt idx="3">
                  <c:v>6.8027210884353739E-3</c:v>
                </c:pt>
                <c:pt idx="4">
                  <c:v>0</c:v>
                </c:pt>
                <c:pt idx="5">
                  <c:v>0</c:v>
                </c:pt>
                <c:pt idx="6">
                  <c:v>0.55272108843537404</c:v>
                </c:pt>
                <c:pt idx="7">
                  <c:v>4.5918367346938764E-2</c:v>
                </c:pt>
                <c:pt idx="8">
                  <c:v>3.4013605442176869E-3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14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855822782633258E-2"/>
          <c:y val="0.16002814333522994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Suam-Bukwo-2Dir'!$C$9:$N$9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Suam-Bukwo-2Dir'!$C$107:$N$107</c:f>
              <c:numCache>
                <c:formatCode>0.0%</c:formatCode>
                <c:ptCount val="12"/>
                <c:pt idx="0">
                  <c:v>1.0726662632708073E-2</c:v>
                </c:pt>
                <c:pt idx="1">
                  <c:v>3.30051157929479E-3</c:v>
                </c:pt>
                <c:pt idx="2">
                  <c:v>1.8427856317729249E-2</c:v>
                </c:pt>
                <c:pt idx="3">
                  <c:v>2.2003410528631938E-4</c:v>
                </c:pt>
                <c:pt idx="4">
                  <c:v>0</c:v>
                </c:pt>
                <c:pt idx="5">
                  <c:v>0</c:v>
                </c:pt>
                <c:pt idx="6">
                  <c:v>4.2686616425545956E-2</c:v>
                </c:pt>
                <c:pt idx="7">
                  <c:v>2.0903240002200338E-3</c:v>
                </c:pt>
                <c:pt idx="8">
                  <c:v>1.1001705264315969E-4</c:v>
                </c:pt>
                <c:pt idx="9">
                  <c:v>9.9015347378843721E-4</c:v>
                </c:pt>
                <c:pt idx="10">
                  <c:v>0.9200176027284227</c:v>
                </c:pt>
                <c:pt idx="11">
                  <c:v>1.4302216843610758E-3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Suam-Bukwo-2Dir'!$C$9:$N$9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Suam-Bukwo-2Dir'!$C$108:$N$108</c:f>
              <c:numCache>
                <c:formatCode>0.00%</c:formatCode>
                <c:ptCount val="12"/>
                <c:pt idx="0">
                  <c:v>0.13411279229711145</c:v>
                </c:pt>
                <c:pt idx="1">
                  <c:v>4.126547455295735E-2</c:v>
                </c:pt>
                <c:pt idx="2">
                  <c:v>0.23039889958734527</c:v>
                </c:pt>
                <c:pt idx="3">
                  <c:v>2.7510316368638235E-3</c:v>
                </c:pt>
                <c:pt idx="4">
                  <c:v>0</c:v>
                </c:pt>
                <c:pt idx="5">
                  <c:v>0</c:v>
                </c:pt>
                <c:pt idx="6">
                  <c:v>0.53370013755158174</c:v>
                </c:pt>
                <c:pt idx="7">
                  <c:v>2.6134800550206325E-2</c:v>
                </c:pt>
                <c:pt idx="8">
                  <c:v>1.3755158184319118E-3</c:v>
                </c:pt>
                <c:pt idx="9">
                  <c:v>1.2379642365887207E-2</c:v>
                </c:pt>
                <c:pt idx="11">
                  <c:v>1.7881705639614852E-2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Suam-Bukwo-2Dir'!$S$9:$AF$9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Suam-Bukwo-2Dir'!$S$41:$AF$41</c:f>
              <c:numCache>
                <c:formatCode>_-* #,##0_-;\-* #,##0_-;_-* "-"_-;_-@_-</c:formatCode>
                <c:ptCount val="14"/>
                <c:pt idx="0">
                  <c:v>13.928571428571427</c:v>
                </c:pt>
                <c:pt idx="1">
                  <c:v>4.2857142857142847</c:v>
                </c:pt>
                <c:pt idx="2">
                  <c:v>23.928571428571427</c:v>
                </c:pt>
                <c:pt idx="3">
                  <c:v>0.2857142857142857</c:v>
                </c:pt>
                <c:pt idx="4">
                  <c:v>0</c:v>
                </c:pt>
                <c:pt idx="5">
                  <c:v>0</c:v>
                </c:pt>
                <c:pt idx="6">
                  <c:v>55.428571428571423</c:v>
                </c:pt>
                <c:pt idx="7">
                  <c:v>2.714285714285714</c:v>
                </c:pt>
                <c:pt idx="8">
                  <c:v>0.14285714285714285</c:v>
                </c:pt>
                <c:pt idx="9">
                  <c:v>1.2857142857142858</c:v>
                </c:pt>
                <c:pt idx="10">
                  <c:v>1194.6428571428569</c:v>
                </c:pt>
                <c:pt idx="11">
                  <c:v>1.857142857142857</c:v>
                </c:pt>
                <c:pt idx="12">
                  <c:v>103.85714285714286</c:v>
                </c:pt>
                <c:pt idx="13">
                  <c:v>1298.4999999999998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5-4849-83F8-EE4E523E55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Suam-Bukwo-2Dir'!$S$9:$AF$9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Suam-Bukwo-2Dir'!$S$42:$AF$42</c:f>
              <c:numCache>
                <c:formatCode>0.000</c:formatCode>
                <c:ptCount val="14"/>
                <c:pt idx="0">
                  <c:v>1.4772727272727273</c:v>
                </c:pt>
                <c:pt idx="1">
                  <c:v>1.3043478260869565</c:v>
                </c:pt>
                <c:pt idx="2">
                  <c:v>1.4565217391304348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1.4809160305343512</c:v>
                </c:pt>
                <c:pt idx="7">
                  <c:v>1.5833333333333335</c:v>
                </c:pt>
                <c:pt idx="8">
                  <c:v>1</c:v>
                </c:pt>
                <c:pt idx="9">
                  <c:v>1</c:v>
                </c:pt>
                <c:pt idx="10">
                  <c:v>1.2455317247542448</c:v>
                </c:pt>
                <c:pt idx="11">
                  <c:v>1</c:v>
                </c:pt>
                <c:pt idx="12">
                  <c:v>1.445328031809145</c:v>
                </c:pt>
                <c:pt idx="13">
                  <c:v>1.2594568380213385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0-4E4C-BCDC-AF6EE60B85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Suam-Bukwo-2Dir'!$AE$9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Suam-Bukwo-2Dir'!$R$10:$R$33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Suam-Bukwo-2Dir'!$AE$10:$AE$33</c:f>
              <c:numCache>
                <c:formatCode>0</c:formatCode>
                <c:ptCount val="24"/>
                <c:pt idx="0">
                  <c:v>1.9999999999999998</c:v>
                </c:pt>
                <c:pt idx="1">
                  <c:v>5.1428571428571423</c:v>
                </c:pt>
                <c:pt idx="2">
                  <c:v>4.9999999999999991</c:v>
                </c:pt>
                <c:pt idx="3">
                  <c:v>6</c:v>
                </c:pt>
                <c:pt idx="4">
                  <c:v>5.8571428571428577</c:v>
                </c:pt>
                <c:pt idx="5">
                  <c:v>9.428571428571427</c:v>
                </c:pt>
                <c:pt idx="6">
                  <c:v>5.2857142857142847</c:v>
                </c:pt>
                <c:pt idx="7">
                  <c:v>6.5714285714285712</c:v>
                </c:pt>
                <c:pt idx="8">
                  <c:v>6.9999999999999991</c:v>
                </c:pt>
                <c:pt idx="9">
                  <c:v>5.7142857142857135</c:v>
                </c:pt>
                <c:pt idx="10">
                  <c:v>6</c:v>
                </c:pt>
                <c:pt idx="11">
                  <c:v>7.8571428571428577</c:v>
                </c:pt>
                <c:pt idx="12">
                  <c:v>8</c:v>
                </c:pt>
                <c:pt idx="13">
                  <c:v>5.5</c:v>
                </c:pt>
                <c:pt idx="14">
                  <c:v>6</c:v>
                </c:pt>
                <c:pt idx="15">
                  <c:v>2.5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4</c:v>
                </c:pt>
                <c:pt idx="23">
                  <c:v>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DE-450A-9D4A-E946CA80E4D6}"/>
            </c:ext>
          </c:extLst>
        </c:ser>
        <c:ser>
          <c:idx val="1"/>
          <c:order val="1"/>
          <c:tx>
            <c:strRef>
              <c:f>'Avg Week Suam-Bukwo-2Dir'!$AF$9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Suam-Bukwo-2Dir'!$R$10:$R$33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Suam-Bukwo-2Dir'!$AF$10:$AF$33</c:f>
              <c:numCache>
                <c:formatCode>0</c:formatCode>
                <c:ptCount val="24"/>
                <c:pt idx="0">
                  <c:v>29.428571428571431</c:v>
                </c:pt>
                <c:pt idx="1">
                  <c:v>50.142857142857139</c:v>
                </c:pt>
                <c:pt idx="2">
                  <c:v>79.428571428571416</c:v>
                </c:pt>
                <c:pt idx="3">
                  <c:v>113.57142857142857</c:v>
                </c:pt>
                <c:pt idx="4">
                  <c:v>112.42857142857142</c:v>
                </c:pt>
                <c:pt idx="5">
                  <c:v>112.57142857142856</c:v>
                </c:pt>
                <c:pt idx="6">
                  <c:v>94.142857142857125</c:v>
                </c:pt>
                <c:pt idx="7">
                  <c:v>98.428571428571431</c:v>
                </c:pt>
                <c:pt idx="8">
                  <c:v>81.285714285714278</c:v>
                </c:pt>
                <c:pt idx="9">
                  <c:v>87.428571428571431</c:v>
                </c:pt>
                <c:pt idx="10">
                  <c:v>82.714285714285722</c:v>
                </c:pt>
                <c:pt idx="11">
                  <c:v>89.428571428571431</c:v>
                </c:pt>
                <c:pt idx="12">
                  <c:v>60.5</c:v>
                </c:pt>
                <c:pt idx="13">
                  <c:v>54.5</c:v>
                </c:pt>
                <c:pt idx="14">
                  <c:v>61.5</c:v>
                </c:pt>
                <c:pt idx="15">
                  <c:v>47</c:v>
                </c:pt>
                <c:pt idx="16">
                  <c:v>18</c:v>
                </c:pt>
                <c:pt idx="17">
                  <c:v>3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  <c:pt idx="21">
                  <c:v>1.5</c:v>
                </c:pt>
                <c:pt idx="22">
                  <c:v>9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DE-450A-9D4A-E946CA80E4D6}"/>
            </c:ext>
          </c:extLst>
        </c:ser>
        <c:ser>
          <c:idx val="5"/>
          <c:order val="2"/>
          <c:tx>
            <c:strRef>
              <c:f>'Avg Week Suam-Bukwo-2Dir'!$AC$9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Suam-Bukwo-2Dir'!$R$10:$R$33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Suam-Bukwo-2Dir'!$AC$10:$AC$33</c:f>
              <c:numCache>
                <c:formatCode>0</c:formatCode>
                <c:ptCount val="24"/>
                <c:pt idx="0">
                  <c:v>27.428571428571431</c:v>
                </c:pt>
                <c:pt idx="1">
                  <c:v>45</c:v>
                </c:pt>
                <c:pt idx="2">
                  <c:v>74.428571428571431</c:v>
                </c:pt>
                <c:pt idx="3">
                  <c:v>107.57142857142858</c:v>
                </c:pt>
                <c:pt idx="4">
                  <c:v>106.57142857142857</c:v>
                </c:pt>
                <c:pt idx="5">
                  <c:v>103.14285714285714</c:v>
                </c:pt>
                <c:pt idx="6">
                  <c:v>88.857142857142861</c:v>
                </c:pt>
                <c:pt idx="7">
                  <c:v>91.857142857142861</c:v>
                </c:pt>
                <c:pt idx="8">
                  <c:v>74.285714285714278</c:v>
                </c:pt>
                <c:pt idx="9">
                  <c:v>81.714285714285708</c:v>
                </c:pt>
                <c:pt idx="10">
                  <c:v>76.714285714285722</c:v>
                </c:pt>
                <c:pt idx="11">
                  <c:v>81.571428571428569</c:v>
                </c:pt>
                <c:pt idx="12">
                  <c:v>52.5</c:v>
                </c:pt>
                <c:pt idx="13">
                  <c:v>49</c:v>
                </c:pt>
                <c:pt idx="14">
                  <c:v>55.5</c:v>
                </c:pt>
                <c:pt idx="15">
                  <c:v>44.5</c:v>
                </c:pt>
                <c:pt idx="16">
                  <c:v>16</c:v>
                </c:pt>
                <c:pt idx="17">
                  <c:v>3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E-450A-9D4A-E946CA80E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ax val="250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1.xml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27</xdr:col>
      <xdr:colOff>698500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15875</xdr:colOff>
      <xdr:row>58</xdr:row>
      <xdr:rowOff>279400</xdr:rowOff>
    </xdr:from>
    <xdr:to>
      <xdr:col>30</xdr:col>
      <xdr:colOff>63500</xdr:colOff>
      <xdr:row>73</xdr:row>
      <xdr:rowOff>263525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15875</xdr:rowOff>
    </xdr:from>
    <xdr:to>
      <xdr:col>24</xdr:col>
      <xdr:colOff>15875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6350</xdr:rowOff>
    </xdr:from>
    <xdr:to>
      <xdr:col>27</xdr:col>
      <xdr:colOff>698499</xdr:colOff>
      <xdr:row>57</xdr:row>
      <xdr:rowOff>269876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23</xdr:col>
      <xdr:colOff>698500</xdr:colOff>
      <xdr:row>58</xdr:row>
      <xdr:rowOff>279400</xdr:rowOff>
    </xdr:from>
    <xdr:to>
      <xdr:col>30</xdr:col>
      <xdr:colOff>68518</xdr:colOff>
      <xdr:row>73</xdr:row>
      <xdr:rowOff>263525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23</xdr:col>
      <xdr:colOff>682625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74</xdr:row>
      <xdr:rowOff>9525</xdr:rowOff>
    </xdr:from>
    <xdr:to>
      <xdr:col>24</xdr:col>
      <xdr:colOff>301625</xdr:colOff>
      <xdr:row>90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59</xdr:row>
      <xdr:rowOff>0</xdr:rowOff>
    </xdr:from>
    <xdr:to>
      <xdr:col>24</xdr:col>
      <xdr:colOff>317500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333376</xdr:colOff>
      <xdr:row>59</xdr:row>
      <xdr:rowOff>17463</xdr:rowOff>
    </xdr:from>
    <xdr:to>
      <xdr:col>30</xdr:col>
      <xdr:colOff>698500</xdr:colOff>
      <xdr:row>74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898D5E9-DAC2-466A-9139-6CA484CE0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285751</xdr:colOff>
      <xdr:row>74</xdr:row>
      <xdr:rowOff>17462</xdr:rowOff>
    </xdr:from>
    <xdr:to>
      <xdr:col>30</xdr:col>
      <xdr:colOff>698501</xdr:colOff>
      <xdr:row>91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B5E8E97-7544-4E7D-B80A-F235DAEDF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15875</xdr:colOff>
      <xdr:row>43</xdr:row>
      <xdr:rowOff>15875</xdr:rowOff>
    </xdr:from>
    <xdr:to>
      <xdr:col>31</xdr:col>
      <xdr:colOff>15875</xdr:colOff>
      <xdr:row>58</xdr:row>
      <xdr:rowOff>15875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4458712-521E-4C56-B234-085AC694C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2" zoomScaleSheetLayoutView="62" workbookViewId="0">
      <selection activeCell="S5" sqref="S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1" t="s">
        <v>96</v>
      </c>
      <c r="C3" s="64" t="s">
        <v>182</v>
      </c>
      <c r="D3" s="64"/>
      <c r="E3" s="64"/>
      <c r="F3" s="64"/>
      <c r="G3" s="64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9" t="s">
        <v>166</v>
      </c>
      <c r="H5" s="60"/>
      <c r="I5" s="14"/>
      <c r="J5" s="2" t="s">
        <v>5</v>
      </c>
      <c r="K5" s="59" t="s">
        <v>168</v>
      </c>
      <c r="L5" s="60"/>
      <c r="M5" s="10"/>
      <c r="N5" s="10"/>
      <c r="O5" s="3"/>
      <c r="P5" s="3"/>
    </row>
    <row r="6" spans="2:32" ht="23.25" customHeight="1" x14ac:dyDescent="0.25">
      <c r="C6" s="2" t="s">
        <v>4</v>
      </c>
      <c r="D6" s="59" t="s">
        <v>164</v>
      </c>
      <c r="E6" s="60"/>
      <c r="F6" s="2" t="s">
        <v>2</v>
      </c>
      <c r="G6" s="59" t="s">
        <v>165</v>
      </c>
      <c r="H6" s="60"/>
      <c r="J6" s="2" t="s">
        <v>21</v>
      </c>
      <c r="K6" s="59" t="s">
        <v>167</v>
      </c>
      <c r="L6" s="60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2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15</v>
      </c>
      <c r="AD10" s="17">
        <f t="shared" si="2"/>
        <v>0</v>
      </c>
      <c r="AE10" s="31">
        <f t="shared" si="2"/>
        <v>5</v>
      </c>
      <c r="AF10" s="31">
        <f t="shared" si="2"/>
        <v>20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6</v>
      </c>
      <c r="AF11" s="31">
        <f t="shared" si="3"/>
        <v>31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0</v>
      </c>
      <c r="P12" s="15">
        <f t="shared" si="1"/>
        <v>6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52</v>
      </c>
      <c r="AD12" s="17">
        <f t="shared" si="4"/>
        <v>0</v>
      </c>
      <c r="AE12" s="31">
        <f t="shared" si="4"/>
        <v>1</v>
      </c>
      <c r="AF12" s="31">
        <f t="shared" si="4"/>
        <v>53</v>
      </c>
    </row>
    <row r="13" spans="2:32" ht="23.1" customHeight="1" x14ac:dyDescent="0.25">
      <c r="B13" s="23" t="s">
        <v>40</v>
      </c>
      <c r="C13" s="50">
        <v>1</v>
      </c>
      <c r="D13" s="50">
        <v>1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4</v>
      </c>
      <c r="P13" s="15">
        <f t="shared" si="1"/>
        <v>8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69</v>
      </c>
      <c r="AD13" s="17">
        <f t="shared" si="5"/>
        <v>0</v>
      </c>
      <c r="AE13" s="31">
        <f t="shared" si="5"/>
        <v>3</v>
      </c>
      <c r="AF13" s="31">
        <f t="shared" si="5"/>
        <v>72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67</v>
      </c>
      <c r="AD14" s="17">
        <f t="shared" si="6"/>
        <v>0</v>
      </c>
      <c r="AE14" s="31">
        <f t="shared" si="6"/>
        <v>6</v>
      </c>
      <c r="AF14" s="31">
        <f t="shared" si="6"/>
        <v>73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0</v>
      </c>
      <c r="P15" s="15">
        <f t="shared" si="1"/>
        <v>5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61</v>
      </c>
      <c r="AD15" s="17">
        <f t="shared" si="7"/>
        <v>0</v>
      </c>
      <c r="AE15" s="31">
        <f t="shared" si="7"/>
        <v>5</v>
      </c>
      <c r="AF15" s="31">
        <f t="shared" si="7"/>
        <v>66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4</v>
      </c>
      <c r="P16" s="15">
        <f t="shared" si="1"/>
        <v>13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66</v>
      </c>
      <c r="AD16" s="17">
        <f t="shared" si="8"/>
        <v>0</v>
      </c>
      <c r="AE16" s="31">
        <f t="shared" si="8"/>
        <v>4</v>
      </c>
      <c r="AF16" s="31">
        <f t="shared" si="8"/>
        <v>70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2</v>
      </c>
      <c r="P17" s="15">
        <f t="shared" si="1"/>
        <v>10</v>
      </c>
      <c r="R17" s="1" t="s">
        <v>13</v>
      </c>
      <c r="S17" s="17">
        <f t="shared" ref="S17:AF17" si="9">SUM(C38:C41)</f>
        <v>0</v>
      </c>
      <c r="T17" s="17">
        <f t="shared" si="9"/>
        <v>3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57</v>
      </c>
      <c r="AD17" s="17">
        <f t="shared" si="9"/>
        <v>0</v>
      </c>
      <c r="AE17" s="31">
        <f t="shared" si="9"/>
        <v>4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1</v>
      </c>
      <c r="P18" s="15">
        <f t="shared" si="1"/>
        <v>13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38</v>
      </c>
      <c r="AD18" s="17">
        <f t="shared" si="10"/>
        <v>0</v>
      </c>
      <c r="AE18" s="31">
        <f t="shared" si="10"/>
        <v>3</v>
      </c>
      <c r="AF18" s="31">
        <f t="shared" si="10"/>
        <v>41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0</v>
      </c>
      <c r="P19" s="15">
        <f t="shared" si="1"/>
        <v>13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41</v>
      </c>
      <c r="AD19" s="17">
        <f t="shared" si="11"/>
        <v>0</v>
      </c>
      <c r="AE19" s="31">
        <f t="shared" si="11"/>
        <v>0</v>
      </c>
      <c r="AF19" s="31">
        <f t="shared" si="11"/>
        <v>41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0</v>
      </c>
      <c r="P20" s="15">
        <f t="shared" si="1"/>
        <v>10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52</v>
      </c>
      <c r="AD20" s="17">
        <f t="shared" si="12"/>
        <v>0</v>
      </c>
      <c r="AE20" s="31">
        <f t="shared" si="12"/>
        <v>2</v>
      </c>
      <c r="AF20" s="31">
        <f t="shared" si="12"/>
        <v>54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0</v>
      </c>
      <c r="P21" s="15">
        <f t="shared" si="1"/>
        <v>17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32</v>
      </c>
      <c r="AD21" s="17">
        <f t="shared" si="13"/>
        <v>0</v>
      </c>
      <c r="AE21" s="31">
        <f t="shared" si="13"/>
        <v>5</v>
      </c>
      <c r="AF21" s="31">
        <f t="shared" si="13"/>
        <v>37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1</v>
      </c>
      <c r="P22" s="15">
        <f t="shared" si="1"/>
        <v>21</v>
      </c>
      <c r="R22" s="38" t="s">
        <v>90</v>
      </c>
      <c r="S22" s="39">
        <f>MAX(S10:S12)</f>
        <v>2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52</v>
      </c>
      <c r="AD22" s="39">
        <f t="shared" si="14"/>
        <v>0</v>
      </c>
      <c r="AE22" s="40">
        <f t="shared" si="14"/>
        <v>6</v>
      </c>
      <c r="AF22" s="40">
        <f t="shared" si="14"/>
        <v>53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15</v>
      </c>
      <c r="N23" s="50">
        <v>0</v>
      </c>
      <c r="O23" s="15">
        <f t="shared" si="0"/>
        <v>1</v>
      </c>
      <c r="P23" s="15">
        <f t="shared" si="1"/>
        <v>16</v>
      </c>
      <c r="R23" s="38" t="s">
        <v>91</v>
      </c>
      <c r="S23" s="39">
        <f>MAX(S13:S18)</f>
        <v>0</v>
      </c>
      <c r="T23" s="39">
        <f t="shared" ref="T23:AF23" si="15">MAX(T13:T18)</f>
        <v>3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69</v>
      </c>
      <c r="AD23" s="39">
        <f t="shared" si="15"/>
        <v>0</v>
      </c>
      <c r="AE23" s="40">
        <f t="shared" si="15"/>
        <v>6</v>
      </c>
      <c r="AF23" s="40">
        <f t="shared" si="15"/>
        <v>73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1</v>
      </c>
      <c r="P24" s="15">
        <f t="shared" si="1"/>
        <v>13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52</v>
      </c>
      <c r="AD24" s="39">
        <f t="shared" si="16"/>
        <v>0</v>
      </c>
      <c r="AE24" s="40">
        <f t="shared" si="16"/>
        <v>5</v>
      </c>
      <c r="AF24" s="40">
        <f t="shared" si="16"/>
        <v>54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22</v>
      </c>
      <c r="N25" s="50">
        <v>0</v>
      </c>
      <c r="O25" s="15">
        <f t="shared" si="0"/>
        <v>0</v>
      </c>
      <c r="P25" s="15">
        <f t="shared" si="1"/>
        <v>22</v>
      </c>
      <c r="R25" s="37" t="s">
        <v>85</v>
      </c>
      <c r="S25" s="35">
        <f t="shared" ref="S25:AF25" si="17">SUM(S10:S12)</f>
        <v>2</v>
      </c>
      <c r="T25" s="16">
        <f t="shared" si="17"/>
        <v>2</v>
      </c>
      <c r="U25" s="16">
        <f t="shared" si="17"/>
        <v>4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92</v>
      </c>
      <c r="AD25" s="16">
        <f t="shared" si="17"/>
        <v>0</v>
      </c>
      <c r="AE25" s="32">
        <f t="shared" si="17"/>
        <v>12</v>
      </c>
      <c r="AF25" s="32">
        <f t="shared" si="17"/>
        <v>104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5">
        <f t="shared" si="0"/>
        <v>2</v>
      </c>
      <c r="P26" s="15">
        <f t="shared" si="1"/>
        <v>21</v>
      </c>
      <c r="R26" s="28" t="s">
        <v>86</v>
      </c>
      <c r="S26" s="16">
        <f t="shared" ref="S26:AF26" si="18">SUM(S13:S18)</f>
        <v>0</v>
      </c>
      <c r="T26" s="16">
        <f t="shared" si="18"/>
        <v>5</v>
      </c>
      <c r="U26" s="16">
        <f t="shared" si="18"/>
        <v>5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14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358</v>
      </c>
      <c r="AD26" s="16">
        <f t="shared" si="18"/>
        <v>0</v>
      </c>
      <c r="AE26" s="32">
        <f t="shared" si="18"/>
        <v>25</v>
      </c>
      <c r="AF26" s="32">
        <f t="shared" si="18"/>
        <v>383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21</v>
      </c>
      <c r="N27" s="50">
        <v>0</v>
      </c>
      <c r="O27" s="15">
        <f t="shared" si="0"/>
        <v>0</v>
      </c>
      <c r="P27" s="15">
        <f t="shared" si="1"/>
        <v>21</v>
      </c>
      <c r="R27" s="29" t="s">
        <v>87</v>
      </c>
      <c r="S27" s="16">
        <f t="shared" ref="S27:AF27" si="19">SUM(S19:S21)</f>
        <v>1</v>
      </c>
      <c r="T27" s="16">
        <f t="shared" si="19"/>
        <v>0</v>
      </c>
      <c r="U27" s="16">
        <f t="shared" si="19"/>
        <v>4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2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125</v>
      </c>
      <c r="AD27" s="16">
        <f t="shared" si="19"/>
        <v>0</v>
      </c>
      <c r="AE27" s="32">
        <f t="shared" si="19"/>
        <v>7</v>
      </c>
      <c r="AF27" s="32">
        <f t="shared" si="19"/>
        <v>132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0</v>
      </c>
      <c r="P28" s="15">
        <f t="shared" si="1"/>
        <v>14</v>
      </c>
      <c r="R28" s="5" t="s">
        <v>17</v>
      </c>
      <c r="S28" s="16">
        <f t="shared" ref="S28:AF28" si="20">SUM(S10:S21)</f>
        <v>3</v>
      </c>
      <c r="T28" s="16">
        <f t="shared" si="20"/>
        <v>7</v>
      </c>
      <c r="U28" s="16">
        <f t="shared" si="20"/>
        <v>13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20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575</v>
      </c>
      <c r="AD28" s="16">
        <f t="shared" si="20"/>
        <v>0</v>
      </c>
      <c r="AE28" s="32">
        <f t="shared" si="20"/>
        <v>44</v>
      </c>
      <c r="AF28" s="32">
        <f t="shared" si="20"/>
        <v>619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4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15</v>
      </c>
      <c r="N30" s="50">
        <v>0</v>
      </c>
      <c r="O30" s="15">
        <f t="shared" si="0"/>
        <v>3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0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2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0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3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21</v>
      </c>
      <c r="N35" s="50">
        <v>0</v>
      </c>
      <c r="O35" s="15">
        <f t="shared" si="0"/>
        <v>0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1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0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0</v>
      </c>
      <c r="D38" s="50">
        <v>2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3</v>
      </c>
      <c r="P38" s="15">
        <f t="shared" si="1"/>
        <v>21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0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1</v>
      </c>
      <c r="P40" s="15">
        <f t="shared" si="1"/>
        <v>11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19</v>
      </c>
      <c r="N41" s="50">
        <v>0</v>
      </c>
      <c r="O41" s="15">
        <f t="shared" si="0"/>
        <v>0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0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3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0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0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16</v>
      </c>
      <c r="N46" s="50">
        <v>0</v>
      </c>
      <c r="O46" s="15">
        <f t="shared" si="0"/>
        <v>0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0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0</v>
      </c>
      <c r="P48" s="15">
        <f t="shared" si="1"/>
        <v>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0</v>
      </c>
      <c r="P49" s="15">
        <f t="shared" si="1"/>
        <v>9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0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1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1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0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1</v>
      </c>
      <c r="P54" s="15">
        <f t="shared" si="1"/>
        <v>10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0</v>
      </c>
      <c r="P55" s="15">
        <f t="shared" si="1"/>
        <v>6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0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4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</v>
      </c>
      <c r="D58" s="16">
        <f t="shared" si="21"/>
        <v>7</v>
      </c>
      <c r="E58" s="16">
        <f t="shared" si="21"/>
        <v>13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20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575</v>
      </c>
      <c r="N58" s="16">
        <f t="shared" si="21"/>
        <v>0</v>
      </c>
      <c r="O58" s="16">
        <f t="shared" si="21"/>
        <v>44</v>
      </c>
      <c r="P58" s="16">
        <f t="shared" si="21"/>
        <v>619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4.8465266558966073E-3</v>
      </c>
      <c r="D59" s="43">
        <f t="shared" si="22"/>
        <v>1.1308562197092083E-2</v>
      </c>
      <c r="E59" s="43">
        <f t="shared" si="22"/>
        <v>2.10016155088853E-2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3.2310177705977383E-2</v>
      </c>
      <c r="J59" s="43">
        <f t="shared" si="22"/>
        <v>1.6155088852988692E-3</v>
      </c>
      <c r="K59" s="43">
        <f t="shared" si="22"/>
        <v>0</v>
      </c>
      <c r="L59" s="43">
        <f t="shared" si="22"/>
        <v>0</v>
      </c>
      <c r="M59" s="43">
        <f t="shared" si="22"/>
        <v>0.92891760904684972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6.8181818181818177E-2</v>
      </c>
      <c r="D60" s="44">
        <f t="shared" ref="D60:N60" si="23">D58/$O$58</f>
        <v>0.15909090909090909</v>
      </c>
      <c r="E60" s="44">
        <f t="shared" si="23"/>
        <v>0.29545454545454547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0.45454545454545453</v>
      </c>
      <c r="J60" s="44">
        <f t="shared" si="23"/>
        <v>2.2727272727272728E-2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N58" sqref="N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">
        <v>177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'23.08 Suam- Bukwo'!D5</f>
        <v>23.08.19</v>
      </c>
      <c r="E5" s="3"/>
      <c r="F5" s="41" t="s">
        <v>1</v>
      </c>
      <c r="G5" s="65" t="str">
        <f>'23.08 Suam- Bukwo'!G5:H5</f>
        <v>KAMKAMBA</v>
      </c>
      <c r="H5" s="66"/>
      <c r="I5" s="14"/>
      <c r="J5" s="2" t="s">
        <v>5</v>
      </c>
      <c r="K5" s="65" t="s">
        <v>169</v>
      </c>
      <c r="L5" s="66"/>
      <c r="M5" s="10"/>
      <c r="N5" s="10"/>
      <c r="O5" s="3"/>
      <c r="P5" s="3"/>
    </row>
    <row r="6" spans="2:32" ht="23.25" customHeight="1" x14ac:dyDescent="0.25">
      <c r="C6" s="2" t="s">
        <v>4</v>
      </c>
      <c r="D6" s="59" t="s">
        <v>165</v>
      </c>
      <c r="E6" s="60"/>
      <c r="F6" s="2" t="s">
        <v>2</v>
      </c>
      <c r="G6" s="59" t="s">
        <v>164</v>
      </c>
      <c r="H6" s="60"/>
      <c r="J6" s="2" t="s">
        <v>21</v>
      </c>
      <c r="K6" s="65" t="str">
        <f>'23.08 Suam- Bukwo'!K6:L6</f>
        <v>IVAN</v>
      </c>
      <c r="L6" s="6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19</v>
      </c>
      <c r="AD10" s="17">
        <f t="shared" si="2"/>
        <v>0</v>
      </c>
      <c r="AE10" s="31">
        <f t="shared" si="2"/>
        <v>2</v>
      </c>
      <c r="AF10" s="31">
        <f t="shared" si="2"/>
        <v>21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18</v>
      </c>
      <c r="AD11" s="17">
        <f t="shared" si="3"/>
        <v>0</v>
      </c>
      <c r="AE11" s="31">
        <f t="shared" si="3"/>
        <v>1</v>
      </c>
      <c r="AF11" s="31">
        <f t="shared" si="3"/>
        <v>19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0</v>
      </c>
      <c r="P12" s="15">
        <f t="shared" si="1"/>
        <v>6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22</v>
      </c>
      <c r="AD12" s="17">
        <f t="shared" si="4"/>
        <v>0</v>
      </c>
      <c r="AE12" s="31">
        <f t="shared" si="4"/>
        <v>1</v>
      </c>
      <c r="AF12" s="31">
        <f t="shared" si="4"/>
        <v>23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1</v>
      </c>
      <c r="P13" s="15">
        <f t="shared" si="1"/>
        <v>5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23</v>
      </c>
      <c r="AD13" s="17">
        <f t="shared" si="5"/>
        <v>0</v>
      </c>
      <c r="AE13" s="31">
        <f t="shared" si="5"/>
        <v>2</v>
      </c>
      <c r="AF13" s="31">
        <f t="shared" si="5"/>
        <v>25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0</v>
      </c>
      <c r="P14" s="15">
        <f t="shared" si="1"/>
        <v>5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45</v>
      </c>
      <c r="AD14" s="17">
        <f t="shared" si="6"/>
        <v>0</v>
      </c>
      <c r="AE14" s="31">
        <f t="shared" si="6"/>
        <v>7</v>
      </c>
      <c r="AF14" s="31">
        <f t="shared" si="6"/>
        <v>52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</v>
      </c>
      <c r="P15" s="15">
        <f t="shared" si="1"/>
        <v>9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31</v>
      </c>
      <c r="AD15" s="17">
        <f t="shared" si="7"/>
        <v>0</v>
      </c>
      <c r="AE15" s="31">
        <f t="shared" si="7"/>
        <v>2</v>
      </c>
      <c r="AF15" s="31">
        <f t="shared" si="7"/>
        <v>33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0</v>
      </c>
      <c r="P16" s="15">
        <f t="shared" si="1"/>
        <v>4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54</v>
      </c>
      <c r="AD16" s="17">
        <f t="shared" si="8"/>
        <v>0</v>
      </c>
      <c r="AE16" s="31">
        <f t="shared" si="8"/>
        <v>6</v>
      </c>
      <c r="AF16" s="31">
        <f t="shared" si="8"/>
        <v>60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</v>
      </c>
      <c r="N17" s="50">
        <v>0</v>
      </c>
      <c r="O17" s="15">
        <f t="shared" si="0"/>
        <v>0</v>
      </c>
      <c r="P17" s="15">
        <f t="shared" si="1"/>
        <v>1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34</v>
      </c>
      <c r="AD17" s="17">
        <f t="shared" si="9"/>
        <v>0</v>
      </c>
      <c r="AE17" s="31">
        <f t="shared" si="9"/>
        <v>1</v>
      </c>
      <c r="AF17" s="31">
        <f t="shared" si="9"/>
        <v>35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1</v>
      </c>
      <c r="P18" s="15">
        <f t="shared" si="1"/>
        <v>6</v>
      </c>
      <c r="R18" s="1" t="s">
        <v>14</v>
      </c>
      <c r="S18" s="17">
        <f t="shared" ref="S18:AF18" si="10">SUM(C42:C45)</f>
        <v>0</v>
      </c>
      <c r="T18" s="17">
        <f t="shared" si="10"/>
        <v>1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3</v>
      </c>
      <c r="AF18" s="31">
        <f t="shared" si="10"/>
        <v>46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0</v>
      </c>
      <c r="P19" s="15">
        <f t="shared" si="1"/>
        <v>4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39</v>
      </c>
      <c r="AD19" s="17">
        <f t="shared" si="11"/>
        <v>0</v>
      </c>
      <c r="AE19" s="31">
        <f t="shared" si="11"/>
        <v>4</v>
      </c>
      <c r="AF19" s="31">
        <f t="shared" si="11"/>
        <v>43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0</v>
      </c>
      <c r="P20" s="15">
        <f t="shared" si="1"/>
        <v>5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0</v>
      </c>
      <c r="AF20" s="31">
        <f t="shared" si="12"/>
        <v>33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0</v>
      </c>
      <c r="P21" s="15">
        <f t="shared" si="1"/>
        <v>8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39</v>
      </c>
      <c r="AD21" s="17">
        <f t="shared" si="13"/>
        <v>0</v>
      </c>
      <c r="AE21" s="31">
        <f t="shared" si="13"/>
        <v>4</v>
      </c>
      <c r="AF21" s="31">
        <f t="shared" si="13"/>
        <v>43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0</v>
      </c>
      <c r="P22" s="15">
        <f t="shared" si="1"/>
        <v>5</v>
      </c>
      <c r="R22" s="38" t="s">
        <v>90</v>
      </c>
      <c r="S22" s="39">
        <f>MAX(S10:S12)</f>
        <v>0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22</v>
      </c>
      <c r="AD22" s="39">
        <f t="shared" si="14"/>
        <v>0</v>
      </c>
      <c r="AE22" s="40">
        <f t="shared" si="14"/>
        <v>2</v>
      </c>
      <c r="AF22" s="40">
        <f t="shared" si="14"/>
        <v>23</v>
      </c>
    </row>
    <row r="23" spans="2:32" ht="23.1" customHeight="1" x14ac:dyDescent="0.25">
      <c r="B23" s="23" t="s">
        <v>50</v>
      </c>
      <c r="C23" s="51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4</v>
      </c>
      <c r="N23" s="50">
        <v>0</v>
      </c>
      <c r="O23" s="15">
        <f t="shared" si="0"/>
        <v>2</v>
      </c>
      <c r="P23" s="15">
        <f t="shared" si="1"/>
        <v>6</v>
      </c>
      <c r="R23" s="38" t="s">
        <v>91</v>
      </c>
      <c r="S23" s="39">
        <f>MAX(S13:S18)</f>
        <v>3</v>
      </c>
      <c r="T23" s="39">
        <f t="shared" ref="T23:AF23" si="15">MAX(T13:T18)</f>
        <v>1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54</v>
      </c>
      <c r="AD23" s="39">
        <f t="shared" si="15"/>
        <v>0</v>
      </c>
      <c r="AE23" s="40">
        <f t="shared" si="15"/>
        <v>7</v>
      </c>
      <c r="AF23" s="40">
        <f t="shared" si="15"/>
        <v>60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0</v>
      </c>
      <c r="P24" s="15">
        <f t="shared" si="1"/>
        <v>6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39</v>
      </c>
      <c r="AD24" s="39">
        <f t="shared" si="16"/>
        <v>0</v>
      </c>
      <c r="AE24" s="40">
        <f t="shared" si="16"/>
        <v>4</v>
      </c>
      <c r="AF24" s="40">
        <f t="shared" si="16"/>
        <v>43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0</v>
      </c>
      <c r="P25" s="15">
        <f t="shared" si="1"/>
        <v>8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59</v>
      </c>
      <c r="AD25" s="16">
        <f t="shared" si="17"/>
        <v>0</v>
      </c>
      <c r="AE25" s="32">
        <f t="shared" si="17"/>
        <v>4</v>
      </c>
      <c r="AF25" s="32">
        <f t="shared" si="17"/>
        <v>63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0</v>
      </c>
      <c r="P26" s="15">
        <f t="shared" si="1"/>
        <v>9</v>
      </c>
      <c r="R26" s="28" t="s">
        <v>86</v>
      </c>
      <c r="S26" s="16">
        <f t="shared" ref="S26:AF26" si="18">SUM(S13:S18)</f>
        <v>4</v>
      </c>
      <c r="T26" s="16">
        <f t="shared" si="18"/>
        <v>1</v>
      </c>
      <c r="U26" s="16">
        <f t="shared" si="18"/>
        <v>4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12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230</v>
      </c>
      <c r="AD26" s="16">
        <f t="shared" si="18"/>
        <v>0</v>
      </c>
      <c r="AE26" s="32">
        <f t="shared" si="18"/>
        <v>21</v>
      </c>
      <c r="AF26" s="32">
        <f t="shared" si="18"/>
        <v>251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2</v>
      </c>
      <c r="P27" s="15">
        <f t="shared" si="1"/>
        <v>20</v>
      </c>
      <c r="R27" s="29" t="s">
        <v>87</v>
      </c>
      <c r="S27" s="16">
        <f t="shared" ref="S27:AF27" si="19">SUM(S19:S21)</f>
        <v>1</v>
      </c>
      <c r="T27" s="16">
        <f t="shared" si="19"/>
        <v>0</v>
      </c>
      <c r="U27" s="16">
        <f t="shared" si="19"/>
        <v>4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111</v>
      </c>
      <c r="AD27" s="16">
        <f t="shared" si="19"/>
        <v>0</v>
      </c>
      <c r="AE27" s="32">
        <f t="shared" si="19"/>
        <v>8</v>
      </c>
      <c r="AF27" s="32">
        <f t="shared" si="19"/>
        <v>119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2</v>
      </c>
      <c r="P28" s="15">
        <f t="shared" si="1"/>
        <v>10</v>
      </c>
      <c r="R28" s="5" t="s">
        <v>17</v>
      </c>
      <c r="S28" s="16">
        <f t="shared" ref="S28:AF28" si="20">SUM(S10:S21)</f>
        <v>5</v>
      </c>
      <c r="T28" s="16">
        <f t="shared" si="20"/>
        <v>3</v>
      </c>
      <c r="U28" s="16">
        <f t="shared" si="20"/>
        <v>9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16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400</v>
      </c>
      <c r="AD28" s="16">
        <f t="shared" si="20"/>
        <v>0</v>
      </c>
      <c r="AE28" s="32">
        <f t="shared" si="20"/>
        <v>33</v>
      </c>
      <c r="AF28" s="32">
        <f t="shared" si="20"/>
        <v>433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3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1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1</v>
      </c>
      <c r="P31" s="15">
        <f t="shared" si="1"/>
        <v>10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0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0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2</v>
      </c>
      <c r="P34" s="15">
        <f t="shared" si="1"/>
        <v>16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0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2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2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0</v>
      </c>
      <c r="P38" s="15">
        <f t="shared" si="1"/>
        <v>6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0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0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1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2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0</v>
      </c>
      <c r="P43" s="15">
        <f t="shared" si="1"/>
        <v>8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0</v>
      </c>
      <c r="P44" s="15">
        <f t="shared" si="1"/>
        <v>9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1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0</v>
      </c>
      <c r="P46" s="15">
        <f t="shared" si="1"/>
        <v>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2</v>
      </c>
      <c r="P47" s="15">
        <f t="shared" si="1"/>
        <v>11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1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1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0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0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0</v>
      </c>
      <c r="P52" s="15">
        <f t="shared" si="1"/>
        <v>7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</v>
      </c>
      <c r="N53" s="50">
        <v>0</v>
      </c>
      <c r="O53" s="15">
        <f t="shared" si="0"/>
        <v>0</v>
      </c>
      <c r="P53" s="15">
        <f t="shared" si="1"/>
        <v>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0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3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6</v>
      </c>
      <c r="N56" s="50">
        <v>0</v>
      </c>
      <c r="O56" s="15">
        <f t="shared" si="0"/>
        <v>1</v>
      </c>
      <c r="P56" s="15">
        <f t="shared" si="1"/>
        <v>7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0</v>
      </c>
      <c r="P57" s="15">
        <f t="shared" si="1"/>
        <v>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</v>
      </c>
      <c r="D58" s="16">
        <f t="shared" si="21"/>
        <v>3</v>
      </c>
      <c r="E58" s="16">
        <f t="shared" si="21"/>
        <v>9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16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400</v>
      </c>
      <c r="N58" s="16">
        <f t="shared" si="21"/>
        <v>0</v>
      </c>
      <c r="O58" s="16">
        <f t="shared" si="21"/>
        <v>33</v>
      </c>
      <c r="P58" s="16">
        <f t="shared" si="21"/>
        <v>433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1.1547344110854504E-2</v>
      </c>
      <c r="D59" s="43">
        <f t="shared" si="22"/>
        <v>6.9284064665127024E-3</v>
      </c>
      <c r="E59" s="43">
        <f t="shared" si="22"/>
        <v>2.0785219399538105E-2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3.695150115473441E-2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0.92378752886836024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0.15151515151515152</v>
      </c>
      <c r="D60" s="44">
        <f t="shared" ref="D60:N60" si="23">D58/$O$58</f>
        <v>9.0909090909090912E-2</v>
      </c>
      <c r="E60" s="44">
        <f t="shared" si="23"/>
        <v>0.27272727272727271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0.48484848484848486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B40" zoomScale="60" workbookViewId="0">
      <selection activeCell="E115" sqref="E1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8" t="str">
        <f>'28.08 Bukwo-Suam'!G5:H5</f>
        <v>KAMKAMBA</v>
      </c>
      <c r="H5" s="69"/>
      <c r="I5" s="14"/>
      <c r="J5" s="2" t="s">
        <v>5</v>
      </c>
      <c r="K5" s="68" t="str">
        <f>'28.08 Bukwo-Suam'!K5:L5</f>
        <v>NORMAN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Suam- Bukwo'!D6:E6</f>
        <v>SUAM</v>
      </c>
      <c r="E6" s="69"/>
      <c r="F6" s="2" t="s">
        <v>2</v>
      </c>
      <c r="G6" s="68" t="str">
        <f>'23.08 Suam- Bukwo'!G6:H6</f>
        <v>BUKWO</v>
      </c>
      <c r="H6" s="69"/>
      <c r="J6" s="2" t="s">
        <v>21</v>
      </c>
      <c r="K6" s="68" t="str">
        <f>'28.08 Bukwo-Suam'!K6:L6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/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3</v>
      </c>
      <c r="AF10" s="31">
        <f t="shared" si="2"/>
        <v>21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32</v>
      </c>
      <c r="AD11" s="17">
        <f t="shared" si="3"/>
        <v>0</v>
      </c>
      <c r="AE11" s="31">
        <f t="shared" si="3"/>
        <v>1</v>
      </c>
      <c r="AF11" s="31">
        <f t="shared" si="3"/>
        <v>33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0</v>
      </c>
      <c r="P12" s="15">
        <f t="shared" si="1"/>
        <v>6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46</v>
      </c>
      <c r="AD12" s="17">
        <f t="shared" si="4"/>
        <v>1</v>
      </c>
      <c r="AE12" s="31">
        <f t="shared" si="4"/>
        <v>6</v>
      </c>
      <c r="AF12" s="31">
        <f t="shared" si="4"/>
        <v>52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2</v>
      </c>
      <c r="P13" s="15">
        <f t="shared" si="1"/>
        <v>10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57</v>
      </c>
      <c r="AD13" s="17">
        <f t="shared" si="5"/>
        <v>0</v>
      </c>
      <c r="AE13" s="31">
        <f t="shared" si="5"/>
        <v>2</v>
      </c>
      <c r="AF13" s="31">
        <f t="shared" si="5"/>
        <v>59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0</v>
      </c>
      <c r="P14" s="15">
        <f t="shared" si="1"/>
        <v>5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46</v>
      </c>
      <c r="AD14" s="17">
        <f t="shared" si="6"/>
        <v>0</v>
      </c>
      <c r="AE14" s="31">
        <f t="shared" si="6"/>
        <v>4</v>
      </c>
      <c r="AF14" s="31">
        <f t="shared" si="6"/>
        <v>50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0</v>
      </c>
      <c r="P15" s="15">
        <f t="shared" si="1"/>
        <v>9</v>
      </c>
      <c r="R15" s="1" t="s">
        <v>11</v>
      </c>
      <c r="S15" s="17">
        <f t="shared" ref="S15:AF15" si="7">SUM(C30:C33)</f>
        <v>0</v>
      </c>
      <c r="T15" s="17">
        <f t="shared" si="7"/>
        <v>2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48</v>
      </c>
      <c r="AD15" s="17">
        <f t="shared" si="7"/>
        <v>0</v>
      </c>
      <c r="AE15" s="31">
        <f t="shared" si="7"/>
        <v>3</v>
      </c>
      <c r="AF15" s="31">
        <f t="shared" si="7"/>
        <v>50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0</v>
      </c>
      <c r="P16" s="15">
        <f t="shared" si="1"/>
        <v>10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46</v>
      </c>
      <c r="AD16" s="17">
        <f t="shared" si="8"/>
        <v>0</v>
      </c>
      <c r="AE16" s="31">
        <f t="shared" si="8"/>
        <v>2</v>
      </c>
      <c r="AF16" s="31">
        <f t="shared" si="8"/>
        <v>48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1</v>
      </c>
      <c r="P17" s="15">
        <f t="shared" si="1"/>
        <v>9</v>
      </c>
      <c r="R17" s="1" t="s">
        <v>13</v>
      </c>
      <c r="S17" s="17">
        <f t="shared" ref="S17:AF17" si="9">SUM(C38:C41)</f>
        <v>0</v>
      </c>
      <c r="T17" s="17">
        <f t="shared" si="9"/>
        <v>2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47</v>
      </c>
      <c r="AD17" s="17">
        <f t="shared" si="9"/>
        <v>0</v>
      </c>
      <c r="AE17" s="31">
        <f t="shared" si="9"/>
        <v>8</v>
      </c>
      <c r="AF17" s="31">
        <f t="shared" si="9"/>
        <v>55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</v>
      </c>
      <c r="P18" s="15">
        <f t="shared" si="1"/>
        <v>16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3</v>
      </c>
      <c r="AF18" s="31">
        <f t="shared" si="10"/>
        <v>46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2</v>
      </c>
      <c r="P19" s="15">
        <f t="shared" si="1"/>
        <v>15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41</v>
      </c>
      <c r="AD19" s="17">
        <f t="shared" si="11"/>
        <v>0</v>
      </c>
      <c r="AE19" s="31">
        <f t="shared" si="11"/>
        <v>2</v>
      </c>
      <c r="AF19" s="31">
        <f t="shared" si="11"/>
        <v>43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11</v>
      </c>
      <c r="N20" s="50">
        <v>1</v>
      </c>
      <c r="O20" s="15">
        <f t="shared" si="0"/>
        <v>3</v>
      </c>
      <c r="P20" s="15">
        <f t="shared" si="1"/>
        <v>14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37</v>
      </c>
      <c r="AD20" s="17">
        <f t="shared" si="12"/>
        <v>0</v>
      </c>
      <c r="AE20" s="31">
        <f t="shared" si="12"/>
        <v>2</v>
      </c>
      <c r="AF20" s="31">
        <f t="shared" si="12"/>
        <v>39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0</v>
      </c>
      <c r="P21" s="15">
        <f t="shared" si="1"/>
        <v>7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37</v>
      </c>
      <c r="AD21" s="17">
        <f t="shared" si="13"/>
        <v>0</v>
      </c>
      <c r="AE21" s="31">
        <f t="shared" si="13"/>
        <v>5</v>
      </c>
      <c r="AF21" s="31">
        <f t="shared" si="13"/>
        <v>42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8</v>
      </c>
      <c r="N22" s="50">
        <v>0</v>
      </c>
      <c r="O22" s="15">
        <f t="shared" si="0"/>
        <v>1</v>
      </c>
      <c r="P22" s="15">
        <f t="shared" si="1"/>
        <v>9</v>
      </c>
      <c r="R22" s="36" t="s">
        <v>146</v>
      </c>
      <c r="S22" s="34">
        <f>SUM(C58:C61)</f>
        <v>0</v>
      </c>
      <c r="T22" s="34">
        <f t="shared" ref="T22:AF22" si="14">SUM(D58:D61)</f>
        <v>1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26</v>
      </c>
      <c r="AD22" s="34">
        <f t="shared" si="14"/>
        <v>0</v>
      </c>
      <c r="AE22" s="31">
        <f t="shared" si="14"/>
        <v>4</v>
      </c>
      <c r="AF22" s="31">
        <f t="shared" si="14"/>
        <v>30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0</v>
      </c>
      <c r="P23" s="15">
        <f t="shared" si="1"/>
        <v>13</v>
      </c>
      <c r="R23" s="36" t="s">
        <v>147</v>
      </c>
      <c r="S23" s="34">
        <f>SUM(C62:C65)</f>
        <v>0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29</v>
      </c>
      <c r="AD23" s="34">
        <f t="shared" si="15"/>
        <v>0</v>
      </c>
      <c r="AE23" s="31">
        <f t="shared" si="15"/>
        <v>6</v>
      </c>
      <c r="AF23" s="31">
        <f t="shared" si="15"/>
        <v>35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0</v>
      </c>
      <c r="P24" s="15">
        <f t="shared" si="1"/>
        <v>19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41</v>
      </c>
      <c r="AD24" s="34">
        <f t="shared" si="16"/>
        <v>0</v>
      </c>
      <c r="AE24" s="31">
        <f t="shared" si="16"/>
        <v>2</v>
      </c>
      <c r="AF24" s="31">
        <f t="shared" si="16"/>
        <v>43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5">
        <f t="shared" si="0"/>
        <v>1</v>
      </c>
      <c r="P25" s="15">
        <f t="shared" si="1"/>
        <v>18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31</v>
      </c>
      <c r="AD25" s="34">
        <f t="shared" si="17"/>
        <v>0</v>
      </c>
      <c r="AE25" s="31">
        <f t="shared" si="17"/>
        <v>1</v>
      </c>
      <c r="AF25" s="31">
        <f t="shared" si="17"/>
        <v>32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0</v>
      </c>
      <c r="P26" s="15">
        <f t="shared" si="1"/>
        <v>11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9</v>
      </c>
      <c r="AD26" s="34">
        <f t="shared" si="18"/>
        <v>0</v>
      </c>
      <c r="AE26" s="31">
        <f t="shared" si="18"/>
        <v>0</v>
      </c>
      <c r="AF26" s="31">
        <f t="shared" si="18"/>
        <v>9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1</v>
      </c>
      <c r="P27" s="15">
        <f t="shared" si="1"/>
        <v>15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0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2</v>
      </c>
      <c r="P28" s="15">
        <f t="shared" si="1"/>
        <v>10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2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1</v>
      </c>
      <c r="P29" s="15">
        <f t="shared" si="1"/>
        <v>14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v>1</v>
      </c>
      <c r="P30" s="15">
        <f t="shared" si="1"/>
        <v>10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0</v>
      </c>
      <c r="P31" s="15">
        <f t="shared" si="1"/>
        <v>13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1</v>
      </c>
      <c r="P32" s="15">
        <f t="shared" si="1"/>
        <v>17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4</v>
      </c>
      <c r="AF32" s="31">
        <f t="shared" si="24"/>
        <v>9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1</v>
      </c>
      <c r="P33" s="15">
        <f t="shared" si="1"/>
        <v>10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0</v>
      </c>
      <c r="AD33" s="34">
        <f t="shared" si="25"/>
        <v>0</v>
      </c>
      <c r="AE33" s="31">
        <f t="shared" si="25"/>
        <v>0</v>
      </c>
      <c r="AF33" s="31">
        <f t="shared" si="25"/>
        <v>0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0</v>
      </c>
      <c r="P34" s="15">
        <f t="shared" si="1"/>
        <v>12</v>
      </c>
      <c r="R34" s="38" t="s">
        <v>90</v>
      </c>
      <c r="S34" s="39">
        <f t="shared" ref="S34:AF34" si="26">MAX(S10:S12)</f>
        <v>1</v>
      </c>
      <c r="T34" s="39">
        <f t="shared" si="26"/>
        <v>2</v>
      </c>
      <c r="U34" s="39">
        <f t="shared" si="26"/>
        <v>0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46</v>
      </c>
      <c r="AD34" s="39">
        <f t="shared" si="26"/>
        <v>1</v>
      </c>
      <c r="AE34" s="40">
        <f t="shared" si="26"/>
        <v>6</v>
      </c>
      <c r="AF34" s="40">
        <f t="shared" si="26"/>
        <v>52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2</v>
      </c>
      <c r="P35" s="15">
        <f t="shared" si="1"/>
        <v>15</v>
      </c>
      <c r="R35" s="38" t="s">
        <v>91</v>
      </c>
      <c r="S35" s="39">
        <f t="shared" ref="S35:AF35" si="27">MAX(S13:S18)</f>
        <v>1</v>
      </c>
      <c r="T35" s="39">
        <f t="shared" si="27"/>
        <v>2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57</v>
      </c>
      <c r="AD35" s="39">
        <f t="shared" si="27"/>
        <v>0</v>
      </c>
      <c r="AE35" s="40">
        <f t="shared" si="27"/>
        <v>8</v>
      </c>
      <c r="AF35" s="40">
        <f t="shared" si="27"/>
        <v>59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0</v>
      </c>
      <c r="P36" s="15">
        <f t="shared" si="1"/>
        <v>9</v>
      </c>
      <c r="R36" s="38" t="s">
        <v>92</v>
      </c>
      <c r="S36" s="39">
        <f t="shared" ref="S36:AF36" si="28">MAX(S19:S21)</f>
        <v>0</v>
      </c>
      <c r="T36" s="39">
        <f t="shared" si="28"/>
        <v>1</v>
      </c>
      <c r="U36" s="39">
        <f t="shared" si="28"/>
        <v>2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41</v>
      </c>
      <c r="AD36" s="39">
        <f t="shared" si="28"/>
        <v>0</v>
      </c>
      <c r="AE36" s="40">
        <f t="shared" si="28"/>
        <v>5</v>
      </c>
      <c r="AF36" s="40">
        <f t="shared" si="28"/>
        <v>43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0</v>
      </c>
      <c r="P37" s="15">
        <f t="shared" si="1"/>
        <v>12</v>
      </c>
      <c r="R37" s="37" t="s">
        <v>85</v>
      </c>
      <c r="S37" s="35">
        <f t="shared" ref="S37:AF37" si="29">SUM(S10:S12)</f>
        <v>1</v>
      </c>
      <c r="T37" s="16">
        <f t="shared" si="29"/>
        <v>3</v>
      </c>
      <c r="U37" s="16">
        <f t="shared" si="29"/>
        <v>0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5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96</v>
      </c>
      <c r="AD37" s="16">
        <f t="shared" si="29"/>
        <v>1</v>
      </c>
      <c r="AE37" s="32">
        <f t="shared" si="29"/>
        <v>10</v>
      </c>
      <c r="AF37" s="32">
        <f t="shared" si="29"/>
        <v>106</v>
      </c>
    </row>
    <row r="38" spans="2:32" ht="23.1" customHeight="1" x14ac:dyDescent="0.25">
      <c r="B38" s="46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2</v>
      </c>
      <c r="P38" s="15">
        <f t="shared" si="1"/>
        <v>16</v>
      </c>
      <c r="R38" s="28" t="s">
        <v>86</v>
      </c>
      <c r="S38" s="16">
        <f t="shared" ref="S38:AF38" si="30">SUM(S13:S18)</f>
        <v>2</v>
      </c>
      <c r="T38" s="16">
        <f t="shared" si="30"/>
        <v>5</v>
      </c>
      <c r="U38" s="16">
        <f t="shared" si="30"/>
        <v>2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12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287</v>
      </c>
      <c r="AD38" s="16">
        <f t="shared" si="30"/>
        <v>0</v>
      </c>
      <c r="AE38" s="32">
        <f t="shared" si="30"/>
        <v>22</v>
      </c>
      <c r="AF38" s="32">
        <f t="shared" si="30"/>
        <v>308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</v>
      </c>
      <c r="P39" s="15">
        <f t="shared" si="1"/>
        <v>11</v>
      </c>
      <c r="R39" s="29" t="s">
        <v>87</v>
      </c>
      <c r="S39" s="16">
        <f t="shared" ref="S39:AF39" si="31">SUM(S19:S21)</f>
        <v>0</v>
      </c>
      <c r="T39" s="16">
        <f t="shared" si="31"/>
        <v>2</v>
      </c>
      <c r="U39" s="16">
        <f t="shared" si="31"/>
        <v>3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4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115</v>
      </c>
      <c r="AD39" s="16">
        <f t="shared" si="31"/>
        <v>0</v>
      </c>
      <c r="AE39" s="32">
        <f t="shared" si="31"/>
        <v>9</v>
      </c>
      <c r="AF39" s="32">
        <f t="shared" si="31"/>
        <v>124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2</v>
      </c>
      <c r="P40" s="15">
        <f t="shared" si="1"/>
        <v>15</v>
      </c>
      <c r="R40" s="5" t="s">
        <v>17</v>
      </c>
      <c r="S40" s="16">
        <f t="shared" ref="S40:AF40" si="32">SUM(S10:S21)</f>
        <v>3</v>
      </c>
      <c r="T40" s="16">
        <f t="shared" si="32"/>
        <v>10</v>
      </c>
      <c r="U40" s="16">
        <f t="shared" si="32"/>
        <v>5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21</v>
      </c>
      <c r="Z40" s="16">
        <f t="shared" si="32"/>
        <v>0</v>
      </c>
      <c r="AA40" s="16">
        <f t="shared" si="32"/>
        <v>0</v>
      </c>
      <c r="AB40" s="16">
        <f t="shared" si="32"/>
        <v>0</v>
      </c>
      <c r="AC40" s="16">
        <f t="shared" si="32"/>
        <v>498</v>
      </c>
      <c r="AD40" s="16">
        <f t="shared" si="32"/>
        <v>1</v>
      </c>
      <c r="AE40" s="32">
        <f t="shared" si="32"/>
        <v>41</v>
      </c>
      <c r="AF40" s="32">
        <f t="shared" si="32"/>
        <v>538</v>
      </c>
    </row>
    <row r="41" spans="2:32" ht="23.1" customHeight="1" x14ac:dyDescent="0.25">
      <c r="B41" s="45" t="s">
        <v>68</v>
      </c>
      <c r="C41" s="50">
        <v>0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3</v>
      </c>
      <c r="P41" s="15">
        <f t="shared" si="1"/>
        <v>13</v>
      </c>
      <c r="R41" s="5" t="s">
        <v>159</v>
      </c>
      <c r="S41" s="16">
        <f>SUM(S10:S33)</f>
        <v>4</v>
      </c>
      <c r="T41" s="16">
        <f t="shared" ref="T41:AF41" si="33">SUM(T10:T33)</f>
        <v>12</v>
      </c>
      <c r="U41" s="16">
        <f t="shared" si="33"/>
        <v>8</v>
      </c>
      <c r="V41" s="16">
        <f t="shared" si="33"/>
        <v>0</v>
      </c>
      <c r="W41" s="16">
        <f t="shared" si="33"/>
        <v>0</v>
      </c>
      <c r="X41" s="16">
        <f t="shared" si="33"/>
        <v>0</v>
      </c>
      <c r="Y41" s="16">
        <f t="shared" si="33"/>
        <v>33</v>
      </c>
      <c r="Z41" s="16">
        <f t="shared" si="33"/>
        <v>1</v>
      </c>
      <c r="AA41" s="16">
        <f t="shared" si="33"/>
        <v>0</v>
      </c>
      <c r="AB41" s="16">
        <f t="shared" si="33"/>
        <v>0</v>
      </c>
      <c r="AC41" s="16">
        <f t="shared" si="33"/>
        <v>642</v>
      </c>
      <c r="AD41" s="16">
        <f t="shared" si="33"/>
        <v>1</v>
      </c>
      <c r="AE41" s="32">
        <f t="shared" si="33"/>
        <v>60</v>
      </c>
      <c r="AF41" s="32">
        <f t="shared" si="33"/>
        <v>701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1</v>
      </c>
      <c r="P42" s="15">
        <f t="shared" si="1"/>
        <v>10</v>
      </c>
      <c r="R42" s="5" t="s">
        <v>160</v>
      </c>
      <c r="S42" s="48">
        <f>S41/S40</f>
        <v>1.3333333333333333</v>
      </c>
      <c r="T42" s="48">
        <f t="shared" ref="T42:AF42" si="34">T41/T40</f>
        <v>1.2</v>
      </c>
      <c r="U42" s="48">
        <f t="shared" si="34"/>
        <v>1.6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1.5714285714285714</v>
      </c>
      <c r="Z42" s="48" t="e">
        <f t="shared" si="34"/>
        <v>#DIV/0!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1.2891566265060241</v>
      </c>
      <c r="AD42" s="48">
        <f t="shared" si="34"/>
        <v>1</v>
      </c>
      <c r="AE42" s="48">
        <f t="shared" si="34"/>
        <v>1.4634146341463414</v>
      </c>
      <c r="AF42" s="48">
        <f t="shared" si="34"/>
        <v>1.3029739776951672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1</v>
      </c>
      <c r="P43" s="15">
        <f t="shared" si="1"/>
        <v>14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1</v>
      </c>
      <c r="P44" s="15">
        <f t="shared" si="1"/>
        <v>11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0</v>
      </c>
      <c r="P45" s="15">
        <f t="shared" si="1"/>
        <v>11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0</v>
      </c>
      <c r="P46" s="15">
        <f t="shared" si="1"/>
        <v>9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0</v>
      </c>
      <c r="P47" s="15">
        <f t="shared" si="1"/>
        <v>12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0</v>
      </c>
      <c r="P48" s="15">
        <f t="shared" si="1"/>
        <v>6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2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0</v>
      </c>
      <c r="P50" s="15">
        <f t="shared" si="1"/>
        <v>9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10</v>
      </c>
      <c r="N51" s="50">
        <v>0</v>
      </c>
      <c r="O51" s="15">
        <f t="shared" si="0"/>
        <v>2</v>
      </c>
      <c r="P51" s="15">
        <f t="shared" si="1"/>
        <v>12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0</v>
      </c>
      <c r="P52" s="15">
        <f t="shared" si="1"/>
        <v>12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0</v>
      </c>
      <c r="P53" s="15">
        <f t="shared" si="1"/>
        <v>6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3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0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1</v>
      </c>
      <c r="F56" s="50">
        <v>0</v>
      </c>
      <c r="G56" s="50"/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1</v>
      </c>
      <c r="P57" s="15">
        <f t="shared" si="1"/>
        <v>7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9</v>
      </c>
      <c r="N58" s="50">
        <v>0</v>
      </c>
      <c r="O58" s="15">
        <f t="shared" ref="O58:O105" si="35">SUM(C58:L58,N58)</f>
        <v>2</v>
      </c>
      <c r="P58" s="15">
        <f t="shared" ref="P58:P105" si="36">SUM(C58:N58)</f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7</v>
      </c>
      <c r="N59" s="50">
        <v>0</v>
      </c>
      <c r="O59" s="15">
        <f t="shared" si="35"/>
        <v>1</v>
      </c>
      <c r="P59" s="15">
        <f t="shared" si="36"/>
        <v>8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1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4</v>
      </c>
      <c r="N60" s="50">
        <v>0</v>
      </c>
      <c r="O60" s="15">
        <f t="shared" si="35"/>
        <v>1</v>
      </c>
      <c r="P60" s="15">
        <f t="shared" si="36"/>
        <v>5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6</v>
      </c>
      <c r="N61" s="50">
        <v>0</v>
      </c>
      <c r="O61" s="15">
        <f t="shared" si="35"/>
        <v>0</v>
      </c>
      <c r="P61" s="15">
        <f t="shared" si="36"/>
        <v>6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8</v>
      </c>
      <c r="N62" s="50">
        <v>0</v>
      </c>
      <c r="O62" s="15">
        <f t="shared" si="35"/>
        <v>1</v>
      </c>
      <c r="P62" s="15">
        <f t="shared" si="36"/>
        <v>9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3</v>
      </c>
      <c r="N63" s="50">
        <v>0</v>
      </c>
      <c r="O63" s="15">
        <f t="shared" si="35"/>
        <v>0</v>
      </c>
      <c r="P63" s="15">
        <f t="shared" si="36"/>
        <v>3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5</v>
      </c>
      <c r="N64" s="50">
        <v>0</v>
      </c>
      <c r="O64" s="15">
        <f t="shared" si="35"/>
        <v>2</v>
      </c>
      <c r="P64" s="15">
        <f t="shared" si="36"/>
        <v>7</v>
      </c>
      <c r="R64" s="8"/>
      <c r="T64"/>
    </row>
    <row r="65" spans="2:20" ht="23.1" customHeight="1" x14ac:dyDescent="0.25">
      <c r="B65" s="45" t="s">
        <v>179</v>
      </c>
      <c r="C65" s="50">
        <v>0</v>
      </c>
      <c r="D65" s="50">
        <v>1</v>
      </c>
      <c r="E65" s="50">
        <v>0</v>
      </c>
      <c r="F65" s="50">
        <v>0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13</v>
      </c>
      <c r="N65" s="50">
        <v>0</v>
      </c>
      <c r="O65" s="15">
        <f t="shared" si="35"/>
        <v>3</v>
      </c>
      <c r="P65" s="15">
        <f t="shared" si="36"/>
        <v>16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8</v>
      </c>
      <c r="N66" s="50">
        <v>0</v>
      </c>
      <c r="O66" s="15">
        <f t="shared" si="35"/>
        <v>1</v>
      </c>
      <c r="P66" s="15">
        <f t="shared" si="36"/>
        <v>9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9</v>
      </c>
      <c r="N67" s="50">
        <v>0</v>
      </c>
      <c r="O67" s="15">
        <f t="shared" si="35"/>
        <v>0</v>
      </c>
      <c r="P67" s="15">
        <f t="shared" si="36"/>
        <v>9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12</v>
      </c>
      <c r="N68" s="50">
        <v>0</v>
      </c>
      <c r="O68" s="15">
        <f t="shared" si="35"/>
        <v>1</v>
      </c>
      <c r="P68" s="15">
        <f t="shared" si="36"/>
        <v>13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12</v>
      </c>
      <c r="N69" s="50">
        <v>0</v>
      </c>
      <c r="O69" s="15">
        <f t="shared" si="35"/>
        <v>0</v>
      </c>
      <c r="P69" s="15">
        <f t="shared" si="36"/>
        <v>12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15</v>
      </c>
      <c r="N70" s="50">
        <v>0</v>
      </c>
      <c r="O70" s="15">
        <f t="shared" si="35"/>
        <v>0</v>
      </c>
      <c r="P70" s="15">
        <f t="shared" si="36"/>
        <v>15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35"/>
        <v>0</v>
      </c>
      <c r="P71" s="15">
        <f t="shared" si="36"/>
        <v>6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0</v>
      </c>
      <c r="M72" s="50">
        <v>4</v>
      </c>
      <c r="N72" s="50">
        <v>0</v>
      </c>
      <c r="O72" s="15">
        <f t="shared" si="35"/>
        <v>1</v>
      </c>
      <c r="P72" s="15">
        <f t="shared" si="36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6</v>
      </c>
      <c r="N73" s="50">
        <v>0</v>
      </c>
      <c r="O73" s="15">
        <f t="shared" si="35"/>
        <v>0</v>
      </c>
      <c r="P73" s="15">
        <f t="shared" si="36"/>
        <v>6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si="35"/>
        <v>0</v>
      </c>
      <c r="P74" s="15">
        <f t="shared" si="36"/>
        <v>3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4</v>
      </c>
      <c r="N76" s="50">
        <v>0</v>
      </c>
      <c r="O76" s="15">
        <f t="shared" si="35"/>
        <v>0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3</v>
      </c>
      <c r="P100" s="15">
        <f t="shared" si="36"/>
        <v>6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0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</v>
      </c>
      <c r="D106" s="16">
        <f t="shared" ref="D106:P106" si="37">SUM(D10:D105)</f>
        <v>12</v>
      </c>
      <c r="E106" s="16">
        <f t="shared" si="37"/>
        <v>8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33</v>
      </c>
      <c r="J106" s="16">
        <f t="shared" si="37"/>
        <v>1</v>
      </c>
      <c r="K106" s="16">
        <f t="shared" si="37"/>
        <v>0</v>
      </c>
      <c r="L106" s="16">
        <f t="shared" si="37"/>
        <v>0</v>
      </c>
      <c r="M106" s="16">
        <f t="shared" si="37"/>
        <v>642</v>
      </c>
      <c r="N106" s="16">
        <f t="shared" si="37"/>
        <v>1</v>
      </c>
      <c r="O106" s="16">
        <f t="shared" si="37"/>
        <v>60</v>
      </c>
      <c r="P106" s="16">
        <f t="shared" si="37"/>
        <v>701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5.7061340941512127E-3</v>
      </c>
      <c r="D107" s="43">
        <f t="shared" si="38"/>
        <v>1.7118402282453638E-2</v>
      </c>
      <c r="E107" s="43">
        <f t="shared" si="38"/>
        <v>1.1412268188302425E-2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4.7075606276747506E-2</v>
      </c>
      <c r="J107" s="43">
        <f t="shared" si="38"/>
        <v>1.4265335235378032E-3</v>
      </c>
      <c r="K107" s="43">
        <f t="shared" si="38"/>
        <v>0</v>
      </c>
      <c r="L107" s="43">
        <f t="shared" si="38"/>
        <v>0</v>
      </c>
      <c r="M107" s="43">
        <f t="shared" si="38"/>
        <v>0.91583452211126959</v>
      </c>
      <c r="N107" s="43">
        <f t="shared" si="38"/>
        <v>1.4265335235378032E-3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6.6666666666666666E-2</v>
      </c>
      <c r="D108" s="44">
        <f t="shared" ref="D108:N108" si="39">D106/$O$106</f>
        <v>0.2</v>
      </c>
      <c r="E108" s="44">
        <f t="shared" si="39"/>
        <v>0.13333333333333333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0.55000000000000004</v>
      </c>
      <c r="J108" s="44">
        <f t="shared" si="39"/>
        <v>1.6666666666666666E-2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1.6666666666666666E-2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C10" sqref="C10:N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'24.08 Suam-Bukwo-24h'!D5</f>
        <v>24.08.19</v>
      </c>
      <c r="E5" s="3"/>
      <c r="F5" s="41" t="s">
        <v>1</v>
      </c>
      <c r="G5" s="68" t="str">
        <f>'24.08 Suam-Bukwo-24h'!G5:H5</f>
        <v>KAMKAMBA</v>
      </c>
      <c r="H5" s="69"/>
      <c r="I5" s="14"/>
      <c r="J5" s="2" t="s">
        <v>5</v>
      </c>
      <c r="K5" s="68" t="str">
        <f>'24.08 Suam-Bukwo-24h'!K5:L5</f>
        <v>NORMAN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Bukwo-Suam'!D6:E6</f>
        <v>BUKWO</v>
      </c>
      <c r="E6" s="69"/>
      <c r="F6" s="2" t="s">
        <v>2</v>
      </c>
      <c r="G6" s="68" t="str">
        <f>'25.08 Bukwo-Suam'!G6:H6</f>
        <v>SUAM</v>
      </c>
      <c r="H6" s="69"/>
      <c r="J6" s="2" t="s">
        <v>21</v>
      </c>
      <c r="K6" s="68" t="str">
        <f>'24.08 Suam-Bukwo-24h'!K6:L6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16</v>
      </c>
      <c r="AD10" s="17">
        <f t="shared" si="2"/>
        <v>0</v>
      </c>
      <c r="AE10" s="31">
        <f t="shared" si="2"/>
        <v>0</v>
      </c>
      <c r="AF10" s="31">
        <f t="shared" si="2"/>
        <v>16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0</v>
      </c>
      <c r="P11" s="15">
        <f t="shared" si="1"/>
        <v>4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22</v>
      </c>
      <c r="AD11" s="17">
        <f t="shared" si="3"/>
        <v>0</v>
      </c>
      <c r="AE11" s="31">
        <f t="shared" si="3"/>
        <v>0</v>
      </c>
      <c r="AF11" s="31">
        <f t="shared" si="3"/>
        <v>22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0</v>
      </c>
      <c r="P12" s="15">
        <f t="shared" si="1"/>
        <v>7</v>
      </c>
      <c r="R12" s="1" t="s">
        <v>8</v>
      </c>
      <c r="S12" s="17">
        <f t="shared" ref="S12:AF12" si="4">SUM(C18:C21)</f>
        <v>0</v>
      </c>
      <c r="T12" s="17">
        <f t="shared" si="4"/>
        <v>2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32</v>
      </c>
      <c r="AD12" s="17">
        <f t="shared" si="4"/>
        <v>0</v>
      </c>
      <c r="AE12" s="31">
        <f t="shared" si="4"/>
        <v>4</v>
      </c>
      <c r="AF12" s="31">
        <f t="shared" si="4"/>
        <v>36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0</v>
      </c>
      <c r="P13" s="15">
        <f t="shared" si="1"/>
        <v>4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42</v>
      </c>
      <c r="AD13" s="17">
        <f t="shared" si="5"/>
        <v>0</v>
      </c>
      <c r="AE13" s="31">
        <f t="shared" si="5"/>
        <v>4</v>
      </c>
      <c r="AF13" s="31">
        <f t="shared" si="5"/>
        <v>46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0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35</v>
      </c>
      <c r="AD14" s="17">
        <f t="shared" si="6"/>
        <v>0</v>
      </c>
      <c r="AE14" s="31">
        <f t="shared" si="6"/>
        <v>3</v>
      </c>
      <c r="AF14" s="31">
        <f t="shared" si="6"/>
        <v>38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0</v>
      </c>
      <c r="P15" s="15">
        <f t="shared" si="1"/>
        <v>4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0</v>
      </c>
      <c r="AD15" s="17">
        <f t="shared" si="7"/>
        <v>0</v>
      </c>
      <c r="AE15" s="31">
        <f t="shared" si="7"/>
        <v>6</v>
      </c>
      <c r="AF15" s="31">
        <f t="shared" si="7"/>
        <v>6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0</v>
      </c>
      <c r="P16" s="15">
        <f t="shared" si="1"/>
        <v>8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17</v>
      </c>
      <c r="AD16" s="17">
        <f t="shared" si="8"/>
        <v>0</v>
      </c>
      <c r="AE16" s="31">
        <f t="shared" si="8"/>
        <v>2</v>
      </c>
      <c r="AF16" s="31">
        <f t="shared" si="8"/>
        <v>19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6</v>
      </c>
      <c r="N17" s="50">
        <v>0</v>
      </c>
      <c r="O17" s="15">
        <f t="shared" si="0"/>
        <v>0</v>
      </c>
      <c r="P17" s="15">
        <f t="shared" si="1"/>
        <v>6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2</v>
      </c>
      <c r="AF17" s="31">
        <f t="shared" si="9"/>
        <v>53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1</v>
      </c>
      <c r="P18" s="15">
        <f t="shared" si="1"/>
        <v>7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36</v>
      </c>
      <c r="AD18" s="17">
        <f t="shared" si="10"/>
        <v>0</v>
      </c>
      <c r="AE18" s="31">
        <f t="shared" si="10"/>
        <v>2</v>
      </c>
      <c r="AF18" s="31">
        <f t="shared" si="10"/>
        <v>38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1</v>
      </c>
      <c r="P19" s="15">
        <f t="shared" si="1"/>
        <v>10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49</v>
      </c>
      <c r="AD19" s="17">
        <f t="shared" si="11"/>
        <v>0</v>
      </c>
      <c r="AE19" s="31">
        <f t="shared" si="11"/>
        <v>3</v>
      </c>
      <c r="AF19" s="31">
        <f t="shared" si="11"/>
        <v>52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2</v>
      </c>
      <c r="P20" s="15">
        <f t="shared" si="1"/>
        <v>9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4</v>
      </c>
      <c r="AF20" s="31">
        <f t="shared" si="12"/>
        <v>33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0</v>
      </c>
      <c r="P21" s="15">
        <f t="shared" si="1"/>
        <v>10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49</v>
      </c>
      <c r="AD21" s="17">
        <f t="shared" si="13"/>
        <v>0</v>
      </c>
      <c r="AE21" s="31">
        <f t="shared" si="13"/>
        <v>1</v>
      </c>
      <c r="AF21" s="31">
        <f t="shared" si="13"/>
        <v>50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3</v>
      </c>
      <c r="P22" s="15">
        <f t="shared" si="1"/>
        <v>9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34</v>
      </c>
      <c r="AD22" s="34">
        <f t="shared" si="14"/>
        <v>0</v>
      </c>
      <c r="AE22" s="31">
        <f t="shared" si="14"/>
        <v>4</v>
      </c>
      <c r="AF22" s="31">
        <f t="shared" si="14"/>
        <v>38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1</v>
      </c>
      <c r="P23" s="15">
        <f t="shared" si="1"/>
        <v>15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29</v>
      </c>
      <c r="AD23" s="34">
        <f t="shared" si="15"/>
        <v>0</v>
      </c>
      <c r="AE23" s="31">
        <f t="shared" si="15"/>
        <v>2</v>
      </c>
      <c r="AF23" s="31">
        <f t="shared" si="15"/>
        <v>31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0</v>
      </c>
      <c r="P24" s="15">
        <f t="shared" si="1"/>
        <v>9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2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38</v>
      </c>
      <c r="AD24" s="34">
        <f t="shared" si="16"/>
        <v>0</v>
      </c>
      <c r="AE24" s="31">
        <f t="shared" si="16"/>
        <v>5</v>
      </c>
      <c r="AF24" s="31">
        <f t="shared" si="16"/>
        <v>43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0</v>
      </c>
      <c r="P25" s="15">
        <f t="shared" si="1"/>
        <v>13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37</v>
      </c>
      <c r="AD25" s="34">
        <f t="shared" si="17"/>
        <v>0</v>
      </c>
      <c r="AE25" s="31">
        <f t="shared" si="17"/>
        <v>1</v>
      </c>
      <c r="AF25" s="31">
        <f t="shared" si="17"/>
        <v>38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0</v>
      </c>
      <c r="P26" s="15">
        <f t="shared" si="1"/>
        <v>9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13</v>
      </c>
      <c r="AD26" s="34">
        <f t="shared" si="18"/>
        <v>0</v>
      </c>
      <c r="AE26" s="31">
        <f t="shared" si="18"/>
        <v>0</v>
      </c>
      <c r="AF26" s="31">
        <f t="shared" si="18"/>
        <v>13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0</v>
      </c>
      <c r="P27" s="15">
        <f t="shared" si="1"/>
        <v>8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0</v>
      </c>
      <c r="AF27" s="31">
        <f t="shared" si="19"/>
        <v>3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0</v>
      </c>
      <c r="P28" s="15">
        <f t="shared" si="1"/>
        <v>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0</v>
      </c>
      <c r="AF28" s="31">
        <f t="shared" si="20"/>
        <v>1</v>
      </c>
    </row>
    <row r="29" spans="2:32" ht="23.1" customHeight="1" x14ac:dyDescent="0.25">
      <c r="B29" s="45" t="s">
        <v>56</v>
      </c>
      <c r="C29" s="50">
        <v>0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3</v>
      </c>
      <c r="P29" s="15">
        <f t="shared" si="1"/>
        <v>14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15">
        <f t="shared" si="0"/>
        <v>1</v>
      </c>
      <c r="P30" s="15">
        <f t="shared" si="1"/>
        <v>1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15">
        <f t="shared" si="0"/>
        <v>1</v>
      </c>
      <c r="P31" s="15">
        <f t="shared" si="1"/>
        <v>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3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0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0</v>
      </c>
      <c r="N32" s="50">
        <v>0</v>
      </c>
      <c r="O32" s="15">
        <f t="shared" si="0"/>
        <v>2</v>
      </c>
      <c r="P32" s="15">
        <f t="shared" si="1"/>
        <v>2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0</v>
      </c>
      <c r="AF32" s="31">
        <f t="shared" si="24"/>
        <v>2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15">
        <f t="shared" si="0"/>
        <v>2</v>
      </c>
      <c r="P33" s="15">
        <f t="shared" si="1"/>
        <v>2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1</v>
      </c>
      <c r="AF33" s="31">
        <f t="shared" si="25"/>
        <v>13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0</v>
      </c>
      <c r="N34" s="50"/>
      <c r="O34" s="15">
        <f t="shared" si="0"/>
        <v>0</v>
      </c>
      <c r="P34" s="15">
        <f t="shared" si="1"/>
        <v>0</v>
      </c>
      <c r="R34" s="38" t="s">
        <v>90</v>
      </c>
      <c r="S34" s="39">
        <f t="shared" ref="S34:AF34" si="26">MAX(S10:S12)</f>
        <v>0</v>
      </c>
      <c r="T34" s="39">
        <f t="shared" si="26"/>
        <v>2</v>
      </c>
      <c r="U34" s="39">
        <f t="shared" si="26"/>
        <v>0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32</v>
      </c>
      <c r="AD34" s="39">
        <f t="shared" si="26"/>
        <v>0</v>
      </c>
      <c r="AE34" s="40">
        <f t="shared" si="26"/>
        <v>4</v>
      </c>
      <c r="AF34" s="40">
        <f t="shared" si="26"/>
        <v>36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1</v>
      </c>
      <c r="P35" s="15">
        <f t="shared" si="1"/>
        <v>1</v>
      </c>
      <c r="R35" s="38" t="s">
        <v>91</v>
      </c>
      <c r="S35" s="39">
        <f t="shared" ref="S35:AF35" si="27">MAX(S13:S18)</f>
        <v>1</v>
      </c>
      <c r="T35" s="39">
        <f t="shared" si="27"/>
        <v>1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5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51</v>
      </c>
      <c r="AD35" s="39">
        <f t="shared" si="27"/>
        <v>0</v>
      </c>
      <c r="AE35" s="40">
        <f t="shared" si="27"/>
        <v>6</v>
      </c>
      <c r="AF35" s="40">
        <f t="shared" si="27"/>
        <v>53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  <c r="R36" s="38" t="s">
        <v>92</v>
      </c>
      <c r="S36" s="39">
        <f t="shared" ref="S36:AF36" si="28">MAX(S19:S21)</f>
        <v>0</v>
      </c>
      <c r="T36" s="39">
        <f t="shared" si="28"/>
        <v>1</v>
      </c>
      <c r="U36" s="39">
        <f t="shared" si="28"/>
        <v>2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49</v>
      </c>
      <c r="AD36" s="39">
        <f t="shared" si="28"/>
        <v>0</v>
      </c>
      <c r="AE36" s="40">
        <f t="shared" si="28"/>
        <v>4</v>
      </c>
      <c r="AF36" s="40">
        <f t="shared" si="28"/>
        <v>52</v>
      </c>
    </row>
    <row r="37" spans="2:32" ht="23.1" customHeight="1" x14ac:dyDescent="0.25">
      <c r="B37" s="45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1</v>
      </c>
      <c r="P37" s="15">
        <f t="shared" si="1"/>
        <v>18</v>
      </c>
      <c r="R37" s="37" t="s">
        <v>85</v>
      </c>
      <c r="S37" s="35">
        <f t="shared" ref="S37:AF37" si="29">SUM(S10:S12)</f>
        <v>0</v>
      </c>
      <c r="T37" s="16">
        <f t="shared" si="29"/>
        <v>2</v>
      </c>
      <c r="U37" s="16">
        <f t="shared" si="29"/>
        <v>0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70</v>
      </c>
      <c r="AD37" s="16">
        <f t="shared" si="29"/>
        <v>0</v>
      </c>
      <c r="AE37" s="32">
        <f t="shared" si="29"/>
        <v>4</v>
      </c>
      <c r="AF37" s="32">
        <f t="shared" si="29"/>
        <v>74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0</v>
      </c>
      <c r="P38" s="15">
        <f t="shared" si="1"/>
        <v>10</v>
      </c>
      <c r="R38" s="28" t="s">
        <v>86</v>
      </c>
      <c r="S38" s="16">
        <f t="shared" ref="S38:AF38" si="30">SUM(S13:S18)</f>
        <v>1</v>
      </c>
      <c r="T38" s="16">
        <f t="shared" si="30"/>
        <v>4</v>
      </c>
      <c r="U38" s="16">
        <f t="shared" si="30"/>
        <v>1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12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181</v>
      </c>
      <c r="AD38" s="16">
        <f t="shared" si="30"/>
        <v>0</v>
      </c>
      <c r="AE38" s="32">
        <f t="shared" si="30"/>
        <v>19</v>
      </c>
      <c r="AF38" s="32">
        <f t="shared" si="30"/>
        <v>200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0</v>
      </c>
      <c r="P39" s="15">
        <f t="shared" si="1"/>
        <v>9</v>
      </c>
      <c r="R39" s="29" t="s">
        <v>87</v>
      </c>
      <c r="S39" s="16">
        <f t="shared" ref="S39:AF39" si="31">SUM(S19:S21)</f>
        <v>0</v>
      </c>
      <c r="T39" s="16">
        <f t="shared" si="31"/>
        <v>1</v>
      </c>
      <c r="U39" s="16">
        <f t="shared" si="31"/>
        <v>2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5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127</v>
      </c>
      <c r="AD39" s="16">
        <f t="shared" si="31"/>
        <v>0</v>
      </c>
      <c r="AE39" s="32">
        <f t="shared" si="31"/>
        <v>8</v>
      </c>
      <c r="AF39" s="32">
        <f t="shared" si="31"/>
        <v>135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21</v>
      </c>
      <c r="N40" s="50">
        <v>0</v>
      </c>
      <c r="O40" s="15">
        <f t="shared" si="0"/>
        <v>2</v>
      </c>
      <c r="P40" s="15">
        <f t="shared" si="1"/>
        <v>23</v>
      </c>
      <c r="R40" s="5" t="s">
        <v>17</v>
      </c>
      <c r="S40" s="16">
        <f t="shared" ref="S40:AF40" si="32">SUM(S10:S21)</f>
        <v>1</v>
      </c>
      <c r="T40" s="16">
        <f t="shared" si="32"/>
        <v>7</v>
      </c>
      <c r="U40" s="16">
        <f t="shared" si="32"/>
        <v>3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19</v>
      </c>
      <c r="Z40" s="16">
        <f t="shared" si="32"/>
        <v>1</v>
      </c>
      <c r="AA40" s="16">
        <f t="shared" si="32"/>
        <v>0</v>
      </c>
      <c r="AB40" s="16">
        <f t="shared" si="32"/>
        <v>0</v>
      </c>
      <c r="AC40" s="16">
        <f t="shared" si="32"/>
        <v>378</v>
      </c>
      <c r="AD40" s="16">
        <f t="shared" si="32"/>
        <v>0</v>
      </c>
      <c r="AE40" s="32">
        <f t="shared" si="32"/>
        <v>31</v>
      </c>
      <c r="AF40" s="32">
        <f t="shared" si="32"/>
        <v>409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0</v>
      </c>
      <c r="P41" s="15">
        <f t="shared" si="1"/>
        <v>11</v>
      </c>
      <c r="R41" s="5" t="s">
        <v>159</v>
      </c>
      <c r="S41" s="16">
        <f>SUM(S10:S33)</f>
        <v>3</v>
      </c>
      <c r="T41" s="16">
        <f t="shared" ref="T41:AF41" si="33">SUM(T10:T33)</f>
        <v>7</v>
      </c>
      <c r="U41" s="16">
        <f t="shared" si="33"/>
        <v>7</v>
      </c>
      <c r="V41" s="16">
        <f t="shared" si="33"/>
        <v>0</v>
      </c>
      <c r="W41" s="16">
        <f t="shared" si="33"/>
        <v>0</v>
      </c>
      <c r="X41" s="16">
        <f t="shared" si="33"/>
        <v>0</v>
      </c>
      <c r="Y41" s="16">
        <f t="shared" si="33"/>
        <v>28</v>
      </c>
      <c r="Z41" s="16">
        <f t="shared" si="33"/>
        <v>2</v>
      </c>
      <c r="AA41" s="16">
        <f t="shared" si="33"/>
        <v>0</v>
      </c>
      <c r="AB41" s="16">
        <f t="shared" si="33"/>
        <v>0</v>
      </c>
      <c r="AC41" s="16">
        <f t="shared" si="33"/>
        <v>547</v>
      </c>
      <c r="AD41" s="16">
        <f t="shared" si="33"/>
        <v>0</v>
      </c>
      <c r="AE41" s="32">
        <f t="shared" si="33"/>
        <v>47</v>
      </c>
      <c r="AF41" s="32">
        <f t="shared" si="33"/>
        <v>594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0</v>
      </c>
      <c r="P42" s="15">
        <f t="shared" si="1"/>
        <v>11</v>
      </c>
      <c r="R42" s="5" t="s">
        <v>160</v>
      </c>
      <c r="S42" s="48">
        <f>S41/S40</f>
        <v>3</v>
      </c>
      <c r="T42" s="48">
        <f t="shared" ref="T42:AF42" si="34">T41/T40</f>
        <v>1</v>
      </c>
      <c r="U42" s="48">
        <f t="shared" si="34"/>
        <v>2.3333333333333335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1.4736842105263157</v>
      </c>
      <c r="Z42" s="48">
        <f t="shared" si="34"/>
        <v>2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1.447089947089947</v>
      </c>
      <c r="AD42" s="48" t="e">
        <f t="shared" si="34"/>
        <v>#DIV/0!</v>
      </c>
      <c r="AE42" s="48">
        <f t="shared" si="34"/>
        <v>1.5161290322580645</v>
      </c>
      <c r="AF42" s="48">
        <f t="shared" si="34"/>
        <v>1.452322738386308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1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1</v>
      </c>
      <c r="P44" s="15">
        <f t="shared" si="1"/>
        <v>5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0</v>
      </c>
      <c r="P45" s="15">
        <f t="shared" si="1"/>
        <v>12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0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0</v>
      </c>
      <c r="P47" s="15">
        <f t="shared" si="1"/>
        <v>17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1</v>
      </c>
      <c r="P48" s="15">
        <f t="shared" si="1"/>
        <v>9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2</v>
      </c>
      <c r="P49" s="15">
        <f t="shared" si="1"/>
        <v>15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0</v>
      </c>
      <c r="P50" s="15">
        <f t="shared" si="1"/>
        <v>6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1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3</v>
      </c>
      <c r="P51" s="15">
        <f t="shared" si="1"/>
        <v>15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0</v>
      </c>
      <c r="P52" s="15">
        <f t="shared" si="1"/>
        <v>7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1</v>
      </c>
      <c r="P53" s="15">
        <f t="shared" si="1"/>
        <v>5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0</v>
      </c>
      <c r="P54" s="15">
        <f t="shared" si="1"/>
        <v>15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11</v>
      </c>
      <c r="N55" s="50">
        <v>0</v>
      </c>
      <c r="O55" s="15">
        <f t="shared" si="0"/>
        <v>1</v>
      </c>
      <c r="P55" s="15">
        <f t="shared" si="1"/>
        <v>12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0</v>
      </c>
      <c r="P56" s="15">
        <f t="shared" si="1"/>
        <v>18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0</v>
      </c>
      <c r="P57" s="15">
        <f t="shared" si="1"/>
        <v>5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10</v>
      </c>
      <c r="N58" s="50">
        <v>0</v>
      </c>
      <c r="O58" s="15">
        <f t="shared" si="0"/>
        <v>1</v>
      </c>
      <c r="P58" s="15">
        <f t="shared" si="1"/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3</v>
      </c>
      <c r="N59" s="50">
        <v>0</v>
      </c>
      <c r="O59" s="15">
        <f t="shared" si="0"/>
        <v>0</v>
      </c>
      <c r="P59" s="15">
        <f t="shared" si="1"/>
        <v>3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50">
        <v>12</v>
      </c>
      <c r="N60" s="50">
        <v>0</v>
      </c>
      <c r="O60" s="15">
        <f t="shared" si="0"/>
        <v>2</v>
      </c>
      <c r="P60" s="15">
        <f t="shared" si="1"/>
        <v>14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9</v>
      </c>
      <c r="N61" s="50">
        <v>0</v>
      </c>
      <c r="O61" s="15">
        <f t="shared" si="0"/>
        <v>1</v>
      </c>
      <c r="P61" s="15">
        <f t="shared" si="1"/>
        <v>10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0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7</v>
      </c>
      <c r="N63" s="50">
        <v>0</v>
      </c>
      <c r="O63" s="15">
        <f t="shared" si="0"/>
        <v>0</v>
      </c>
      <c r="P63" s="15">
        <f t="shared" si="1"/>
        <v>7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1</v>
      </c>
      <c r="J64" s="50">
        <v>0</v>
      </c>
      <c r="K64" s="50">
        <v>0</v>
      </c>
      <c r="L64" s="50">
        <v>0</v>
      </c>
      <c r="M64" s="50">
        <v>3</v>
      </c>
      <c r="N64" s="50">
        <v>0</v>
      </c>
      <c r="O64" s="15">
        <f t="shared" si="0"/>
        <v>1</v>
      </c>
      <c r="P64" s="15">
        <f t="shared" si="1"/>
        <v>4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15</v>
      </c>
      <c r="N65" s="50">
        <v>0</v>
      </c>
      <c r="O65" s="15">
        <f t="shared" si="0"/>
        <v>1</v>
      </c>
      <c r="P65" s="15">
        <f t="shared" si="1"/>
        <v>16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9</v>
      </c>
      <c r="N66" s="50">
        <v>0</v>
      </c>
      <c r="O66" s="15">
        <f t="shared" si="0"/>
        <v>1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7</v>
      </c>
      <c r="N67" s="50">
        <v>0</v>
      </c>
      <c r="O67" s="15">
        <f t="shared" si="0"/>
        <v>0</v>
      </c>
      <c r="P67" s="15">
        <f t="shared" si="1"/>
        <v>7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2</v>
      </c>
      <c r="F68" s="50">
        <v>0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16</v>
      </c>
      <c r="N68" s="50">
        <v>0</v>
      </c>
      <c r="O68" s="15">
        <f t="shared" si="0"/>
        <v>4</v>
      </c>
      <c r="P68" s="15">
        <f t="shared" si="1"/>
        <v>20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0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17</v>
      </c>
      <c r="N70" s="50">
        <v>0</v>
      </c>
      <c r="O70" s="15">
        <f t="shared" si="0"/>
        <v>1</v>
      </c>
      <c r="P70" s="15">
        <f t="shared" si="1"/>
        <v>18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10</v>
      </c>
      <c r="N71" s="50">
        <v>0</v>
      </c>
      <c r="O71" s="15">
        <f t="shared" si="0"/>
        <v>0</v>
      </c>
      <c r="P71" s="15">
        <f t="shared" si="1"/>
        <v>10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8</v>
      </c>
      <c r="N72" s="50">
        <v>0</v>
      </c>
      <c r="O72" s="15">
        <f t="shared" si="0"/>
        <v>0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0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</v>
      </c>
      <c r="N75" s="50">
        <v>0</v>
      </c>
      <c r="O75" s="15">
        <f t="shared" si="35"/>
        <v>0</v>
      </c>
      <c r="P75" s="15">
        <f t="shared" si="36"/>
        <v>1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0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</v>
      </c>
      <c r="N77" s="50">
        <v>0</v>
      </c>
      <c r="O77" s="15">
        <f t="shared" si="35"/>
        <v>0</v>
      </c>
      <c r="P77" s="15">
        <f t="shared" si="36"/>
        <v>5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0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2</v>
      </c>
      <c r="J97" s="50">
        <v>1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3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15">
        <f t="shared" si="35"/>
        <v>0</v>
      </c>
      <c r="P102" s="15">
        <f t="shared" si="36"/>
        <v>0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0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1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6</v>
      </c>
      <c r="N105" s="50">
        <v>0</v>
      </c>
      <c r="O105" s="15">
        <f t="shared" si="35"/>
        <v>0</v>
      </c>
      <c r="P105" s="15">
        <f t="shared" si="36"/>
        <v>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</v>
      </c>
      <c r="D106" s="16">
        <f t="shared" ref="D106:P106" si="37">SUM(D10:D105)</f>
        <v>7</v>
      </c>
      <c r="E106" s="16">
        <f t="shared" si="37"/>
        <v>7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28</v>
      </c>
      <c r="J106" s="16">
        <f t="shared" si="37"/>
        <v>2</v>
      </c>
      <c r="K106" s="16">
        <f t="shared" si="37"/>
        <v>0</v>
      </c>
      <c r="L106" s="16">
        <f t="shared" si="37"/>
        <v>0</v>
      </c>
      <c r="M106" s="16">
        <f t="shared" si="37"/>
        <v>547</v>
      </c>
      <c r="N106" s="16">
        <f t="shared" si="37"/>
        <v>0</v>
      </c>
      <c r="O106" s="16">
        <f t="shared" si="37"/>
        <v>47</v>
      </c>
      <c r="P106" s="16">
        <f t="shared" si="37"/>
        <v>594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5.0505050505050509E-3</v>
      </c>
      <c r="D107" s="43">
        <f t="shared" si="38"/>
        <v>1.1784511784511785E-2</v>
      </c>
      <c r="E107" s="43">
        <f t="shared" si="38"/>
        <v>1.1784511784511785E-2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4.7138047138047139E-2</v>
      </c>
      <c r="J107" s="43">
        <f t="shared" si="38"/>
        <v>3.3670033670033669E-3</v>
      </c>
      <c r="K107" s="43">
        <f t="shared" si="38"/>
        <v>0</v>
      </c>
      <c r="L107" s="43">
        <f t="shared" si="38"/>
        <v>0</v>
      </c>
      <c r="M107" s="43">
        <f t="shared" si="38"/>
        <v>0.92087542087542085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6.3829787234042548E-2</v>
      </c>
      <c r="D108" s="44">
        <f t="shared" ref="D108:N108" si="39">D106/$O$106</f>
        <v>0.14893617021276595</v>
      </c>
      <c r="E108" s="44">
        <f t="shared" si="39"/>
        <v>0.14893617021276595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0.5957446808510638</v>
      </c>
      <c r="J108" s="44">
        <f t="shared" si="39"/>
        <v>4.2553191489361701E-2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L4" sqref="L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">
        <v>178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8" t="s">
        <v>166</v>
      </c>
      <c r="H5" s="69"/>
      <c r="I5" s="14"/>
      <c r="J5" s="2" t="s">
        <v>5</v>
      </c>
      <c r="K5" s="68" t="s">
        <v>169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164</v>
      </c>
      <c r="E6" s="69"/>
      <c r="F6" s="2" t="s">
        <v>2</v>
      </c>
      <c r="G6" s="68" t="s">
        <v>165</v>
      </c>
      <c r="H6" s="69"/>
      <c r="J6" s="2" t="s">
        <v>21</v>
      </c>
      <c r="K6" s="68" t="s">
        <v>167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0</v>
      </c>
      <c r="AF10" s="31">
        <f t="shared" si="2"/>
        <v>26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37</v>
      </c>
      <c r="AD11" s="17">
        <f t="shared" si="3"/>
        <v>0</v>
      </c>
      <c r="AE11" s="31">
        <f t="shared" si="3"/>
        <v>0</v>
      </c>
      <c r="AF11" s="31">
        <f t="shared" si="3"/>
        <v>37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0</v>
      </c>
      <c r="P12" s="15">
        <f t="shared" si="1"/>
        <v>7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0</v>
      </c>
      <c r="AF12" s="31">
        <f t="shared" si="4"/>
        <v>29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13</v>
      </c>
      <c r="N13" s="50">
        <v>0</v>
      </c>
      <c r="O13" s="15">
        <f t="shared" si="0"/>
        <v>0</v>
      </c>
      <c r="P13" s="15">
        <f t="shared" si="1"/>
        <v>13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65</v>
      </c>
      <c r="AD13" s="17">
        <f t="shared" si="5"/>
        <v>0</v>
      </c>
      <c r="AE13" s="31">
        <f t="shared" si="5"/>
        <v>0</v>
      </c>
      <c r="AF13" s="31">
        <f t="shared" si="5"/>
        <v>65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47</v>
      </c>
      <c r="AD14" s="17">
        <f t="shared" si="6"/>
        <v>0</v>
      </c>
      <c r="AE14" s="31">
        <f t="shared" si="6"/>
        <v>1</v>
      </c>
      <c r="AF14" s="31">
        <f t="shared" si="6"/>
        <v>48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0</v>
      </c>
      <c r="P15" s="15">
        <f t="shared" si="1"/>
        <v>8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45</v>
      </c>
      <c r="AD15" s="17">
        <f t="shared" si="7"/>
        <v>0</v>
      </c>
      <c r="AE15" s="31">
        <f t="shared" si="7"/>
        <v>0</v>
      </c>
      <c r="AF15" s="31">
        <f t="shared" si="7"/>
        <v>45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0</v>
      </c>
      <c r="P16" s="15">
        <f t="shared" si="1"/>
        <v>9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8</v>
      </c>
      <c r="AD16" s="17">
        <f t="shared" si="8"/>
        <v>0</v>
      </c>
      <c r="AE16" s="31">
        <f t="shared" si="8"/>
        <v>0</v>
      </c>
      <c r="AF16" s="31">
        <f t="shared" si="8"/>
        <v>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0</v>
      </c>
      <c r="P17" s="15">
        <f t="shared" si="1"/>
        <v>17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0</v>
      </c>
      <c r="AD17" s="17">
        <f t="shared" si="9"/>
        <v>0</v>
      </c>
      <c r="AE17" s="31">
        <f t="shared" si="9"/>
        <v>0</v>
      </c>
      <c r="AF17" s="31">
        <f t="shared" si="9"/>
        <v>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0</v>
      </c>
      <c r="P18" s="15">
        <f t="shared" si="1"/>
        <v>7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0</v>
      </c>
      <c r="AD18" s="17">
        <f t="shared" si="10"/>
        <v>0</v>
      </c>
      <c r="AE18" s="31">
        <f t="shared" si="10"/>
        <v>0</v>
      </c>
      <c r="AF18" s="31">
        <f t="shared" si="10"/>
        <v>0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0</v>
      </c>
      <c r="P19" s="15">
        <f t="shared" si="1"/>
        <v>11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0</v>
      </c>
      <c r="AD19" s="17">
        <f t="shared" si="11"/>
        <v>0</v>
      </c>
      <c r="AE19" s="31">
        <f t="shared" si="11"/>
        <v>0</v>
      </c>
      <c r="AF19" s="31">
        <f t="shared" si="11"/>
        <v>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0</v>
      </c>
      <c r="P20" s="15">
        <f t="shared" si="1"/>
        <v>5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0</v>
      </c>
      <c r="AD20" s="17">
        <f t="shared" si="12"/>
        <v>0</v>
      </c>
      <c r="AE20" s="31">
        <f t="shared" si="12"/>
        <v>0</v>
      </c>
      <c r="AF20" s="31">
        <f t="shared" si="12"/>
        <v>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0</v>
      </c>
      <c r="P21" s="15">
        <f t="shared" si="1"/>
        <v>6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0</v>
      </c>
      <c r="AD21" s="17">
        <f t="shared" si="13"/>
        <v>0</v>
      </c>
      <c r="AE21" s="31">
        <f t="shared" si="13"/>
        <v>0</v>
      </c>
      <c r="AF21" s="31">
        <f t="shared" si="13"/>
        <v>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20</v>
      </c>
      <c r="N22" s="50">
        <v>0</v>
      </c>
      <c r="O22" s="15">
        <f t="shared" si="0"/>
        <v>0</v>
      </c>
      <c r="P22" s="15">
        <f t="shared" si="1"/>
        <v>20</v>
      </c>
      <c r="R22" s="38" t="s">
        <v>90</v>
      </c>
      <c r="S22" s="39">
        <f>MAX(S10:S12)</f>
        <v>0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37</v>
      </c>
      <c r="AD22" s="39">
        <f t="shared" si="14"/>
        <v>0</v>
      </c>
      <c r="AE22" s="40">
        <f t="shared" si="14"/>
        <v>0</v>
      </c>
      <c r="AF22" s="40">
        <f t="shared" si="14"/>
        <v>37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0</v>
      </c>
      <c r="P23" s="15">
        <f t="shared" si="1"/>
        <v>18</v>
      </c>
      <c r="R23" s="38" t="s">
        <v>91</v>
      </c>
      <c r="S23" s="39">
        <f>MAX(S13:S18)</f>
        <v>0</v>
      </c>
      <c r="T23" s="39">
        <f t="shared" ref="T23:AF23" si="15">MAX(T13:T18)</f>
        <v>0</v>
      </c>
      <c r="U23" s="39">
        <f t="shared" si="15"/>
        <v>0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65</v>
      </c>
      <c r="AD23" s="39">
        <f t="shared" si="15"/>
        <v>0</v>
      </c>
      <c r="AE23" s="40">
        <f t="shared" si="15"/>
        <v>1</v>
      </c>
      <c r="AF23" s="40">
        <f t="shared" si="15"/>
        <v>65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0</v>
      </c>
      <c r="P24" s="15">
        <f t="shared" si="1"/>
        <v>12</v>
      </c>
      <c r="R24" s="38" t="s">
        <v>92</v>
      </c>
      <c r="S24" s="39">
        <f>MAX(S19:S21)</f>
        <v>0</v>
      </c>
      <c r="T24" s="39">
        <f t="shared" ref="T24:AF24" si="16">MAX(T19:T21)</f>
        <v>0</v>
      </c>
      <c r="U24" s="39">
        <f t="shared" si="16"/>
        <v>0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0</v>
      </c>
      <c r="AD24" s="39">
        <f t="shared" si="16"/>
        <v>0</v>
      </c>
      <c r="AE24" s="40">
        <f t="shared" si="16"/>
        <v>0</v>
      </c>
      <c r="AF24" s="40">
        <f t="shared" si="16"/>
        <v>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15</v>
      </c>
      <c r="N25" s="50">
        <v>0</v>
      </c>
      <c r="O25" s="15">
        <f t="shared" si="0"/>
        <v>0</v>
      </c>
      <c r="P25" s="15">
        <f t="shared" si="1"/>
        <v>15</v>
      </c>
      <c r="R25" s="37" t="s">
        <v>85</v>
      </c>
      <c r="S25" s="35">
        <f t="shared" ref="S25:AF25" si="17">SUM(S10:S12)</f>
        <v>0</v>
      </c>
      <c r="T25" s="16">
        <f t="shared" si="17"/>
        <v>0</v>
      </c>
      <c r="U25" s="16">
        <f t="shared" si="17"/>
        <v>0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92</v>
      </c>
      <c r="AD25" s="16">
        <f t="shared" si="17"/>
        <v>0</v>
      </c>
      <c r="AE25" s="32">
        <f t="shared" si="17"/>
        <v>0</v>
      </c>
      <c r="AF25" s="32">
        <f t="shared" si="17"/>
        <v>92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0</v>
      </c>
      <c r="P26" s="15">
        <f t="shared" si="1"/>
        <v>8</v>
      </c>
      <c r="R26" s="28" t="s">
        <v>86</v>
      </c>
      <c r="S26" s="16">
        <f t="shared" ref="S26:AF26" si="18">SUM(S13:S18)</f>
        <v>0</v>
      </c>
      <c r="T26" s="16">
        <f t="shared" si="18"/>
        <v>0</v>
      </c>
      <c r="U26" s="16">
        <f t="shared" si="18"/>
        <v>0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165</v>
      </c>
      <c r="AD26" s="16">
        <f t="shared" si="18"/>
        <v>0</v>
      </c>
      <c r="AE26" s="32">
        <f t="shared" si="18"/>
        <v>1</v>
      </c>
      <c r="AF26" s="32">
        <f t="shared" si="18"/>
        <v>166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0</v>
      </c>
      <c r="P27" s="15">
        <f t="shared" si="1"/>
        <v>13</v>
      </c>
      <c r="R27" s="29" t="s">
        <v>87</v>
      </c>
      <c r="S27" s="16">
        <f t="shared" ref="S27:AF27" si="19">SUM(S19:S21)</f>
        <v>0</v>
      </c>
      <c r="T27" s="16">
        <f t="shared" si="19"/>
        <v>0</v>
      </c>
      <c r="U27" s="16">
        <f t="shared" si="19"/>
        <v>0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0</v>
      </c>
      <c r="AD27" s="16">
        <f t="shared" si="19"/>
        <v>0</v>
      </c>
      <c r="AE27" s="32">
        <f t="shared" si="19"/>
        <v>0</v>
      </c>
      <c r="AF27" s="32">
        <f t="shared" si="19"/>
        <v>0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18</v>
      </c>
      <c r="N28" s="50">
        <v>0</v>
      </c>
      <c r="O28" s="15">
        <f t="shared" si="0"/>
        <v>1</v>
      </c>
      <c r="P28" s="15">
        <f t="shared" si="1"/>
        <v>19</v>
      </c>
      <c r="R28" s="5" t="s">
        <v>17</v>
      </c>
      <c r="S28" s="16">
        <f t="shared" ref="S28:AF28" si="20">SUM(S10:S21)</f>
        <v>0</v>
      </c>
      <c r="T28" s="16">
        <f t="shared" si="20"/>
        <v>0</v>
      </c>
      <c r="U28" s="16">
        <f t="shared" si="20"/>
        <v>0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1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257</v>
      </c>
      <c r="AD28" s="16">
        <f t="shared" si="20"/>
        <v>0</v>
      </c>
      <c r="AE28" s="32">
        <f t="shared" si="20"/>
        <v>1</v>
      </c>
      <c r="AF28" s="32">
        <f t="shared" si="20"/>
        <v>258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0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0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12</v>
      </c>
      <c r="N31" s="50">
        <v>0</v>
      </c>
      <c r="O31" s="15">
        <f t="shared" si="0"/>
        <v>0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0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</v>
      </c>
      <c r="N33" s="50">
        <v>0</v>
      </c>
      <c r="O33" s="15">
        <f t="shared" si="0"/>
        <v>0</v>
      </c>
      <c r="P33" s="15">
        <f t="shared" si="1"/>
        <v>6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0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0</v>
      </c>
      <c r="N37" s="50">
        <v>0</v>
      </c>
      <c r="O37" s="15">
        <f t="shared" si="0"/>
        <v>0</v>
      </c>
      <c r="P37" s="15">
        <f t="shared" si="1"/>
        <v>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15">
        <f t="shared" si="0"/>
        <v>0</v>
      </c>
      <c r="P38" s="15">
        <f t="shared" si="1"/>
        <v>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0</v>
      </c>
      <c r="N39" s="50">
        <v>0</v>
      </c>
      <c r="O39" s="15">
        <f t="shared" si="0"/>
        <v>0</v>
      </c>
      <c r="P39" s="15">
        <f t="shared" si="1"/>
        <v>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0</v>
      </c>
      <c r="N40" s="50">
        <v>0</v>
      </c>
      <c r="O40" s="15">
        <f t="shared" si="0"/>
        <v>0</v>
      </c>
      <c r="P40" s="15">
        <f t="shared" si="1"/>
        <v>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15">
        <f t="shared" si="0"/>
        <v>0</v>
      </c>
      <c r="P41" s="15">
        <f t="shared" si="1"/>
        <v>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15">
        <f t="shared" si="0"/>
        <v>0</v>
      </c>
      <c r="P42" s="15">
        <f t="shared" si="1"/>
        <v>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0</v>
      </c>
      <c r="N44" s="50">
        <v>0</v>
      </c>
      <c r="O44" s="15">
        <f t="shared" si="0"/>
        <v>0</v>
      </c>
      <c r="P44" s="15">
        <f t="shared" si="1"/>
        <v>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0</v>
      </c>
      <c r="N45" s="50">
        <v>0</v>
      </c>
      <c r="O45" s="15">
        <f t="shared" si="0"/>
        <v>0</v>
      </c>
      <c r="P45" s="15">
        <f t="shared" si="1"/>
        <v>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15">
        <f t="shared" si="0"/>
        <v>0</v>
      </c>
      <c r="P46" s="15">
        <f t="shared" si="1"/>
        <v>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0</v>
      </c>
      <c r="N47" s="50">
        <v>0</v>
      </c>
      <c r="O47" s="15">
        <f t="shared" si="0"/>
        <v>0</v>
      </c>
      <c r="P47" s="15">
        <f t="shared" si="1"/>
        <v>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0</v>
      </c>
      <c r="N48" s="50">
        <v>0</v>
      </c>
      <c r="O48" s="15">
        <f t="shared" si="0"/>
        <v>0</v>
      </c>
      <c r="P48" s="15">
        <f t="shared" si="1"/>
        <v>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15">
        <f t="shared" si="0"/>
        <v>0</v>
      </c>
      <c r="P49" s="15">
        <f t="shared" si="1"/>
        <v>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15">
        <f t="shared" si="0"/>
        <v>0</v>
      </c>
      <c r="P50" s="15">
        <f t="shared" si="1"/>
        <v>0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15">
        <f t="shared" si="0"/>
        <v>0</v>
      </c>
      <c r="P51" s="15">
        <f t="shared" si="1"/>
        <v>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15">
        <f t="shared" si="0"/>
        <v>0</v>
      </c>
      <c r="P52" s="15">
        <f t="shared" si="1"/>
        <v>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0</v>
      </c>
      <c r="N53" s="50">
        <v>0</v>
      </c>
      <c r="O53" s="15">
        <f t="shared" si="0"/>
        <v>0</v>
      </c>
      <c r="P53" s="15">
        <f t="shared" si="1"/>
        <v>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15">
        <f t="shared" si="0"/>
        <v>0</v>
      </c>
      <c r="P54" s="15">
        <f t="shared" si="1"/>
        <v>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15">
        <f t="shared" si="0"/>
        <v>0</v>
      </c>
      <c r="P55" s="15">
        <f t="shared" si="1"/>
        <v>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15">
        <f t="shared" si="0"/>
        <v>0</v>
      </c>
      <c r="P56" s="15">
        <f t="shared" si="1"/>
        <v>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0</v>
      </c>
      <c r="E58" s="16">
        <f t="shared" si="21"/>
        <v>0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1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257</v>
      </c>
      <c r="N58" s="16">
        <f t="shared" si="21"/>
        <v>0</v>
      </c>
      <c r="O58" s="16">
        <f t="shared" si="21"/>
        <v>1</v>
      </c>
      <c r="P58" s="16">
        <f t="shared" si="21"/>
        <v>258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0</v>
      </c>
      <c r="E59" s="43">
        <f t="shared" si="22"/>
        <v>0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3.875968992248062E-3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0.99612403100775193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0</v>
      </c>
      <c r="E60" s="44">
        <f t="shared" si="23"/>
        <v>0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1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4" zoomScale="60" workbookViewId="0">
      <selection activeCell="I58" sqref="I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">
        <v>178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'25.08 Suam-Bukwo'!D5</f>
        <v>25.08.19</v>
      </c>
      <c r="E5" s="3"/>
      <c r="F5" s="41" t="s">
        <v>1</v>
      </c>
      <c r="G5" s="68" t="s">
        <v>166</v>
      </c>
      <c r="H5" s="69"/>
      <c r="I5" s="14"/>
      <c r="J5" s="2" t="s">
        <v>5</v>
      </c>
      <c r="K5" s="68" t="s">
        <v>169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165</v>
      </c>
      <c r="E6" s="69"/>
      <c r="F6" s="2" t="s">
        <v>2</v>
      </c>
      <c r="G6" s="68" t="s">
        <v>164</v>
      </c>
      <c r="H6" s="69"/>
      <c r="J6" s="2" t="s">
        <v>21</v>
      </c>
      <c r="K6" s="68" t="s">
        <v>167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17</v>
      </c>
      <c r="AD10" s="17">
        <f t="shared" si="2"/>
        <v>0</v>
      </c>
      <c r="AE10" s="31">
        <f t="shared" si="2"/>
        <v>2</v>
      </c>
      <c r="AF10" s="31">
        <f t="shared" si="2"/>
        <v>19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1</v>
      </c>
      <c r="P11" s="15">
        <f t="shared" si="1"/>
        <v>4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42</v>
      </c>
      <c r="AD11" s="17">
        <f t="shared" si="3"/>
        <v>0</v>
      </c>
      <c r="AE11" s="31">
        <f t="shared" si="3"/>
        <v>3</v>
      </c>
      <c r="AF11" s="31">
        <f t="shared" si="3"/>
        <v>45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39</v>
      </c>
      <c r="AD12" s="17">
        <f t="shared" si="4"/>
        <v>0</v>
      </c>
      <c r="AE12" s="31">
        <f t="shared" si="4"/>
        <v>3</v>
      </c>
      <c r="AF12" s="31">
        <f t="shared" si="4"/>
        <v>42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1</v>
      </c>
      <c r="P13" s="15">
        <f t="shared" si="1"/>
        <v>8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57</v>
      </c>
      <c r="AD13" s="17">
        <f t="shared" si="5"/>
        <v>0</v>
      </c>
      <c r="AE13" s="31">
        <f t="shared" si="5"/>
        <v>1</v>
      </c>
      <c r="AF13" s="31">
        <f t="shared" si="5"/>
        <v>58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0</v>
      </c>
      <c r="P14" s="15">
        <f t="shared" si="1"/>
        <v>6</v>
      </c>
      <c r="R14" s="1" t="s">
        <v>10</v>
      </c>
      <c r="S14" s="17">
        <f t="shared" ref="S14:AF14" si="6">SUM(C26:C29)</f>
        <v>0</v>
      </c>
      <c r="T14" s="17">
        <f t="shared" si="6"/>
        <v>2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38</v>
      </c>
      <c r="AD14" s="17">
        <f t="shared" si="6"/>
        <v>0</v>
      </c>
      <c r="AE14" s="31">
        <f t="shared" si="6"/>
        <v>4</v>
      </c>
      <c r="AF14" s="31">
        <f t="shared" si="6"/>
        <v>42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3</v>
      </c>
      <c r="P15" s="15">
        <f t="shared" si="1"/>
        <v>12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45</v>
      </c>
      <c r="AD15" s="17">
        <f t="shared" si="7"/>
        <v>0</v>
      </c>
      <c r="AE15" s="31">
        <f t="shared" si="7"/>
        <v>1</v>
      </c>
      <c r="AF15" s="31">
        <f t="shared" si="7"/>
        <v>46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0</v>
      </c>
      <c r="P16" s="15">
        <f t="shared" si="1"/>
        <v>12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35</v>
      </c>
      <c r="AD16" s="17">
        <f t="shared" si="8"/>
        <v>0</v>
      </c>
      <c r="AE16" s="31">
        <f t="shared" si="8"/>
        <v>2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0</v>
      </c>
      <c r="P17" s="15">
        <f t="shared" si="1"/>
        <v>15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42</v>
      </c>
      <c r="AD17" s="17">
        <f t="shared" si="9"/>
        <v>0</v>
      </c>
      <c r="AE17" s="31">
        <f t="shared" si="9"/>
        <v>3</v>
      </c>
      <c r="AF17" s="31">
        <f t="shared" si="9"/>
        <v>45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0</v>
      </c>
      <c r="P18" s="15">
        <f t="shared" si="1"/>
        <v>11</v>
      </c>
      <c r="R18" s="1" t="s">
        <v>14</v>
      </c>
      <c r="S18" s="17">
        <f t="shared" ref="S18:AF18" si="10">SUM(C42:C45)</f>
        <v>0</v>
      </c>
      <c r="T18" s="17">
        <f t="shared" si="10"/>
        <v>2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37</v>
      </c>
      <c r="AD18" s="17">
        <f t="shared" si="10"/>
        <v>0</v>
      </c>
      <c r="AE18" s="31">
        <f t="shared" si="10"/>
        <v>5</v>
      </c>
      <c r="AF18" s="31">
        <f t="shared" si="10"/>
        <v>42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9</v>
      </c>
      <c r="N19" s="50">
        <v>0</v>
      </c>
      <c r="O19" s="15">
        <f t="shared" si="0"/>
        <v>1</v>
      </c>
      <c r="P19" s="15">
        <f t="shared" si="1"/>
        <v>10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51</v>
      </c>
      <c r="AD19" s="17">
        <f t="shared" si="11"/>
        <v>0</v>
      </c>
      <c r="AE19" s="31">
        <f t="shared" si="11"/>
        <v>58</v>
      </c>
      <c r="AF19" s="31">
        <f t="shared" si="11"/>
        <v>55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2</v>
      </c>
      <c r="P20" s="15">
        <f t="shared" si="1"/>
        <v>13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5</v>
      </c>
      <c r="AF20" s="31">
        <f t="shared" si="12"/>
        <v>54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0</v>
      </c>
      <c r="P21" s="15">
        <f t="shared" si="1"/>
        <v>8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36</v>
      </c>
      <c r="AD21" s="17">
        <f t="shared" si="13"/>
        <v>0</v>
      </c>
      <c r="AE21" s="31">
        <f t="shared" si="13"/>
        <v>4</v>
      </c>
      <c r="AF21" s="31">
        <f t="shared" si="13"/>
        <v>40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0</v>
      </c>
      <c r="P22" s="15">
        <f t="shared" si="1"/>
        <v>10</v>
      </c>
      <c r="R22" s="38" t="s">
        <v>90</v>
      </c>
      <c r="S22" s="39">
        <f>MAX(S10:S12)</f>
        <v>0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42</v>
      </c>
      <c r="AD22" s="39">
        <f t="shared" si="14"/>
        <v>0</v>
      </c>
      <c r="AE22" s="40">
        <f t="shared" si="14"/>
        <v>3</v>
      </c>
      <c r="AF22" s="40">
        <f t="shared" si="14"/>
        <v>45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/>
      <c r="L23" s="50">
        <v>0</v>
      </c>
      <c r="M23" s="50">
        <v>16</v>
      </c>
      <c r="N23" s="50">
        <v>0</v>
      </c>
      <c r="O23" s="15">
        <f t="shared" si="0"/>
        <v>0</v>
      </c>
      <c r="P23" s="15">
        <f t="shared" si="1"/>
        <v>16</v>
      </c>
      <c r="R23" s="38" t="s">
        <v>91</v>
      </c>
      <c r="S23" s="39">
        <f>MAX(S13:S18)</f>
        <v>0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57</v>
      </c>
      <c r="AD23" s="39">
        <f t="shared" si="15"/>
        <v>0</v>
      </c>
      <c r="AE23" s="40">
        <f t="shared" si="15"/>
        <v>5</v>
      </c>
      <c r="AF23" s="40">
        <f t="shared" si="15"/>
        <v>58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0</v>
      </c>
      <c r="P24" s="15">
        <f t="shared" si="1"/>
        <v>19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51</v>
      </c>
      <c r="AD24" s="39">
        <f t="shared" si="16"/>
        <v>0</v>
      </c>
      <c r="AE24" s="40">
        <f t="shared" si="16"/>
        <v>58</v>
      </c>
      <c r="AF24" s="40">
        <f t="shared" si="16"/>
        <v>55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1</v>
      </c>
      <c r="P25" s="15">
        <f t="shared" si="1"/>
        <v>13</v>
      </c>
      <c r="R25" s="37" t="s">
        <v>85</v>
      </c>
      <c r="S25" s="35">
        <f t="shared" ref="S25:AF25" si="17">SUM(S10:S12)</f>
        <v>0</v>
      </c>
      <c r="T25" s="16">
        <f t="shared" si="17"/>
        <v>0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98</v>
      </c>
      <c r="AD25" s="16">
        <f t="shared" si="17"/>
        <v>0</v>
      </c>
      <c r="AE25" s="32">
        <f t="shared" si="17"/>
        <v>8</v>
      </c>
      <c r="AF25" s="32">
        <f t="shared" si="17"/>
        <v>106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2</v>
      </c>
      <c r="P26" s="15">
        <f t="shared" si="1"/>
        <v>9</v>
      </c>
      <c r="R26" s="28" t="s">
        <v>86</v>
      </c>
      <c r="S26" s="16">
        <f t="shared" ref="S26:AF26" si="18">SUM(S13:S18)</f>
        <v>0</v>
      </c>
      <c r="T26" s="16">
        <f t="shared" si="18"/>
        <v>5</v>
      </c>
      <c r="U26" s="16">
        <f t="shared" si="18"/>
        <v>1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10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254</v>
      </c>
      <c r="AD26" s="16">
        <f t="shared" si="18"/>
        <v>0</v>
      </c>
      <c r="AE26" s="32">
        <f t="shared" si="18"/>
        <v>16</v>
      </c>
      <c r="AF26" s="32">
        <f t="shared" si="18"/>
        <v>270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2</v>
      </c>
      <c r="P27" s="15">
        <f t="shared" si="1"/>
        <v>11</v>
      </c>
      <c r="R27" s="29" t="s">
        <v>87</v>
      </c>
      <c r="S27" s="16">
        <f t="shared" ref="S27:AF27" si="19">SUM(S19:S21)</f>
        <v>0</v>
      </c>
      <c r="T27" s="16">
        <f t="shared" si="19"/>
        <v>1</v>
      </c>
      <c r="U27" s="16">
        <f t="shared" si="19"/>
        <v>4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8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136</v>
      </c>
      <c r="AD27" s="16">
        <f t="shared" si="19"/>
        <v>0</v>
      </c>
      <c r="AE27" s="32">
        <f t="shared" si="19"/>
        <v>67</v>
      </c>
      <c r="AF27" s="32">
        <f t="shared" si="19"/>
        <v>149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0</v>
      </c>
      <c r="P28" s="15">
        <f t="shared" si="1"/>
        <v>10</v>
      </c>
      <c r="R28" s="5" t="s">
        <v>17</v>
      </c>
      <c r="S28" s="16">
        <f t="shared" ref="S28:AF28" si="20">SUM(S10:S21)</f>
        <v>0</v>
      </c>
      <c r="T28" s="16">
        <f t="shared" si="20"/>
        <v>6</v>
      </c>
      <c r="U28" s="16">
        <f t="shared" si="20"/>
        <v>7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22</v>
      </c>
      <c r="Z28" s="16">
        <f t="shared" si="20"/>
        <v>2</v>
      </c>
      <c r="AA28" s="16">
        <f t="shared" si="20"/>
        <v>0</v>
      </c>
      <c r="AB28" s="16">
        <f t="shared" si="20"/>
        <v>0</v>
      </c>
      <c r="AC28" s="16">
        <f t="shared" si="20"/>
        <v>488</v>
      </c>
      <c r="AD28" s="16">
        <f t="shared" si="20"/>
        <v>0</v>
      </c>
      <c r="AE28" s="32">
        <f t="shared" si="20"/>
        <v>91</v>
      </c>
      <c r="AF28" s="32">
        <f t="shared" si="20"/>
        <v>525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0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0</v>
      </c>
      <c r="P30" s="15">
        <f t="shared" si="1"/>
        <v>8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0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1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0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0</v>
      </c>
      <c r="P34" s="15">
        <f t="shared" si="1"/>
        <v>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0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1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1</v>
      </c>
      <c r="P37" s="15">
        <f t="shared" si="1"/>
        <v>8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1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2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0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0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2</v>
      </c>
      <c r="P42" s="15">
        <f t="shared" si="1"/>
        <v>10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0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3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0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1</v>
      </c>
      <c r="P46" s="15">
        <f t="shared" si="1"/>
        <v>15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1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9</v>
      </c>
      <c r="N48" s="50">
        <v>0</v>
      </c>
      <c r="O48" s="15">
        <v>55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0"/>
        <v>1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2</v>
      </c>
      <c r="P50" s="15">
        <f t="shared" si="1"/>
        <v>17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1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1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1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1</v>
      </c>
      <c r="P54" s="15">
        <f t="shared" si="1"/>
        <v>9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1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0</v>
      </c>
      <c r="P56" s="15">
        <f t="shared" si="1"/>
        <v>7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2</v>
      </c>
      <c r="P57" s="15">
        <f t="shared" si="1"/>
        <v>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0</v>
      </c>
      <c r="D58" s="16">
        <f t="shared" si="21"/>
        <v>6</v>
      </c>
      <c r="E58" s="16">
        <f t="shared" si="21"/>
        <v>7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22</v>
      </c>
      <c r="J58" s="16">
        <f t="shared" si="21"/>
        <v>2</v>
      </c>
      <c r="K58" s="16">
        <f t="shared" si="21"/>
        <v>0</v>
      </c>
      <c r="L58" s="16">
        <f t="shared" si="21"/>
        <v>0</v>
      </c>
      <c r="M58" s="16">
        <f t="shared" si="21"/>
        <v>488</v>
      </c>
      <c r="N58" s="16">
        <f t="shared" si="21"/>
        <v>0</v>
      </c>
      <c r="O58" s="16">
        <f t="shared" si="21"/>
        <v>91</v>
      </c>
      <c r="P58" s="16">
        <f t="shared" si="21"/>
        <v>525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</v>
      </c>
      <c r="D59" s="43">
        <f t="shared" si="22"/>
        <v>1.1428571428571429E-2</v>
      </c>
      <c r="E59" s="43">
        <f t="shared" si="22"/>
        <v>1.3333333333333334E-2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4.1904761904761903E-2</v>
      </c>
      <c r="J59" s="43">
        <f t="shared" si="22"/>
        <v>3.8095238095238095E-3</v>
      </c>
      <c r="K59" s="43">
        <f t="shared" si="22"/>
        <v>0</v>
      </c>
      <c r="L59" s="43">
        <f t="shared" si="22"/>
        <v>0</v>
      </c>
      <c r="M59" s="43">
        <f t="shared" si="22"/>
        <v>0.92952380952380953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</v>
      </c>
      <c r="D60" s="44">
        <f t="shared" ref="D60:N60" si="23">D58/$O$58</f>
        <v>6.5934065934065936E-2</v>
      </c>
      <c r="E60" s="44">
        <f t="shared" si="23"/>
        <v>7.6923076923076927E-2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0.24175824175824176</v>
      </c>
      <c r="J60" s="44">
        <f t="shared" si="23"/>
        <v>2.197802197802198E-2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B57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8" t="str">
        <f>'24.08 Bukwo-Suam-24h'!G5:H5</f>
        <v>KAMKAMBA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Suam- Bukwo'!D6:E6</f>
        <v>SUAM</v>
      </c>
      <c r="E6" s="69"/>
      <c r="F6" s="2" t="s">
        <v>2</v>
      </c>
      <c r="G6" s="68" t="str">
        <f>'23.08 Suam- Bukwo'!G6:H6</f>
        <v>BUKWO</v>
      </c>
      <c r="H6" s="69"/>
      <c r="J6" s="2" t="s">
        <v>21</v>
      </c>
      <c r="K6" s="68" t="str">
        <f>'24.08 Bukwo-Suam-24h'!K6:L6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3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25</v>
      </c>
      <c r="AD10" s="17">
        <f t="shared" si="2"/>
        <v>0</v>
      </c>
      <c r="AE10" s="31">
        <f t="shared" si="2"/>
        <v>1</v>
      </c>
      <c r="AF10" s="31">
        <f t="shared" si="2"/>
        <v>26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0</v>
      </c>
      <c r="P11" s="15">
        <f t="shared" si="1"/>
        <v>7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45</v>
      </c>
      <c r="AD11" s="17">
        <f t="shared" si="3"/>
        <v>0</v>
      </c>
      <c r="AE11" s="31">
        <f t="shared" si="3"/>
        <v>7</v>
      </c>
      <c r="AF11" s="31">
        <f t="shared" si="3"/>
        <v>52</v>
      </c>
    </row>
    <row r="12" spans="2:32" ht="23.1" customHeight="1" x14ac:dyDescent="0.25">
      <c r="B12" s="45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1</v>
      </c>
      <c r="P12" s="15">
        <f t="shared" si="1"/>
        <v>7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64</v>
      </c>
      <c r="AD12" s="17">
        <f t="shared" si="4"/>
        <v>0</v>
      </c>
      <c r="AE12" s="31">
        <f t="shared" si="4"/>
        <v>4</v>
      </c>
      <c r="AF12" s="31">
        <f t="shared" si="4"/>
        <v>68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0</v>
      </c>
      <c r="P13" s="15">
        <f t="shared" si="1"/>
        <v>9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74</v>
      </c>
      <c r="AD13" s="17">
        <f t="shared" si="5"/>
        <v>0</v>
      </c>
      <c r="AE13" s="31">
        <f t="shared" si="5"/>
        <v>4</v>
      </c>
      <c r="AF13" s="31">
        <f t="shared" si="5"/>
        <v>78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1</v>
      </c>
      <c r="P14" s="15">
        <f t="shared" si="1"/>
        <v>6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63</v>
      </c>
      <c r="AD14" s="17">
        <f t="shared" si="6"/>
        <v>0</v>
      </c>
      <c r="AE14" s="31">
        <f t="shared" si="6"/>
        <v>2</v>
      </c>
      <c r="AF14" s="31">
        <f t="shared" si="6"/>
        <v>65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3</v>
      </c>
      <c r="P15" s="15">
        <f t="shared" si="1"/>
        <v>13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55</v>
      </c>
      <c r="AD15" s="17">
        <f t="shared" si="7"/>
        <v>11</v>
      </c>
      <c r="AE15" s="31">
        <f t="shared" si="7"/>
        <v>13</v>
      </c>
      <c r="AF15" s="31">
        <f t="shared" si="7"/>
        <v>68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2</v>
      </c>
      <c r="P16" s="15">
        <f t="shared" si="1"/>
        <v>16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51</v>
      </c>
      <c r="AD16" s="17">
        <f t="shared" si="8"/>
        <v>0</v>
      </c>
      <c r="AE16" s="31">
        <f t="shared" si="8"/>
        <v>2</v>
      </c>
      <c r="AF16" s="31">
        <f t="shared" si="8"/>
        <v>53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16</v>
      </c>
      <c r="N17" s="50">
        <v>0</v>
      </c>
      <c r="O17" s="15">
        <f t="shared" si="0"/>
        <v>1</v>
      </c>
      <c r="P17" s="15">
        <f t="shared" si="1"/>
        <v>17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50</v>
      </c>
      <c r="AD17" s="17">
        <f t="shared" si="9"/>
        <v>1</v>
      </c>
      <c r="AE17" s="31">
        <f t="shared" si="9"/>
        <v>3</v>
      </c>
      <c r="AF17" s="31">
        <f t="shared" si="9"/>
        <v>53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16</v>
      </c>
      <c r="N18" s="50">
        <v>0</v>
      </c>
      <c r="O18" s="15">
        <f t="shared" si="0"/>
        <v>1</v>
      </c>
      <c r="P18" s="15">
        <f t="shared" si="1"/>
        <v>17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15</v>
      </c>
      <c r="AD18" s="17">
        <f t="shared" si="10"/>
        <v>0</v>
      </c>
      <c r="AE18" s="31">
        <f t="shared" si="10"/>
        <v>4</v>
      </c>
      <c r="AF18" s="31">
        <f t="shared" si="10"/>
        <v>19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23</v>
      </c>
      <c r="N19" s="50">
        <v>0</v>
      </c>
      <c r="O19" s="15">
        <f t="shared" si="0"/>
        <v>1</v>
      </c>
      <c r="P19" s="15">
        <f t="shared" si="1"/>
        <v>24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18</v>
      </c>
      <c r="AD19" s="17">
        <f t="shared" si="11"/>
        <v>0</v>
      </c>
      <c r="AE19" s="31">
        <f t="shared" si="11"/>
        <v>0</v>
      </c>
      <c r="AF19" s="31">
        <f t="shared" si="11"/>
        <v>18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1</v>
      </c>
      <c r="P20" s="15">
        <f t="shared" si="1"/>
        <v>11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2</v>
      </c>
      <c r="AF20" s="31">
        <f t="shared" si="12"/>
        <v>25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1</v>
      </c>
      <c r="P21" s="15">
        <f t="shared" si="1"/>
        <v>16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35</v>
      </c>
      <c r="AD21" s="17">
        <f t="shared" si="13"/>
        <v>0</v>
      </c>
      <c r="AE21" s="31">
        <f t="shared" si="13"/>
        <v>2</v>
      </c>
      <c r="AF21" s="31">
        <f t="shared" si="13"/>
        <v>37</v>
      </c>
    </row>
    <row r="22" spans="2:32" ht="23.1" customHeight="1" x14ac:dyDescent="0.25">
      <c r="B22" s="45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2</v>
      </c>
      <c r="P22" s="15">
        <f t="shared" si="1"/>
        <v>19</v>
      </c>
      <c r="R22" s="36" t="s">
        <v>146</v>
      </c>
      <c r="S22" s="34">
        <f>SUM(C58:C61)</f>
        <v>2</v>
      </c>
      <c r="T22" s="34">
        <f t="shared" ref="T22:AF22" si="14">SUM(D58:D61)</f>
        <v>0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27</v>
      </c>
      <c r="AD22" s="34">
        <f t="shared" si="14"/>
        <v>0</v>
      </c>
      <c r="AE22" s="31">
        <f t="shared" si="14"/>
        <v>6</v>
      </c>
      <c r="AF22" s="31">
        <f t="shared" si="14"/>
        <v>33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0</v>
      </c>
      <c r="P23" s="15">
        <f t="shared" si="1"/>
        <v>23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20</v>
      </c>
      <c r="AD23" s="34">
        <f t="shared" si="15"/>
        <v>0</v>
      </c>
      <c r="AE23" s="31">
        <f t="shared" si="15"/>
        <v>2</v>
      </c>
      <c r="AF23" s="31">
        <f t="shared" si="15"/>
        <v>22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1</v>
      </c>
      <c r="P24" s="15">
        <f t="shared" si="1"/>
        <v>19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19</v>
      </c>
      <c r="AD24" s="34">
        <f t="shared" si="16"/>
        <v>0</v>
      </c>
      <c r="AE24" s="31">
        <f t="shared" si="16"/>
        <v>3</v>
      </c>
      <c r="AF24" s="31">
        <f t="shared" si="16"/>
        <v>22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1</v>
      </c>
      <c r="P25" s="15">
        <f t="shared" si="1"/>
        <v>17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8</v>
      </c>
      <c r="AD25" s="34">
        <f t="shared" si="17"/>
        <v>0</v>
      </c>
      <c r="AE25" s="31">
        <f t="shared" si="17"/>
        <v>3</v>
      </c>
      <c r="AF25" s="31">
        <f t="shared" si="17"/>
        <v>11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5">
        <f t="shared" si="0"/>
        <v>1</v>
      </c>
      <c r="P26" s="15">
        <f t="shared" si="1"/>
        <v>20</v>
      </c>
      <c r="R26" s="36" t="s">
        <v>150</v>
      </c>
      <c r="S26" s="34">
        <f>SUM(C74:C77)</f>
        <v>1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</v>
      </c>
      <c r="AD26" s="34">
        <f t="shared" si="18"/>
        <v>0</v>
      </c>
      <c r="AE26" s="31">
        <f t="shared" si="18"/>
        <v>3</v>
      </c>
      <c r="AF26" s="31">
        <f t="shared" si="18"/>
        <v>7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16</v>
      </c>
      <c r="N27" s="50">
        <v>0</v>
      </c>
      <c r="O27" s="15">
        <f t="shared" si="0"/>
        <v>1</v>
      </c>
      <c r="P27" s="15">
        <f t="shared" si="1"/>
        <v>17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0</v>
      </c>
      <c r="P28" s="15">
        <f t="shared" si="1"/>
        <v>16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0</v>
      </c>
      <c r="P29" s="15">
        <f t="shared" si="1"/>
        <v>12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0</v>
      </c>
      <c r="P30" s="15">
        <f t="shared" si="1"/>
        <v>19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1</v>
      </c>
      <c r="P31" s="15">
        <f t="shared" si="1"/>
        <v>15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0</v>
      </c>
      <c r="P32" s="15">
        <f t="shared" si="1"/>
        <v>10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0</v>
      </c>
      <c r="AD32" s="34">
        <f t="shared" si="24"/>
        <v>0</v>
      </c>
      <c r="AE32" s="31">
        <f t="shared" si="24"/>
        <v>4</v>
      </c>
      <c r="AF32" s="31">
        <f t="shared" si="24"/>
        <v>4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12</v>
      </c>
      <c r="N33" s="50">
        <v>11</v>
      </c>
      <c r="O33" s="15">
        <f t="shared" si="0"/>
        <v>12</v>
      </c>
      <c r="P33" s="15">
        <f t="shared" si="1"/>
        <v>24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</v>
      </c>
      <c r="AD33" s="34">
        <f t="shared" si="25"/>
        <v>0</v>
      </c>
      <c r="AE33" s="31">
        <f t="shared" si="25"/>
        <v>2</v>
      </c>
      <c r="AF33" s="31">
        <f t="shared" si="25"/>
        <v>5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0</v>
      </c>
      <c r="P34" s="15">
        <f t="shared" si="1"/>
        <v>12</v>
      </c>
      <c r="R34" s="38" t="s">
        <v>90</v>
      </c>
      <c r="S34" s="39">
        <f t="shared" ref="S34:AF34" si="26">MAX(S10:S12)</f>
        <v>0</v>
      </c>
      <c r="T34" s="39">
        <f t="shared" si="26"/>
        <v>1</v>
      </c>
      <c r="U34" s="39">
        <f t="shared" si="26"/>
        <v>2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64</v>
      </c>
      <c r="AD34" s="39">
        <f t="shared" si="26"/>
        <v>0</v>
      </c>
      <c r="AE34" s="40">
        <f t="shared" si="26"/>
        <v>7</v>
      </c>
      <c r="AF34" s="40">
        <f t="shared" si="26"/>
        <v>68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0</v>
      </c>
      <c r="P35" s="15">
        <f t="shared" si="1"/>
        <v>14</v>
      </c>
      <c r="R35" s="38" t="s">
        <v>91</v>
      </c>
      <c r="S35" s="39">
        <f t="shared" ref="S35:AF35" si="27">MAX(S13:S18)</f>
        <v>1</v>
      </c>
      <c r="T35" s="39">
        <f t="shared" si="27"/>
        <v>1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74</v>
      </c>
      <c r="AD35" s="39">
        <f t="shared" si="27"/>
        <v>11</v>
      </c>
      <c r="AE35" s="40">
        <f t="shared" si="27"/>
        <v>13</v>
      </c>
      <c r="AF35" s="40">
        <f t="shared" si="27"/>
        <v>78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2</v>
      </c>
      <c r="P36" s="15">
        <f t="shared" si="1"/>
        <v>14</v>
      </c>
      <c r="R36" s="38" t="s">
        <v>92</v>
      </c>
      <c r="S36" s="39">
        <f t="shared" ref="S36:AF36" si="28">MAX(S19:S21)</f>
        <v>0</v>
      </c>
      <c r="T36" s="39">
        <f t="shared" si="28"/>
        <v>0</v>
      </c>
      <c r="U36" s="39">
        <f t="shared" si="28"/>
        <v>1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35</v>
      </c>
      <c r="AD36" s="39">
        <f t="shared" si="28"/>
        <v>0</v>
      </c>
      <c r="AE36" s="40">
        <f t="shared" si="28"/>
        <v>2</v>
      </c>
      <c r="AF36" s="40">
        <f t="shared" si="28"/>
        <v>37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0</v>
      </c>
      <c r="P37" s="15">
        <f t="shared" si="1"/>
        <v>13</v>
      </c>
      <c r="R37" s="37" t="s">
        <v>85</v>
      </c>
      <c r="S37" s="35">
        <f t="shared" ref="S37:AF37" si="29">SUM(S10:S12)</f>
        <v>0</v>
      </c>
      <c r="T37" s="16">
        <f t="shared" si="29"/>
        <v>2</v>
      </c>
      <c r="U37" s="16">
        <f t="shared" si="29"/>
        <v>4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5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134</v>
      </c>
      <c r="AD37" s="16">
        <f t="shared" si="29"/>
        <v>0</v>
      </c>
      <c r="AE37" s="32">
        <f t="shared" si="29"/>
        <v>12</v>
      </c>
      <c r="AF37" s="32">
        <f t="shared" si="29"/>
        <v>146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0</v>
      </c>
      <c r="P38" s="15">
        <f t="shared" si="1"/>
        <v>10</v>
      </c>
      <c r="R38" s="28" t="s">
        <v>86</v>
      </c>
      <c r="S38" s="16">
        <f t="shared" ref="S38:AF38" si="30">SUM(S13:S18)</f>
        <v>3</v>
      </c>
      <c r="T38" s="16">
        <f t="shared" si="30"/>
        <v>2</v>
      </c>
      <c r="U38" s="16">
        <f t="shared" si="30"/>
        <v>1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10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308</v>
      </c>
      <c r="AD38" s="16">
        <f t="shared" si="30"/>
        <v>12</v>
      </c>
      <c r="AE38" s="32">
        <f t="shared" si="30"/>
        <v>28</v>
      </c>
      <c r="AF38" s="32">
        <f t="shared" si="30"/>
        <v>336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/>
      <c r="L39" s="50">
        <v>0</v>
      </c>
      <c r="M39" s="50">
        <v>10</v>
      </c>
      <c r="N39" s="50">
        <v>0</v>
      </c>
      <c r="O39" s="15">
        <f t="shared" si="0"/>
        <v>0</v>
      </c>
      <c r="P39" s="15">
        <f t="shared" si="1"/>
        <v>10</v>
      </c>
      <c r="R39" s="29" t="s">
        <v>87</v>
      </c>
      <c r="S39" s="16">
        <f t="shared" ref="S39:AF39" si="31">SUM(S19:S21)</f>
        <v>0</v>
      </c>
      <c r="T39" s="16">
        <f t="shared" si="31"/>
        <v>0</v>
      </c>
      <c r="U39" s="16">
        <f t="shared" si="31"/>
        <v>1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3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76</v>
      </c>
      <c r="AD39" s="16">
        <f t="shared" si="31"/>
        <v>0</v>
      </c>
      <c r="AE39" s="32">
        <f t="shared" si="31"/>
        <v>4</v>
      </c>
      <c r="AF39" s="32">
        <f t="shared" si="31"/>
        <v>80</v>
      </c>
    </row>
    <row r="40" spans="2:32" ht="23.1" customHeight="1" x14ac:dyDescent="0.25">
      <c r="B40" s="46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2</v>
      </c>
      <c r="P40" s="15">
        <f t="shared" si="1"/>
        <v>15</v>
      </c>
      <c r="R40" s="5" t="s">
        <v>17</v>
      </c>
      <c r="S40" s="16">
        <f t="shared" ref="S40:AF40" si="32">SUM(S10:S21)</f>
        <v>3</v>
      </c>
      <c r="T40" s="16">
        <f t="shared" si="32"/>
        <v>4</v>
      </c>
      <c r="U40" s="16">
        <f t="shared" si="32"/>
        <v>6</v>
      </c>
      <c r="V40" s="16">
        <f t="shared" si="32"/>
        <v>0</v>
      </c>
      <c r="W40" s="16">
        <f t="shared" si="32"/>
        <v>0</v>
      </c>
      <c r="X40" s="16">
        <f t="shared" si="32"/>
        <v>0</v>
      </c>
      <c r="Y40" s="16">
        <f t="shared" si="32"/>
        <v>18</v>
      </c>
      <c r="Z40" s="16">
        <f t="shared" si="32"/>
        <v>1</v>
      </c>
      <c r="AA40" s="16">
        <f t="shared" si="32"/>
        <v>0</v>
      </c>
      <c r="AB40" s="16">
        <f t="shared" si="32"/>
        <v>0</v>
      </c>
      <c r="AC40" s="16">
        <f t="shared" si="32"/>
        <v>518</v>
      </c>
      <c r="AD40" s="16">
        <f t="shared" si="32"/>
        <v>12</v>
      </c>
      <c r="AE40" s="32">
        <f t="shared" si="32"/>
        <v>44</v>
      </c>
      <c r="AF40" s="32">
        <f t="shared" si="32"/>
        <v>562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17</v>
      </c>
      <c r="N41" s="50">
        <v>1</v>
      </c>
      <c r="O41" s="15">
        <f t="shared" si="0"/>
        <v>1</v>
      </c>
      <c r="P41" s="15">
        <f t="shared" si="1"/>
        <v>18</v>
      </c>
      <c r="R41" s="5" t="s">
        <v>159</v>
      </c>
      <c r="S41" s="16">
        <f>SUM(S10:S33)</f>
        <v>7</v>
      </c>
      <c r="T41" s="16">
        <f t="shared" ref="T41:AF41" si="33">SUM(T10:T33)</f>
        <v>4</v>
      </c>
      <c r="U41" s="16">
        <f t="shared" si="33"/>
        <v>12</v>
      </c>
      <c r="V41" s="16">
        <f t="shared" si="33"/>
        <v>0</v>
      </c>
      <c r="W41" s="16">
        <f t="shared" si="33"/>
        <v>0</v>
      </c>
      <c r="X41" s="16">
        <f t="shared" si="33"/>
        <v>0</v>
      </c>
      <c r="Y41" s="16">
        <f t="shared" si="33"/>
        <v>31</v>
      </c>
      <c r="Z41" s="16">
        <f t="shared" si="33"/>
        <v>1</v>
      </c>
      <c r="AA41" s="16">
        <f t="shared" si="33"/>
        <v>0</v>
      </c>
      <c r="AB41" s="16">
        <f t="shared" si="33"/>
        <v>0</v>
      </c>
      <c r="AC41" s="16">
        <f t="shared" si="33"/>
        <v>599</v>
      </c>
      <c r="AD41" s="16">
        <f t="shared" si="33"/>
        <v>12</v>
      </c>
      <c r="AE41" s="32">
        <f t="shared" si="33"/>
        <v>67</v>
      </c>
      <c r="AF41" s="32">
        <f t="shared" si="33"/>
        <v>666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2</v>
      </c>
      <c r="P42" s="15">
        <f t="shared" si="1"/>
        <v>7</v>
      </c>
      <c r="R42" s="5" t="s">
        <v>160</v>
      </c>
      <c r="S42" s="48">
        <f>S41/S40</f>
        <v>2.3333333333333335</v>
      </c>
      <c r="T42" s="48">
        <f t="shared" ref="T42:AF42" si="34">T41/T40</f>
        <v>1</v>
      </c>
      <c r="U42" s="48">
        <f t="shared" si="34"/>
        <v>2</v>
      </c>
      <c r="V42" s="48" t="e">
        <f t="shared" si="34"/>
        <v>#DIV/0!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1.7222222222222223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1.1563706563706564</v>
      </c>
      <c r="AD42" s="48">
        <f t="shared" si="34"/>
        <v>1</v>
      </c>
      <c r="AE42" s="48">
        <f t="shared" si="34"/>
        <v>1.5227272727272727</v>
      </c>
      <c r="AF42" s="48">
        <f t="shared" si="34"/>
        <v>1.1850533807829182</v>
      </c>
    </row>
    <row r="43" spans="2:32" ht="23.1" customHeight="1" x14ac:dyDescent="0.25">
      <c r="B43" s="45" t="s">
        <v>180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15">
        <f t="shared" si="0"/>
        <v>0</v>
      </c>
      <c r="P43" s="15">
        <f t="shared" si="1"/>
        <v>0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1</v>
      </c>
      <c r="P44" s="15">
        <f t="shared" si="1"/>
        <v>5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1</v>
      </c>
      <c r="P45" s="15">
        <f t="shared" si="1"/>
        <v>7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0</v>
      </c>
      <c r="P46" s="15">
        <f t="shared" si="1"/>
        <v>3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0</v>
      </c>
      <c r="P47" s="15">
        <f t="shared" si="1"/>
        <v>5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0</v>
      </c>
      <c r="P48" s="15">
        <f t="shared" si="1"/>
        <v>4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0</v>
      </c>
      <c r="P49" s="15">
        <f t="shared" si="1"/>
        <v>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0</v>
      </c>
      <c r="P50" s="15">
        <f t="shared" si="1"/>
        <v>4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1</v>
      </c>
      <c r="P51" s="15">
        <f t="shared" si="1"/>
        <v>9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1</v>
      </c>
      <c r="P52" s="15">
        <f t="shared" si="1"/>
        <v>8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</v>
      </c>
      <c r="N53" s="50">
        <v>0</v>
      </c>
      <c r="O53" s="15">
        <f t="shared" si="0"/>
        <v>0</v>
      </c>
      <c r="P53" s="15">
        <f t="shared" si="1"/>
        <v>4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1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6</v>
      </c>
      <c r="N55" s="50">
        <v>0</v>
      </c>
      <c r="O55" s="15">
        <f t="shared" si="0"/>
        <v>0</v>
      </c>
      <c r="P55" s="15">
        <f t="shared" si="1"/>
        <v>6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0</v>
      </c>
      <c r="P56" s="15">
        <f t="shared" si="1"/>
        <v>9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1</v>
      </c>
      <c r="P57" s="15">
        <f t="shared" si="1"/>
        <v>11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2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7</v>
      </c>
      <c r="N58" s="50">
        <v>0</v>
      </c>
      <c r="O58" s="15">
        <f t="shared" si="0"/>
        <v>4</v>
      </c>
      <c r="P58" s="15">
        <f t="shared" si="1"/>
        <v>11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6</v>
      </c>
      <c r="N59" s="50">
        <v>0</v>
      </c>
      <c r="O59" s="15">
        <f t="shared" si="0"/>
        <v>0</v>
      </c>
      <c r="P59" s="15">
        <f t="shared" si="1"/>
        <v>6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5</v>
      </c>
      <c r="N60" s="50">
        <v>0</v>
      </c>
      <c r="O60" s="15">
        <f t="shared" si="0"/>
        <v>1</v>
      </c>
      <c r="P60" s="15">
        <f t="shared" si="1"/>
        <v>6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9</v>
      </c>
      <c r="N61" s="50">
        <v>0</v>
      </c>
      <c r="O61" s="15">
        <f t="shared" si="0"/>
        <v>1</v>
      </c>
      <c r="P61" s="15">
        <f t="shared" si="1"/>
        <v>10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4</v>
      </c>
      <c r="N62" s="50">
        <v>0</v>
      </c>
      <c r="O62" s="15">
        <f t="shared" si="0"/>
        <v>0</v>
      </c>
      <c r="P62" s="15">
        <f t="shared" si="1"/>
        <v>4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6</v>
      </c>
      <c r="N63" s="50">
        <v>0</v>
      </c>
      <c r="O63" s="15">
        <f t="shared" si="0"/>
        <v>1</v>
      </c>
      <c r="P63" s="15">
        <f t="shared" si="1"/>
        <v>7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6</v>
      </c>
      <c r="N64" s="50">
        <v>0</v>
      </c>
      <c r="O64" s="15">
        <f t="shared" si="0"/>
        <v>0</v>
      </c>
      <c r="P64" s="15">
        <f t="shared" si="1"/>
        <v>6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4</v>
      </c>
      <c r="N65" s="50">
        <v>0</v>
      </c>
      <c r="O65" s="15">
        <f t="shared" si="0"/>
        <v>1</v>
      </c>
      <c r="P65" s="15">
        <f t="shared" si="1"/>
        <v>5</v>
      </c>
      <c r="R65" s="8"/>
      <c r="T65"/>
    </row>
    <row r="66" spans="2:20" ht="23.1" customHeight="1" x14ac:dyDescent="0.25">
      <c r="B66" s="45" t="s">
        <v>103</v>
      </c>
      <c r="C66" s="50">
        <v>1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7</v>
      </c>
      <c r="N66" s="50">
        <v>0</v>
      </c>
      <c r="O66" s="15">
        <f t="shared" si="0"/>
        <v>1</v>
      </c>
      <c r="P66" s="15">
        <f t="shared" si="1"/>
        <v>8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5</v>
      </c>
      <c r="N67" s="50">
        <v>0</v>
      </c>
      <c r="O67" s="15">
        <f t="shared" si="0"/>
        <v>1</v>
      </c>
      <c r="P67" s="15">
        <f t="shared" si="1"/>
        <v>6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1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0"/>
        <v>1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0</v>
      </c>
      <c r="P69" s="15">
        <f t="shared" si="1"/>
        <v>3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0</v>
      </c>
      <c r="P70" s="15">
        <f t="shared" si="1"/>
        <v>3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0</v>
      </c>
      <c r="P71" s="15">
        <f t="shared" si="1"/>
        <v>2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1</v>
      </c>
      <c r="F72" s="50">
        <v>0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3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2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0</v>
      </c>
      <c r="P76" s="15">
        <f t="shared" si="36"/>
        <v>0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1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2</v>
      </c>
      <c r="P100" s="15">
        <f t="shared" si="36"/>
        <v>2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0</v>
      </c>
      <c r="P101" s="15">
        <f t="shared" si="36"/>
        <v>0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2</v>
      </c>
      <c r="P103" s="15">
        <f t="shared" si="36"/>
        <v>4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</v>
      </c>
      <c r="D106" s="16">
        <f t="shared" ref="D106:P106" si="37">SUM(D10:D105)</f>
        <v>4</v>
      </c>
      <c r="E106" s="16">
        <f t="shared" si="37"/>
        <v>12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31</v>
      </c>
      <c r="J106" s="16">
        <f t="shared" si="37"/>
        <v>1</v>
      </c>
      <c r="K106" s="16">
        <f t="shared" si="37"/>
        <v>0</v>
      </c>
      <c r="L106" s="16">
        <f t="shared" si="37"/>
        <v>0</v>
      </c>
      <c r="M106" s="16">
        <f t="shared" si="37"/>
        <v>599</v>
      </c>
      <c r="N106" s="16">
        <f t="shared" si="37"/>
        <v>12</v>
      </c>
      <c r="O106" s="16">
        <f t="shared" si="37"/>
        <v>67</v>
      </c>
      <c r="P106" s="16">
        <f t="shared" si="37"/>
        <v>666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1.0510510510510511E-2</v>
      </c>
      <c r="D107" s="43">
        <f t="shared" si="38"/>
        <v>6.006006006006006E-3</v>
      </c>
      <c r="E107" s="43">
        <f t="shared" si="38"/>
        <v>1.8018018018018018E-2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4.6546546546546545E-2</v>
      </c>
      <c r="J107" s="43">
        <f t="shared" si="38"/>
        <v>1.5015015015015015E-3</v>
      </c>
      <c r="K107" s="43">
        <f t="shared" si="38"/>
        <v>0</v>
      </c>
      <c r="L107" s="43">
        <f t="shared" si="38"/>
        <v>0</v>
      </c>
      <c r="M107" s="43">
        <f t="shared" si="38"/>
        <v>0.89939939939939939</v>
      </c>
      <c r="N107" s="43">
        <f t="shared" si="38"/>
        <v>1.8018018018018018E-2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0.1044776119402985</v>
      </c>
      <c r="D108" s="44">
        <f t="shared" ref="D108:N108" si="39">D106/$O$106</f>
        <v>5.9701492537313432E-2</v>
      </c>
      <c r="E108" s="44">
        <f t="shared" si="39"/>
        <v>0.17910447761194029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0.46268656716417911</v>
      </c>
      <c r="J108" s="44">
        <f t="shared" si="39"/>
        <v>1.4925373134328358E-2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0.17910447761194029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C10" sqref="C10:C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'26.08 Suam-Bukwo-24h'!D5</f>
        <v>26.08.19</v>
      </c>
      <c r="E5" s="3"/>
      <c r="F5" s="41" t="s">
        <v>1</v>
      </c>
      <c r="G5" s="68" t="str">
        <f>'26.08 Suam-Bukwo-24h'!G5:H5</f>
        <v>KAMKAMBA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Bukwo-Suam'!D6:E6</f>
        <v>BUKWO</v>
      </c>
      <c r="E6" s="69"/>
      <c r="F6" s="2" t="s">
        <v>2</v>
      </c>
      <c r="G6" s="68" t="str">
        <f>'23.08 Bukwo-Suam'!G6:H6</f>
        <v>SUAM</v>
      </c>
      <c r="H6" s="69"/>
      <c r="J6" s="2" t="s">
        <v>21</v>
      </c>
      <c r="K6" s="68" t="str">
        <f>'26.08 Suam-Bukwo-24h'!K6:L6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17</v>
      </c>
      <c r="AD10" s="17">
        <f t="shared" si="2"/>
        <v>0</v>
      </c>
      <c r="AE10" s="31">
        <f t="shared" si="2"/>
        <v>1</v>
      </c>
      <c r="AF10" s="31">
        <f t="shared" si="2"/>
        <v>18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0</v>
      </c>
      <c r="P11" s="15">
        <f t="shared" si="1"/>
        <v>5</v>
      </c>
      <c r="R11" s="1" t="s">
        <v>7</v>
      </c>
      <c r="S11" s="17">
        <f t="shared" ref="S11:AF11" si="3">SUM(C14:C17)</f>
        <v>1</v>
      </c>
      <c r="T11" s="17">
        <f t="shared" si="3"/>
        <v>2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32</v>
      </c>
      <c r="AD11" s="17">
        <f t="shared" si="3"/>
        <v>0</v>
      </c>
      <c r="AE11" s="31">
        <f t="shared" si="3"/>
        <v>8</v>
      </c>
      <c r="AF11" s="31">
        <f t="shared" si="3"/>
        <v>40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54</v>
      </c>
      <c r="AD12" s="17">
        <f t="shared" si="4"/>
        <v>0</v>
      </c>
      <c r="AE12" s="31">
        <f t="shared" si="4"/>
        <v>2</v>
      </c>
      <c r="AF12" s="31">
        <f t="shared" si="4"/>
        <v>56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1</v>
      </c>
      <c r="P13" s="15">
        <f t="shared" si="1"/>
        <v>7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66</v>
      </c>
      <c r="AD13" s="17">
        <f t="shared" si="5"/>
        <v>0</v>
      </c>
      <c r="AE13" s="31">
        <f t="shared" si="5"/>
        <v>3</v>
      </c>
      <c r="AF13" s="31">
        <f t="shared" si="5"/>
        <v>69</v>
      </c>
    </row>
    <row r="14" spans="2:32" ht="23.1" customHeight="1" x14ac:dyDescent="0.25">
      <c r="B14" s="45" t="s">
        <v>41</v>
      </c>
      <c r="C14" s="50">
        <v>1</v>
      </c>
      <c r="D14" s="50">
        <v>1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4</v>
      </c>
      <c r="P14" s="15">
        <f t="shared" si="1"/>
        <v>10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55</v>
      </c>
      <c r="AD14" s="17">
        <f t="shared" si="6"/>
        <v>0</v>
      </c>
      <c r="AE14" s="31">
        <f t="shared" si="6"/>
        <v>0</v>
      </c>
      <c r="AF14" s="31">
        <f t="shared" si="6"/>
        <v>55</v>
      </c>
    </row>
    <row r="15" spans="2:32" ht="23.1" customHeight="1" x14ac:dyDescent="0.25">
      <c r="B15" s="45" t="s">
        <v>42</v>
      </c>
      <c r="C15" s="50">
        <v>0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2</v>
      </c>
      <c r="P15" s="15">
        <f t="shared" si="1"/>
        <v>6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59</v>
      </c>
      <c r="AD15" s="17">
        <f t="shared" si="7"/>
        <v>0</v>
      </c>
      <c r="AE15" s="31">
        <f t="shared" si="7"/>
        <v>5</v>
      </c>
      <c r="AF15" s="31">
        <f t="shared" si="7"/>
        <v>69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0</v>
      </c>
      <c r="P16" s="15">
        <f t="shared" si="1"/>
        <v>8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50</v>
      </c>
      <c r="AD16" s="17">
        <f t="shared" si="8"/>
        <v>0</v>
      </c>
      <c r="AE16" s="31">
        <f t="shared" si="8"/>
        <v>6</v>
      </c>
      <c r="AF16" s="31">
        <f t="shared" si="8"/>
        <v>56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2</v>
      </c>
      <c r="P17" s="15">
        <f t="shared" si="1"/>
        <v>16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60</v>
      </c>
      <c r="AD17" s="17">
        <f t="shared" si="9"/>
        <v>0</v>
      </c>
      <c r="AE17" s="31">
        <f t="shared" si="9"/>
        <v>1</v>
      </c>
      <c r="AF17" s="31">
        <f t="shared" si="9"/>
        <v>61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2</v>
      </c>
      <c r="P18" s="15">
        <f t="shared" si="1"/>
        <v>17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21</v>
      </c>
      <c r="AD18" s="17">
        <f t="shared" si="10"/>
        <v>0</v>
      </c>
      <c r="AE18" s="31">
        <f t="shared" si="10"/>
        <v>3</v>
      </c>
      <c r="AF18" s="31">
        <f t="shared" si="10"/>
        <v>24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19</v>
      </c>
      <c r="N19" s="50">
        <v>0</v>
      </c>
      <c r="O19" s="15">
        <f t="shared" si="0"/>
        <v>0</v>
      </c>
      <c r="P19" s="15">
        <f t="shared" si="1"/>
        <v>19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3</v>
      </c>
      <c r="AF19" s="31">
        <f t="shared" si="11"/>
        <v>25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0</v>
      </c>
      <c r="P20" s="15">
        <f t="shared" si="1"/>
        <v>10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26</v>
      </c>
      <c r="AD20" s="17">
        <f t="shared" si="12"/>
        <v>0</v>
      </c>
      <c r="AE20" s="31">
        <f t="shared" si="12"/>
        <v>1</v>
      </c>
      <c r="AF20" s="31">
        <f t="shared" si="12"/>
        <v>27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0</v>
      </c>
      <c r="P21" s="15">
        <f t="shared" si="1"/>
        <v>10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23</v>
      </c>
      <c r="AD21" s="17">
        <f t="shared" si="13"/>
        <v>0</v>
      </c>
      <c r="AE21" s="31">
        <f t="shared" si="13"/>
        <v>1</v>
      </c>
      <c r="AF21" s="31">
        <f t="shared" si="13"/>
        <v>24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0</v>
      </c>
      <c r="P22" s="15">
        <f t="shared" si="1"/>
        <v>14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18</v>
      </c>
      <c r="AD22" s="34">
        <f t="shared" si="14"/>
        <v>0</v>
      </c>
      <c r="AE22" s="31">
        <f t="shared" si="14"/>
        <v>2</v>
      </c>
      <c r="AF22" s="31">
        <f t="shared" si="14"/>
        <v>20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2</v>
      </c>
      <c r="P23" s="15">
        <f t="shared" si="1"/>
        <v>16</v>
      </c>
      <c r="R23" s="36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20</v>
      </c>
      <c r="AD23" s="34">
        <f t="shared" si="15"/>
        <v>0</v>
      </c>
      <c r="AE23" s="31">
        <f t="shared" si="15"/>
        <v>1</v>
      </c>
      <c r="AF23" s="31">
        <f t="shared" si="15"/>
        <v>21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0</v>
      </c>
      <c r="P24" s="15">
        <f t="shared" si="1"/>
        <v>19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13</v>
      </c>
      <c r="AD24" s="34">
        <f t="shared" si="16"/>
        <v>0</v>
      </c>
      <c r="AE24" s="31">
        <f t="shared" si="16"/>
        <v>2</v>
      </c>
      <c r="AF24" s="31">
        <f t="shared" si="16"/>
        <v>15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19</v>
      </c>
      <c r="N25" s="50">
        <v>0</v>
      </c>
      <c r="O25" s="15">
        <f t="shared" si="0"/>
        <v>1</v>
      </c>
      <c r="P25" s="15">
        <f t="shared" si="1"/>
        <v>20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13</v>
      </c>
      <c r="AD25" s="34">
        <f t="shared" si="17"/>
        <v>0</v>
      </c>
      <c r="AE25" s="31">
        <f t="shared" si="17"/>
        <v>0</v>
      </c>
      <c r="AF25" s="31">
        <f t="shared" si="17"/>
        <v>13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0</v>
      </c>
      <c r="P26" s="15">
        <f t="shared" si="1"/>
        <v>11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1</v>
      </c>
      <c r="AF26" s="31">
        <f t="shared" si="18"/>
        <v>7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0</v>
      </c>
      <c r="P27" s="15">
        <f t="shared" si="1"/>
        <v>14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0</v>
      </c>
      <c r="AF27" s="31">
        <f t="shared" si="19"/>
        <v>0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0</v>
      </c>
      <c r="P28" s="15">
        <f t="shared" si="1"/>
        <v>17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0</v>
      </c>
      <c r="P29" s="15">
        <f t="shared" si="1"/>
        <v>13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181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v>1</v>
      </c>
      <c r="P30" s="15">
        <v>16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3</v>
      </c>
      <c r="P31" s="15">
        <f t="shared" si="1"/>
        <v>18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46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0</v>
      </c>
      <c r="P32" s="15">
        <f t="shared" si="1"/>
        <v>18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0</v>
      </c>
      <c r="AF32" s="31">
        <f t="shared" si="24"/>
        <v>3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1</v>
      </c>
      <c r="P33" s="15">
        <f t="shared" si="1"/>
        <v>17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</v>
      </c>
      <c r="AD33" s="34">
        <f t="shared" si="25"/>
        <v>0</v>
      </c>
      <c r="AE33" s="31">
        <f t="shared" si="25"/>
        <v>0</v>
      </c>
      <c r="AF33" s="31">
        <f t="shared" si="25"/>
        <v>4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2</v>
      </c>
      <c r="P34" s="15">
        <f t="shared" si="1"/>
        <v>15</v>
      </c>
      <c r="R34" s="38" t="s">
        <v>90</v>
      </c>
      <c r="S34" s="39">
        <f t="shared" ref="S34:AF34" si="26">MAX(S10:S12)</f>
        <v>1</v>
      </c>
      <c r="T34" s="39">
        <f t="shared" si="26"/>
        <v>2</v>
      </c>
      <c r="U34" s="39">
        <f t="shared" si="26"/>
        <v>3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54</v>
      </c>
      <c r="AD34" s="39">
        <f t="shared" si="26"/>
        <v>0</v>
      </c>
      <c r="AE34" s="40">
        <f t="shared" si="26"/>
        <v>8</v>
      </c>
      <c r="AF34" s="40">
        <f t="shared" si="26"/>
        <v>56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1</v>
      </c>
      <c r="P35" s="15">
        <f t="shared" si="1"/>
        <v>16</v>
      </c>
      <c r="R35" s="38" t="s">
        <v>91</v>
      </c>
      <c r="S35" s="39">
        <f t="shared" ref="S35:AF35" si="27">MAX(S13:S18)</f>
        <v>2</v>
      </c>
      <c r="T35" s="39">
        <f t="shared" si="27"/>
        <v>1</v>
      </c>
      <c r="U35" s="39">
        <f t="shared" si="27"/>
        <v>2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66</v>
      </c>
      <c r="AD35" s="39">
        <f t="shared" si="27"/>
        <v>0</v>
      </c>
      <c r="AE35" s="40">
        <f t="shared" si="27"/>
        <v>6</v>
      </c>
      <c r="AF35" s="40">
        <f t="shared" si="27"/>
        <v>69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12</v>
      </c>
      <c r="N36" s="50">
        <v>0</v>
      </c>
      <c r="O36" s="15">
        <f t="shared" si="0"/>
        <v>2</v>
      </c>
      <c r="P36" s="15">
        <f t="shared" si="1"/>
        <v>14</v>
      </c>
      <c r="R36" s="38" t="s">
        <v>92</v>
      </c>
      <c r="S36" s="39">
        <f t="shared" ref="S36:AF36" si="28">MAX(S19:S21)</f>
        <v>1</v>
      </c>
      <c r="T36" s="39">
        <f t="shared" si="28"/>
        <v>1</v>
      </c>
      <c r="U36" s="39">
        <f t="shared" si="28"/>
        <v>0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1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26</v>
      </c>
      <c r="AD36" s="39">
        <f t="shared" si="28"/>
        <v>0</v>
      </c>
      <c r="AE36" s="40">
        <f t="shared" si="28"/>
        <v>3</v>
      </c>
      <c r="AF36" s="40">
        <f t="shared" si="28"/>
        <v>27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1</v>
      </c>
      <c r="P37" s="15">
        <f t="shared" si="1"/>
        <v>11</v>
      </c>
      <c r="R37" s="37" t="s">
        <v>85</v>
      </c>
      <c r="S37" s="35">
        <f t="shared" ref="S37:AF37" si="29">SUM(S10:S12)</f>
        <v>1</v>
      </c>
      <c r="T37" s="16">
        <f t="shared" si="29"/>
        <v>2</v>
      </c>
      <c r="U37" s="16">
        <f t="shared" si="29"/>
        <v>4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2</v>
      </c>
      <c r="AA37" s="16">
        <f t="shared" si="29"/>
        <v>0</v>
      </c>
      <c r="AB37" s="16">
        <f t="shared" si="29"/>
        <v>0</v>
      </c>
      <c r="AC37" s="16">
        <f t="shared" si="29"/>
        <v>103</v>
      </c>
      <c r="AD37" s="16">
        <f t="shared" si="29"/>
        <v>0</v>
      </c>
      <c r="AE37" s="32">
        <f t="shared" si="29"/>
        <v>11</v>
      </c>
      <c r="AF37" s="32">
        <f t="shared" si="29"/>
        <v>114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0</v>
      </c>
      <c r="P38" s="15">
        <f t="shared" si="1"/>
        <v>11</v>
      </c>
      <c r="R38" s="28" t="s">
        <v>86</v>
      </c>
      <c r="S38" s="16">
        <f t="shared" ref="S38:AF38" si="30">SUM(S13:S18)</f>
        <v>5</v>
      </c>
      <c r="T38" s="16">
        <f t="shared" si="30"/>
        <v>1</v>
      </c>
      <c r="U38" s="16">
        <f t="shared" si="30"/>
        <v>4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7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311</v>
      </c>
      <c r="AD38" s="16">
        <f t="shared" si="30"/>
        <v>0</v>
      </c>
      <c r="AE38" s="32">
        <f t="shared" si="30"/>
        <v>18</v>
      </c>
      <c r="AF38" s="32">
        <f t="shared" si="30"/>
        <v>334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1</v>
      </c>
      <c r="P39" s="15">
        <f t="shared" si="1"/>
        <v>9</v>
      </c>
      <c r="R39" s="29" t="s">
        <v>87</v>
      </c>
      <c r="S39" s="16">
        <f t="shared" ref="S39:AF39" si="31">SUM(S19:S21)</f>
        <v>2</v>
      </c>
      <c r="T39" s="16">
        <f t="shared" si="31"/>
        <v>2</v>
      </c>
      <c r="U39" s="16">
        <f t="shared" si="31"/>
        <v>0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1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71</v>
      </c>
      <c r="AD39" s="16">
        <f t="shared" si="31"/>
        <v>0</v>
      </c>
      <c r="AE39" s="32">
        <f t="shared" si="31"/>
        <v>5</v>
      </c>
      <c r="AF39" s="32">
        <f t="shared" si="31"/>
        <v>76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0</v>
      </c>
      <c r="P40" s="15">
        <f t="shared" si="1"/>
        <v>15</v>
      </c>
      <c r="R40" s="5" t="s">
        <v>17</v>
      </c>
      <c r="S40" s="16">
        <f t="shared" ref="S40:AF40" si="32">SUM(S10:S21)</f>
        <v>8</v>
      </c>
      <c r="T40" s="16">
        <f t="shared" si="32"/>
        <v>5</v>
      </c>
      <c r="U40" s="16">
        <f t="shared" si="32"/>
        <v>8</v>
      </c>
      <c r="V40" s="16">
        <f t="shared" si="32"/>
        <v>1</v>
      </c>
      <c r="W40" s="16">
        <f t="shared" si="32"/>
        <v>0</v>
      </c>
      <c r="X40" s="16">
        <f t="shared" si="32"/>
        <v>0</v>
      </c>
      <c r="Y40" s="16">
        <f t="shared" si="32"/>
        <v>10</v>
      </c>
      <c r="Z40" s="16">
        <f t="shared" si="32"/>
        <v>2</v>
      </c>
      <c r="AA40" s="16">
        <f t="shared" si="32"/>
        <v>0</v>
      </c>
      <c r="AB40" s="16">
        <f t="shared" si="32"/>
        <v>0</v>
      </c>
      <c r="AC40" s="16">
        <f t="shared" si="32"/>
        <v>485</v>
      </c>
      <c r="AD40" s="16">
        <f t="shared" si="32"/>
        <v>0</v>
      </c>
      <c r="AE40" s="32">
        <f t="shared" si="32"/>
        <v>34</v>
      </c>
      <c r="AF40" s="32">
        <f t="shared" si="32"/>
        <v>524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26</v>
      </c>
      <c r="N41" s="50">
        <v>0</v>
      </c>
      <c r="O41" s="15">
        <f t="shared" si="0"/>
        <v>0</v>
      </c>
      <c r="P41" s="15">
        <f t="shared" si="1"/>
        <v>26</v>
      </c>
      <c r="R41" s="5" t="s">
        <v>159</v>
      </c>
      <c r="S41" s="16">
        <f>SUM(S10:S33)</f>
        <v>10</v>
      </c>
      <c r="T41" s="16">
        <f t="shared" ref="T41:AF41" si="33">SUM(T10:T33)</f>
        <v>5</v>
      </c>
      <c r="U41" s="16">
        <f t="shared" si="33"/>
        <v>10</v>
      </c>
      <c r="V41" s="16">
        <f t="shared" si="33"/>
        <v>1</v>
      </c>
      <c r="W41" s="16">
        <f t="shared" si="33"/>
        <v>0</v>
      </c>
      <c r="X41" s="16">
        <f t="shared" si="33"/>
        <v>0</v>
      </c>
      <c r="Y41" s="16">
        <f t="shared" si="33"/>
        <v>12</v>
      </c>
      <c r="Z41" s="16">
        <f t="shared" si="33"/>
        <v>2</v>
      </c>
      <c r="AA41" s="16">
        <f t="shared" si="33"/>
        <v>0</v>
      </c>
      <c r="AB41" s="16">
        <f t="shared" si="33"/>
        <v>0</v>
      </c>
      <c r="AC41" s="16">
        <f t="shared" si="33"/>
        <v>562</v>
      </c>
      <c r="AD41" s="16">
        <f t="shared" si="33"/>
        <v>0</v>
      </c>
      <c r="AE41" s="32">
        <f t="shared" si="33"/>
        <v>40</v>
      </c>
      <c r="AF41" s="32">
        <f t="shared" si="33"/>
        <v>607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0</v>
      </c>
      <c r="P42" s="15">
        <f t="shared" si="1"/>
        <v>12</v>
      </c>
      <c r="R42" s="5" t="s">
        <v>160</v>
      </c>
      <c r="S42" s="48">
        <f>S41/S40</f>
        <v>1.25</v>
      </c>
      <c r="T42" s="48">
        <f t="shared" ref="T42:AF42" si="34">T41/T40</f>
        <v>1</v>
      </c>
      <c r="U42" s="48">
        <f t="shared" si="34"/>
        <v>1.25</v>
      </c>
      <c r="V42" s="48">
        <f t="shared" si="34"/>
        <v>1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1.2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1.1587628865979382</v>
      </c>
      <c r="AD42" s="48" t="e">
        <f t="shared" si="34"/>
        <v>#DIV/0!</v>
      </c>
      <c r="AE42" s="48">
        <f t="shared" si="34"/>
        <v>1.1764705882352942</v>
      </c>
      <c r="AF42" s="48">
        <f t="shared" si="34"/>
        <v>1.1583969465648856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1</v>
      </c>
      <c r="P43" s="15">
        <f t="shared" si="1"/>
        <v>4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0</v>
      </c>
      <c r="P44" s="15">
        <f t="shared" si="1"/>
        <v>4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</v>
      </c>
      <c r="N45" s="50">
        <v>0</v>
      </c>
      <c r="O45" s="15">
        <f t="shared" si="0"/>
        <v>2</v>
      </c>
      <c r="P45" s="15">
        <f t="shared" si="1"/>
        <v>4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2</v>
      </c>
      <c r="P46" s="15">
        <f t="shared" si="1"/>
        <v>7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</v>
      </c>
      <c r="N47" s="50">
        <v>0</v>
      </c>
      <c r="O47" s="15">
        <f t="shared" si="0"/>
        <v>1</v>
      </c>
      <c r="P47" s="15">
        <f t="shared" si="1"/>
        <v>5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0</v>
      </c>
      <c r="P48" s="15">
        <f t="shared" si="1"/>
        <v>7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0</v>
      </c>
      <c r="P49" s="15">
        <f t="shared" si="1"/>
        <v>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0</v>
      </c>
      <c r="P50" s="15">
        <f t="shared" si="1"/>
        <v>9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0</v>
      </c>
      <c r="P51" s="15">
        <f t="shared" si="1"/>
        <v>7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</v>
      </c>
      <c r="N52" s="50">
        <v>0</v>
      </c>
      <c r="O52" s="15">
        <f t="shared" si="0"/>
        <v>1</v>
      </c>
      <c r="P52" s="15">
        <f t="shared" si="1"/>
        <v>5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0</v>
      </c>
      <c r="P53" s="15">
        <f t="shared" si="1"/>
        <v>6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1</v>
      </c>
      <c r="P54" s="15">
        <f t="shared" si="1"/>
        <v>9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3</v>
      </c>
      <c r="N55" s="50">
        <v>0</v>
      </c>
      <c r="O55" s="15">
        <f t="shared" si="0"/>
        <v>0</v>
      </c>
      <c r="P55" s="15">
        <f t="shared" si="1"/>
        <v>3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7</v>
      </c>
      <c r="N56" s="50">
        <v>0</v>
      </c>
      <c r="O56" s="15">
        <f t="shared" si="0"/>
        <v>0</v>
      </c>
      <c r="P56" s="15">
        <f t="shared" si="1"/>
        <v>7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</v>
      </c>
      <c r="N57" s="50">
        <v>0</v>
      </c>
      <c r="O57" s="15">
        <f t="shared" si="0"/>
        <v>0</v>
      </c>
      <c r="P57" s="15">
        <f t="shared" si="1"/>
        <v>5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50">
        <v>0</v>
      </c>
      <c r="O58" s="15">
        <f t="shared" si="0"/>
        <v>0</v>
      </c>
      <c r="P58" s="15">
        <f t="shared" si="1"/>
        <v>4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3</v>
      </c>
      <c r="N59" s="50">
        <v>0</v>
      </c>
      <c r="O59" s="15">
        <f t="shared" si="0"/>
        <v>1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5</v>
      </c>
      <c r="N60" s="50">
        <v>0</v>
      </c>
      <c r="O60" s="15">
        <f t="shared" si="0"/>
        <v>1</v>
      </c>
      <c r="P60" s="15">
        <f t="shared" si="1"/>
        <v>6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6</v>
      </c>
      <c r="N61" s="50">
        <v>0</v>
      </c>
      <c r="O61" s="15">
        <f t="shared" si="0"/>
        <v>0</v>
      </c>
      <c r="P61" s="15">
        <f t="shared" si="1"/>
        <v>6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9</v>
      </c>
      <c r="N62" s="50">
        <v>0</v>
      </c>
      <c r="O62" s="15">
        <f t="shared" si="0"/>
        <v>0</v>
      </c>
      <c r="P62" s="15">
        <f t="shared" si="1"/>
        <v>9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5</v>
      </c>
      <c r="N63" s="50">
        <v>0</v>
      </c>
      <c r="O63" s="15">
        <f t="shared" si="0"/>
        <v>0</v>
      </c>
      <c r="P63" s="15">
        <f t="shared" si="1"/>
        <v>5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3</v>
      </c>
      <c r="N64" s="50">
        <v>0</v>
      </c>
      <c r="O64" s="15">
        <f t="shared" si="0"/>
        <v>1</v>
      </c>
      <c r="P64" s="15">
        <f t="shared" si="1"/>
        <v>4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0"/>
        <v>0</v>
      </c>
      <c r="P65" s="15">
        <f t="shared" si="1"/>
        <v>3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</v>
      </c>
      <c r="N66" s="50">
        <v>0</v>
      </c>
      <c r="O66" s="15">
        <f t="shared" si="0"/>
        <v>0</v>
      </c>
      <c r="P66" s="15">
        <f t="shared" si="1"/>
        <v>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4</v>
      </c>
      <c r="N67" s="50">
        <v>0</v>
      </c>
      <c r="O67" s="15">
        <f t="shared" si="0"/>
        <v>1</v>
      </c>
      <c r="P67" s="15">
        <f t="shared" si="1"/>
        <v>5</v>
      </c>
      <c r="R67" s="8"/>
      <c r="T67"/>
    </row>
    <row r="68" spans="2:20" ht="23.1" customHeight="1" x14ac:dyDescent="0.25">
      <c r="B68" s="45" t="s">
        <v>105</v>
      </c>
      <c r="C68" s="50">
        <v>1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1</v>
      </c>
      <c r="P68" s="15">
        <f t="shared" si="1"/>
        <v>7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0</v>
      </c>
      <c r="P69" s="15">
        <f t="shared" si="1"/>
        <v>2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0</v>
      </c>
      <c r="P70" s="15">
        <f t="shared" si="1"/>
        <v>5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0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5</v>
      </c>
      <c r="N72" s="50">
        <v>0</v>
      </c>
      <c r="O72" s="15">
        <f t="shared" si="0"/>
        <v>0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1</v>
      </c>
      <c r="P76" s="15">
        <f t="shared" si="36"/>
        <v>2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</v>
      </c>
      <c r="N77" s="50">
        <v>0</v>
      </c>
      <c r="O77" s="15">
        <f t="shared" si="35"/>
        <v>0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</v>
      </c>
      <c r="N100" s="50"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0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0</v>
      </c>
      <c r="N105" s="50"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10</v>
      </c>
      <c r="D106" s="16">
        <f t="shared" ref="D106:P106" si="37">SUM(D10:D105)</f>
        <v>5</v>
      </c>
      <c r="E106" s="16">
        <f t="shared" si="37"/>
        <v>10</v>
      </c>
      <c r="F106" s="16">
        <f t="shared" si="37"/>
        <v>1</v>
      </c>
      <c r="G106" s="16">
        <f t="shared" si="37"/>
        <v>0</v>
      </c>
      <c r="H106" s="16">
        <f t="shared" si="37"/>
        <v>0</v>
      </c>
      <c r="I106" s="16">
        <f t="shared" si="37"/>
        <v>12</v>
      </c>
      <c r="J106" s="16">
        <f t="shared" si="37"/>
        <v>2</v>
      </c>
      <c r="K106" s="16">
        <f t="shared" si="37"/>
        <v>0</v>
      </c>
      <c r="L106" s="16">
        <f t="shared" si="37"/>
        <v>0</v>
      </c>
      <c r="M106" s="16">
        <f t="shared" si="37"/>
        <v>562</v>
      </c>
      <c r="N106" s="16">
        <f t="shared" si="37"/>
        <v>0</v>
      </c>
      <c r="O106" s="16">
        <f t="shared" si="37"/>
        <v>40</v>
      </c>
      <c r="P106" s="16">
        <f t="shared" si="37"/>
        <v>607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1.6474464579901153E-2</v>
      </c>
      <c r="D107" s="43">
        <f t="shared" si="38"/>
        <v>8.2372322899505763E-3</v>
      </c>
      <c r="E107" s="43">
        <f t="shared" si="38"/>
        <v>1.6474464579901153E-2</v>
      </c>
      <c r="F107" s="43">
        <f t="shared" si="38"/>
        <v>1.6474464579901153E-3</v>
      </c>
      <c r="G107" s="43">
        <f t="shared" si="38"/>
        <v>0</v>
      </c>
      <c r="H107" s="43">
        <f t="shared" si="38"/>
        <v>0</v>
      </c>
      <c r="I107" s="43">
        <f t="shared" si="38"/>
        <v>1.9769357495881382E-2</v>
      </c>
      <c r="J107" s="43">
        <f t="shared" si="38"/>
        <v>3.2948929159802307E-3</v>
      </c>
      <c r="K107" s="43">
        <f t="shared" si="38"/>
        <v>0</v>
      </c>
      <c r="L107" s="43">
        <f t="shared" si="38"/>
        <v>0</v>
      </c>
      <c r="M107" s="43">
        <f t="shared" si="38"/>
        <v>0.92586490939044486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</v>
      </c>
      <c r="D108" s="44">
        <f t="shared" ref="D108:N108" si="39">D106/$O$106</f>
        <v>0.125</v>
      </c>
      <c r="E108" s="44">
        <f t="shared" si="39"/>
        <v>0.25</v>
      </c>
      <c r="F108" s="44">
        <f t="shared" si="39"/>
        <v>2.5000000000000001E-2</v>
      </c>
      <c r="G108" s="44">
        <f t="shared" si="39"/>
        <v>0</v>
      </c>
      <c r="H108" s="44">
        <f t="shared" si="39"/>
        <v>0</v>
      </c>
      <c r="I108" s="44">
        <f t="shared" si="39"/>
        <v>0.3</v>
      </c>
      <c r="J108" s="44">
        <f t="shared" si="39"/>
        <v>0.05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58" sqref="J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174</v>
      </c>
      <c r="E5" s="3"/>
      <c r="F5" s="41" t="s">
        <v>1</v>
      </c>
      <c r="G5" s="68" t="str">
        <f>'23.08 Suam- Bukwo'!G5:H5</f>
        <v>KAMKAMBA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Suam- Bukwo'!D6:E6</f>
        <v>SUAM</v>
      </c>
      <c r="E6" s="69"/>
      <c r="F6" s="2" t="s">
        <v>2</v>
      </c>
      <c r="G6" s="68" t="str">
        <f>'23.08 Suam- Bukwo'!G6:H6</f>
        <v>BUKWO</v>
      </c>
      <c r="H6" s="69"/>
      <c r="J6" s="2" t="s">
        <v>21</v>
      </c>
      <c r="K6" s="68" t="str">
        <f>'23.08 Suam- Bukwo'!K6:L6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0</v>
      </c>
      <c r="AF10" s="31">
        <f t="shared" si="2"/>
        <v>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14</v>
      </c>
      <c r="AD11" s="17">
        <f t="shared" si="3"/>
        <v>0</v>
      </c>
      <c r="AE11" s="31">
        <f t="shared" si="3"/>
        <v>1</v>
      </c>
      <c r="AF11" s="31">
        <f t="shared" si="3"/>
        <v>15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39</v>
      </c>
      <c r="AD12" s="17">
        <f t="shared" si="4"/>
        <v>0</v>
      </c>
      <c r="AE12" s="31">
        <f t="shared" si="4"/>
        <v>3</v>
      </c>
      <c r="AF12" s="31">
        <f t="shared" si="4"/>
        <v>42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0</v>
      </c>
      <c r="P13" s="15">
        <f t="shared" si="1"/>
        <v>3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64</v>
      </c>
      <c r="AD13" s="17">
        <f t="shared" si="5"/>
        <v>0</v>
      </c>
      <c r="AE13" s="31">
        <f t="shared" si="5"/>
        <v>7</v>
      </c>
      <c r="AF13" s="31">
        <f t="shared" si="5"/>
        <v>71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0</v>
      </c>
      <c r="P14" s="15">
        <f t="shared" si="1"/>
        <v>6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79</v>
      </c>
      <c r="AD14" s="17">
        <f t="shared" si="6"/>
        <v>0</v>
      </c>
      <c r="AE14" s="31">
        <f t="shared" si="6"/>
        <v>5</v>
      </c>
      <c r="AF14" s="31">
        <f t="shared" si="6"/>
        <v>84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0</v>
      </c>
      <c r="P15" s="15">
        <f t="shared" si="1"/>
        <v>3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61</v>
      </c>
      <c r="AD15" s="17">
        <f t="shared" si="7"/>
        <v>0</v>
      </c>
      <c r="AE15" s="31">
        <f t="shared" si="7"/>
        <v>8</v>
      </c>
      <c r="AF15" s="31">
        <f t="shared" si="7"/>
        <v>69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1</v>
      </c>
      <c r="P16" s="15">
        <f t="shared" si="1"/>
        <v>3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58</v>
      </c>
      <c r="AD16" s="17">
        <f t="shared" si="8"/>
        <v>0</v>
      </c>
      <c r="AE16" s="31">
        <f t="shared" si="8"/>
        <v>2</v>
      </c>
      <c r="AF16" s="31">
        <f t="shared" si="8"/>
        <v>60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0</v>
      </c>
      <c r="P17" s="15">
        <f t="shared" si="1"/>
        <v>3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47</v>
      </c>
      <c r="AD17" s="17">
        <f t="shared" si="9"/>
        <v>0</v>
      </c>
      <c r="AE17" s="31">
        <f t="shared" si="9"/>
        <v>5</v>
      </c>
      <c r="AF17" s="31">
        <f t="shared" si="9"/>
        <v>52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0</v>
      </c>
      <c r="P18" s="15">
        <f t="shared" si="1"/>
        <v>8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35</v>
      </c>
      <c r="AD18" s="17">
        <f t="shared" si="10"/>
        <v>0</v>
      </c>
      <c r="AE18" s="31">
        <f t="shared" si="10"/>
        <v>4</v>
      </c>
      <c r="AF18" s="31">
        <f t="shared" si="10"/>
        <v>39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0</v>
      </c>
      <c r="P19" s="15">
        <f t="shared" si="1"/>
        <v>8</v>
      </c>
      <c r="R19" s="1" t="s">
        <v>15</v>
      </c>
      <c r="S19" s="17">
        <f t="shared" ref="S19:AF19" si="11">SUM(C46:C49)</f>
        <v>1</v>
      </c>
      <c r="T19" s="17">
        <f t="shared" si="11"/>
        <v>1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43</v>
      </c>
      <c r="AD19" s="17">
        <f t="shared" si="11"/>
        <v>0</v>
      </c>
      <c r="AE19" s="31">
        <f t="shared" si="11"/>
        <v>4</v>
      </c>
      <c r="AF19" s="31">
        <f t="shared" si="11"/>
        <v>47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17</v>
      </c>
      <c r="N20" s="50">
        <v>0</v>
      </c>
      <c r="O20" s="15">
        <f t="shared" si="0"/>
        <v>1</v>
      </c>
      <c r="P20" s="15">
        <f t="shared" si="1"/>
        <v>18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55</v>
      </c>
      <c r="AD20" s="17">
        <f t="shared" si="12"/>
        <v>0</v>
      </c>
      <c r="AE20" s="31">
        <f t="shared" si="12"/>
        <v>3</v>
      </c>
      <c r="AF20" s="31">
        <f t="shared" si="12"/>
        <v>58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2</v>
      </c>
      <c r="P21" s="15">
        <f t="shared" si="1"/>
        <v>8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52</v>
      </c>
      <c r="AD21" s="17">
        <f t="shared" si="13"/>
        <v>0</v>
      </c>
      <c r="AE21" s="31">
        <f t="shared" si="13"/>
        <v>5</v>
      </c>
      <c r="AF21" s="31">
        <f t="shared" si="13"/>
        <v>57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12</v>
      </c>
      <c r="N22" s="50">
        <v>0</v>
      </c>
      <c r="O22" s="15">
        <f t="shared" si="0"/>
        <v>1</v>
      </c>
      <c r="P22" s="15">
        <f t="shared" si="1"/>
        <v>13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39</v>
      </c>
      <c r="AD22" s="39">
        <f t="shared" si="14"/>
        <v>0</v>
      </c>
      <c r="AE22" s="40">
        <f t="shared" si="14"/>
        <v>3</v>
      </c>
      <c r="AF22" s="40">
        <f t="shared" si="14"/>
        <v>42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19</v>
      </c>
      <c r="N23" s="50">
        <v>0</v>
      </c>
      <c r="O23" s="15">
        <f t="shared" si="0"/>
        <v>3</v>
      </c>
      <c r="P23" s="15">
        <f t="shared" si="1"/>
        <v>22</v>
      </c>
      <c r="R23" s="38" t="s">
        <v>91</v>
      </c>
      <c r="S23" s="39">
        <f>MAX(S13:S18)</f>
        <v>1</v>
      </c>
      <c r="T23" s="39">
        <f t="shared" ref="T23:AF23" si="15">MAX(T13:T18)</f>
        <v>0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79</v>
      </c>
      <c r="AD23" s="39">
        <f t="shared" si="15"/>
        <v>0</v>
      </c>
      <c r="AE23" s="40">
        <f t="shared" si="15"/>
        <v>8</v>
      </c>
      <c r="AF23" s="40">
        <f t="shared" si="15"/>
        <v>84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1</v>
      </c>
      <c r="P24" s="15">
        <f t="shared" si="1"/>
        <v>16</v>
      </c>
      <c r="R24" s="38" t="s">
        <v>92</v>
      </c>
      <c r="S24" s="39">
        <f>MAX(S19:S21)</f>
        <v>1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55</v>
      </c>
      <c r="AD24" s="39">
        <f t="shared" si="16"/>
        <v>0</v>
      </c>
      <c r="AE24" s="40">
        <f t="shared" si="16"/>
        <v>5</v>
      </c>
      <c r="AF24" s="40">
        <f t="shared" si="16"/>
        <v>58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2</v>
      </c>
      <c r="P25" s="15">
        <f t="shared" si="1"/>
        <v>20</v>
      </c>
      <c r="R25" s="37" t="s">
        <v>85</v>
      </c>
      <c r="S25" s="35">
        <f t="shared" ref="S25:AF25" si="17">SUM(S10:S12)</f>
        <v>1</v>
      </c>
      <c r="T25" s="16">
        <f t="shared" si="17"/>
        <v>0</v>
      </c>
      <c r="U25" s="16">
        <f t="shared" si="17"/>
        <v>3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62</v>
      </c>
      <c r="AD25" s="16">
        <f t="shared" si="17"/>
        <v>0</v>
      </c>
      <c r="AE25" s="32">
        <f t="shared" si="17"/>
        <v>4</v>
      </c>
      <c r="AF25" s="32">
        <f t="shared" si="17"/>
        <v>66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2</v>
      </c>
      <c r="P26" s="15">
        <f t="shared" si="1"/>
        <v>19</v>
      </c>
      <c r="R26" s="28" t="s">
        <v>86</v>
      </c>
      <c r="S26" s="16">
        <f t="shared" ref="S26:AF26" si="18">SUM(S13:S18)</f>
        <v>3</v>
      </c>
      <c r="T26" s="16">
        <f t="shared" si="18"/>
        <v>0</v>
      </c>
      <c r="U26" s="16">
        <f t="shared" si="18"/>
        <v>7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21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344</v>
      </c>
      <c r="AD26" s="16">
        <f t="shared" si="18"/>
        <v>0</v>
      </c>
      <c r="AE26" s="32">
        <f t="shared" si="18"/>
        <v>31</v>
      </c>
      <c r="AF26" s="32">
        <f t="shared" si="18"/>
        <v>375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22</v>
      </c>
      <c r="N27" s="50">
        <v>0</v>
      </c>
      <c r="O27" s="15">
        <f t="shared" si="0"/>
        <v>1</v>
      </c>
      <c r="P27" s="15">
        <f t="shared" si="1"/>
        <v>23</v>
      </c>
      <c r="R27" s="29" t="s">
        <v>87</v>
      </c>
      <c r="S27" s="16">
        <f t="shared" ref="S27:AF27" si="19">SUM(S19:S21)</f>
        <v>2</v>
      </c>
      <c r="T27" s="16">
        <f t="shared" si="19"/>
        <v>1</v>
      </c>
      <c r="U27" s="16">
        <f t="shared" si="19"/>
        <v>3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6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150</v>
      </c>
      <c r="AD27" s="16">
        <f t="shared" si="19"/>
        <v>0</v>
      </c>
      <c r="AE27" s="32">
        <f t="shared" si="19"/>
        <v>12</v>
      </c>
      <c r="AF27" s="32">
        <f t="shared" si="19"/>
        <v>162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24</v>
      </c>
      <c r="N28" s="50">
        <v>0</v>
      </c>
      <c r="O28" s="15">
        <f t="shared" si="0"/>
        <v>1</v>
      </c>
      <c r="P28" s="15">
        <f t="shared" si="1"/>
        <v>25</v>
      </c>
      <c r="R28" s="5" t="s">
        <v>17</v>
      </c>
      <c r="S28" s="16">
        <f t="shared" ref="S28:AF28" si="20">SUM(S10:S21)</f>
        <v>6</v>
      </c>
      <c r="T28" s="16">
        <f t="shared" si="20"/>
        <v>1</v>
      </c>
      <c r="U28" s="16">
        <f t="shared" si="20"/>
        <v>13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27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556</v>
      </c>
      <c r="AD28" s="16">
        <f t="shared" si="20"/>
        <v>0</v>
      </c>
      <c r="AE28" s="32">
        <f t="shared" si="20"/>
        <v>47</v>
      </c>
      <c r="AF28" s="32">
        <f t="shared" si="20"/>
        <v>603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1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4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4</v>
      </c>
      <c r="P30" s="15">
        <f t="shared" si="1"/>
        <v>17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5">
        <f t="shared" si="0"/>
        <v>1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1</v>
      </c>
      <c r="P32" s="15">
        <f t="shared" si="1"/>
        <v>12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2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17</v>
      </c>
      <c r="N34" s="50">
        <v>0</v>
      </c>
      <c r="O34" s="15">
        <f t="shared" si="0"/>
        <v>1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1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0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0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1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0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14</v>
      </c>
      <c r="N40" s="50">
        <v>0</v>
      </c>
      <c r="O40" s="15">
        <f t="shared" si="0"/>
        <v>2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2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1</v>
      </c>
      <c r="P42" s="15">
        <f t="shared" si="1"/>
        <v>8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9</v>
      </c>
      <c r="N43" s="50">
        <v>0</v>
      </c>
      <c r="O43" s="15">
        <f t="shared" si="0"/>
        <v>3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0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0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0</v>
      </c>
      <c r="P46" s="15">
        <f t="shared" si="1"/>
        <v>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2</v>
      </c>
      <c r="P47" s="15">
        <f t="shared" si="1"/>
        <v>10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1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1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0</v>
      </c>
      <c r="P50" s="15">
        <f t="shared" si="1"/>
        <v>12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2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16</v>
      </c>
      <c r="N52" s="50">
        <v>0</v>
      </c>
      <c r="O52" s="15">
        <f t="shared" si="0"/>
        <v>0</v>
      </c>
      <c r="P52" s="15">
        <f t="shared" si="1"/>
        <v>16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1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1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2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1</v>
      </c>
      <c r="P56" s="15">
        <f t="shared" si="1"/>
        <v>17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14</v>
      </c>
      <c r="N57" s="50">
        <v>0</v>
      </c>
      <c r="O57" s="15">
        <f t="shared" si="0"/>
        <v>1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</v>
      </c>
      <c r="D58" s="16">
        <f t="shared" si="21"/>
        <v>1</v>
      </c>
      <c r="E58" s="16">
        <f t="shared" si="21"/>
        <v>13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27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556</v>
      </c>
      <c r="N58" s="16">
        <f t="shared" si="21"/>
        <v>0</v>
      </c>
      <c r="O58" s="16">
        <f t="shared" si="21"/>
        <v>47</v>
      </c>
      <c r="P58" s="16">
        <f t="shared" si="21"/>
        <v>603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9.9502487562189053E-3</v>
      </c>
      <c r="D59" s="43">
        <f t="shared" si="22"/>
        <v>1.658374792703151E-3</v>
      </c>
      <c r="E59" s="43">
        <f t="shared" si="22"/>
        <v>2.1558872305140961E-2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4.4776119402985072E-2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0.92205638474295193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0.1276595744680851</v>
      </c>
      <c r="D60" s="44">
        <f t="shared" ref="D60:N60" si="23">D58/$O$58</f>
        <v>2.1276595744680851E-2</v>
      </c>
      <c r="E60" s="44">
        <f t="shared" si="23"/>
        <v>0.27659574468085107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0.57446808510638303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N57" sqref="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Bukwo-Suam'!C3:G3</f>
        <v>MCC-C5-STN144-SUAM-BUKWO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'27.08 Suam-Bukwo'!D5</f>
        <v>27.08.19</v>
      </c>
      <c r="E5" s="3"/>
      <c r="F5" s="41" t="s">
        <v>1</v>
      </c>
      <c r="G5" s="68" t="str">
        <f>'23.08 Suam- Bukwo'!G5:H5</f>
        <v>KAMKAMBA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Bukwo-Suam'!D6:E6</f>
        <v>BUKWO</v>
      </c>
      <c r="E6" s="69"/>
      <c r="F6" s="2" t="s">
        <v>2</v>
      </c>
      <c r="G6" s="68" t="str">
        <f>'23.08 Bukwo-Suam'!G6:H6</f>
        <v>SUAM</v>
      </c>
      <c r="H6" s="69"/>
      <c r="J6" s="2" t="s">
        <v>21</v>
      </c>
      <c r="K6" s="68" t="str">
        <f>'23.08 Suam- Bukwo'!K6:L6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9</v>
      </c>
      <c r="AD10" s="17">
        <f t="shared" si="2"/>
        <v>0</v>
      </c>
      <c r="AE10" s="31">
        <f t="shared" si="2"/>
        <v>0</v>
      </c>
      <c r="AF10" s="31">
        <f t="shared" si="2"/>
        <v>9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0</v>
      </c>
      <c r="P11" s="15">
        <f t="shared" si="1"/>
        <v>3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</v>
      </c>
      <c r="AD11" s="17">
        <f t="shared" si="3"/>
        <v>0</v>
      </c>
      <c r="AE11" s="31">
        <f t="shared" si="3"/>
        <v>1</v>
      </c>
      <c r="AF11" s="31">
        <f t="shared" si="3"/>
        <v>11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0</v>
      </c>
      <c r="P12" s="15">
        <f t="shared" si="1"/>
        <v>2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34</v>
      </c>
      <c r="AD12" s="17">
        <f t="shared" si="4"/>
        <v>0</v>
      </c>
      <c r="AE12" s="31">
        <f t="shared" si="4"/>
        <v>0</v>
      </c>
      <c r="AF12" s="31">
        <f t="shared" si="4"/>
        <v>34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0</v>
      </c>
      <c r="P13" s="15">
        <f t="shared" si="1"/>
        <v>4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41</v>
      </c>
      <c r="AD13" s="17">
        <f t="shared" si="5"/>
        <v>0</v>
      </c>
      <c r="AE13" s="31">
        <f t="shared" si="5"/>
        <v>5</v>
      </c>
      <c r="AF13" s="31">
        <f t="shared" si="5"/>
        <v>46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0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49</v>
      </c>
      <c r="AD14" s="17">
        <f t="shared" si="6"/>
        <v>0</v>
      </c>
      <c r="AE14" s="31">
        <f t="shared" si="6"/>
        <v>4</v>
      </c>
      <c r="AF14" s="31">
        <f t="shared" si="6"/>
        <v>53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56</v>
      </c>
      <c r="AD15" s="17">
        <f t="shared" si="7"/>
        <v>0</v>
      </c>
      <c r="AE15" s="31">
        <f t="shared" si="7"/>
        <v>5</v>
      </c>
      <c r="AF15" s="31">
        <f t="shared" si="7"/>
        <v>61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1</v>
      </c>
      <c r="P16" s="15">
        <f t="shared" si="1"/>
        <v>4</v>
      </c>
      <c r="R16" s="1" t="s">
        <v>12</v>
      </c>
      <c r="S16" s="17">
        <f t="shared" ref="S16:AF16" si="8">SUM(C34:C37)</f>
        <v>0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60</v>
      </c>
      <c r="AD16" s="17">
        <f t="shared" si="8"/>
        <v>0</v>
      </c>
      <c r="AE16" s="31">
        <f t="shared" si="8"/>
        <v>4</v>
      </c>
      <c r="AF16" s="31">
        <f t="shared" si="8"/>
        <v>64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65</v>
      </c>
      <c r="AD17" s="17">
        <f t="shared" si="9"/>
        <v>0</v>
      </c>
      <c r="AE17" s="31">
        <f t="shared" si="9"/>
        <v>3</v>
      </c>
      <c r="AF17" s="31">
        <f t="shared" si="9"/>
        <v>68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0</v>
      </c>
      <c r="P18" s="15">
        <f t="shared" si="1"/>
        <v>5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4</v>
      </c>
      <c r="AF18" s="31">
        <f t="shared" si="10"/>
        <v>59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0</v>
      </c>
      <c r="P19" s="15">
        <f t="shared" si="1"/>
        <v>8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46</v>
      </c>
      <c r="AD19" s="17">
        <f t="shared" si="11"/>
        <v>0</v>
      </c>
      <c r="AE19" s="31">
        <f t="shared" si="11"/>
        <v>5</v>
      </c>
      <c r="AF19" s="31">
        <f t="shared" si="11"/>
        <v>51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0</v>
      </c>
      <c r="P20" s="15">
        <f t="shared" si="1"/>
        <v>11</v>
      </c>
      <c r="R20" s="1" t="s">
        <v>16</v>
      </c>
      <c r="S20" s="17">
        <f t="shared" ref="S20:AF20" si="12">SUM(C50:C53)</f>
        <v>2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54</v>
      </c>
      <c r="AD20" s="17">
        <f t="shared" si="12"/>
        <v>0</v>
      </c>
      <c r="AE20" s="31">
        <f t="shared" si="12"/>
        <v>8</v>
      </c>
      <c r="AF20" s="31">
        <f t="shared" si="12"/>
        <v>62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0</v>
      </c>
      <c r="P21" s="15">
        <f t="shared" si="1"/>
        <v>10</v>
      </c>
      <c r="R21" s="36" t="s">
        <v>20</v>
      </c>
      <c r="S21" s="34">
        <f t="shared" ref="S21:AF21" si="13">SUM(C54:C57)</f>
        <v>2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44</v>
      </c>
      <c r="AD21" s="17">
        <f t="shared" si="13"/>
        <v>0</v>
      </c>
      <c r="AE21" s="31">
        <f t="shared" si="13"/>
        <v>7</v>
      </c>
      <c r="AF21" s="31">
        <f t="shared" si="13"/>
        <v>51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1</v>
      </c>
      <c r="P22" s="15">
        <f t="shared" si="1"/>
        <v>10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34</v>
      </c>
      <c r="AD22" s="39">
        <f t="shared" si="14"/>
        <v>0</v>
      </c>
      <c r="AE22" s="40">
        <f t="shared" si="14"/>
        <v>1</v>
      </c>
      <c r="AF22" s="40">
        <f t="shared" si="14"/>
        <v>34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0</v>
      </c>
      <c r="P23" s="15">
        <f t="shared" si="1"/>
        <v>12</v>
      </c>
      <c r="R23" s="38" t="s">
        <v>91</v>
      </c>
      <c r="S23" s="39">
        <f>MAX(S13:S18)</f>
        <v>0</v>
      </c>
      <c r="T23" s="39">
        <f t="shared" ref="T23:AF23" si="15">MAX(T13:T18)</f>
        <v>1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65</v>
      </c>
      <c r="AD23" s="39">
        <f t="shared" si="15"/>
        <v>0</v>
      </c>
      <c r="AE23" s="40">
        <f t="shared" si="15"/>
        <v>5</v>
      </c>
      <c r="AF23" s="40">
        <f t="shared" si="15"/>
        <v>68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3</v>
      </c>
      <c r="P24" s="15">
        <f t="shared" si="1"/>
        <v>14</v>
      </c>
      <c r="R24" s="38" t="s">
        <v>92</v>
      </c>
      <c r="S24" s="39">
        <f>MAX(S19:S21)</f>
        <v>2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54</v>
      </c>
      <c r="AD24" s="39">
        <f t="shared" si="16"/>
        <v>0</v>
      </c>
      <c r="AE24" s="40">
        <f t="shared" si="16"/>
        <v>8</v>
      </c>
      <c r="AF24" s="40">
        <f t="shared" si="16"/>
        <v>62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1</v>
      </c>
      <c r="P25" s="15">
        <f t="shared" si="1"/>
        <v>10</v>
      </c>
      <c r="R25" s="37" t="s">
        <v>85</v>
      </c>
      <c r="S25" s="35">
        <f t="shared" ref="S25:AF25" si="17">SUM(S10:S12)</f>
        <v>1</v>
      </c>
      <c r="T25" s="16">
        <f t="shared" si="17"/>
        <v>0</v>
      </c>
      <c r="U25" s="16">
        <f t="shared" si="17"/>
        <v>0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53</v>
      </c>
      <c r="AD25" s="16">
        <f t="shared" si="17"/>
        <v>0</v>
      </c>
      <c r="AE25" s="32">
        <f t="shared" si="17"/>
        <v>1</v>
      </c>
      <c r="AF25" s="32">
        <f t="shared" si="17"/>
        <v>54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1</v>
      </c>
      <c r="P26" s="15">
        <f t="shared" si="1"/>
        <v>14</v>
      </c>
      <c r="R26" s="28" t="s">
        <v>86</v>
      </c>
      <c r="S26" s="16">
        <f t="shared" ref="S26:AF26" si="18">SUM(S13:S18)</f>
        <v>0</v>
      </c>
      <c r="T26" s="16">
        <f t="shared" si="18"/>
        <v>2</v>
      </c>
      <c r="U26" s="16">
        <f t="shared" si="18"/>
        <v>7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15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326</v>
      </c>
      <c r="AD26" s="16">
        <f t="shared" si="18"/>
        <v>0</v>
      </c>
      <c r="AE26" s="32">
        <f t="shared" si="18"/>
        <v>25</v>
      </c>
      <c r="AF26" s="32">
        <f t="shared" si="18"/>
        <v>351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1</v>
      </c>
      <c r="P27" s="15">
        <f t="shared" si="1"/>
        <v>9</v>
      </c>
      <c r="R27" s="29" t="s">
        <v>87</v>
      </c>
      <c r="S27" s="16">
        <f t="shared" ref="S27:AF27" si="19">SUM(S19:S21)</f>
        <v>4</v>
      </c>
      <c r="T27" s="16">
        <f t="shared" si="19"/>
        <v>1</v>
      </c>
      <c r="U27" s="16">
        <f t="shared" si="19"/>
        <v>2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13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144</v>
      </c>
      <c r="AD27" s="16">
        <f t="shared" si="19"/>
        <v>0</v>
      </c>
      <c r="AE27" s="32">
        <f t="shared" si="19"/>
        <v>20</v>
      </c>
      <c r="AF27" s="32">
        <f t="shared" si="19"/>
        <v>164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16</v>
      </c>
      <c r="N28" s="50">
        <v>0</v>
      </c>
      <c r="O28" s="15">
        <f t="shared" si="0"/>
        <v>1</v>
      </c>
      <c r="P28" s="15">
        <f t="shared" si="1"/>
        <v>17</v>
      </c>
      <c r="R28" s="5" t="s">
        <v>17</v>
      </c>
      <c r="S28" s="16">
        <f t="shared" ref="S28:AF28" si="20">SUM(S10:S21)</f>
        <v>5</v>
      </c>
      <c r="T28" s="16">
        <f t="shared" si="20"/>
        <v>3</v>
      </c>
      <c r="U28" s="16">
        <f t="shared" si="20"/>
        <v>9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28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523</v>
      </c>
      <c r="AD28" s="16">
        <f t="shared" si="20"/>
        <v>0</v>
      </c>
      <c r="AE28" s="32">
        <f t="shared" si="20"/>
        <v>46</v>
      </c>
      <c r="AF28" s="32">
        <f t="shared" si="20"/>
        <v>569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1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3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2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0</v>
      </c>
      <c r="P32" s="15">
        <f t="shared" si="1"/>
        <v>8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18</v>
      </c>
      <c r="N33" s="50">
        <v>0</v>
      </c>
      <c r="O33" s="15">
        <f t="shared" si="0"/>
        <v>0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23</v>
      </c>
      <c r="N34" s="50">
        <v>0</v>
      </c>
      <c r="O34" s="15">
        <f t="shared" si="0"/>
        <v>1</v>
      </c>
      <c r="P34" s="15">
        <f t="shared" si="1"/>
        <v>24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2</v>
      </c>
      <c r="P35" s="15">
        <f t="shared" si="1"/>
        <v>18</v>
      </c>
    </row>
    <row r="36" spans="2:20" ht="23.1" customHeight="1" x14ac:dyDescent="0.25">
      <c r="B36" s="24" t="s">
        <v>63</v>
      </c>
      <c r="C36" s="50">
        <v>0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1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0</v>
      </c>
      <c r="P37" s="15">
        <f t="shared" si="1"/>
        <v>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0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19</v>
      </c>
      <c r="N39" s="50">
        <v>0</v>
      </c>
      <c r="O39" s="15">
        <f t="shared" si="0"/>
        <v>1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2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0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0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2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1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16</v>
      </c>
      <c r="N45" s="50">
        <v>0</v>
      </c>
      <c r="O45" s="15">
        <f t="shared" si="0"/>
        <v>1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0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2</v>
      </c>
      <c r="P47" s="15">
        <f t="shared" si="1"/>
        <v>14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1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2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3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0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2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3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2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3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0</v>
      </c>
      <c r="P56" s="15">
        <f t="shared" si="1"/>
        <v>11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2</v>
      </c>
      <c r="P57" s="15">
        <f t="shared" si="1"/>
        <v>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</v>
      </c>
      <c r="D58" s="16">
        <f t="shared" si="21"/>
        <v>3</v>
      </c>
      <c r="E58" s="16">
        <f t="shared" si="21"/>
        <v>9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28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523</v>
      </c>
      <c r="N58" s="16">
        <f t="shared" si="21"/>
        <v>0</v>
      </c>
      <c r="O58" s="16">
        <f t="shared" si="21"/>
        <v>46</v>
      </c>
      <c r="P58" s="16">
        <f t="shared" si="21"/>
        <v>569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8.7873462214411256E-3</v>
      </c>
      <c r="D59" s="43">
        <f t="shared" si="22"/>
        <v>5.272407732864675E-3</v>
      </c>
      <c r="E59" s="43">
        <f t="shared" si="22"/>
        <v>1.5817223198594025E-2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4.9209138840070298E-2</v>
      </c>
      <c r="J59" s="43">
        <f t="shared" si="22"/>
        <v>1.7574692442882249E-3</v>
      </c>
      <c r="K59" s="43">
        <f t="shared" si="22"/>
        <v>0</v>
      </c>
      <c r="L59" s="43">
        <f t="shared" si="22"/>
        <v>0</v>
      </c>
      <c r="M59" s="43">
        <f t="shared" si="22"/>
        <v>0.91915641476274168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0.10869565217391304</v>
      </c>
      <c r="D60" s="44">
        <f t="shared" ref="D60:N60" si="23">D58/$O$58</f>
        <v>6.5217391304347824E-2</v>
      </c>
      <c r="E60" s="44">
        <f t="shared" si="23"/>
        <v>0.19565217391304349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0.60869565217391308</v>
      </c>
      <c r="J60" s="44">
        <f t="shared" si="23"/>
        <v>2.1739130434782608E-2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8" t="str">
        <f>'27.08 Bukwo-Suam'!G5:H5</f>
        <v>KAMKAMBA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Suam- Bukwo'!D6:E6</f>
        <v>SUAM</v>
      </c>
      <c r="E6" s="69"/>
      <c r="F6" s="2" t="s">
        <v>2</v>
      </c>
      <c r="G6" s="68" t="str">
        <f>'23.08 Suam- Bukwo'!G6:H6</f>
        <v>BUKWO</v>
      </c>
      <c r="H6" s="69"/>
      <c r="J6" s="2" t="s">
        <v>21</v>
      </c>
      <c r="K6" s="68" t="str">
        <f>'27.08 Bukwo-Suam'!K6:L6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1</v>
      </c>
      <c r="AF10" s="31">
        <f t="shared" si="2"/>
        <v>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16</v>
      </c>
      <c r="AD11" s="17">
        <f t="shared" si="3"/>
        <v>0</v>
      </c>
      <c r="AE11" s="31">
        <f t="shared" si="3"/>
        <v>5</v>
      </c>
      <c r="AF11" s="31">
        <f t="shared" si="3"/>
        <v>21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1</v>
      </c>
      <c r="P12" s="15">
        <f t="shared" si="1"/>
        <v>2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28</v>
      </c>
      <c r="AD12" s="17">
        <f t="shared" si="4"/>
        <v>0</v>
      </c>
      <c r="AE12" s="31">
        <f t="shared" si="4"/>
        <v>4</v>
      </c>
      <c r="AF12" s="31">
        <f t="shared" si="4"/>
        <v>32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0</v>
      </c>
      <c r="P13" s="15">
        <f t="shared" si="1"/>
        <v>3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52</v>
      </c>
      <c r="AD13" s="17">
        <f t="shared" si="5"/>
        <v>0</v>
      </c>
      <c r="AE13" s="31">
        <f t="shared" si="5"/>
        <v>2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1</v>
      </c>
      <c r="P14" s="15">
        <f t="shared" si="1"/>
        <v>3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60</v>
      </c>
      <c r="AD14" s="17">
        <f t="shared" si="6"/>
        <v>0</v>
      </c>
      <c r="AE14" s="31">
        <f t="shared" si="6"/>
        <v>3</v>
      </c>
      <c r="AF14" s="31">
        <f t="shared" si="6"/>
        <v>63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</v>
      </c>
      <c r="P15" s="15">
        <f t="shared" si="1"/>
        <v>9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5</v>
      </c>
      <c r="AF15" s="31">
        <f t="shared" si="7"/>
        <v>65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0</v>
      </c>
      <c r="P16" s="15">
        <f t="shared" si="1"/>
        <v>4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45</v>
      </c>
      <c r="AD16" s="17">
        <f t="shared" si="8"/>
        <v>0</v>
      </c>
      <c r="AE16" s="31">
        <f t="shared" si="8"/>
        <v>4</v>
      </c>
      <c r="AF16" s="31">
        <f t="shared" si="8"/>
        <v>49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3</v>
      </c>
      <c r="P17" s="15">
        <f t="shared" si="1"/>
        <v>5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33</v>
      </c>
      <c r="AD17" s="17">
        <f t="shared" si="9"/>
        <v>0</v>
      </c>
      <c r="AE17" s="31">
        <f t="shared" si="9"/>
        <v>5</v>
      </c>
      <c r="AF17" s="31">
        <f t="shared" si="9"/>
        <v>38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</v>
      </c>
      <c r="P18" s="15">
        <f t="shared" si="1"/>
        <v>3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45</v>
      </c>
      <c r="AD18" s="17">
        <f t="shared" si="10"/>
        <v>0</v>
      </c>
      <c r="AE18" s="31">
        <f t="shared" si="10"/>
        <v>3</v>
      </c>
      <c r="AF18" s="31">
        <f t="shared" si="10"/>
        <v>48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1</v>
      </c>
      <c r="P19" s="15">
        <f t="shared" si="1"/>
        <v>5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56</v>
      </c>
      <c r="AD19" s="17">
        <f t="shared" si="11"/>
        <v>0</v>
      </c>
      <c r="AE19" s="31">
        <f t="shared" si="11"/>
        <v>5</v>
      </c>
      <c r="AF19" s="31">
        <f t="shared" si="11"/>
        <v>61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2</v>
      </c>
      <c r="P20" s="15">
        <f t="shared" si="1"/>
        <v>12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8</v>
      </c>
      <c r="AF20" s="31">
        <f t="shared" si="12"/>
        <v>57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0</v>
      </c>
      <c r="P21" s="15">
        <f t="shared" si="1"/>
        <v>12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57</v>
      </c>
      <c r="AD21" s="17">
        <f t="shared" si="13"/>
        <v>0</v>
      </c>
      <c r="AE21" s="31">
        <f t="shared" si="13"/>
        <v>3</v>
      </c>
      <c r="AF21" s="31">
        <f t="shared" si="13"/>
        <v>60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0</v>
      </c>
      <c r="P22" s="15">
        <f t="shared" si="1"/>
        <v>14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28</v>
      </c>
      <c r="AD22" s="39">
        <f t="shared" si="14"/>
        <v>0</v>
      </c>
      <c r="AE22" s="40">
        <f t="shared" si="14"/>
        <v>5</v>
      </c>
      <c r="AF22" s="40">
        <f t="shared" si="14"/>
        <v>32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1</v>
      </c>
      <c r="P23" s="15">
        <f t="shared" si="1"/>
        <v>14</v>
      </c>
      <c r="R23" s="38" t="s">
        <v>91</v>
      </c>
      <c r="S23" s="39">
        <f>MAX(S13:S18)</f>
        <v>1</v>
      </c>
      <c r="T23" s="39">
        <f t="shared" ref="T23:AF23" si="15">MAX(T13:T18)</f>
        <v>0</v>
      </c>
      <c r="U23" s="39">
        <f t="shared" si="15"/>
        <v>1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60</v>
      </c>
      <c r="AD23" s="39">
        <f t="shared" si="15"/>
        <v>0</v>
      </c>
      <c r="AE23" s="40">
        <f t="shared" si="15"/>
        <v>5</v>
      </c>
      <c r="AF23" s="40">
        <f t="shared" si="15"/>
        <v>65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0</v>
      </c>
      <c r="P24" s="15">
        <f t="shared" si="1"/>
        <v>11</v>
      </c>
      <c r="R24" s="38" t="s">
        <v>92</v>
      </c>
      <c r="S24" s="39">
        <f>MAX(S19:S21)</f>
        <v>3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57</v>
      </c>
      <c r="AD24" s="39">
        <f t="shared" si="16"/>
        <v>0</v>
      </c>
      <c r="AE24" s="40">
        <f t="shared" si="16"/>
        <v>8</v>
      </c>
      <c r="AF24" s="40">
        <f t="shared" si="16"/>
        <v>61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1</v>
      </c>
      <c r="P25" s="15">
        <f t="shared" si="1"/>
        <v>15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6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50</v>
      </c>
      <c r="AD25" s="16">
        <f t="shared" si="17"/>
        <v>0</v>
      </c>
      <c r="AE25" s="32">
        <f t="shared" si="17"/>
        <v>10</v>
      </c>
      <c r="AF25" s="32">
        <f t="shared" si="17"/>
        <v>60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0</v>
      </c>
      <c r="P26" s="15">
        <f t="shared" si="1"/>
        <v>17</v>
      </c>
      <c r="R26" s="28" t="s">
        <v>86</v>
      </c>
      <c r="S26" s="16">
        <f t="shared" ref="S26:AF26" si="18">SUM(S13:S18)</f>
        <v>5</v>
      </c>
      <c r="T26" s="16">
        <f t="shared" si="18"/>
        <v>0</v>
      </c>
      <c r="U26" s="16">
        <f t="shared" si="18"/>
        <v>1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295</v>
      </c>
      <c r="AD26" s="16">
        <f t="shared" si="18"/>
        <v>0</v>
      </c>
      <c r="AE26" s="32">
        <f t="shared" si="18"/>
        <v>22</v>
      </c>
      <c r="AF26" s="32">
        <f t="shared" si="18"/>
        <v>317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3</v>
      </c>
      <c r="P27" s="15">
        <f t="shared" si="1"/>
        <v>18</v>
      </c>
      <c r="R27" s="29" t="s">
        <v>87</v>
      </c>
      <c r="S27" s="16">
        <f t="shared" ref="S27:AF27" si="19">SUM(S19:S21)</f>
        <v>3</v>
      </c>
      <c r="T27" s="16">
        <f t="shared" si="19"/>
        <v>0</v>
      </c>
      <c r="U27" s="16">
        <f t="shared" si="19"/>
        <v>3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10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162</v>
      </c>
      <c r="AD27" s="16">
        <f t="shared" si="19"/>
        <v>0</v>
      </c>
      <c r="AE27" s="32">
        <f t="shared" si="19"/>
        <v>16</v>
      </c>
      <c r="AF27" s="32">
        <f t="shared" si="19"/>
        <v>178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15</v>
      </c>
      <c r="N28" s="50">
        <v>0</v>
      </c>
      <c r="O28" s="15">
        <f t="shared" si="0"/>
        <v>0</v>
      </c>
      <c r="P28" s="15">
        <f t="shared" si="1"/>
        <v>15</v>
      </c>
      <c r="R28" s="5" t="s">
        <v>17</v>
      </c>
      <c r="S28" s="16">
        <f t="shared" ref="S28:AF28" si="20">SUM(S10:S21)</f>
        <v>12</v>
      </c>
      <c r="T28" s="16">
        <f t="shared" si="20"/>
        <v>0</v>
      </c>
      <c r="U28" s="16">
        <f t="shared" si="20"/>
        <v>10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26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507</v>
      </c>
      <c r="AD28" s="16">
        <f t="shared" si="20"/>
        <v>0</v>
      </c>
      <c r="AE28" s="32">
        <f t="shared" si="20"/>
        <v>48</v>
      </c>
      <c r="AF28" s="32">
        <f t="shared" si="20"/>
        <v>555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0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0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0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18</v>
      </c>
      <c r="N32" s="50">
        <v>0</v>
      </c>
      <c r="O32" s="15">
        <f t="shared" si="0"/>
        <v>2</v>
      </c>
      <c r="P32" s="15">
        <f t="shared" si="1"/>
        <v>20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3</v>
      </c>
      <c r="P33" s="15">
        <f t="shared" si="1"/>
        <v>16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1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9</v>
      </c>
      <c r="N35" s="50">
        <v>0</v>
      </c>
      <c r="O35" s="15">
        <f t="shared" si="0"/>
        <v>2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0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1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8</v>
      </c>
      <c r="N38" s="50">
        <v>0</v>
      </c>
      <c r="O38" s="15">
        <f t="shared" si="0"/>
        <v>2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6</v>
      </c>
      <c r="N39" s="50">
        <v>0</v>
      </c>
      <c r="O39" s="15">
        <f t="shared" si="0"/>
        <v>0</v>
      </c>
      <c r="P39" s="15">
        <f t="shared" si="1"/>
        <v>6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2</v>
      </c>
      <c r="P40" s="15">
        <f t="shared" si="1"/>
        <v>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1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2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0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0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1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0</v>
      </c>
      <c r="P46" s="15">
        <f t="shared" si="1"/>
        <v>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2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2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1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1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4</v>
      </c>
      <c r="P51" s="15">
        <f t="shared" si="1"/>
        <v>18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0</v>
      </c>
      <c r="P52" s="15">
        <f t="shared" si="1"/>
        <v>10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3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0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1</v>
      </c>
      <c r="P55" s="15">
        <f t="shared" si="1"/>
        <v>16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2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0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12</v>
      </c>
      <c r="D58" s="16">
        <f t="shared" si="21"/>
        <v>0</v>
      </c>
      <c r="E58" s="16">
        <f t="shared" si="21"/>
        <v>10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26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507</v>
      </c>
      <c r="N58" s="16">
        <f t="shared" si="21"/>
        <v>0</v>
      </c>
      <c r="O58" s="16">
        <f t="shared" si="21"/>
        <v>48</v>
      </c>
      <c r="P58" s="16">
        <f t="shared" si="21"/>
        <v>555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2.1621621621621623E-2</v>
      </c>
      <c r="D59" s="43">
        <f t="shared" si="22"/>
        <v>0</v>
      </c>
      <c r="E59" s="43">
        <f t="shared" si="22"/>
        <v>1.8018018018018018E-2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4.6846846846846847E-2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0.91351351351351351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</v>
      </c>
      <c r="D60" s="44">
        <f t="shared" ref="D60:N60" si="23">D58/$O$58</f>
        <v>0</v>
      </c>
      <c r="E60" s="44">
        <f t="shared" si="23"/>
        <v>0.20833333333333334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0.54166666666666663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N59" sqref="N5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Bukwo-Suam'!C3:G3</f>
        <v>MCC-C5-STN144-SUAM-BUKWO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'28.08 Suam-Bukwo'!D5</f>
        <v>28.08.19</v>
      </c>
      <c r="E5" s="3"/>
      <c r="F5" s="41" t="s">
        <v>1</v>
      </c>
      <c r="G5" s="68" t="str">
        <f>'28.08 Suam-Bukwo'!G5:H5</f>
        <v>KAMKAMBA</v>
      </c>
      <c r="H5" s="69"/>
      <c r="I5" s="14"/>
      <c r="J5" s="2" t="s">
        <v>5</v>
      </c>
      <c r="K5" s="68" t="s">
        <v>169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Bukwo-Suam'!D6:E6</f>
        <v>BUKWO</v>
      </c>
      <c r="E6" s="69"/>
      <c r="F6" s="2" t="s">
        <v>2</v>
      </c>
      <c r="G6" s="68" t="str">
        <f>'23.08 Bukwo-Suam'!G6:H6</f>
        <v>SUAM</v>
      </c>
      <c r="H6" s="69"/>
      <c r="J6" s="2" t="s">
        <v>21</v>
      </c>
      <c r="K6" s="68" t="str">
        <f>'28.08 Suam-Bukwo'!K6:L6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</v>
      </c>
      <c r="AD10" s="17">
        <f t="shared" si="2"/>
        <v>0</v>
      </c>
      <c r="AE10" s="31">
        <f t="shared" si="2"/>
        <v>0</v>
      </c>
      <c r="AF10" s="31">
        <f t="shared" si="2"/>
        <v>4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</v>
      </c>
      <c r="N11" s="50">
        <v>0</v>
      </c>
      <c r="O11" s="15">
        <f t="shared" si="0"/>
        <v>0</v>
      </c>
      <c r="P11" s="15">
        <f t="shared" si="1"/>
        <v>1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11</v>
      </c>
      <c r="AD11" s="17">
        <f t="shared" si="3"/>
        <v>0</v>
      </c>
      <c r="AE11" s="31">
        <f t="shared" si="3"/>
        <v>1</v>
      </c>
      <c r="AF11" s="31">
        <f t="shared" si="3"/>
        <v>12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0</v>
      </c>
      <c r="P12" s="15">
        <f t="shared" si="1"/>
        <v>3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</v>
      </c>
      <c r="AD12" s="17">
        <f t="shared" si="4"/>
        <v>0</v>
      </c>
      <c r="AE12" s="31">
        <f t="shared" si="4"/>
        <v>4</v>
      </c>
      <c r="AF12" s="31">
        <f t="shared" si="4"/>
        <v>10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25</v>
      </c>
      <c r="AD13" s="17">
        <f t="shared" si="5"/>
        <v>0</v>
      </c>
      <c r="AE13" s="31">
        <f t="shared" si="5"/>
        <v>2</v>
      </c>
      <c r="AF13" s="31">
        <f t="shared" si="5"/>
        <v>27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1</v>
      </c>
      <c r="P14" s="15">
        <f t="shared" si="1"/>
        <v>3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38</v>
      </c>
      <c r="AD14" s="17">
        <f t="shared" si="6"/>
        <v>0</v>
      </c>
      <c r="AE14" s="31">
        <f t="shared" si="6"/>
        <v>1</v>
      </c>
      <c r="AF14" s="31">
        <f t="shared" si="6"/>
        <v>39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0</v>
      </c>
      <c r="P15" s="15">
        <f t="shared" si="1"/>
        <v>2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59</v>
      </c>
      <c r="AD15" s="17">
        <f t="shared" si="7"/>
        <v>0</v>
      </c>
      <c r="AE15" s="31">
        <f t="shared" si="7"/>
        <v>5</v>
      </c>
      <c r="AF15" s="31">
        <f t="shared" si="7"/>
        <v>64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0</v>
      </c>
      <c r="P16" s="15">
        <f t="shared" si="1"/>
        <v>2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50</v>
      </c>
      <c r="AD16" s="17">
        <f t="shared" si="8"/>
        <v>0</v>
      </c>
      <c r="AE16" s="31">
        <f t="shared" si="8"/>
        <v>2</v>
      </c>
      <c r="AF16" s="31">
        <f t="shared" si="8"/>
        <v>52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0</v>
      </c>
      <c r="P17" s="15">
        <f t="shared" si="1"/>
        <v>5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48</v>
      </c>
      <c r="AD17" s="17">
        <f t="shared" si="9"/>
        <v>0</v>
      </c>
      <c r="AE17" s="31">
        <f t="shared" si="9"/>
        <v>5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0</v>
      </c>
      <c r="P18" s="15">
        <f t="shared" si="1"/>
        <v>2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52</v>
      </c>
      <c r="AD18" s="17">
        <f t="shared" si="10"/>
        <v>0</v>
      </c>
      <c r="AE18" s="31">
        <f t="shared" si="10"/>
        <v>10</v>
      </c>
      <c r="AF18" s="31">
        <f t="shared" si="10"/>
        <v>62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54</v>
      </c>
      <c r="AD19" s="17">
        <f t="shared" si="11"/>
        <v>0</v>
      </c>
      <c r="AE19" s="31">
        <f t="shared" si="11"/>
        <v>4</v>
      </c>
      <c r="AF19" s="31">
        <f t="shared" si="11"/>
        <v>58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2</v>
      </c>
      <c r="P20" s="15">
        <f t="shared" si="1"/>
        <v>5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37</v>
      </c>
      <c r="AD20" s="17">
        <f t="shared" si="12"/>
        <v>0</v>
      </c>
      <c r="AE20" s="31">
        <f t="shared" si="12"/>
        <v>2</v>
      </c>
      <c r="AF20" s="31">
        <f t="shared" si="12"/>
        <v>39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2</v>
      </c>
      <c r="P21" s="15">
        <f t="shared" si="1"/>
        <v>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3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54</v>
      </c>
      <c r="AD21" s="17">
        <f t="shared" si="13"/>
        <v>0</v>
      </c>
      <c r="AE21" s="31">
        <f t="shared" si="13"/>
        <v>3</v>
      </c>
      <c r="AF21" s="31">
        <f t="shared" si="13"/>
        <v>57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0</v>
      </c>
      <c r="P22" s="15">
        <f t="shared" si="1"/>
        <v>3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11</v>
      </c>
      <c r="AD22" s="39">
        <f t="shared" si="14"/>
        <v>0</v>
      </c>
      <c r="AE22" s="40">
        <f t="shared" si="14"/>
        <v>4</v>
      </c>
      <c r="AF22" s="40">
        <f t="shared" si="14"/>
        <v>12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1</v>
      </c>
      <c r="P23" s="15">
        <f t="shared" si="1"/>
        <v>10</v>
      </c>
      <c r="R23" s="38" t="s">
        <v>91</v>
      </c>
      <c r="S23" s="39">
        <f>MAX(S13:S18)</f>
        <v>2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59</v>
      </c>
      <c r="AD23" s="39">
        <f t="shared" si="15"/>
        <v>0</v>
      </c>
      <c r="AE23" s="40">
        <f t="shared" si="15"/>
        <v>10</v>
      </c>
      <c r="AF23" s="40">
        <f t="shared" si="15"/>
        <v>64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0</v>
      </c>
      <c r="P24" s="15">
        <f t="shared" si="1"/>
        <v>8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54</v>
      </c>
      <c r="AD24" s="39">
        <f t="shared" si="16"/>
        <v>0</v>
      </c>
      <c r="AE24" s="40">
        <f t="shared" si="16"/>
        <v>4</v>
      </c>
      <c r="AF24" s="40">
        <f t="shared" si="16"/>
        <v>58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1</v>
      </c>
      <c r="P25" s="15">
        <f t="shared" si="1"/>
        <v>6</v>
      </c>
      <c r="R25" s="37" t="s">
        <v>85</v>
      </c>
      <c r="S25" s="35">
        <f t="shared" ref="S25:AF25" si="17">SUM(S10:S12)</f>
        <v>3</v>
      </c>
      <c r="T25" s="16">
        <f t="shared" si="17"/>
        <v>0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21</v>
      </c>
      <c r="AD25" s="16">
        <f t="shared" si="17"/>
        <v>0</v>
      </c>
      <c r="AE25" s="32">
        <f t="shared" si="17"/>
        <v>5</v>
      </c>
      <c r="AF25" s="32">
        <f t="shared" si="17"/>
        <v>26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0</v>
      </c>
      <c r="P26" s="15">
        <f t="shared" si="1"/>
        <v>17</v>
      </c>
      <c r="R26" s="28" t="s">
        <v>86</v>
      </c>
      <c r="S26" s="16">
        <f t="shared" ref="S26:AF26" si="18">SUM(S13:S18)</f>
        <v>3</v>
      </c>
      <c r="T26" s="16">
        <f t="shared" si="18"/>
        <v>1</v>
      </c>
      <c r="U26" s="16">
        <f t="shared" si="18"/>
        <v>2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14</v>
      </c>
      <c r="Z26" s="16">
        <f t="shared" si="18"/>
        <v>4</v>
      </c>
      <c r="AA26" s="16">
        <f t="shared" si="18"/>
        <v>1</v>
      </c>
      <c r="AB26" s="16">
        <f t="shared" si="18"/>
        <v>0</v>
      </c>
      <c r="AC26" s="16">
        <f t="shared" si="18"/>
        <v>272</v>
      </c>
      <c r="AD26" s="16">
        <f t="shared" si="18"/>
        <v>0</v>
      </c>
      <c r="AE26" s="32">
        <f t="shared" si="18"/>
        <v>25</v>
      </c>
      <c r="AF26" s="32">
        <f t="shared" si="18"/>
        <v>297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0</v>
      </c>
      <c r="P27" s="15">
        <f t="shared" si="1"/>
        <v>8</v>
      </c>
      <c r="R27" s="29" t="s">
        <v>87</v>
      </c>
      <c r="S27" s="16">
        <f t="shared" ref="S27:AF27" si="19">SUM(S19:S21)</f>
        <v>2</v>
      </c>
      <c r="T27" s="16">
        <f t="shared" si="19"/>
        <v>0</v>
      </c>
      <c r="U27" s="16">
        <f t="shared" si="19"/>
        <v>3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145</v>
      </c>
      <c r="AD27" s="16">
        <f t="shared" si="19"/>
        <v>0</v>
      </c>
      <c r="AE27" s="32">
        <f t="shared" si="19"/>
        <v>9</v>
      </c>
      <c r="AF27" s="32">
        <f t="shared" si="19"/>
        <v>154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0</v>
      </c>
      <c r="P28" s="15">
        <f t="shared" si="1"/>
        <v>4</v>
      </c>
      <c r="R28" s="5" t="s">
        <v>17</v>
      </c>
      <c r="S28" s="16">
        <f t="shared" ref="S28:AF28" si="20">SUM(S10:S21)</f>
        <v>8</v>
      </c>
      <c r="T28" s="16">
        <f t="shared" si="20"/>
        <v>1</v>
      </c>
      <c r="U28" s="16">
        <f t="shared" si="20"/>
        <v>7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18</v>
      </c>
      <c r="Z28" s="16">
        <f t="shared" si="20"/>
        <v>4</v>
      </c>
      <c r="AA28" s="16">
        <f t="shared" si="20"/>
        <v>1</v>
      </c>
      <c r="AB28" s="16">
        <f t="shared" si="20"/>
        <v>0</v>
      </c>
      <c r="AC28" s="16">
        <f t="shared" si="20"/>
        <v>438</v>
      </c>
      <c r="AD28" s="16">
        <f t="shared" si="20"/>
        <v>0</v>
      </c>
      <c r="AE28" s="32">
        <f t="shared" si="20"/>
        <v>39</v>
      </c>
      <c r="AF28" s="32">
        <f t="shared" si="20"/>
        <v>477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1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0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3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19</v>
      </c>
      <c r="N32" s="50">
        <v>0</v>
      </c>
      <c r="O32" s="15">
        <f t="shared" si="0"/>
        <v>1</v>
      </c>
      <c r="P32" s="15">
        <f t="shared" si="1"/>
        <v>20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21</v>
      </c>
      <c r="N33" s="50">
        <v>0</v>
      </c>
      <c r="O33" s="15">
        <f t="shared" si="0"/>
        <v>1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0</v>
      </c>
      <c r="P34" s="15">
        <f t="shared" si="1"/>
        <v>24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1</v>
      </c>
      <c r="P35" s="15">
        <f t="shared" si="1"/>
        <v>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0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1</v>
      </c>
      <c r="P37" s="15">
        <f t="shared" si="1"/>
        <v>11</v>
      </c>
    </row>
    <row r="38" spans="2:20" ht="23.1" customHeight="1" x14ac:dyDescent="0.25">
      <c r="B38" s="24" t="s">
        <v>65</v>
      </c>
      <c r="C38" s="50">
        <v>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1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1</v>
      </c>
      <c r="P39" s="15">
        <f t="shared" si="1"/>
        <v>11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19</v>
      </c>
      <c r="N40" s="50">
        <v>0</v>
      </c>
      <c r="O40" s="15">
        <f t="shared" si="0"/>
        <v>0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3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1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2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5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9</v>
      </c>
      <c r="N45" s="50">
        <v>0</v>
      </c>
      <c r="O45" s="15">
        <f t="shared" si="0"/>
        <v>2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0</v>
      </c>
      <c r="P46" s="15">
        <f t="shared" si="1"/>
        <v>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1</v>
      </c>
      <c r="P47" s="15">
        <f t="shared" si="1"/>
        <v>14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0</v>
      </c>
      <c r="P48" s="15">
        <f t="shared" si="1"/>
        <v>16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17</v>
      </c>
      <c r="N49" s="50">
        <v>0</v>
      </c>
      <c r="O49" s="15">
        <f t="shared" si="0"/>
        <v>3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</v>
      </c>
      <c r="N50" s="50">
        <v>0</v>
      </c>
      <c r="O50" s="15">
        <f t="shared" si="0"/>
        <v>0</v>
      </c>
      <c r="P50" s="15">
        <f t="shared" si="1"/>
        <v>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10</v>
      </c>
      <c r="N51" s="50">
        <v>0</v>
      </c>
      <c r="O51" s="15">
        <f t="shared" si="0"/>
        <v>0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1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</v>
      </c>
      <c r="P53" s="15">
        <f t="shared" si="1"/>
        <v>9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2</v>
      </c>
      <c r="P54" s="15">
        <f t="shared" si="1"/>
        <v>13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0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</v>
      </c>
      <c r="P56" s="15">
        <f t="shared" si="1"/>
        <v>10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0</v>
      </c>
      <c r="P57" s="15">
        <f t="shared" si="1"/>
        <v>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</v>
      </c>
      <c r="D58" s="16">
        <f t="shared" si="21"/>
        <v>1</v>
      </c>
      <c r="E58" s="16">
        <f t="shared" si="21"/>
        <v>7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18</v>
      </c>
      <c r="J58" s="16">
        <f t="shared" si="21"/>
        <v>4</v>
      </c>
      <c r="K58" s="16">
        <f t="shared" si="21"/>
        <v>1</v>
      </c>
      <c r="L58" s="16">
        <f t="shared" si="21"/>
        <v>0</v>
      </c>
      <c r="M58" s="16">
        <f t="shared" si="21"/>
        <v>438</v>
      </c>
      <c r="N58" s="16">
        <f t="shared" si="21"/>
        <v>0</v>
      </c>
      <c r="O58" s="16">
        <f t="shared" si="21"/>
        <v>39</v>
      </c>
      <c r="P58" s="16">
        <f t="shared" si="21"/>
        <v>477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1.6771488469601678E-2</v>
      </c>
      <c r="D59" s="43">
        <f t="shared" si="22"/>
        <v>2.0964360587002098E-3</v>
      </c>
      <c r="E59" s="43">
        <f t="shared" si="22"/>
        <v>1.4675052410901468E-2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3.7735849056603772E-2</v>
      </c>
      <c r="J59" s="43">
        <f t="shared" si="22"/>
        <v>8.385744234800839E-3</v>
      </c>
      <c r="K59" s="43">
        <f t="shared" si="22"/>
        <v>2.0964360587002098E-3</v>
      </c>
      <c r="L59" s="43">
        <f t="shared" si="22"/>
        <v>0</v>
      </c>
      <c r="M59" s="43">
        <f t="shared" si="22"/>
        <v>0.91823899371069184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0.20512820512820512</v>
      </c>
      <c r="D60" s="44">
        <f t="shared" ref="D60:N60" si="23">D58/$O$58</f>
        <v>2.564102564102564E-2</v>
      </c>
      <c r="E60" s="44">
        <f t="shared" si="23"/>
        <v>0.17948717948717949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0.46153846153846156</v>
      </c>
      <c r="J60" s="44">
        <f t="shared" si="23"/>
        <v>0.10256410256410256</v>
      </c>
      <c r="K60" s="44">
        <f t="shared" si="23"/>
        <v>2.564102564102564E-2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J5" sqref="J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Suam- Bukwo'!C3:G3</f>
        <v xml:space="preserve">MCC-C5-ROAD 144 SUAM-BUKWO 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8" t="str">
        <f>'26.08 Bukwo-Suam-24h'!G5:H5</f>
        <v>KAMKAMBA</v>
      </c>
      <c r="H5" s="69"/>
      <c r="I5" s="14"/>
      <c r="J5" s="2" t="s">
        <v>5</v>
      </c>
      <c r="K5" s="68" t="s">
        <v>172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Suam- Bukwo'!D6:E6</f>
        <v>SUAM</v>
      </c>
      <c r="E6" s="69"/>
      <c r="F6" s="2" t="s">
        <v>2</v>
      </c>
      <c r="G6" s="68" t="str">
        <f>'23.08 Suam- Bukwo'!G6:H6</f>
        <v>BUKWO</v>
      </c>
      <c r="H6" s="69"/>
      <c r="J6" s="2" t="s">
        <v>21</v>
      </c>
      <c r="K6" s="68" t="str">
        <f>'26.08 Bukwo-Suam-24h'!K6:L6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</v>
      </c>
      <c r="AD10" s="17">
        <f t="shared" si="2"/>
        <v>0</v>
      </c>
      <c r="AE10" s="31">
        <f t="shared" si="2"/>
        <v>0</v>
      </c>
      <c r="AF10" s="31">
        <f t="shared" si="2"/>
        <v>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0</v>
      </c>
      <c r="P11" s="15">
        <f t="shared" si="1"/>
        <v>2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</v>
      </c>
      <c r="AD11" s="17">
        <f t="shared" si="3"/>
        <v>0</v>
      </c>
      <c r="AE11" s="31">
        <f t="shared" si="3"/>
        <v>5</v>
      </c>
      <c r="AF11" s="31">
        <f t="shared" si="3"/>
        <v>11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</v>
      </c>
      <c r="N12" s="50">
        <v>0</v>
      </c>
      <c r="O12" s="15">
        <f t="shared" si="0"/>
        <v>0</v>
      </c>
      <c r="P12" s="15">
        <f t="shared" si="1"/>
        <v>1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47</v>
      </c>
      <c r="AD12" s="17">
        <f t="shared" si="4"/>
        <v>0</v>
      </c>
      <c r="AE12" s="31">
        <f t="shared" si="4"/>
        <v>4</v>
      </c>
      <c r="AF12" s="31">
        <f t="shared" si="4"/>
        <v>51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0</v>
      </c>
      <c r="P13" s="15">
        <f t="shared" si="1"/>
        <v>2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62</v>
      </c>
      <c r="AD13" s="17">
        <f t="shared" si="5"/>
        <v>0</v>
      </c>
      <c r="AE13" s="31">
        <f t="shared" si="5"/>
        <v>3</v>
      </c>
      <c r="AF13" s="31">
        <f t="shared" si="5"/>
        <v>65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2</v>
      </c>
      <c r="N14" s="50">
        <v>0</v>
      </c>
      <c r="O14" s="15">
        <f t="shared" si="0"/>
        <v>0</v>
      </c>
      <c r="P14" s="15">
        <f t="shared" si="1"/>
        <v>2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76</v>
      </c>
      <c r="AD14" s="17">
        <f t="shared" si="6"/>
        <v>0</v>
      </c>
      <c r="AE14" s="31">
        <f t="shared" si="6"/>
        <v>3</v>
      </c>
      <c r="AF14" s="31">
        <f t="shared" si="6"/>
        <v>79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</v>
      </c>
      <c r="N15" s="50">
        <v>0</v>
      </c>
      <c r="O15" s="15">
        <f t="shared" si="0"/>
        <v>2</v>
      </c>
      <c r="P15" s="15">
        <f t="shared" si="1"/>
        <v>3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70</v>
      </c>
      <c r="AD15" s="17">
        <f t="shared" si="7"/>
        <v>0</v>
      </c>
      <c r="AE15" s="31">
        <f t="shared" si="7"/>
        <v>7</v>
      </c>
      <c r="AF15" s="31">
        <f t="shared" si="7"/>
        <v>77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</v>
      </c>
      <c r="N16" s="50">
        <v>0</v>
      </c>
      <c r="O16" s="15">
        <f t="shared" si="0"/>
        <v>1</v>
      </c>
      <c r="P16" s="15">
        <f t="shared" si="1"/>
        <v>2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60</v>
      </c>
      <c r="AD16" s="17">
        <f t="shared" si="8"/>
        <v>0</v>
      </c>
      <c r="AE16" s="31">
        <f t="shared" si="8"/>
        <v>4</v>
      </c>
      <c r="AF16" s="31">
        <f t="shared" si="8"/>
        <v>64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2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2</v>
      </c>
      <c r="P17" s="15">
        <f t="shared" si="1"/>
        <v>4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61</v>
      </c>
      <c r="AD17" s="17">
        <f t="shared" si="9"/>
        <v>0</v>
      </c>
      <c r="AE17" s="31">
        <f t="shared" si="9"/>
        <v>5</v>
      </c>
      <c r="AF17" s="31">
        <f t="shared" si="9"/>
        <v>66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0</v>
      </c>
      <c r="P18" s="15">
        <f t="shared" si="1"/>
        <v>12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61</v>
      </c>
      <c r="AD18" s="17">
        <f t="shared" si="10"/>
        <v>0</v>
      </c>
      <c r="AE18" s="31">
        <f t="shared" si="10"/>
        <v>6</v>
      </c>
      <c r="AF18" s="31">
        <f t="shared" si="10"/>
        <v>67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2</v>
      </c>
      <c r="P19" s="15">
        <f t="shared" si="1"/>
        <v>15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61</v>
      </c>
      <c r="AD19" s="17">
        <f t="shared" si="11"/>
        <v>0</v>
      </c>
      <c r="AE19" s="31">
        <f t="shared" si="11"/>
        <v>6</v>
      </c>
      <c r="AF19" s="31">
        <f t="shared" si="11"/>
        <v>67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1</v>
      </c>
      <c r="P20" s="15">
        <f t="shared" si="1"/>
        <v>13</v>
      </c>
      <c r="R20" s="1" t="s">
        <v>16</v>
      </c>
      <c r="S20" s="17">
        <f t="shared" ref="S20:AF20" si="12">SUM(C50:C53)</f>
        <v>2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58</v>
      </c>
      <c r="AD20" s="17">
        <f t="shared" si="12"/>
        <v>0</v>
      </c>
      <c r="AE20" s="31">
        <f t="shared" si="12"/>
        <v>6</v>
      </c>
      <c r="AF20" s="31">
        <f t="shared" si="12"/>
        <v>64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10</v>
      </c>
      <c r="N21" s="50">
        <v>0</v>
      </c>
      <c r="O21" s="15">
        <f t="shared" si="0"/>
        <v>1</v>
      </c>
      <c r="P21" s="15">
        <f t="shared" si="1"/>
        <v>11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9</v>
      </c>
      <c r="AC21" s="17">
        <f t="shared" si="13"/>
        <v>42</v>
      </c>
      <c r="AD21" s="17">
        <f t="shared" si="13"/>
        <v>0</v>
      </c>
      <c r="AE21" s="31">
        <f t="shared" si="13"/>
        <v>13</v>
      </c>
      <c r="AF21" s="31">
        <f t="shared" si="13"/>
        <v>55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0</v>
      </c>
      <c r="P22" s="15">
        <f t="shared" si="1"/>
        <v>11</v>
      </c>
      <c r="R22" s="38" t="s">
        <v>90</v>
      </c>
      <c r="S22" s="39">
        <f>MAX(S10:S12)</f>
        <v>1</v>
      </c>
      <c r="T22" s="39">
        <f t="shared" ref="T22:AF22" si="14">MAX(T10:T12)</f>
        <v>0</v>
      </c>
      <c r="U22" s="39">
        <f t="shared" si="14"/>
        <v>4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47</v>
      </c>
      <c r="AD22" s="39">
        <f t="shared" si="14"/>
        <v>0</v>
      </c>
      <c r="AE22" s="40">
        <f t="shared" si="14"/>
        <v>5</v>
      </c>
      <c r="AF22" s="40">
        <f t="shared" si="14"/>
        <v>51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2</v>
      </c>
      <c r="P23" s="15">
        <f t="shared" si="1"/>
        <v>19</v>
      </c>
      <c r="R23" s="38" t="s">
        <v>91</v>
      </c>
      <c r="S23" s="39">
        <f>MAX(S13:S18)</f>
        <v>2</v>
      </c>
      <c r="T23" s="39">
        <f t="shared" ref="T23:AF23" si="15">MAX(T13:T18)</f>
        <v>0</v>
      </c>
      <c r="U23" s="39">
        <f t="shared" si="15"/>
        <v>2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76</v>
      </c>
      <c r="AD23" s="39">
        <f t="shared" si="15"/>
        <v>0</v>
      </c>
      <c r="AE23" s="40">
        <f t="shared" si="15"/>
        <v>7</v>
      </c>
      <c r="AF23" s="40">
        <f t="shared" si="15"/>
        <v>79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1</v>
      </c>
      <c r="P24" s="15">
        <f t="shared" si="1"/>
        <v>17</v>
      </c>
      <c r="R24" s="38" t="s">
        <v>92</v>
      </c>
      <c r="S24" s="39">
        <f>MAX(S19:S21)</f>
        <v>2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9</v>
      </c>
      <c r="AC24" s="39">
        <f t="shared" si="16"/>
        <v>61</v>
      </c>
      <c r="AD24" s="39">
        <f t="shared" si="16"/>
        <v>0</v>
      </c>
      <c r="AE24" s="40">
        <f t="shared" si="16"/>
        <v>13</v>
      </c>
      <c r="AF24" s="40">
        <f t="shared" si="16"/>
        <v>67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0</v>
      </c>
      <c r="P25" s="15">
        <f t="shared" si="1"/>
        <v>18</v>
      </c>
      <c r="R25" s="37" t="s">
        <v>85</v>
      </c>
      <c r="S25" s="35">
        <f t="shared" ref="S25:AF25" si="17">SUM(S10:S12)</f>
        <v>1</v>
      </c>
      <c r="T25" s="16">
        <f t="shared" si="17"/>
        <v>0</v>
      </c>
      <c r="U25" s="16">
        <f t="shared" si="17"/>
        <v>8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58</v>
      </c>
      <c r="AD25" s="16">
        <f t="shared" si="17"/>
        <v>0</v>
      </c>
      <c r="AE25" s="32">
        <f t="shared" si="17"/>
        <v>9</v>
      </c>
      <c r="AF25" s="32">
        <f t="shared" si="17"/>
        <v>67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16</v>
      </c>
      <c r="N26" s="50">
        <v>0</v>
      </c>
      <c r="O26" s="15">
        <f t="shared" si="0"/>
        <v>1</v>
      </c>
      <c r="P26" s="15">
        <f t="shared" si="1"/>
        <v>17</v>
      </c>
      <c r="R26" s="28" t="s">
        <v>86</v>
      </c>
      <c r="S26" s="16">
        <f t="shared" ref="S26:AF26" si="18">SUM(S13:S18)</f>
        <v>5</v>
      </c>
      <c r="T26" s="16">
        <f t="shared" si="18"/>
        <v>0</v>
      </c>
      <c r="U26" s="16">
        <f t="shared" si="18"/>
        <v>6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390</v>
      </c>
      <c r="AD26" s="16">
        <f t="shared" si="18"/>
        <v>0</v>
      </c>
      <c r="AE26" s="32">
        <f t="shared" si="18"/>
        <v>28</v>
      </c>
      <c r="AF26" s="32">
        <f t="shared" si="18"/>
        <v>418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21</v>
      </c>
      <c r="N27" s="50">
        <v>0</v>
      </c>
      <c r="O27" s="15">
        <f t="shared" si="0"/>
        <v>1</v>
      </c>
      <c r="P27" s="15">
        <f t="shared" si="1"/>
        <v>22</v>
      </c>
      <c r="R27" s="29" t="s">
        <v>87</v>
      </c>
      <c r="S27" s="16">
        <f t="shared" ref="S27:AF27" si="19">SUM(S19:S21)</f>
        <v>3</v>
      </c>
      <c r="T27" s="16">
        <f t="shared" si="19"/>
        <v>1</v>
      </c>
      <c r="U27" s="16">
        <f t="shared" si="19"/>
        <v>4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8</v>
      </c>
      <c r="Z27" s="16">
        <f t="shared" si="19"/>
        <v>0</v>
      </c>
      <c r="AA27" s="16">
        <f t="shared" si="19"/>
        <v>0</v>
      </c>
      <c r="AB27" s="16">
        <f t="shared" si="19"/>
        <v>9</v>
      </c>
      <c r="AC27" s="16">
        <f t="shared" si="19"/>
        <v>161</v>
      </c>
      <c r="AD27" s="16">
        <f t="shared" si="19"/>
        <v>0</v>
      </c>
      <c r="AE27" s="32">
        <f t="shared" si="19"/>
        <v>25</v>
      </c>
      <c r="AF27" s="32">
        <f t="shared" si="19"/>
        <v>186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0</v>
      </c>
      <c r="P28" s="15">
        <f t="shared" si="1"/>
        <v>17</v>
      </c>
      <c r="R28" s="5" t="s">
        <v>17</v>
      </c>
      <c r="S28" s="16">
        <f t="shared" ref="S28:AF28" si="20">SUM(S10:S21)</f>
        <v>9</v>
      </c>
      <c r="T28" s="16">
        <f t="shared" si="20"/>
        <v>1</v>
      </c>
      <c r="U28" s="16">
        <f t="shared" si="20"/>
        <v>18</v>
      </c>
      <c r="V28" s="16">
        <f t="shared" si="20"/>
        <v>0</v>
      </c>
      <c r="W28" s="16">
        <f t="shared" si="20"/>
        <v>0</v>
      </c>
      <c r="X28" s="16">
        <f t="shared" si="20"/>
        <v>0</v>
      </c>
      <c r="Y28" s="16">
        <f t="shared" si="20"/>
        <v>25</v>
      </c>
      <c r="Z28" s="16">
        <f t="shared" si="20"/>
        <v>0</v>
      </c>
      <c r="AA28" s="16">
        <f t="shared" si="20"/>
        <v>0</v>
      </c>
      <c r="AB28" s="16">
        <f t="shared" si="20"/>
        <v>9</v>
      </c>
      <c r="AC28" s="16">
        <f t="shared" si="20"/>
        <v>609</v>
      </c>
      <c r="AD28" s="16">
        <f t="shared" si="20"/>
        <v>0</v>
      </c>
      <c r="AE28" s="32">
        <f t="shared" si="20"/>
        <v>62</v>
      </c>
      <c r="AF28" s="32">
        <f t="shared" si="20"/>
        <v>671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1</v>
      </c>
      <c r="P29" s="15">
        <f t="shared" si="1"/>
        <v>23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1</v>
      </c>
      <c r="P30" s="15">
        <f t="shared" si="1"/>
        <v>19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17</v>
      </c>
      <c r="N31" s="50">
        <v>0</v>
      </c>
      <c r="O31" s="15">
        <f t="shared" si="0"/>
        <v>3</v>
      </c>
      <c r="P31" s="15">
        <f t="shared" si="1"/>
        <v>20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2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1</v>
      </c>
      <c r="P33" s="15">
        <f t="shared" si="1"/>
        <v>21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0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2</v>
      </c>
      <c r="P35" s="15">
        <f t="shared" si="1"/>
        <v>17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1</v>
      </c>
      <c r="P36" s="15">
        <f t="shared" si="1"/>
        <v>18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1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1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2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2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0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1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2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3</v>
      </c>
      <c r="P44" s="15">
        <f t="shared" si="1"/>
        <v>17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18</v>
      </c>
      <c r="N45" s="50">
        <v>0</v>
      </c>
      <c r="O45" s="15">
        <f t="shared" si="0"/>
        <v>0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16</v>
      </c>
      <c r="N46" s="50">
        <v>0</v>
      </c>
      <c r="O46" s="15">
        <f t="shared" si="0"/>
        <v>3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1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1</v>
      </c>
      <c r="P48" s="15">
        <f t="shared" si="1"/>
        <v>18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1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1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2</v>
      </c>
      <c r="P51" s="15">
        <f t="shared" si="1"/>
        <v>14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17</v>
      </c>
      <c r="N52" s="50">
        <v>0</v>
      </c>
      <c r="O52" s="15">
        <f t="shared" si="0"/>
        <v>1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2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2</v>
      </c>
      <c r="P54" s="15">
        <f t="shared" si="1"/>
        <v>17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0</v>
      </c>
      <c r="P55" s="15">
        <f t="shared" si="1"/>
        <v>16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2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9</v>
      </c>
      <c r="M57" s="50">
        <v>0</v>
      </c>
      <c r="N57" s="50">
        <v>0</v>
      </c>
      <c r="O57" s="15">
        <f t="shared" si="0"/>
        <v>9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</v>
      </c>
      <c r="D58" s="16">
        <f t="shared" si="21"/>
        <v>1</v>
      </c>
      <c r="E58" s="16">
        <f t="shared" si="21"/>
        <v>18</v>
      </c>
      <c r="F58" s="16">
        <f t="shared" si="21"/>
        <v>0</v>
      </c>
      <c r="G58" s="16">
        <f t="shared" si="21"/>
        <v>0</v>
      </c>
      <c r="H58" s="16">
        <f t="shared" si="21"/>
        <v>0</v>
      </c>
      <c r="I58" s="16">
        <f t="shared" si="21"/>
        <v>25</v>
      </c>
      <c r="J58" s="16">
        <f t="shared" si="21"/>
        <v>0</v>
      </c>
      <c r="K58" s="16">
        <f t="shared" si="21"/>
        <v>0</v>
      </c>
      <c r="L58" s="16">
        <f t="shared" si="21"/>
        <v>9</v>
      </c>
      <c r="M58" s="16">
        <f t="shared" si="21"/>
        <v>609</v>
      </c>
      <c r="N58" s="16">
        <f t="shared" si="21"/>
        <v>0</v>
      </c>
      <c r="O58" s="16">
        <f t="shared" si="21"/>
        <v>62</v>
      </c>
      <c r="P58" s="16">
        <f t="shared" si="21"/>
        <v>671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1.3412816691505217E-2</v>
      </c>
      <c r="D59" s="43">
        <f t="shared" si="22"/>
        <v>1.4903129657228018E-3</v>
      </c>
      <c r="E59" s="43">
        <f t="shared" si="22"/>
        <v>2.6825633383010434E-2</v>
      </c>
      <c r="F59" s="43">
        <f t="shared" si="22"/>
        <v>0</v>
      </c>
      <c r="G59" s="43">
        <f t="shared" si="22"/>
        <v>0</v>
      </c>
      <c r="H59" s="43">
        <f t="shared" si="22"/>
        <v>0</v>
      </c>
      <c r="I59" s="43">
        <f t="shared" si="22"/>
        <v>3.7257824143070044E-2</v>
      </c>
      <c r="J59" s="43">
        <f t="shared" si="22"/>
        <v>0</v>
      </c>
      <c r="K59" s="43">
        <f t="shared" si="22"/>
        <v>0</v>
      </c>
      <c r="L59" s="43">
        <f t="shared" si="22"/>
        <v>1.3412816691505217E-2</v>
      </c>
      <c r="M59" s="43">
        <f t="shared" si="22"/>
        <v>0.90760059612518629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0.14516129032258066</v>
      </c>
      <c r="D60" s="44">
        <f t="shared" ref="D60:N60" si="23">D58/$O$58</f>
        <v>1.6129032258064516E-2</v>
      </c>
      <c r="E60" s="44">
        <f t="shared" si="23"/>
        <v>0.29032258064516131</v>
      </c>
      <c r="F60" s="44">
        <f t="shared" si="23"/>
        <v>0</v>
      </c>
      <c r="G60" s="44">
        <f t="shared" si="23"/>
        <v>0</v>
      </c>
      <c r="H60" s="44">
        <f t="shared" si="23"/>
        <v>0</v>
      </c>
      <c r="I60" s="44">
        <f t="shared" si="23"/>
        <v>0.40322580645161288</v>
      </c>
      <c r="J60" s="44">
        <f t="shared" si="23"/>
        <v>0</v>
      </c>
      <c r="K60" s="44">
        <f t="shared" si="23"/>
        <v>0</v>
      </c>
      <c r="L60" s="44">
        <f t="shared" si="23"/>
        <v>0.14516129032258066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'23.08 Bukwo-Suam'!C3:G3</f>
        <v>MCC-C5-STN144-SUAM-BUKWO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'29.08 Suam-Bukwo'!D5</f>
        <v>29.08.19</v>
      </c>
      <c r="E5" s="3"/>
      <c r="F5" s="41" t="s">
        <v>1</v>
      </c>
      <c r="G5" s="68" t="str">
        <f>'29.08 Suam-Bukwo'!G5:H5</f>
        <v>KAMKAMBA</v>
      </c>
      <c r="H5" s="69"/>
      <c r="I5" s="14"/>
      <c r="J5" s="2" t="s">
        <v>5</v>
      </c>
      <c r="K5" s="68" t="s">
        <v>169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'23.08 Bukwo-Suam'!D6:E6</f>
        <v>BUKWO</v>
      </c>
      <c r="E6" s="69"/>
      <c r="F6" s="2" t="s">
        <v>2</v>
      </c>
      <c r="G6" s="68" t="str">
        <f>'23.08 Bukwo-Suam'!G6:H6</f>
        <v>SUAM</v>
      </c>
      <c r="H6" s="69"/>
      <c r="J6" s="2" t="s">
        <v>21</v>
      </c>
      <c r="K6" s="68" t="str">
        <f>'29.08 Suam-Bukwo'!K6:L6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6</v>
      </c>
      <c r="AD10" s="17">
        <f t="shared" si="2"/>
        <v>0</v>
      </c>
      <c r="AE10" s="31">
        <f t="shared" si="2"/>
        <v>0</v>
      </c>
      <c r="AF10" s="31">
        <f t="shared" si="2"/>
        <v>6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</v>
      </c>
      <c r="AD11" s="17">
        <f t="shared" si="3"/>
        <v>0</v>
      </c>
      <c r="AE11" s="31">
        <f t="shared" si="3"/>
        <v>1</v>
      </c>
      <c r="AF11" s="31">
        <f t="shared" si="3"/>
        <v>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0</v>
      </c>
      <c r="P12" s="15">
        <f t="shared" si="1"/>
        <v>4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2</v>
      </c>
      <c r="AF12" s="31">
        <f t="shared" si="4"/>
        <v>31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</v>
      </c>
      <c r="N13" s="50">
        <v>0</v>
      </c>
      <c r="O13" s="15">
        <f t="shared" si="0"/>
        <v>0</v>
      </c>
      <c r="P13" s="15">
        <f t="shared" si="1"/>
        <v>1</v>
      </c>
      <c r="R13" s="1" t="s">
        <v>9</v>
      </c>
      <c r="S13" s="17">
        <f t="shared" ref="S13:AF13" si="5">SUM(C22:C25)</f>
        <v>2</v>
      </c>
      <c r="T13" s="17">
        <f t="shared" si="5"/>
        <v>1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56</v>
      </c>
      <c r="AD13" s="17">
        <f t="shared" si="5"/>
        <v>0</v>
      </c>
      <c r="AE13" s="31">
        <f t="shared" si="5"/>
        <v>6</v>
      </c>
      <c r="AF13" s="31">
        <f t="shared" si="5"/>
        <v>62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1</v>
      </c>
      <c r="P14" s="15">
        <f t="shared" si="1"/>
        <v>4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48</v>
      </c>
      <c r="AD14" s="17">
        <f t="shared" si="6"/>
        <v>0</v>
      </c>
      <c r="AE14" s="31">
        <f t="shared" si="6"/>
        <v>1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72</v>
      </c>
      <c r="AD15" s="17">
        <f t="shared" si="7"/>
        <v>0</v>
      </c>
      <c r="AE15" s="31">
        <f t="shared" si="7"/>
        <v>3</v>
      </c>
      <c r="AF15" s="31">
        <f t="shared" si="7"/>
        <v>75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1</v>
      </c>
      <c r="AF16" s="31">
        <f t="shared" si="8"/>
        <v>23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0</v>
      </c>
      <c r="P17" s="15">
        <f t="shared" si="1"/>
        <v>2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48</v>
      </c>
      <c r="AD17" s="17">
        <f t="shared" si="9"/>
        <v>0</v>
      </c>
      <c r="AE17" s="31">
        <f t="shared" si="9"/>
        <v>3</v>
      </c>
      <c r="AF17" s="31">
        <f t="shared" si="9"/>
        <v>51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</v>
      </c>
      <c r="N18" s="50">
        <v>0</v>
      </c>
      <c r="O18" s="15">
        <f t="shared" si="0"/>
        <v>0</v>
      </c>
      <c r="P18" s="15">
        <f t="shared" si="1"/>
        <v>1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39</v>
      </c>
      <c r="AD18" s="17">
        <f t="shared" si="10"/>
        <v>0</v>
      </c>
      <c r="AE18" s="31">
        <f t="shared" si="10"/>
        <v>2</v>
      </c>
      <c r="AF18" s="31">
        <f t="shared" si="10"/>
        <v>41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2</v>
      </c>
      <c r="P19" s="15">
        <f t="shared" si="1"/>
        <v>8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51</v>
      </c>
      <c r="AD19" s="17">
        <f t="shared" si="11"/>
        <v>0</v>
      </c>
      <c r="AE19" s="31">
        <f t="shared" si="11"/>
        <v>1</v>
      </c>
      <c r="AF19" s="31">
        <f t="shared" si="11"/>
        <v>52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0</v>
      </c>
      <c r="P20" s="15">
        <f t="shared" si="1"/>
        <v>10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35</v>
      </c>
      <c r="AD20" s="17">
        <f t="shared" si="12"/>
        <v>0</v>
      </c>
      <c r="AE20" s="31">
        <f t="shared" si="12"/>
        <v>2</v>
      </c>
      <c r="AF20" s="31">
        <f t="shared" si="12"/>
        <v>37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0</v>
      </c>
      <c r="P21" s="15">
        <f t="shared" si="1"/>
        <v>12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71</v>
      </c>
      <c r="AD21" s="17">
        <f t="shared" si="13"/>
        <v>0</v>
      </c>
      <c r="AE21" s="31">
        <f t="shared" si="13"/>
        <v>3</v>
      </c>
      <c r="AF21" s="31">
        <f t="shared" si="13"/>
        <v>74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18</v>
      </c>
      <c r="N22" s="50">
        <v>0</v>
      </c>
      <c r="O22" s="15">
        <f t="shared" si="0"/>
        <v>0</v>
      </c>
      <c r="P22" s="15">
        <f t="shared" si="1"/>
        <v>18</v>
      </c>
      <c r="R22" s="38" t="s">
        <v>90</v>
      </c>
      <c r="S22" s="39">
        <f>MAX(S10:S12)</f>
        <v>0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29</v>
      </c>
      <c r="AD22" s="39">
        <f t="shared" si="14"/>
        <v>0</v>
      </c>
      <c r="AE22" s="40">
        <f t="shared" si="14"/>
        <v>2</v>
      </c>
      <c r="AF22" s="40">
        <f t="shared" si="14"/>
        <v>31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12</v>
      </c>
      <c r="N23" s="50">
        <v>0</v>
      </c>
      <c r="O23" s="15">
        <f t="shared" si="0"/>
        <v>0</v>
      </c>
      <c r="P23" s="15">
        <f t="shared" si="1"/>
        <v>12</v>
      </c>
      <c r="R23" s="38" t="s">
        <v>91</v>
      </c>
      <c r="S23" s="39">
        <f>MAX(S13:S18)</f>
        <v>2</v>
      </c>
      <c r="T23" s="39">
        <f t="shared" ref="T23:AF23" si="15">MAX(T13:T18)</f>
        <v>1</v>
      </c>
      <c r="U23" s="39">
        <f t="shared" si="15"/>
        <v>2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2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72</v>
      </c>
      <c r="AD23" s="39">
        <f t="shared" si="15"/>
        <v>0</v>
      </c>
      <c r="AE23" s="40">
        <f t="shared" si="15"/>
        <v>6</v>
      </c>
      <c r="AF23" s="40">
        <f t="shared" si="15"/>
        <v>75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3</v>
      </c>
      <c r="P24" s="15">
        <f t="shared" si="1"/>
        <v>14</v>
      </c>
      <c r="R24" s="38" t="s">
        <v>92</v>
      </c>
      <c r="S24" s="39">
        <f>MAX(S19:S21)</f>
        <v>1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71</v>
      </c>
      <c r="AD24" s="39">
        <f t="shared" si="16"/>
        <v>0</v>
      </c>
      <c r="AE24" s="40">
        <f t="shared" si="16"/>
        <v>3</v>
      </c>
      <c r="AF24" s="40">
        <f t="shared" si="16"/>
        <v>74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15</v>
      </c>
      <c r="N25" s="50">
        <v>0</v>
      </c>
      <c r="O25" s="15">
        <f t="shared" si="0"/>
        <v>3</v>
      </c>
      <c r="P25" s="15">
        <f t="shared" si="1"/>
        <v>18</v>
      </c>
      <c r="R25" s="37" t="s">
        <v>85</v>
      </c>
      <c r="S25" s="35">
        <f t="shared" ref="S25:AF25" si="17">SUM(S10:S12)</f>
        <v>0</v>
      </c>
      <c r="T25" s="16">
        <f t="shared" si="17"/>
        <v>2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40</v>
      </c>
      <c r="AD25" s="16">
        <f t="shared" si="17"/>
        <v>0</v>
      </c>
      <c r="AE25" s="32">
        <f t="shared" si="17"/>
        <v>3</v>
      </c>
      <c r="AF25" s="32">
        <f t="shared" si="17"/>
        <v>43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0</v>
      </c>
      <c r="P26" s="15">
        <f t="shared" si="1"/>
        <v>11</v>
      </c>
      <c r="R26" s="28" t="s">
        <v>86</v>
      </c>
      <c r="S26" s="16">
        <f t="shared" ref="S26:AF26" si="18">SUM(S13:S18)</f>
        <v>2</v>
      </c>
      <c r="T26" s="16">
        <f t="shared" si="18"/>
        <v>1</v>
      </c>
      <c r="U26" s="16">
        <f t="shared" si="18"/>
        <v>4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8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285</v>
      </c>
      <c r="AD26" s="16">
        <f t="shared" si="18"/>
        <v>0</v>
      </c>
      <c r="AE26" s="32">
        <f t="shared" si="18"/>
        <v>16</v>
      </c>
      <c r="AF26" s="32">
        <f t="shared" si="18"/>
        <v>301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0</v>
      </c>
      <c r="P27" s="15">
        <f t="shared" si="1"/>
        <v>8</v>
      </c>
      <c r="R27" s="29" t="s">
        <v>87</v>
      </c>
      <c r="S27" s="16">
        <f t="shared" ref="S27:AF27" si="19">SUM(S19:S21)</f>
        <v>1</v>
      </c>
      <c r="T27" s="16">
        <f t="shared" si="19"/>
        <v>0</v>
      </c>
      <c r="U27" s="16">
        <f t="shared" si="19"/>
        <v>2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157</v>
      </c>
      <c r="AD27" s="16">
        <f t="shared" si="19"/>
        <v>0</v>
      </c>
      <c r="AE27" s="32">
        <f t="shared" si="19"/>
        <v>6</v>
      </c>
      <c r="AF27" s="32">
        <f t="shared" si="19"/>
        <v>163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0</v>
      </c>
      <c r="P28" s="15">
        <f t="shared" si="1"/>
        <v>12</v>
      </c>
      <c r="R28" s="5" t="s">
        <v>17</v>
      </c>
      <c r="S28" s="16">
        <f t="shared" ref="S28:AF28" si="20">SUM(S10:S21)</f>
        <v>3</v>
      </c>
      <c r="T28" s="16">
        <f t="shared" si="20"/>
        <v>3</v>
      </c>
      <c r="U28" s="16">
        <f t="shared" si="20"/>
        <v>7</v>
      </c>
      <c r="V28" s="16">
        <f t="shared" si="20"/>
        <v>1</v>
      </c>
      <c r="W28" s="16">
        <f t="shared" si="20"/>
        <v>0</v>
      </c>
      <c r="X28" s="16">
        <f t="shared" si="20"/>
        <v>0</v>
      </c>
      <c r="Y28" s="16">
        <f t="shared" si="20"/>
        <v>11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482</v>
      </c>
      <c r="AD28" s="16">
        <f t="shared" si="20"/>
        <v>0</v>
      </c>
      <c r="AE28" s="32">
        <f t="shared" si="20"/>
        <v>25</v>
      </c>
      <c r="AF28" s="32">
        <f t="shared" si="20"/>
        <v>507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1</v>
      </c>
      <c r="P29" s="15">
        <f t="shared" si="1"/>
        <v>18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2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1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0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24</v>
      </c>
      <c r="N33" s="50">
        <v>0</v>
      </c>
      <c r="O33" s="15">
        <f t="shared" si="0"/>
        <v>0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1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0</v>
      </c>
      <c r="N35" s="50">
        <v>0</v>
      </c>
      <c r="O35" s="15">
        <f t="shared" si="0"/>
        <v>0</v>
      </c>
      <c r="P35" s="15">
        <f t="shared" si="1"/>
        <v>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0</v>
      </c>
      <c r="N36" s="50">
        <v>0</v>
      </c>
      <c r="O36" s="15">
        <f t="shared" si="0"/>
        <v>0</v>
      </c>
      <c r="P36" s="15">
        <f t="shared" si="1"/>
        <v>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0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0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0</v>
      </c>
      <c r="P39" s="15">
        <f t="shared" si="1"/>
        <v>8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17</v>
      </c>
      <c r="N40" s="50">
        <v>0</v>
      </c>
      <c r="O40" s="15">
        <f t="shared" si="0"/>
        <v>3</v>
      </c>
      <c r="P40" s="15">
        <f t="shared" si="1"/>
        <v>20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0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0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1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0</v>
      </c>
      <c r="P44" s="15">
        <f t="shared" si="1"/>
        <v>6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1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14</v>
      </c>
      <c r="N46" s="50">
        <v>0</v>
      </c>
      <c r="O46" s="15">
        <f t="shared" si="0"/>
        <v>0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0</v>
      </c>
      <c r="P47" s="15">
        <f t="shared" si="1"/>
        <v>8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0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18</v>
      </c>
      <c r="N49" s="50">
        <v>0</v>
      </c>
      <c r="O49" s="15">
        <f t="shared" si="0"/>
        <v>1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0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0</v>
      </c>
      <c r="P51" s="15">
        <f t="shared" si="1"/>
        <v>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0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2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17</v>
      </c>
      <c r="N54" s="50">
        <v>0</v>
      </c>
      <c r="O54" s="15">
        <f t="shared" si="0"/>
        <v>1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0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2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0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</v>
      </c>
      <c r="D58" s="16">
        <f t="shared" si="21"/>
        <v>3</v>
      </c>
      <c r="E58" s="16">
        <f t="shared" si="21"/>
        <v>7</v>
      </c>
      <c r="F58" s="16">
        <f t="shared" si="21"/>
        <v>1</v>
      </c>
      <c r="G58" s="16">
        <f t="shared" si="21"/>
        <v>0</v>
      </c>
      <c r="H58" s="16">
        <f t="shared" si="21"/>
        <v>0</v>
      </c>
      <c r="I58" s="16">
        <f t="shared" si="21"/>
        <v>11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482</v>
      </c>
      <c r="N58" s="16">
        <f t="shared" si="21"/>
        <v>0</v>
      </c>
      <c r="O58" s="16">
        <f t="shared" si="21"/>
        <v>25</v>
      </c>
      <c r="P58" s="16">
        <f t="shared" si="21"/>
        <v>507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5.9171597633136093E-3</v>
      </c>
      <c r="D59" s="43">
        <f t="shared" si="22"/>
        <v>5.9171597633136093E-3</v>
      </c>
      <c r="E59" s="43">
        <f t="shared" si="22"/>
        <v>1.3806706114398421E-2</v>
      </c>
      <c r="F59" s="43">
        <f t="shared" si="22"/>
        <v>1.9723865877712033E-3</v>
      </c>
      <c r="G59" s="43">
        <f t="shared" si="22"/>
        <v>0</v>
      </c>
      <c r="H59" s="43">
        <f t="shared" si="22"/>
        <v>0</v>
      </c>
      <c r="I59" s="43">
        <f t="shared" si="22"/>
        <v>2.1696252465483234E-2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0.95069033530571989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0.12</v>
      </c>
      <c r="D60" s="44">
        <f t="shared" ref="D60:N60" si="23">D58/$O$58</f>
        <v>0.12</v>
      </c>
      <c r="E60" s="44">
        <f t="shared" si="23"/>
        <v>0.28000000000000003</v>
      </c>
      <c r="F60" s="44">
        <f t="shared" si="23"/>
        <v>0.04</v>
      </c>
      <c r="G60" s="44">
        <f t="shared" si="23"/>
        <v>0</v>
      </c>
      <c r="H60" s="44">
        <f t="shared" si="23"/>
        <v>0</v>
      </c>
      <c r="I60" s="44">
        <f t="shared" si="23"/>
        <v>0.44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M58" zoomScale="60" workbookViewId="0">
      <selection activeCell="Y77" sqref="Y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'29.08 Bukwo-Suam'!C3:G3</f>
        <v>MCC-C5-STN144-SUAM-BUKWO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0" t="s">
        <v>162</v>
      </c>
      <c r="E5" s="71"/>
      <c r="F5" s="41" t="s">
        <v>1</v>
      </c>
      <c r="G5" s="68" t="str">
        <f>'29.08 Suam-Bukwo'!G5:H5</f>
        <v>KAMKAMBA</v>
      </c>
      <c r="H5" s="69"/>
      <c r="I5" s="14"/>
      <c r="J5" s="2" t="s">
        <v>5</v>
      </c>
      <c r="K5" s="68" t="str">
        <f>'29.08 Suam-Bukwo'!K5:L5</f>
        <v>KATO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'29.08 Suam-Bukwo'!D6:E6</f>
        <v>SUAM</v>
      </c>
      <c r="E6" s="69"/>
      <c r="F6" s="2" t="s">
        <v>2</v>
      </c>
      <c r="G6" s="68" t="str">
        <f>'29.08 Suam-Bukwo'!G6:H6</f>
        <v>BUKWO</v>
      </c>
      <c r="H6" s="69"/>
      <c r="J6" s="2" t="s">
        <v>21</v>
      </c>
      <c r="K6" s="68" t="str">
        <f>'29.08 Suam-Bukwo'!K6:L6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2">
        <f>AVERAGE('23.08 Suam- Bukwo'!C10,'24.08 Suam-Bukwo-24h'!C10,'25.08 Suam-Bukwo'!C10, '26.08 Suam-Bukwo-24h'!C10,'27.08 Suam-Bukwo'!C10,'28.08 Suam-Bukwo'!C10,'29.08 Suam-Bukwo'!C10)</f>
        <v>0.14285714285714285</v>
      </c>
      <c r="D10" s="52">
        <f>AVERAGE('23.08 Suam- Bukwo'!D10,'24.08 Suam-Bukwo-24h'!D10,'25.08 Suam-Bukwo'!D10, '26.08 Suam-Bukwo-24h'!D10,'27.08 Suam-Bukwo'!D10,'28.08 Suam-Bukwo'!D10,'29.08 Suam-Bukwo'!D10)</f>
        <v>0</v>
      </c>
      <c r="E10" s="52">
        <f>AVERAGE('23.08 Suam- Bukwo'!E10,'24.08 Suam-Bukwo-24h'!E10,'25.08 Suam-Bukwo'!E10, '26.08 Suam-Bukwo-24h'!E10,'27.08 Suam-Bukwo'!E10,'28.08 Suam-Bukwo'!E10,'29.08 Suam-Bukwo'!E10)</f>
        <v>0</v>
      </c>
      <c r="F10" s="52">
        <f>AVERAGE('23.08 Suam- Bukwo'!F10,'24.08 Suam-Bukwo-24h'!F10,'25.08 Suam-Bukwo'!F10, '26.08 Suam-Bukwo-24h'!F10,'27.08 Suam-Bukwo'!F10,'28.08 Suam-Bukwo'!F10,'29.08 Suam-Bukwo'!F10)</f>
        <v>0</v>
      </c>
      <c r="G10" s="52">
        <f>AVERAGE('23.08 Suam- Bukwo'!G10,'24.08 Suam-Bukwo-24h'!G10,'25.08 Suam-Bukwo'!G10, '26.08 Suam-Bukwo-24h'!G10,'27.08 Suam-Bukwo'!G10,'28.08 Suam-Bukwo'!G10,'29.08 Suam-Bukwo'!G10)</f>
        <v>0</v>
      </c>
      <c r="H10" s="52">
        <f>AVERAGE('23.08 Suam- Bukwo'!H10,'24.08 Suam-Bukwo-24h'!H10,'25.08 Suam-Bukwo'!H10, '26.08 Suam-Bukwo-24h'!H10,'27.08 Suam-Bukwo'!H10,'28.08 Suam-Bukwo'!H10,'29.08 Suam-Bukwo'!H10)</f>
        <v>0</v>
      </c>
      <c r="I10" s="52">
        <f>AVERAGE('23.08 Suam- Bukwo'!I10,'24.08 Suam-Bukwo-24h'!I10,'25.08 Suam-Bukwo'!I10, '26.08 Suam-Bukwo-24h'!I10,'27.08 Suam-Bukwo'!I10,'28.08 Suam-Bukwo'!I10,'29.08 Suam-Bukwo'!I10)</f>
        <v>0.14285714285714285</v>
      </c>
      <c r="J10" s="52">
        <f>AVERAGE('23.08 Suam- Bukwo'!J10,'24.08 Suam-Bukwo-24h'!J10,'25.08 Suam-Bukwo'!J10, '26.08 Suam-Bukwo-24h'!J10,'27.08 Suam-Bukwo'!J10,'28.08 Suam-Bukwo'!J10,'29.08 Suam-Bukwo'!J10)</f>
        <v>0</v>
      </c>
      <c r="K10" s="52">
        <f>AVERAGE('23.08 Suam- Bukwo'!K10,'24.08 Suam-Bukwo-24h'!K10,'25.08 Suam-Bukwo'!K10, '26.08 Suam-Bukwo-24h'!K10,'27.08 Suam-Bukwo'!K10,'28.08 Suam-Bukwo'!K10,'29.08 Suam-Bukwo'!K10)</f>
        <v>0</v>
      </c>
      <c r="L10" s="52">
        <f>AVERAGE('23.08 Suam- Bukwo'!L10,'24.08 Suam-Bukwo-24h'!L10,'25.08 Suam-Bukwo'!L10, '26.08 Suam-Bukwo-24h'!L10,'27.08 Suam-Bukwo'!L10,'28.08 Suam-Bukwo'!L10,'29.08 Suam-Bukwo'!L10)</f>
        <v>0</v>
      </c>
      <c r="M10" s="52">
        <f>AVERAGE('23.08 Suam- Bukwo'!M10,'24.08 Suam-Bukwo-24h'!M10,'25.08 Suam-Bukwo'!M10, '26.08 Suam-Bukwo-24h'!M10,'27.08 Suam-Bukwo'!M10,'28.08 Suam-Bukwo'!M10,'29.08 Suam-Bukwo'!M10)</f>
        <v>1.8571428571428572</v>
      </c>
      <c r="N10" s="52">
        <f>AVERAGE('23.08 Suam- Bukwo'!N10,'24.08 Suam-Bukwo-24h'!N10,'25.08 Suam-Bukwo'!N10, '26.08 Suam-Bukwo-24h'!N10,'27.08 Suam-Bukwo'!N10,'28.08 Suam-Bukwo'!N10,'29.08 Suam-Bukwo'!N10)</f>
        <v>0</v>
      </c>
      <c r="O10" s="15">
        <f t="shared" ref="O10:O73" si="0">SUM(C10:L10,N10)</f>
        <v>0.2857142857142857</v>
      </c>
      <c r="P10" s="15">
        <f t="shared" ref="P10:P73" si="1">SUM(C10:N10)</f>
        <v>2.1428571428571428</v>
      </c>
      <c r="R10" s="1" t="s">
        <v>6</v>
      </c>
      <c r="S10" s="17">
        <f t="shared" ref="S10:AF10" si="2">SUM(C10:C13)</f>
        <v>0.42857142857142855</v>
      </c>
      <c r="T10" s="17">
        <f t="shared" si="2"/>
        <v>0.2857142857142857</v>
      </c>
      <c r="U10" s="17">
        <f t="shared" si="2"/>
        <v>0.42857142857142855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0.2857142857142857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14.857142857142858</v>
      </c>
      <c r="AD10" s="17">
        <f t="shared" si="2"/>
        <v>0</v>
      </c>
      <c r="AE10" s="31">
        <f t="shared" si="2"/>
        <v>1.4285714285714284</v>
      </c>
      <c r="AF10" s="31">
        <f t="shared" si="2"/>
        <v>16.285714285714285</v>
      </c>
    </row>
    <row r="11" spans="2:32" s="6" customFormat="1" ht="23.1" customHeight="1" x14ac:dyDescent="0.25">
      <c r="B11" s="23" t="s">
        <v>38</v>
      </c>
      <c r="C11" s="52">
        <f>AVERAGE('23.08 Suam- Bukwo'!C11,'24.08 Suam-Bukwo-24h'!C11,'25.08 Suam-Bukwo'!C11, '26.08 Suam-Bukwo-24h'!C11,'27.08 Suam-Bukwo'!C11,'28.08 Suam-Bukwo'!C11,'29.08 Suam-Bukwo'!C11)</f>
        <v>0</v>
      </c>
      <c r="D11" s="52">
        <f>AVERAGE('23.08 Suam- Bukwo'!D11,'24.08 Suam-Bukwo-24h'!D11,'25.08 Suam-Bukwo'!D11, '26.08 Suam-Bukwo-24h'!D11,'27.08 Suam-Bukwo'!D11,'28.08 Suam-Bukwo'!D11,'29.08 Suam-Bukwo'!D11)</f>
        <v>0</v>
      </c>
      <c r="E11" s="52">
        <f>AVERAGE('23.08 Suam- Bukwo'!E11,'24.08 Suam-Bukwo-24h'!E11,'25.08 Suam-Bukwo'!E11, '26.08 Suam-Bukwo-24h'!E11,'27.08 Suam-Bukwo'!E11,'28.08 Suam-Bukwo'!E11,'29.08 Suam-Bukwo'!E11)</f>
        <v>0</v>
      </c>
      <c r="F11" s="52">
        <f>AVERAGE('23.08 Suam- Bukwo'!F11,'24.08 Suam-Bukwo-24h'!F11,'25.08 Suam-Bukwo'!F11, '26.08 Suam-Bukwo-24h'!F11,'27.08 Suam-Bukwo'!F11,'28.08 Suam-Bukwo'!F11,'29.08 Suam-Bukwo'!F11)</f>
        <v>0</v>
      </c>
      <c r="G11" s="52">
        <f>AVERAGE('23.08 Suam- Bukwo'!G11,'24.08 Suam-Bukwo-24h'!G11,'25.08 Suam-Bukwo'!G11, '26.08 Suam-Bukwo-24h'!G11,'27.08 Suam-Bukwo'!G11,'28.08 Suam-Bukwo'!G11,'29.08 Suam-Bukwo'!G11)</f>
        <v>0</v>
      </c>
      <c r="H11" s="52">
        <f>AVERAGE('23.08 Suam- Bukwo'!H11,'24.08 Suam-Bukwo-24h'!H11,'25.08 Suam-Bukwo'!H11, '26.08 Suam-Bukwo-24h'!H11,'27.08 Suam-Bukwo'!H11,'28.08 Suam-Bukwo'!H11,'29.08 Suam-Bukwo'!H11)</f>
        <v>0</v>
      </c>
      <c r="I11" s="52">
        <f>AVERAGE('23.08 Suam- Bukwo'!I11,'24.08 Suam-Bukwo-24h'!I11,'25.08 Suam-Bukwo'!I11, '26.08 Suam-Bukwo-24h'!I11,'27.08 Suam-Bukwo'!I11,'28.08 Suam-Bukwo'!I11,'29.08 Suam-Bukwo'!I11)</f>
        <v>0</v>
      </c>
      <c r="J11" s="52">
        <f>AVERAGE('23.08 Suam- Bukwo'!J11,'24.08 Suam-Bukwo-24h'!J11,'25.08 Suam-Bukwo'!J11, '26.08 Suam-Bukwo-24h'!J11,'27.08 Suam-Bukwo'!J11,'28.08 Suam-Bukwo'!J11,'29.08 Suam-Bukwo'!J11)</f>
        <v>0</v>
      </c>
      <c r="K11" s="52">
        <f>AVERAGE('23.08 Suam- Bukwo'!K11,'24.08 Suam-Bukwo-24h'!K11,'25.08 Suam-Bukwo'!K11, '26.08 Suam-Bukwo-24h'!K11,'27.08 Suam-Bukwo'!K11,'28.08 Suam-Bukwo'!K11,'29.08 Suam-Bukwo'!K11)</f>
        <v>0</v>
      </c>
      <c r="L11" s="52">
        <f>AVERAGE('23.08 Suam- Bukwo'!L11,'24.08 Suam-Bukwo-24h'!L11,'25.08 Suam-Bukwo'!L11, '26.08 Suam-Bukwo-24h'!L11,'27.08 Suam-Bukwo'!L11,'28.08 Suam-Bukwo'!L11,'29.08 Suam-Bukwo'!L11)</f>
        <v>0</v>
      </c>
      <c r="M11" s="52">
        <f>AVERAGE('23.08 Suam- Bukwo'!M11,'24.08 Suam-Bukwo-24h'!M11,'25.08 Suam-Bukwo'!M11, '26.08 Suam-Bukwo-24h'!M11,'27.08 Suam-Bukwo'!M11,'28.08 Suam-Bukwo'!M11,'29.08 Suam-Bukwo'!M11)</f>
        <v>2.5714285714285716</v>
      </c>
      <c r="N11" s="52">
        <f>AVERAGE('23.08 Suam- Bukwo'!N11,'24.08 Suam-Bukwo-24h'!N11,'25.08 Suam-Bukwo'!N11, '26.08 Suam-Bukwo-24h'!N11,'27.08 Suam-Bukwo'!N11,'28.08 Suam-Bukwo'!N11,'29.08 Suam-Bukwo'!N11)</f>
        <v>0</v>
      </c>
      <c r="O11" s="15">
        <f t="shared" si="0"/>
        <v>0</v>
      </c>
      <c r="P11" s="15">
        <f t="shared" si="1"/>
        <v>2.5714285714285716</v>
      </c>
      <c r="R11" s="1" t="s">
        <v>7</v>
      </c>
      <c r="S11" s="17">
        <f t="shared" ref="S11:AF11" si="3">SUM(C14:C17)</f>
        <v>0.42857142857142855</v>
      </c>
      <c r="T11" s="17">
        <f t="shared" si="3"/>
        <v>0.42857142857142855</v>
      </c>
      <c r="U11" s="17">
        <f t="shared" si="3"/>
        <v>1.5714285714285714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0.99999999999999989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25</v>
      </c>
      <c r="AD11" s="17">
        <f t="shared" si="3"/>
        <v>0</v>
      </c>
      <c r="AE11" s="31">
        <f t="shared" si="3"/>
        <v>3.5714285714285712</v>
      </c>
      <c r="AF11" s="31">
        <f t="shared" si="3"/>
        <v>28.571428571428569</v>
      </c>
    </row>
    <row r="12" spans="2:32" ht="23.1" customHeight="1" x14ac:dyDescent="0.25">
      <c r="B12" s="23" t="s">
        <v>39</v>
      </c>
      <c r="C12" s="52">
        <f>AVERAGE('23.08 Suam- Bukwo'!C12,'24.08 Suam-Bukwo-24h'!C12,'25.08 Suam-Bukwo'!C12, '26.08 Suam-Bukwo-24h'!C12,'27.08 Suam-Bukwo'!C12,'28.08 Suam-Bukwo'!C12,'29.08 Suam-Bukwo'!C12)</f>
        <v>0</v>
      </c>
      <c r="D12" s="52">
        <f>AVERAGE('23.08 Suam- Bukwo'!D12,'24.08 Suam-Bukwo-24h'!D12,'25.08 Suam-Bukwo'!D12, '26.08 Suam-Bukwo-24h'!D12,'27.08 Suam-Bukwo'!D12,'28.08 Suam-Bukwo'!D12,'29.08 Suam-Bukwo'!D12)</f>
        <v>0.14285714285714285</v>
      </c>
      <c r="E12" s="52">
        <f>AVERAGE('23.08 Suam- Bukwo'!E12,'24.08 Suam-Bukwo-24h'!E12,'25.08 Suam-Bukwo'!E12, '26.08 Suam-Bukwo-24h'!E12,'27.08 Suam-Bukwo'!E12,'28.08 Suam-Bukwo'!E12,'29.08 Suam-Bukwo'!E12)</f>
        <v>0.14285714285714285</v>
      </c>
      <c r="F12" s="52">
        <f>AVERAGE('23.08 Suam- Bukwo'!F12,'24.08 Suam-Bukwo-24h'!F12,'25.08 Suam-Bukwo'!F12, '26.08 Suam-Bukwo-24h'!F12,'27.08 Suam-Bukwo'!F12,'28.08 Suam-Bukwo'!F12,'29.08 Suam-Bukwo'!F12)</f>
        <v>0</v>
      </c>
      <c r="G12" s="52">
        <f>AVERAGE('23.08 Suam- Bukwo'!G12,'24.08 Suam-Bukwo-24h'!G12,'25.08 Suam-Bukwo'!G12, '26.08 Suam-Bukwo-24h'!G12,'27.08 Suam-Bukwo'!G12,'28.08 Suam-Bukwo'!G12,'29.08 Suam-Bukwo'!G12)</f>
        <v>0</v>
      </c>
      <c r="H12" s="52">
        <f>AVERAGE('23.08 Suam- Bukwo'!H12,'24.08 Suam-Bukwo-24h'!H12,'25.08 Suam-Bukwo'!H12, '26.08 Suam-Bukwo-24h'!H12,'27.08 Suam-Bukwo'!H12,'28.08 Suam-Bukwo'!H12,'29.08 Suam-Bukwo'!H12)</f>
        <v>0</v>
      </c>
      <c r="I12" s="52">
        <f>AVERAGE('23.08 Suam- Bukwo'!I12,'24.08 Suam-Bukwo-24h'!I12,'25.08 Suam-Bukwo'!I12, '26.08 Suam-Bukwo-24h'!I12,'27.08 Suam-Bukwo'!I12,'28.08 Suam-Bukwo'!I12,'29.08 Suam-Bukwo'!I12)</f>
        <v>0</v>
      </c>
      <c r="J12" s="52">
        <f>AVERAGE('23.08 Suam- Bukwo'!J12,'24.08 Suam-Bukwo-24h'!J12,'25.08 Suam-Bukwo'!J12, '26.08 Suam-Bukwo-24h'!J12,'27.08 Suam-Bukwo'!J12,'28.08 Suam-Bukwo'!J12,'29.08 Suam-Bukwo'!J12)</f>
        <v>0</v>
      </c>
      <c r="K12" s="52">
        <f>AVERAGE('23.08 Suam- Bukwo'!K12,'24.08 Suam-Bukwo-24h'!K12,'25.08 Suam-Bukwo'!K12, '26.08 Suam-Bukwo-24h'!K12,'27.08 Suam-Bukwo'!K12,'28.08 Suam-Bukwo'!K12,'29.08 Suam-Bukwo'!K12)</f>
        <v>0</v>
      </c>
      <c r="L12" s="52">
        <f>AVERAGE('23.08 Suam- Bukwo'!L12,'24.08 Suam-Bukwo-24h'!L12,'25.08 Suam-Bukwo'!L12, '26.08 Suam-Bukwo-24h'!L12,'27.08 Suam-Bukwo'!L12,'28.08 Suam-Bukwo'!L12,'29.08 Suam-Bukwo'!L12)</f>
        <v>0</v>
      </c>
      <c r="M12" s="52">
        <f>AVERAGE('23.08 Suam- Bukwo'!M12,'24.08 Suam-Bukwo-24h'!M12,'25.08 Suam-Bukwo'!M12, '26.08 Suam-Bukwo-24h'!M12,'27.08 Suam-Bukwo'!M12,'28.08 Suam-Bukwo'!M12,'29.08 Suam-Bukwo'!M12)</f>
        <v>4.4285714285714288</v>
      </c>
      <c r="N12" s="52">
        <f>AVERAGE('23.08 Suam- Bukwo'!N12,'24.08 Suam-Bukwo-24h'!N12,'25.08 Suam-Bukwo'!N12, '26.08 Suam-Bukwo-24h'!N12,'27.08 Suam-Bukwo'!N12,'28.08 Suam-Bukwo'!N12,'29.08 Suam-Bukwo'!N12)</f>
        <v>0</v>
      </c>
      <c r="O12" s="15">
        <f t="shared" si="0"/>
        <v>0.2857142857142857</v>
      </c>
      <c r="P12" s="15">
        <f t="shared" si="1"/>
        <v>4.7142857142857144</v>
      </c>
      <c r="R12" s="1" t="s">
        <v>8</v>
      </c>
      <c r="S12" s="17">
        <f t="shared" ref="S12:AF12" si="4">SUM(C18:C21)</f>
        <v>0.42857142857142855</v>
      </c>
      <c r="T12" s="17">
        <f t="shared" si="4"/>
        <v>0.2857142857142857</v>
      </c>
      <c r="U12" s="17">
        <f t="shared" si="4"/>
        <v>1.5714285714285712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0.71428571428571419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43.571428571428577</v>
      </c>
      <c r="AD12" s="17">
        <f t="shared" si="4"/>
        <v>0.14285714285714285</v>
      </c>
      <c r="AE12" s="31">
        <f t="shared" si="4"/>
        <v>3.1428571428571423</v>
      </c>
      <c r="AF12" s="31">
        <f t="shared" si="4"/>
        <v>46.714285714285715</v>
      </c>
    </row>
    <row r="13" spans="2:32" ht="23.1" customHeight="1" x14ac:dyDescent="0.25">
      <c r="B13" s="23" t="s">
        <v>40</v>
      </c>
      <c r="C13" s="52">
        <f>AVERAGE('23.08 Suam- Bukwo'!C13,'24.08 Suam-Bukwo-24h'!C13,'25.08 Suam-Bukwo'!C13, '26.08 Suam-Bukwo-24h'!C13,'27.08 Suam-Bukwo'!C13,'28.08 Suam-Bukwo'!C13,'29.08 Suam-Bukwo'!C13)</f>
        <v>0.2857142857142857</v>
      </c>
      <c r="D13" s="52">
        <f>AVERAGE('23.08 Suam- Bukwo'!D13,'24.08 Suam-Bukwo-24h'!D13,'25.08 Suam-Bukwo'!D13, '26.08 Suam-Bukwo-24h'!D13,'27.08 Suam-Bukwo'!D13,'28.08 Suam-Bukwo'!D13,'29.08 Suam-Bukwo'!D13)</f>
        <v>0.14285714285714285</v>
      </c>
      <c r="E13" s="52">
        <f>AVERAGE('23.08 Suam- Bukwo'!E13,'24.08 Suam-Bukwo-24h'!E13,'25.08 Suam-Bukwo'!E13, '26.08 Suam-Bukwo-24h'!E13,'27.08 Suam-Bukwo'!E13,'28.08 Suam-Bukwo'!E13,'29.08 Suam-Bukwo'!E13)</f>
        <v>0.2857142857142857</v>
      </c>
      <c r="F13" s="52">
        <f>AVERAGE('23.08 Suam- Bukwo'!F13,'24.08 Suam-Bukwo-24h'!F13,'25.08 Suam-Bukwo'!F13, '26.08 Suam-Bukwo-24h'!F13,'27.08 Suam-Bukwo'!F13,'28.08 Suam-Bukwo'!F13,'29.08 Suam-Bukwo'!F13)</f>
        <v>0</v>
      </c>
      <c r="G13" s="52">
        <f>AVERAGE('23.08 Suam- Bukwo'!G13,'24.08 Suam-Bukwo-24h'!G13,'25.08 Suam-Bukwo'!G13, '26.08 Suam-Bukwo-24h'!G13,'27.08 Suam-Bukwo'!G13,'28.08 Suam-Bukwo'!G13,'29.08 Suam-Bukwo'!G13)</f>
        <v>0</v>
      </c>
      <c r="H13" s="52">
        <f>AVERAGE('23.08 Suam- Bukwo'!H13,'24.08 Suam-Bukwo-24h'!H13,'25.08 Suam-Bukwo'!H13, '26.08 Suam-Bukwo-24h'!H13,'27.08 Suam-Bukwo'!H13,'28.08 Suam-Bukwo'!H13,'29.08 Suam-Bukwo'!H13)</f>
        <v>0</v>
      </c>
      <c r="I13" s="52">
        <f>AVERAGE('23.08 Suam- Bukwo'!I13,'24.08 Suam-Bukwo-24h'!I13,'25.08 Suam-Bukwo'!I13, '26.08 Suam-Bukwo-24h'!I13,'27.08 Suam-Bukwo'!I13,'28.08 Suam-Bukwo'!I13,'29.08 Suam-Bukwo'!I13)</f>
        <v>0.14285714285714285</v>
      </c>
      <c r="J13" s="52">
        <f>AVERAGE('23.08 Suam- Bukwo'!J13,'24.08 Suam-Bukwo-24h'!J13,'25.08 Suam-Bukwo'!J13, '26.08 Suam-Bukwo-24h'!J13,'27.08 Suam-Bukwo'!J13,'28.08 Suam-Bukwo'!J13,'29.08 Suam-Bukwo'!J13)</f>
        <v>0</v>
      </c>
      <c r="K13" s="52">
        <f>AVERAGE('23.08 Suam- Bukwo'!K13,'24.08 Suam-Bukwo-24h'!K13,'25.08 Suam-Bukwo'!K13, '26.08 Suam-Bukwo-24h'!K13,'27.08 Suam-Bukwo'!K13,'28.08 Suam-Bukwo'!K13,'29.08 Suam-Bukwo'!K13)</f>
        <v>0</v>
      </c>
      <c r="L13" s="52">
        <f>AVERAGE('23.08 Suam- Bukwo'!L13,'24.08 Suam-Bukwo-24h'!L13,'25.08 Suam-Bukwo'!L13, '26.08 Suam-Bukwo-24h'!L13,'27.08 Suam-Bukwo'!L13,'28.08 Suam-Bukwo'!L13,'29.08 Suam-Bukwo'!L13)</f>
        <v>0</v>
      </c>
      <c r="M13" s="52">
        <f>AVERAGE('23.08 Suam- Bukwo'!M13,'24.08 Suam-Bukwo-24h'!M13,'25.08 Suam-Bukwo'!M13, '26.08 Suam-Bukwo-24h'!M13,'27.08 Suam-Bukwo'!M13,'28.08 Suam-Bukwo'!M13,'29.08 Suam-Bukwo'!M13)</f>
        <v>6</v>
      </c>
      <c r="N13" s="52">
        <f>AVERAGE('23.08 Suam- Bukwo'!N13,'24.08 Suam-Bukwo-24h'!N13,'25.08 Suam-Bukwo'!N13, '26.08 Suam-Bukwo-24h'!N13,'27.08 Suam-Bukwo'!N13,'28.08 Suam-Bukwo'!N13,'29.08 Suam-Bukwo'!N13)</f>
        <v>0</v>
      </c>
      <c r="O13" s="15">
        <f t="shared" si="0"/>
        <v>0.85714285714285698</v>
      </c>
      <c r="P13" s="15">
        <f t="shared" si="1"/>
        <v>6.8571428571428568</v>
      </c>
      <c r="R13" s="1" t="s">
        <v>9</v>
      </c>
      <c r="S13" s="17">
        <f t="shared" ref="S13:AF13" si="5">SUM(C22:C25)</f>
        <v>0.42857142857142855</v>
      </c>
      <c r="T13" s="17">
        <f t="shared" si="5"/>
        <v>0.42857142857142855</v>
      </c>
      <c r="U13" s="17">
        <f t="shared" si="5"/>
        <v>0.5714285714285714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1.5714285714285714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63.285714285714292</v>
      </c>
      <c r="AD13" s="17">
        <f t="shared" si="5"/>
        <v>0</v>
      </c>
      <c r="AE13" s="31">
        <f t="shared" si="5"/>
        <v>3</v>
      </c>
      <c r="AF13" s="31">
        <f t="shared" si="5"/>
        <v>66.285714285714278</v>
      </c>
    </row>
    <row r="14" spans="2:32" ht="23.1" customHeight="1" x14ac:dyDescent="0.25">
      <c r="B14" s="23" t="s">
        <v>41</v>
      </c>
      <c r="C14" s="52">
        <f>AVERAGE('23.08 Suam- Bukwo'!C14,'24.08 Suam-Bukwo-24h'!C14,'25.08 Suam-Bukwo'!C14, '26.08 Suam-Bukwo-24h'!C14,'27.08 Suam-Bukwo'!C14,'28.08 Suam-Bukwo'!C14,'29.08 Suam-Bukwo'!C14)</f>
        <v>0.14285714285714285</v>
      </c>
      <c r="D14" s="52">
        <f>AVERAGE('23.08 Suam- Bukwo'!D14,'24.08 Suam-Bukwo-24h'!D14,'25.08 Suam-Bukwo'!D14, '26.08 Suam-Bukwo-24h'!D14,'27.08 Suam-Bukwo'!D14,'28.08 Suam-Bukwo'!D14,'29.08 Suam-Bukwo'!D14)</f>
        <v>0</v>
      </c>
      <c r="E14" s="52">
        <f>AVERAGE('23.08 Suam- Bukwo'!E14,'24.08 Suam-Bukwo-24h'!E14,'25.08 Suam-Bukwo'!E14, '26.08 Suam-Bukwo-24h'!E14,'27.08 Suam-Bukwo'!E14,'28.08 Suam-Bukwo'!E14,'29.08 Suam-Bukwo'!E14)</f>
        <v>0.14285714285714285</v>
      </c>
      <c r="F14" s="52">
        <f>AVERAGE('23.08 Suam- Bukwo'!F14,'24.08 Suam-Bukwo-24h'!F14,'25.08 Suam-Bukwo'!F14, '26.08 Suam-Bukwo-24h'!F14,'27.08 Suam-Bukwo'!F14,'28.08 Suam-Bukwo'!F14,'29.08 Suam-Bukwo'!F14)</f>
        <v>0</v>
      </c>
      <c r="G14" s="52">
        <f>AVERAGE('23.08 Suam- Bukwo'!G14,'24.08 Suam-Bukwo-24h'!G14,'25.08 Suam-Bukwo'!G14, '26.08 Suam-Bukwo-24h'!G14,'27.08 Suam-Bukwo'!G14,'28.08 Suam-Bukwo'!G14,'29.08 Suam-Bukwo'!G14)</f>
        <v>0</v>
      </c>
      <c r="H14" s="52">
        <f>AVERAGE('23.08 Suam- Bukwo'!H14,'24.08 Suam-Bukwo-24h'!H14,'25.08 Suam-Bukwo'!H14, '26.08 Suam-Bukwo-24h'!H14,'27.08 Suam-Bukwo'!H14,'28.08 Suam-Bukwo'!H14,'29.08 Suam-Bukwo'!H14)</f>
        <v>0</v>
      </c>
      <c r="I14" s="52">
        <f>AVERAGE('23.08 Suam- Bukwo'!I14,'24.08 Suam-Bukwo-24h'!I14,'25.08 Suam-Bukwo'!I14, '26.08 Suam-Bukwo-24h'!I14,'27.08 Suam-Bukwo'!I14,'28.08 Suam-Bukwo'!I14,'29.08 Suam-Bukwo'!I14)</f>
        <v>0</v>
      </c>
      <c r="J14" s="52">
        <f>AVERAGE('23.08 Suam- Bukwo'!J14,'24.08 Suam-Bukwo-24h'!J14,'25.08 Suam-Bukwo'!J14, '26.08 Suam-Bukwo-24h'!J14,'27.08 Suam-Bukwo'!J14,'28.08 Suam-Bukwo'!J14,'29.08 Suam-Bukwo'!J14)</f>
        <v>0</v>
      </c>
      <c r="K14" s="52">
        <f>AVERAGE('23.08 Suam- Bukwo'!K14,'24.08 Suam-Bukwo-24h'!K14,'25.08 Suam-Bukwo'!K14, '26.08 Suam-Bukwo-24h'!K14,'27.08 Suam-Bukwo'!K14,'28.08 Suam-Bukwo'!K14,'29.08 Suam-Bukwo'!K14)</f>
        <v>0</v>
      </c>
      <c r="L14" s="52">
        <f>AVERAGE('23.08 Suam- Bukwo'!L14,'24.08 Suam-Bukwo-24h'!L14,'25.08 Suam-Bukwo'!L14, '26.08 Suam-Bukwo-24h'!L14,'27.08 Suam-Bukwo'!L14,'28.08 Suam-Bukwo'!L14,'29.08 Suam-Bukwo'!L14)</f>
        <v>0</v>
      </c>
      <c r="M14" s="52">
        <f>AVERAGE('23.08 Suam- Bukwo'!M14,'24.08 Suam-Bukwo-24h'!M14,'25.08 Suam-Bukwo'!M14, '26.08 Suam-Bukwo-24h'!M14,'27.08 Suam-Bukwo'!M14,'28.08 Suam-Bukwo'!M14,'29.08 Suam-Bukwo'!M14)</f>
        <v>3.7142857142857144</v>
      </c>
      <c r="N14" s="52">
        <f>AVERAGE('23.08 Suam- Bukwo'!N14,'24.08 Suam-Bukwo-24h'!N14,'25.08 Suam-Bukwo'!N14, '26.08 Suam-Bukwo-24h'!N14,'27.08 Suam-Bukwo'!N14,'28.08 Suam-Bukwo'!N14,'29.08 Suam-Bukwo'!N14)</f>
        <v>0</v>
      </c>
      <c r="O14" s="15">
        <f t="shared" si="0"/>
        <v>0.2857142857142857</v>
      </c>
      <c r="P14" s="15">
        <f t="shared" si="1"/>
        <v>4</v>
      </c>
      <c r="R14" s="1" t="s">
        <v>10</v>
      </c>
      <c r="S14" s="17">
        <f t="shared" ref="S14:AF14" si="6">SUM(C26:C29)</f>
        <v>0.42857142857142855</v>
      </c>
      <c r="T14" s="17">
        <f t="shared" si="6"/>
        <v>0</v>
      </c>
      <c r="U14" s="17">
        <f t="shared" si="6"/>
        <v>0.71428571428571419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2.2857142857142856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62.571428571428569</v>
      </c>
      <c r="AD14" s="17">
        <f t="shared" si="6"/>
        <v>0</v>
      </c>
      <c r="AE14" s="31">
        <f t="shared" si="6"/>
        <v>3.4285714285714288</v>
      </c>
      <c r="AF14" s="31">
        <f t="shared" si="6"/>
        <v>66</v>
      </c>
    </row>
    <row r="15" spans="2:32" ht="23.1" customHeight="1" x14ac:dyDescent="0.25">
      <c r="B15" s="23" t="s">
        <v>42</v>
      </c>
      <c r="C15" s="52">
        <f>AVERAGE('23.08 Suam- Bukwo'!C15,'24.08 Suam-Bukwo-24h'!C15,'25.08 Suam-Bukwo'!C15, '26.08 Suam-Bukwo-24h'!C15,'27.08 Suam-Bukwo'!C15,'28.08 Suam-Bukwo'!C15,'29.08 Suam-Bukwo'!C15)</f>
        <v>0</v>
      </c>
      <c r="D15" s="52">
        <f>AVERAGE('23.08 Suam- Bukwo'!D15,'24.08 Suam-Bukwo-24h'!D15,'25.08 Suam-Bukwo'!D15, '26.08 Suam-Bukwo-24h'!D15,'27.08 Suam-Bukwo'!D15,'28.08 Suam-Bukwo'!D15,'29.08 Suam-Bukwo'!D15)</f>
        <v>0.14285714285714285</v>
      </c>
      <c r="E15" s="52">
        <f>AVERAGE('23.08 Suam- Bukwo'!E15,'24.08 Suam-Bukwo-24h'!E15,'25.08 Suam-Bukwo'!E15, '26.08 Suam-Bukwo-24h'!E15,'27.08 Suam-Bukwo'!E15,'28.08 Suam-Bukwo'!E15,'29.08 Suam-Bukwo'!E15)</f>
        <v>0.42857142857142855</v>
      </c>
      <c r="F15" s="52">
        <f>AVERAGE('23.08 Suam- Bukwo'!F15,'24.08 Suam-Bukwo-24h'!F15,'25.08 Suam-Bukwo'!F15, '26.08 Suam-Bukwo-24h'!F15,'27.08 Suam-Bukwo'!F15,'28.08 Suam-Bukwo'!F15,'29.08 Suam-Bukwo'!F15)</f>
        <v>0</v>
      </c>
      <c r="G15" s="52">
        <f>AVERAGE('23.08 Suam- Bukwo'!G15,'24.08 Suam-Bukwo-24h'!G15,'25.08 Suam-Bukwo'!G15, '26.08 Suam-Bukwo-24h'!G15,'27.08 Suam-Bukwo'!G15,'28.08 Suam-Bukwo'!G15,'29.08 Suam-Bukwo'!G15)</f>
        <v>0</v>
      </c>
      <c r="H15" s="52">
        <f>AVERAGE('23.08 Suam- Bukwo'!H15,'24.08 Suam-Bukwo-24h'!H15,'25.08 Suam-Bukwo'!H15, '26.08 Suam-Bukwo-24h'!H15,'27.08 Suam-Bukwo'!H15,'28.08 Suam-Bukwo'!H15,'29.08 Suam-Bukwo'!H15)</f>
        <v>0</v>
      </c>
      <c r="I15" s="52">
        <f>AVERAGE('23.08 Suam- Bukwo'!I15,'24.08 Suam-Bukwo-24h'!I15,'25.08 Suam-Bukwo'!I15, '26.08 Suam-Bukwo-24h'!I15,'27.08 Suam-Bukwo'!I15,'28.08 Suam-Bukwo'!I15,'29.08 Suam-Bukwo'!I15)</f>
        <v>0.14285714285714285</v>
      </c>
      <c r="J15" s="52">
        <f>AVERAGE('23.08 Suam- Bukwo'!J15,'24.08 Suam-Bukwo-24h'!J15,'25.08 Suam-Bukwo'!J15, '26.08 Suam-Bukwo-24h'!J15,'27.08 Suam-Bukwo'!J15,'28.08 Suam-Bukwo'!J15,'29.08 Suam-Bukwo'!J15)</f>
        <v>0.14285714285714285</v>
      </c>
      <c r="K15" s="52">
        <f>AVERAGE('23.08 Suam- Bukwo'!K15,'24.08 Suam-Bukwo-24h'!K15,'25.08 Suam-Bukwo'!K15, '26.08 Suam-Bukwo-24h'!K15,'27.08 Suam-Bukwo'!K15,'28.08 Suam-Bukwo'!K15,'29.08 Suam-Bukwo'!K15)</f>
        <v>0</v>
      </c>
      <c r="L15" s="52">
        <f>AVERAGE('23.08 Suam- Bukwo'!L15,'24.08 Suam-Bukwo-24h'!L15,'25.08 Suam-Bukwo'!L15, '26.08 Suam-Bukwo-24h'!L15,'27.08 Suam-Bukwo'!L15,'28.08 Suam-Bukwo'!L15,'29.08 Suam-Bukwo'!L15)</f>
        <v>0</v>
      </c>
      <c r="M15" s="52">
        <f>AVERAGE('23.08 Suam- Bukwo'!M15,'24.08 Suam-Bukwo-24h'!M15,'25.08 Suam-Bukwo'!M15, '26.08 Suam-Bukwo-24h'!M15,'27.08 Suam-Bukwo'!M15,'28.08 Suam-Bukwo'!M15,'29.08 Suam-Bukwo'!M15)</f>
        <v>6.2857142857142856</v>
      </c>
      <c r="N15" s="52">
        <f>AVERAGE('23.08 Suam- Bukwo'!N15,'24.08 Suam-Bukwo-24h'!N15,'25.08 Suam-Bukwo'!N15, '26.08 Suam-Bukwo-24h'!N15,'27.08 Suam-Bukwo'!N15,'28.08 Suam-Bukwo'!N15,'29.08 Suam-Bukwo'!N15)</f>
        <v>0</v>
      </c>
      <c r="O15" s="15">
        <f t="shared" si="0"/>
        <v>0.85714285714285698</v>
      </c>
      <c r="P15" s="15">
        <f t="shared" si="1"/>
        <v>7.1428571428571423</v>
      </c>
      <c r="R15" s="1" t="s">
        <v>11</v>
      </c>
      <c r="S15" s="17">
        <f t="shared" ref="S15:AF15" si="7">SUM(C30:C33)</f>
        <v>0.42857142857142855</v>
      </c>
      <c r="T15" s="17">
        <f t="shared" si="7"/>
        <v>0.2857142857142857</v>
      </c>
      <c r="U15" s="17">
        <f t="shared" si="7"/>
        <v>0.5714285714285714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2.8571428571428568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57.142857142857146</v>
      </c>
      <c r="AD15" s="17">
        <f t="shared" si="7"/>
        <v>1.5714285714285714</v>
      </c>
      <c r="AE15" s="31">
        <f t="shared" si="7"/>
        <v>5.7142857142857144</v>
      </c>
      <c r="AF15" s="31">
        <f t="shared" si="7"/>
        <v>62.857142857142854</v>
      </c>
    </row>
    <row r="16" spans="2:32" ht="23.1" customHeight="1" x14ac:dyDescent="0.25">
      <c r="B16" s="23" t="s">
        <v>43</v>
      </c>
      <c r="C16" s="52">
        <f>AVERAGE('23.08 Suam- Bukwo'!C16,'24.08 Suam-Bukwo-24h'!C16,'25.08 Suam-Bukwo'!C16, '26.08 Suam-Bukwo-24h'!C16,'27.08 Suam-Bukwo'!C16,'28.08 Suam-Bukwo'!C16,'29.08 Suam-Bukwo'!C16)</f>
        <v>0.14285714285714285</v>
      </c>
      <c r="D16" s="52">
        <f>AVERAGE('23.08 Suam- Bukwo'!D16,'24.08 Suam-Bukwo-24h'!D16,'25.08 Suam-Bukwo'!D16, '26.08 Suam-Bukwo-24h'!D16,'27.08 Suam-Bukwo'!D16,'28.08 Suam-Bukwo'!D16,'29.08 Suam-Bukwo'!D16)</f>
        <v>0.14285714285714285</v>
      </c>
      <c r="E16" s="52">
        <f>AVERAGE('23.08 Suam- Bukwo'!E16,'24.08 Suam-Bukwo-24h'!E16,'25.08 Suam-Bukwo'!E16, '26.08 Suam-Bukwo-24h'!E16,'27.08 Suam-Bukwo'!E16,'28.08 Suam-Bukwo'!E16,'29.08 Suam-Bukwo'!E16)</f>
        <v>0.2857142857142857</v>
      </c>
      <c r="F16" s="52">
        <f>AVERAGE('23.08 Suam- Bukwo'!F16,'24.08 Suam-Bukwo-24h'!F16,'25.08 Suam-Bukwo'!F16, '26.08 Suam-Bukwo-24h'!F16,'27.08 Suam-Bukwo'!F16,'28.08 Suam-Bukwo'!F16,'29.08 Suam-Bukwo'!F16)</f>
        <v>0</v>
      </c>
      <c r="G16" s="52">
        <f>AVERAGE('23.08 Suam- Bukwo'!G16,'24.08 Suam-Bukwo-24h'!G16,'25.08 Suam-Bukwo'!G16, '26.08 Suam-Bukwo-24h'!G16,'27.08 Suam-Bukwo'!G16,'28.08 Suam-Bukwo'!G16,'29.08 Suam-Bukwo'!G16)</f>
        <v>0</v>
      </c>
      <c r="H16" s="52">
        <f>AVERAGE('23.08 Suam- Bukwo'!H16,'24.08 Suam-Bukwo-24h'!H16,'25.08 Suam-Bukwo'!H16, '26.08 Suam-Bukwo-24h'!H16,'27.08 Suam-Bukwo'!H16,'28.08 Suam-Bukwo'!H16,'29.08 Suam-Bukwo'!H16)</f>
        <v>0</v>
      </c>
      <c r="I16" s="52">
        <f>AVERAGE('23.08 Suam- Bukwo'!I16,'24.08 Suam-Bukwo-24h'!I16,'25.08 Suam-Bukwo'!I16, '26.08 Suam-Bukwo-24h'!I16,'27.08 Suam-Bukwo'!I16,'28.08 Suam-Bukwo'!I16,'29.08 Suam-Bukwo'!I16)</f>
        <v>0.5714285714285714</v>
      </c>
      <c r="J16" s="52">
        <f>AVERAGE('23.08 Suam- Bukwo'!J16,'24.08 Suam-Bukwo-24h'!J16,'25.08 Suam-Bukwo'!J16, '26.08 Suam-Bukwo-24h'!J16,'27.08 Suam-Bukwo'!J16,'28.08 Suam-Bukwo'!J16,'29.08 Suam-Bukwo'!J16)</f>
        <v>0</v>
      </c>
      <c r="K16" s="52">
        <f>AVERAGE('23.08 Suam- Bukwo'!K16,'24.08 Suam-Bukwo-24h'!K16,'25.08 Suam-Bukwo'!K16, '26.08 Suam-Bukwo-24h'!K16,'27.08 Suam-Bukwo'!K16,'28.08 Suam-Bukwo'!K16,'29.08 Suam-Bukwo'!K16)</f>
        <v>0</v>
      </c>
      <c r="L16" s="52">
        <f>AVERAGE('23.08 Suam- Bukwo'!L16,'24.08 Suam-Bukwo-24h'!L16,'25.08 Suam-Bukwo'!L16, '26.08 Suam-Bukwo-24h'!L16,'27.08 Suam-Bukwo'!L16,'28.08 Suam-Bukwo'!L16,'29.08 Suam-Bukwo'!L16)</f>
        <v>0</v>
      </c>
      <c r="M16" s="52">
        <f>AVERAGE('23.08 Suam- Bukwo'!M16,'24.08 Suam-Bukwo-24h'!M16,'25.08 Suam-Bukwo'!M16, '26.08 Suam-Bukwo-24h'!M16,'27.08 Suam-Bukwo'!M16,'28.08 Suam-Bukwo'!M16,'29.08 Suam-Bukwo'!M16)</f>
        <v>7</v>
      </c>
      <c r="N16" s="52">
        <f>AVERAGE('23.08 Suam- Bukwo'!N16,'24.08 Suam-Bukwo-24h'!N16,'25.08 Suam-Bukwo'!N16, '26.08 Suam-Bukwo-24h'!N16,'27.08 Suam-Bukwo'!N16,'28.08 Suam-Bukwo'!N16,'29.08 Suam-Bukwo'!N16)</f>
        <v>0</v>
      </c>
      <c r="O16" s="15">
        <f t="shared" si="0"/>
        <v>1.1428571428571428</v>
      </c>
      <c r="P16" s="15">
        <f t="shared" si="1"/>
        <v>8.1428571428571423</v>
      </c>
      <c r="R16" s="1" t="s">
        <v>12</v>
      </c>
      <c r="S16" s="17">
        <f t="shared" ref="S16:AF16" si="8">SUM(C34:C37)</f>
        <v>0.2857142857142857</v>
      </c>
      <c r="T16" s="17">
        <f t="shared" si="8"/>
        <v>0</v>
      </c>
      <c r="U16" s="17">
        <f t="shared" si="8"/>
        <v>0.2857142857142857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1.8571428571428568</v>
      </c>
      <c r="Z16" s="17">
        <f t="shared" si="8"/>
        <v>0.14285714285714285</v>
      </c>
      <c r="AA16" s="17">
        <f t="shared" si="8"/>
        <v>0</v>
      </c>
      <c r="AB16" s="17">
        <f t="shared" si="8"/>
        <v>0</v>
      </c>
      <c r="AC16" s="17">
        <f t="shared" si="8"/>
        <v>47.714285714285715</v>
      </c>
      <c r="AD16" s="17">
        <f t="shared" si="8"/>
        <v>0</v>
      </c>
      <c r="AE16" s="31">
        <f t="shared" si="8"/>
        <v>2.5714285714285712</v>
      </c>
      <c r="AF16" s="31">
        <f t="shared" si="8"/>
        <v>50.285714285714285</v>
      </c>
    </row>
    <row r="17" spans="2:32" ht="23.1" customHeight="1" x14ac:dyDescent="0.25">
      <c r="B17" s="23" t="s">
        <v>44</v>
      </c>
      <c r="C17" s="52">
        <f>AVERAGE('23.08 Suam- Bukwo'!C17,'24.08 Suam-Bukwo-24h'!C17,'25.08 Suam-Bukwo'!C17, '26.08 Suam-Bukwo-24h'!C17,'27.08 Suam-Bukwo'!C17,'28.08 Suam-Bukwo'!C17,'29.08 Suam-Bukwo'!C17)</f>
        <v>0.14285714285714285</v>
      </c>
      <c r="D17" s="52">
        <f>AVERAGE('23.08 Suam- Bukwo'!D17,'24.08 Suam-Bukwo-24h'!D17,'25.08 Suam-Bukwo'!D17, '26.08 Suam-Bukwo-24h'!D17,'27.08 Suam-Bukwo'!D17,'28.08 Suam-Bukwo'!D17,'29.08 Suam-Bukwo'!D17)</f>
        <v>0.14285714285714285</v>
      </c>
      <c r="E17" s="52">
        <f>AVERAGE('23.08 Suam- Bukwo'!E17,'24.08 Suam-Bukwo-24h'!E17,'25.08 Suam-Bukwo'!E17, '26.08 Suam-Bukwo-24h'!E17,'27.08 Suam-Bukwo'!E17,'28.08 Suam-Bukwo'!E17,'29.08 Suam-Bukwo'!E17)</f>
        <v>0.7142857142857143</v>
      </c>
      <c r="F17" s="52">
        <f>AVERAGE('23.08 Suam- Bukwo'!F17,'24.08 Suam-Bukwo-24h'!F17,'25.08 Suam-Bukwo'!F17, '26.08 Suam-Bukwo-24h'!F17,'27.08 Suam-Bukwo'!F17,'28.08 Suam-Bukwo'!F17,'29.08 Suam-Bukwo'!F17)</f>
        <v>0</v>
      </c>
      <c r="G17" s="52">
        <f>AVERAGE('23.08 Suam- Bukwo'!G17,'24.08 Suam-Bukwo-24h'!G17,'25.08 Suam-Bukwo'!G17, '26.08 Suam-Bukwo-24h'!G17,'27.08 Suam-Bukwo'!G17,'28.08 Suam-Bukwo'!G17,'29.08 Suam-Bukwo'!G17)</f>
        <v>0</v>
      </c>
      <c r="H17" s="52">
        <f>AVERAGE('23.08 Suam- Bukwo'!H17,'24.08 Suam-Bukwo-24h'!H17,'25.08 Suam-Bukwo'!H17, '26.08 Suam-Bukwo-24h'!H17,'27.08 Suam-Bukwo'!H17,'28.08 Suam-Bukwo'!H17,'29.08 Suam-Bukwo'!H17)</f>
        <v>0</v>
      </c>
      <c r="I17" s="52">
        <f>AVERAGE('23.08 Suam- Bukwo'!I17,'24.08 Suam-Bukwo-24h'!I17,'25.08 Suam-Bukwo'!I17, '26.08 Suam-Bukwo-24h'!I17,'27.08 Suam-Bukwo'!I17,'28.08 Suam-Bukwo'!I17,'29.08 Suam-Bukwo'!I17)</f>
        <v>0.2857142857142857</v>
      </c>
      <c r="J17" s="52">
        <f>AVERAGE('23.08 Suam- Bukwo'!J17,'24.08 Suam-Bukwo-24h'!J17,'25.08 Suam-Bukwo'!J17, '26.08 Suam-Bukwo-24h'!J17,'27.08 Suam-Bukwo'!J17,'28.08 Suam-Bukwo'!J17,'29.08 Suam-Bukwo'!J17)</f>
        <v>0</v>
      </c>
      <c r="K17" s="52">
        <f>AVERAGE('23.08 Suam- Bukwo'!K17,'24.08 Suam-Bukwo-24h'!K17,'25.08 Suam-Bukwo'!K17, '26.08 Suam-Bukwo-24h'!K17,'27.08 Suam-Bukwo'!K17,'28.08 Suam-Bukwo'!K17,'29.08 Suam-Bukwo'!K17)</f>
        <v>0</v>
      </c>
      <c r="L17" s="52">
        <f>AVERAGE('23.08 Suam- Bukwo'!L17,'24.08 Suam-Bukwo-24h'!L17,'25.08 Suam-Bukwo'!L17, '26.08 Suam-Bukwo-24h'!L17,'27.08 Suam-Bukwo'!L17,'28.08 Suam-Bukwo'!L17,'29.08 Suam-Bukwo'!L17)</f>
        <v>0</v>
      </c>
      <c r="M17" s="52">
        <f>AVERAGE('23.08 Suam- Bukwo'!M17,'24.08 Suam-Bukwo-24h'!M17,'25.08 Suam-Bukwo'!M17, '26.08 Suam-Bukwo-24h'!M17,'27.08 Suam-Bukwo'!M17,'28.08 Suam-Bukwo'!M17,'29.08 Suam-Bukwo'!M17)</f>
        <v>8</v>
      </c>
      <c r="N17" s="52">
        <f>AVERAGE('23.08 Suam- Bukwo'!N17,'24.08 Suam-Bukwo-24h'!N17,'25.08 Suam-Bukwo'!N17, '26.08 Suam-Bukwo-24h'!N17,'27.08 Suam-Bukwo'!N17,'28.08 Suam-Bukwo'!N17,'29.08 Suam-Bukwo'!N17)</f>
        <v>0</v>
      </c>
      <c r="O17" s="15">
        <f t="shared" si="0"/>
        <v>1.2857142857142856</v>
      </c>
      <c r="P17" s="15">
        <f t="shared" si="1"/>
        <v>9.2857142857142847</v>
      </c>
      <c r="R17" s="1" t="s">
        <v>13</v>
      </c>
      <c r="S17" s="17">
        <f t="shared" ref="S17:AF17" si="9">SUM(C38:C41)</f>
        <v>0.42857142857142855</v>
      </c>
      <c r="T17" s="17">
        <f t="shared" si="9"/>
        <v>0.85714285714285698</v>
      </c>
      <c r="U17" s="17">
        <f t="shared" si="9"/>
        <v>0.5714285714285714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2.2857142857142856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42.142857142857146</v>
      </c>
      <c r="AD17" s="17">
        <f t="shared" si="9"/>
        <v>0.14285714285714285</v>
      </c>
      <c r="AE17" s="31">
        <f t="shared" si="9"/>
        <v>4.2857142857142856</v>
      </c>
      <c r="AF17" s="31">
        <f t="shared" si="9"/>
        <v>46.428571428571431</v>
      </c>
    </row>
    <row r="18" spans="2:32" ht="23.1" customHeight="1" x14ac:dyDescent="0.25">
      <c r="B18" s="23" t="s">
        <v>45</v>
      </c>
      <c r="C18" s="52">
        <f>AVERAGE('23.08 Suam- Bukwo'!C18,'24.08 Suam-Bukwo-24h'!C18,'25.08 Suam-Bukwo'!C18, '26.08 Suam-Bukwo-24h'!C18,'27.08 Suam-Bukwo'!C18,'28.08 Suam-Bukwo'!C18,'29.08 Suam-Bukwo'!C18)</f>
        <v>0</v>
      </c>
      <c r="D18" s="52">
        <f>AVERAGE('23.08 Suam- Bukwo'!D18,'24.08 Suam-Bukwo-24h'!D18,'25.08 Suam-Bukwo'!D18, '26.08 Suam-Bukwo-24h'!D18,'27.08 Suam-Bukwo'!D18,'28.08 Suam-Bukwo'!D18,'29.08 Suam-Bukwo'!D18)</f>
        <v>0.14285714285714285</v>
      </c>
      <c r="E18" s="52">
        <f>AVERAGE('23.08 Suam- Bukwo'!E18,'24.08 Suam-Bukwo-24h'!E18,'25.08 Suam-Bukwo'!E18, '26.08 Suam-Bukwo-24h'!E18,'27.08 Suam-Bukwo'!E18,'28.08 Suam-Bukwo'!E18,'29.08 Suam-Bukwo'!E18)</f>
        <v>0.42857142857142855</v>
      </c>
      <c r="F18" s="52">
        <f>AVERAGE('23.08 Suam- Bukwo'!F18,'24.08 Suam-Bukwo-24h'!F18,'25.08 Suam-Bukwo'!F18, '26.08 Suam-Bukwo-24h'!F18,'27.08 Suam-Bukwo'!F18,'28.08 Suam-Bukwo'!F18,'29.08 Suam-Bukwo'!F18)</f>
        <v>0</v>
      </c>
      <c r="G18" s="52">
        <f>AVERAGE('23.08 Suam- Bukwo'!G18,'24.08 Suam-Bukwo-24h'!G18,'25.08 Suam-Bukwo'!G18, '26.08 Suam-Bukwo-24h'!G18,'27.08 Suam-Bukwo'!G18,'28.08 Suam-Bukwo'!G18,'29.08 Suam-Bukwo'!G18)</f>
        <v>0</v>
      </c>
      <c r="H18" s="52">
        <f>AVERAGE('23.08 Suam- Bukwo'!H18,'24.08 Suam-Bukwo-24h'!H18,'25.08 Suam-Bukwo'!H18, '26.08 Suam-Bukwo-24h'!H18,'27.08 Suam-Bukwo'!H18,'28.08 Suam-Bukwo'!H18,'29.08 Suam-Bukwo'!H18)</f>
        <v>0</v>
      </c>
      <c r="I18" s="52">
        <f>AVERAGE('23.08 Suam- Bukwo'!I18,'24.08 Suam-Bukwo-24h'!I18,'25.08 Suam-Bukwo'!I18, '26.08 Suam-Bukwo-24h'!I18,'27.08 Suam-Bukwo'!I18,'28.08 Suam-Bukwo'!I18,'29.08 Suam-Bukwo'!I18)</f>
        <v>0</v>
      </c>
      <c r="J18" s="52">
        <f>AVERAGE('23.08 Suam- Bukwo'!J18,'24.08 Suam-Bukwo-24h'!J18,'25.08 Suam-Bukwo'!J18, '26.08 Suam-Bukwo-24h'!J18,'27.08 Suam-Bukwo'!J18,'28.08 Suam-Bukwo'!J18,'29.08 Suam-Bukwo'!J18)</f>
        <v>0</v>
      </c>
      <c r="K18" s="52">
        <f>AVERAGE('23.08 Suam- Bukwo'!K18,'24.08 Suam-Bukwo-24h'!K18,'25.08 Suam-Bukwo'!K18, '26.08 Suam-Bukwo-24h'!K18,'27.08 Suam-Bukwo'!K18,'28.08 Suam-Bukwo'!K18,'29.08 Suam-Bukwo'!K18)</f>
        <v>0</v>
      </c>
      <c r="L18" s="52">
        <f>AVERAGE('23.08 Suam- Bukwo'!L18,'24.08 Suam-Bukwo-24h'!L18,'25.08 Suam-Bukwo'!L18, '26.08 Suam-Bukwo-24h'!L18,'27.08 Suam-Bukwo'!L18,'28.08 Suam-Bukwo'!L18,'29.08 Suam-Bukwo'!L18)</f>
        <v>0</v>
      </c>
      <c r="M18" s="52">
        <f>AVERAGE('23.08 Suam- Bukwo'!M18,'24.08 Suam-Bukwo-24h'!M18,'25.08 Suam-Bukwo'!M18, '26.08 Suam-Bukwo-24h'!M18,'27.08 Suam-Bukwo'!M18,'28.08 Suam-Bukwo'!M18,'29.08 Suam-Bukwo'!M18)</f>
        <v>10.285714285714286</v>
      </c>
      <c r="N18" s="52">
        <f>AVERAGE('23.08 Suam- Bukwo'!N18,'24.08 Suam-Bukwo-24h'!N18,'25.08 Suam-Bukwo'!N18, '26.08 Suam-Bukwo-24h'!N18,'27.08 Suam-Bukwo'!N18,'28.08 Suam-Bukwo'!N18,'29.08 Suam-Bukwo'!N18)</f>
        <v>0</v>
      </c>
      <c r="O18" s="15">
        <f t="shared" si="0"/>
        <v>0.5714285714285714</v>
      </c>
      <c r="P18" s="15">
        <f t="shared" si="1"/>
        <v>10.857142857142858</v>
      </c>
      <c r="R18" s="1" t="s">
        <v>14</v>
      </c>
      <c r="S18" s="17">
        <f t="shared" ref="S18:AF18" si="10">SUM(C42:C45)</f>
        <v>0.5714285714285714</v>
      </c>
      <c r="T18" s="17">
        <f t="shared" si="10"/>
        <v>0.14285714285714285</v>
      </c>
      <c r="U18" s="17">
        <f t="shared" si="10"/>
        <v>0.42857142857142855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2.1428571428571428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33.857142857142854</v>
      </c>
      <c r="AD18" s="17">
        <f t="shared" si="10"/>
        <v>0</v>
      </c>
      <c r="AE18" s="31">
        <f t="shared" si="10"/>
        <v>3.2857142857142856</v>
      </c>
      <c r="AF18" s="31">
        <f t="shared" si="10"/>
        <v>37.142857142857139</v>
      </c>
    </row>
    <row r="19" spans="2:32" ht="23.1" customHeight="1" x14ac:dyDescent="0.25">
      <c r="B19" s="23" t="s">
        <v>46</v>
      </c>
      <c r="C19" s="52">
        <f>AVERAGE('23.08 Suam- Bukwo'!C19,'24.08 Suam-Bukwo-24h'!C19,'25.08 Suam-Bukwo'!C19, '26.08 Suam-Bukwo-24h'!C19,'27.08 Suam-Bukwo'!C19,'28.08 Suam-Bukwo'!C19,'29.08 Suam-Bukwo'!C19)</f>
        <v>0.14285714285714285</v>
      </c>
      <c r="D19" s="52">
        <f>AVERAGE('23.08 Suam- Bukwo'!D19,'24.08 Suam-Bukwo-24h'!D19,'25.08 Suam-Bukwo'!D19, '26.08 Suam-Bukwo-24h'!D19,'27.08 Suam-Bukwo'!D19,'28.08 Suam-Bukwo'!D19,'29.08 Suam-Bukwo'!D19)</f>
        <v>0</v>
      </c>
      <c r="E19" s="52">
        <f>AVERAGE('23.08 Suam- Bukwo'!E19,'24.08 Suam-Bukwo-24h'!E19,'25.08 Suam-Bukwo'!E19, '26.08 Suam-Bukwo-24h'!E19,'27.08 Suam-Bukwo'!E19,'28.08 Suam-Bukwo'!E19,'29.08 Suam-Bukwo'!E19)</f>
        <v>0.42857142857142855</v>
      </c>
      <c r="F19" s="52">
        <f>AVERAGE('23.08 Suam- Bukwo'!F19,'24.08 Suam-Bukwo-24h'!F19,'25.08 Suam-Bukwo'!F19, '26.08 Suam-Bukwo-24h'!F19,'27.08 Suam-Bukwo'!F19,'28.08 Suam-Bukwo'!F19,'29.08 Suam-Bukwo'!F19)</f>
        <v>0</v>
      </c>
      <c r="G19" s="52">
        <f>AVERAGE('23.08 Suam- Bukwo'!G19,'24.08 Suam-Bukwo-24h'!G19,'25.08 Suam-Bukwo'!G19, '26.08 Suam-Bukwo-24h'!G19,'27.08 Suam-Bukwo'!G19,'28.08 Suam-Bukwo'!G19,'29.08 Suam-Bukwo'!G19)</f>
        <v>0</v>
      </c>
      <c r="H19" s="52">
        <f>AVERAGE('23.08 Suam- Bukwo'!H19,'24.08 Suam-Bukwo-24h'!H19,'25.08 Suam-Bukwo'!H19, '26.08 Suam-Bukwo-24h'!H19,'27.08 Suam-Bukwo'!H19,'28.08 Suam-Bukwo'!H19,'29.08 Suam-Bukwo'!H19)</f>
        <v>0</v>
      </c>
      <c r="I19" s="52">
        <f>AVERAGE('23.08 Suam- Bukwo'!I19,'24.08 Suam-Bukwo-24h'!I19,'25.08 Suam-Bukwo'!I19, '26.08 Suam-Bukwo-24h'!I19,'27.08 Suam-Bukwo'!I19,'28.08 Suam-Bukwo'!I19,'29.08 Suam-Bukwo'!I19)</f>
        <v>0.2857142857142857</v>
      </c>
      <c r="J19" s="52">
        <f>AVERAGE('23.08 Suam- Bukwo'!J19,'24.08 Suam-Bukwo-24h'!J19,'25.08 Suam-Bukwo'!J19, '26.08 Suam-Bukwo-24h'!J19,'27.08 Suam-Bukwo'!J19,'28.08 Suam-Bukwo'!J19,'29.08 Suam-Bukwo'!J19)</f>
        <v>0</v>
      </c>
      <c r="K19" s="52">
        <f>AVERAGE('23.08 Suam- Bukwo'!K19,'24.08 Suam-Bukwo-24h'!K19,'25.08 Suam-Bukwo'!K19, '26.08 Suam-Bukwo-24h'!K19,'27.08 Suam-Bukwo'!K19,'28.08 Suam-Bukwo'!K19,'29.08 Suam-Bukwo'!K19)</f>
        <v>0</v>
      </c>
      <c r="L19" s="52">
        <f>AVERAGE('23.08 Suam- Bukwo'!L19,'24.08 Suam-Bukwo-24h'!L19,'25.08 Suam-Bukwo'!L19, '26.08 Suam-Bukwo-24h'!L19,'27.08 Suam-Bukwo'!L19,'28.08 Suam-Bukwo'!L19,'29.08 Suam-Bukwo'!L19)</f>
        <v>0</v>
      </c>
      <c r="M19" s="52">
        <f>AVERAGE('23.08 Suam- Bukwo'!M19,'24.08 Suam-Bukwo-24h'!M19,'25.08 Suam-Bukwo'!M19, '26.08 Suam-Bukwo-24h'!M19,'27.08 Suam-Bukwo'!M19,'28.08 Suam-Bukwo'!M19,'29.08 Suam-Bukwo'!M19)</f>
        <v>12.142857142857142</v>
      </c>
      <c r="N19" s="52">
        <f>AVERAGE('23.08 Suam- Bukwo'!N19,'24.08 Suam-Bukwo-24h'!N19,'25.08 Suam-Bukwo'!N19, '26.08 Suam-Bukwo-24h'!N19,'27.08 Suam-Bukwo'!N19,'28.08 Suam-Bukwo'!N19,'29.08 Suam-Bukwo'!N19)</f>
        <v>0</v>
      </c>
      <c r="O19" s="15">
        <f t="shared" si="0"/>
        <v>0.8571428571428571</v>
      </c>
      <c r="P19" s="15">
        <f t="shared" si="1"/>
        <v>13</v>
      </c>
      <c r="R19" s="1" t="s">
        <v>15</v>
      </c>
      <c r="S19" s="17">
        <f t="shared" ref="S19:AF19" si="11">SUM(C46:C49)</f>
        <v>0.14285714285714285</v>
      </c>
      <c r="T19" s="17">
        <f t="shared" si="11"/>
        <v>0.42857142857142855</v>
      </c>
      <c r="U19" s="17">
        <f t="shared" si="11"/>
        <v>0.2857142857142857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1.5714285714285714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37.142857142857139</v>
      </c>
      <c r="AD19" s="17">
        <f t="shared" si="11"/>
        <v>0</v>
      </c>
      <c r="AE19" s="31">
        <f t="shared" si="11"/>
        <v>2.4285714285714284</v>
      </c>
      <c r="AF19" s="31">
        <f t="shared" si="11"/>
        <v>39.571428571428569</v>
      </c>
    </row>
    <row r="20" spans="2:32" ht="23.1" customHeight="1" x14ac:dyDescent="0.25">
      <c r="B20" s="23" t="s">
        <v>47</v>
      </c>
      <c r="C20" s="52">
        <f>AVERAGE('23.08 Suam- Bukwo'!C20,'24.08 Suam-Bukwo-24h'!C20,'25.08 Suam-Bukwo'!C20, '26.08 Suam-Bukwo-24h'!C20,'27.08 Suam-Bukwo'!C20,'28.08 Suam-Bukwo'!C20,'29.08 Suam-Bukwo'!C20)</f>
        <v>0.14285714285714285</v>
      </c>
      <c r="D20" s="52">
        <f>AVERAGE('23.08 Suam- Bukwo'!D20,'24.08 Suam-Bukwo-24h'!D20,'25.08 Suam-Bukwo'!D20, '26.08 Suam-Bukwo-24h'!D20,'27.08 Suam-Bukwo'!D20,'28.08 Suam-Bukwo'!D20,'29.08 Suam-Bukwo'!D20)</f>
        <v>0.14285714285714285</v>
      </c>
      <c r="E20" s="52">
        <f>AVERAGE('23.08 Suam- Bukwo'!E20,'24.08 Suam-Bukwo-24h'!E20,'25.08 Suam-Bukwo'!E20, '26.08 Suam-Bukwo-24h'!E20,'27.08 Suam-Bukwo'!E20,'28.08 Suam-Bukwo'!E20,'29.08 Suam-Bukwo'!E20)</f>
        <v>0.42857142857142855</v>
      </c>
      <c r="F20" s="52">
        <f>AVERAGE('23.08 Suam- Bukwo'!F20,'24.08 Suam-Bukwo-24h'!F20,'25.08 Suam-Bukwo'!F20, '26.08 Suam-Bukwo-24h'!F20,'27.08 Suam-Bukwo'!F20,'28.08 Suam-Bukwo'!F20,'29.08 Suam-Bukwo'!F20)</f>
        <v>0</v>
      </c>
      <c r="G20" s="52">
        <f>AVERAGE('23.08 Suam- Bukwo'!G20,'24.08 Suam-Bukwo-24h'!G20,'25.08 Suam-Bukwo'!G20, '26.08 Suam-Bukwo-24h'!G20,'27.08 Suam-Bukwo'!G20,'28.08 Suam-Bukwo'!G20,'29.08 Suam-Bukwo'!G20)</f>
        <v>0</v>
      </c>
      <c r="H20" s="52">
        <f>AVERAGE('23.08 Suam- Bukwo'!H20,'24.08 Suam-Bukwo-24h'!H20,'25.08 Suam-Bukwo'!H20, '26.08 Suam-Bukwo-24h'!H20,'27.08 Suam-Bukwo'!H20,'28.08 Suam-Bukwo'!H20,'29.08 Suam-Bukwo'!H20)</f>
        <v>0</v>
      </c>
      <c r="I20" s="52">
        <f>AVERAGE('23.08 Suam- Bukwo'!I20,'24.08 Suam-Bukwo-24h'!I20,'25.08 Suam-Bukwo'!I20, '26.08 Suam-Bukwo-24h'!I20,'27.08 Suam-Bukwo'!I20,'28.08 Suam-Bukwo'!I20,'29.08 Suam-Bukwo'!I20)</f>
        <v>0.2857142857142857</v>
      </c>
      <c r="J20" s="52">
        <f>AVERAGE('23.08 Suam- Bukwo'!J20,'24.08 Suam-Bukwo-24h'!J20,'25.08 Suam-Bukwo'!J20, '26.08 Suam-Bukwo-24h'!J20,'27.08 Suam-Bukwo'!J20,'28.08 Suam-Bukwo'!J20,'29.08 Suam-Bukwo'!J20)</f>
        <v>0</v>
      </c>
      <c r="K20" s="52">
        <f>AVERAGE('23.08 Suam- Bukwo'!K20,'24.08 Suam-Bukwo-24h'!K20,'25.08 Suam-Bukwo'!K20, '26.08 Suam-Bukwo-24h'!K20,'27.08 Suam-Bukwo'!K20,'28.08 Suam-Bukwo'!K20,'29.08 Suam-Bukwo'!K20)</f>
        <v>0</v>
      </c>
      <c r="L20" s="52">
        <f>AVERAGE('23.08 Suam- Bukwo'!L20,'24.08 Suam-Bukwo-24h'!L20,'25.08 Suam-Bukwo'!L20, '26.08 Suam-Bukwo-24h'!L20,'27.08 Suam-Bukwo'!L20,'28.08 Suam-Bukwo'!L20,'29.08 Suam-Bukwo'!L20)</f>
        <v>0</v>
      </c>
      <c r="M20" s="52">
        <f>AVERAGE('23.08 Suam- Bukwo'!M20,'24.08 Suam-Bukwo-24h'!M20,'25.08 Suam-Bukwo'!M20, '26.08 Suam-Bukwo-24h'!M20,'27.08 Suam-Bukwo'!M20,'28.08 Suam-Bukwo'!M20,'29.08 Suam-Bukwo'!M20)</f>
        <v>10.714285714285714</v>
      </c>
      <c r="N20" s="52">
        <f>AVERAGE('23.08 Suam- Bukwo'!N20,'24.08 Suam-Bukwo-24h'!N20,'25.08 Suam-Bukwo'!N20, '26.08 Suam-Bukwo-24h'!N20,'27.08 Suam-Bukwo'!N20,'28.08 Suam-Bukwo'!N20,'29.08 Suam-Bukwo'!N20)</f>
        <v>0.14285714285714285</v>
      </c>
      <c r="O20" s="15">
        <f t="shared" si="0"/>
        <v>1.1428571428571428</v>
      </c>
      <c r="P20" s="15">
        <f t="shared" si="1"/>
        <v>11.857142857142856</v>
      </c>
      <c r="R20" s="1" t="s">
        <v>16</v>
      </c>
      <c r="S20" s="17">
        <f t="shared" ref="S20:AF20" si="12">SUM(C50:C53)</f>
        <v>0.71428571428571419</v>
      </c>
      <c r="T20" s="17">
        <f t="shared" si="12"/>
        <v>0.14285714285714285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1.4285714285714286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39.142857142857146</v>
      </c>
      <c r="AD20" s="17">
        <f t="shared" si="12"/>
        <v>0</v>
      </c>
      <c r="AE20" s="31">
        <f t="shared" si="12"/>
        <v>3.2857142857142856</v>
      </c>
      <c r="AF20" s="31">
        <f t="shared" si="12"/>
        <v>42.428571428571431</v>
      </c>
    </row>
    <row r="21" spans="2:32" ht="23.1" customHeight="1" x14ac:dyDescent="0.25">
      <c r="B21" s="23" t="s">
        <v>48</v>
      </c>
      <c r="C21" s="52">
        <f>AVERAGE('23.08 Suam- Bukwo'!C21,'24.08 Suam-Bukwo-24h'!C21,'25.08 Suam-Bukwo'!C21, '26.08 Suam-Bukwo-24h'!C21,'27.08 Suam-Bukwo'!C21,'28.08 Suam-Bukwo'!C21,'29.08 Suam-Bukwo'!C21)</f>
        <v>0.14285714285714285</v>
      </c>
      <c r="D21" s="52">
        <f>AVERAGE('23.08 Suam- Bukwo'!D21,'24.08 Suam-Bukwo-24h'!D21,'25.08 Suam-Bukwo'!D21, '26.08 Suam-Bukwo-24h'!D21,'27.08 Suam-Bukwo'!D21,'28.08 Suam-Bukwo'!D21,'29.08 Suam-Bukwo'!D21)</f>
        <v>0</v>
      </c>
      <c r="E21" s="52">
        <f>AVERAGE('23.08 Suam- Bukwo'!E21,'24.08 Suam-Bukwo-24h'!E21,'25.08 Suam-Bukwo'!E21, '26.08 Suam-Bukwo-24h'!E21,'27.08 Suam-Bukwo'!E21,'28.08 Suam-Bukwo'!E21,'29.08 Suam-Bukwo'!E21)</f>
        <v>0.2857142857142857</v>
      </c>
      <c r="F21" s="52">
        <f>AVERAGE('23.08 Suam- Bukwo'!F21,'24.08 Suam-Bukwo-24h'!F21,'25.08 Suam-Bukwo'!F21, '26.08 Suam-Bukwo-24h'!F21,'27.08 Suam-Bukwo'!F21,'28.08 Suam-Bukwo'!F21,'29.08 Suam-Bukwo'!F21)</f>
        <v>0</v>
      </c>
      <c r="G21" s="52">
        <f>AVERAGE('23.08 Suam- Bukwo'!G21,'24.08 Suam-Bukwo-24h'!G21,'25.08 Suam-Bukwo'!G21, '26.08 Suam-Bukwo-24h'!G21,'27.08 Suam-Bukwo'!G21,'28.08 Suam-Bukwo'!G21,'29.08 Suam-Bukwo'!G21)</f>
        <v>0</v>
      </c>
      <c r="H21" s="52">
        <f>AVERAGE('23.08 Suam- Bukwo'!H21,'24.08 Suam-Bukwo-24h'!H21,'25.08 Suam-Bukwo'!H21, '26.08 Suam-Bukwo-24h'!H21,'27.08 Suam-Bukwo'!H21,'28.08 Suam-Bukwo'!H21,'29.08 Suam-Bukwo'!H21)</f>
        <v>0</v>
      </c>
      <c r="I21" s="52">
        <f>AVERAGE('23.08 Suam- Bukwo'!I21,'24.08 Suam-Bukwo-24h'!I21,'25.08 Suam-Bukwo'!I21, '26.08 Suam-Bukwo-24h'!I21,'27.08 Suam-Bukwo'!I21,'28.08 Suam-Bukwo'!I21,'29.08 Suam-Bukwo'!I21)</f>
        <v>0.14285714285714285</v>
      </c>
      <c r="J21" s="52">
        <f>AVERAGE('23.08 Suam- Bukwo'!J21,'24.08 Suam-Bukwo-24h'!J21,'25.08 Suam-Bukwo'!J21, '26.08 Suam-Bukwo-24h'!J21,'27.08 Suam-Bukwo'!J21,'28.08 Suam-Bukwo'!J21,'29.08 Suam-Bukwo'!J21)</f>
        <v>0</v>
      </c>
      <c r="K21" s="52">
        <f>AVERAGE('23.08 Suam- Bukwo'!K21,'24.08 Suam-Bukwo-24h'!K21,'25.08 Suam-Bukwo'!K21, '26.08 Suam-Bukwo-24h'!K21,'27.08 Suam-Bukwo'!K21,'28.08 Suam-Bukwo'!K21,'29.08 Suam-Bukwo'!K21)</f>
        <v>0</v>
      </c>
      <c r="L21" s="52">
        <f>AVERAGE('23.08 Suam- Bukwo'!L21,'24.08 Suam-Bukwo-24h'!L21,'25.08 Suam-Bukwo'!L21, '26.08 Suam-Bukwo-24h'!L21,'27.08 Suam-Bukwo'!L21,'28.08 Suam-Bukwo'!L21,'29.08 Suam-Bukwo'!L21)</f>
        <v>0</v>
      </c>
      <c r="M21" s="52">
        <f>AVERAGE('23.08 Suam- Bukwo'!M21,'24.08 Suam-Bukwo-24h'!M21,'25.08 Suam-Bukwo'!M21, '26.08 Suam-Bukwo-24h'!M21,'27.08 Suam-Bukwo'!M21,'28.08 Suam-Bukwo'!M21,'29.08 Suam-Bukwo'!M21)</f>
        <v>10.428571428571429</v>
      </c>
      <c r="N21" s="52">
        <f>AVERAGE('23.08 Suam- Bukwo'!N21,'24.08 Suam-Bukwo-24h'!N21,'25.08 Suam-Bukwo'!N21, '26.08 Suam-Bukwo-24h'!N21,'27.08 Suam-Bukwo'!N21,'28.08 Suam-Bukwo'!N21,'29.08 Suam-Bukwo'!N21)</f>
        <v>0</v>
      </c>
      <c r="O21" s="15">
        <f t="shared" si="0"/>
        <v>0.5714285714285714</v>
      </c>
      <c r="P21" s="15">
        <f t="shared" si="1"/>
        <v>11</v>
      </c>
      <c r="R21" s="36" t="s">
        <v>20</v>
      </c>
      <c r="S21" s="34">
        <f t="shared" ref="S21:AF21" si="13">SUM(C54:C57)</f>
        <v>0.42857142857142855</v>
      </c>
      <c r="T21" s="17">
        <f t="shared" si="13"/>
        <v>0</v>
      </c>
      <c r="U21" s="17">
        <f t="shared" si="13"/>
        <v>1.2857142857142856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1.7142857142857144</v>
      </c>
      <c r="Z21" s="17">
        <f t="shared" si="13"/>
        <v>0</v>
      </c>
      <c r="AA21" s="17">
        <f t="shared" si="13"/>
        <v>0</v>
      </c>
      <c r="AB21" s="17">
        <f t="shared" si="13"/>
        <v>1.2857142857142858</v>
      </c>
      <c r="AC21" s="17">
        <f t="shared" si="13"/>
        <v>36.428571428571423</v>
      </c>
      <c r="AD21" s="17">
        <f t="shared" si="13"/>
        <v>0</v>
      </c>
      <c r="AE21" s="31">
        <f t="shared" si="13"/>
        <v>4.7142857142857135</v>
      </c>
      <c r="AF21" s="31">
        <f t="shared" si="13"/>
        <v>41.142857142857139</v>
      </c>
    </row>
    <row r="22" spans="2:32" ht="23.1" customHeight="1" x14ac:dyDescent="0.25">
      <c r="B22" s="23" t="s">
        <v>49</v>
      </c>
      <c r="C22" s="52">
        <f>AVERAGE('23.08 Suam- Bukwo'!C22,'24.08 Suam-Bukwo-24h'!C22,'25.08 Suam-Bukwo'!C22, '26.08 Suam-Bukwo-24h'!C22,'27.08 Suam-Bukwo'!C22,'28.08 Suam-Bukwo'!C22,'29.08 Suam-Bukwo'!C22)</f>
        <v>0</v>
      </c>
      <c r="D22" s="52">
        <f>AVERAGE('23.08 Suam- Bukwo'!D22,'24.08 Suam-Bukwo-24h'!D22,'25.08 Suam-Bukwo'!D22, '26.08 Suam-Bukwo-24h'!D22,'27.08 Suam-Bukwo'!D22,'28.08 Suam-Bukwo'!D22,'29.08 Suam-Bukwo'!D22)</f>
        <v>0.2857142857142857</v>
      </c>
      <c r="E22" s="52">
        <f>AVERAGE('23.08 Suam- Bukwo'!E22,'24.08 Suam-Bukwo-24h'!E22,'25.08 Suam-Bukwo'!E22, '26.08 Suam-Bukwo-24h'!E22,'27.08 Suam-Bukwo'!E22,'28.08 Suam-Bukwo'!E22,'29.08 Suam-Bukwo'!E22)</f>
        <v>0.2857142857142857</v>
      </c>
      <c r="F22" s="52">
        <f>AVERAGE('23.08 Suam- Bukwo'!F22,'24.08 Suam-Bukwo-24h'!F22,'25.08 Suam-Bukwo'!F22, '26.08 Suam-Bukwo-24h'!F22,'27.08 Suam-Bukwo'!F22,'28.08 Suam-Bukwo'!F22,'29.08 Suam-Bukwo'!F22)</f>
        <v>0</v>
      </c>
      <c r="G22" s="52">
        <f>AVERAGE('23.08 Suam- Bukwo'!G22,'24.08 Suam-Bukwo-24h'!G22,'25.08 Suam-Bukwo'!G22, '26.08 Suam-Bukwo-24h'!G22,'27.08 Suam-Bukwo'!G22,'28.08 Suam-Bukwo'!G22,'29.08 Suam-Bukwo'!G22)</f>
        <v>0</v>
      </c>
      <c r="H22" s="52">
        <f>AVERAGE('23.08 Suam- Bukwo'!H22,'24.08 Suam-Bukwo-24h'!H22,'25.08 Suam-Bukwo'!H22, '26.08 Suam-Bukwo-24h'!H22,'27.08 Suam-Bukwo'!H22,'28.08 Suam-Bukwo'!H22,'29.08 Suam-Bukwo'!H22)</f>
        <v>0</v>
      </c>
      <c r="I22" s="52">
        <f>AVERAGE('23.08 Suam- Bukwo'!I22,'24.08 Suam-Bukwo-24h'!I22,'25.08 Suam-Bukwo'!I22, '26.08 Suam-Bukwo-24h'!I22,'27.08 Suam-Bukwo'!I22,'28.08 Suam-Bukwo'!I22,'29.08 Suam-Bukwo'!I22)</f>
        <v>0.14285714285714285</v>
      </c>
      <c r="J22" s="52">
        <f>AVERAGE('23.08 Suam- Bukwo'!J22,'24.08 Suam-Bukwo-24h'!J22,'25.08 Suam-Bukwo'!J22, '26.08 Suam-Bukwo-24h'!J22,'27.08 Suam-Bukwo'!J22,'28.08 Suam-Bukwo'!J22,'29.08 Suam-Bukwo'!J22)</f>
        <v>0</v>
      </c>
      <c r="K22" s="52">
        <f>AVERAGE('23.08 Suam- Bukwo'!K22,'24.08 Suam-Bukwo-24h'!K22,'25.08 Suam-Bukwo'!K22, '26.08 Suam-Bukwo-24h'!K22,'27.08 Suam-Bukwo'!K22,'28.08 Suam-Bukwo'!K22,'29.08 Suam-Bukwo'!K22)</f>
        <v>0</v>
      </c>
      <c r="L22" s="52">
        <f>AVERAGE('23.08 Suam- Bukwo'!L22,'24.08 Suam-Bukwo-24h'!L22,'25.08 Suam-Bukwo'!L22, '26.08 Suam-Bukwo-24h'!L22,'27.08 Suam-Bukwo'!L22,'28.08 Suam-Bukwo'!L22,'29.08 Suam-Bukwo'!L22)</f>
        <v>0</v>
      </c>
      <c r="M22" s="52">
        <f>AVERAGE('23.08 Suam- Bukwo'!M22,'24.08 Suam-Bukwo-24h'!M22,'25.08 Suam-Bukwo'!M22, '26.08 Suam-Bukwo-24h'!M22,'27.08 Suam-Bukwo'!M22,'28.08 Suam-Bukwo'!M22,'29.08 Suam-Bukwo'!M22)</f>
        <v>14.571428571428571</v>
      </c>
      <c r="N22" s="52">
        <f>AVERAGE('23.08 Suam- Bukwo'!N22,'24.08 Suam-Bukwo-24h'!N22,'25.08 Suam-Bukwo'!N22, '26.08 Suam-Bukwo-24h'!N22,'27.08 Suam-Bukwo'!N22,'28.08 Suam-Bukwo'!N22,'29.08 Suam-Bukwo'!N22)</f>
        <v>0</v>
      </c>
      <c r="O22" s="15">
        <f t="shared" si="0"/>
        <v>0.71428571428571419</v>
      </c>
      <c r="P22" s="15">
        <f t="shared" si="1"/>
        <v>15.285714285714285</v>
      </c>
      <c r="R22" s="1" t="s">
        <v>146</v>
      </c>
      <c r="S22" s="34">
        <f>SUM(C58:C61)</f>
        <v>1</v>
      </c>
      <c r="T22" s="34">
        <f t="shared" ref="T22:AF22" si="14">SUM(D58:D61)</f>
        <v>0.5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1.5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26.5</v>
      </c>
      <c r="AD22" s="34">
        <f t="shared" si="14"/>
        <v>0</v>
      </c>
      <c r="AE22" s="31">
        <f t="shared" si="14"/>
        <v>5</v>
      </c>
      <c r="AF22" s="31">
        <f t="shared" si="14"/>
        <v>31.5</v>
      </c>
    </row>
    <row r="23" spans="2:32" ht="23.1" customHeight="1" x14ac:dyDescent="0.25">
      <c r="B23" s="23" t="s">
        <v>50</v>
      </c>
      <c r="C23" s="52">
        <f>AVERAGE('23.08 Suam- Bukwo'!C23,'24.08 Suam-Bukwo-24h'!C23,'25.08 Suam-Bukwo'!C23, '26.08 Suam-Bukwo-24h'!C23,'27.08 Suam-Bukwo'!C23,'28.08 Suam-Bukwo'!C23,'29.08 Suam-Bukwo'!C23)</f>
        <v>0</v>
      </c>
      <c r="D23" s="52">
        <f>AVERAGE('23.08 Suam- Bukwo'!D23,'24.08 Suam-Bukwo-24h'!D23,'25.08 Suam-Bukwo'!D23, '26.08 Suam-Bukwo-24h'!D23,'27.08 Suam-Bukwo'!D23,'28.08 Suam-Bukwo'!D23,'29.08 Suam-Bukwo'!D23)</f>
        <v>0</v>
      </c>
      <c r="E23" s="52">
        <f>AVERAGE('23.08 Suam- Bukwo'!E23,'24.08 Suam-Bukwo-24h'!E23,'25.08 Suam-Bukwo'!E23, '26.08 Suam-Bukwo-24h'!E23,'27.08 Suam-Bukwo'!E23,'28.08 Suam-Bukwo'!E23,'29.08 Suam-Bukwo'!E23)</f>
        <v>0.2857142857142857</v>
      </c>
      <c r="F23" s="52">
        <f>AVERAGE('23.08 Suam- Bukwo'!F23,'24.08 Suam-Bukwo-24h'!F23,'25.08 Suam-Bukwo'!F23, '26.08 Suam-Bukwo-24h'!F23,'27.08 Suam-Bukwo'!F23,'28.08 Suam-Bukwo'!F23,'29.08 Suam-Bukwo'!F23)</f>
        <v>0</v>
      </c>
      <c r="G23" s="52">
        <f>AVERAGE('23.08 Suam- Bukwo'!G23,'24.08 Suam-Bukwo-24h'!G23,'25.08 Suam-Bukwo'!G23, '26.08 Suam-Bukwo-24h'!G23,'27.08 Suam-Bukwo'!G23,'28.08 Suam-Bukwo'!G23,'29.08 Suam-Bukwo'!G23)</f>
        <v>0</v>
      </c>
      <c r="H23" s="52">
        <f>AVERAGE('23.08 Suam- Bukwo'!H23,'24.08 Suam-Bukwo-24h'!H23,'25.08 Suam-Bukwo'!H23, '26.08 Suam-Bukwo-24h'!H23,'27.08 Suam-Bukwo'!H23,'28.08 Suam-Bukwo'!H23,'29.08 Suam-Bukwo'!H23)</f>
        <v>0</v>
      </c>
      <c r="I23" s="52">
        <f>AVERAGE('23.08 Suam- Bukwo'!I23,'24.08 Suam-Bukwo-24h'!I23,'25.08 Suam-Bukwo'!I23, '26.08 Suam-Bukwo-24h'!I23,'27.08 Suam-Bukwo'!I23,'28.08 Suam-Bukwo'!I23,'29.08 Suam-Bukwo'!I23)</f>
        <v>0.7142857142857143</v>
      </c>
      <c r="J23" s="52">
        <f>AVERAGE('23.08 Suam- Bukwo'!J23,'24.08 Suam-Bukwo-24h'!J23,'25.08 Suam-Bukwo'!J23, '26.08 Suam-Bukwo-24h'!J23,'27.08 Suam-Bukwo'!J23,'28.08 Suam-Bukwo'!J23,'29.08 Suam-Bukwo'!J23)</f>
        <v>0</v>
      </c>
      <c r="K23" s="52">
        <f>AVERAGE('23.08 Suam- Bukwo'!K23,'24.08 Suam-Bukwo-24h'!K23,'25.08 Suam-Bukwo'!K23, '26.08 Suam-Bukwo-24h'!K23,'27.08 Suam-Bukwo'!K23,'28.08 Suam-Bukwo'!K23,'29.08 Suam-Bukwo'!K23)</f>
        <v>0</v>
      </c>
      <c r="L23" s="52">
        <f>AVERAGE('23.08 Suam- Bukwo'!L23,'24.08 Suam-Bukwo-24h'!L23,'25.08 Suam-Bukwo'!L23, '26.08 Suam-Bukwo-24h'!L23,'27.08 Suam-Bukwo'!L23,'28.08 Suam-Bukwo'!L23,'29.08 Suam-Bukwo'!L23)</f>
        <v>0</v>
      </c>
      <c r="M23" s="52">
        <f>AVERAGE('23.08 Suam- Bukwo'!M23,'24.08 Suam-Bukwo-24h'!M23,'25.08 Suam-Bukwo'!M23, '26.08 Suam-Bukwo-24h'!M23,'27.08 Suam-Bukwo'!M23,'28.08 Suam-Bukwo'!M23,'29.08 Suam-Bukwo'!M23)</f>
        <v>16.857142857142858</v>
      </c>
      <c r="N23" s="52">
        <f>AVERAGE('23.08 Suam- Bukwo'!N23,'24.08 Suam-Bukwo-24h'!N23,'25.08 Suam-Bukwo'!N23, '26.08 Suam-Bukwo-24h'!N23,'27.08 Suam-Bukwo'!N23,'28.08 Suam-Bukwo'!N23,'29.08 Suam-Bukwo'!N23)</f>
        <v>0</v>
      </c>
      <c r="O23" s="15">
        <f t="shared" si="0"/>
        <v>1</v>
      </c>
      <c r="P23" s="15">
        <f t="shared" si="1"/>
        <v>17.857142857142858</v>
      </c>
      <c r="R23" s="1" t="s">
        <v>147</v>
      </c>
      <c r="S23" s="34">
        <f>SUM(C62:C65)</f>
        <v>0</v>
      </c>
      <c r="T23" s="34">
        <f t="shared" ref="T23:AF23" si="15">SUM(D62:D65)</f>
        <v>0.5</v>
      </c>
      <c r="U23" s="34">
        <f t="shared" si="15"/>
        <v>0.5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24.5</v>
      </c>
      <c r="AD23" s="34">
        <f t="shared" si="15"/>
        <v>0</v>
      </c>
      <c r="AE23" s="31">
        <f t="shared" si="15"/>
        <v>4</v>
      </c>
      <c r="AF23" s="31">
        <f t="shared" si="15"/>
        <v>28.5</v>
      </c>
    </row>
    <row r="24" spans="2:32" ht="23.1" customHeight="1" x14ac:dyDescent="0.25">
      <c r="B24" s="23" t="s">
        <v>51</v>
      </c>
      <c r="C24" s="52">
        <f>AVERAGE('23.08 Suam- Bukwo'!C24,'24.08 Suam-Bukwo-24h'!C24,'25.08 Suam-Bukwo'!C24, '26.08 Suam-Bukwo-24h'!C24,'27.08 Suam-Bukwo'!C24,'28.08 Suam-Bukwo'!C24,'29.08 Suam-Bukwo'!C24)</f>
        <v>0.14285714285714285</v>
      </c>
      <c r="D24" s="52">
        <f>AVERAGE('23.08 Suam- Bukwo'!D24,'24.08 Suam-Bukwo-24h'!D24,'25.08 Suam-Bukwo'!D24, '26.08 Suam-Bukwo-24h'!D24,'27.08 Suam-Bukwo'!D24,'28.08 Suam-Bukwo'!D24,'29.08 Suam-Bukwo'!D24)</f>
        <v>0.14285714285714285</v>
      </c>
      <c r="E24" s="52">
        <f>AVERAGE('23.08 Suam- Bukwo'!E24,'24.08 Suam-Bukwo-24h'!E24,'25.08 Suam-Bukwo'!E24, '26.08 Suam-Bukwo-24h'!E24,'27.08 Suam-Bukwo'!E24,'28.08 Suam-Bukwo'!E24,'29.08 Suam-Bukwo'!E24)</f>
        <v>0</v>
      </c>
      <c r="F24" s="52">
        <f>AVERAGE('23.08 Suam- Bukwo'!F24,'24.08 Suam-Bukwo-24h'!F24,'25.08 Suam-Bukwo'!F24, '26.08 Suam-Bukwo-24h'!F24,'27.08 Suam-Bukwo'!F24,'28.08 Suam-Bukwo'!F24,'29.08 Suam-Bukwo'!F24)</f>
        <v>0</v>
      </c>
      <c r="G24" s="52">
        <f>AVERAGE('23.08 Suam- Bukwo'!G24,'24.08 Suam-Bukwo-24h'!G24,'25.08 Suam-Bukwo'!G24, '26.08 Suam-Bukwo-24h'!G24,'27.08 Suam-Bukwo'!G24,'28.08 Suam-Bukwo'!G24,'29.08 Suam-Bukwo'!G24)</f>
        <v>0</v>
      </c>
      <c r="H24" s="52">
        <f>AVERAGE('23.08 Suam- Bukwo'!H24,'24.08 Suam-Bukwo-24h'!H24,'25.08 Suam-Bukwo'!H24, '26.08 Suam-Bukwo-24h'!H24,'27.08 Suam-Bukwo'!H24,'28.08 Suam-Bukwo'!H24,'29.08 Suam-Bukwo'!H24)</f>
        <v>0</v>
      </c>
      <c r="I24" s="52">
        <f>AVERAGE('23.08 Suam- Bukwo'!I24,'24.08 Suam-Bukwo-24h'!I24,'25.08 Suam-Bukwo'!I24, '26.08 Suam-Bukwo-24h'!I24,'27.08 Suam-Bukwo'!I24,'28.08 Suam-Bukwo'!I24,'29.08 Suam-Bukwo'!I24)</f>
        <v>0.2857142857142857</v>
      </c>
      <c r="J24" s="52">
        <f>AVERAGE('23.08 Suam- Bukwo'!J24,'24.08 Suam-Bukwo-24h'!J24,'25.08 Suam-Bukwo'!J24, '26.08 Suam-Bukwo-24h'!J24,'27.08 Suam-Bukwo'!J24,'28.08 Suam-Bukwo'!J24,'29.08 Suam-Bukwo'!J24)</f>
        <v>0</v>
      </c>
      <c r="K24" s="52">
        <f>AVERAGE('23.08 Suam- Bukwo'!K24,'24.08 Suam-Bukwo-24h'!K24,'25.08 Suam-Bukwo'!K24, '26.08 Suam-Bukwo-24h'!K24,'27.08 Suam-Bukwo'!K24,'28.08 Suam-Bukwo'!K24,'29.08 Suam-Bukwo'!K24)</f>
        <v>0</v>
      </c>
      <c r="L24" s="52">
        <f>AVERAGE('23.08 Suam- Bukwo'!L24,'24.08 Suam-Bukwo-24h'!L24,'25.08 Suam-Bukwo'!L24, '26.08 Suam-Bukwo-24h'!L24,'27.08 Suam-Bukwo'!L24,'28.08 Suam-Bukwo'!L24,'29.08 Suam-Bukwo'!L24)</f>
        <v>0</v>
      </c>
      <c r="M24" s="52">
        <f>AVERAGE('23.08 Suam- Bukwo'!M24,'24.08 Suam-Bukwo-24h'!M24,'25.08 Suam-Bukwo'!M24, '26.08 Suam-Bukwo-24h'!M24,'27.08 Suam-Bukwo'!M24,'28.08 Suam-Bukwo'!M24,'29.08 Suam-Bukwo'!M24)</f>
        <v>14.714285714285714</v>
      </c>
      <c r="N24" s="52">
        <f>AVERAGE('23.08 Suam- Bukwo'!N24,'24.08 Suam-Bukwo-24h'!N24,'25.08 Suam-Bukwo'!N24, '26.08 Suam-Bukwo-24h'!N24,'27.08 Suam-Bukwo'!N24,'28.08 Suam-Bukwo'!N24,'29.08 Suam-Bukwo'!N24)</f>
        <v>0</v>
      </c>
      <c r="O24" s="15">
        <f t="shared" si="0"/>
        <v>0.5714285714285714</v>
      </c>
      <c r="P24" s="15">
        <f t="shared" si="1"/>
        <v>15.285714285714285</v>
      </c>
      <c r="R24" s="1" t="s">
        <v>148</v>
      </c>
      <c r="S24" s="34">
        <f>SUM(C66:C69)</f>
        <v>0.5</v>
      </c>
      <c r="T24" s="34">
        <f t="shared" ref="T24:AF24" si="16">SUM(D66:D69)</f>
        <v>0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1.5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30</v>
      </c>
      <c r="AD24" s="34">
        <f t="shared" si="16"/>
        <v>0</v>
      </c>
      <c r="AE24" s="31">
        <f t="shared" si="16"/>
        <v>2.5</v>
      </c>
      <c r="AF24" s="31">
        <f t="shared" si="16"/>
        <v>32.5</v>
      </c>
    </row>
    <row r="25" spans="2:32" ht="23.1" customHeight="1" x14ac:dyDescent="0.25">
      <c r="B25" s="23" t="s">
        <v>52</v>
      </c>
      <c r="C25" s="52">
        <f>AVERAGE('23.08 Suam- Bukwo'!C25,'24.08 Suam-Bukwo-24h'!C25,'25.08 Suam-Bukwo'!C25, '26.08 Suam-Bukwo-24h'!C25,'27.08 Suam-Bukwo'!C25,'28.08 Suam-Bukwo'!C25,'29.08 Suam-Bukwo'!C25)</f>
        <v>0.2857142857142857</v>
      </c>
      <c r="D25" s="52">
        <f>AVERAGE('23.08 Suam- Bukwo'!D25,'24.08 Suam-Bukwo-24h'!D25,'25.08 Suam-Bukwo'!D25, '26.08 Suam-Bukwo-24h'!D25,'27.08 Suam-Bukwo'!D25,'28.08 Suam-Bukwo'!D25,'29.08 Suam-Bukwo'!D25)</f>
        <v>0</v>
      </c>
      <c r="E25" s="52">
        <f>AVERAGE('23.08 Suam- Bukwo'!E25,'24.08 Suam-Bukwo-24h'!E25,'25.08 Suam-Bukwo'!E25, '26.08 Suam-Bukwo-24h'!E25,'27.08 Suam-Bukwo'!E25,'28.08 Suam-Bukwo'!E25,'29.08 Suam-Bukwo'!E25)</f>
        <v>0</v>
      </c>
      <c r="F25" s="52">
        <f>AVERAGE('23.08 Suam- Bukwo'!F25,'24.08 Suam-Bukwo-24h'!F25,'25.08 Suam-Bukwo'!F25, '26.08 Suam-Bukwo-24h'!F25,'27.08 Suam-Bukwo'!F25,'28.08 Suam-Bukwo'!F25,'29.08 Suam-Bukwo'!F25)</f>
        <v>0</v>
      </c>
      <c r="G25" s="52">
        <f>AVERAGE('23.08 Suam- Bukwo'!G25,'24.08 Suam-Bukwo-24h'!G25,'25.08 Suam-Bukwo'!G25, '26.08 Suam-Bukwo-24h'!G25,'27.08 Suam-Bukwo'!G25,'28.08 Suam-Bukwo'!G25,'29.08 Suam-Bukwo'!G25)</f>
        <v>0</v>
      </c>
      <c r="H25" s="52">
        <f>AVERAGE('23.08 Suam- Bukwo'!H25,'24.08 Suam-Bukwo-24h'!H25,'25.08 Suam-Bukwo'!H25, '26.08 Suam-Bukwo-24h'!H25,'27.08 Suam-Bukwo'!H25,'28.08 Suam-Bukwo'!H25,'29.08 Suam-Bukwo'!H25)</f>
        <v>0</v>
      </c>
      <c r="I25" s="52">
        <f>AVERAGE('23.08 Suam- Bukwo'!I25,'24.08 Suam-Bukwo-24h'!I25,'25.08 Suam-Bukwo'!I25, '26.08 Suam-Bukwo-24h'!I25,'27.08 Suam-Bukwo'!I25,'28.08 Suam-Bukwo'!I25,'29.08 Suam-Bukwo'!I25)</f>
        <v>0.42857142857142855</v>
      </c>
      <c r="J25" s="52">
        <f>AVERAGE('23.08 Suam- Bukwo'!J25,'24.08 Suam-Bukwo-24h'!J25,'25.08 Suam-Bukwo'!J25, '26.08 Suam-Bukwo-24h'!J25,'27.08 Suam-Bukwo'!J25,'28.08 Suam-Bukwo'!J25,'29.08 Suam-Bukwo'!J25)</f>
        <v>0</v>
      </c>
      <c r="K25" s="52">
        <f>AVERAGE('23.08 Suam- Bukwo'!K25,'24.08 Suam-Bukwo-24h'!K25,'25.08 Suam-Bukwo'!K25, '26.08 Suam-Bukwo-24h'!K25,'27.08 Suam-Bukwo'!K25,'28.08 Suam-Bukwo'!K25,'29.08 Suam-Bukwo'!K25)</f>
        <v>0</v>
      </c>
      <c r="L25" s="52">
        <f>AVERAGE('23.08 Suam- Bukwo'!L25,'24.08 Suam-Bukwo-24h'!L25,'25.08 Suam-Bukwo'!L25, '26.08 Suam-Bukwo-24h'!L25,'27.08 Suam-Bukwo'!L25,'28.08 Suam-Bukwo'!L25,'29.08 Suam-Bukwo'!L25)</f>
        <v>0</v>
      </c>
      <c r="M25" s="52">
        <f>AVERAGE('23.08 Suam- Bukwo'!M25,'24.08 Suam-Bukwo-24h'!M25,'25.08 Suam-Bukwo'!M25, '26.08 Suam-Bukwo-24h'!M25,'27.08 Suam-Bukwo'!M25,'28.08 Suam-Bukwo'!M25,'29.08 Suam-Bukwo'!M25)</f>
        <v>17.142857142857142</v>
      </c>
      <c r="N25" s="52">
        <f>AVERAGE('23.08 Suam- Bukwo'!N25,'24.08 Suam-Bukwo-24h'!N25,'25.08 Suam-Bukwo'!N25, '26.08 Suam-Bukwo-24h'!N25,'27.08 Suam-Bukwo'!N25,'28.08 Suam-Bukwo'!N25,'29.08 Suam-Bukwo'!N25)</f>
        <v>0</v>
      </c>
      <c r="O25" s="15">
        <f t="shared" si="0"/>
        <v>0.71428571428571419</v>
      </c>
      <c r="P25" s="15">
        <f t="shared" si="1"/>
        <v>17.857142857142858</v>
      </c>
      <c r="R25" s="1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19.5</v>
      </c>
      <c r="AD25" s="34">
        <f t="shared" si="17"/>
        <v>0</v>
      </c>
      <c r="AE25" s="31">
        <f t="shared" si="17"/>
        <v>2</v>
      </c>
      <c r="AF25" s="31">
        <f t="shared" si="17"/>
        <v>21.5</v>
      </c>
    </row>
    <row r="26" spans="2:32" ht="23.1" customHeight="1" x14ac:dyDescent="0.25">
      <c r="B26" s="23" t="s">
        <v>53</v>
      </c>
      <c r="C26" s="52">
        <f>AVERAGE('23.08 Suam- Bukwo'!C26,'24.08 Suam-Bukwo-24h'!C26,'25.08 Suam-Bukwo'!C26, '26.08 Suam-Bukwo-24h'!C26,'27.08 Suam-Bukwo'!C26,'28.08 Suam-Bukwo'!C26,'29.08 Suam-Bukwo'!C26)</f>
        <v>0.14285714285714285</v>
      </c>
      <c r="D26" s="52">
        <f>AVERAGE('23.08 Suam- Bukwo'!D26,'24.08 Suam-Bukwo-24h'!D26,'25.08 Suam-Bukwo'!D26, '26.08 Suam-Bukwo-24h'!D26,'27.08 Suam-Bukwo'!D26,'28.08 Suam-Bukwo'!D26,'29.08 Suam-Bukwo'!D26)</f>
        <v>0</v>
      </c>
      <c r="E26" s="52">
        <f>AVERAGE('23.08 Suam- Bukwo'!E26,'24.08 Suam-Bukwo-24h'!E26,'25.08 Suam-Bukwo'!E26, '26.08 Suam-Bukwo-24h'!E26,'27.08 Suam-Bukwo'!E26,'28.08 Suam-Bukwo'!E26,'29.08 Suam-Bukwo'!E26)</f>
        <v>0.2857142857142857</v>
      </c>
      <c r="F26" s="52">
        <f>AVERAGE('23.08 Suam- Bukwo'!F26,'24.08 Suam-Bukwo-24h'!F26,'25.08 Suam-Bukwo'!F26, '26.08 Suam-Bukwo-24h'!F26,'27.08 Suam-Bukwo'!F26,'28.08 Suam-Bukwo'!F26,'29.08 Suam-Bukwo'!F26)</f>
        <v>0</v>
      </c>
      <c r="G26" s="52">
        <f>AVERAGE('23.08 Suam- Bukwo'!G26,'24.08 Suam-Bukwo-24h'!G26,'25.08 Suam-Bukwo'!G26, '26.08 Suam-Bukwo-24h'!G26,'27.08 Suam-Bukwo'!G26,'28.08 Suam-Bukwo'!G26,'29.08 Suam-Bukwo'!G26)</f>
        <v>0</v>
      </c>
      <c r="H26" s="52">
        <f>AVERAGE('23.08 Suam- Bukwo'!H26,'24.08 Suam-Bukwo-24h'!H26,'25.08 Suam-Bukwo'!H26, '26.08 Suam-Bukwo-24h'!H26,'27.08 Suam-Bukwo'!H26,'28.08 Suam-Bukwo'!H26,'29.08 Suam-Bukwo'!H26)</f>
        <v>0</v>
      </c>
      <c r="I26" s="52">
        <f>AVERAGE('23.08 Suam- Bukwo'!I26,'24.08 Suam-Bukwo-24h'!I26,'25.08 Suam-Bukwo'!I26, '26.08 Suam-Bukwo-24h'!I26,'27.08 Suam-Bukwo'!I26,'28.08 Suam-Bukwo'!I26,'29.08 Suam-Bukwo'!I26)</f>
        <v>0.42857142857142855</v>
      </c>
      <c r="J26" s="52">
        <f>AVERAGE('23.08 Suam- Bukwo'!J26,'24.08 Suam-Bukwo-24h'!J26,'25.08 Suam-Bukwo'!J26, '26.08 Suam-Bukwo-24h'!J26,'27.08 Suam-Bukwo'!J26,'28.08 Suam-Bukwo'!J26,'29.08 Suam-Bukwo'!J26)</f>
        <v>0</v>
      </c>
      <c r="K26" s="52">
        <f>AVERAGE('23.08 Suam- Bukwo'!K26,'24.08 Suam-Bukwo-24h'!K26,'25.08 Suam-Bukwo'!K26, '26.08 Suam-Bukwo-24h'!K26,'27.08 Suam-Bukwo'!K26,'28.08 Suam-Bukwo'!K26,'29.08 Suam-Bukwo'!K26)</f>
        <v>0</v>
      </c>
      <c r="L26" s="52">
        <f>AVERAGE('23.08 Suam- Bukwo'!L26,'24.08 Suam-Bukwo-24h'!L26,'25.08 Suam-Bukwo'!L26, '26.08 Suam-Bukwo-24h'!L26,'27.08 Suam-Bukwo'!L26,'28.08 Suam-Bukwo'!L26,'29.08 Suam-Bukwo'!L26)</f>
        <v>0</v>
      </c>
      <c r="M26" s="52">
        <f>AVERAGE('23.08 Suam- Bukwo'!M26,'24.08 Suam-Bukwo-24h'!M26,'25.08 Suam-Bukwo'!M26, '26.08 Suam-Bukwo-24h'!M26,'27.08 Suam-Bukwo'!M26,'28.08 Suam-Bukwo'!M26,'29.08 Suam-Bukwo'!M26)</f>
        <v>15.285714285714286</v>
      </c>
      <c r="N26" s="52">
        <f>AVERAGE('23.08 Suam- Bukwo'!N26,'24.08 Suam-Bukwo-24h'!N26,'25.08 Suam-Bukwo'!N26, '26.08 Suam-Bukwo-24h'!N26,'27.08 Suam-Bukwo'!N26,'28.08 Suam-Bukwo'!N26,'29.08 Suam-Bukwo'!N26)</f>
        <v>0</v>
      </c>
      <c r="O26" s="15">
        <f t="shared" si="0"/>
        <v>0.8571428571428571</v>
      </c>
      <c r="P26" s="15">
        <f t="shared" si="1"/>
        <v>16.142857142857142</v>
      </c>
      <c r="R26" s="1" t="s">
        <v>150</v>
      </c>
      <c r="S26" s="34">
        <f>SUM(C74:C77)</f>
        <v>0.5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6.5</v>
      </c>
      <c r="AD26" s="34">
        <f t="shared" si="18"/>
        <v>0</v>
      </c>
      <c r="AE26" s="31">
        <f t="shared" si="18"/>
        <v>1.5</v>
      </c>
      <c r="AF26" s="31">
        <f t="shared" si="18"/>
        <v>8</v>
      </c>
    </row>
    <row r="27" spans="2:32" ht="23.1" customHeight="1" x14ac:dyDescent="0.25">
      <c r="B27" s="23" t="s">
        <v>54</v>
      </c>
      <c r="C27" s="52">
        <f>AVERAGE('23.08 Suam- Bukwo'!C27,'24.08 Suam-Bukwo-24h'!C27,'25.08 Suam-Bukwo'!C27, '26.08 Suam-Bukwo-24h'!C27,'27.08 Suam-Bukwo'!C27,'28.08 Suam-Bukwo'!C27,'29.08 Suam-Bukwo'!C27)</f>
        <v>0.2857142857142857</v>
      </c>
      <c r="D27" s="52">
        <f>AVERAGE('23.08 Suam- Bukwo'!D27,'24.08 Suam-Bukwo-24h'!D27,'25.08 Suam-Bukwo'!D27, '26.08 Suam-Bukwo-24h'!D27,'27.08 Suam-Bukwo'!D27,'28.08 Suam-Bukwo'!D27,'29.08 Suam-Bukwo'!D27)</f>
        <v>0</v>
      </c>
      <c r="E27" s="52">
        <f>AVERAGE('23.08 Suam- Bukwo'!E27,'24.08 Suam-Bukwo-24h'!E27,'25.08 Suam-Bukwo'!E27, '26.08 Suam-Bukwo-24h'!E27,'27.08 Suam-Bukwo'!E27,'28.08 Suam-Bukwo'!E27,'29.08 Suam-Bukwo'!E27)</f>
        <v>0</v>
      </c>
      <c r="F27" s="52">
        <f>AVERAGE('23.08 Suam- Bukwo'!F27,'24.08 Suam-Bukwo-24h'!F27,'25.08 Suam-Bukwo'!F27, '26.08 Suam-Bukwo-24h'!F27,'27.08 Suam-Bukwo'!F27,'28.08 Suam-Bukwo'!F27,'29.08 Suam-Bukwo'!F27)</f>
        <v>0</v>
      </c>
      <c r="G27" s="52">
        <f>AVERAGE('23.08 Suam- Bukwo'!G27,'24.08 Suam-Bukwo-24h'!G27,'25.08 Suam-Bukwo'!G27, '26.08 Suam-Bukwo-24h'!G27,'27.08 Suam-Bukwo'!G27,'28.08 Suam-Bukwo'!G27,'29.08 Suam-Bukwo'!G27)</f>
        <v>0</v>
      </c>
      <c r="H27" s="52">
        <f>AVERAGE('23.08 Suam- Bukwo'!H27,'24.08 Suam-Bukwo-24h'!H27,'25.08 Suam-Bukwo'!H27, '26.08 Suam-Bukwo-24h'!H27,'27.08 Suam-Bukwo'!H27,'28.08 Suam-Bukwo'!H27,'29.08 Suam-Bukwo'!H27)</f>
        <v>0</v>
      </c>
      <c r="I27" s="52">
        <f>AVERAGE('23.08 Suam- Bukwo'!I27,'24.08 Suam-Bukwo-24h'!I27,'25.08 Suam-Bukwo'!I27, '26.08 Suam-Bukwo-24h'!I27,'27.08 Suam-Bukwo'!I27,'28.08 Suam-Bukwo'!I27,'29.08 Suam-Bukwo'!I27)</f>
        <v>0.7142857142857143</v>
      </c>
      <c r="J27" s="52">
        <f>AVERAGE('23.08 Suam- Bukwo'!J27,'24.08 Suam-Bukwo-24h'!J27,'25.08 Suam-Bukwo'!J27, '26.08 Suam-Bukwo-24h'!J27,'27.08 Suam-Bukwo'!J27,'28.08 Suam-Bukwo'!J27,'29.08 Suam-Bukwo'!J27)</f>
        <v>0</v>
      </c>
      <c r="K27" s="52">
        <f>AVERAGE('23.08 Suam- Bukwo'!K27,'24.08 Suam-Bukwo-24h'!K27,'25.08 Suam-Bukwo'!K27, '26.08 Suam-Bukwo-24h'!K27,'27.08 Suam-Bukwo'!K27,'28.08 Suam-Bukwo'!K27,'29.08 Suam-Bukwo'!K27)</f>
        <v>0</v>
      </c>
      <c r="L27" s="52">
        <f>AVERAGE('23.08 Suam- Bukwo'!L27,'24.08 Suam-Bukwo-24h'!L27,'25.08 Suam-Bukwo'!L27, '26.08 Suam-Bukwo-24h'!L27,'27.08 Suam-Bukwo'!L27,'28.08 Suam-Bukwo'!L27,'29.08 Suam-Bukwo'!L27)</f>
        <v>0</v>
      </c>
      <c r="M27" s="52">
        <f>AVERAGE('23.08 Suam- Bukwo'!M27,'24.08 Suam-Bukwo-24h'!M27,'25.08 Suam-Bukwo'!M27, '26.08 Suam-Bukwo-24h'!M27,'27.08 Suam-Bukwo'!M27,'28.08 Suam-Bukwo'!M27,'29.08 Suam-Bukwo'!M27)</f>
        <v>17.428571428571427</v>
      </c>
      <c r="N27" s="52">
        <f>AVERAGE('23.08 Suam- Bukwo'!N27,'24.08 Suam-Bukwo-24h'!N27,'25.08 Suam-Bukwo'!N27, '26.08 Suam-Bukwo-24h'!N27,'27.08 Suam-Bukwo'!N27,'28.08 Suam-Bukwo'!N27,'29.08 Suam-Bukwo'!N27)</f>
        <v>0</v>
      </c>
      <c r="O27" s="15">
        <f t="shared" si="0"/>
        <v>1</v>
      </c>
      <c r="P27" s="15">
        <f t="shared" si="1"/>
        <v>18.428571428571427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1.5</v>
      </c>
      <c r="AD27" s="34">
        <f t="shared" si="19"/>
        <v>0</v>
      </c>
      <c r="AE27" s="31">
        <f t="shared" si="19"/>
        <v>0</v>
      </c>
      <c r="AF27" s="31">
        <f t="shared" si="19"/>
        <v>1.5</v>
      </c>
    </row>
    <row r="28" spans="2:32" ht="23.1" customHeight="1" x14ac:dyDescent="0.25">
      <c r="B28" s="23" t="s">
        <v>55</v>
      </c>
      <c r="C28" s="52">
        <f>AVERAGE('23.08 Suam- Bukwo'!C28,'24.08 Suam-Bukwo-24h'!C28,'25.08 Suam-Bukwo'!C28, '26.08 Suam-Bukwo-24h'!C28,'27.08 Suam-Bukwo'!C28,'28.08 Suam-Bukwo'!C28,'29.08 Suam-Bukwo'!C28)</f>
        <v>0</v>
      </c>
      <c r="D28" s="52">
        <f>AVERAGE('23.08 Suam- Bukwo'!D28,'24.08 Suam-Bukwo-24h'!D28,'25.08 Suam-Bukwo'!D28, '26.08 Suam-Bukwo-24h'!D28,'27.08 Suam-Bukwo'!D28,'28.08 Suam-Bukwo'!D28,'29.08 Suam-Bukwo'!D28)</f>
        <v>0</v>
      </c>
      <c r="E28" s="52">
        <f>AVERAGE('23.08 Suam- Bukwo'!E28,'24.08 Suam-Bukwo-24h'!E28,'25.08 Suam-Bukwo'!E28, '26.08 Suam-Bukwo-24h'!E28,'27.08 Suam-Bukwo'!E28,'28.08 Suam-Bukwo'!E28,'29.08 Suam-Bukwo'!E28)</f>
        <v>0.14285714285714285</v>
      </c>
      <c r="F28" s="52">
        <f>AVERAGE('23.08 Suam- Bukwo'!F28,'24.08 Suam-Bukwo-24h'!F28,'25.08 Suam-Bukwo'!F28, '26.08 Suam-Bukwo-24h'!F28,'27.08 Suam-Bukwo'!F28,'28.08 Suam-Bukwo'!F28,'29.08 Suam-Bukwo'!F28)</f>
        <v>0</v>
      </c>
      <c r="G28" s="52">
        <f>AVERAGE('23.08 Suam- Bukwo'!G28,'24.08 Suam-Bukwo-24h'!G28,'25.08 Suam-Bukwo'!G28, '26.08 Suam-Bukwo-24h'!G28,'27.08 Suam-Bukwo'!G28,'28.08 Suam-Bukwo'!G28,'29.08 Suam-Bukwo'!G28)</f>
        <v>0</v>
      </c>
      <c r="H28" s="52">
        <f>AVERAGE('23.08 Suam- Bukwo'!H28,'24.08 Suam-Bukwo-24h'!H28,'25.08 Suam-Bukwo'!H28, '26.08 Suam-Bukwo-24h'!H28,'27.08 Suam-Bukwo'!H28,'28.08 Suam-Bukwo'!H28,'29.08 Suam-Bukwo'!H28)</f>
        <v>0</v>
      </c>
      <c r="I28" s="52">
        <f>AVERAGE('23.08 Suam- Bukwo'!I28,'24.08 Suam-Bukwo-24h'!I28,'25.08 Suam-Bukwo'!I28, '26.08 Suam-Bukwo-24h'!I28,'27.08 Suam-Bukwo'!I28,'28.08 Suam-Bukwo'!I28,'29.08 Suam-Bukwo'!I28)</f>
        <v>0.42857142857142855</v>
      </c>
      <c r="J28" s="52">
        <f>AVERAGE('23.08 Suam- Bukwo'!J28,'24.08 Suam-Bukwo-24h'!J28,'25.08 Suam-Bukwo'!J28, '26.08 Suam-Bukwo-24h'!J28,'27.08 Suam-Bukwo'!J28,'28.08 Suam-Bukwo'!J28,'29.08 Suam-Bukwo'!J28)</f>
        <v>0</v>
      </c>
      <c r="K28" s="52">
        <f>AVERAGE('23.08 Suam- Bukwo'!K28,'24.08 Suam-Bukwo-24h'!K28,'25.08 Suam-Bukwo'!K28, '26.08 Suam-Bukwo-24h'!K28,'27.08 Suam-Bukwo'!K28,'28.08 Suam-Bukwo'!K28,'29.08 Suam-Bukwo'!K28)</f>
        <v>0</v>
      </c>
      <c r="L28" s="52">
        <f>AVERAGE('23.08 Suam- Bukwo'!L28,'24.08 Suam-Bukwo-24h'!L28,'25.08 Suam-Bukwo'!L28, '26.08 Suam-Bukwo-24h'!L28,'27.08 Suam-Bukwo'!L28,'28.08 Suam-Bukwo'!L28,'29.08 Suam-Bukwo'!L28)</f>
        <v>0</v>
      </c>
      <c r="M28" s="52">
        <f>AVERAGE('23.08 Suam- Bukwo'!M28,'24.08 Suam-Bukwo-24h'!M28,'25.08 Suam-Bukwo'!M28, '26.08 Suam-Bukwo-24h'!M28,'27.08 Suam-Bukwo'!M28,'28.08 Suam-Bukwo'!M28,'29.08 Suam-Bukwo'!M28)</f>
        <v>16</v>
      </c>
      <c r="N28" s="52">
        <f>AVERAGE('23.08 Suam- Bukwo'!N28,'24.08 Suam-Bukwo-24h'!N28,'25.08 Suam-Bukwo'!N28, '26.08 Suam-Bukwo-24h'!N28,'27.08 Suam-Bukwo'!N28,'28.08 Suam-Bukwo'!N28,'29.08 Suam-Bukwo'!N28)</f>
        <v>0</v>
      </c>
      <c r="O28" s="15">
        <f t="shared" si="0"/>
        <v>0.5714285714285714</v>
      </c>
      <c r="P28" s="15">
        <f t="shared" si="1"/>
        <v>16.571428571428573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1</v>
      </c>
      <c r="AF28" s="31">
        <f t="shared" si="20"/>
        <v>1</v>
      </c>
    </row>
    <row r="29" spans="2:32" ht="23.1" customHeight="1" x14ac:dyDescent="0.25">
      <c r="B29" s="23" t="s">
        <v>56</v>
      </c>
      <c r="C29" s="52">
        <f>AVERAGE('23.08 Suam- Bukwo'!C29,'24.08 Suam-Bukwo-24h'!C29,'25.08 Suam-Bukwo'!C29, '26.08 Suam-Bukwo-24h'!C29,'27.08 Suam-Bukwo'!C29,'28.08 Suam-Bukwo'!C29,'29.08 Suam-Bukwo'!C29)</f>
        <v>0</v>
      </c>
      <c r="D29" s="52">
        <f>AVERAGE('23.08 Suam- Bukwo'!D29,'24.08 Suam-Bukwo-24h'!D29,'25.08 Suam-Bukwo'!D29, '26.08 Suam-Bukwo-24h'!D29,'27.08 Suam-Bukwo'!D29,'28.08 Suam-Bukwo'!D29,'29.08 Suam-Bukwo'!D29)</f>
        <v>0</v>
      </c>
      <c r="E29" s="52">
        <f>AVERAGE('23.08 Suam- Bukwo'!E29,'24.08 Suam-Bukwo-24h'!E29,'25.08 Suam-Bukwo'!E29, '26.08 Suam-Bukwo-24h'!E29,'27.08 Suam-Bukwo'!E29,'28.08 Suam-Bukwo'!E29,'29.08 Suam-Bukwo'!E29)</f>
        <v>0.2857142857142857</v>
      </c>
      <c r="F29" s="52">
        <f>AVERAGE('23.08 Suam- Bukwo'!F29,'24.08 Suam-Bukwo-24h'!F29,'25.08 Suam-Bukwo'!F29, '26.08 Suam-Bukwo-24h'!F29,'27.08 Suam-Bukwo'!F29,'28.08 Suam-Bukwo'!F29,'29.08 Suam-Bukwo'!F29)</f>
        <v>0</v>
      </c>
      <c r="G29" s="52">
        <f>AVERAGE('23.08 Suam- Bukwo'!G29,'24.08 Suam-Bukwo-24h'!G29,'25.08 Suam-Bukwo'!G29, '26.08 Suam-Bukwo-24h'!G29,'27.08 Suam-Bukwo'!G29,'28.08 Suam-Bukwo'!G29,'29.08 Suam-Bukwo'!G29)</f>
        <v>0</v>
      </c>
      <c r="H29" s="52">
        <f>AVERAGE('23.08 Suam- Bukwo'!H29,'24.08 Suam-Bukwo-24h'!H29,'25.08 Suam-Bukwo'!H29, '26.08 Suam-Bukwo-24h'!H29,'27.08 Suam-Bukwo'!H29,'28.08 Suam-Bukwo'!H29,'29.08 Suam-Bukwo'!H29)</f>
        <v>0</v>
      </c>
      <c r="I29" s="52">
        <f>AVERAGE('23.08 Suam- Bukwo'!I29,'24.08 Suam-Bukwo-24h'!I29,'25.08 Suam-Bukwo'!I29, '26.08 Suam-Bukwo-24h'!I29,'27.08 Suam-Bukwo'!I29,'28.08 Suam-Bukwo'!I29,'29.08 Suam-Bukwo'!I29)</f>
        <v>0.7142857142857143</v>
      </c>
      <c r="J29" s="52">
        <f>AVERAGE('23.08 Suam- Bukwo'!J29,'24.08 Suam-Bukwo-24h'!J29,'25.08 Suam-Bukwo'!J29, '26.08 Suam-Bukwo-24h'!J29,'27.08 Suam-Bukwo'!J29,'28.08 Suam-Bukwo'!J29,'29.08 Suam-Bukwo'!J29)</f>
        <v>0</v>
      </c>
      <c r="K29" s="52">
        <f>AVERAGE('23.08 Suam- Bukwo'!K29,'24.08 Suam-Bukwo-24h'!K29,'25.08 Suam-Bukwo'!K29, '26.08 Suam-Bukwo-24h'!K29,'27.08 Suam-Bukwo'!K29,'28.08 Suam-Bukwo'!K29,'29.08 Suam-Bukwo'!K29)</f>
        <v>0</v>
      </c>
      <c r="L29" s="52">
        <f>AVERAGE('23.08 Suam- Bukwo'!L29,'24.08 Suam-Bukwo-24h'!L29,'25.08 Suam-Bukwo'!L29, '26.08 Suam-Bukwo-24h'!L29,'27.08 Suam-Bukwo'!L29,'28.08 Suam-Bukwo'!L29,'29.08 Suam-Bukwo'!L29)</f>
        <v>0</v>
      </c>
      <c r="M29" s="52">
        <f>AVERAGE('23.08 Suam- Bukwo'!M29,'24.08 Suam-Bukwo-24h'!M29,'25.08 Suam-Bukwo'!M29, '26.08 Suam-Bukwo-24h'!M29,'27.08 Suam-Bukwo'!M29,'28.08 Suam-Bukwo'!M29,'29.08 Suam-Bukwo'!M29)</f>
        <v>13.857142857142858</v>
      </c>
      <c r="N29" s="52">
        <f>AVERAGE('23.08 Suam- Bukwo'!N29,'24.08 Suam-Bukwo-24h'!N29,'25.08 Suam-Bukwo'!N29, '26.08 Suam-Bukwo-24h'!N29,'27.08 Suam-Bukwo'!N29,'28.08 Suam-Bukwo'!N29,'29.08 Suam-Bukwo'!N29)</f>
        <v>0</v>
      </c>
      <c r="O29" s="15">
        <f t="shared" si="0"/>
        <v>1</v>
      </c>
      <c r="P29" s="15">
        <f t="shared" si="1"/>
        <v>14.857142857142858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52">
        <f>AVERAGE('23.08 Suam- Bukwo'!C30,'24.08 Suam-Bukwo-24h'!C30,'25.08 Suam-Bukwo'!C30, '26.08 Suam-Bukwo-24h'!C30,'27.08 Suam-Bukwo'!C30,'28.08 Suam-Bukwo'!C30,'29.08 Suam-Bukwo'!C30)</f>
        <v>0</v>
      </c>
      <c r="D30" s="52">
        <f>AVERAGE('23.08 Suam- Bukwo'!D30,'24.08 Suam-Bukwo-24h'!D30,'25.08 Suam-Bukwo'!D30, '26.08 Suam-Bukwo-24h'!D30,'27.08 Suam-Bukwo'!D30,'28.08 Suam-Bukwo'!D30,'29.08 Suam-Bukwo'!D30)</f>
        <v>0</v>
      </c>
      <c r="E30" s="52">
        <f>AVERAGE('23.08 Suam- Bukwo'!E30,'24.08 Suam-Bukwo-24h'!E30,'25.08 Suam-Bukwo'!E30, '26.08 Suam-Bukwo-24h'!E30,'27.08 Suam-Bukwo'!E30,'28.08 Suam-Bukwo'!E30,'29.08 Suam-Bukwo'!E30)</f>
        <v>0.2857142857142857</v>
      </c>
      <c r="F30" s="52">
        <f>AVERAGE('23.08 Suam- Bukwo'!F30,'24.08 Suam-Bukwo-24h'!F30,'25.08 Suam-Bukwo'!F30, '26.08 Suam-Bukwo-24h'!F30,'27.08 Suam-Bukwo'!F30,'28.08 Suam-Bukwo'!F30,'29.08 Suam-Bukwo'!F30)</f>
        <v>0</v>
      </c>
      <c r="G30" s="52">
        <f>AVERAGE('23.08 Suam- Bukwo'!G30,'24.08 Suam-Bukwo-24h'!G30,'25.08 Suam-Bukwo'!G30, '26.08 Suam-Bukwo-24h'!G30,'27.08 Suam-Bukwo'!G30,'28.08 Suam-Bukwo'!G30,'29.08 Suam-Bukwo'!G30)</f>
        <v>0</v>
      </c>
      <c r="H30" s="52">
        <f>AVERAGE('23.08 Suam- Bukwo'!H30,'24.08 Suam-Bukwo-24h'!H30,'25.08 Suam-Bukwo'!H30, '26.08 Suam-Bukwo-24h'!H30,'27.08 Suam-Bukwo'!H30,'28.08 Suam-Bukwo'!H30,'29.08 Suam-Bukwo'!H30)</f>
        <v>0</v>
      </c>
      <c r="I30" s="52">
        <f>AVERAGE('23.08 Suam- Bukwo'!I30,'24.08 Suam-Bukwo-24h'!I30,'25.08 Suam-Bukwo'!I30, '26.08 Suam-Bukwo-24h'!I30,'27.08 Suam-Bukwo'!I30,'28.08 Suam-Bukwo'!I30,'29.08 Suam-Bukwo'!I30)</f>
        <v>0.8571428571428571</v>
      </c>
      <c r="J30" s="52">
        <f>AVERAGE('23.08 Suam- Bukwo'!J30,'24.08 Suam-Bukwo-24h'!J30,'25.08 Suam-Bukwo'!J30, '26.08 Suam-Bukwo-24h'!J30,'27.08 Suam-Bukwo'!J30,'28.08 Suam-Bukwo'!J30,'29.08 Suam-Bukwo'!J30)</f>
        <v>0</v>
      </c>
      <c r="K30" s="52">
        <f>AVERAGE('23.08 Suam- Bukwo'!K30,'24.08 Suam-Bukwo-24h'!K30,'25.08 Suam-Bukwo'!K30, '26.08 Suam-Bukwo-24h'!K30,'27.08 Suam-Bukwo'!K30,'28.08 Suam-Bukwo'!K30,'29.08 Suam-Bukwo'!K30)</f>
        <v>0</v>
      </c>
      <c r="L30" s="52">
        <f>AVERAGE('23.08 Suam- Bukwo'!L30,'24.08 Suam-Bukwo-24h'!L30,'25.08 Suam-Bukwo'!L30, '26.08 Suam-Bukwo-24h'!L30,'27.08 Suam-Bukwo'!L30,'28.08 Suam-Bukwo'!L30,'29.08 Suam-Bukwo'!L30)</f>
        <v>0</v>
      </c>
      <c r="M30" s="52">
        <f>AVERAGE('23.08 Suam- Bukwo'!M30,'24.08 Suam-Bukwo-24h'!M30,'25.08 Suam-Bukwo'!M30, '26.08 Suam-Bukwo-24h'!M30,'27.08 Suam-Bukwo'!M30,'28.08 Suam-Bukwo'!M30,'29.08 Suam-Bukwo'!M30)</f>
        <v>14.571428571428571</v>
      </c>
      <c r="N30" s="52">
        <f>AVERAGE('23.08 Suam- Bukwo'!N30,'24.08 Suam-Bukwo-24h'!N30,'25.08 Suam-Bukwo'!N30, '26.08 Suam-Bukwo-24h'!N30,'27.08 Suam-Bukwo'!N30,'28.08 Suam-Bukwo'!N30,'29.08 Suam-Bukwo'!N30)</f>
        <v>0</v>
      </c>
      <c r="O30" s="15">
        <f t="shared" si="0"/>
        <v>1.1428571428571428</v>
      </c>
      <c r="P30" s="15">
        <f t="shared" si="1"/>
        <v>15.714285714285714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52">
        <f>AVERAGE('23.08 Suam- Bukwo'!C31,'24.08 Suam-Bukwo-24h'!C31,'25.08 Suam-Bukwo'!C31, '26.08 Suam-Bukwo-24h'!C31,'27.08 Suam-Bukwo'!C31,'28.08 Suam-Bukwo'!C31,'29.08 Suam-Bukwo'!C31)</f>
        <v>0.14285714285714285</v>
      </c>
      <c r="D31" s="52">
        <f>AVERAGE('23.08 Suam- Bukwo'!D31,'24.08 Suam-Bukwo-24h'!D31,'25.08 Suam-Bukwo'!D31, '26.08 Suam-Bukwo-24h'!D31,'27.08 Suam-Bukwo'!D31,'28.08 Suam-Bukwo'!D31,'29.08 Suam-Bukwo'!D31)</f>
        <v>0</v>
      </c>
      <c r="E31" s="52">
        <f>AVERAGE('23.08 Suam- Bukwo'!E31,'24.08 Suam-Bukwo-24h'!E31,'25.08 Suam-Bukwo'!E31, '26.08 Suam-Bukwo-24h'!E31,'27.08 Suam-Bukwo'!E31,'28.08 Suam-Bukwo'!E31,'29.08 Suam-Bukwo'!E31)</f>
        <v>0</v>
      </c>
      <c r="F31" s="52">
        <f>AVERAGE('23.08 Suam- Bukwo'!F31,'24.08 Suam-Bukwo-24h'!F31,'25.08 Suam-Bukwo'!F31, '26.08 Suam-Bukwo-24h'!F31,'27.08 Suam-Bukwo'!F31,'28.08 Suam-Bukwo'!F31,'29.08 Suam-Bukwo'!F31)</f>
        <v>0</v>
      </c>
      <c r="G31" s="52">
        <f>AVERAGE('23.08 Suam- Bukwo'!G31,'24.08 Suam-Bukwo-24h'!G31,'25.08 Suam-Bukwo'!G31, '26.08 Suam-Bukwo-24h'!G31,'27.08 Suam-Bukwo'!G31,'28.08 Suam-Bukwo'!G31,'29.08 Suam-Bukwo'!G31)</f>
        <v>0</v>
      </c>
      <c r="H31" s="52">
        <f>AVERAGE('23.08 Suam- Bukwo'!H31,'24.08 Suam-Bukwo-24h'!H31,'25.08 Suam-Bukwo'!H31, '26.08 Suam-Bukwo-24h'!H31,'27.08 Suam-Bukwo'!H31,'28.08 Suam-Bukwo'!H31,'29.08 Suam-Bukwo'!H31)</f>
        <v>0</v>
      </c>
      <c r="I31" s="52">
        <f>AVERAGE('23.08 Suam- Bukwo'!I31,'24.08 Suam-Bukwo-24h'!I31,'25.08 Suam-Bukwo'!I31, '26.08 Suam-Bukwo-24h'!I31,'27.08 Suam-Bukwo'!I31,'28.08 Suam-Bukwo'!I31,'29.08 Suam-Bukwo'!I31)</f>
        <v>0.5714285714285714</v>
      </c>
      <c r="J31" s="52">
        <f>AVERAGE('23.08 Suam- Bukwo'!J31,'24.08 Suam-Bukwo-24h'!J31,'25.08 Suam-Bukwo'!J31, '26.08 Suam-Bukwo-24h'!J31,'27.08 Suam-Bukwo'!J31,'28.08 Suam-Bukwo'!J31,'29.08 Suam-Bukwo'!J31)</f>
        <v>0</v>
      </c>
      <c r="K31" s="52">
        <f>AVERAGE('23.08 Suam- Bukwo'!K31,'24.08 Suam-Bukwo-24h'!K31,'25.08 Suam-Bukwo'!K31, '26.08 Suam-Bukwo-24h'!K31,'27.08 Suam-Bukwo'!K31,'28.08 Suam-Bukwo'!K31,'29.08 Suam-Bukwo'!K31)</f>
        <v>0</v>
      </c>
      <c r="L31" s="52">
        <f>AVERAGE('23.08 Suam- Bukwo'!L31,'24.08 Suam-Bukwo-24h'!L31,'25.08 Suam-Bukwo'!L31, '26.08 Suam-Bukwo-24h'!L31,'27.08 Suam-Bukwo'!L31,'28.08 Suam-Bukwo'!L31,'29.08 Suam-Bukwo'!L31)</f>
        <v>0</v>
      </c>
      <c r="M31" s="52">
        <f>AVERAGE('23.08 Suam- Bukwo'!M31,'24.08 Suam-Bukwo-24h'!M31,'25.08 Suam-Bukwo'!M31, '26.08 Suam-Bukwo-24h'!M31,'27.08 Suam-Bukwo'!M31,'28.08 Suam-Bukwo'!M31,'29.08 Suam-Bukwo'!M31)</f>
        <v>15.142857142857142</v>
      </c>
      <c r="N31" s="52">
        <f>AVERAGE('23.08 Suam- Bukwo'!N31,'24.08 Suam-Bukwo-24h'!N31,'25.08 Suam-Bukwo'!N31, '26.08 Suam-Bukwo-24h'!N31,'27.08 Suam-Bukwo'!N31,'28.08 Suam-Bukwo'!N31,'29.08 Suam-Bukwo'!N31)</f>
        <v>0</v>
      </c>
      <c r="O31" s="15">
        <f t="shared" si="0"/>
        <v>0.71428571428571419</v>
      </c>
      <c r="P31" s="15">
        <f t="shared" si="1"/>
        <v>15.857142857142856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0</v>
      </c>
      <c r="AF31" s="31">
        <f t="shared" si="23"/>
        <v>0</v>
      </c>
    </row>
    <row r="32" spans="2:32" ht="23.1" customHeight="1" x14ac:dyDescent="0.25">
      <c r="B32" s="24" t="s">
        <v>59</v>
      </c>
      <c r="C32" s="52">
        <f>AVERAGE('23.08 Suam- Bukwo'!C32,'24.08 Suam-Bukwo-24h'!C32,'25.08 Suam-Bukwo'!C32, '26.08 Suam-Bukwo-24h'!C32,'27.08 Suam-Bukwo'!C32,'28.08 Suam-Bukwo'!C32,'29.08 Suam-Bukwo'!C32)</f>
        <v>0</v>
      </c>
      <c r="D32" s="52">
        <f>AVERAGE('23.08 Suam- Bukwo'!D32,'24.08 Suam-Bukwo-24h'!D32,'25.08 Suam-Bukwo'!D32, '26.08 Suam-Bukwo-24h'!D32,'27.08 Suam-Bukwo'!D32,'28.08 Suam-Bukwo'!D32,'29.08 Suam-Bukwo'!D32)</f>
        <v>0.14285714285714285</v>
      </c>
      <c r="E32" s="52">
        <f>AVERAGE('23.08 Suam- Bukwo'!E32,'24.08 Suam-Bukwo-24h'!E32,'25.08 Suam-Bukwo'!E32, '26.08 Suam-Bukwo-24h'!E32,'27.08 Suam-Bukwo'!E32,'28.08 Suam-Bukwo'!E32,'29.08 Suam-Bukwo'!E32)</f>
        <v>0.14285714285714285</v>
      </c>
      <c r="F32" s="52">
        <f>AVERAGE('23.08 Suam- Bukwo'!F32,'24.08 Suam-Bukwo-24h'!F32,'25.08 Suam-Bukwo'!F32, '26.08 Suam-Bukwo-24h'!F32,'27.08 Suam-Bukwo'!F32,'28.08 Suam-Bukwo'!F32,'29.08 Suam-Bukwo'!F32)</f>
        <v>0</v>
      </c>
      <c r="G32" s="52">
        <f>AVERAGE('23.08 Suam- Bukwo'!G32,'24.08 Suam-Bukwo-24h'!G32,'25.08 Suam-Bukwo'!G32, '26.08 Suam-Bukwo-24h'!G32,'27.08 Suam-Bukwo'!G32,'28.08 Suam-Bukwo'!G32,'29.08 Suam-Bukwo'!G32)</f>
        <v>0</v>
      </c>
      <c r="H32" s="52">
        <f>AVERAGE('23.08 Suam- Bukwo'!H32,'24.08 Suam-Bukwo-24h'!H32,'25.08 Suam-Bukwo'!H32, '26.08 Suam-Bukwo-24h'!H32,'27.08 Suam-Bukwo'!H32,'28.08 Suam-Bukwo'!H32,'29.08 Suam-Bukwo'!H32)</f>
        <v>0</v>
      </c>
      <c r="I32" s="52">
        <f>AVERAGE('23.08 Suam- Bukwo'!I32,'24.08 Suam-Bukwo-24h'!I32,'25.08 Suam-Bukwo'!I32, '26.08 Suam-Bukwo-24h'!I32,'27.08 Suam-Bukwo'!I32,'28.08 Suam-Bukwo'!I32,'29.08 Suam-Bukwo'!I32)</f>
        <v>0.8571428571428571</v>
      </c>
      <c r="J32" s="52">
        <f>AVERAGE('23.08 Suam- Bukwo'!J32,'24.08 Suam-Bukwo-24h'!J32,'25.08 Suam-Bukwo'!J32, '26.08 Suam-Bukwo-24h'!J32,'27.08 Suam-Bukwo'!J32,'28.08 Suam-Bukwo'!J32,'29.08 Suam-Bukwo'!J32)</f>
        <v>0</v>
      </c>
      <c r="K32" s="52">
        <f>AVERAGE('23.08 Suam- Bukwo'!K32,'24.08 Suam-Bukwo-24h'!K32,'25.08 Suam-Bukwo'!K32, '26.08 Suam-Bukwo-24h'!K32,'27.08 Suam-Bukwo'!K32,'28.08 Suam-Bukwo'!K32,'29.08 Suam-Bukwo'!K32)</f>
        <v>0</v>
      </c>
      <c r="L32" s="52">
        <f>AVERAGE('23.08 Suam- Bukwo'!L32,'24.08 Suam-Bukwo-24h'!L32,'25.08 Suam-Bukwo'!L32, '26.08 Suam-Bukwo-24h'!L32,'27.08 Suam-Bukwo'!L32,'28.08 Suam-Bukwo'!L32,'29.08 Suam-Bukwo'!L32)</f>
        <v>0</v>
      </c>
      <c r="M32" s="52">
        <f>AVERAGE('23.08 Suam- Bukwo'!M32,'24.08 Suam-Bukwo-24h'!M32,'25.08 Suam-Bukwo'!M32, '26.08 Suam-Bukwo-24h'!M32,'27.08 Suam-Bukwo'!M32,'28.08 Suam-Bukwo'!M32,'29.08 Suam-Bukwo'!M32)</f>
        <v>14.428571428571429</v>
      </c>
      <c r="N32" s="52">
        <f>AVERAGE('23.08 Suam- Bukwo'!N32,'24.08 Suam-Bukwo-24h'!N32,'25.08 Suam-Bukwo'!N32, '26.08 Suam-Bukwo-24h'!N32,'27.08 Suam-Bukwo'!N32,'28.08 Suam-Bukwo'!N32,'29.08 Suam-Bukwo'!N32)</f>
        <v>0</v>
      </c>
      <c r="O32" s="15">
        <f t="shared" si="0"/>
        <v>1.1428571428571428</v>
      </c>
      <c r="P32" s="15">
        <f t="shared" si="1"/>
        <v>15.571428571428571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2.5</v>
      </c>
      <c r="AD32" s="34">
        <f t="shared" si="24"/>
        <v>0</v>
      </c>
      <c r="AE32" s="31">
        <f t="shared" si="24"/>
        <v>4</v>
      </c>
      <c r="AF32" s="31">
        <f t="shared" si="24"/>
        <v>6.5</v>
      </c>
    </row>
    <row r="33" spans="2:32" ht="23.1" customHeight="1" x14ac:dyDescent="0.25">
      <c r="B33" s="23" t="s">
        <v>60</v>
      </c>
      <c r="C33" s="52">
        <f>AVERAGE('23.08 Suam- Bukwo'!C33,'24.08 Suam-Bukwo-24h'!C33,'25.08 Suam-Bukwo'!C33, '26.08 Suam-Bukwo-24h'!C33,'27.08 Suam-Bukwo'!C33,'28.08 Suam-Bukwo'!C33,'29.08 Suam-Bukwo'!C33)</f>
        <v>0.2857142857142857</v>
      </c>
      <c r="D33" s="52">
        <f>AVERAGE('23.08 Suam- Bukwo'!D33,'24.08 Suam-Bukwo-24h'!D33,'25.08 Suam-Bukwo'!D33, '26.08 Suam-Bukwo-24h'!D33,'27.08 Suam-Bukwo'!D33,'28.08 Suam-Bukwo'!D33,'29.08 Suam-Bukwo'!D33)</f>
        <v>0.14285714285714285</v>
      </c>
      <c r="E33" s="52">
        <f>AVERAGE('23.08 Suam- Bukwo'!E33,'24.08 Suam-Bukwo-24h'!E33,'25.08 Suam-Bukwo'!E33, '26.08 Suam-Bukwo-24h'!E33,'27.08 Suam-Bukwo'!E33,'28.08 Suam-Bukwo'!E33,'29.08 Suam-Bukwo'!E33)</f>
        <v>0.14285714285714285</v>
      </c>
      <c r="F33" s="52">
        <f>AVERAGE('23.08 Suam- Bukwo'!F33,'24.08 Suam-Bukwo-24h'!F33,'25.08 Suam-Bukwo'!F33, '26.08 Suam-Bukwo-24h'!F33,'27.08 Suam-Bukwo'!F33,'28.08 Suam-Bukwo'!F33,'29.08 Suam-Bukwo'!F33)</f>
        <v>0</v>
      </c>
      <c r="G33" s="52">
        <f>AVERAGE('23.08 Suam- Bukwo'!G33,'24.08 Suam-Bukwo-24h'!G33,'25.08 Suam-Bukwo'!G33, '26.08 Suam-Bukwo-24h'!G33,'27.08 Suam-Bukwo'!G33,'28.08 Suam-Bukwo'!G33,'29.08 Suam-Bukwo'!G33)</f>
        <v>0</v>
      </c>
      <c r="H33" s="52">
        <f>AVERAGE('23.08 Suam- Bukwo'!H33,'24.08 Suam-Bukwo-24h'!H33,'25.08 Suam-Bukwo'!H33, '26.08 Suam-Bukwo-24h'!H33,'27.08 Suam-Bukwo'!H33,'28.08 Suam-Bukwo'!H33,'29.08 Suam-Bukwo'!H33)</f>
        <v>0</v>
      </c>
      <c r="I33" s="52">
        <f>AVERAGE('23.08 Suam- Bukwo'!I33,'24.08 Suam-Bukwo-24h'!I33,'25.08 Suam-Bukwo'!I33, '26.08 Suam-Bukwo-24h'!I33,'27.08 Suam-Bukwo'!I33,'28.08 Suam-Bukwo'!I33,'29.08 Suam-Bukwo'!I33)</f>
        <v>0.5714285714285714</v>
      </c>
      <c r="J33" s="52">
        <f>AVERAGE('23.08 Suam- Bukwo'!J33,'24.08 Suam-Bukwo-24h'!J33,'25.08 Suam-Bukwo'!J33, '26.08 Suam-Bukwo-24h'!J33,'27.08 Suam-Bukwo'!J33,'28.08 Suam-Bukwo'!J33,'29.08 Suam-Bukwo'!J33)</f>
        <v>0</v>
      </c>
      <c r="K33" s="52">
        <f>AVERAGE('23.08 Suam- Bukwo'!K33,'24.08 Suam-Bukwo-24h'!K33,'25.08 Suam-Bukwo'!K33, '26.08 Suam-Bukwo-24h'!K33,'27.08 Suam-Bukwo'!K33,'28.08 Suam-Bukwo'!K33,'29.08 Suam-Bukwo'!K33)</f>
        <v>0</v>
      </c>
      <c r="L33" s="52">
        <f>AVERAGE('23.08 Suam- Bukwo'!L33,'24.08 Suam-Bukwo-24h'!L33,'25.08 Suam-Bukwo'!L33, '26.08 Suam-Bukwo-24h'!L33,'27.08 Suam-Bukwo'!L33,'28.08 Suam-Bukwo'!L33,'29.08 Suam-Bukwo'!L33)</f>
        <v>0</v>
      </c>
      <c r="M33" s="52">
        <f>AVERAGE('23.08 Suam- Bukwo'!M33,'24.08 Suam-Bukwo-24h'!M33,'25.08 Suam-Bukwo'!M33, '26.08 Suam-Bukwo-24h'!M33,'27.08 Suam-Bukwo'!M33,'28.08 Suam-Bukwo'!M33,'29.08 Suam-Bukwo'!M33)</f>
        <v>13</v>
      </c>
      <c r="N33" s="52">
        <f>AVERAGE('23.08 Suam- Bukwo'!N33,'24.08 Suam-Bukwo-24h'!N33,'25.08 Suam-Bukwo'!N33, '26.08 Suam-Bukwo-24h'!N33,'27.08 Suam-Bukwo'!N33,'28.08 Suam-Bukwo'!N33,'29.08 Suam-Bukwo'!N33)</f>
        <v>1.5714285714285714</v>
      </c>
      <c r="O33" s="15">
        <f t="shared" si="0"/>
        <v>2.7142857142857144</v>
      </c>
      <c r="P33" s="15">
        <f t="shared" si="1"/>
        <v>15.714285714285714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1.5</v>
      </c>
      <c r="AD33" s="34">
        <f t="shared" si="25"/>
        <v>0</v>
      </c>
      <c r="AE33" s="31">
        <f t="shared" si="25"/>
        <v>1</v>
      </c>
      <c r="AF33" s="31">
        <f t="shared" si="25"/>
        <v>2.5</v>
      </c>
    </row>
    <row r="34" spans="2:32" ht="23.1" customHeight="1" x14ac:dyDescent="0.25">
      <c r="B34" s="24" t="s">
        <v>61</v>
      </c>
      <c r="C34" s="52">
        <f>AVERAGE('23.08 Suam- Bukwo'!C34,'24.08 Suam-Bukwo-24h'!C34,'25.08 Suam-Bukwo'!C34, '26.08 Suam-Bukwo-24h'!C34,'27.08 Suam-Bukwo'!C34,'28.08 Suam-Bukwo'!C34,'29.08 Suam-Bukwo'!C34)</f>
        <v>0</v>
      </c>
      <c r="D34" s="52">
        <f>AVERAGE('23.08 Suam- Bukwo'!D34,'24.08 Suam-Bukwo-24h'!D34,'25.08 Suam-Bukwo'!D34, '26.08 Suam-Bukwo-24h'!D34,'27.08 Suam-Bukwo'!D34,'28.08 Suam-Bukwo'!D34,'29.08 Suam-Bukwo'!D34)</f>
        <v>0</v>
      </c>
      <c r="E34" s="52">
        <f>AVERAGE('23.08 Suam- Bukwo'!E34,'24.08 Suam-Bukwo-24h'!E34,'25.08 Suam-Bukwo'!E34, '26.08 Suam-Bukwo-24h'!E34,'27.08 Suam-Bukwo'!E34,'28.08 Suam-Bukwo'!E34,'29.08 Suam-Bukwo'!E34)</f>
        <v>0</v>
      </c>
      <c r="F34" s="52">
        <f>AVERAGE('23.08 Suam- Bukwo'!F34,'24.08 Suam-Bukwo-24h'!F34,'25.08 Suam-Bukwo'!F34, '26.08 Suam-Bukwo-24h'!F34,'27.08 Suam-Bukwo'!F34,'28.08 Suam-Bukwo'!F34,'29.08 Suam-Bukwo'!F34)</f>
        <v>0</v>
      </c>
      <c r="G34" s="52">
        <f>AVERAGE('23.08 Suam- Bukwo'!G34,'24.08 Suam-Bukwo-24h'!G34,'25.08 Suam-Bukwo'!G34, '26.08 Suam-Bukwo-24h'!G34,'27.08 Suam-Bukwo'!G34,'28.08 Suam-Bukwo'!G34,'29.08 Suam-Bukwo'!G34)</f>
        <v>0</v>
      </c>
      <c r="H34" s="52">
        <f>AVERAGE('23.08 Suam- Bukwo'!H34,'24.08 Suam-Bukwo-24h'!H34,'25.08 Suam-Bukwo'!H34, '26.08 Suam-Bukwo-24h'!H34,'27.08 Suam-Bukwo'!H34,'28.08 Suam-Bukwo'!H34,'29.08 Suam-Bukwo'!H34)</f>
        <v>0</v>
      </c>
      <c r="I34" s="52">
        <f>AVERAGE('23.08 Suam- Bukwo'!I34,'24.08 Suam-Bukwo-24h'!I34,'25.08 Suam-Bukwo'!I34, '26.08 Suam-Bukwo-24h'!I34,'27.08 Suam-Bukwo'!I34,'28.08 Suam-Bukwo'!I34,'29.08 Suam-Bukwo'!I34)</f>
        <v>0.5714285714285714</v>
      </c>
      <c r="J34" s="52">
        <f>AVERAGE('23.08 Suam- Bukwo'!J34,'24.08 Suam-Bukwo-24h'!J34,'25.08 Suam-Bukwo'!J34, '26.08 Suam-Bukwo-24h'!J34,'27.08 Suam-Bukwo'!J34,'28.08 Suam-Bukwo'!J34,'29.08 Suam-Bukwo'!J34)</f>
        <v>0.14285714285714285</v>
      </c>
      <c r="K34" s="52">
        <f>AVERAGE('23.08 Suam- Bukwo'!K34,'24.08 Suam-Bukwo-24h'!K34,'25.08 Suam-Bukwo'!K34, '26.08 Suam-Bukwo-24h'!K34,'27.08 Suam-Bukwo'!K34,'28.08 Suam-Bukwo'!K34,'29.08 Suam-Bukwo'!K34)</f>
        <v>0</v>
      </c>
      <c r="L34" s="52">
        <f>AVERAGE('23.08 Suam- Bukwo'!L34,'24.08 Suam-Bukwo-24h'!L34,'25.08 Suam-Bukwo'!L34, '26.08 Suam-Bukwo-24h'!L34,'27.08 Suam-Bukwo'!L34,'28.08 Suam-Bukwo'!L34,'29.08 Suam-Bukwo'!L34)</f>
        <v>0</v>
      </c>
      <c r="M34" s="52">
        <f>AVERAGE('23.08 Suam- Bukwo'!M34,'24.08 Suam-Bukwo-24h'!M34,'25.08 Suam-Bukwo'!M34, '26.08 Suam-Bukwo-24h'!M34,'27.08 Suam-Bukwo'!M34,'28.08 Suam-Bukwo'!M34,'29.08 Suam-Bukwo'!M34)</f>
        <v>12.571428571428571</v>
      </c>
      <c r="N34" s="52">
        <f>AVERAGE('23.08 Suam- Bukwo'!N34,'24.08 Suam-Bukwo-24h'!N34,'25.08 Suam-Bukwo'!N34, '26.08 Suam-Bukwo-24h'!N34,'27.08 Suam-Bukwo'!N34,'28.08 Suam-Bukwo'!N34,'29.08 Suam-Bukwo'!N34)</f>
        <v>0</v>
      </c>
      <c r="O34" s="15">
        <f t="shared" si="0"/>
        <v>0.71428571428571419</v>
      </c>
      <c r="P34" s="15">
        <f t="shared" si="1"/>
        <v>13.285714285714285</v>
      </c>
      <c r="R34" s="53" t="s">
        <v>90</v>
      </c>
      <c r="S34" s="54">
        <f t="shared" ref="S34:AF34" si="26">MAX(S10:S12)</f>
        <v>0.42857142857142855</v>
      </c>
      <c r="T34" s="54">
        <f t="shared" si="26"/>
        <v>0.42857142857142855</v>
      </c>
      <c r="U34" s="54">
        <f t="shared" si="26"/>
        <v>1.5714285714285714</v>
      </c>
      <c r="V34" s="54">
        <f t="shared" si="26"/>
        <v>0</v>
      </c>
      <c r="W34" s="54">
        <f t="shared" si="26"/>
        <v>0</v>
      </c>
      <c r="X34" s="54">
        <f t="shared" si="26"/>
        <v>0</v>
      </c>
      <c r="Y34" s="54">
        <f t="shared" si="26"/>
        <v>0.99999999999999989</v>
      </c>
      <c r="Z34" s="54">
        <f t="shared" si="26"/>
        <v>0.14285714285714285</v>
      </c>
      <c r="AA34" s="54">
        <f t="shared" si="26"/>
        <v>0</v>
      </c>
      <c r="AB34" s="54">
        <f t="shared" si="26"/>
        <v>0</v>
      </c>
      <c r="AC34" s="54">
        <f t="shared" si="26"/>
        <v>43.571428571428577</v>
      </c>
      <c r="AD34" s="54">
        <f t="shared" si="26"/>
        <v>0.14285714285714285</v>
      </c>
      <c r="AE34" s="40">
        <f t="shared" si="26"/>
        <v>3.5714285714285712</v>
      </c>
      <c r="AF34" s="40">
        <f t="shared" si="26"/>
        <v>46.714285714285715</v>
      </c>
    </row>
    <row r="35" spans="2:32" ht="23.1" customHeight="1" x14ac:dyDescent="0.25">
      <c r="B35" s="24" t="s">
        <v>62</v>
      </c>
      <c r="C35" s="52">
        <f>AVERAGE('23.08 Suam- Bukwo'!C35,'24.08 Suam-Bukwo-24h'!C35,'25.08 Suam-Bukwo'!C35, '26.08 Suam-Bukwo-24h'!C35,'27.08 Suam-Bukwo'!C35,'28.08 Suam-Bukwo'!C35,'29.08 Suam-Bukwo'!C35)</f>
        <v>0.14285714285714285</v>
      </c>
      <c r="D35" s="52">
        <f>AVERAGE('23.08 Suam- Bukwo'!D35,'24.08 Suam-Bukwo-24h'!D35,'25.08 Suam-Bukwo'!D35, '26.08 Suam-Bukwo-24h'!D35,'27.08 Suam-Bukwo'!D35,'28.08 Suam-Bukwo'!D35,'29.08 Suam-Bukwo'!D35)</f>
        <v>0</v>
      </c>
      <c r="E35" s="52">
        <f>AVERAGE('23.08 Suam- Bukwo'!E35,'24.08 Suam-Bukwo-24h'!E35,'25.08 Suam-Bukwo'!E35, '26.08 Suam-Bukwo-24h'!E35,'27.08 Suam-Bukwo'!E35,'28.08 Suam-Bukwo'!E35,'29.08 Suam-Bukwo'!E35)</f>
        <v>0</v>
      </c>
      <c r="F35" s="52">
        <f>AVERAGE('23.08 Suam- Bukwo'!F35,'24.08 Suam-Bukwo-24h'!F35,'25.08 Suam-Bukwo'!F35, '26.08 Suam-Bukwo-24h'!F35,'27.08 Suam-Bukwo'!F35,'28.08 Suam-Bukwo'!F35,'29.08 Suam-Bukwo'!F35)</f>
        <v>0</v>
      </c>
      <c r="G35" s="52">
        <f>AVERAGE('23.08 Suam- Bukwo'!G35,'24.08 Suam-Bukwo-24h'!G35,'25.08 Suam-Bukwo'!G35, '26.08 Suam-Bukwo-24h'!G35,'27.08 Suam-Bukwo'!G35,'28.08 Suam-Bukwo'!G35,'29.08 Suam-Bukwo'!G35)</f>
        <v>0</v>
      </c>
      <c r="H35" s="52">
        <f>AVERAGE('23.08 Suam- Bukwo'!H35,'24.08 Suam-Bukwo-24h'!H35,'25.08 Suam-Bukwo'!H35, '26.08 Suam-Bukwo-24h'!H35,'27.08 Suam-Bukwo'!H35,'28.08 Suam-Bukwo'!H35,'29.08 Suam-Bukwo'!H35)</f>
        <v>0</v>
      </c>
      <c r="I35" s="52">
        <f>AVERAGE('23.08 Suam- Bukwo'!I35,'24.08 Suam-Bukwo-24h'!I35,'25.08 Suam-Bukwo'!I35, '26.08 Suam-Bukwo-24h'!I35,'27.08 Suam-Bukwo'!I35,'28.08 Suam-Bukwo'!I35,'29.08 Suam-Bukwo'!I35)</f>
        <v>0.8571428571428571</v>
      </c>
      <c r="J35" s="52">
        <f>AVERAGE('23.08 Suam- Bukwo'!J35,'24.08 Suam-Bukwo-24h'!J35,'25.08 Suam-Bukwo'!J35, '26.08 Suam-Bukwo-24h'!J35,'27.08 Suam-Bukwo'!J35,'28.08 Suam-Bukwo'!J35,'29.08 Suam-Bukwo'!J35)</f>
        <v>0</v>
      </c>
      <c r="K35" s="52">
        <f>AVERAGE('23.08 Suam- Bukwo'!K35,'24.08 Suam-Bukwo-24h'!K35,'25.08 Suam-Bukwo'!K35, '26.08 Suam-Bukwo-24h'!K35,'27.08 Suam-Bukwo'!K35,'28.08 Suam-Bukwo'!K35,'29.08 Suam-Bukwo'!K35)</f>
        <v>0</v>
      </c>
      <c r="L35" s="52">
        <f>AVERAGE('23.08 Suam- Bukwo'!L35,'24.08 Suam-Bukwo-24h'!L35,'25.08 Suam-Bukwo'!L35, '26.08 Suam-Bukwo-24h'!L35,'27.08 Suam-Bukwo'!L35,'28.08 Suam-Bukwo'!L35,'29.08 Suam-Bukwo'!L35)</f>
        <v>0</v>
      </c>
      <c r="M35" s="52">
        <f>AVERAGE('23.08 Suam- Bukwo'!M35,'24.08 Suam-Bukwo-24h'!M35,'25.08 Suam-Bukwo'!M35, '26.08 Suam-Bukwo-24h'!M35,'27.08 Suam-Bukwo'!M35,'28.08 Suam-Bukwo'!M35,'29.08 Suam-Bukwo'!M35)</f>
        <v>12.428571428571429</v>
      </c>
      <c r="N35" s="52">
        <f>AVERAGE('23.08 Suam- Bukwo'!N35,'24.08 Suam-Bukwo-24h'!N35,'25.08 Suam-Bukwo'!N35, '26.08 Suam-Bukwo-24h'!N35,'27.08 Suam-Bukwo'!N35,'28.08 Suam-Bukwo'!N35,'29.08 Suam-Bukwo'!N35)</f>
        <v>0</v>
      </c>
      <c r="O35" s="15">
        <f t="shared" si="0"/>
        <v>1</v>
      </c>
      <c r="P35" s="15">
        <f t="shared" si="1"/>
        <v>13.428571428571429</v>
      </c>
      <c r="R35" s="53" t="s">
        <v>91</v>
      </c>
      <c r="S35" s="54">
        <f t="shared" ref="S35:AF35" si="27">MAX(S13:S18)</f>
        <v>0.5714285714285714</v>
      </c>
      <c r="T35" s="54">
        <f t="shared" si="27"/>
        <v>0.85714285714285698</v>
      </c>
      <c r="U35" s="54">
        <f t="shared" si="27"/>
        <v>0.71428571428571419</v>
      </c>
      <c r="V35" s="54">
        <f t="shared" si="27"/>
        <v>0</v>
      </c>
      <c r="W35" s="54">
        <f t="shared" si="27"/>
        <v>0</v>
      </c>
      <c r="X35" s="54">
        <f t="shared" si="27"/>
        <v>0</v>
      </c>
      <c r="Y35" s="54">
        <f t="shared" si="27"/>
        <v>2.8571428571428568</v>
      </c>
      <c r="Z35" s="54">
        <f t="shared" si="27"/>
        <v>0.14285714285714285</v>
      </c>
      <c r="AA35" s="54">
        <f t="shared" si="27"/>
        <v>0</v>
      </c>
      <c r="AB35" s="54">
        <f t="shared" si="27"/>
        <v>0</v>
      </c>
      <c r="AC35" s="54">
        <f t="shared" si="27"/>
        <v>63.285714285714292</v>
      </c>
      <c r="AD35" s="54">
        <f t="shared" si="27"/>
        <v>1.5714285714285714</v>
      </c>
      <c r="AE35" s="40">
        <f t="shared" si="27"/>
        <v>5.7142857142857144</v>
      </c>
      <c r="AF35" s="40">
        <f t="shared" si="27"/>
        <v>66.285714285714278</v>
      </c>
    </row>
    <row r="36" spans="2:32" ht="23.1" customHeight="1" x14ac:dyDescent="0.25">
      <c r="B36" s="24" t="s">
        <v>63</v>
      </c>
      <c r="C36" s="52">
        <f>AVERAGE('23.08 Suam- Bukwo'!C36,'24.08 Suam-Bukwo-24h'!C36,'25.08 Suam-Bukwo'!C36, '26.08 Suam-Bukwo-24h'!C36,'27.08 Suam-Bukwo'!C36,'28.08 Suam-Bukwo'!C36,'29.08 Suam-Bukwo'!C36)</f>
        <v>0</v>
      </c>
      <c r="D36" s="52">
        <f>AVERAGE('23.08 Suam- Bukwo'!D36,'24.08 Suam-Bukwo-24h'!D36,'25.08 Suam-Bukwo'!D36, '26.08 Suam-Bukwo-24h'!D36,'27.08 Suam-Bukwo'!D36,'28.08 Suam-Bukwo'!D36,'29.08 Suam-Bukwo'!D36)</f>
        <v>0</v>
      </c>
      <c r="E36" s="52">
        <f>AVERAGE('23.08 Suam- Bukwo'!E36,'24.08 Suam-Bukwo-24h'!E36,'25.08 Suam-Bukwo'!E36, '26.08 Suam-Bukwo-24h'!E36,'27.08 Suam-Bukwo'!E36,'28.08 Suam-Bukwo'!E36,'29.08 Suam-Bukwo'!E36)</f>
        <v>0.2857142857142857</v>
      </c>
      <c r="F36" s="52">
        <f>AVERAGE('23.08 Suam- Bukwo'!F36,'24.08 Suam-Bukwo-24h'!F36,'25.08 Suam-Bukwo'!F36, '26.08 Suam-Bukwo-24h'!F36,'27.08 Suam-Bukwo'!F36,'28.08 Suam-Bukwo'!F36,'29.08 Suam-Bukwo'!F36)</f>
        <v>0</v>
      </c>
      <c r="G36" s="52">
        <f>AVERAGE('23.08 Suam- Bukwo'!G36,'24.08 Suam-Bukwo-24h'!G36,'25.08 Suam-Bukwo'!G36, '26.08 Suam-Bukwo-24h'!G36,'27.08 Suam-Bukwo'!G36,'28.08 Suam-Bukwo'!G36,'29.08 Suam-Bukwo'!G36)</f>
        <v>0</v>
      </c>
      <c r="H36" s="52">
        <f>AVERAGE('23.08 Suam- Bukwo'!H36,'24.08 Suam-Bukwo-24h'!H36,'25.08 Suam-Bukwo'!H36, '26.08 Suam-Bukwo-24h'!H36,'27.08 Suam-Bukwo'!H36,'28.08 Suam-Bukwo'!H36,'29.08 Suam-Bukwo'!H36)</f>
        <v>0</v>
      </c>
      <c r="I36" s="52">
        <f>AVERAGE('23.08 Suam- Bukwo'!I36,'24.08 Suam-Bukwo-24h'!I36,'25.08 Suam-Bukwo'!I36, '26.08 Suam-Bukwo-24h'!I36,'27.08 Suam-Bukwo'!I36,'28.08 Suam-Bukwo'!I36,'29.08 Suam-Bukwo'!I36)</f>
        <v>0.2857142857142857</v>
      </c>
      <c r="J36" s="52">
        <f>AVERAGE('23.08 Suam- Bukwo'!J36,'24.08 Suam-Bukwo-24h'!J36,'25.08 Suam-Bukwo'!J36, '26.08 Suam-Bukwo-24h'!J36,'27.08 Suam-Bukwo'!J36,'28.08 Suam-Bukwo'!J36,'29.08 Suam-Bukwo'!J36)</f>
        <v>0</v>
      </c>
      <c r="K36" s="52">
        <f>AVERAGE('23.08 Suam- Bukwo'!K36,'24.08 Suam-Bukwo-24h'!K36,'25.08 Suam-Bukwo'!K36, '26.08 Suam-Bukwo-24h'!K36,'27.08 Suam-Bukwo'!K36,'28.08 Suam-Bukwo'!K36,'29.08 Suam-Bukwo'!K36)</f>
        <v>0</v>
      </c>
      <c r="L36" s="52">
        <f>AVERAGE('23.08 Suam- Bukwo'!L36,'24.08 Suam-Bukwo-24h'!L36,'25.08 Suam-Bukwo'!L36, '26.08 Suam-Bukwo-24h'!L36,'27.08 Suam-Bukwo'!L36,'28.08 Suam-Bukwo'!L36,'29.08 Suam-Bukwo'!L36)</f>
        <v>0</v>
      </c>
      <c r="M36" s="52">
        <f>AVERAGE('23.08 Suam- Bukwo'!M36,'24.08 Suam-Bukwo-24h'!M36,'25.08 Suam-Bukwo'!M36, '26.08 Suam-Bukwo-24h'!M36,'27.08 Suam-Bukwo'!M36,'28.08 Suam-Bukwo'!M36,'29.08 Suam-Bukwo'!M36)</f>
        <v>12</v>
      </c>
      <c r="N36" s="52">
        <f>AVERAGE('23.08 Suam- Bukwo'!N36,'24.08 Suam-Bukwo-24h'!N36,'25.08 Suam-Bukwo'!N36, '26.08 Suam-Bukwo-24h'!N36,'27.08 Suam-Bukwo'!N36,'28.08 Suam-Bukwo'!N36,'29.08 Suam-Bukwo'!N36)</f>
        <v>0</v>
      </c>
      <c r="O36" s="15">
        <f t="shared" si="0"/>
        <v>0.5714285714285714</v>
      </c>
      <c r="P36" s="15">
        <f t="shared" si="1"/>
        <v>12.571428571428571</v>
      </c>
      <c r="R36" s="53" t="s">
        <v>92</v>
      </c>
      <c r="S36" s="54">
        <f t="shared" ref="S36:AF36" si="28">MAX(S19:S21)</f>
        <v>0.71428571428571419</v>
      </c>
      <c r="T36" s="54">
        <f t="shared" si="28"/>
        <v>0.42857142857142855</v>
      </c>
      <c r="U36" s="54">
        <f t="shared" si="28"/>
        <v>1.2857142857142856</v>
      </c>
      <c r="V36" s="54">
        <f t="shared" si="28"/>
        <v>0</v>
      </c>
      <c r="W36" s="54">
        <f t="shared" si="28"/>
        <v>0</v>
      </c>
      <c r="X36" s="54">
        <f t="shared" si="28"/>
        <v>0</v>
      </c>
      <c r="Y36" s="54">
        <f t="shared" si="28"/>
        <v>1.7142857142857144</v>
      </c>
      <c r="Z36" s="54">
        <f t="shared" si="28"/>
        <v>0</v>
      </c>
      <c r="AA36" s="54">
        <f t="shared" si="28"/>
        <v>0</v>
      </c>
      <c r="AB36" s="54">
        <f t="shared" si="28"/>
        <v>1.2857142857142858</v>
      </c>
      <c r="AC36" s="54">
        <f t="shared" si="28"/>
        <v>39.142857142857146</v>
      </c>
      <c r="AD36" s="54">
        <f t="shared" si="28"/>
        <v>0</v>
      </c>
      <c r="AE36" s="40">
        <f t="shared" si="28"/>
        <v>4.7142857142857135</v>
      </c>
      <c r="AF36" s="40">
        <f t="shared" si="28"/>
        <v>42.428571428571431</v>
      </c>
    </row>
    <row r="37" spans="2:32" ht="23.1" customHeight="1" x14ac:dyDescent="0.25">
      <c r="B37" s="23" t="s">
        <v>64</v>
      </c>
      <c r="C37" s="52">
        <f>AVERAGE('23.08 Suam- Bukwo'!C37,'24.08 Suam-Bukwo-24h'!C37,'25.08 Suam-Bukwo'!C37, '26.08 Suam-Bukwo-24h'!C37,'27.08 Suam-Bukwo'!C37,'28.08 Suam-Bukwo'!C37,'29.08 Suam-Bukwo'!C37)</f>
        <v>0.14285714285714285</v>
      </c>
      <c r="D37" s="52">
        <f>AVERAGE('23.08 Suam- Bukwo'!D37,'24.08 Suam-Bukwo-24h'!D37,'25.08 Suam-Bukwo'!D37, '26.08 Suam-Bukwo-24h'!D37,'27.08 Suam-Bukwo'!D37,'28.08 Suam-Bukwo'!D37,'29.08 Suam-Bukwo'!D37)</f>
        <v>0</v>
      </c>
      <c r="E37" s="52">
        <f>AVERAGE('23.08 Suam- Bukwo'!E37,'24.08 Suam-Bukwo-24h'!E37,'25.08 Suam-Bukwo'!E37, '26.08 Suam-Bukwo-24h'!E37,'27.08 Suam-Bukwo'!E37,'28.08 Suam-Bukwo'!E37,'29.08 Suam-Bukwo'!E37)</f>
        <v>0</v>
      </c>
      <c r="F37" s="52">
        <f>AVERAGE('23.08 Suam- Bukwo'!F37,'24.08 Suam-Bukwo-24h'!F37,'25.08 Suam-Bukwo'!F37, '26.08 Suam-Bukwo-24h'!F37,'27.08 Suam-Bukwo'!F37,'28.08 Suam-Bukwo'!F37,'29.08 Suam-Bukwo'!F37)</f>
        <v>0</v>
      </c>
      <c r="G37" s="52">
        <f>AVERAGE('23.08 Suam- Bukwo'!G37,'24.08 Suam-Bukwo-24h'!G37,'25.08 Suam-Bukwo'!G37, '26.08 Suam-Bukwo-24h'!G37,'27.08 Suam-Bukwo'!G37,'28.08 Suam-Bukwo'!G37,'29.08 Suam-Bukwo'!G37)</f>
        <v>0</v>
      </c>
      <c r="H37" s="52">
        <f>AVERAGE('23.08 Suam- Bukwo'!H37,'24.08 Suam-Bukwo-24h'!H37,'25.08 Suam-Bukwo'!H37, '26.08 Suam-Bukwo-24h'!H37,'27.08 Suam-Bukwo'!H37,'28.08 Suam-Bukwo'!H37,'29.08 Suam-Bukwo'!H37)</f>
        <v>0</v>
      </c>
      <c r="I37" s="52">
        <f>AVERAGE('23.08 Suam- Bukwo'!I37,'24.08 Suam-Bukwo-24h'!I37,'25.08 Suam-Bukwo'!I37, '26.08 Suam-Bukwo-24h'!I37,'27.08 Suam-Bukwo'!I37,'28.08 Suam-Bukwo'!I37,'29.08 Suam-Bukwo'!I37)</f>
        <v>0.14285714285714285</v>
      </c>
      <c r="J37" s="52">
        <f>AVERAGE('23.08 Suam- Bukwo'!J37,'24.08 Suam-Bukwo-24h'!J37,'25.08 Suam-Bukwo'!J37, '26.08 Suam-Bukwo-24h'!J37,'27.08 Suam-Bukwo'!J37,'28.08 Suam-Bukwo'!J37,'29.08 Suam-Bukwo'!J37)</f>
        <v>0</v>
      </c>
      <c r="K37" s="52">
        <f>AVERAGE('23.08 Suam- Bukwo'!K37,'24.08 Suam-Bukwo-24h'!K37,'25.08 Suam-Bukwo'!K37, '26.08 Suam-Bukwo-24h'!K37,'27.08 Suam-Bukwo'!K37,'28.08 Suam-Bukwo'!K37,'29.08 Suam-Bukwo'!K37)</f>
        <v>0</v>
      </c>
      <c r="L37" s="52">
        <f>AVERAGE('23.08 Suam- Bukwo'!L37,'24.08 Suam-Bukwo-24h'!L37,'25.08 Suam-Bukwo'!L37, '26.08 Suam-Bukwo-24h'!L37,'27.08 Suam-Bukwo'!L37,'28.08 Suam-Bukwo'!L37,'29.08 Suam-Bukwo'!L37)</f>
        <v>0</v>
      </c>
      <c r="M37" s="52">
        <f>AVERAGE('23.08 Suam- Bukwo'!M37,'24.08 Suam-Bukwo-24h'!M37,'25.08 Suam-Bukwo'!M37, '26.08 Suam-Bukwo-24h'!M37,'27.08 Suam-Bukwo'!M37,'28.08 Suam-Bukwo'!M37,'29.08 Suam-Bukwo'!M37)</f>
        <v>10.714285714285714</v>
      </c>
      <c r="N37" s="52">
        <f>AVERAGE('23.08 Suam- Bukwo'!N37,'24.08 Suam-Bukwo-24h'!N37,'25.08 Suam-Bukwo'!N37, '26.08 Suam-Bukwo-24h'!N37,'27.08 Suam-Bukwo'!N37,'28.08 Suam-Bukwo'!N37,'29.08 Suam-Bukwo'!N37)</f>
        <v>0</v>
      </c>
      <c r="O37" s="15">
        <f t="shared" si="0"/>
        <v>0.2857142857142857</v>
      </c>
      <c r="P37" s="15">
        <f t="shared" si="1"/>
        <v>11</v>
      </c>
      <c r="R37" s="37" t="s">
        <v>85</v>
      </c>
      <c r="S37" s="55">
        <f t="shared" ref="S37:AF37" si="29">SUM(S10:S12)</f>
        <v>1.2857142857142856</v>
      </c>
      <c r="T37" s="56">
        <f t="shared" si="29"/>
        <v>0.99999999999999989</v>
      </c>
      <c r="U37" s="56">
        <f t="shared" si="29"/>
        <v>3.5714285714285712</v>
      </c>
      <c r="V37" s="56">
        <f t="shared" si="29"/>
        <v>0</v>
      </c>
      <c r="W37" s="56">
        <f t="shared" si="29"/>
        <v>0</v>
      </c>
      <c r="X37" s="56">
        <f t="shared" si="29"/>
        <v>0</v>
      </c>
      <c r="Y37" s="56">
        <f t="shared" si="29"/>
        <v>1.9999999999999998</v>
      </c>
      <c r="Z37" s="56">
        <f t="shared" si="29"/>
        <v>0.14285714285714285</v>
      </c>
      <c r="AA37" s="56">
        <f t="shared" si="29"/>
        <v>0</v>
      </c>
      <c r="AB37" s="56">
        <f t="shared" si="29"/>
        <v>0</v>
      </c>
      <c r="AC37" s="56">
        <f t="shared" si="29"/>
        <v>83.428571428571445</v>
      </c>
      <c r="AD37" s="56">
        <f t="shared" si="29"/>
        <v>0.14285714285714285</v>
      </c>
      <c r="AE37" s="57">
        <f t="shared" si="29"/>
        <v>8.1428571428571423</v>
      </c>
      <c r="AF37" s="57">
        <f t="shared" si="29"/>
        <v>91.571428571428569</v>
      </c>
    </row>
    <row r="38" spans="2:32" ht="23.1" customHeight="1" x14ac:dyDescent="0.25">
      <c r="B38" s="24" t="s">
        <v>65</v>
      </c>
      <c r="C38" s="52">
        <f>AVERAGE('23.08 Suam- Bukwo'!C38,'24.08 Suam-Bukwo-24h'!C38,'25.08 Suam-Bukwo'!C38, '26.08 Suam-Bukwo-24h'!C38,'27.08 Suam-Bukwo'!C38,'28.08 Suam-Bukwo'!C38,'29.08 Suam-Bukwo'!C38)</f>
        <v>0.14285714285714285</v>
      </c>
      <c r="D38" s="52">
        <f>AVERAGE('23.08 Suam- Bukwo'!D38,'24.08 Suam-Bukwo-24h'!D38,'25.08 Suam-Bukwo'!D38, '26.08 Suam-Bukwo-24h'!D38,'27.08 Suam-Bukwo'!D38,'28.08 Suam-Bukwo'!D38,'29.08 Suam-Bukwo'!D38)</f>
        <v>0.42857142857142855</v>
      </c>
      <c r="E38" s="52">
        <f>AVERAGE('23.08 Suam- Bukwo'!E38,'24.08 Suam-Bukwo-24h'!E38,'25.08 Suam-Bukwo'!E38, '26.08 Suam-Bukwo-24h'!E38,'27.08 Suam-Bukwo'!E38,'28.08 Suam-Bukwo'!E38,'29.08 Suam-Bukwo'!E38)</f>
        <v>0.14285714285714285</v>
      </c>
      <c r="F38" s="52">
        <f>AVERAGE('23.08 Suam- Bukwo'!F38,'24.08 Suam-Bukwo-24h'!F38,'25.08 Suam-Bukwo'!F38, '26.08 Suam-Bukwo-24h'!F38,'27.08 Suam-Bukwo'!F38,'28.08 Suam-Bukwo'!F38,'29.08 Suam-Bukwo'!F38)</f>
        <v>0</v>
      </c>
      <c r="G38" s="52">
        <f>AVERAGE('23.08 Suam- Bukwo'!G38,'24.08 Suam-Bukwo-24h'!G38,'25.08 Suam-Bukwo'!G38, '26.08 Suam-Bukwo-24h'!G38,'27.08 Suam-Bukwo'!G38,'28.08 Suam-Bukwo'!G38,'29.08 Suam-Bukwo'!G38)</f>
        <v>0</v>
      </c>
      <c r="H38" s="52">
        <f>AVERAGE('23.08 Suam- Bukwo'!H38,'24.08 Suam-Bukwo-24h'!H38,'25.08 Suam-Bukwo'!H38, '26.08 Suam-Bukwo-24h'!H38,'27.08 Suam-Bukwo'!H38,'28.08 Suam-Bukwo'!H38,'29.08 Suam-Bukwo'!H38)</f>
        <v>0</v>
      </c>
      <c r="I38" s="52">
        <f>AVERAGE('23.08 Suam- Bukwo'!I38,'24.08 Suam-Bukwo-24h'!I38,'25.08 Suam-Bukwo'!I38, '26.08 Suam-Bukwo-24h'!I38,'27.08 Suam-Bukwo'!I38,'28.08 Suam-Bukwo'!I38,'29.08 Suam-Bukwo'!I38)</f>
        <v>0.5714285714285714</v>
      </c>
      <c r="J38" s="52">
        <f>AVERAGE('23.08 Suam- Bukwo'!J38,'24.08 Suam-Bukwo-24h'!J38,'25.08 Suam-Bukwo'!J38, '26.08 Suam-Bukwo-24h'!J38,'27.08 Suam-Bukwo'!J38,'28.08 Suam-Bukwo'!J38,'29.08 Suam-Bukwo'!J38)</f>
        <v>0</v>
      </c>
      <c r="K38" s="52">
        <f>AVERAGE('23.08 Suam- Bukwo'!K38,'24.08 Suam-Bukwo-24h'!K38,'25.08 Suam-Bukwo'!K38, '26.08 Suam-Bukwo-24h'!K38,'27.08 Suam-Bukwo'!K38,'28.08 Suam-Bukwo'!K38,'29.08 Suam-Bukwo'!K38)</f>
        <v>0</v>
      </c>
      <c r="L38" s="52">
        <f>AVERAGE('23.08 Suam- Bukwo'!L38,'24.08 Suam-Bukwo-24h'!L38,'25.08 Suam-Bukwo'!L38, '26.08 Suam-Bukwo-24h'!L38,'27.08 Suam-Bukwo'!L38,'28.08 Suam-Bukwo'!L38,'29.08 Suam-Bukwo'!L38)</f>
        <v>0</v>
      </c>
      <c r="M38" s="52">
        <f>AVERAGE('23.08 Suam- Bukwo'!M38,'24.08 Suam-Bukwo-24h'!M38,'25.08 Suam-Bukwo'!M38, '26.08 Suam-Bukwo-24h'!M38,'27.08 Suam-Bukwo'!M38,'28.08 Suam-Bukwo'!M38,'29.08 Suam-Bukwo'!M38)</f>
        <v>11.428571428571429</v>
      </c>
      <c r="N38" s="52">
        <f>AVERAGE('23.08 Suam- Bukwo'!N38,'24.08 Suam-Bukwo-24h'!N38,'25.08 Suam-Bukwo'!N38, '26.08 Suam-Bukwo-24h'!N38,'27.08 Suam-Bukwo'!N38,'28.08 Suam-Bukwo'!N38,'29.08 Suam-Bukwo'!N38)</f>
        <v>0</v>
      </c>
      <c r="O38" s="15">
        <f t="shared" si="0"/>
        <v>1.2857142857142856</v>
      </c>
      <c r="P38" s="15">
        <f t="shared" si="1"/>
        <v>12.714285714285715</v>
      </c>
      <c r="R38" s="28" t="s">
        <v>86</v>
      </c>
      <c r="S38" s="56">
        <f t="shared" ref="S38:AF38" si="30">SUM(S13:S18)</f>
        <v>2.5714285714285712</v>
      </c>
      <c r="T38" s="56">
        <f t="shared" si="30"/>
        <v>1.714285714285714</v>
      </c>
      <c r="U38" s="56">
        <f t="shared" si="30"/>
        <v>3.1428571428571428</v>
      </c>
      <c r="V38" s="56">
        <f t="shared" si="30"/>
        <v>0</v>
      </c>
      <c r="W38" s="56">
        <f t="shared" si="30"/>
        <v>0</v>
      </c>
      <c r="X38" s="56">
        <f t="shared" si="30"/>
        <v>0</v>
      </c>
      <c r="Y38" s="56">
        <f t="shared" si="30"/>
        <v>12.999999999999996</v>
      </c>
      <c r="Z38" s="56">
        <f t="shared" si="30"/>
        <v>0.14285714285714285</v>
      </c>
      <c r="AA38" s="56">
        <f t="shared" si="30"/>
        <v>0</v>
      </c>
      <c r="AB38" s="56">
        <f t="shared" si="30"/>
        <v>0</v>
      </c>
      <c r="AC38" s="56">
        <f t="shared" si="30"/>
        <v>306.71428571428572</v>
      </c>
      <c r="AD38" s="56">
        <f t="shared" si="30"/>
        <v>1.7142857142857142</v>
      </c>
      <c r="AE38" s="57">
        <f t="shared" si="30"/>
        <v>22.285714285714285</v>
      </c>
      <c r="AF38" s="57">
        <f t="shared" si="30"/>
        <v>329</v>
      </c>
    </row>
    <row r="39" spans="2:32" ht="23.1" customHeight="1" x14ac:dyDescent="0.25">
      <c r="B39" s="24" t="s">
        <v>66</v>
      </c>
      <c r="C39" s="52">
        <f>AVERAGE('23.08 Suam- Bukwo'!C39,'24.08 Suam-Bukwo-24h'!C39,'25.08 Suam-Bukwo'!C39, '26.08 Suam-Bukwo-24h'!C39,'27.08 Suam-Bukwo'!C39,'28.08 Suam-Bukwo'!C39,'29.08 Suam-Bukwo'!C39)</f>
        <v>0.14285714285714285</v>
      </c>
      <c r="D39" s="52">
        <f>AVERAGE('23.08 Suam- Bukwo'!D39,'24.08 Suam-Bukwo-24h'!D39,'25.08 Suam-Bukwo'!D39, '26.08 Suam-Bukwo-24h'!D39,'27.08 Suam-Bukwo'!D39,'28.08 Suam-Bukwo'!D39,'29.08 Suam-Bukwo'!D39)</f>
        <v>0</v>
      </c>
      <c r="E39" s="52">
        <f>AVERAGE('23.08 Suam- Bukwo'!E39,'24.08 Suam-Bukwo-24h'!E39,'25.08 Suam-Bukwo'!E39, '26.08 Suam-Bukwo-24h'!E39,'27.08 Suam-Bukwo'!E39,'28.08 Suam-Bukwo'!E39,'29.08 Suam-Bukwo'!E39)</f>
        <v>0.14285714285714285</v>
      </c>
      <c r="F39" s="52">
        <f>AVERAGE('23.08 Suam- Bukwo'!F39,'24.08 Suam-Bukwo-24h'!F39,'25.08 Suam-Bukwo'!F39, '26.08 Suam-Bukwo-24h'!F39,'27.08 Suam-Bukwo'!F39,'28.08 Suam-Bukwo'!F39,'29.08 Suam-Bukwo'!F39)</f>
        <v>0</v>
      </c>
      <c r="G39" s="52">
        <f>AVERAGE('23.08 Suam- Bukwo'!G39,'24.08 Suam-Bukwo-24h'!G39,'25.08 Suam-Bukwo'!G39, '26.08 Suam-Bukwo-24h'!G39,'27.08 Suam-Bukwo'!G39,'28.08 Suam-Bukwo'!G39,'29.08 Suam-Bukwo'!G39)</f>
        <v>0</v>
      </c>
      <c r="H39" s="52">
        <f>AVERAGE('23.08 Suam- Bukwo'!H39,'24.08 Suam-Bukwo-24h'!H39,'25.08 Suam-Bukwo'!H39, '26.08 Suam-Bukwo-24h'!H39,'27.08 Suam-Bukwo'!H39,'28.08 Suam-Bukwo'!H39,'29.08 Suam-Bukwo'!H39)</f>
        <v>0</v>
      </c>
      <c r="I39" s="52">
        <f>AVERAGE('23.08 Suam- Bukwo'!I39,'24.08 Suam-Bukwo-24h'!I39,'25.08 Suam-Bukwo'!I39, '26.08 Suam-Bukwo-24h'!I39,'27.08 Suam-Bukwo'!I39,'28.08 Suam-Bukwo'!I39,'29.08 Suam-Bukwo'!I39)</f>
        <v>0.14285714285714285</v>
      </c>
      <c r="J39" s="52">
        <f>AVERAGE('23.08 Suam- Bukwo'!J39,'24.08 Suam-Bukwo-24h'!J39,'25.08 Suam-Bukwo'!J39, '26.08 Suam-Bukwo-24h'!J39,'27.08 Suam-Bukwo'!J39,'28.08 Suam-Bukwo'!J39,'29.08 Suam-Bukwo'!J39)</f>
        <v>0</v>
      </c>
      <c r="K39" s="52">
        <f>AVERAGE('23.08 Suam- Bukwo'!K39,'24.08 Suam-Bukwo-24h'!K39,'25.08 Suam-Bukwo'!K39, '26.08 Suam-Bukwo-24h'!K39,'27.08 Suam-Bukwo'!K39,'28.08 Suam-Bukwo'!K39,'29.08 Suam-Bukwo'!K39)</f>
        <v>0</v>
      </c>
      <c r="L39" s="52">
        <f>AVERAGE('23.08 Suam- Bukwo'!L39,'24.08 Suam-Bukwo-24h'!L39,'25.08 Suam-Bukwo'!L39, '26.08 Suam-Bukwo-24h'!L39,'27.08 Suam-Bukwo'!L39,'28.08 Suam-Bukwo'!L39,'29.08 Suam-Bukwo'!L39)</f>
        <v>0</v>
      </c>
      <c r="M39" s="52">
        <f>AVERAGE('23.08 Suam- Bukwo'!M39,'24.08 Suam-Bukwo-24h'!M39,'25.08 Suam-Bukwo'!M39, '26.08 Suam-Bukwo-24h'!M39,'27.08 Suam-Bukwo'!M39,'28.08 Suam-Bukwo'!M39,'29.08 Suam-Bukwo'!M39)</f>
        <v>8.2857142857142865</v>
      </c>
      <c r="N39" s="52">
        <f>AVERAGE('23.08 Suam- Bukwo'!N39,'24.08 Suam-Bukwo-24h'!N39,'25.08 Suam-Bukwo'!N39, '26.08 Suam-Bukwo-24h'!N39,'27.08 Suam-Bukwo'!N39,'28.08 Suam-Bukwo'!N39,'29.08 Suam-Bukwo'!N39)</f>
        <v>0</v>
      </c>
      <c r="O39" s="15">
        <f t="shared" si="0"/>
        <v>0.42857142857142855</v>
      </c>
      <c r="P39" s="15">
        <f t="shared" si="1"/>
        <v>8.7142857142857153</v>
      </c>
      <c r="R39" s="29" t="s">
        <v>87</v>
      </c>
      <c r="S39" s="56">
        <f t="shared" ref="S39:AF39" si="31">SUM(S19:S21)</f>
        <v>1.2857142857142856</v>
      </c>
      <c r="T39" s="56">
        <f t="shared" si="31"/>
        <v>0.5714285714285714</v>
      </c>
      <c r="U39" s="56">
        <f t="shared" si="31"/>
        <v>2.5714285714285712</v>
      </c>
      <c r="V39" s="56">
        <f t="shared" si="31"/>
        <v>0</v>
      </c>
      <c r="W39" s="56">
        <f t="shared" si="31"/>
        <v>0</v>
      </c>
      <c r="X39" s="56">
        <f t="shared" si="31"/>
        <v>0</v>
      </c>
      <c r="Y39" s="56">
        <f t="shared" si="31"/>
        <v>4.7142857142857144</v>
      </c>
      <c r="Z39" s="56">
        <f t="shared" si="31"/>
        <v>0</v>
      </c>
      <c r="AA39" s="56">
        <f t="shared" si="31"/>
        <v>0</v>
      </c>
      <c r="AB39" s="56">
        <f t="shared" si="31"/>
        <v>1.2857142857142858</v>
      </c>
      <c r="AC39" s="56">
        <f t="shared" si="31"/>
        <v>112.71428571428569</v>
      </c>
      <c r="AD39" s="56">
        <f t="shared" si="31"/>
        <v>0</v>
      </c>
      <c r="AE39" s="57">
        <f t="shared" si="31"/>
        <v>10.428571428571427</v>
      </c>
      <c r="AF39" s="57">
        <f t="shared" si="31"/>
        <v>123.14285714285714</v>
      </c>
    </row>
    <row r="40" spans="2:32" ht="23.1" customHeight="1" x14ac:dyDescent="0.25">
      <c r="B40" s="24" t="s">
        <v>67</v>
      </c>
      <c r="C40" s="52">
        <f>AVERAGE('23.08 Suam- Bukwo'!C40,'24.08 Suam-Bukwo-24h'!C40,'25.08 Suam-Bukwo'!C40, '26.08 Suam-Bukwo-24h'!C40,'27.08 Suam-Bukwo'!C40,'28.08 Suam-Bukwo'!C40,'29.08 Suam-Bukwo'!C40)</f>
        <v>0.14285714285714285</v>
      </c>
      <c r="D40" s="52">
        <f>AVERAGE('23.08 Suam- Bukwo'!D40,'24.08 Suam-Bukwo-24h'!D40,'25.08 Suam-Bukwo'!D40, '26.08 Suam-Bukwo-24h'!D40,'27.08 Suam-Bukwo'!D40,'28.08 Suam-Bukwo'!D40,'29.08 Suam-Bukwo'!D40)</f>
        <v>0.2857142857142857</v>
      </c>
      <c r="E40" s="52">
        <f>AVERAGE('23.08 Suam- Bukwo'!E40,'24.08 Suam-Bukwo-24h'!E40,'25.08 Suam-Bukwo'!E40, '26.08 Suam-Bukwo-24h'!E40,'27.08 Suam-Bukwo'!E40,'28.08 Suam-Bukwo'!E40,'29.08 Suam-Bukwo'!E40)</f>
        <v>0</v>
      </c>
      <c r="F40" s="52">
        <f>AVERAGE('23.08 Suam- Bukwo'!F40,'24.08 Suam-Bukwo-24h'!F40,'25.08 Suam-Bukwo'!F40, '26.08 Suam-Bukwo-24h'!F40,'27.08 Suam-Bukwo'!F40,'28.08 Suam-Bukwo'!F40,'29.08 Suam-Bukwo'!F40)</f>
        <v>0</v>
      </c>
      <c r="G40" s="52">
        <f>AVERAGE('23.08 Suam- Bukwo'!G40,'24.08 Suam-Bukwo-24h'!G40,'25.08 Suam-Bukwo'!G40, '26.08 Suam-Bukwo-24h'!G40,'27.08 Suam-Bukwo'!G40,'28.08 Suam-Bukwo'!G40,'29.08 Suam-Bukwo'!G40)</f>
        <v>0</v>
      </c>
      <c r="H40" s="52">
        <f>AVERAGE('23.08 Suam- Bukwo'!H40,'24.08 Suam-Bukwo-24h'!H40,'25.08 Suam-Bukwo'!H40, '26.08 Suam-Bukwo-24h'!H40,'27.08 Suam-Bukwo'!H40,'28.08 Suam-Bukwo'!H40,'29.08 Suam-Bukwo'!H40)</f>
        <v>0</v>
      </c>
      <c r="I40" s="52">
        <f>AVERAGE('23.08 Suam- Bukwo'!I40,'24.08 Suam-Bukwo-24h'!I40,'25.08 Suam-Bukwo'!I40, '26.08 Suam-Bukwo-24h'!I40,'27.08 Suam-Bukwo'!I40,'28.08 Suam-Bukwo'!I40,'29.08 Suam-Bukwo'!I40)</f>
        <v>1.1428571428571428</v>
      </c>
      <c r="J40" s="52">
        <f>AVERAGE('23.08 Suam- Bukwo'!J40,'24.08 Suam-Bukwo-24h'!J40,'25.08 Suam-Bukwo'!J40, '26.08 Suam-Bukwo-24h'!J40,'27.08 Suam-Bukwo'!J40,'28.08 Suam-Bukwo'!J40,'29.08 Suam-Bukwo'!J40)</f>
        <v>0</v>
      </c>
      <c r="K40" s="52">
        <f>AVERAGE('23.08 Suam- Bukwo'!K40,'24.08 Suam-Bukwo-24h'!K40,'25.08 Suam-Bukwo'!K40, '26.08 Suam-Bukwo-24h'!K40,'27.08 Suam-Bukwo'!K40,'28.08 Suam-Bukwo'!K40,'29.08 Suam-Bukwo'!K40)</f>
        <v>0</v>
      </c>
      <c r="L40" s="52">
        <f>AVERAGE('23.08 Suam- Bukwo'!L40,'24.08 Suam-Bukwo-24h'!L40,'25.08 Suam-Bukwo'!L40, '26.08 Suam-Bukwo-24h'!L40,'27.08 Suam-Bukwo'!L40,'28.08 Suam-Bukwo'!L40,'29.08 Suam-Bukwo'!L40)</f>
        <v>0</v>
      </c>
      <c r="M40" s="52">
        <f>AVERAGE('23.08 Suam- Bukwo'!M40,'24.08 Suam-Bukwo-24h'!M40,'25.08 Suam-Bukwo'!M40, '26.08 Suam-Bukwo-24h'!M40,'27.08 Suam-Bukwo'!M40,'28.08 Suam-Bukwo'!M40,'29.08 Suam-Bukwo'!M40)</f>
        <v>10.142857142857142</v>
      </c>
      <c r="N40" s="52">
        <f>AVERAGE('23.08 Suam- Bukwo'!N40,'24.08 Suam-Bukwo-24h'!N40,'25.08 Suam-Bukwo'!N40, '26.08 Suam-Bukwo-24h'!N40,'27.08 Suam-Bukwo'!N40,'28.08 Suam-Bukwo'!N40,'29.08 Suam-Bukwo'!N40)</f>
        <v>0</v>
      </c>
      <c r="O40" s="15">
        <f t="shared" si="0"/>
        <v>1.5714285714285714</v>
      </c>
      <c r="P40" s="15">
        <f t="shared" si="1"/>
        <v>11.714285714285714</v>
      </c>
      <c r="R40" s="5" t="s">
        <v>17</v>
      </c>
      <c r="S40" s="56">
        <f t="shared" ref="S40:AF40" si="32">SUM(S10:S21)</f>
        <v>5.1428571428571423</v>
      </c>
      <c r="T40" s="56">
        <f t="shared" si="32"/>
        <v>3.2857142857142851</v>
      </c>
      <c r="U40" s="56">
        <f t="shared" si="32"/>
        <v>9.2857142857142847</v>
      </c>
      <c r="V40" s="56">
        <f t="shared" si="32"/>
        <v>0</v>
      </c>
      <c r="W40" s="56">
        <f t="shared" si="32"/>
        <v>0</v>
      </c>
      <c r="X40" s="56">
        <f t="shared" si="32"/>
        <v>0</v>
      </c>
      <c r="Y40" s="56">
        <f t="shared" si="32"/>
        <v>19.714285714285712</v>
      </c>
      <c r="Z40" s="56">
        <f t="shared" si="32"/>
        <v>0.2857142857142857</v>
      </c>
      <c r="AA40" s="56">
        <f t="shared" si="32"/>
        <v>0</v>
      </c>
      <c r="AB40" s="56">
        <f t="shared" si="32"/>
        <v>1.2857142857142858</v>
      </c>
      <c r="AC40" s="56">
        <f t="shared" si="32"/>
        <v>502.85714285714295</v>
      </c>
      <c r="AD40" s="56">
        <f t="shared" si="32"/>
        <v>1.857142857142857</v>
      </c>
      <c r="AE40" s="57">
        <f t="shared" si="32"/>
        <v>40.857142857142854</v>
      </c>
      <c r="AF40" s="57">
        <f t="shared" si="32"/>
        <v>543.71428571428567</v>
      </c>
    </row>
    <row r="41" spans="2:32" ht="23.1" customHeight="1" x14ac:dyDescent="0.25">
      <c r="B41" s="23" t="s">
        <v>68</v>
      </c>
      <c r="C41" s="52">
        <f>AVERAGE('23.08 Suam- Bukwo'!C41,'24.08 Suam-Bukwo-24h'!C41,'25.08 Suam-Bukwo'!C41, '26.08 Suam-Bukwo-24h'!C41,'27.08 Suam-Bukwo'!C41,'28.08 Suam-Bukwo'!C41,'29.08 Suam-Bukwo'!C41)</f>
        <v>0</v>
      </c>
      <c r="D41" s="52">
        <f>AVERAGE('23.08 Suam- Bukwo'!D41,'24.08 Suam-Bukwo-24h'!D41,'25.08 Suam-Bukwo'!D41, '26.08 Suam-Bukwo-24h'!D41,'27.08 Suam-Bukwo'!D41,'28.08 Suam-Bukwo'!D41,'29.08 Suam-Bukwo'!D41)</f>
        <v>0.14285714285714285</v>
      </c>
      <c r="E41" s="52">
        <f>AVERAGE('23.08 Suam- Bukwo'!E41,'24.08 Suam-Bukwo-24h'!E41,'25.08 Suam-Bukwo'!E41, '26.08 Suam-Bukwo-24h'!E41,'27.08 Suam-Bukwo'!E41,'28.08 Suam-Bukwo'!E41,'29.08 Suam-Bukwo'!E41)</f>
        <v>0.2857142857142857</v>
      </c>
      <c r="F41" s="52">
        <f>AVERAGE('23.08 Suam- Bukwo'!F41,'24.08 Suam-Bukwo-24h'!F41,'25.08 Suam-Bukwo'!F41, '26.08 Suam-Bukwo-24h'!F41,'27.08 Suam-Bukwo'!F41,'28.08 Suam-Bukwo'!F41,'29.08 Suam-Bukwo'!F41)</f>
        <v>0</v>
      </c>
      <c r="G41" s="52">
        <f>AVERAGE('23.08 Suam- Bukwo'!G41,'24.08 Suam-Bukwo-24h'!G41,'25.08 Suam-Bukwo'!G41, '26.08 Suam-Bukwo-24h'!G41,'27.08 Suam-Bukwo'!G41,'28.08 Suam-Bukwo'!G41,'29.08 Suam-Bukwo'!G41)</f>
        <v>0</v>
      </c>
      <c r="H41" s="52">
        <f>AVERAGE('23.08 Suam- Bukwo'!H41,'24.08 Suam-Bukwo-24h'!H41,'25.08 Suam-Bukwo'!H41, '26.08 Suam-Bukwo-24h'!H41,'27.08 Suam-Bukwo'!H41,'28.08 Suam-Bukwo'!H41,'29.08 Suam-Bukwo'!H41)</f>
        <v>0</v>
      </c>
      <c r="I41" s="52">
        <f>AVERAGE('23.08 Suam- Bukwo'!I41,'24.08 Suam-Bukwo-24h'!I41,'25.08 Suam-Bukwo'!I41, '26.08 Suam-Bukwo-24h'!I41,'27.08 Suam-Bukwo'!I41,'28.08 Suam-Bukwo'!I41,'29.08 Suam-Bukwo'!I41)</f>
        <v>0.42857142857142855</v>
      </c>
      <c r="J41" s="52">
        <f>AVERAGE('23.08 Suam- Bukwo'!J41,'24.08 Suam-Bukwo-24h'!J41,'25.08 Suam-Bukwo'!J41, '26.08 Suam-Bukwo-24h'!J41,'27.08 Suam-Bukwo'!J41,'28.08 Suam-Bukwo'!J41,'29.08 Suam-Bukwo'!J41)</f>
        <v>0</v>
      </c>
      <c r="K41" s="52">
        <f>AVERAGE('23.08 Suam- Bukwo'!K41,'24.08 Suam-Bukwo-24h'!K41,'25.08 Suam-Bukwo'!K41, '26.08 Suam-Bukwo-24h'!K41,'27.08 Suam-Bukwo'!K41,'28.08 Suam-Bukwo'!K41,'29.08 Suam-Bukwo'!K41)</f>
        <v>0</v>
      </c>
      <c r="L41" s="52">
        <f>AVERAGE('23.08 Suam- Bukwo'!L41,'24.08 Suam-Bukwo-24h'!L41,'25.08 Suam-Bukwo'!L41, '26.08 Suam-Bukwo-24h'!L41,'27.08 Suam-Bukwo'!L41,'28.08 Suam-Bukwo'!L41,'29.08 Suam-Bukwo'!L41)</f>
        <v>0</v>
      </c>
      <c r="M41" s="52">
        <f>AVERAGE('23.08 Suam- Bukwo'!M41,'24.08 Suam-Bukwo-24h'!M41,'25.08 Suam-Bukwo'!M41, '26.08 Suam-Bukwo-24h'!M41,'27.08 Suam-Bukwo'!M41,'28.08 Suam-Bukwo'!M41,'29.08 Suam-Bukwo'!M41)</f>
        <v>12.285714285714286</v>
      </c>
      <c r="N41" s="52">
        <f>AVERAGE('23.08 Suam- Bukwo'!N41,'24.08 Suam-Bukwo-24h'!N41,'25.08 Suam-Bukwo'!N41, '26.08 Suam-Bukwo-24h'!N41,'27.08 Suam-Bukwo'!N41,'28.08 Suam-Bukwo'!N41,'29.08 Suam-Bukwo'!N41)</f>
        <v>0.14285714285714285</v>
      </c>
      <c r="O41" s="15">
        <f t="shared" si="0"/>
        <v>1</v>
      </c>
      <c r="P41" s="15">
        <f t="shared" si="1"/>
        <v>13.285714285714286</v>
      </c>
      <c r="R41" s="5" t="s">
        <v>183</v>
      </c>
      <c r="S41" s="56">
        <f>SUM(S10:S33)</f>
        <v>7.6428571428571423</v>
      </c>
      <c r="T41" s="56">
        <f t="shared" ref="T41:AD41" si="33">SUM(T10:T33)</f>
        <v>4.2857142857142847</v>
      </c>
      <c r="U41" s="56">
        <f t="shared" si="33"/>
        <v>13.785714285714285</v>
      </c>
      <c r="V41" s="56">
        <f t="shared" si="33"/>
        <v>0</v>
      </c>
      <c r="W41" s="56">
        <f t="shared" si="33"/>
        <v>0</v>
      </c>
      <c r="X41" s="56">
        <f t="shared" si="33"/>
        <v>0</v>
      </c>
      <c r="Y41" s="56">
        <f t="shared" si="33"/>
        <v>32.214285714285708</v>
      </c>
      <c r="Z41" s="56">
        <f t="shared" si="33"/>
        <v>0.7857142857142857</v>
      </c>
      <c r="AA41" s="56">
        <f t="shared" si="33"/>
        <v>0</v>
      </c>
      <c r="AB41" s="56">
        <f t="shared" si="33"/>
        <v>1.2857142857142858</v>
      </c>
      <c r="AC41" s="56">
        <f t="shared" si="33"/>
        <v>615.35714285714289</v>
      </c>
      <c r="AD41" s="56">
        <f t="shared" si="33"/>
        <v>1.857142857142857</v>
      </c>
      <c r="AE41" s="57">
        <f>SUM(AE10:AE33)</f>
        <v>61.857142857142854</v>
      </c>
      <c r="AF41" s="57">
        <f>SUM(AF10:AF33)</f>
        <v>677.21428571428567</v>
      </c>
    </row>
    <row r="42" spans="2:32" ht="23.1" customHeight="1" x14ac:dyDescent="0.25">
      <c r="B42" s="24" t="s">
        <v>69</v>
      </c>
      <c r="C42" s="52">
        <f>AVERAGE('23.08 Suam- Bukwo'!C42,'24.08 Suam-Bukwo-24h'!C42,'25.08 Suam-Bukwo'!C42, '26.08 Suam-Bukwo-24h'!C42,'27.08 Suam-Bukwo'!C42,'28.08 Suam-Bukwo'!C42,'29.08 Suam-Bukwo'!C42)</f>
        <v>0.14285714285714285</v>
      </c>
      <c r="D42" s="52">
        <f>AVERAGE('23.08 Suam- Bukwo'!D42,'24.08 Suam-Bukwo-24h'!D42,'25.08 Suam-Bukwo'!D42, '26.08 Suam-Bukwo-24h'!D42,'27.08 Suam-Bukwo'!D42,'28.08 Suam-Bukwo'!D42,'29.08 Suam-Bukwo'!D42)</f>
        <v>0</v>
      </c>
      <c r="E42" s="52">
        <f>AVERAGE('23.08 Suam- Bukwo'!E42,'24.08 Suam-Bukwo-24h'!E42,'25.08 Suam-Bukwo'!E42, '26.08 Suam-Bukwo-24h'!E42,'27.08 Suam-Bukwo'!E42,'28.08 Suam-Bukwo'!E42,'29.08 Suam-Bukwo'!E42)</f>
        <v>0</v>
      </c>
      <c r="F42" s="52">
        <f>AVERAGE('23.08 Suam- Bukwo'!F42,'24.08 Suam-Bukwo-24h'!F42,'25.08 Suam-Bukwo'!F42, '26.08 Suam-Bukwo-24h'!F42,'27.08 Suam-Bukwo'!F42,'28.08 Suam-Bukwo'!F42,'29.08 Suam-Bukwo'!F42)</f>
        <v>0</v>
      </c>
      <c r="G42" s="52">
        <f>AVERAGE('23.08 Suam- Bukwo'!G42,'24.08 Suam-Bukwo-24h'!G42,'25.08 Suam-Bukwo'!G42, '26.08 Suam-Bukwo-24h'!G42,'27.08 Suam-Bukwo'!G42,'28.08 Suam-Bukwo'!G42,'29.08 Suam-Bukwo'!G42)</f>
        <v>0</v>
      </c>
      <c r="H42" s="52">
        <f>AVERAGE('23.08 Suam- Bukwo'!H42,'24.08 Suam-Bukwo-24h'!H42,'25.08 Suam-Bukwo'!H42, '26.08 Suam-Bukwo-24h'!H42,'27.08 Suam-Bukwo'!H42,'28.08 Suam-Bukwo'!H42,'29.08 Suam-Bukwo'!H42)</f>
        <v>0</v>
      </c>
      <c r="I42" s="52">
        <f>AVERAGE('23.08 Suam- Bukwo'!I42,'24.08 Suam-Bukwo-24h'!I42,'25.08 Suam-Bukwo'!I42, '26.08 Suam-Bukwo-24h'!I42,'27.08 Suam-Bukwo'!I42,'28.08 Suam-Bukwo'!I42,'29.08 Suam-Bukwo'!I42)</f>
        <v>0.8571428571428571</v>
      </c>
      <c r="J42" s="52">
        <f>AVERAGE('23.08 Suam- Bukwo'!J42,'24.08 Suam-Bukwo-24h'!J42,'25.08 Suam-Bukwo'!J42, '26.08 Suam-Bukwo-24h'!J42,'27.08 Suam-Bukwo'!J42,'28.08 Suam-Bukwo'!J42,'29.08 Suam-Bukwo'!J42)</f>
        <v>0</v>
      </c>
      <c r="K42" s="52">
        <f>AVERAGE('23.08 Suam- Bukwo'!K42,'24.08 Suam-Bukwo-24h'!K42,'25.08 Suam-Bukwo'!K42, '26.08 Suam-Bukwo-24h'!K42,'27.08 Suam-Bukwo'!K42,'28.08 Suam-Bukwo'!K42,'29.08 Suam-Bukwo'!K42)</f>
        <v>0</v>
      </c>
      <c r="L42" s="52">
        <f>AVERAGE('23.08 Suam- Bukwo'!L42,'24.08 Suam-Bukwo-24h'!L42,'25.08 Suam-Bukwo'!L42, '26.08 Suam-Bukwo-24h'!L42,'27.08 Suam-Bukwo'!L42,'28.08 Suam-Bukwo'!L42,'29.08 Suam-Bukwo'!L42)</f>
        <v>0</v>
      </c>
      <c r="M42" s="52">
        <f>AVERAGE('23.08 Suam- Bukwo'!M42,'24.08 Suam-Bukwo-24h'!M42,'25.08 Suam-Bukwo'!M42, '26.08 Suam-Bukwo-24h'!M42,'27.08 Suam-Bukwo'!M42,'28.08 Suam-Bukwo'!M42,'29.08 Suam-Bukwo'!M42)</f>
        <v>7.5714285714285712</v>
      </c>
      <c r="N42" s="52">
        <f>AVERAGE('23.08 Suam- Bukwo'!N42,'24.08 Suam-Bukwo-24h'!N42,'25.08 Suam-Bukwo'!N42, '26.08 Suam-Bukwo-24h'!N42,'27.08 Suam-Bukwo'!N42,'28.08 Suam-Bukwo'!N42,'29.08 Suam-Bukwo'!N42)</f>
        <v>0</v>
      </c>
      <c r="O42" s="15">
        <f t="shared" si="0"/>
        <v>1</v>
      </c>
      <c r="P42" s="15">
        <f t="shared" si="1"/>
        <v>8.5714285714285712</v>
      </c>
      <c r="R42" s="5" t="s">
        <v>160</v>
      </c>
      <c r="S42" s="48">
        <f>S41/S40</f>
        <v>1.4861111111111112</v>
      </c>
      <c r="T42" s="48">
        <f t="shared" ref="T42:AF42" si="34">T41/T40</f>
        <v>1.3043478260869565</v>
      </c>
      <c r="U42" s="48">
        <f t="shared" si="34"/>
        <v>1.4846153846153847</v>
      </c>
      <c r="V42" s="48">
        <v>0</v>
      </c>
      <c r="W42" s="48">
        <v>0</v>
      </c>
      <c r="X42" s="48">
        <v>0</v>
      </c>
      <c r="Y42" s="48">
        <f t="shared" si="34"/>
        <v>1.6340579710144927</v>
      </c>
      <c r="Z42" s="48">
        <f t="shared" si="34"/>
        <v>2.75</v>
      </c>
      <c r="AA42" s="48">
        <v>0</v>
      </c>
      <c r="AB42" s="48">
        <f t="shared" si="34"/>
        <v>1</v>
      </c>
      <c r="AC42" s="48">
        <f t="shared" si="34"/>
        <v>1.2237215909090908</v>
      </c>
      <c r="AD42" s="48">
        <f t="shared" si="34"/>
        <v>1</v>
      </c>
      <c r="AE42" s="58">
        <f t="shared" si="34"/>
        <v>1.513986013986014</v>
      </c>
      <c r="AF42" s="58">
        <f t="shared" si="34"/>
        <v>1.2455333683657384</v>
      </c>
    </row>
    <row r="43" spans="2:32" ht="23.1" customHeight="1" x14ac:dyDescent="0.25">
      <c r="B43" s="23" t="s">
        <v>70</v>
      </c>
      <c r="C43" s="52">
        <f>AVERAGE('23.08 Suam- Bukwo'!C43,'24.08 Suam-Bukwo-24h'!C43,'25.08 Suam-Bukwo'!C43, '26.08 Suam-Bukwo-24h'!C43,'27.08 Suam-Bukwo'!C43,'28.08 Suam-Bukwo'!C43,'29.08 Suam-Bukwo'!C43)</f>
        <v>0</v>
      </c>
      <c r="D43" s="52">
        <f>AVERAGE('23.08 Suam- Bukwo'!D43,'24.08 Suam-Bukwo-24h'!D43,'25.08 Suam-Bukwo'!D43, '26.08 Suam-Bukwo-24h'!D43,'27.08 Suam-Bukwo'!D43,'28.08 Suam-Bukwo'!D43,'29.08 Suam-Bukwo'!D43)</f>
        <v>0.14285714285714285</v>
      </c>
      <c r="E43" s="52">
        <f>AVERAGE('23.08 Suam- Bukwo'!E43,'24.08 Suam-Bukwo-24h'!E43,'25.08 Suam-Bukwo'!E43, '26.08 Suam-Bukwo-24h'!E43,'27.08 Suam-Bukwo'!E43,'28.08 Suam-Bukwo'!E43,'29.08 Suam-Bukwo'!E43)</f>
        <v>0.2857142857142857</v>
      </c>
      <c r="F43" s="52">
        <f>AVERAGE('23.08 Suam- Bukwo'!F43,'24.08 Suam-Bukwo-24h'!F43,'25.08 Suam-Bukwo'!F43, '26.08 Suam-Bukwo-24h'!F43,'27.08 Suam-Bukwo'!F43,'28.08 Suam-Bukwo'!F43,'29.08 Suam-Bukwo'!F43)</f>
        <v>0</v>
      </c>
      <c r="G43" s="52">
        <f>AVERAGE('23.08 Suam- Bukwo'!G43,'24.08 Suam-Bukwo-24h'!G43,'25.08 Suam-Bukwo'!G43, '26.08 Suam-Bukwo-24h'!G43,'27.08 Suam-Bukwo'!G43,'28.08 Suam-Bukwo'!G43,'29.08 Suam-Bukwo'!G43)</f>
        <v>0</v>
      </c>
      <c r="H43" s="52">
        <f>AVERAGE('23.08 Suam- Bukwo'!H43,'24.08 Suam-Bukwo-24h'!H43,'25.08 Suam-Bukwo'!H43, '26.08 Suam-Bukwo-24h'!H43,'27.08 Suam-Bukwo'!H43,'28.08 Suam-Bukwo'!H43,'29.08 Suam-Bukwo'!H43)</f>
        <v>0</v>
      </c>
      <c r="I43" s="52">
        <f>AVERAGE('23.08 Suam- Bukwo'!I43,'24.08 Suam-Bukwo-24h'!I43,'25.08 Suam-Bukwo'!I43, '26.08 Suam-Bukwo-24h'!I43,'27.08 Suam-Bukwo'!I43,'28.08 Suam-Bukwo'!I43,'29.08 Suam-Bukwo'!I43)</f>
        <v>0.8571428571428571</v>
      </c>
      <c r="J43" s="52">
        <f>AVERAGE('23.08 Suam- Bukwo'!J43,'24.08 Suam-Bukwo-24h'!J43,'25.08 Suam-Bukwo'!J43, '26.08 Suam-Bukwo-24h'!J43,'27.08 Suam-Bukwo'!J43,'28.08 Suam-Bukwo'!J43,'29.08 Suam-Bukwo'!J43)</f>
        <v>0</v>
      </c>
      <c r="K43" s="52">
        <f>AVERAGE('23.08 Suam- Bukwo'!K43,'24.08 Suam-Bukwo-24h'!K43,'25.08 Suam-Bukwo'!K43, '26.08 Suam-Bukwo-24h'!K43,'27.08 Suam-Bukwo'!K43,'28.08 Suam-Bukwo'!K43,'29.08 Suam-Bukwo'!K43)</f>
        <v>0</v>
      </c>
      <c r="L43" s="52">
        <f>AVERAGE('23.08 Suam- Bukwo'!L43,'24.08 Suam-Bukwo-24h'!L43,'25.08 Suam-Bukwo'!L43, '26.08 Suam-Bukwo-24h'!L43,'27.08 Suam-Bukwo'!L43,'28.08 Suam-Bukwo'!L43,'29.08 Suam-Bukwo'!L43)</f>
        <v>0</v>
      </c>
      <c r="M43" s="52">
        <f>AVERAGE('23.08 Suam- Bukwo'!M43,'24.08 Suam-Bukwo-24h'!M43,'25.08 Suam-Bukwo'!M43, '26.08 Suam-Bukwo-24h'!M43,'27.08 Suam-Bukwo'!M43,'28.08 Suam-Bukwo'!M43,'29.08 Suam-Bukwo'!M43)</f>
        <v>8.7142857142857135</v>
      </c>
      <c r="N43" s="52">
        <f>AVERAGE('23.08 Suam- Bukwo'!N43,'24.08 Suam-Bukwo-24h'!N43,'25.08 Suam-Bukwo'!N43, '26.08 Suam-Bukwo-24h'!N43,'27.08 Suam-Bukwo'!N43,'28.08 Suam-Bukwo'!N43,'29.08 Suam-Bukwo'!N43)</f>
        <v>0</v>
      </c>
      <c r="O43" s="15">
        <f t="shared" si="0"/>
        <v>1.2857142857142856</v>
      </c>
      <c r="P43" s="15">
        <f t="shared" si="1"/>
        <v>10</v>
      </c>
    </row>
    <row r="44" spans="2:32" ht="23.1" customHeight="1" x14ac:dyDescent="0.25">
      <c r="B44" s="25" t="s">
        <v>71</v>
      </c>
      <c r="C44" s="52">
        <f>AVERAGE('23.08 Suam- Bukwo'!C44,'24.08 Suam-Bukwo-24h'!C44,'25.08 Suam-Bukwo'!C44, '26.08 Suam-Bukwo-24h'!C44,'27.08 Suam-Bukwo'!C44,'28.08 Suam-Bukwo'!C44,'29.08 Suam-Bukwo'!C44)</f>
        <v>0.2857142857142857</v>
      </c>
      <c r="D44" s="52">
        <f>AVERAGE('23.08 Suam- Bukwo'!D44,'24.08 Suam-Bukwo-24h'!D44,'25.08 Suam-Bukwo'!D44, '26.08 Suam-Bukwo-24h'!D44,'27.08 Suam-Bukwo'!D44,'28.08 Suam-Bukwo'!D44,'29.08 Suam-Bukwo'!D44)</f>
        <v>0</v>
      </c>
      <c r="E44" s="52">
        <f>AVERAGE('23.08 Suam- Bukwo'!E44,'24.08 Suam-Bukwo-24h'!E44,'25.08 Suam-Bukwo'!E44, '26.08 Suam-Bukwo-24h'!E44,'27.08 Suam-Bukwo'!E44,'28.08 Suam-Bukwo'!E44,'29.08 Suam-Bukwo'!E44)</f>
        <v>0.14285714285714285</v>
      </c>
      <c r="F44" s="52">
        <f>AVERAGE('23.08 Suam- Bukwo'!F44,'24.08 Suam-Bukwo-24h'!F44,'25.08 Suam-Bukwo'!F44, '26.08 Suam-Bukwo-24h'!F44,'27.08 Suam-Bukwo'!F44,'28.08 Suam-Bukwo'!F44,'29.08 Suam-Bukwo'!F44)</f>
        <v>0</v>
      </c>
      <c r="G44" s="52">
        <f>AVERAGE('23.08 Suam- Bukwo'!G44,'24.08 Suam-Bukwo-24h'!G44,'25.08 Suam-Bukwo'!G44, '26.08 Suam-Bukwo-24h'!G44,'27.08 Suam-Bukwo'!G44,'28.08 Suam-Bukwo'!G44,'29.08 Suam-Bukwo'!G44)</f>
        <v>0</v>
      </c>
      <c r="H44" s="52">
        <f>AVERAGE('23.08 Suam- Bukwo'!H44,'24.08 Suam-Bukwo-24h'!H44,'25.08 Suam-Bukwo'!H44, '26.08 Suam-Bukwo-24h'!H44,'27.08 Suam-Bukwo'!H44,'28.08 Suam-Bukwo'!H44,'29.08 Suam-Bukwo'!H44)</f>
        <v>0</v>
      </c>
      <c r="I44" s="52">
        <f>AVERAGE('23.08 Suam- Bukwo'!I44,'24.08 Suam-Bukwo-24h'!I44,'25.08 Suam-Bukwo'!I44, '26.08 Suam-Bukwo-24h'!I44,'27.08 Suam-Bukwo'!I44,'28.08 Suam-Bukwo'!I44,'29.08 Suam-Bukwo'!I44)</f>
        <v>0.2857142857142857</v>
      </c>
      <c r="J44" s="52">
        <f>AVERAGE('23.08 Suam- Bukwo'!J44,'24.08 Suam-Bukwo-24h'!J44,'25.08 Suam-Bukwo'!J44, '26.08 Suam-Bukwo-24h'!J44,'27.08 Suam-Bukwo'!J44,'28.08 Suam-Bukwo'!J44,'29.08 Suam-Bukwo'!J44)</f>
        <v>0</v>
      </c>
      <c r="K44" s="52">
        <f>AVERAGE('23.08 Suam- Bukwo'!K44,'24.08 Suam-Bukwo-24h'!K44,'25.08 Suam-Bukwo'!K44, '26.08 Suam-Bukwo-24h'!K44,'27.08 Suam-Bukwo'!K44,'28.08 Suam-Bukwo'!K44,'29.08 Suam-Bukwo'!K44)</f>
        <v>0</v>
      </c>
      <c r="L44" s="52">
        <f>AVERAGE('23.08 Suam- Bukwo'!L44,'24.08 Suam-Bukwo-24h'!L44,'25.08 Suam-Bukwo'!L44, '26.08 Suam-Bukwo-24h'!L44,'27.08 Suam-Bukwo'!L44,'28.08 Suam-Bukwo'!L44,'29.08 Suam-Bukwo'!L44)</f>
        <v>0</v>
      </c>
      <c r="M44" s="52">
        <f>AVERAGE('23.08 Suam- Bukwo'!M44,'24.08 Suam-Bukwo-24h'!M44,'25.08 Suam-Bukwo'!M44, '26.08 Suam-Bukwo-24h'!M44,'27.08 Suam-Bukwo'!M44,'28.08 Suam-Bukwo'!M44,'29.08 Suam-Bukwo'!M44)</f>
        <v>8.5714285714285712</v>
      </c>
      <c r="N44" s="52">
        <f>AVERAGE('23.08 Suam- Bukwo'!N44,'24.08 Suam-Bukwo-24h'!N44,'25.08 Suam-Bukwo'!N44, '26.08 Suam-Bukwo-24h'!N44,'27.08 Suam-Bukwo'!N44,'28.08 Suam-Bukwo'!N44,'29.08 Suam-Bukwo'!N44)</f>
        <v>0</v>
      </c>
      <c r="O44" s="15">
        <f t="shared" si="0"/>
        <v>0.71428571428571419</v>
      </c>
      <c r="P44" s="15">
        <f t="shared" si="1"/>
        <v>9.2857142857142847</v>
      </c>
    </row>
    <row r="45" spans="2:32" ht="23.1" customHeight="1" x14ac:dyDescent="0.25">
      <c r="B45" s="23" t="s">
        <v>72</v>
      </c>
      <c r="C45" s="52">
        <f>AVERAGE('23.08 Suam- Bukwo'!C45,'24.08 Suam-Bukwo-24h'!C45,'25.08 Suam-Bukwo'!C45, '26.08 Suam-Bukwo-24h'!C45,'27.08 Suam-Bukwo'!C45,'28.08 Suam-Bukwo'!C45,'29.08 Suam-Bukwo'!C45)</f>
        <v>0.14285714285714285</v>
      </c>
      <c r="D45" s="52">
        <f>AVERAGE('23.08 Suam- Bukwo'!D45,'24.08 Suam-Bukwo-24h'!D45,'25.08 Suam-Bukwo'!D45, '26.08 Suam-Bukwo-24h'!D45,'27.08 Suam-Bukwo'!D45,'28.08 Suam-Bukwo'!D45,'29.08 Suam-Bukwo'!D45)</f>
        <v>0</v>
      </c>
      <c r="E45" s="52">
        <f>AVERAGE('23.08 Suam- Bukwo'!E45,'24.08 Suam-Bukwo-24h'!E45,'25.08 Suam-Bukwo'!E45, '26.08 Suam-Bukwo-24h'!E45,'27.08 Suam-Bukwo'!E45,'28.08 Suam-Bukwo'!E45,'29.08 Suam-Bukwo'!E45)</f>
        <v>0</v>
      </c>
      <c r="F45" s="52">
        <f>AVERAGE('23.08 Suam- Bukwo'!F45,'24.08 Suam-Bukwo-24h'!F45,'25.08 Suam-Bukwo'!F45, '26.08 Suam-Bukwo-24h'!F45,'27.08 Suam-Bukwo'!F45,'28.08 Suam-Bukwo'!F45,'29.08 Suam-Bukwo'!F45)</f>
        <v>0</v>
      </c>
      <c r="G45" s="52">
        <f>AVERAGE('23.08 Suam- Bukwo'!G45,'24.08 Suam-Bukwo-24h'!G45,'25.08 Suam-Bukwo'!G45, '26.08 Suam-Bukwo-24h'!G45,'27.08 Suam-Bukwo'!G45,'28.08 Suam-Bukwo'!G45,'29.08 Suam-Bukwo'!G45)</f>
        <v>0</v>
      </c>
      <c r="H45" s="52">
        <f>AVERAGE('23.08 Suam- Bukwo'!H45,'24.08 Suam-Bukwo-24h'!H45,'25.08 Suam-Bukwo'!H45, '26.08 Suam-Bukwo-24h'!H45,'27.08 Suam-Bukwo'!H45,'28.08 Suam-Bukwo'!H45,'29.08 Suam-Bukwo'!H45)</f>
        <v>0</v>
      </c>
      <c r="I45" s="52">
        <f>AVERAGE('23.08 Suam- Bukwo'!I45,'24.08 Suam-Bukwo-24h'!I45,'25.08 Suam-Bukwo'!I45, '26.08 Suam-Bukwo-24h'!I45,'27.08 Suam-Bukwo'!I45,'28.08 Suam-Bukwo'!I45,'29.08 Suam-Bukwo'!I45)</f>
        <v>0.14285714285714285</v>
      </c>
      <c r="J45" s="52">
        <f>AVERAGE('23.08 Suam- Bukwo'!J45,'24.08 Suam-Bukwo-24h'!J45,'25.08 Suam-Bukwo'!J45, '26.08 Suam-Bukwo-24h'!J45,'27.08 Suam-Bukwo'!J45,'28.08 Suam-Bukwo'!J45,'29.08 Suam-Bukwo'!J45)</f>
        <v>0</v>
      </c>
      <c r="K45" s="52">
        <f>AVERAGE('23.08 Suam- Bukwo'!K45,'24.08 Suam-Bukwo-24h'!K45,'25.08 Suam-Bukwo'!K45, '26.08 Suam-Bukwo-24h'!K45,'27.08 Suam-Bukwo'!K45,'28.08 Suam-Bukwo'!K45,'29.08 Suam-Bukwo'!K45)</f>
        <v>0</v>
      </c>
      <c r="L45" s="52">
        <f>AVERAGE('23.08 Suam- Bukwo'!L45,'24.08 Suam-Bukwo-24h'!L45,'25.08 Suam-Bukwo'!L45, '26.08 Suam-Bukwo-24h'!L45,'27.08 Suam-Bukwo'!L45,'28.08 Suam-Bukwo'!L45,'29.08 Suam-Bukwo'!L45)</f>
        <v>0</v>
      </c>
      <c r="M45" s="52">
        <f>AVERAGE('23.08 Suam- Bukwo'!M45,'24.08 Suam-Bukwo-24h'!M45,'25.08 Suam-Bukwo'!M45, '26.08 Suam-Bukwo-24h'!M45,'27.08 Suam-Bukwo'!M45,'28.08 Suam-Bukwo'!M45,'29.08 Suam-Bukwo'!M45)</f>
        <v>9</v>
      </c>
      <c r="N45" s="52">
        <f>AVERAGE('23.08 Suam- Bukwo'!N45,'24.08 Suam-Bukwo-24h'!N45,'25.08 Suam-Bukwo'!N45, '26.08 Suam-Bukwo-24h'!N45,'27.08 Suam-Bukwo'!N45,'28.08 Suam-Bukwo'!N45,'29.08 Suam-Bukwo'!N45)</f>
        <v>0</v>
      </c>
      <c r="O45" s="15">
        <f t="shared" si="0"/>
        <v>0.2857142857142857</v>
      </c>
      <c r="P45" s="15">
        <f t="shared" si="1"/>
        <v>9.2857142857142865</v>
      </c>
    </row>
    <row r="46" spans="2:32" ht="23.1" customHeight="1" x14ac:dyDescent="0.25">
      <c r="B46" s="24" t="s">
        <v>73</v>
      </c>
      <c r="C46" s="52">
        <f>AVERAGE('23.08 Suam- Bukwo'!C46,'24.08 Suam-Bukwo-24h'!C46,'25.08 Suam-Bukwo'!C46, '26.08 Suam-Bukwo-24h'!C46,'27.08 Suam-Bukwo'!C46,'28.08 Suam-Bukwo'!C46,'29.08 Suam-Bukwo'!C46)</f>
        <v>0</v>
      </c>
      <c r="D46" s="52">
        <f>AVERAGE('23.08 Suam- Bukwo'!D46,'24.08 Suam-Bukwo-24h'!D46,'25.08 Suam-Bukwo'!D46, '26.08 Suam-Bukwo-24h'!D46,'27.08 Suam-Bukwo'!D46,'28.08 Suam-Bukwo'!D46,'29.08 Suam-Bukwo'!D46)</f>
        <v>0</v>
      </c>
      <c r="E46" s="52">
        <f>AVERAGE('23.08 Suam- Bukwo'!E46,'24.08 Suam-Bukwo-24h'!E46,'25.08 Suam-Bukwo'!E46, '26.08 Suam-Bukwo-24h'!E46,'27.08 Suam-Bukwo'!E46,'28.08 Suam-Bukwo'!E46,'29.08 Suam-Bukwo'!E46)</f>
        <v>0</v>
      </c>
      <c r="F46" s="52">
        <f>AVERAGE('23.08 Suam- Bukwo'!F46,'24.08 Suam-Bukwo-24h'!F46,'25.08 Suam-Bukwo'!F46, '26.08 Suam-Bukwo-24h'!F46,'27.08 Suam-Bukwo'!F46,'28.08 Suam-Bukwo'!F46,'29.08 Suam-Bukwo'!F46)</f>
        <v>0</v>
      </c>
      <c r="G46" s="52">
        <f>AVERAGE('23.08 Suam- Bukwo'!G46,'24.08 Suam-Bukwo-24h'!G46,'25.08 Suam-Bukwo'!G46, '26.08 Suam-Bukwo-24h'!G46,'27.08 Suam-Bukwo'!G46,'28.08 Suam-Bukwo'!G46,'29.08 Suam-Bukwo'!G46)</f>
        <v>0</v>
      </c>
      <c r="H46" s="52">
        <f>AVERAGE('23.08 Suam- Bukwo'!H46,'24.08 Suam-Bukwo-24h'!H46,'25.08 Suam-Bukwo'!H46, '26.08 Suam-Bukwo-24h'!H46,'27.08 Suam-Bukwo'!H46,'28.08 Suam-Bukwo'!H46,'29.08 Suam-Bukwo'!H46)</f>
        <v>0</v>
      </c>
      <c r="I46" s="52">
        <f>AVERAGE('23.08 Suam- Bukwo'!I46,'24.08 Suam-Bukwo-24h'!I46,'25.08 Suam-Bukwo'!I46, '26.08 Suam-Bukwo-24h'!I46,'27.08 Suam-Bukwo'!I46,'28.08 Suam-Bukwo'!I46,'29.08 Suam-Bukwo'!I46)</f>
        <v>0.42857142857142855</v>
      </c>
      <c r="J46" s="52">
        <f>AVERAGE('23.08 Suam- Bukwo'!J46,'24.08 Suam-Bukwo-24h'!J46,'25.08 Suam-Bukwo'!J46, '26.08 Suam-Bukwo-24h'!J46,'27.08 Suam-Bukwo'!J46,'28.08 Suam-Bukwo'!J46,'29.08 Suam-Bukwo'!J46)</f>
        <v>0</v>
      </c>
      <c r="K46" s="52">
        <f>AVERAGE('23.08 Suam- Bukwo'!K46,'24.08 Suam-Bukwo-24h'!K46,'25.08 Suam-Bukwo'!K46, '26.08 Suam-Bukwo-24h'!K46,'27.08 Suam-Bukwo'!K46,'28.08 Suam-Bukwo'!K46,'29.08 Suam-Bukwo'!K46)</f>
        <v>0</v>
      </c>
      <c r="L46" s="52">
        <f>AVERAGE('23.08 Suam- Bukwo'!L46,'24.08 Suam-Bukwo-24h'!L46,'25.08 Suam-Bukwo'!L46, '26.08 Suam-Bukwo-24h'!L46,'27.08 Suam-Bukwo'!L46,'28.08 Suam-Bukwo'!L46,'29.08 Suam-Bukwo'!L46)</f>
        <v>0</v>
      </c>
      <c r="M46" s="52">
        <f>AVERAGE('23.08 Suam- Bukwo'!M46,'24.08 Suam-Bukwo-24h'!M46,'25.08 Suam-Bukwo'!M46, '26.08 Suam-Bukwo-24h'!M46,'27.08 Suam-Bukwo'!M46,'28.08 Suam-Bukwo'!M46,'29.08 Suam-Bukwo'!M46)</f>
        <v>8.8571428571428577</v>
      </c>
      <c r="N46" s="52">
        <f>AVERAGE('23.08 Suam- Bukwo'!N46,'24.08 Suam-Bukwo-24h'!N46,'25.08 Suam-Bukwo'!N46, '26.08 Suam-Bukwo-24h'!N46,'27.08 Suam-Bukwo'!N46,'28.08 Suam-Bukwo'!N46,'29.08 Suam-Bukwo'!N46)</f>
        <v>0</v>
      </c>
      <c r="O46" s="15">
        <f t="shared" si="0"/>
        <v>0.42857142857142855</v>
      </c>
      <c r="P46" s="15">
        <f t="shared" si="1"/>
        <v>9.2857142857142865</v>
      </c>
      <c r="R46" s="8"/>
      <c r="T46"/>
    </row>
    <row r="47" spans="2:32" ht="23.1" customHeight="1" x14ac:dyDescent="0.25">
      <c r="B47" s="24" t="s">
        <v>74</v>
      </c>
      <c r="C47" s="52">
        <f>AVERAGE('23.08 Suam- Bukwo'!C47,'24.08 Suam-Bukwo-24h'!C47,'25.08 Suam-Bukwo'!C47, '26.08 Suam-Bukwo-24h'!C47,'27.08 Suam-Bukwo'!C47,'28.08 Suam-Bukwo'!C47,'29.08 Suam-Bukwo'!C47)</f>
        <v>0</v>
      </c>
      <c r="D47" s="52">
        <f>AVERAGE('23.08 Suam- Bukwo'!D47,'24.08 Suam-Bukwo-24h'!D47,'25.08 Suam-Bukwo'!D47, '26.08 Suam-Bukwo-24h'!D47,'27.08 Suam-Bukwo'!D47,'28.08 Suam-Bukwo'!D47,'29.08 Suam-Bukwo'!D47)</f>
        <v>0.14285714285714285</v>
      </c>
      <c r="E47" s="52">
        <f>AVERAGE('23.08 Suam- Bukwo'!E47,'24.08 Suam-Bukwo-24h'!E47,'25.08 Suam-Bukwo'!E47, '26.08 Suam-Bukwo-24h'!E47,'27.08 Suam-Bukwo'!E47,'28.08 Suam-Bukwo'!E47,'29.08 Suam-Bukwo'!E47)</f>
        <v>0</v>
      </c>
      <c r="F47" s="52">
        <f>AVERAGE('23.08 Suam- Bukwo'!F47,'24.08 Suam-Bukwo-24h'!F47,'25.08 Suam-Bukwo'!F47, '26.08 Suam-Bukwo-24h'!F47,'27.08 Suam-Bukwo'!F47,'28.08 Suam-Bukwo'!F47,'29.08 Suam-Bukwo'!F47)</f>
        <v>0</v>
      </c>
      <c r="G47" s="52">
        <f>AVERAGE('23.08 Suam- Bukwo'!G47,'24.08 Suam-Bukwo-24h'!G47,'25.08 Suam-Bukwo'!G47, '26.08 Suam-Bukwo-24h'!G47,'27.08 Suam-Bukwo'!G47,'28.08 Suam-Bukwo'!G47,'29.08 Suam-Bukwo'!G47)</f>
        <v>0</v>
      </c>
      <c r="H47" s="52">
        <f>AVERAGE('23.08 Suam- Bukwo'!H47,'24.08 Suam-Bukwo-24h'!H47,'25.08 Suam-Bukwo'!H47, '26.08 Suam-Bukwo-24h'!H47,'27.08 Suam-Bukwo'!H47,'28.08 Suam-Bukwo'!H47,'29.08 Suam-Bukwo'!H47)</f>
        <v>0</v>
      </c>
      <c r="I47" s="52">
        <f>AVERAGE('23.08 Suam- Bukwo'!I47,'24.08 Suam-Bukwo-24h'!I47,'25.08 Suam-Bukwo'!I47, '26.08 Suam-Bukwo-24h'!I47,'27.08 Suam-Bukwo'!I47,'28.08 Suam-Bukwo'!I47,'29.08 Suam-Bukwo'!I47)</f>
        <v>0.5714285714285714</v>
      </c>
      <c r="J47" s="52">
        <f>AVERAGE('23.08 Suam- Bukwo'!J47,'24.08 Suam-Bukwo-24h'!J47,'25.08 Suam-Bukwo'!J47, '26.08 Suam-Bukwo-24h'!J47,'27.08 Suam-Bukwo'!J47,'28.08 Suam-Bukwo'!J47,'29.08 Suam-Bukwo'!J47)</f>
        <v>0</v>
      </c>
      <c r="K47" s="52">
        <f>AVERAGE('23.08 Suam- Bukwo'!K47,'24.08 Suam-Bukwo-24h'!K47,'25.08 Suam-Bukwo'!K47, '26.08 Suam-Bukwo-24h'!K47,'27.08 Suam-Bukwo'!K47,'28.08 Suam-Bukwo'!K47,'29.08 Suam-Bukwo'!K47)</f>
        <v>0</v>
      </c>
      <c r="L47" s="52">
        <f>AVERAGE('23.08 Suam- Bukwo'!L47,'24.08 Suam-Bukwo-24h'!L47,'25.08 Suam-Bukwo'!L47, '26.08 Suam-Bukwo-24h'!L47,'27.08 Suam-Bukwo'!L47,'28.08 Suam-Bukwo'!L47,'29.08 Suam-Bukwo'!L47)</f>
        <v>0</v>
      </c>
      <c r="M47" s="52">
        <f>AVERAGE('23.08 Suam- Bukwo'!M47,'24.08 Suam-Bukwo-24h'!M47,'25.08 Suam-Bukwo'!M47, '26.08 Suam-Bukwo-24h'!M47,'27.08 Suam-Bukwo'!M47,'28.08 Suam-Bukwo'!M47,'29.08 Suam-Bukwo'!M47)</f>
        <v>8.7142857142857135</v>
      </c>
      <c r="N47" s="52">
        <f>AVERAGE('23.08 Suam- Bukwo'!N47,'24.08 Suam-Bukwo-24h'!N47,'25.08 Suam-Bukwo'!N47, '26.08 Suam-Bukwo-24h'!N47,'27.08 Suam-Bukwo'!N47,'28.08 Suam-Bukwo'!N47,'29.08 Suam-Bukwo'!N47)</f>
        <v>0</v>
      </c>
      <c r="O47" s="15">
        <f t="shared" si="0"/>
        <v>0.71428571428571419</v>
      </c>
      <c r="P47" s="15">
        <f t="shared" si="1"/>
        <v>9.428571428571427</v>
      </c>
      <c r="R47" s="8"/>
      <c r="T47"/>
    </row>
    <row r="48" spans="2:32" ht="23.1" customHeight="1" x14ac:dyDescent="0.25">
      <c r="B48" s="24" t="s">
        <v>75</v>
      </c>
      <c r="C48" s="52">
        <f>AVERAGE('23.08 Suam- Bukwo'!C48,'24.08 Suam-Bukwo-24h'!C48,'25.08 Suam-Bukwo'!C48, '26.08 Suam-Bukwo-24h'!C48,'27.08 Suam-Bukwo'!C48,'28.08 Suam-Bukwo'!C48,'29.08 Suam-Bukwo'!C48)</f>
        <v>0.14285714285714285</v>
      </c>
      <c r="D48" s="52">
        <f>AVERAGE('23.08 Suam- Bukwo'!D48,'24.08 Suam-Bukwo-24h'!D48,'25.08 Suam-Bukwo'!D48, '26.08 Suam-Bukwo-24h'!D48,'27.08 Suam-Bukwo'!D48,'28.08 Suam-Bukwo'!D48,'29.08 Suam-Bukwo'!D48)</f>
        <v>0.14285714285714285</v>
      </c>
      <c r="E48" s="52">
        <f>AVERAGE('23.08 Suam- Bukwo'!E48,'24.08 Suam-Bukwo-24h'!E48,'25.08 Suam-Bukwo'!E48, '26.08 Suam-Bukwo-24h'!E48,'27.08 Suam-Bukwo'!E48,'28.08 Suam-Bukwo'!E48,'29.08 Suam-Bukwo'!E48)</f>
        <v>0.14285714285714285</v>
      </c>
      <c r="F48" s="52">
        <f>AVERAGE('23.08 Suam- Bukwo'!F48,'24.08 Suam-Bukwo-24h'!F48,'25.08 Suam-Bukwo'!F48, '26.08 Suam-Bukwo-24h'!F48,'27.08 Suam-Bukwo'!F48,'28.08 Suam-Bukwo'!F48,'29.08 Suam-Bukwo'!F48)</f>
        <v>0</v>
      </c>
      <c r="G48" s="52">
        <f>AVERAGE('23.08 Suam- Bukwo'!G48,'24.08 Suam-Bukwo-24h'!G48,'25.08 Suam-Bukwo'!G48, '26.08 Suam-Bukwo-24h'!G48,'27.08 Suam-Bukwo'!G48,'28.08 Suam-Bukwo'!G48,'29.08 Suam-Bukwo'!G48)</f>
        <v>0</v>
      </c>
      <c r="H48" s="52">
        <f>AVERAGE('23.08 Suam- Bukwo'!H48,'24.08 Suam-Bukwo-24h'!H48,'25.08 Suam-Bukwo'!H48, '26.08 Suam-Bukwo-24h'!H48,'27.08 Suam-Bukwo'!H48,'28.08 Suam-Bukwo'!H48,'29.08 Suam-Bukwo'!H48)</f>
        <v>0</v>
      </c>
      <c r="I48" s="52">
        <f>AVERAGE('23.08 Suam- Bukwo'!I48,'24.08 Suam-Bukwo-24h'!I48,'25.08 Suam-Bukwo'!I48, '26.08 Suam-Bukwo-24h'!I48,'27.08 Suam-Bukwo'!I48,'28.08 Suam-Bukwo'!I48,'29.08 Suam-Bukwo'!I48)</f>
        <v>0.14285714285714285</v>
      </c>
      <c r="J48" s="52">
        <f>AVERAGE('23.08 Suam- Bukwo'!J48,'24.08 Suam-Bukwo-24h'!J48,'25.08 Suam-Bukwo'!J48, '26.08 Suam-Bukwo-24h'!J48,'27.08 Suam-Bukwo'!J48,'28.08 Suam-Bukwo'!J48,'29.08 Suam-Bukwo'!J48)</f>
        <v>0</v>
      </c>
      <c r="K48" s="52">
        <f>AVERAGE('23.08 Suam- Bukwo'!K48,'24.08 Suam-Bukwo-24h'!K48,'25.08 Suam-Bukwo'!K48, '26.08 Suam-Bukwo-24h'!K48,'27.08 Suam-Bukwo'!K48,'28.08 Suam-Bukwo'!K48,'29.08 Suam-Bukwo'!K48)</f>
        <v>0</v>
      </c>
      <c r="L48" s="52">
        <f>AVERAGE('23.08 Suam- Bukwo'!L48,'24.08 Suam-Bukwo-24h'!L48,'25.08 Suam-Bukwo'!L48, '26.08 Suam-Bukwo-24h'!L48,'27.08 Suam-Bukwo'!L48,'28.08 Suam-Bukwo'!L48,'29.08 Suam-Bukwo'!L48)</f>
        <v>0</v>
      </c>
      <c r="M48" s="52">
        <f>AVERAGE('23.08 Suam- Bukwo'!M48,'24.08 Suam-Bukwo-24h'!M48,'25.08 Suam-Bukwo'!M48, '26.08 Suam-Bukwo-24h'!M48,'27.08 Suam-Bukwo'!M48,'28.08 Suam-Bukwo'!M48,'29.08 Suam-Bukwo'!M48)</f>
        <v>8.7142857142857135</v>
      </c>
      <c r="N48" s="52">
        <f>AVERAGE('23.08 Suam- Bukwo'!N48,'24.08 Suam-Bukwo-24h'!N48,'25.08 Suam-Bukwo'!N48, '26.08 Suam-Bukwo-24h'!N48,'27.08 Suam-Bukwo'!N48,'28.08 Suam-Bukwo'!N48,'29.08 Suam-Bukwo'!N48)</f>
        <v>0</v>
      </c>
      <c r="O48" s="15">
        <f t="shared" si="0"/>
        <v>0.5714285714285714</v>
      </c>
      <c r="P48" s="15">
        <f t="shared" si="1"/>
        <v>9.2857142857142847</v>
      </c>
      <c r="R48" s="8"/>
      <c r="T48"/>
    </row>
    <row r="49" spans="2:20" ht="23.1" customHeight="1" x14ac:dyDescent="0.25">
      <c r="B49" s="23" t="s">
        <v>76</v>
      </c>
      <c r="C49" s="52">
        <f>AVERAGE('23.08 Suam- Bukwo'!C49,'24.08 Suam-Bukwo-24h'!C49,'25.08 Suam-Bukwo'!C49, '26.08 Suam-Bukwo-24h'!C49,'27.08 Suam-Bukwo'!C49,'28.08 Suam-Bukwo'!C49,'29.08 Suam-Bukwo'!C49)</f>
        <v>0</v>
      </c>
      <c r="D49" s="52">
        <f>AVERAGE('23.08 Suam- Bukwo'!D49,'24.08 Suam-Bukwo-24h'!D49,'25.08 Suam-Bukwo'!D49, '26.08 Suam-Bukwo-24h'!D49,'27.08 Suam-Bukwo'!D49,'28.08 Suam-Bukwo'!D49,'29.08 Suam-Bukwo'!D49)</f>
        <v>0.14285714285714285</v>
      </c>
      <c r="E49" s="52">
        <f>AVERAGE('23.08 Suam- Bukwo'!E49,'24.08 Suam-Bukwo-24h'!E49,'25.08 Suam-Bukwo'!E49, '26.08 Suam-Bukwo-24h'!E49,'27.08 Suam-Bukwo'!E49,'28.08 Suam-Bukwo'!E49,'29.08 Suam-Bukwo'!E49)</f>
        <v>0.14285714285714285</v>
      </c>
      <c r="F49" s="52">
        <f>AVERAGE('23.08 Suam- Bukwo'!F49,'24.08 Suam-Bukwo-24h'!F49,'25.08 Suam-Bukwo'!F49, '26.08 Suam-Bukwo-24h'!F49,'27.08 Suam-Bukwo'!F49,'28.08 Suam-Bukwo'!F49,'29.08 Suam-Bukwo'!F49)</f>
        <v>0</v>
      </c>
      <c r="G49" s="52">
        <f>AVERAGE('23.08 Suam- Bukwo'!G49,'24.08 Suam-Bukwo-24h'!G49,'25.08 Suam-Bukwo'!G49, '26.08 Suam-Bukwo-24h'!G49,'27.08 Suam-Bukwo'!G49,'28.08 Suam-Bukwo'!G49,'29.08 Suam-Bukwo'!G49)</f>
        <v>0</v>
      </c>
      <c r="H49" s="52">
        <f>AVERAGE('23.08 Suam- Bukwo'!H49,'24.08 Suam-Bukwo-24h'!H49,'25.08 Suam-Bukwo'!H49, '26.08 Suam-Bukwo-24h'!H49,'27.08 Suam-Bukwo'!H49,'28.08 Suam-Bukwo'!H49,'29.08 Suam-Bukwo'!H49)</f>
        <v>0</v>
      </c>
      <c r="I49" s="52">
        <f>AVERAGE('23.08 Suam- Bukwo'!I49,'24.08 Suam-Bukwo-24h'!I49,'25.08 Suam-Bukwo'!I49, '26.08 Suam-Bukwo-24h'!I49,'27.08 Suam-Bukwo'!I49,'28.08 Suam-Bukwo'!I49,'29.08 Suam-Bukwo'!I49)</f>
        <v>0.42857142857142855</v>
      </c>
      <c r="J49" s="52">
        <f>AVERAGE('23.08 Suam- Bukwo'!J49,'24.08 Suam-Bukwo-24h'!J49,'25.08 Suam-Bukwo'!J49, '26.08 Suam-Bukwo-24h'!J49,'27.08 Suam-Bukwo'!J49,'28.08 Suam-Bukwo'!J49,'29.08 Suam-Bukwo'!J49)</f>
        <v>0</v>
      </c>
      <c r="K49" s="52">
        <f>AVERAGE('23.08 Suam- Bukwo'!K49,'24.08 Suam-Bukwo-24h'!K49,'25.08 Suam-Bukwo'!K49, '26.08 Suam-Bukwo-24h'!K49,'27.08 Suam-Bukwo'!K49,'28.08 Suam-Bukwo'!K49,'29.08 Suam-Bukwo'!K49)</f>
        <v>0</v>
      </c>
      <c r="L49" s="52">
        <f>AVERAGE('23.08 Suam- Bukwo'!L49,'24.08 Suam-Bukwo-24h'!L49,'25.08 Suam-Bukwo'!L49, '26.08 Suam-Bukwo-24h'!L49,'27.08 Suam-Bukwo'!L49,'28.08 Suam-Bukwo'!L49,'29.08 Suam-Bukwo'!L49)</f>
        <v>0</v>
      </c>
      <c r="M49" s="52">
        <f>AVERAGE('23.08 Suam- Bukwo'!M49,'24.08 Suam-Bukwo-24h'!M49,'25.08 Suam-Bukwo'!M49, '26.08 Suam-Bukwo-24h'!M49,'27.08 Suam-Bukwo'!M49,'28.08 Suam-Bukwo'!M49,'29.08 Suam-Bukwo'!M49)</f>
        <v>10.857142857142858</v>
      </c>
      <c r="N49" s="52">
        <f>AVERAGE('23.08 Suam- Bukwo'!N49,'24.08 Suam-Bukwo-24h'!N49,'25.08 Suam-Bukwo'!N49, '26.08 Suam-Bukwo-24h'!N49,'27.08 Suam-Bukwo'!N49,'28.08 Suam-Bukwo'!N49,'29.08 Suam-Bukwo'!N49)</f>
        <v>0</v>
      </c>
      <c r="O49" s="15">
        <f t="shared" si="0"/>
        <v>0.71428571428571419</v>
      </c>
      <c r="P49" s="15">
        <f t="shared" si="1"/>
        <v>11.571428571428571</v>
      </c>
      <c r="R49" s="8"/>
      <c r="T49"/>
    </row>
    <row r="50" spans="2:20" ht="23.1" customHeight="1" x14ac:dyDescent="0.25">
      <c r="B50" s="24" t="s">
        <v>77</v>
      </c>
      <c r="C50" s="52">
        <f>AVERAGE('23.08 Suam- Bukwo'!C50,'24.08 Suam-Bukwo-24h'!C50,'25.08 Suam-Bukwo'!C50, '26.08 Suam-Bukwo-24h'!C50,'27.08 Suam-Bukwo'!C50,'28.08 Suam-Bukwo'!C50,'29.08 Suam-Bukwo'!C50)</f>
        <v>0.14285714285714285</v>
      </c>
      <c r="D50" s="52">
        <f>AVERAGE('23.08 Suam- Bukwo'!D50,'24.08 Suam-Bukwo-24h'!D50,'25.08 Suam-Bukwo'!D50, '26.08 Suam-Bukwo-24h'!D50,'27.08 Suam-Bukwo'!D50,'28.08 Suam-Bukwo'!D50,'29.08 Suam-Bukwo'!D50)</f>
        <v>0</v>
      </c>
      <c r="E50" s="52">
        <f>AVERAGE('23.08 Suam- Bukwo'!E50,'24.08 Suam-Bukwo-24h'!E50,'25.08 Suam-Bukwo'!E50, '26.08 Suam-Bukwo-24h'!E50,'27.08 Suam-Bukwo'!E50,'28.08 Suam-Bukwo'!E50,'29.08 Suam-Bukwo'!E50)</f>
        <v>0</v>
      </c>
      <c r="F50" s="52">
        <f>AVERAGE('23.08 Suam- Bukwo'!F50,'24.08 Suam-Bukwo-24h'!F50,'25.08 Suam-Bukwo'!F50, '26.08 Suam-Bukwo-24h'!F50,'27.08 Suam-Bukwo'!F50,'28.08 Suam-Bukwo'!F50,'29.08 Suam-Bukwo'!F50)</f>
        <v>0</v>
      </c>
      <c r="G50" s="52">
        <f>AVERAGE('23.08 Suam- Bukwo'!G50,'24.08 Suam-Bukwo-24h'!G50,'25.08 Suam-Bukwo'!G50, '26.08 Suam-Bukwo-24h'!G50,'27.08 Suam-Bukwo'!G50,'28.08 Suam-Bukwo'!G50,'29.08 Suam-Bukwo'!G50)</f>
        <v>0</v>
      </c>
      <c r="H50" s="52">
        <f>AVERAGE('23.08 Suam- Bukwo'!H50,'24.08 Suam-Bukwo-24h'!H50,'25.08 Suam-Bukwo'!H50, '26.08 Suam-Bukwo-24h'!H50,'27.08 Suam-Bukwo'!H50,'28.08 Suam-Bukwo'!H50,'29.08 Suam-Bukwo'!H50)</f>
        <v>0</v>
      </c>
      <c r="I50" s="52">
        <f>AVERAGE('23.08 Suam- Bukwo'!I50,'24.08 Suam-Bukwo-24h'!I50,'25.08 Suam-Bukwo'!I50, '26.08 Suam-Bukwo-24h'!I50,'27.08 Suam-Bukwo'!I50,'28.08 Suam-Bukwo'!I50,'29.08 Suam-Bukwo'!I50)</f>
        <v>0.14285714285714285</v>
      </c>
      <c r="J50" s="52">
        <f>AVERAGE('23.08 Suam- Bukwo'!J50,'24.08 Suam-Bukwo-24h'!J50,'25.08 Suam-Bukwo'!J50, '26.08 Suam-Bukwo-24h'!J50,'27.08 Suam-Bukwo'!J50,'28.08 Suam-Bukwo'!J50,'29.08 Suam-Bukwo'!J50)</f>
        <v>0</v>
      </c>
      <c r="K50" s="52">
        <f>AVERAGE('23.08 Suam- Bukwo'!K50,'24.08 Suam-Bukwo-24h'!K50,'25.08 Suam-Bukwo'!K50, '26.08 Suam-Bukwo-24h'!K50,'27.08 Suam-Bukwo'!K50,'28.08 Suam-Bukwo'!K50,'29.08 Suam-Bukwo'!K50)</f>
        <v>0</v>
      </c>
      <c r="L50" s="52">
        <f>AVERAGE('23.08 Suam- Bukwo'!L50,'24.08 Suam-Bukwo-24h'!L50,'25.08 Suam-Bukwo'!L50, '26.08 Suam-Bukwo-24h'!L50,'27.08 Suam-Bukwo'!L50,'28.08 Suam-Bukwo'!L50,'29.08 Suam-Bukwo'!L50)</f>
        <v>0</v>
      </c>
      <c r="M50" s="52">
        <f>AVERAGE('23.08 Suam- Bukwo'!M50,'24.08 Suam-Bukwo-24h'!M50,'25.08 Suam-Bukwo'!M50, '26.08 Suam-Bukwo-24h'!M50,'27.08 Suam-Bukwo'!M50,'28.08 Suam-Bukwo'!M50,'29.08 Suam-Bukwo'!M50)</f>
        <v>8.8571428571428577</v>
      </c>
      <c r="N50" s="52">
        <f>AVERAGE('23.08 Suam- Bukwo'!N50,'24.08 Suam-Bukwo-24h'!N50,'25.08 Suam-Bukwo'!N50, '26.08 Suam-Bukwo-24h'!N50,'27.08 Suam-Bukwo'!N50,'28.08 Suam-Bukwo'!N50,'29.08 Suam-Bukwo'!N50)</f>
        <v>0</v>
      </c>
      <c r="O50" s="15">
        <f t="shared" si="0"/>
        <v>0.2857142857142857</v>
      </c>
      <c r="P50" s="15">
        <f t="shared" si="1"/>
        <v>9.1428571428571441</v>
      </c>
      <c r="R50" s="8"/>
      <c r="T50"/>
    </row>
    <row r="51" spans="2:20" ht="23.1" customHeight="1" x14ac:dyDescent="0.25">
      <c r="B51" s="24" t="s">
        <v>78</v>
      </c>
      <c r="C51" s="52">
        <f>AVERAGE('23.08 Suam- Bukwo'!C51,'24.08 Suam-Bukwo-24h'!C51,'25.08 Suam-Bukwo'!C51, '26.08 Suam-Bukwo-24h'!C51,'27.08 Suam-Bukwo'!C51,'28.08 Suam-Bukwo'!C51,'29.08 Suam-Bukwo'!C51)</f>
        <v>0.14285714285714285</v>
      </c>
      <c r="D51" s="52">
        <f>AVERAGE('23.08 Suam- Bukwo'!D51,'24.08 Suam-Bukwo-24h'!D51,'25.08 Suam-Bukwo'!D51, '26.08 Suam-Bukwo-24h'!D51,'27.08 Suam-Bukwo'!D51,'28.08 Suam-Bukwo'!D51,'29.08 Suam-Bukwo'!D51)</f>
        <v>0.14285714285714285</v>
      </c>
      <c r="E51" s="52">
        <f>AVERAGE('23.08 Suam- Bukwo'!E51,'24.08 Suam-Bukwo-24h'!E51,'25.08 Suam-Bukwo'!E51, '26.08 Suam-Bukwo-24h'!E51,'27.08 Suam-Bukwo'!E51,'28.08 Suam-Bukwo'!E51,'29.08 Suam-Bukwo'!E51)</f>
        <v>0.7142857142857143</v>
      </c>
      <c r="F51" s="52">
        <f>AVERAGE('23.08 Suam- Bukwo'!F51,'24.08 Suam-Bukwo-24h'!F51,'25.08 Suam-Bukwo'!F51, '26.08 Suam-Bukwo-24h'!F51,'27.08 Suam-Bukwo'!F51,'28.08 Suam-Bukwo'!F51,'29.08 Suam-Bukwo'!F51)</f>
        <v>0</v>
      </c>
      <c r="G51" s="52">
        <f>AVERAGE('23.08 Suam- Bukwo'!G51,'24.08 Suam-Bukwo-24h'!G51,'25.08 Suam-Bukwo'!G51, '26.08 Suam-Bukwo-24h'!G51,'27.08 Suam-Bukwo'!G51,'28.08 Suam-Bukwo'!G51,'29.08 Suam-Bukwo'!G51)</f>
        <v>0</v>
      </c>
      <c r="H51" s="52">
        <f>AVERAGE('23.08 Suam- Bukwo'!H51,'24.08 Suam-Bukwo-24h'!H51,'25.08 Suam-Bukwo'!H51, '26.08 Suam-Bukwo-24h'!H51,'27.08 Suam-Bukwo'!H51,'28.08 Suam-Bukwo'!H51,'29.08 Suam-Bukwo'!H51)</f>
        <v>0</v>
      </c>
      <c r="I51" s="52">
        <f>AVERAGE('23.08 Suam- Bukwo'!I51,'24.08 Suam-Bukwo-24h'!I51,'25.08 Suam-Bukwo'!I51, '26.08 Suam-Bukwo-24h'!I51,'27.08 Suam-Bukwo'!I51,'28.08 Suam-Bukwo'!I51,'29.08 Suam-Bukwo'!I51)</f>
        <v>0.7142857142857143</v>
      </c>
      <c r="J51" s="52">
        <f>AVERAGE('23.08 Suam- Bukwo'!J51,'24.08 Suam-Bukwo-24h'!J51,'25.08 Suam-Bukwo'!J51, '26.08 Suam-Bukwo-24h'!J51,'27.08 Suam-Bukwo'!J51,'28.08 Suam-Bukwo'!J51,'29.08 Suam-Bukwo'!J51)</f>
        <v>0</v>
      </c>
      <c r="K51" s="52">
        <f>AVERAGE('23.08 Suam- Bukwo'!K51,'24.08 Suam-Bukwo-24h'!K51,'25.08 Suam-Bukwo'!K51, '26.08 Suam-Bukwo-24h'!K51,'27.08 Suam-Bukwo'!K51,'28.08 Suam-Bukwo'!K51,'29.08 Suam-Bukwo'!K51)</f>
        <v>0</v>
      </c>
      <c r="L51" s="52">
        <f>AVERAGE('23.08 Suam- Bukwo'!L51,'24.08 Suam-Bukwo-24h'!L51,'25.08 Suam-Bukwo'!L51, '26.08 Suam-Bukwo-24h'!L51,'27.08 Suam-Bukwo'!L51,'28.08 Suam-Bukwo'!L51,'29.08 Suam-Bukwo'!L51)</f>
        <v>0</v>
      </c>
      <c r="M51" s="52">
        <f>AVERAGE('23.08 Suam- Bukwo'!M51,'24.08 Suam-Bukwo-24h'!M51,'25.08 Suam-Bukwo'!M51, '26.08 Suam-Bukwo-24h'!M51,'27.08 Suam-Bukwo'!M51,'28.08 Suam-Bukwo'!M51,'29.08 Suam-Bukwo'!M51)</f>
        <v>10.571428571428571</v>
      </c>
      <c r="N51" s="52">
        <f>AVERAGE('23.08 Suam- Bukwo'!N51,'24.08 Suam-Bukwo-24h'!N51,'25.08 Suam-Bukwo'!N51, '26.08 Suam-Bukwo-24h'!N51,'27.08 Suam-Bukwo'!N51,'28.08 Suam-Bukwo'!N51,'29.08 Suam-Bukwo'!N51)</f>
        <v>0</v>
      </c>
      <c r="O51" s="15">
        <f t="shared" si="0"/>
        <v>1.7142857142857144</v>
      </c>
      <c r="P51" s="15">
        <f t="shared" si="1"/>
        <v>12.285714285714285</v>
      </c>
      <c r="R51" s="8"/>
      <c r="T51"/>
    </row>
    <row r="52" spans="2:20" ht="23.1" customHeight="1" x14ac:dyDescent="0.25">
      <c r="B52" s="24" t="s">
        <v>79</v>
      </c>
      <c r="C52" s="52">
        <f>AVERAGE('23.08 Suam- Bukwo'!C52,'24.08 Suam-Bukwo-24h'!C52,'25.08 Suam-Bukwo'!C52, '26.08 Suam-Bukwo-24h'!C52,'27.08 Suam-Bukwo'!C52,'28.08 Suam-Bukwo'!C52,'29.08 Suam-Bukwo'!C52)</f>
        <v>0</v>
      </c>
      <c r="D52" s="52">
        <f>AVERAGE('23.08 Suam- Bukwo'!D52,'24.08 Suam-Bukwo-24h'!D52,'25.08 Suam-Bukwo'!D52, '26.08 Suam-Bukwo-24h'!D52,'27.08 Suam-Bukwo'!D52,'28.08 Suam-Bukwo'!D52,'29.08 Suam-Bukwo'!D52)</f>
        <v>0</v>
      </c>
      <c r="E52" s="52">
        <f>AVERAGE('23.08 Suam- Bukwo'!E52,'24.08 Suam-Bukwo-24h'!E52,'25.08 Suam-Bukwo'!E52, '26.08 Suam-Bukwo-24h'!E52,'27.08 Suam-Bukwo'!E52,'28.08 Suam-Bukwo'!E52,'29.08 Suam-Bukwo'!E52)</f>
        <v>0.2857142857142857</v>
      </c>
      <c r="F52" s="52">
        <f>AVERAGE('23.08 Suam- Bukwo'!F52,'24.08 Suam-Bukwo-24h'!F52,'25.08 Suam-Bukwo'!F52, '26.08 Suam-Bukwo-24h'!F52,'27.08 Suam-Bukwo'!F52,'28.08 Suam-Bukwo'!F52,'29.08 Suam-Bukwo'!F52)</f>
        <v>0</v>
      </c>
      <c r="G52" s="52">
        <f>AVERAGE('23.08 Suam- Bukwo'!G52,'24.08 Suam-Bukwo-24h'!G52,'25.08 Suam-Bukwo'!G52, '26.08 Suam-Bukwo-24h'!G52,'27.08 Suam-Bukwo'!G52,'28.08 Suam-Bukwo'!G52,'29.08 Suam-Bukwo'!G52)</f>
        <v>0</v>
      </c>
      <c r="H52" s="52">
        <f>AVERAGE('23.08 Suam- Bukwo'!H52,'24.08 Suam-Bukwo-24h'!H52,'25.08 Suam-Bukwo'!H52, '26.08 Suam-Bukwo-24h'!H52,'27.08 Suam-Bukwo'!H52,'28.08 Suam-Bukwo'!H52,'29.08 Suam-Bukwo'!H52)</f>
        <v>0</v>
      </c>
      <c r="I52" s="52">
        <f>AVERAGE('23.08 Suam- Bukwo'!I52,'24.08 Suam-Bukwo-24h'!I52,'25.08 Suam-Bukwo'!I52, '26.08 Suam-Bukwo-24h'!I52,'27.08 Suam-Bukwo'!I52,'28.08 Suam-Bukwo'!I52,'29.08 Suam-Bukwo'!I52)</f>
        <v>0.14285714285714285</v>
      </c>
      <c r="J52" s="52">
        <f>AVERAGE('23.08 Suam- Bukwo'!J52,'24.08 Suam-Bukwo-24h'!J52,'25.08 Suam-Bukwo'!J52, '26.08 Suam-Bukwo-24h'!J52,'27.08 Suam-Bukwo'!J52,'28.08 Suam-Bukwo'!J52,'29.08 Suam-Bukwo'!J52)</f>
        <v>0</v>
      </c>
      <c r="K52" s="52">
        <f>AVERAGE('23.08 Suam- Bukwo'!K52,'24.08 Suam-Bukwo-24h'!K52,'25.08 Suam-Bukwo'!K52, '26.08 Suam-Bukwo-24h'!K52,'27.08 Suam-Bukwo'!K52,'28.08 Suam-Bukwo'!K52,'29.08 Suam-Bukwo'!K52)</f>
        <v>0</v>
      </c>
      <c r="L52" s="52">
        <f>AVERAGE('23.08 Suam- Bukwo'!L52,'24.08 Suam-Bukwo-24h'!L52,'25.08 Suam-Bukwo'!L52, '26.08 Suam-Bukwo-24h'!L52,'27.08 Suam-Bukwo'!L52,'28.08 Suam-Bukwo'!L52,'29.08 Suam-Bukwo'!L52)</f>
        <v>0</v>
      </c>
      <c r="M52" s="52">
        <f>AVERAGE('23.08 Suam- Bukwo'!M52,'24.08 Suam-Bukwo-24h'!M52,'25.08 Suam-Bukwo'!M52, '26.08 Suam-Bukwo-24h'!M52,'27.08 Suam-Bukwo'!M52,'28.08 Suam-Bukwo'!M52,'29.08 Suam-Bukwo'!M52)</f>
        <v>10.857142857142858</v>
      </c>
      <c r="N52" s="52">
        <f>AVERAGE('23.08 Suam- Bukwo'!N52,'24.08 Suam-Bukwo-24h'!N52,'25.08 Suam-Bukwo'!N52, '26.08 Suam-Bukwo-24h'!N52,'27.08 Suam-Bukwo'!N52,'28.08 Suam-Bukwo'!N52,'29.08 Suam-Bukwo'!N52)</f>
        <v>0</v>
      </c>
      <c r="O52" s="15">
        <f t="shared" si="0"/>
        <v>0.42857142857142855</v>
      </c>
      <c r="P52" s="15">
        <f t="shared" si="1"/>
        <v>11.285714285714286</v>
      </c>
      <c r="R52" s="8"/>
      <c r="T52"/>
    </row>
    <row r="53" spans="2:20" ht="23.1" customHeight="1" x14ac:dyDescent="0.25">
      <c r="B53" s="23" t="s">
        <v>80</v>
      </c>
      <c r="C53" s="52">
        <f>AVERAGE('23.08 Suam- Bukwo'!C53,'24.08 Suam-Bukwo-24h'!C53,'25.08 Suam-Bukwo'!C53, '26.08 Suam-Bukwo-24h'!C53,'27.08 Suam-Bukwo'!C53,'28.08 Suam-Bukwo'!C53,'29.08 Suam-Bukwo'!C53)</f>
        <v>0.42857142857142855</v>
      </c>
      <c r="D53" s="52">
        <f>AVERAGE('23.08 Suam- Bukwo'!D53,'24.08 Suam-Bukwo-24h'!D53,'25.08 Suam-Bukwo'!D53, '26.08 Suam-Bukwo-24h'!D53,'27.08 Suam-Bukwo'!D53,'28.08 Suam-Bukwo'!D53,'29.08 Suam-Bukwo'!D53)</f>
        <v>0</v>
      </c>
      <c r="E53" s="52">
        <f>AVERAGE('23.08 Suam- Bukwo'!E53,'24.08 Suam-Bukwo-24h'!E53,'25.08 Suam-Bukwo'!E53, '26.08 Suam-Bukwo-24h'!E53,'27.08 Suam-Bukwo'!E53,'28.08 Suam-Bukwo'!E53,'29.08 Suam-Bukwo'!E53)</f>
        <v>0</v>
      </c>
      <c r="F53" s="52">
        <f>AVERAGE('23.08 Suam- Bukwo'!F53,'24.08 Suam-Bukwo-24h'!F53,'25.08 Suam-Bukwo'!F53, '26.08 Suam-Bukwo-24h'!F53,'27.08 Suam-Bukwo'!F53,'28.08 Suam-Bukwo'!F53,'29.08 Suam-Bukwo'!F53)</f>
        <v>0</v>
      </c>
      <c r="G53" s="52">
        <f>AVERAGE('23.08 Suam- Bukwo'!G53,'24.08 Suam-Bukwo-24h'!G53,'25.08 Suam-Bukwo'!G53, '26.08 Suam-Bukwo-24h'!G53,'27.08 Suam-Bukwo'!G53,'28.08 Suam-Bukwo'!G53,'29.08 Suam-Bukwo'!G53)</f>
        <v>0</v>
      </c>
      <c r="H53" s="52">
        <f>AVERAGE('23.08 Suam- Bukwo'!H53,'24.08 Suam-Bukwo-24h'!H53,'25.08 Suam-Bukwo'!H53, '26.08 Suam-Bukwo-24h'!H53,'27.08 Suam-Bukwo'!H53,'28.08 Suam-Bukwo'!H53,'29.08 Suam-Bukwo'!H53)</f>
        <v>0</v>
      </c>
      <c r="I53" s="52">
        <f>AVERAGE('23.08 Suam- Bukwo'!I53,'24.08 Suam-Bukwo-24h'!I53,'25.08 Suam-Bukwo'!I53, '26.08 Suam-Bukwo-24h'!I53,'27.08 Suam-Bukwo'!I53,'28.08 Suam-Bukwo'!I53,'29.08 Suam-Bukwo'!I53)</f>
        <v>0.42857142857142855</v>
      </c>
      <c r="J53" s="52">
        <f>AVERAGE('23.08 Suam- Bukwo'!J53,'24.08 Suam-Bukwo-24h'!J53,'25.08 Suam-Bukwo'!J53, '26.08 Suam-Bukwo-24h'!J53,'27.08 Suam-Bukwo'!J53,'28.08 Suam-Bukwo'!J53,'29.08 Suam-Bukwo'!J53)</f>
        <v>0</v>
      </c>
      <c r="K53" s="52">
        <f>AVERAGE('23.08 Suam- Bukwo'!K53,'24.08 Suam-Bukwo-24h'!K53,'25.08 Suam-Bukwo'!K53, '26.08 Suam-Bukwo-24h'!K53,'27.08 Suam-Bukwo'!K53,'28.08 Suam-Bukwo'!K53,'29.08 Suam-Bukwo'!K53)</f>
        <v>0</v>
      </c>
      <c r="L53" s="52">
        <f>AVERAGE('23.08 Suam- Bukwo'!L53,'24.08 Suam-Bukwo-24h'!L53,'25.08 Suam-Bukwo'!L53, '26.08 Suam-Bukwo-24h'!L53,'27.08 Suam-Bukwo'!L53,'28.08 Suam-Bukwo'!L53,'29.08 Suam-Bukwo'!L53)</f>
        <v>0</v>
      </c>
      <c r="M53" s="52">
        <f>AVERAGE('23.08 Suam- Bukwo'!M53,'24.08 Suam-Bukwo-24h'!M53,'25.08 Suam-Bukwo'!M53, '26.08 Suam-Bukwo-24h'!M53,'27.08 Suam-Bukwo'!M53,'28.08 Suam-Bukwo'!M53,'29.08 Suam-Bukwo'!M53)</f>
        <v>8.8571428571428577</v>
      </c>
      <c r="N53" s="52">
        <f>AVERAGE('23.08 Suam- Bukwo'!N53,'24.08 Suam-Bukwo-24h'!N53,'25.08 Suam-Bukwo'!N53, '26.08 Suam-Bukwo-24h'!N53,'27.08 Suam-Bukwo'!N53,'28.08 Suam-Bukwo'!N53,'29.08 Suam-Bukwo'!N53)</f>
        <v>0</v>
      </c>
      <c r="O53" s="15">
        <f t="shared" si="0"/>
        <v>0.8571428571428571</v>
      </c>
      <c r="P53" s="15">
        <f t="shared" si="1"/>
        <v>9.7142857142857153</v>
      </c>
      <c r="R53" s="8"/>
      <c r="T53"/>
    </row>
    <row r="54" spans="2:20" ht="23.1" customHeight="1" x14ac:dyDescent="0.25">
      <c r="B54" s="23" t="s">
        <v>81</v>
      </c>
      <c r="C54" s="52">
        <f>AVERAGE('23.08 Suam- Bukwo'!C54,'24.08 Suam-Bukwo-24h'!C54,'25.08 Suam-Bukwo'!C54, '26.08 Suam-Bukwo-24h'!C54,'27.08 Suam-Bukwo'!C54,'28.08 Suam-Bukwo'!C54,'29.08 Suam-Bukwo'!C54)</f>
        <v>0</v>
      </c>
      <c r="D54" s="52">
        <f>AVERAGE('23.08 Suam- Bukwo'!D54,'24.08 Suam-Bukwo-24h'!D54,'25.08 Suam-Bukwo'!D54, '26.08 Suam-Bukwo-24h'!D54,'27.08 Suam-Bukwo'!D54,'28.08 Suam-Bukwo'!D54,'29.08 Suam-Bukwo'!D54)</f>
        <v>0</v>
      </c>
      <c r="E54" s="52">
        <f>AVERAGE('23.08 Suam- Bukwo'!E54,'24.08 Suam-Bukwo-24h'!E54,'25.08 Suam-Bukwo'!E54, '26.08 Suam-Bukwo-24h'!E54,'27.08 Suam-Bukwo'!E54,'28.08 Suam-Bukwo'!E54,'29.08 Suam-Bukwo'!E54)</f>
        <v>0.7142857142857143</v>
      </c>
      <c r="F54" s="52">
        <f>AVERAGE('23.08 Suam- Bukwo'!F54,'24.08 Suam-Bukwo-24h'!F54,'25.08 Suam-Bukwo'!F54, '26.08 Suam-Bukwo-24h'!F54,'27.08 Suam-Bukwo'!F54,'28.08 Suam-Bukwo'!F54,'29.08 Suam-Bukwo'!F54)</f>
        <v>0</v>
      </c>
      <c r="G54" s="52">
        <f>AVERAGE('23.08 Suam- Bukwo'!G54,'24.08 Suam-Bukwo-24h'!G54,'25.08 Suam-Bukwo'!G54, '26.08 Suam-Bukwo-24h'!G54,'27.08 Suam-Bukwo'!G54,'28.08 Suam-Bukwo'!G54,'29.08 Suam-Bukwo'!G54)</f>
        <v>0</v>
      </c>
      <c r="H54" s="52">
        <f>AVERAGE('23.08 Suam- Bukwo'!H54,'24.08 Suam-Bukwo-24h'!H54,'25.08 Suam-Bukwo'!H54, '26.08 Suam-Bukwo-24h'!H54,'27.08 Suam-Bukwo'!H54,'28.08 Suam-Bukwo'!H54,'29.08 Suam-Bukwo'!H54)</f>
        <v>0</v>
      </c>
      <c r="I54" s="52">
        <f>AVERAGE('23.08 Suam- Bukwo'!I54,'24.08 Suam-Bukwo-24h'!I54,'25.08 Suam-Bukwo'!I54, '26.08 Suam-Bukwo-24h'!I54,'27.08 Suam-Bukwo'!I54,'28.08 Suam-Bukwo'!I54,'29.08 Suam-Bukwo'!I54)</f>
        <v>0.42857142857142855</v>
      </c>
      <c r="J54" s="52">
        <f>AVERAGE('23.08 Suam- Bukwo'!J54,'24.08 Suam-Bukwo-24h'!J54,'25.08 Suam-Bukwo'!J54, '26.08 Suam-Bukwo-24h'!J54,'27.08 Suam-Bukwo'!J54,'28.08 Suam-Bukwo'!J54,'29.08 Suam-Bukwo'!J54)</f>
        <v>0</v>
      </c>
      <c r="K54" s="52">
        <f>AVERAGE('23.08 Suam- Bukwo'!K54,'24.08 Suam-Bukwo-24h'!K54,'25.08 Suam-Bukwo'!K54, '26.08 Suam-Bukwo-24h'!K54,'27.08 Suam-Bukwo'!K54,'28.08 Suam-Bukwo'!K54,'29.08 Suam-Bukwo'!K54)</f>
        <v>0</v>
      </c>
      <c r="L54" s="52">
        <f>AVERAGE('23.08 Suam- Bukwo'!L54,'24.08 Suam-Bukwo-24h'!L54,'25.08 Suam-Bukwo'!L54, '26.08 Suam-Bukwo-24h'!L54,'27.08 Suam-Bukwo'!L54,'28.08 Suam-Bukwo'!L54,'29.08 Suam-Bukwo'!L54)</f>
        <v>0</v>
      </c>
      <c r="M54" s="52">
        <f>AVERAGE('23.08 Suam- Bukwo'!M54,'24.08 Suam-Bukwo-24h'!M54,'25.08 Suam-Bukwo'!M54, '26.08 Suam-Bukwo-24h'!M54,'27.08 Suam-Bukwo'!M54,'28.08 Suam-Bukwo'!M54,'29.08 Suam-Bukwo'!M54)</f>
        <v>10.285714285714286</v>
      </c>
      <c r="N54" s="52">
        <f>AVERAGE('23.08 Suam- Bukwo'!N54,'24.08 Suam-Bukwo-24h'!N54,'25.08 Suam-Bukwo'!N54, '26.08 Suam-Bukwo-24h'!N54,'27.08 Suam-Bukwo'!N54,'28.08 Suam-Bukwo'!N54,'29.08 Suam-Bukwo'!N54)</f>
        <v>0</v>
      </c>
      <c r="O54" s="15">
        <f t="shared" si="0"/>
        <v>1.1428571428571428</v>
      </c>
      <c r="P54" s="15">
        <f t="shared" si="1"/>
        <v>11.428571428571429</v>
      </c>
      <c r="R54" s="8"/>
      <c r="T54"/>
    </row>
    <row r="55" spans="2:20" ht="23.1" customHeight="1" x14ac:dyDescent="0.25">
      <c r="B55" s="23" t="s">
        <v>82</v>
      </c>
      <c r="C55" s="52">
        <f>AVERAGE('23.08 Suam- Bukwo'!C55,'24.08 Suam-Bukwo-24h'!C55,'25.08 Suam-Bukwo'!C55, '26.08 Suam-Bukwo-24h'!C55,'27.08 Suam-Bukwo'!C55,'28.08 Suam-Bukwo'!C55,'29.08 Suam-Bukwo'!C55)</f>
        <v>0.14285714285714285</v>
      </c>
      <c r="D55" s="52">
        <f>AVERAGE('23.08 Suam- Bukwo'!D55,'24.08 Suam-Bukwo-24h'!D55,'25.08 Suam-Bukwo'!D55, '26.08 Suam-Bukwo-24h'!D55,'27.08 Suam-Bukwo'!D55,'28.08 Suam-Bukwo'!D55,'29.08 Suam-Bukwo'!D55)</f>
        <v>0</v>
      </c>
      <c r="E55" s="52">
        <f>AVERAGE('23.08 Suam- Bukwo'!E55,'24.08 Suam-Bukwo-24h'!E55,'25.08 Suam-Bukwo'!E55, '26.08 Suam-Bukwo-24h'!E55,'27.08 Suam-Bukwo'!E55,'28.08 Suam-Bukwo'!E55,'29.08 Suam-Bukwo'!E55)</f>
        <v>0.14285714285714285</v>
      </c>
      <c r="F55" s="52">
        <f>AVERAGE('23.08 Suam- Bukwo'!F55,'24.08 Suam-Bukwo-24h'!F55,'25.08 Suam-Bukwo'!F55, '26.08 Suam-Bukwo-24h'!F55,'27.08 Suam-Bukwo'!F55,'28.08 Suam-Bukwo'!F55,'29.08 Suam-Bukwo'!F55)</f>
        <v>0</v>
      </c>
      <c r="G55" s="52">
        <f>AVERAGE('23.08 Suam- Bukwo'!G55,'24.08 Suam-Bukwo-24h'!G55,'25.08 Suam-Bukwo'!G55, '26.08 Suam-Bukwo-24h'!G55,'27.08 Suam-Bukwo'!G55,'28.08 Suam-Bukwo'!G55,'29.08 Suam-Bukwo'!G55)</f>
        <v>0</v>
      </c>
      <c r="H55" s="52">
        <f>AVERAGE('23.08 Suam- Bukwo'!H55,'24.08 Suam-Bukwo-24h'!H55,'25.08 Suam-Bukwo'!H55, '26.08 Suam-Bukwo-24h'!H55,'27.08 Suam-Bukwo'!H55,'28.08 Suam-Bukwo'!H55,'29.08 Suam-Bukwo'!H55)</f>
        <v>0</v>
      </c>
      <c r="I55" s="52">
        <f>AVERAGE('23.08 Suam- Bukwo'!I55,'24.08 Suam-Bukwo-24h'!I55,'25.08 Suam-Bukwo'!I55, '26.08 Suam-Bukwo-24h'!I55,'27.08 Suam-Bukwo'!I55,'28.08 Suam-Bukwo'!I55,'29.08 Suam-Bukwo'!I55)</f>
        <v>0.14285714285714285</v>
      </c>
      <c r="J55" s="52">
        <f>AVERAGE('23.08 Suam- Bukwo'!J55,'24.08 Suam-Bukwo-24h'!J55,'25.08 Suam-Bukwo'!J55, '26.08 Suam-Bukwo-24h'!J55,'27.08 Suam-Bukwo'!J55,'28.08 Suam-Bukwo'!J55,'29.08 Suam-Bukwo'!J55)</f>
        <v>0</v>
      </c>
      <c r="K55" s="52">
        <f>AVERAGE('23.08 Suam- Bukwo'!K55,'24.08 Suam-Bukwo-24h'!K55,'25.08 Suam-Bukwo'!K55, '26.08 Suam-Bukwo-24h'!K55,'27.08 Suam-Bukwo'!K55,'28.08 Suam-Bukwo'!K55,'29.08 Suam-Bukwo'!K55)</f>
        <v>0</v>
      </c>
      <c r="L55" s="52">
        <f>AVERAGE('23.08 Suam- Bukwo'!L55,'24.08 Suam-Bukwo-24h'!L55,'25.08 Suam-Bukwo'!L55, '26.08 Suam-Bukwo-24h'!L55,'27.08 Suam-Bukwo'!L55,'28.08 Suam-Bukwo'!L55,'29.08 Suam-Bukwo'!L55)</f>
        <v>0</v>
      </c>
      <c r="M55" s="52">
        <f>AVERAGE('23.08 Suam- Bukwo'!M55,'24.08 Suam-Bukwo-24h'!M55,'25.08 Suam-Bukwo'!M55, '26.08 Suam-Bukwo-24h'!M55,'27.08 Suam-Bukwo'!M55,'28.08 Suam-Bukwo'!M55,'29.08 Suam-Bukwo'!M55)</f>
        <v>9.5714285714285712</v>
      </c>
      <c r="N55" s="52">
        <f>AVERAGE('23.08 Suam- Bukwo'!N55,'24.08 Suam-Bukwo-24h'!N55,'25.08 Suam-Bukwo'!N55, '26.08 Suam-Bukwo-24h'!N55,'27.08 Suam-Bukwo'!N55,'28.08 Suam-Bukwo'!N55,'29.08 Suam-Bukwo'!N55)</f>
        <v>0</v>
      </c>
      <c r="O55" s="15">
        <f t="shared" si="0"/>
        <v>0.42857142857142855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2">
        <f>AVERAGE('23.08 Suam- Bukwo'!C56,'24.08 Suam-Bukwo-24h'!C56,'25.08 Suam-Bukwo'!C56, '26.08 Suam-Bukwo-24h'!C56,'27.08 Suam-Bukwo'!C56,'28.08 Suam-Bukwo'!C56,'29.08 Suam-Bukwo'!C56)</f>
        <v>0.14285714285714285</v>
      </c>
      <c r="D56" s="52">
        <f>AVERAGE('23.08 Suam- Bukwo'!D56,'24.08 Suam-Bukwo-24h'!D56,'25.08 Suam-Bukwo'!D56, '26.08 Suam-Bukwo-24h'!D56,'27.08 Suam-Bukwo'!D56,'28.08 Suam-Bukwo'!D56,'29.08 Suam-Bukwo'!D56)</f>
        <v>0</v>
      </c>
      <c r="E56" s="52">
        <f>AVERAGE('23.08 Suam- Bukwo'!E56,'24.08 Suam-Bukwo-24h'!E56,'25.08 Suam-Bukwo'!E56, '26.08 Suam-Bukwo-24h'!E56,'27.08 Suam-Bukwo'!E56,'28.08 Suam-Bukwo'!E56,'29.08 Suam-Bukwo'!E56)</f>
        <v>0.2857142857142857</v>
      </c>
      <c r="F56" s="52">
        <f>AVERAGE('23.08 Suam- Bukwo'!F56,'24.08 Suam-Bukwo-24h'!F56,'25.08 Suam-Bukwo'!F56, '26.08 Suam-Bukwo-24h'!F56,'27.08 Suam-Bukwo'!F56,'28.08 Suam-Bukwo'!F56,'29.08 Suam-Bukwo'!F56)</f>
        <v>0</v>
      </c>
      <c r="G56" s="52">
        <f>AVERAGE('23.08 Suam- Bukwo'!G56,'24.08 Suam-Bukwo-24h'!G56,'25.08 Suam-Bukwo'!G56, '26.08 Suam-Bukwo-24h'!G56,'27.08 Suam-Bukwo'!G56,'28.08 Suam-Bukwo'!G56,'29.08 Suam-Bukwo'!G56)</f>
        <v>0</v>
      </c>
      <c r="H56" s="52">
        <f>AVERAGE('23.08 Suam- Bukwo'!H56,'24.08 Suam-Bukwo-24h'!H56,'25.08 Suam-Bukwo'!H56, '26.08 Suam-Bukwo-24h'!H56,'27.08 Suam-Bukwo'!H56,'28.08 Suam-Bukwo'!H56,'29.08 Suam-Bukwo'!H56)</f>
        <v>0</v>
      </c>
      <c r="I56" s="52">
        <f>AVERAGE('23.08 Suam- Bukwo'!I56,'24.08 Suam-Bukwo-24h'!I56,'25.08 Suam-Bukwo'!I56, '26.08 Suam-Bukwo-24h'!I56,'27.08 Suam-Bukwo'!I56,'28.08 Suam-Bukwo'!I56,'29.08 Suam-Bukwo'!I56)</f>
        <v>0.42857142857142855</v>
      </c>
      <c r="J56" s="52">
        <f>AVERAGE('23.08 Suam- Bukwo'!J56,'24.08 Suam-Bukwo-24h'!J56,'25.08 Suam-Bukwo'!J56, '26.08 Suam-Bukwo-24h'!J56,'27.08 Suam-Bukwo'!J56,'28.08 Suam-Bukwo'!J56,'29.08 Suam-Bukwo'!J56)</f>
        <v>0</v>
      </c>
      <c r="K56" s="52">
        <f>AVERAGE('23.08 Suam- Bukwo'!K56,'24.08 Suam-Bukwo-24h'!K56,'25.08 Suam-Bukwo'!K56, '26.08 Suam-Bukwo-24h'!K56,'27.08 Suam-Bukwo'!K56,'28.08 Suam-Bukwo'!K56,'29.08 Suam-Bukwo'!K56)</f>
        <v>0</v>
      </c>
      <c r="L56" s="52">
        <f>AVERAGE('23.08 Suam- Bukwo'!L56,'24.08 Suam-Bukwo-24h'!L56,'25.08 Suam-Bukwo'!L56, '26.08 Suam-Bukwo-24h'!L56,'27.08 Suam-Bukwo'!L56,'28.08 Suam-Bukwo'!L56,'29.08 Suam-Bukwo'!L56)</f>
        <v>0</v>
      </c>
      <c r="M56" s="52">
        <f>AVERAGE('23.08 Suam- Bukwo'!M56,'24.08 Suam-Bukwo-24h'!M56,'25.08 Suam-Bukwo'!M56, '26.08 Suam-Bukwo-24h'!M56,'27.08 Suam-Bukwo'!M56,'28.08 Suam-Bukwo'!M56,'29.08 Suam-Bukwo'!M56)</f>
        <v>9.7142857142857135</v>
      </c>
      <c r="N56" s="52">
        <f>AVERAGE('23.08 Suam- Bukwo'!N56,'24.08 Suam-Bukwo-24h'!N56,'25.08 Suam-Bukwo'!N56, '26.08 Suam-Bukwo-24h'!N56,'27.08 Suam-Bukwo'!N56,'28.08 Suam-Bukwo'!N56,'29.08 Suam-Bukwo'!N56)</f>
        <v>0</v>
      </c>
      <c r="O56" s="15">
        <f t="shared" si="0"/>
        <v>0.8571428571428571</v>
      </c>
      <c r="P56" s="15">
        <f t="shared" si="1"/>
        <v>10.571428571428571</v>
      </c>
      <c r="R56" s="8"/>
      <c r="T56"/>
    </row>
    <row r="57" spans="2:20" ht="23.1" customHeight="1" x14ac:dyDescent="0.25">
      <c r="B57" s="23" t="s">
        <v>84</v>
      </c>
      <c r="C57" s="52">
        <f>AVERAGE('23.08 Suam- Bukwo'!C57,'24.08 Suam-Bukwo-24h'!C57,'25.08 Suam-Bukwo'!C57, '26.08 Suam-Bukwo-24h'!C57,'27.08 Suam-Bukwo'!C57,'28.08 Suam-Bukwo'!C57,'29.08 Suam-Bukwo'!C57)</f>
        <v>0.14285714285714285</v>
      </c>
      <c r="D57" s="52">
        <f>AVERAGE('23.08 Suam- Bukwo'!D57,'24.08 Suam-Bukwo-24h'!D57,'25.08 Suam-Bukwo'!D57, '26.08 Suam-Bukwo-24h'!D57,'27.08 Suam-Bukwo'!D57,'28.08 Suam-Bukwo'!D57,'29.08 Suam-Bukwo'!D57)</f>
        <v>0</v>
      </c>
      <c r="E57" s="52">
        <f>AVERAGE('23.08 Suam- Bukwo'!E57,'24.08 Suam-Bukwo-24h'!E57,'25.08 Suam-Bukwo'!E57, '26.08 Suam-Bukwo-24h'!E57,'27.08 Suam-Bukwo'!E57,'28.08 Suam-Bukwo'!E57,'29.08 Suam-Bukwo'!E57)</f>
        <v>0.14285714285714285</v>
      </c>
      <c r="F57" s="52">
        <f>AVERAGE('23.08 Suam- Bukwo'!F57,'24.08 Suam-Bukwo-24h'!F57,'25.08 Suam-Bukwo'!F57, '26.08 Suam-Bukwo-24h'!F57,'27.08 Suam-Bukwo'!F57,'28.08 Suam-Bukwo'!F57,'29.08 Suam-Bukwo'!F57)</f>
        <v>0</v>
      </c>
      <c r="G57" s="52">
        <f>AVERAGE('23.08 Suam- Bukwo'!G57,'24.08 Suam-Bukwo-24h'!G57,'25.08 Suam-Bukwo'!G57, '26.08 Suam-Bukwo-24h'!G57,'27.08 Suam-Bukwo'!G57,'28.08 Suam-Bukwo'!G57,'29.08 Suam-Bukwo'!G57)</f>
        <v>0</v>
      </c>
      <c r="H57" s="52">
        <f>AVERAGE('23.08 Suam- Bukwo'!H57,'24.08 Suam-Bukwo-24h'!H57,'25.08 Suam-Bukwo'!H57, '26.08 Suam-Bukwo-24h'!H57,'27.08 Suam-Bukwo'!H57,'28.08 Suam-Bukwo'!H57,'29.08 Suam-Bukwo'!H57)</f>
        <v>0</v>
      </c>
      <c r="I57" s="52">
        <f>AVERAGE('23.08 Suam- Bukwo'!I57,'24.08 Suam-Bukwo-24h'!I57,'25.08 Suam-Bukwo'!I57, '26.08 Suam-Bukwo-24h'!I57,'27.08 Suam-Bukwo'!I57,'28.08 Suam-Bukwo'!I57,'29.08 Suam-Bukwo'!I57)</f>
        <v>0.7142857142857143</v>
      </c>
      <c r="J57" s="52">
        <f>AVERAGE('23.08 Suam- Bukwo'!J57,'24.08 Suam-Bukwo-24h'!J57,'25.08 Suam-Bukwo'!J57, '26.08 Suam-Bukwo-24h'!J57,'27.08 Suam-Bukwo'!J57,'28.08 Suam-Bukwo'!J57,'29.08 Suam-Bukwo'!J57)</f>
        <v>0</v>
      </c>
      <c r="K57" s="52">
        <f>AVERAGE('23.08 Suam- Bukwo'!K57,'24.08 Suam-Bukwo-24h'!K57,'25.08 Suam-Bukwo'!K57, '26.08 Suam-Bukwo-24h'!K57,'27.08 Suam-Bukwo'!K57,'28.08 Suam-Bukwo'!K57,'29.08 Suam-Bukwo'!K57)</f>
        <v>0</v>
      </c>
      <c r="L57" s="52">
        <f>AVERAGE('23.08 Suam- Bukwo'!L57,'24.08 Suam-Bukwo-24h'!L57,'25.08 Suam-Bukwo'!L57, '26.08 Suam-Bukwo-24h'!L57,'27.08 Suam-Bukwo'!L57,'28.08 Suam-Bukwo'!L57,'29.08 Suam-Bukwo'!L57)</f>
        <v>1.2857142857142858</v>
      </c>
      <c r="M57" s="52">
        <f>AVERAGE('23.08 Suam- Bukwo'!M57,'24.08 Suam-Bukwo-24h'!M57,'25.08 Suam-Bukwo'!M57, '26.08 Suam-Bukwo-24h'!M57,'27.08 Suam-Bukwo'!M57,'28.08 Suam-Bukwo'!M57,'29.08 Suam-Bukwo'!M57)</f>
        <v>6.8571428571428568</v>
      </c>
      <c r="N57" s="52">
        <f>AVERAGE('23.08 Suam- Bukwo'!N57,'24.08 Suam-Bukwo-24h'!N57,'25.08 Suam-Bukwo'!N57, '26.08 Suam-Bukwo-24h'!N57,'27.08 Suam-Bukwo'!N57,'28.08 Suam-Bukwo'!N57,'29.08 Suam-Bukwo'!N57)</f>
        <v>0</v>
      </c>
      <c r="O57" s="15">
        <f t="shared" si="0"/>
        <v>2.2857142857142856</v>
      </c>
      <c r="P57" s="15">
        <f t="shared" si="1"/>
        <v>9.1428571428571423</v>
      </c>
      <c r="R57" s="8"/>
      <c r="T57"/>
    </row>
    <row r="58" spans="2:20" ht="23.1" customHeight="1" x14ac:dyDescent="0.25">
      <c r="B58" s="23" t="s">
        <v>99</v>
      </c>
      <c r="C58" s="52">
        <f>AVERAGE('26.08 Suam-Bukwo-24h'!C58,'24.08 Suam-Bukwo-24h'!C58)</f>
        <v>0.5</v>
      </c>
      <c r="D58" s="52">
        <f>AVERAGE('26.08 Suam-Bukwo-24h'!D58,'24.08 Suam-Bukwo-24h'!D58)</f>
        <v>0</v>
      </c>
      <c r="E58" s="52">
        <f>AVERAGE('26.08 Suam-Bukwo-24h'!E58,'24.08 Suam-Bukwo-24h'!E58)</f>
        <v>1.5</v>
      </c>
      <c r="F58" s="52">
        <f>AVERAGE('26.08 Suam-Bukwo-24h'!F58,'24.08 Suam-Bukwo-24h'!F58)</f>
        <v>0</v>
      </c>
      <c r="G58" s="52">
        <f>AVERAGE('26.08 Suam-Bukwo-24h'!G58,'24.08 Suam-Bukwo-24h'!G58)</f>
        <v>0</v>
      </c>
      <c r="H58" s="52">
        <f>AVERAGE('26.08 Suam-Bukwo-24h'!H58,'24.08 Suam-Bukwo-24h'!H58)</f>
        <v>0</v>
      </c>
      <c r="I58" s="52">
        <f>AVERAGE('26.08 Suam-Bukwo-24h'!I58,'24.08 Suam-Bukwo-24h'!I58)</f>
        <v>1</v>
      </c>
      <c r="J58" s="52">
        <f>AVERAGE('26.08 Suam-Bukwo-24h'!J58,'24.08 Suam-Bukwo-24h'!J58)</f>
        <v>0</v>
      </c>
      <c r="K58" s="52">
        <f>AVERAGE('26.08 Suam-Bukwo-24h'!K58,'24.08 Suam-Bukwo-24h'!K58)</f>
        <v>0</v>
      </c>
      <c r="L58" s="52">
        <f>AVERAGE('26.08 Suam-Bukwo-24h'!L58,'24.08 Suam-Bukwo-24h'!L58)</f>
        <v>0</v>
      </c>
      <c r="M58" s="52">
        <f>AVERAGE('26.08 Suam-Bukwo-24h'!M58,'24.08 Suam-Bukwo-24h'!M58)</f>
        <v>8</v>
      </c>
      <c r="N58" s="52">
        <f>AVERAGE('26.08 Suam-Bukwo-24h'!N58,'24.08 Suam-Bukwo-24h'!N58)</f>
        <v>0</v>
      </c>
      <c r="O58" s="15">
        <f t="shared" si="0"/>
        <v>3</v>
      </c>
      <c r="P58" s="15">
        <f t="shared" si="1"/>
        <v>11</v>
      </c>
      <c r="R58" s="8"/>
      <c r="T58"/>
    </row>
    <row r="59" spans="2:20" ht="23.1" customHeight="1" x14ac:dyDescent="0.25">
      <c r="B59" s="23" t="s">
        <v>100</v>
      </c>
      <c r="C59" s="52">
        <f>AVERAGE('26.08 Suam-Bukwo-24h'!C59,'24.08 Suam-Bukwo-24h'!C59)</f>
        <v>0</v>
      </c>
      <c r="D59" s="52">
        <f>AVERAGE('26.08 Suam-Bukwo-24h'!D59,'24.08 Suam-Bukwo-24h'!D59)</f>
        <v>0</v>
      </c>
      <c r="E59" s="52">
        <f>AVERAGE('26.08 Suam-Bukwo-24h'!E59,'24.08 Suam-Bukwo-24h'!E59)</f>
        <v>0.5</v>
      </c>
      <c r="F59" s="52">
        <f>AVERAGE('26.08 Suam-Bukwo-24h'!F59,'24.08 Suam-Bukwo-24h'!F59)</f>
        <v>0</v>
      </c>
      <c r="G59" s="52">
        <f>AVERAGE('26.08 Suam-Bukwo-24h'!G59,'24.08 Suam-Bukwo-24h'!G59)</f>
        <v>0</v>
      </c>
      <c r="H59" s="52">
        <f>AVERAGE('26.08 Suam-Bukwo-24h'!H59,'24.08 Suam-Bukwo-24h'!H59)</f>
        <v>0</v>
      </c>
      <c r="I59" s="52">
        <f>AVERAGE('26.08 Suam-Bukwo-24h'!I59,'24.08 Suam-Bukwo-24h'!I59)</f>
        <v>0</v>
      </c>
      <c r="J59" s="52">
        <f>AVERAGE('26.08 Suam-Bukwo-24h'!J59,'24.08 Suam-Bukwo-24h'!J59)</f>
        <v>0</v>
      </c>
      <c r="K59" s="52">
        <f>AVERAGE('26.08 Suam-Bukwo-24h'!K59,'24.08 Suam-Bukwo-24h'!K59)</f>
        <v>0</v>
      </c>
      <c r="L59" s="52">
        <f>AVERAGE('26.08 Suam-Bukwo-24h'!L59,'24.08 Suam-Bukwo-24h'!L59)</f>
        <v>0</v>
      </c>
      <c r="M59" s="52">
        <f>AVERAGE('26.08 Suam-Bukwo-24h'!M59,'24.08 Suam-Bukwo-24h'!M59)</f>
        <v>6.5</v>
      </c>
      <c r="N59" s="52">
        <f>AVERAGE('26.08 Suam-Bukwo-24h'!N59,'24.08 Suam-Bukwo-24h'!N59)</f>
        <v>0</v>
      </c>
      <c r="O59" s="15">
        <f t="shared" si="0"/>
        <v>0.5</v>
      </c>
      <c r="P59" s="15">
        <f t="shared" si="1"/>
        <v>7</v>
      </c>
      <c r="R59" s="8"/>
      <c r="T59"/>
    </row>
    <row r="60" spans="2:20" ht="23.1" customHeight="1" x14ac:dyDescent="0.25">
      <c r="B60" s="23" t="s">
        <v>101</v>
      </c>
      <c r="C60" s="52">
        <f>AVERAGE('26.08 Suam-Bukwo-24h'!C60,'24.08 Suam-Bukwo-24h'!C60)</f>
        <v>0</v>
      </c>
      <c r="D60" s="52">
        <f>AVERAGE('26.08 Suam-Bukwo-24h'!D60,'24.08 Suam-Bukwo-24h'!D60)</f>
        <v>0.5</v>
      </c>
      <c r="E60" s="52">
        <f>AVERAGE('26.08 Suam-Bukwo-24h'!E60,'24.08 Suam-Bukwo-24h'!E60)</f>
        <v>0</v>
      </c>
      <c r="F60" s="52">
        <f>AVERAGE('26.08 Suam-Bukwo-24h'!F60,'24.08 Suam-Bukwo-24h'!F60)</f>
        <v>0</v>
      </c>
      <c r="G60" s="52">
        <f>AVERAGE('26.08 Suam-Bukwo-24h'!G60,'24.08 Suam-Bukwo-24h'!G60)</f>
        <v>0</v>
      </c>
      <c r="H60" s="52">
        <f>AVERAGE('26.08 Suam-Bukwo-24h'!H60,'24.08 Suam-Bukwo-24h'!H60)</f>
        <v>0</v>
      </c>
      <c r="I60" s="52">
        <f>AVERAGE('26.08 Suam-Bukwo-24h'!I60,'24.08 Suam-Bukwo-24h'!I60)</f>
        <v>0.5</v>
      </c>
      <c r="J60" s="52">
        <f>AVERAGE('26.08 Suam-Bukwo-24h'!J60,'24.08 Suam-Bukwo-24h'!J60)</f>
        <v>0</v>
      </c>
      <c r="K60" s="52">
        <f>AVERAGE('26.08 Suam-Bukwo-24h'!K60,'24.08 Suam-Bukwo-24h'!K60)</f>
        <v>0</v>
      </c>
      <c r="L60" s="52">
        <f>AVERAGE('26.08 Suam-Bukwo-24h'!L60,'24.08 Suam-Bukwo-24h'!L60)</f>
        <v>0</v>
      </c>
      <c r="M60" s="52">
        <f>AVERAGE('26.08 Suam-Bukwo-24h'!M60,'24.08 Suam-Bukwo-24h'!M60)</f>
        <v>4.5</v>
      </c>
      <c r="N60" s="52">
        <f>AVERAGE('26.08 Suam-Bukwo-24h'!N60,'24.08 Suam-Bukwo-24h'!N60)</f>
        <v>0</v>
      </c>
      <c r="O60" s="15">
        <f t="shared" si="0"/>
        <v>1</v>
      </c>
      <c r="P60" s="15">
        <f t="shared" si="1"/>
        <v>5.5</v>
      </c>
      <c r="R60" s="8"/>
      <c r="T60"/>
    </row>
    <row r="61" spans="2:20" ht="23.1" customHeight="1" x14ac:dyDescent="0.25">
      <c r="B61" s="23" t="s">
        <v>102</v>
      </c>
      <c r="C61" s="52">
        <f>AVERAGE('26.08 Suam-Bukwo-24h'!C61,'24.08 Suam-Bukwo-24h'!C61)</f>
        <v>0.5</v>
      </c>
      <c r="D61" s="52">
        <f>AVERAGE('26.08 Suam-Bukwo-24h'!D61,'24.08 Suam-Bukwo-24h'!D61)</f>
        <v>0</v>
      </c>
      <c r="E61" s="52">
        <f>AVERAGE('26.08 Suam-Bukwo-24h'!E61,'24.08 Suam-Bukwo-24h'!E61)</f>
        <v>0</v>
      </c>
      <c r="F61" s="52">
        <f>AVERAGE('26.08 Suam-Bukwo-24h'!F61,'24.08 Suam-Bukwo-24h'!F61)</f>
        <v>0</v>
      </c>
      <c r="G61" s="52">
        <f>AVERAGE('26.08 Suam-Bukwo-24h'!G61,'24.08 Suam-Bukwo-24h'!G61)</f>
        <v>0</v>
      </c>
      <c r="H61" s="52">
        <f>AVERAGE('26.08 Suam-Bukwo-24h'!H61,'24.08 Suam-Bukwo-24h'!H61)</f>
        <v>0</v>
      </c>
      <c r="I61" s="52">
        <f>AVERAGE('26.08 Suam-Bukwo-24h'!I61,'24.08 Suam-Bukwo-24h'!I61)</f>
        <v>0</v>
      </c>
      <c r="J61" s="52">
        <f>AVERAGE('26.08 Suam-Bukwo-24h'!J61,'24.08 Suam-Bukwo-24h'!J61)</f>
        <v>0</v>
      </c>
      <c r="K61" s="52">
        <f>AVERAGE('26.08 Suam-Bukwo-24h'!K61,'24.08 Suam-Bukwo-24h'!K61)</f>
        <v>0</v>
      </c>
      <c r="L61" s="52">
        <f>AVERAGE('26.08 Suam-Bukwo-24h'!L61,'24.08 Suam-Bukwo-24h'!L61)</f>
        <v>0</v>
      </c>
      <c r="M61" s="52">
        <f>AVERAGE('26.08 Suam-Bukwo-24h'!M61,'24.08 Suam-Bukwo-24h'!M61)</f>
        <v>7.5</v>
      </c>
      <c r="N61" s="52">
        <f>AVERAGE('26.08 Suam-Bukwo-24h'!N61,'24.08 Suam-Bukwo-24h'!N61)</f>
        <v>0</v>
      </c>
      <c r="O61" s="15">
        <f t="shared" si="0"/>
        <v>0.5</v>
      </c>
      <c r="P61" s="15">
        <f t="shared" si="1"/>
        <v>8</v>
      </c>
      <c r="R61" s="8"/>
      <c r="T61"/>
    </row>
    <row r="62" spans="2:20" ht="23.1" customHeight="1" x14ac:dyDescent="0.25">
      <c r="B62" s="23" t="s">
        <v>107</v>
      </c>
      <c r="C62" s="52">
        <f>AVERAGE('26.08 Suam-Bukwo-24h'!C62,'24.08 Suam-Bukwo-24h'!C62)</f>
        <v>0</v>
      </c>
      <c r="D62" s="52">
        <f>AVERAGE('26.08 Suam-Bukwo-24h'!D62,'24.08 Suam-Bukwo-24h'!D62)</f>
        <v>0</v>
      </c>
      <c r="E62" s="52">
        <f>AVERAGE('26.08 Suam-Bukwo-24h'!E62,'24.08 Suam-Bukwo-24h'!E62)</f>
        <v>0</v>
      </c>
      <c r="F62" s="52">
        <f>AVERAGE('26.08 Suam-Bukwo-24h'!F62,'24.08 Suam-Bukwo-24h'!F62)</f>
        <v>0</v>
      </c>
      <c r="G62" s="52">
        <f>AVERAGE('26.08 Suam-Bukwo-24h'!G62,'24.08 Suam-Bukwo-24h'!G62)</f>
        <v>0</v>
      </c>
      <c r="H62" s="52">
        <f>AVERAGE('26.08 Suam-Bukwo-24h'!H62,'24.08 Suam-Bukwo-24h'!H62)</f>
        <v>0</v>
      </c>
      <c r="I62" s="52">
        <f>AVERAGE('26.08 Suam-Bukwo-24h'!I62,'24.08 Suam-Bukwo-24h'!I62)</f>
        <v>0.5</v>
      </c>
      <c r="J62" s="52">
        <f>AVERAGE('26.08 Suam-Bukwo-24h'!J62,'24.08 Suam-Bukwo-24h'!J62)</f>
        <v>0</v>
      </c>
      <c r="K62" s="52">
        <f>AVERAGE('26.08 Suam-Bukwo-24h'!K62,'24.08 Suam-Bukwo-24h'!K62)</f>
        <v>0</v>
      </c>
      <c r="L62" s="52">
        <f>AVERAGE('26.08 Suam-Bukwo-24h'!L62,'24.08 Suam-Bukwo-24h'!L62)</f>
        <v>0</v>
      </c>
      <c r="M62" s="52">
        <f>AVERAGE('26.08 Suam-Bukwo-24h'!M62,'24.08 Suam-Bukwo-24h'!M62)</f>
        <v>6</v>
      </c>
      <c r="N62" s="52">
        <f>AVERAGE('26.08 Suam-Bukwo-24h'!N62,'24.08 Suam-Bukwo-24h'!N62)</f>
        <v>0</v>
      </c>
      <c r="O62" s="15">
        <f t="shared" si="0"/>
        <v>0.5</v>
      </c>
      <c r="P62" s="15">
        <f t="shared" si="1"/>
        <v>6.5</v>
      </c>
      <c r="R62" s="8"/>
      <c r="T62"/>
    </row>
    <row r="63" spans="2:20" ht="23.1" customHeight="1" x14ac:dyDescent="0.25">
      <c r="B63" s="23" t="s">
        <v>108</v>
      </c>
      <c r="C63" s="52">
        <f>AVERAGE('26.08 Suam-Bukwo-24h'!C63,'24.08 Suam-Bukwo-24h'!C63)</f>
        <v>0</v>
      </c>
      <c r="D63" s="52">
        <f>AVERAGE('26.08 Suam-Bukwo-24h'!D63,'24.08 Suam-Bukwo-24h'!D63)</f>
        <v>0</v>
      </c>
      <c r="E63" s="52">
        <f>AVERAGE('26.08 Suam-Bukwo-24h'!E63,'24.08 Suam-Bukwo-24h'!E63)</f>
        <v>0.5</v>
      </c>
      <c r="F63" s="52">
        <f>AVERAGE('26.08 Suam-Bukwo-24h'!F63,'24.08 Suam-Bukwo-24h'!F63)</f>
        <v>0</v>
      </c>
      <c r="G63" s="52">
        <f>AVERAGE('26.08 Suam-Bukwo-24h'!G63,'24.08 Suam-Bukwo-24h'!G63)</f>
        <v>0</v>
      </c>
      <c r="H63" s="52">
        <f>AVERAGE('26.08 Suam-Bukwo-24h'!H63,'24.08 Suam-Bukwo-24h'!H63)</f>
        <v>0</v>
      </c>
      <c r="I63" s="52">
        <f>AVERAGE('26.08 Suam-Bukwo-24h'!I63,'24.08 Suam-Bukwo-24h'!I63)</f>
        <v>0</v>
      </c>
      <c r="J63" s="52">
        <f>AVERAGE('26.08 Suam-Bukwo-24h'!J63,'24.08 Suam-Bukwo-24h'!J63)</f>
        <v>0</v>
      </c>
      <c r="K63" s="52">
        <f>AVERAGE('26.08 Suam-Bukwo-24h'!K63,'24.08 Suam-Bukwo-24h'!K63)</f>
        <v>0</v>
      </c>
      <c r="L63" s="52">
        <f>AVERAGE('26.08 Suam-Bukwo-24h'!L63,'24.08 Suam-Bukwo-24h'!L63)</f>
        <v>0</v>
      </c>
      <c r="M63" s="52">
        <f>AVERAGE('26.08 Suam-Bukwo-24h'!M63,'24.08 Suam-Bukwo-24h'!M63)</f>
        <v>4.5</v>
      </c>
      <c r="N63" s="52">
        <f>AVERAGE('26.08 Suam-Bukwo-24h'!N63,'24.08 Suam-Bukwo-24h'!N63)</f>
        <v>0</v>
      </c>
      <c r="O63" s="15">
        <f t="shared" si="0"/>
        <v>0.5</v>
      </c>
      <c r="P63" s="15">
        <f t="shared" si="1"/>
        <v>5</v>
      </c>
      <c r="R63" s="8"/>
      <c r="T63"/>
    </row>
    <row r="64" spans="2:20" ht="23.1" customHeight="1" x14ac:dyDescent="0.25">
      <c r="B64" s="23" t="s">
        <v>109</v>
      </c>
      <c r="C64" s="52">
        <f>AVERAGE('26.08 Suam-Bukwo-24h'!C64,'24.08 Suam-Bukwo-24h'!C64)</f>
        <v>0</v>
      </c>
      <c r="D64" s="52">
        <f>AVERAGE('26.08 Suam-Bukwo-24h'!D64,'24.08 Suam-Bukwo-24h'!D64)</f>
        <v>0</v>
      </c>
      <c r="E64" s="52">
        <f>AVERAGE('26.08 Suam-Bukwo-24h'!E64,'24.08 Suam-Bukwo-24h'!E64)</f>
        <v>0</v>
      </c>
      <c r="F64" s="52">
        <f>AVERAGE('26.08 Suam-Bukwo-24h'!F64,'24.08 Suam-Bukwo-24h'!F64)</f>
        <v>0</v>
      </c>
      <c r="G64" s="52">
        <f>AVERAGE('26.08 Suam-Bukwo-24h'!G64,'24.08 Suam-Bukwo-24h'!G64)</f>
        <v>0</v>
      </c>
      <c r="H64" s="52">
        <f>AVERAGE('26.08 Suam-Bukwo-24h'!H64,'24.08 Suam-Bukwo-24h'!H64)</f>
        <v>0</v>
      </c>
      <c r="I64" s="52">
        <f>AVERAGE('26.08 Suam-Bukwo-24h'!I64,'24.08 Suam-Bukwo-24h'!I64)</f>
        <v>1</v>
      </c>
      <c r="J64" s="52">
        <f>AVERAGE('26.08 Suam-Bukwo-24h'!J64,'24.08 Suam-Bukwo-24h'!J64)</f>
        <v>0</v>
      </c>
      <c r="K64" s="52">
        <f>AVERAGE('26.08 Suam-Bukwo-24h'!K64,'24.08 Suam-Bukwo-24h'!K64)</f>
        <v>0</v>
      </c>
      <c r="L64" s="52">
        <f>AVERAGE('26.08 Suam-Bukwo-24h'!L64,'24.08 Suam-Bukwo-24h'!L64)</f>
        <v>0</v>
      </c>
      <c r="M64" s="52">
        <f>AVERAGE('26.08 Suam-Bukwo-24h'!M64,'24.08 Suam-Bukwo-24h'!M64)</f>
        <v>5.5</v>
      </c>
      <c r="N64" s="52">
        <f>AVERAGE('26.08 Suam-Bukwo-24h'!N64,'24.08 Suam-Bukwo-24h'!N64)</f>
        <v>0</v>
      </c>
      <c r="O64" s="15">
        <f t="shared" si="0"/>
        <v>1</v>
      </c>
      <c r="P64" s="15">
        <f t="shared" si="1"/>
        <v>6.5</v>
      </c>
      <c r="R64" s="8"/>
      <c r="T64"/>
    </row>
    <row r="65" spans="2:20" ht="23.1" customHeight="1" x14ac:dyDescent="0.25">
      <c r="B65" s="23" t="s">
        <v>158</v>
      </c>
      <c r="C65" s="52">
        <f>AVERAGE('26.08 Suam-Bukwo-24h'!C65,'24.08 Suam-Bukwo-24h'!C65)</f>
        <v>0</v>
      </c>
      <c r="D65" s="52">
        <f>AVERAGE('26.08 Suam-Bukwo-24h'!D65,'24.08 Suam-Bukwo-24h'!D65)</f>
        <v>0.5</v>
      </c>
      <c r="E65" s="52">
        <f>AVERAGE('26.08 Suam-Bukwo-24h'!E65,'24.08 Suam-Bukwo-24h'!E65)</f>
        <v>0</v>
      </c>
      <c r="F65" s="52">
        <f>AVERAGE('26.08 Suam-Bukwo-24h'!F65,'24.08 Suam-Bukwo-24h'!F65)</f>
        <v>0</v>
      </c>
      <c r="G65" s="52">
        <f>AVERAGE('26.08 Suam-Bukwo-24h'!G65,'24.08 Suam-Bukwo-24h'!G65)</f>
        <v>0</v>
      </c>
      <c r="H65" s="52">
        <f>AVERAGE('26.08 Suam-Bukwo-24h'!H65,'24.08 Suam-Bukwo-24h'!H65)</f>
        <v>0</v>
      </c>
      <c r="I65" s="52">
        <f>AVERAGE('26.08 Suam-Bukwo-24h'!I65,'24.08 Suam-Bukwo-24h'!I65)</f>
        <v>1.5</v>
      </c>
      <c r="J65" s="52">
        <f>AVERAGE('26.08 Suam-Bukwo-24h'!J65,'24.08 Suam-Bukwo-24h'!J65)</f>
        <v>0</v>
      </c>
      <c r="K65" s="52">
        <f>AVERAGE('26.08 Suam-Bukwo-24h'!K65,'24.08 Suam-Bukwo-24h'!K65)</f>
        <v>0</v>
      </c>
      <c r="L65" s="52">
        <f>AVERAGE('26.08 Suam-Bukwo-24h'!L65,'24.08 Suam-Bukwo-24h'!L65)</f>
        <v>0</v>
      </c>
      <c r="M65" s="52">
        <f>AVERAGE('26.08 Suam-Bukwo-24h'!M65,'24.08 Suam-Bukwo-24h'!M65)</f>
        <v>8.5</v>
      </c>
      <c r="N65" s="52">
        <f>AVERAGE('26.08 Suam-Bukwo-24h'!N65,'24.08 Suam-Bukwo-24h'!N65)</f>
        <v>0</v>
      </c>
      <c r="O65" s="15">
        <f t="shared" si="0"/>
        <v>2</v>
      </c>
      <c r="P65" s="15">
        <f t="shared" si="1"/>
        <v>10.5</v>
      </c>
      <c r="R65" s="8"/>
      <c r="T65"/>
    </row>
    <row r="66" spans="2:20" ht="23.1" customHeight="1" x14ac:dyDescent="0.25">
      <c r="B66" s="23" t="s">
        <v>103</v>
      </c>
      <c r="C66" s="52">
        <f>AVERAGE('26.08 Suam-Bukwo-24h'!C66,'24.08 Suam-Bukwo-24h'!C66)</f>
        <v>0.5</v>
      </c>
      <c r="D66" s="52">
        <f>AVERAGE('26.08 Suam-Bukwo-24h'!D66,'24.08 Suam-Bukwo-24h'!D66)</f>
        <v>0</v>
      </c>
      <c r="E66" s="52">
        <f>AVERAGE('26.08 Suam-Bukwo-24h'!E66,'24.08 Suam-Bukwo-24h'!E66)</f>
        <v>0</v>
      </c>
      <c r="F66" s="52">
        <f>AVERAGE('26.08 Suam-Bukwo-24h'!F66,'24.08 Suam-Bukwo-24h'!F66)</f>
        <v>0</v>
      </c>
      <c r="G66" s="52">
        <f>AVERAGE('26.08 Suam-Bukwo-24h'!G66,'24.08 Suam-Bukwo-24h'!G66)</f>
        <v>0</v>
      </c>
      <c r="H66" s="52">
        <f>AVERAGE('26.08 Suam-Bukwo-24h'!H66,'24.08 Suam-Bukwo-24h'!H66)</f>
        <v>0</v>
      </c>
      <c r="I66" s="52">
        <f>AVERAGE('26.08 Suam-Bukwo-24h'!I66,'24.08 Suam-Bukwo-24h'!I66)</f>
        <v>0.5</v>
      </c>
      <c r="J66" s="52">
        <f>AVERAGE('26.08 Suam-Bukwo-24h'!J66,'24.08 Suam-Bukwo-24h'!J66)</f>
        <v>0</v>
      </c>
      <c r="K66" s="52">
        <f>AVERAGE('26.08 Suam-Bukwo-24h'!K66,'24.08 Suam-Bukwo-24h'!K66)</f>
        <v>0</v>
      </c>
      <c r="L66" s="52">
        <f>AVERAGE('26.08 Suam-Bukwo-24h'!L66,'24.08 Suam-Bukwo-24h'!L66)</f>
        <v>0</v>
      </c>
      <c r="M66" s="52">
        <f>AVERAGE('26.08 Suam-Bukwo-24h'!M66,'24.08 Suam-Bukwo-24h'!M66)</f>
        <v>7.5</v>
      </c>
      <c r="N66" s="52">
        <f>AVERAGE('26.08 Suam-Bukwo-24h'!N66,'24.08 Suam-Bukwo-24h'!N66)</f>
        <v>0</v>
      </c>
      <c r="O66" s="15">
        <f t="shared" si="0"/>
        <v>1</v>
      </c>
      <c r="P66" s="15">
        <f t="shared" si="1"/>
        <v>8.5</v>
      </c>
      <c r="R66" s="8"/>
      <c r="T66"/>
    </row>
    <row r="67" spans="2:20" ht="23.1" customHeight="1" x14ac:dyDescent="0.25">
      <c r="B67" s="23" t="s">
        <v>104</v>
      </c>
      <c r="C67" s="52">
        <f>AVERAGE('26.08 Suam-Bukwo-24h'!C67,'24.08 Suam-Bukwo-24h'!C67)</f>
        <v>0</v>
      </c>
      <c r="D67" s="52">
        <f>AVERAGE('26.08 Suam-Bukwo-24h'!D67,'24.08 Suam-Bukwo-24h'!D67)</f>
        <v>0</v>
      </c>
      <c r="E67" s="52">
        <f>AVERAGE('26.08 Suam-Bukwo-24h'!E67,'24.08 Suam-Bukwo-24h'!E67)</f>
        <v>0</v>
      </c>
      <c r="F67" s="52">
        <f>AVERAGE('26.08 Suam-Bukwo-24h'!F67,'24.08 Suam-Bukwo-24h'!F67)</f>
        <v>0</v>
      </c>
      <c r="G67" s="52">
        <f>AVERAGE('26.08 Suam-Bukwo-24h'!G67,'24.08 Suam-Bukwo-24h'!G67)</f>
        <v>0</v>
      </c>
      <c r="H67" s="52">
        <f>AVERAGE('26.08 Suam-Bukwo-24h'!H67,'24.08 Suam-Bukwo-24h'!H67)</f>
        <v>0</v>
      </c>
      <c r="I67" s="52">
        <f>AVERAGE('26.08 Suam-Bukwo-24h'!I67,'24.08 Suam-Bukwo-24h'!I67)</f>
        <v>0.5</v>
      </c>
      <c r="J67" s="52">
        <f>AVERAGE('26.08 Suam-Bukwo-24h'!J67,'24.08 Suam-Bukwo-24h'!J67)</f>
        <v>0</v>
      </c>
      <c r="K67" s="52">
        <f>AVERAGE('26.08 Suam-Bukwo-24h'!K67,'24.08 Suam-Bukwo-24h'!K67)</f>
        <v>0</v>
      </c>
      <c r="L67" s="52">
        <f>AVERAGE('26.08 Suam-Bukwo-24h'!L67,'24.08 Suam-Bukwo-24h'!L67)</f>
        <v>0</v>
      </c>
      <c r="M67" s="52">
        <f>AVERAGE('26.08 Suam-Bukwo-24h'!M67,'24.08 Suam-Bukwo-24h'!M67)</f>
        <v>7</v>
      </c>
      <c r="N67" s="52">
        <f>AVERAGE('26.08 Suam-Bukwo-24h'!N67,'24.08 Suam-Bukwo-24h'!N67)</f>
        <v>0</v>
      </c>
      <c r="O67" s="15">
        <f t="shared" si="0"/>
        <v>0.5</v>
      </c>
      <c r="P67" s="15">
        <f t="shared" si="1"/>
        <v>7.5</v>
      </c>
      <c r="R67" s="8"/>
      <c r="T67"/>
    </row>
    <row r="68" spans="2:20" ht="23.1" customHeight="1" x14ac:dyDescent="0.25">
      <c r="B68" s="23" t="s">
        <v>105</v>
      </c>
      <c r="C68" s="52">
        <f>AVERAGE('26.08 Suam-Bukwo-24h'!C68,'24.08 Suam-Bukwo-24h'!C68)</f>
        <v>0</v>
      </c>
      <c r="D68" s="52">
        <f>AVERAGE('26.08 Suam-Bukwo-24h'!D68,'24.08 Suam-Bukwo-24h'!D68)</f>
        <v>0</v>
      </c>
      <c r="E68" s="52">
        <f>AVERAGE('26.08 Suam-Bukwo-24h'!E68,'24.08 Suam-Bukwo-24h'!E68)</f>
        <v>0.5</v>
      </c>
      <c r="F68" s="52">
        <f>AVERAGE('26.08 Suam-Bukwo-24h'!F68,'24.08 Suam-Bukwo-24h'!F68)</f>
        <v>0</v>
      </c>
      <c r="G68" s="52">
        <f>AVERAGE('26.08 Suam-Bukwo-24h'!G68,'24.08 Suam-Bukwo-24h'!G68)</f>
        <v>0</v>
      </c>
      <c r="H68" s="52">
        <f>AVERAGE('26.08 Suam-Bukwo-24h'!H68,'24.08 Suam-Bukwo-24h'!H68)</f>
        <v>0</v>
      </c>
      <c r="I68" s="52">
        <f>AVERAGE('26.08 Suam-Bukwo-24h'!I68,'24.08 Suam-Bukwo-24h'!I68)</f>
        <v>0.5</v>
      </c>
      <c r="J68" s="52">
        <f>AVERAGE('26.08 Suam-Bukwo-24h'!J68,'24.08 Suam-Bukwo-24h'!J68)</f>
        <v>0</v>
      </c>
      <c r="K68" s="52">
        <f>AVERAGE('26.08 Suam-Bukwo-24h'!K68,'24.08 Suam-Bukwo-24h'!K68)</f>
        <v>0</v>
      </c>
      <c r="L68" s="52">
        <f>AVERAGE('26.08 Suam-Bukwo-24h'!L68,'24.08 Suam-Bukwo-24h'!L68)</f>
        <v>0</v>
      </c>
      <c r="M68" s="52">
        <f>AVERAGE('26.08 Suam-Bukwo-24h'!M68,'24.08 Suam-Bukwo-24h'!M68)</f>
        <v>8</v>
      </c>
      <c r="N68" s="52">
        <f>AVERAGE('26.08 Suam-Bukwo-24h'!N68,'24.08 Suam-Bukwo-24h'!N68)</f>
        <v>0</v>
      </c>
      <c r="O68" s="15">
        <f t="shared" si="0"/>
        <v>1</v>
      </c>
      <c r="P68" s="15">
        <f t="shared" si="1"/>
        <v>9</v>
      </c>
      <c r="R68" s="8"/>
      <c r="T68"/>
    </row>
    <row r="69" spans="2:20" ht="23.1" customHeight="1" x14ac:dyDescent="0.25">
      <c r="B69" s="23" t="s">
        <v>106</v>
      </c>
      <c r="C69" s="52">
        <f>AVERAGE('26.08 Suam-Bukwo-24h'!C69,'24.08 Suam-Bukwo-24h'!C69)</f>
        <v>0</v>
      </c>
      <c r="D69" s="52">
        <f>AVERAGE('26.08 Suam-Bukwo-24h'!D69,'24.08 Suam-Bukwo-24h'!D69)</f>
        <v>0</v>
      </c>
      <c r="E69" s="52">
        <f>AVERAGE('26.08 Suam-Bukwo-24h'!E69,'24.08 Suam-Bukwo-24h'!E69)</f>
        <v>0</v>
      </c>
      <c r="F69" s="52">
        <f>AVERAGE('26.08 Suam-Bukwo-24h'!F69,'24.08 Suam-Bukwo-24h'!F69)</f>
        <v>0</v>
      </c>
      <c r="G69" s="52">
        <f>AVERAGE('26.08 Suam-Bukwo-24h'!G69,'24.08 Suam-Bukwo-24h'!G69)</f>
        <v>0</v>
      </c>
      <c r="H69" s="52">
        <f>AVERAGE('26.08 Suam-Bukwo-24h'!H69,'24.08 Suam-Bukwo-24h'!H69)</f>
        <v>0</v>
      </c>
      <c r="I69" s="52">
        <f>AVERAGE('26.08 Suam-Bukwo-24h'!I69,'24.08 Suam-Bukwo-24h'!I69)</f>
        <v>0</v>
      </c>
      <c r="J69" s="52">
        <f>AVERAGE('26.08 Suam-Bukwo-24h'!J69,'24.08 Suam-Bukwo-24h'!J69)</f>
        <v>0</v>
      </c>
      <c r="K69" s="52">
        <f>AVERAGE('26.08 Suam-Bukwo-24h'!K69,'24.08 Suam-Bukwo-24h'!K69)</f>
        <v>0</v>
      </c>
      <c r="L69" s="52">
        <f>AVERAGE('26.08 Suam-Bukwo-24h'!L69,'24.08 Suam-Bukwo-24h'!L69)</f>
        <v>0</v>
      </c>
      <c r="M69" s="52">
        <f>AVERAGE('26.08 Suam-Bukwo-24h'!M69,'24.08 Suam-Bukwo-24h'!M69)</f>
        <v>7.5</v>
      </c>
      <c r="N69" s="52">
        <f>AVERAGE('26.08 Suam-Bukwo-24h'!N69,'24.08 Suam-Bukwo-24h'!N69)</f>
        <v>0</v>
      </c>
      <c r="O69" s="15">
        <f t="shared" si="0"/>
        <v>0</v>
      </c>
      <c r="P69" s="15">
        <f t="shared" si="1"/>
        <v>7.5</v>
      </c>
      <c r="R69" s="8"/>
      <c r="T69"/>
    </row>
    <row r="70" spans="2:20" ht="23.1" customHeight="1" x14ac:dyDescent="0.25">
      <c r="B70" s="23" t="s">
        <v>110</v>
      </c>
      <c r="C70" s="52">
        <f>AVERAGE('26.08 Suam-Bukwo-24h'!C70,'24.08 Suam-Bukwo-24h'!C70)</f>
        <v>0</v>
      </c>
      <c r="D70" s="52">
        <f>AVERAGE('26.08 Suam-Bukwo-24h'!D70,'24.08 Suam-Bukwo-24h'!D70)</f>
        <v>0</v>
      </c>
      <c r="E70" s="52">
        <f>AVERAGE('26.08 Suam-Bukwo-24h'!E70,'24.08 Suam-Bukwo-24h'!E70)</f>
        <v>0</v>
      </c>
      <c r="F70" s="52">
        <f>AVERAGE('26.08 Suam-Bukwo-24h'!F70,'24.08 Suam-Bukwo-24h'!F70)</f>
        <v>0</v>
      </c>
      <c r="G70" s="52">
        <f>AVERAGE('26.08 Suam-Bukwo-24h'!G70,'24.08 Suam-Bukwo-24h'!G70)</f>
        <v>0</v>
      </c>
      <c r="H70" s="52">
        <f>AVERAGE('26.08 Suam-Bukwo-24h'!H70,'24.08 Suam-Bukwo-24h'!H70)</f>
        <v>0</v>
      </c>
      <c r="I70" s="52">
        <f>AVERAGE('26.08 Suam-Bukwo-24h'!I70,'24.08 Suam-Bukwo-24h'!I70)</f>
        <v>0</v>
      </c>
      <c r="J70" s="52">
        <f>AVERAGE('26.08 Suam-Bukwo-24h'!J70,'24.08 Suam-Bukwo-24h'!J70)</f>
        <v>0</v>
      </c>
      <c r="K70" s="52">
        <f>AVERAGE('26.08 Suam-Bukwo-24h'!K70,'24.08 Suam-Bukwo-24h'!K70)</f>
        <v>0</v>
      </c>
      <c r="L70" s="52">
        <f>AVERAGE('26.08 Suam-Bukwo-24h'!L70,'24.08 Suam-Bukwo-24h'!L70)</f>
        <v>0</v>
      </c>
      <c r="M70" s="52">
        <f>AVERAGE('26.08 Suam-Bukwo-24h'!M70,'24.08 Suam-Bukwo-24h'!M70)</f>
        <v>9</v>
      </c>
      <c r="N70" s="52">
        <f>AVERAGE('26.08 Suam-Bukwo-24h'!N70,'24.08 Suam-Bukwo-24h'!N70)</f>
        <v>0</v>
      </c>
      <c r="O70" s="15">
        <f t="shared" si="0"/>
        <v>0</v>
      </c>
      <c r="P70" s="15">
        <f t="shared" si="1"/>
        <v>9</v>
      </c>
      <c r="R70" s="8"/>
      <c r="T70"/>
    </row>
    <row r="71" spans="2:20" ht="23.1" customHeight="1" x14ac:dyDescent="0.25">
      <c r="B71" s="23" t="s">
        <v>111</v>
      </c>
      <c r="C71" s="52">
        <f>AVERAGE('26.08 Suam-Bukwo-24h'!C71,'24.08 Suam-Bukwo-24h'!C71)</f>
        <v>0</v>
      </c>
      <c r="D71" s="52">
        <f>AVERAGE('26.08 Suam-Bukwo-24h'!D71,'24.08 Suam-Bukwo-24h'!D71)</f>
        <v>0</v>
      </c>
      <c r="E71" s="52">
        <f>AVERAGE('26.08 Suam-Bukwo-24h'!E71,'24.08 Suam-Bukwo-24h'!E71)</f>
        <v>0</v>
      </c>
      <c r="F71" s="52">
        <f>AVERAGE('26.08 Suam-Bukwo-24h'!F71,'24.08 Suam-Bukwo-24h'!F71)</f>
        <v>0</v>
      </c>
      <c r="G71" s="52">
        <f>AVERAGE('26.08 Suam-Bukwo-24h'!G71,'24.08 Suam-Bukwo-24h'!G71)</f>
        <v>0</v>
      </c>
      <c r="H71" s="52">
        <f>AVERAGE('26.08 Suam-Bukwo-24h'!H71,'24.08 Suam-Bukwo-24h'!H71)</f>
        <v>0</v>
      </c>
      <c r="I71" s="52">
        <f>AVERAGE('26.08 Suam-Bukwo-24h'!I71,'24.08 Suam-Bukwo-24h'!I71)</f>
        <v>0</v>
      </c>
      <c r="J71" s="52">
        <f>AVERAGE('26.08 Suam-Bukwo-24h'!J71,'24.08 Suam-Bukwo-24h'!J71)</f>
        <v>0</v>
      </c>
      <c r="K71" s="52">
        <f>AVERAGE('26.08 Suam-Bukwo-24h'!K71,'24.08 Suam-Bukwo-24h'!K71)</f>
        <v>0</v>
      </c>
      <c r="L71" s="52">
        <f>AVERAGE('26.08 Suam-Bukwo-24h'!L71,'24.08 Suam-Bukwo-24h'!L71)</f>
        <v>0</v>
      </c>
      <c r="M71" s="52">
        <f>AVERAGE('26.08 Suam-Bukwo-24h'!M71,'24.08 Suam-Bukwo-24h'!M71)</f>
        <v>4</v>
      </c>
      <c r="N71" s="52">
        <f>AVERAGE('26.08 Suam-Bukwo-24h'!N71,'24.08 Suam-Bukwo-24h'!N71)</f>
        <v>0</v>
      </c>
      <c r="O71" s="15">
        <f t="shared" si="0"/>
        <v>0</v>
      </c>
      <c r="P71" s="15">
        <f t="shared" si="1"/>
        <v>4</v>
      </c>
      <c r="R71" s="8"/>
      <c r="T71"/>
    </row>
    <row r="72" spans="2:20" ht="23.1" customHeight="1" x14ac:dyDescent="0.25">
      <c r="B72" s="23" t="s">
        <v>112</v>
      </c>
      <c r="C72" s="52">
        <f>AVERAGE('26.08 Suam-Bukwo-24h'!C72,'24.08 Suam-Bukwo-24h'!C72)</f>
        <v>0</v>
      </c>
      <c r="D72" s="52">
        <f>AVERAGE('26.08 Suam-Bukwo-24h'!D72,'24.08 Suam-Bukwo-24h'!D72)</f>
        <v>0</v>
      </c>
      <c r="E72" s="52">
        <f>AVERAGE('26.08 Suam-Bukwo-24h'!E72,'24.08 Suam-Bukwo-24h'!E72)</f>
        <v>0.5</v>
      </c>
      <c r="F72" s="52">
        <f>AVERAGE('26.08 Suam-Bukwo-24h'!F72,'24.08 Suam-Bukwo-24h'!F72)</f>
        <v>0</v>
      </c>
      <c r="G72" s="52">
        <f>AVERAGE('26.08 Suam-Bukwo-24h'!G72,'24.08 Suam-Bukwo-24h'!G72)</f>
        <v>0</v>
      </c>
      <c r="H72" s="52">
        <f>AVERAGE('26.08 Suam-Bukwo-24h'!H72,'24.08 Suam-Bukwo-24h'!H72)</f>
        <v>0</v>
      </c>
      <c r="I72" s="52">
        <f>AVERAGE('26.08 Suam-Bukwo-24h'!I72,'24.08 Suam-Bukwo-24h'!I72)</f>
        <v>1</v>
      </c>
      <c r="J72" s="52">
        <f>AVERAGE('26.08 Suam-Bukwo-24h'!J72,'24.08 Suam-Bukwo-24h'!J72)</f>
        <v>0.5</v>
      </c>
      <c r="K72" s="52">
        <f>AVERAGE('26.08 Suam-Bukwo-24h'!K72,'24.08 Suam-Bukwo-24h'!K72)</f>
        <v>0</v>
      </c>
      <c r="L72" s="52">
        <f>AVERAGE('26.08 Suam-Bukwo-24h'!L72,'24.08 Suam-Bukwo-24h'!L72)</f>
        <v>0</v>
      </c>
      <c r="M72" s="52">
        <f>AVERAGE('26.08 Suam-Bukwo-24h'!M72,'24.08 Suam-Bukwo-24h'!M72)</f>
        <v>3</v>
      </c>
      <c r="N72" s="52">
        <f>AVERAGE('26.08 Suam-Bukwo-24h'!N72,'24.08 Suam-Bukwo-24h'!N72)</f>
        <v>0</v>
      </c>
      <c r="O72" s="15">
        <f t="shared" si="0"/>
        <v>2</v>
      </c>
      <c r="P72" s="15">
        <f t="shared" si="1"/>
        <v>5</v>
      </c>
      <c r="R72" s="8"/>
      <c r="T72"/>
    </row>
    <row r="73" spans="2:20" ht="23.1" customHeight="1" x14ac:dyDescent="0.25">
      <c r="B73" s="23" t="s">
        <v>113</v>
      </c>
      <c r="C73" s="52">
        <f>AVERAGE('26.08 Suam-Bukwo-24h'!C73,'24.08 Suam-Bukwo-24h'!C73)</f>
        <v>0</v>
      </c>
      <c r="D73" s="52">
        <f>AVERAGE('26.08 Suam-Bukwo-24h'!D73,'24.08 Suam-Bukwo-24h'!D73)</f>
        <v>0</v>
      </c>
      <c r="E73" s="52">
        <f>AVERAGE('26.08 Suam-Bukwo-24h'!E73,'24.08 Suam-Bukwo-24h'!E73)</f>
        <v>0</v>
      </c>
      <c r="F73" s="52">
        <f>AVERAGE('26.08 Suam-Bukwo-24h'!F73,'24.08 Suam-Bukwo-24h'!F73)</f>
        <v>0</v>
      </c>
      <c r="G73" s="52">
        <f>AVERAGE('26.08 Suam-Bukwo-24h'!G73,'24.08 Suam-Bukwo-24h'!G73)</f>
        <v>0</v>
      </c>
      <c r="H73" s="52">
        <f>AVERAGE('26.08 Suam-Bukwo-24h'!H73,'24.08 Suam-Bukwo-24h'!H73)</f>
        <v>0</v>
      </c>
      <c r="I73" s="52">
        <f>AVERAGE('26.08 Suam-Bukwo-24h'!I73,'24.08 Suam-Bukwo-24h'!I73)</f>
        <v>0</v>
      </c>
      <c r="J73" s="52">
        <f>AVERAGE('26.08 Suam-Bukwo-24h'!J73,'24.08 Suam-Bukwo-24h'!J73)</f>
        <v>0</v>
      </c>
      <c r="K73" s="52">
        <f>AVERAGE('26.08 Suam-Bukwo-24h'!K73,'24.08 Suam-Bukwo-24h'!K73)</f>
        <v>0</v>
      </c>
      <c r="L73" s="52">
        <f>AVERAGE('26.08 Suam-Bukwo-24h'!L73,'24.08 Suam-Bukwo-24h'!L73)</f>
        <v>0</v>
      </c>
      <c r="M73" s="52">
        <f>AVERAGE('26.08 Suam-Bukwo-24h'!M73,'24.08 Suam-Bukwo-24h'!M73)</f>
        <v>3.5</v>
      </c>
      <c r="N73" s="52">
        <f>AVERAGE('26.08 Suam-Bukwo-24h'!N73,'24.08 Suam-Bukwo-24h'!N73)</f>
        <v>0</v>
      </c>
      <c r="O73" s="15">
        <f t="shared" si="0"/>
        <v>0</v>
      </c>
      <c r="P73" s="15">
        <f t="shared" si="1"/>
        <v>3.5</v>
      </c>
      <c r="R73" s="8"/>
      <c r="T73"/>
    </row>
    <row r="74" spans="2:20" ht="23.1" customHeight="1" x14ac:dyDescent="0.25">
      <c r="B74" s="23" t="s">
        <v>114</v>
      </c>
      <c r="C74" s="52">
        <f>AVERAGE('26.08 Suam-Bukwo-24h'!C74,'24.08 Suam-Bukwo-24h'!C74)</f>
        <v>0</v>
      </c>
      <c r="D74" s="52">
        <f>AVERAGE('26.08 Suam-Bukwo-24h'!D74,'24.08 Suam-Bukwo-24h'!D74)</f>
        <v>0</v>
      </c>
      <c r="E74" s="52">
        <f>AVERAGE('26.08 Suam-Bukwo-24h'!E74,'24.08 Suam-Bukwo-24h'!E74)</f>
        <v>0</v>
      </c>
      <c r="F74" s="52">
        <f>AVERAGE('26.08 Suam-Bukwo-24h'!F74,'24.08 Suam-Bukwo-24h'!F74)</f>
        <v>0</v>
      </c>
      <c r="G74" s="52">
        <f>AVERAGE('26.08 Suam-Bukwo-24h'!G74,'24.08 Suam-Bukwo-24h'!G74)</f>
        <v>0</v>
      </c>
      <c r="H74" s="52">
        <f>AVERAGE('26.08 Suam-Bukwo-24h'!H74,'24.08 Suam-Bukwo-24h'!H74)</f>
        <v>0</v>
      </c>
      <c r="I74" s="52">
        <f>AVERAGE('26.08 Suam-Bukwo-24h'!I74,'24.08 Suam-Bukwo-24h'!I74)</f>
        <v>0</v>
      </c>
      <c r="J74" s="52">
        <f>AVERAGE('26.08 Suam-Bukwo-24h'!J74,'24.08 Suam-Bukwo-24h'!J74)</f>
        <v>0</v>
      </c>
      <c r="K74" s="52">
        <f>AVERAGE('26.08 Suam-Bukwo-24h'!K74,'24.08 Suam-Bukwo-24h'!K74)</f>
        <v>0</v>
      </c>
      <c r="L74" s="52">
        <f>AVERAGE('26.08 Suam-Bukwo-24h'!L74,'24.08 Suam-Bukwo-24h'!L74)</f>
        <v>0</v>
      </c>
      <c r="M74" s="52">
        <f>AVERAGE('26.08 Suam-Bukwo-24h'!M74,'24.08 Suam-Bukwo-24h'!M74)</f>
        <v>3.5</v>
      </c>
      <c r="N74" s="52">
        <f>AVERAGE('26.08 Suam-Bukwo-24h'!N74,'24.08 Suam-Bukwo-24h'!N74)</f>
        <v>0</v>
      </c>
      <c r="O74" s="15">
        <f t="shared" ref="O74:O105" si="35">SUM(C74:L74,N74)</f>
        <v>0</v>
      </c>
      <c r="P74" s="15">
        <f t="shared" ref="P74:P105" si="36">SUM(C74:N74)</f>
        <v>3.5</v>
      </c>
      <c r="R74" s="8"/>
      <c r="T74"/>
    </row>
    <row r="75" spans="2:20" ht="23.1" customHeight="1" x14ac:dyDescent="0.25">
      <c r="B75" s="23" t="s">
        <v>115</v>
      </c>
      <c r="C75" s="52">
        <f>AVERAGE('26.08 Suam-Bukwo-24h'!C75,'24.08 Suam-Bukwo-24h'!C75)</f>
        <v>0.5</v>
      </c>
      <c r="D75" s="52">
        <f>AVERAGE('26.08 Suam-Bukwo-24h'!D75,'24.08 Suam-Bukwo-24h'!D75)</f>
        <v>0</v>
      </c>
      <c r="E75" s="52">
        <f>AVERAGE('26.08 Suam-Bukwo-24h'!E75,'24.08 Suam-Bukwo-24h'!E75)</f>
        <v>0</v>
      </c>
      <c r="F75" s="52">
        <f>AVERAGE('26.08 Suam-Bukwo-24h'!F75,'24.08 Suam-Bukwo-24h'!F75)</f>
        <v>0</v>
      </c>
      <c r="G75" s="52">
        <f>AVERAGE('26.08 Suam-Bukwo-24h'!G75,'24.08 Suam-Bukwo-24h'!G75)</f>
        <v>0</v>
      </c>
      <c r="H75" s="52">
        <f>AVERAGE('26.08 Suam-Bukwo-24h'!H75,'24.08 Suam-Bukwo-24h'!H75)</f>
        <v>0</v>
      </c>
      <c r="I75" s="52">
        <f>AVERAGE('26.08 Suam-Bukwo-24h'!I75,'24.08 Suam-Bukwo-24h'!I75)</f>
        <v>0.5</v>
      </c>
      <c r="J75" s="52">
        <f>AVERAGE('26.08 Suam-Bukwo-24h'!J75,'24.08 Suam-Bukwo-24h'!J75)</f>
        <v>0</v>
      </c>
      <c r="K75" s="52">
        <f>AVERAGE('26.08 Suam-Bukwo-24h'!K75,'24.08 Suam-Bukwo-24h'!K75)</f>
        <v>0</v>
      </c>
      <c r="L75" s="52">
        <f>AVERAGE('26.08 Suam-Bukwo-24h'!L75,'24.08 Suam-Bukwo-24h'!L75)</f>
        <v>0</v>
      </c>
      <c r="M75" s="52">
        <f>AVERAGE('26.08 Suam-Bukwo-24h'!M75,'24.08 Suam-Bukwo-24h'!M75)</f>
        <v>0</v>
      </c>
      <c r="N75" s="52">
        <f>AVERAGE('26.08 Suam-Bukwo-24h'!N75,'24.08 Suam-Bukwo-24h'!N75)</f>
        <v>0</v>
      </c>
      <c r="O75" s="15">
        <f t="shared" si="35"/>
        <v>1</v>
      </c>
      <c r="P75" s="15">
        <f t="shared" si="36"/>
        <v>1</v>
      </c>
      <c r="R75" s="8"/>
      <c r="T75"/>
    </row>
    <row r="76" spans="2:20" ht="23.1" customHeight="1" x14ac:dyDescent="0.25">
      <c r="B76" s="23" t="s">
        <v>116</v>
      </c>
      <c r="C76" s="52">
        <f>AVERAGE('26.08 Suam-Bukwo-24h'!C76,'24.08 Suam-Bukwo-24h'!C76)</f>
        <v>0</v>
      </c>
      <c r="D76" s="52">
        <f>AVERAGE('26.08 Suam-Bukwo-24h'!D76,'24.08 Suam-Bukwo-24h'!D76)</f>
        <v>0</v>
      </c>
      <c r="E76" s="52">
        <f>AVERAGE('26.08 Suam-Bukwo-24h'!E76,'24.08 Suam-Bukwo-24h'!E76)</f>
        <v>0</v>
      </c>
      <c r="F76" s="52">
        <f>AVERAGE('26.08 Suam-Bukwo-24h'!F76,'24.08 Suam-Bukwo-24h'!F76)</f>
        <v>0</v>
      </c>
      <c r="G76" s="52">
        <f>AVERAGE('26.08 Suam-Bukwo-24h'!G76,'24.08 Suam-Bukwo-24h'!G76)</f>
        <v>0</v>
      </c>
      <c r="H76" s="52">
        <f>AVERAGE('26.08 Suam-Bukwo-24h'!H76,'24.08 Suam-Bukwo-24h'!H76)</f>
        <v>0</v>
      </c>
      <c r="I76" s="52">
        <f>AVERAGE('26.08 Suam-Bukwo-24h'!I76,'24.08 Suam-Bukwo-24h'!I76)</f>
        <v>0</v>
      </c>
      <c r="J76" s="52">
        <f>AVERAGE('26.08 Suam-Bukwo-24h'!J76,'24.08 Suam-Bukwo-24h'!J76)</f>
        <v>0</v>
      </c>
      <c r="K76" s="52">
        <f>AVERAGE('26.08 Suam-Bukwo-24h'!K76,'24.08 Suam-Bukwo-24h'!K76)</f>
        <v>0</v>
      </c>
      <c r="L76" s="52">
        <f>AVERAGE('26.08 Suam-Bukwo-24h'!L76,'24.08 Suam-Bukwo-24h'!L76)</f>
        <v>0</v>
      </c>
      <c r="M76" s="52">
        <f>AVERAGE('26.08 Suam-Bukwo-24h'!M76,'24.08 Suam-Bukwo-24h'!M76)</f>
        <v>2</v>
      </c>
      <c r="N76" s="52">
        <f>AVERAGE('26.08 Suam-Bukwo-24h'!N76,'24.08 Suam-Bukwo-24h'!N76)</f>
        <v>0</v>
      </c>
      <c r="O76" s="15">
        <f t="shared" si="35"/>
        <v>0</v>
      </c>
      <c r="P76" s="15">
        <f t="shared" si="36"/>
        <v>2</v>
      </c>
      <c r="R76" s="8"/>
      <c r="T76"/>
    </row>
    <row r="77" spans="2:20" ht="23.1" customHeight="1" x14ac:dyDescent="0.25">
      <c r="B77" s="23" t="s">
        <v>117</v>
      </c>
      <c r="C77" s="52">
        <f>AVERAGE('26.08 Suam-Bukwo-24h'!C77,'24.08 Suam-Bukwo-24h'!C77)</f>
        <v>0</v>
      </c>
      <c r="D77" s="52">
        <f>AVERAGE('26.08 Suam-Bukwo-24h'!D77,'24.08 Suam-Bukwo-24h'!D77)</f>
        <v>0</v>
      </c>
      <c r="E77" s="52">
        <f>AVERAGE('26.08 Suam-Bukwo-24h'!E77,'24.08 Suam-Bukwo-24h'!E77)</f>
        <v>0</v>
      </c>
      <c r="F77" s="52">
        <f>AVERAGE('26.08 Suam-Bukwo-24h'!F77,'24.08 Suam-Bukwo-24h'!F77)</f>
        <v>0</v>
      </c>
      <c r="G77" s="52">
        <f>AVERAGE('26.08 Suam-Bukwo-24h'!G77,'24.08 Suam-Bukwo-24h'!G77)</f>
        <v>0</v>
      </c>
      <c r="H77" s="52">
        <f>AVERAGE('26.08 Suam-Bukwo-24h'!H77,'24.08 Suam-Bukwo-24h'!H77)</f>
        <v>0</v>
      </c>
      <c r="I77" s="52">
        <f>AVERAGE('26.08 Suam-Bukwo-24h'!I77,'24.08 Suam-Bukwo-24h'!I77)</f>
        <v>0.5</v>
      </c>
      <c r="J77" s="52">
        <f>AVERAGE('26.08 Suam-Bukwo-24h'!J77,'24.08 Suam-Bukwo-24h'!J77)</f>
        <v>0</v>
      </c>
      <c r="K77" s="52">
        <f>AVERAGE('26.08 Suam-Bukwo-24h'!K77,'24.08 Suam-Bukwo-24h'!K77)</f>
        <v>0</v>
      </c>
      <c r="L77" s="52">
        <f>AVERAGE('26.08 Suam-Bukwo-24h'!L77,'24.08 Suam-Bukwo-24h'!L77)</f>
        <v>0</v>
      </c>
      <c r="M77" s="52">
        <f>AVERAGE('26.08 Suam-Bukwo-24h'!M77,'24.08 Suam-Bukwo-24h'!M77)</f>
        <v>1</v>
      </c>
      <c r="N77" s="52">
        <f>AVERAGE('26.08 Suam-Bukwo-24h'!N77,'24.08 Suam-Bukwo-24h'!N77)</f>
        <v>0</v>
      </c>
      <c r="O77" s="15">
        <f t="shared" si="35"/>
        <v>0.5</v>
      </c>
      <c r="P77" s="15">
        <f t="shared" si="36"/>
        <v>1.5</v>
      </c>
      <c r="R77" s="8"/>
      <c r="T77"/>
    </row>
    <row r="78" spans="2:20" ht="23.1" customHeight="1" x14ac:dyDescent="0.25">
      <c r="B78" s="24" t="s">
        <v>118</v>
      </c>
      <c r="C78" s="52">
        <f>AVERAGE('26.08 Suam-Bukwo-24h'!C78,'24.08 Suam-Bukwo-24h'!C78)</f>
        <v>0</v>
      </c>
      <c r="D78" s="52">
        <f>AVERAGE('26.08 Suam-Bukwo-24h'!D78,'24.08 Suam-Bukwo-24h'!D78)</f>
        <v>0</v>
      </c>
      <c r="E78" s="52">
        <f>AVERAGE('26.08 Suam-Bukwo-24h'!E78,'24.08 Suam-Bukwo-24h'!E78)</f>
        <v>0</v>
      </c>
      <c r="F78" s="52">
        <f>AVERAGE('26.08 Suam-Bukwo-24h'!F78,'24.08 Suam-Bukwo-24h'!F78)</f>
        <v>0</v>
      </c>
      <c r="G78" s="52">
        <f>AVERAGE('26.08 Suam-Bukwo-24h'!G78,'24.08 Suam-Bukwo-24h'!G78)</f>
        <v>0</v>
      </c>
      <c r="H78" s="52">
        <f>AVERAGE('26.08 Suam-Bukwo-24h'!H78,'24.08 Suam-Bukwo-24h'!H78)</f>
        <v>0</v>
      </c>
      <c r="I78" s="52">
        <f>AVERAGE('26.08 Suam-Bukwo-24h'!I78,'24.08 Suam-Bukwo-24h'!I78)</f>
        <v>0</v>
      </c>
      <c r="J78" s="52">
        <f>AVERAGE('26.08 Suam-Bukwo-24h'!J78,'24.08 Suam-Bukwo-24h'!J78)</f>
        <v>0</v>
      </c>
      <c r="K78" s="52">
        <f>AVERAGE('26.08 Suam-Bukwo-24h'!K78,'24.08 Suam-Bukwo-24h'!K78)</f>
        <v>0</v>
      </c>
      <c r="L78" s="52">
        <f>AVERAGE('26.08 Suam-Bukwo-24h'!L78,'24.08 Suam-Bukwo-24h'!L78)</f>
        <v>0</v>
      </c>
      <c r="M78" s="52">
        <f>AVERAGE('26.08 Suam-Bukwo-24h'!M78,'24.08 Suam-Bukwo-24h'!M78)</f>
        <v>1</v>
      </c>
      <c r="N78" s="52">
        <f>AVERAGE('26.08 Suam-Bukwo-24h'!N78,'24.08 Suam-Bukwo-24h'!N78)</f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23" t="s">
        <v>119</v>
      </c>
      <c r="C79" s="52">
        <f>AVERAGE('26.08 Suam-Bukwo-24h'!C79,'24.08 Suam-Bukwo-24h'!C79)</f>
        <v>0</v>
      </c>
      <c r="D79" s="52">
        <f>AVERAGE('26.08 Suam-Bukwo-24h'!D79,'24.08 Suam-Bukwo-24h'!D79)</f>
        <v>0</v>
      </c>
      <c r="E79" s="52">
        <f>AVERAGE('26.08 Suam-Bukwo-24h'!E79,'24.08 Suam-Bukwo-24h'!E79)</f>
        <v>0</v>
      </c>
      <c r="F79" s="52">
        <f>AVERAGE('26.08 Suam-Bukwo-24h'!F79,'24.08 Suam-Bukwo-24h'!F79)</f>
        <v>0</v>
      </c>
      <c r="G79" s="52">
        <f>AVERAGE('26.08 Suam-Bukwo-24h'!G79,'24.08 Suam-Bukwo-24h'!G79)</f>
        <v>0</v>
      </c>
      <c r="H79" s="52">
        <f>AVERAGE('26.08 Suam-Bukwo-24h'!H79,'24.08 Suam-Bukwo-24h'!H79)</f>
        <v>0</v>
      </c>
      <c r="I79" s="52">
        <f>AVERAGE('26.08 Suam-Bukwo-24h'!I79,'24.08 Suam-Bukwo-24h'!I79)</f>
        <v>0</v>
      </c>
      <c r="J79" s="52">
        <f>AVERAGE('26.08 Suam-Bukwo-24h'!J79,'24.08 Suam-Bukwo-24h'!J79)</f>
        <v>0</v>
      </c>
      <c r="K79" s="52">
        <f>AVERAGE('26.08 Suam-Bukwo-24h'!K79,'24.08 Suam-Bukwo-24h'!K79)</f>
        <v>0</v>
      </c>
      <c r="L79" s="52">
        <f>AVERAGE('26.08 Suam-Bukwo-24h'!L79,'24.08 Suam-Bukwo-24h'!L79)</f>
        <v>0</v>
      </c>
      <c r="M79" s="52">
        <f>AVERAGE('26.08 Suam-Bukwo-24h'!M79,'24.08 Suam-Bukwo-24h'!M79)</f>
        <v>0.5</v>
      </c>
      <c r="N79" s="52">
        <f>AVERAGE('26.08 Suam-Bukwo-24h'!N79,'24.08 Suam-Bukwo-24h'!N79)</f>
        <v>0</v>
      </c>
      <c r="O79" s="15">
        <f t="shared" si="35"/>
        <v>0</v>
      </c>
      <c r="P79" s="15">
        <f t="shared" si="36"/>
        <v>0.5</v>
      </c>
      <c r="R79" s="8"/>
      <c r="T79"/>
    </row>
    <row r="80" spans="2:20" ht="23.1" customHeight="1" x14ac:dyDescent="0.25">
      <c r="B80" s="25" t="s">
        <v>120</v>
      </c>
      <c r="C80" s="52">
        <f>AVERAGE('26.08 Suam-Bukwo-24h'!C80,'24.08 Suam-Bukwo-24h'!C80)</f>
        <v>0</v>
      </c>
      <c r="D80" s="52">
        <f>AVERAGE('26.08 Suam-Bukwo-24h'!D80,'24.08 Suam-Bukwo-24h'!D80)</f>
        <v>0</v>
      </c>
      <c r="E80" s="52">
        <f>AVERAGE('26.08 Suam-Bukwo-24h'!E80,'24.08 Suam-Bukwo-24h'!E80)</f>
        <v>0</v>
      </c>
      <c r="F80" s="52">
        <f>AVERAGE('26.08 Suam-Bukwo-24h'!F80,'24.08 Suam-Bukwo-24h'!F80)</f>
        <v>0</v>
      </c>
      <c r="G80" s="52">
        <f>AVERAGE('26.08 Suam-Bukwo-24h'!G80,'24.08 Suam-Bukwo-24h'!G80)</f>
        <v>0</v>
      </c>
      <c r="H80" s="52">
        <f>AVERAGE('26.08 Suam-Bukwo-24h'!H80,'24.08 Suam-Bukwo-24h'!H80)</f>
        <v>0</v>
      </c>
      <c r="I80" s="52">
        <f>AVERAGE('26.08 Suam-Bukwo-24h'!I80,'24.08 Suam-Bukwo-24h'!I80)</f>
        <v>0</v>
      </c>
      <c r="J80" s="52">
        <f>AVERAGE('26.08 Suam-Bukwo-24h'!J80,'24.08 Suam-Bukwo-24h'!J80)</f>
        <v>0</v>
      </c>
      <c r="K80" s="52">
        <f>AVERAGE('26.08 Suam-Bukwo-24h'!K80,'24.08 Suam-Bukwo-24h'!K80)</f>
        <v>0</v>
      </c>
      <c r="L80" s="52">
        <f>AVERAGE('26.08 Suam-Bukwo-24h'!L80,'24.08 Suam-Bukwo-24h'!L80)</f>
        <v>0</v>
      </c>
      <c r="M80" s="52">
        <f>AVERAGE('26.08 Suam-Bukwo-24h'!M80,'24.08 Suam-Bukwo-24h'!M80)</f>
        <v>0</v>
      </c>
      <c r="N80" s="52">
        <f>AVERAGE('26.08 Suam-Bukwo-24h'!N80,'24.08 Suam-Bukwo-24h'!N80)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52">
        <f>AVERAGE('26.08 Suam-Bukwo-24h'!C81,'24.08 Suam-Bukwo-24h'!C81)</f>
        <v>0</v>
      </c>
      <c r="D81" s="52">
        <f>AVERAGE('26.08 Suam-Bukwo-24h'!D81,'24.08 Suam-Bukwo-24h'!D81)</f>
        <v>0</v>
      </c>
      <c r="E81" s="52">
        <f>AVERAGE('26.08 Suam-Bukwo-24h'!E81,'24.08 Suam-Bukwo-24h'!E81)</f>
        <v>0</v>
      </c>
      <c r="F81" s="52">
        <f>AVERAGE('26.08 Suam-Bukwo-24h'!F81,'24.08 Suam-Bukwo-24h'!F81)</f>
        <v>0</v>
      </c>
      <c r="G81" s="52">
        <f>AVERAGE('26.08 Suam-Bukwo-24h'!G81,'24.08 Suam-Bukwo-24h'!G81)</f>
        <v>0</v>
      </c>
      <c r="H81" s="52">
        <f>AVERAGE('26.08 Suam-Bukwo-24h'!H81,'24.08 Suam-Bukwo-24h'!H81)</f>
        <v>0</v>
      </c>
      <c r="I81" s="52">
        <f>AVERAGE('26.08 Suam-Bukwo-24h'!I81,'24.08 Suam-Bukwo-24h'!I81)</f>
        <v>0</v>
      </c>
      <c r="J81" s="52">
        <f>AVERAGE('26.08 Suam-Bukwo-24h'!J81,'24.08 Suam-Bukwo-24h'!J81)</f>
        <v>0</v>
      </c>
      <c r="K81" s="52">
        <f>AVERAGE('26.08 Suam-Bukwo-24h'!K81,'24.08 Suam-Bukwo-24h'!K81)</f>
        <v>0</v>
      </c>
      <c r="L81" s="52">
        <f>AVERAGE('26.08 Suam-Bukwo-24h'!L81,'24.08 Suam-Bukwo-24h'!L81)</f>
        <v>0</v>
      </c>
      <c r="M81" s="52">
        <f>AVERAGE('26.08 Suam-Bukwo-24h'!M81,'24.08 Suam-Bukwo-24h'!M81)</f>
        <v>0</v>
      </c>
      <c r="N81" s="52">
        <f>AVERAGE('26.08 Suam-Bukwo-24h'!N81,'24.08 Suam-Bukwo-24h'!N81)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52">
        <f>AVERAGE('26.08 Suam-Bukwo-24h'!C82,'24.08 Suam-Bukwo-24h'!C82)</f>
        <v>0</v>
      </c>
      <c r="D82" s="52">
        <f>AVERAGE('26.08 Suam-Bukwo-24h'!D82,'24.08 Suam-Bukwo-24h'!D82)</f>
        <v>0</v>
      </c>
      <c r="E82" s="52">
        <f>AVERAGE('26.08 Suam-Bukwo-24h'!E82,'24.08 Suam-Bukwo-24h'!E82)</f>
        <v>0</v>
      </c>
      <c r="F82" s="52">
        <f>AVERAGE('26.08 Suam-Bukwo-24h'!F82,'24.08 Suam-Bukwo-24h'!F82)</f>
        <v>0</v>
      </c>
      <c r="G82" s="52">
        <f>AVERAGE('26.08 Suam-Bukwo-24h'!G82,'24.08 Suam-Bukwo-24h'!G82)</f>
        <v>0</v>
      </c>
      <c r="H82" s="52">
        <f>AVERAGE('26.08 Suam-Bukwo-24h'!H82,'24.08 Suam-Bukwo-24h'!H82)</f>
        <v>0</v>
      </c>
      <c r="I82" s="52">
        <f>AVERAGE('26.08 Suam-Bukwo-24h'!I82,'24.08 Suam-Bukwo-24h'!I82)</f>
        <v>0</v>
      </c>
      <c r="J82" s="52">
        <f>AVERAGE('26.08 Suam-Bukwo-24h'!J82,'24.08 Suam-Bukwo-24h'!J82)</f>
        <v>0</v>
      </c>
      <c r="K82" s="52">
        <f>AVERAGE('26.08 Suam-Bukwo-24h'!K82,'24.08 Suam-Bukwo-24h'!K82)</f>
        <v>0</v>
      </c>
      <c r="L82" s="52">
        <f>AVERAGE('26.08 Suam-Bukwo-24h'!L82,'24.08 Suam-Bukwo-24h'!L82)</f>
        <v>0</v>
      </c>
      <c r="M82" s="52">
        <f>AVERAGE('26.08 Suam-Bukwo-24h'!M82,'24.08 Suam-Bukwo-24h'!M82)</f>
        <v>0</v>
      </c>
      <c r="N82" s="52">
        <f>AVERAGE('26.08 Suam-Bukwo-24h'!N82,'24.08 Suam-Bukwo-24h'!N82)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52">
        <f>AVERAGE('26.08 Suam-Bukwo-24h'!C83,'24.08 Suam-Bukwo-24h'!C83)</f>
        <v>0</v>
      </c>
      <c r="D83" s="52">
        <f>AVERAGE('26.08 Suam-Bukwo-24h'!D83,'24.08 Suam-Bukwo-24h'!D83)</f>
        <v>0</v>
      </c>
      <c r="E83" s="52">
        <f>AVERAGE('26.08 Suam-Bukwo-24h'!E83,'24.08 Suam-Bukwo-24h'!E83)</f>
        <v>0.5</v>
      </c>
      <c r="F83" s="52">
        <f>AVERAGE('26.08 Suam-Bukwo-24h'!F83,'24.08 Suam-Bukwo-24h'!F83)</f>
        <v>0</v>
      </c>
      <c r="G83" s="52">
        <f>AVERAGE('26.08 Suam-Bukwo-24h'!G83,'24.08 Suam-Bukwo-24h'!G83)</f>
        <v>0</v>
      </c>
      <c r="H83" s="52">
        <f>AVERAGE('26.08 Suam-Bukwo-24h'!H83,'24.08 Suam-Bukwo-24h'!H83)</f>
        <v>0</v>
      </c>
      <c r="I83" s="52">
        <f>AVERAGE('26.08 Suam-Bukwo-24h'!I83,'24.08 Suam-Bukwo-24h'!I83)</f>
        <v>0.5</v>
      </c>
      <c r="J83" s="52">
        <f>AVERAGE('26.08 Suam-Bukwo-24h'!J83,'24.08 Suam-Bukwo-24h'!J83)</f>
        <v>0</v>
      </c>
      <c r="K83" s="52">
        <f>AVERAGE('26.08 Suam-Bukwo-24h'!K83,'24.08 Suam-Bukwo-24h'!K83)</f>
        <v>0</v>
      </c>
      <c r="L83" s="52">
        <f>AVERAGE('26.08 Suam-Bukwo-24h'!L83,'24.08 Suam-Bukwo-24h'!L83)</f>
        <v>0</v>
      </c>
      <c r="M83" s="52">
        <f>AVERAGE('26.08 Suam-Bukwo-24h'!M83,'24.08 Suam-Bukwo-24h'!M83)</f>
        <v>0</v>
      </c>
      <c r="N83" s="52">
        <f>AVERAGE('26.08 Suam-Bukwo-24h'!N83,'24.08 Suam-Bukwo-24h'!N83)</f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52">
        <f>AVERAGE('26.08 Suam-Bukwo-24h'!C84,'24.08 Suam-Bukwo-24h'!C84)</f>
        <v>0</v>
      </c>
      <c r="D84" s="52">
        <f>AVERAGE('26.08 Suam-Bukwo-24h'!D84,'24.08 Suam-Bukwo-24h'!D84)</f>
        <v>0</v>
      </c>
      <c r="E84" s="52">
        <f>AVERAGE('26.08 Suam-Bukwo-24h'!E84,'24.08 Suam-Bukwo-24h'!E84)</f>
        <v>0</v>
      </c>
      <c r="F84" s="52">
        <f>AVERAGE('26.08 Suam-Bukwo-24h'!F84,'24.08 Suam-Bukwo-24h'!F84)</f>
        <v>0</v>
      </c>
      <c r="G84" s="52">
        <f>AVERAGE('26.08 Suam-Bukwo-24h'!G84,'24.08 Suam-Bukwo-24h'!G84)</f>
        <v>0</v>
      </c>
      <c r="H84" s="52">
        <f>AVERAGE('26.08 Suam-Bukwo-24h'!H84,'24.08 Suam-Bukwo-24h'!H84)</f>
        <v>0</v>
      </c>
      <c r="I84" s="52">
        <f>AVERAGE('26.08 Suam-Bukwo-24h'!I84,'24.08 Suam-Bukwo-24h'!I84)</f>
        <v>0</v>
      </c>
      <c r="J84" s="52">
        <f>AVERAGE('26.08 Suam-Bukwo-24h'!J84,'24.08 Suam-Bukwo-24h'!J84)</f>
        <v>0</v>
      </c>
      <c r="K84" s="52">
        <f>AVERAGE('26.08 Suam-Bukwo-24h'!K84,'24.08 Suam-Bukwo-24h'!K84)</f>
        <v>0</v>
      </c>
      <c r="L84" s="52">
        <f>AVERAGE('26.08 Suam-Bukwo-24h'!L84,'24.08 Suam-Bukwo-24h'!L84)</f>
        <v>0</v>
      </c>
      <c r="M84" s="52">
        <f>AVERAGE('26.08 Suam-Bukwo-24h'!M84,'24.08 Suam-Bukwo-24h'!M84)</f>
        <v>0</v>
      </c>
      <c r="N84" s="52">
        <f>AVERAGE('26.08 Suam-Bukwo-24h'!N84,'24.08 Suam-Bukwo-24h'!N84)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52">
        <f>AVERAGE('26.08 Suam-Bukwo-24h'!C85,'24.08 Suam-Bukwo-24h'!C85)</f>
        <v>0</v>
      </c>
      <c r="D85" s="52">
        <f>AVERAGE('26.08 Suam-Bukwo-24h'!D85,'24.08 Suam-Bukwo-24h'!D85)</f>
        <v>0</v>
      </c>
      <c r="E85" s="52">
        <f>AVERAGE('26.08 Suam-Bukwo-24h'!E85,'24.08 Suam-Bukwo-24h'!E85)</f>
        <v>0</v>
      </c>
      <c r="F85" s="52">
        <f>AVERAGE('26.08 Suam-Bukwo-24h'!F85,'24.08 Suam-Bukwo-24h'!F85)</f>
        <v>0</v>
      </c>
      <c r="G85" s="52">
        <f>AVERAGE('26.08 Suam-Bukwo-24h'!G85,'24.08 Suam-Bukwo-24h'!G85)</f>
        <v>0</v>
      </c>
      <c r="H85" s="52">
        <f>AVERAGE('26.08 Suam-Bukwo-24h'!H85,'24.08 Suam-Bukwo-24h'!H85)</f>
        <v>0</v>
      </c>
      <c r="I85" s="52">
        <f>AVERAGE('26.08 Suam-Bukwo-24h'!I85,'24.08 Suam-Bukwo-24h'!I85)</f>
        <v>0</v>
      </c>
      <c r="J85" s="52">
        <f>AVERAGE('26.08 Suam-Bukwo-24h'!J85,'24.08 Suam-Bukwo-24h'!J85)</f>
        <v>0</v>
      </c>
      <c r="K85" s="52">
        <f>AVERAGE('26.08 Suam-Bukwo-24h'!K85,'24.08 Suam-Bukwo-24h'!K85)</f>
        <v>0</v>
      </c>
      <c r="L85" s="52">
        <f>AVERAGE('26.08 Suam-Bukwo-24h'!L85,'24.08 Suam-Bukwo-24h'!L85)</f>
        <v>0</v>
      </c>
      <c r="M85" s="52">
        <f>AVERAGE('26.08 Suam-Bukwo-24h'!M85,'24.08 Suam-Bukwo-24h'!M85)</f>
        <v>0</v>
      </c>
      <c r="N85" s="52">
        <f>AVERAGE('26.08 Suam-Bukwo-24h'!N85,'24.08 Suam-Bukwo-24h'!N85)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52">
        <f>AVERAGE('26.08 Suam-Bukwo-24h'!C86,'24.08 Suam-Bukwo-24h'!C86)</f>
        <v>0</v>
      </c>
      <c r="D86" s="52">
        <f>AVERAGE('26.08 Suam-Bukwo-24h'!D86,'24.08 Suam-Bukwo-24h'!D86)</f>
        <v>0</v>
      </c>
      <c r="E86" s="52">
        <f>AVERAGE('26.08 Suam-Bukwo-24h'!E86,'24.08 Suam-Bukwo-24h'!E86)</f>
        <v>0</v>
      </c>
      <c r="F86" s="52">
        <f>AVERAGE('26.08 Suam-Bukwo-24h'!F86,'24.08 Suam-Bukwo-24h'!F86)</f>
        <v>0</v>
      </c>
      <c r="G86" s="52">
        <f>AVERAGE('26.08 Suam-Bukwo-24h'!G86,'24.08 Suam-Bukwo-24h'!G86)</f>
        <v>0</v>
      </c>
      <c r="H86" s="52">
        <f>AVERAGE('26.08 Suam-Bukwo-24h'!H86,'24.08 Suam-Bukwo-24h'!H86)</f>
        <v>0</v>
      </c>
      <c r="I86" s="52">
        <f>AVERAGE('26.08 Suam-Bukwo-24h'!I86,'24.08 Suam-Bukwo-24h'!I86)</f>
        <v>0</v>
      </c>
      <c r="J86" s="52">
        <f>AVERAGE('26.08 Suam-Bukwo-24h'!J86,'24.08 Suam-Bukwo-24h'!J86)</f>
        <v>0</v>
      </c>
      <c r="K86" s="52">
        <f>AVERAGE('26.08 Suam-Bukwo-24h'!K86,'24.08 Suam-Bukwo-24h'!K86)</f>
        <v>0</v>
      </c>
      <c r="L86" s="52">
        <f>AVERAGE('26.08 Suam-Bukwo-24h'!L86,'24.08 Suam-Bukwo-24h'!L86)</f>
        <v>0</v>
      </c>
      <c r="M86" s="52">
        <f>AVERAGE('26.08 Suam-Bukwo-24h'!M86,'24.08 Suam-Bukwo-24h'!M86)</f>
        <v>0</v>
      </c>
      <c r="N86" s="52">
        <f>AVERAGE('26.08 Suam-Bukwo-24h'!N86,'24.08 Suam-Bukwo-24h'!N86)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52">
        <f>AVERAGE('26.08 Suam-Bukwo-24h'!C87,'24.08 Suam-Bukwo-24h'!C87)</f>
        <v>0</v>
      </c>
      <c r="D87" s="52">
        <f>AVERAGE('26.08 Suam-Bukwo-24h'!D87,'24.08 Suam-Bukwo-24h'!D87)</f>
        <v>0</v>
      </c>
      <c r="E87" s="52">
        <f>AVERAGE('26.08 Suam-Bukwo-24h'!E87,'24.08 Suam-Bukwo-24h'!E87)</f>
        <v>0</v>
      </c>
      <c r="F87" s="52">
        <f>AVERAGE('26.08 Suam-Bukwo-24h'!F87,'24.08 Suam-Bukwo-24h'!F87)</f>
        <v>0</v>
      </c>
      <c r="G87" s="52">
        <f>AVERAGE('26.08 Suam-Bukwo-24h'!G87,'24.08 Suam-Bukwo-24h'!G87)</f>
        <v>0</v>
      </c>
      <c r="H87" s="52">
        <f>AVERAGE('26.08 Suam-Bukwo-24h'!H87,'24.08 Suam-Bukwo-24h'!H87)</f>
        <v>0</v>
      </c>
      <c r="I87" s="52">
        <f>AVERAGE('26.08 Suam-Bukwo-24h'!I87,'24.08 Suam-Bukwo-24h'!I87)</f>
        <v>0</v>
      </c>
      <c r="J87" s="52">
        <f>AVERAGE('26.08 Suam-Bukwo-24h'!J87,'24.08 Suam-Bukwo-24h'!J87)</f>
        <v>0</v>
      </c>
      <c r="K87" s="52">
        <f>AVERAGE('26.08 Suam-Bukwo-24h'!K87,'24.08 Suam-Bukwo-24h'!K87)</f>
        <v>0</v>
      </c>
      <c r="L87" s="52">
        <f>AVERAGE('26.08 Suam-Bukwo-24h'!L87,'24.08 Suam-Bukwo-24h'!L87)</f>
        <v>0</v>
      </c>
      <c r="M87" s="52">
        <f>AVERAGE('26.08 Suam-Bukwo-24h'!M87,'24.08 Suam-Bukwo-24h'!M87)</f>
        <v>0</v>
      </c>
      <c r="N87" s="52">
        <f>AVERAGE('26.08 Suam-Bukwo-24h'!N87,'24.08 Suam-Bukwo-24h'!N87)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52">
        <f>AVERAGE('26.08 Suam-Bukwo-24h'!C88,'24.08 Suam-Bukwo-24h'!C88)</f>
        <v>0</v>
      </c>
      <c r="D88" s="52">
        <f>AVERAGE('26.08 Suam-Bukwo-24h'!D88,'24.08 Suam-Bukwo-24h'!D88)</f>
        <v>0</v>
      </c>
      <c r="E88" s="52">
        <f>AVERAGE('26.08 Suam-Bukwo-24h'!E88,'24.08 Suam-Bukwo-24h'!E88)</f>
        <v>0</v>
      </c>
      <c r="F88" s="52">
        <f>AVERAGE('26.08 Suam-Bukwo-24h'!F88,'24.08 Suam-Bukwo-24h'!F88)</f>
        <v>0</v>
      </c>
      <c r="G88" s="52">
        <f>AVERAGE('26.08 Suam-Bukwo-24h'!G88,'24.08 Suam-Bukwo-24h'!G88)</f>
        <v>0</v>
      </c>
      <c r="H88" s="52">
        <f>AVERAGE('26.08 Suam-Bukwo-24h'!H88,'24.08 Suam-Bukwo-24h'!H88)</f>
        <v>0</v>
      </c>
      <c r="I88" s="52">
        <f>AVERAGE('26.08 Suam-Bukwo-24h'!I88,'24.08 Suam-Bukwo-24h'!I88)</f>
        <v>0</v>
      </c>
      <c r="J88" s="52">
        <f>AVERAGE('26.08 Suam-Bukwo-24h'!J88,'24.08 Suam-Bukwo-24h'!J88)</f>
        <v>0</v>
      </c>
      <c r="K88" s="52">
        <f>AVERAGE('26.08 Suam-Bukwo-24h'!K88,'24.08 Suam-Bukwo-24h'!K88)</f>
        <v>0</v>
      </c>
      <c r="L88" s="52">
        <f>AVERAGE('26.08 Suam-Bukwo-24h'!L88,'24.08 Suam-Bukwo-24h'!L88)</f>
        <v>0</v>
      </c>
      <c r="M88" s="52">
        <f>AVERAGE('26.08 Suam-Bukwo-24h'!M88,'24.08 Suam-Bukwo-24h'!M88)</f>
        <v>0</v>
      </c>
      <c r="N88" s="52">
        <f>AVERAGE('26.08 Suam-Bukwo-24h'!N88,'24.08 Suam-Bukwo-24h'!N88)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52">
        <f>AVERAGE('26.08 Suam-Bukwo-24h'!C89,'24.08 Suam-Bukwo-24h'!C89)</f>
        <v>0</v>
      </c>
      <c r="D89" s="52">
        <f>AVERAGE('26.08 Suam-Bukwo-24h'!D89,'24.08 Suam-Bukwo-24h'!D89)</f>
        <v>0</v>
      </c>
      <c r="E89" s="52">
        <f>AVERAGE('26.08 Suam-Bukwo-24h'!E89,'24.08 Suam-Bukwo-24h'!E89)</f>
        <v>0</v>
      </c>
      <c r="F89" s="52">
        <f>AVERAGE('26.08 Suam-Bukwo-24h'!F89,'24.08 Suam-Bukwo-24h'!F89)</f>
        <v>0</v>
      </c>
      <c r="G89" s="52">
        <f>AVERAGE('26.08 Suam-Bukwo-24h'!G89,'24.08 Suam-Bukwo-24h'!G89)</f>
        <v>0</v>
      </c>
      <c r="H89" s="52">
        <f>AVERAGE('26.08 Suam-Bukwo-24h'!H89,'24.08 Suam-Bukwo-24h'!H89)</f>
        <v>0</v>
      </c>
      <c r="I89" s="52">
        <f>AVERAGE('26.08 Suam-Bukwo-24h'!I89,'24.08 Suam-Bukwo-24h'!I89)</f>
        <v>0</v>
      </c>
      <c r="J89" s="52">
        <f>AVERAGE('26.08 Suam-Bukwo-24h'!J89,'24.08 Suam-Bukwo-24h'!J89)</f>
        <v>0</v>
      </c>
      <c r="K89" s="52">
        <f>AVERAGE('26.08 Suam-Bukwo-24h'!K89,'24.08 Suam-Bukwo-24h'!K89)</f>
        <v>0</v>
      </c>
      <c r="L89" s="52">
        <f>AVERAGE('26.08 Suam-Bukwo-24h'!L89,'24.08 Suam-Bukwo-24h'!L89)</f>
        <v>0</v>
      </c>
      <c r="M89" s="52">
        <f>AVERAGE('26.08 Suam-Bukwo-24h'!M89,'24.08 Suam-Bukwo-24h'!M89)</f>
        <v>0</v>
      </c>
      <c r="N89" s="52">
        <f>AVERAGE('26.08 Suam-Bukwo-24h'!N89,'24.08 Suam-Bukwo-24h'!N89)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52">
        <f>AVERAGE('26.08 Suam-Bukwo-24h'!C90,'24.08 Suam-Bukwo-24h'!C90)</f>
        <v>0</v>
      </c>
      <c r="D90" s="52">
        <f>AVERAGE('26.08 Suam-Bukwo-24h'!D90,'24.08 Suam-Bukwo-24h'!D90)</f>
        <v>0</v>
      </c>
      <c r="E90" s="52">
        <f>AVERAGE('26.08 Suam-Bukwo-24h'!E90,'24.08 Suam-Bukwo-24h'!E90)</f>
        <v>0</v>
      </c>
      <c r="F90" s="52">
        <f>AVERAGE('26.08 Suam-Bukwo-24h'!F90,'24.08 Suam-Bukwo-24h'!F90)</f>
        <v>0</v>
      </c>
      <c r="G90" s="52">
        <f>AVERAGE('26.08 Suam-Bukwo-24h'!G90,'24.08 Suam-Bukwo-24h'!G90)</f>
        <v>0</v>
      </c>
      <c r="H90" s="52">
        <f>AVERAGE('26.08 Suam-Bukwo-24h'!H90,'24.08 Suam-Bukwo-24h'!H90)</f>
        <v>0</v>
      </c>
      <c r="I90" s="52">
        <f>AVERAGE('26.08 Suam-Bukwo-24h'!I90,'24.08 Suam-Bukwo-24h'!I90)</f>
        <v>0</v>
      </c>
      <c r="J90" s="52">
        <f>AVERAGE('26.08 Suam-Bukwo-24h'!J90,'24.08 Suam-Bukwo-24h'!J90)</f>
        <v>0</v>
      </c>
      <c r="K90" s="52">
        <f>AVERAGE('26.08 Suam-Bukwo-24h'!K90,'24.08 Suam-Bukwo-24h'!K90)</f>
        <v>0</v>
      </c>
      <c r="L90" s="52">
        <f>AVERAGE('26.08 Suam-Bukwo-24h'!L90,'24.08 Suam-Bukwo-24h'!L90)</f>
        <v>0</v>
      </c>
      <c r="M90" s="52">
        <f>AVERAGE('26.08 Suam-Bukwo-24h'!M90,'24.08 Suam-Bukwo-24h'!M90)</f>
        <v>0</v>
      </c>
      <c r="N90" s="52">
        <f>AVERAGE('26.08 Suam-Bukwo-24h'!N90,'24.08 Suam-Bukwo-24h'!N90)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52">
        <f>AVERAGE('26.08 Suam-Bukwo-24h'!C91,'24.08 Suam-Bukwo-24h'!C91)</f>
        <v>0</v>
      </c>
      <c r="D91" s="52">
        <f>AVERAGE('26.08 Suam-Bukwo-24h'!D91,'24.08 Suam-Bukwo-24h'!D91)</f>
        <v>0</v>
      </c>
      <c r="E91" s="52">
        <f>AVERAGE('26.08 Suam-Bukwo-24h'!E91,'24.08 Suam-Bukwo-24h'!E91)</f>
        <v>0</v>
      </c>
      <c r="F91" s="52">
        <f>AVERAGE('26.08 Suam-Bukwo-24h'!F91,'24.08 Suam-Bukwo-24h'!F91)</f>
        <v>0</v>
      </c>
      <c r="G91" s="52">
        <f>AVERAGE('26.08 Suam-Bukwo-24h'!G91,'24.08 Suam-Bukwo-24h'!G91)</f>
        <v>0</v>
      </c>
      <c r="H91" s="52">
        <f>AVERAGE('26.08 Suam-Bukwo-24h'!H91,'24.08 Suam-Bukwo-24h'!H91)</f>
        <v>0</v>
      </c>
      <c r="I91" s="52">
        <f>AVERAGE('26.08 Suam-Bukwo-24h'!I91,'24.08 Suam-Bukwo-24h'!I91)</f>
        <v>0</v>
      </c>
      <c r="J91" s="52">
        <f>AVERAGE('26.08 Suam-Bukwo-24h'!J91,'24.08 Suam-Bukwo-24h'!J91)</f>
        <v>0</v>
      </c>
      <c r="K91" s="52">
        <f>AVERAGE('26.08 Suam-Bukwo-24h'!K91,'24.08 Suam-Bukwo-24h'!K91)</f>
        <v>0</v>
      </c>
      <c r="L91" s="52">
        <f>AVERAGE('26.08 Suam-Bukwo-24h'!L91,'24.08 Suam-Bukwo-24h'!L91)</f>
        <v>0</v>
      </c>
      <c r="M91" s="52">
        <f>AVERAGE('26.08 Suam-Bukwo-24h'!M91,'24.08 Suam-Bukwo-24h'!M91)</f>
        <v>0</v>
      </c>
      <c r="N91" s="52">
        <f>AVERAGE('26.08 Suam-Bukwo-24h'!N91,'24.08 Suam-Bukwo-24h'!N91)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52">
        <f>AVERAGE('26.08 Suam-Bukwo-24h'!C92,'24.08 Suam-Bukwo-24h'!C92)</f>
        <v>0</v>
      </c>
      <c r="D92" s="52">
        <f>AVERAGE('26.08 Suam-Bukwo-24h'!D92,'24.08 Suam-Bukwo-24h'!D92)</f>
        <v>0</v>
      </c>
      <c r="E92" s="52">
        <f>AVERAGE('26.08 Suam-Bukwo-24h'!E92,'24.08 Suam-Bukwo-24h'!E92)</f>
        <v>0</v>
      </c>
      <c r="F92" s="52">
        <f>AVERAGE('26.08 Suam-Bukwo-24h'!F92,'24.08 Suam-Bukwo-24h'!F92)</f>
        <v>0</v>
      </c>
      <c r="G92" s="52">
        <f>AVERAGE('26.08 Suam-Bukwo-24h'!G92,'24.08 Suam-Bukwo-24h'!G92)</f>
        <v>0</v>
      </c>
      <c r="H92" s="52">
        <f>AVERAGE('26.08 Suam-Bukwo-24h'!H92,'24.08 Suam-Bukwo-24h'!H92)</f>
        <v>0</v>
      </c>
      <c r="I92" s="52">
        <f>AVERAGE('26.08 Suam-Bukwo-24h'!I92,'24.08 Suam-Bukwo-24h'!I92)</f>
        <v>0</v>
      </c>
      <c r="J92" s="52">
        <f>AVERAGE('26.08 Suam-Bukwo-24h'!J92,'24.08 Suam-Bukwo-24h'!J92)</f>
        <v>0</v>
      </c>
      <c r="K92" s="52">
        <f>AVERAGE('26.08 Suam-Bukwo-24h'!K92,'24.08 Suam-Bukwo-24h'!K92)</f>
        <v>0</v>
      </c>
      <c r="L92" s="52">
        <f>AVERAGE('26.08 Suam-Bukwo-24h'!L92,'24.08 Suam-Bukwo-24h'!L92)</f>
        <v>0</v>
      </c>
      <c r="M92" s="52">
        <f>AVERAGE('26.08 Suam-Bukwo-24h'!M92,'24.08 Suam-Bukwo-24h'!M92)</f>
        <v>0</v>
      </c>
      <c r="N92" s="52">
        <f>AVERAGE('26.08 Suam-Bukwo-24h'!N92,'24.08 Suam-Bukwo-24h'!N92)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52">
        <f>AVERAGE('26.08 Suam-Bukwo-24h'!C93,'24.08 Suam-Bukwo-24h'!C93)</f>
        <v>0</v>
      </c>
      <c r="D93" s="52">
        <f>AVERAGE('26.08 Suam-Bukwo-24h'!D93,'24.08 Suam-Bukwo-24h'!D93)</f>
        <v>0</v>
      </c>
      <c r="E93" s="52">
        <f>AVERAGE('26.08 Suam-Bukwo-24h'!E93,'24.08 Suam-Bukwo-24h'!E93)</f>
        <v>0</v>
      </c>
      <c r="F93" s="52">
        <f>AVERAGE('26.08 Suam-Bukwo-24h'!F93,'24.08 Suam-Bukwo-24h'!F93)</f>
        <v>0</v>
      </c>
      <c r="G93" s="52">
        <f>AVERAGE('26.08 Suam-Bukwo-24h'!G93,'24.08 Suam-Bukwo-24h'!G93)</f>
        <v>0</v>
      </c>
      <c r="H93" s="52">
        <f>AVERAGE('26.08 Suam-Bukwo-24h'!H93,'24.08 Suam-Bukwo-24h'!H93)</f>
        <v>0</v>
      </c>
      <c r="I93" s="52">
        <f>AVERAGE('26.08 Suam-Bukwo-24h'!I93,'24.08 Suam-Bukwo-24h'!I93)</f>
        <v>0</v>
      </c>
      <c r="J93" s="52">
        <f>AVERAGE('26.08 Suam-Bukwo-24h'!J93,'24.08 Suam-Bukwo-24h'!J93)</f>
        <v>0</v>
      </c>
      <c r="K93" s="52">
        <f>AVERAGE('26.08 Suam-Bukwo-24h'!K93,'24.08 Suam-Bukwo-24h'!K93)</f>
        <v>0</v>
      </c>
      <c r="L93" s="52">
        <f>AVERAGE('26.08 Suam-Bukwo-24h'!L93,'24.08 Suam-Bukwo-24h'!L93)</f>
        <v>0</v>
      </c>
      <c r="M93" s="52">
        <f>AVERAGE('26.08 Suam-Bukwo-24h'!M93,'24.08 Suam-Bukwo-24h'!M93)</f>
        <v>0</v>
      </c>
      <c r="N93" s="52">
        <f>AVERAGE('26.08 Suam-Bukwo-24h'!N93,'24.08 Suam-Bukwo-24h'!N93)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52">
        <f>AVERAGE('26.08 Suam-Bukwo-24h'!C94,'24.08 Suam-Bukwo-24h'!C94)</f>
        <v>0</v>
      </c>
      <c r="D94" s="52">
        <f>AVERAGE('26.08 Suam-Bukwo-24h'!D94,'24.08 Suam-Bukwo-24h'!D94)</f>
        <v>0</v>
      </c>
      <c r="E94" s="52">
        <f>AVERAGE('26.08 Suam-Bukwo-24h'!E94,'24.08 Suam-Bukwo-24h'!E94)</f>
        <v>0</v>
      </c>
      <c r="F94" s="52">
        <f>AVERAGE('26.08 Suam-Bukwo-24h'!F94,'24.08 Suam-Bukwo-24h'!F94)</f>
        <v>0</v>
      </c>
      <c r="G94" s="52">
        <f>AVERAGE('26.08 Suam-Bukwo-24h'!G94,'24.08 Suam-Bukwo-24h'!G94)</f>
        <v>0</v>
      </c>
      <c r="H94" s="52">
        <f>AVERAGE('26.08 Suam-Bukwo-24h'!H94,'24.08 Suam-Bukwo-24h'!H94)</f>
        <v>0</v>
      </c>
      <c r="I94" s="52">
        <f>AVERAGE('26.08 Suam-Bukwo-24h'!I94,'24.08 Suam-Bukwo-24h'!I94)</f>
        <v>0</v>
      </c>
      <c r="J94" s="52">
        <f>AVERAGE('26.08 Suam-Bukwo-24h'!J94,'24.08 Suam-Bukwo-24h'!J94)</f>
        <v>0</v>
      </c>
      <c r="K94" s="52">
        <f>AVERAGE('26.08 Suam-Bukwo-24h'!K94,'24.08 Suam-Bukwo-24h'!K94)</f>
        <v>0</v>
      </c>
      <c r="L94" s="52">
        <f>AVERAGE('26.08 Suam-Bukwo-24h'!L94,'24.08 Suam-Bukwo-24h'!L94)</f>
        <v>0</v>
      </c>
      <c r="M94" s="52">
        <f>AVERAGE('26.08 Suam-Bukwo-24h'!M94,'24.08 Suam-Bukwo-24h'!M94)</f>
        <v>0</v>
      </c>
      <c r="N94" s="52">
        <f>AVERAGE('26.08 Suam-Bukwo-24h'!N94,'24.08 Suam-Bukwo-24h'!N94)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52">
        <f>AVERAGE('26.08 Suam-Bukwo-24h'!C95,'24.08 Suam-Bukwo-24h'!C95)</f>
        <v>0</v>
      </c>
      <c r="D95" s="52">
        <f>AVERAGE('26.08 Suam-Bukwo-24h'!D95,'24.08 Suam-Bukwo-24h'!D95)</f>
        <v>0</v>
      </c>
      <c r="E95" s="52">
        <f>AVERAGE('26.08 Suam-Bukwo-24h'!E95,'24.08 Suam-Bukwo-24h'!E95)</f>
        <v>0</v>
      </c>
      <c r="F95" s="52">
        <f>AVERAGE('26.08 Suam-Bukwo-24h'!F95,'24.08 Suam-Bukwo-24h'!F95)</f>
        <v>0</v>
      </c>
      <c r="G95" s="52">
        <f>AVERAGE('26.08 Suam-Bukwo-24h'!G95,'24.08 Suam-Bukwo-24h'!G95)</f>
        <v>0</v>
      </c>
      <c r="H95" s="52">
        <f>AVERAGE('26.08 Suam-Bukwo-24h'!H95,'24.08 Suam-Bukwo-24h'!H95)</f>
        <v>0</v>
      </c>
      <c r="I95" s="52">
        <f>AVERAGE('26.08 Suam-Bukwo-24h'!I95,'24.08 Suam-Bukwo-24h'!I95)</f>
        <v>0</v>
      </c>
      <c r="J95" s="52">
        <f>AVERAGE('26.08 Suam-Bukwo-24h'!J95,'24.08 Suam-Bukwo-24h'!J95)</f>
        <v>0</v>
      </c>
      <c r="K95" s="52">
        <f>AVERAGE('26.08 Suam-Bukwo-24h'!K95,'24.08 Suam-Bukwo-24h'!K95)</f>
        <v>0</v>
      </c>
      <c r="L95" s="52">
        <f>AVERAGE('26.08 Suam-Bukwo-24h'!L95,'24.08 Suam-Bukwo-24h'!L95)</f>
        <v>0</v>
      </c>
      <c r="M95" s="52">
        <f>AVERAGE('26.08 Suam-Bukwo-24h'!M95,'24.08 Suam-Bukwo-24h'!M95)</f>
        <v>0</v>
      </c>
      <c r="N95" s="52">
        <f>AVERAGE('26.08 Suam-Bukwo-24h'!N95,'24.08 Suam-Bukwo-24h'!N95)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52">
        <f>AVERAGE('26.08 Suam-Bukwo-24h'!C96,'24.08 Suam-Bukwo-24h'!C96)</f>
        <v>0</v>
      </c>
      <c r="D96" s="52">
        <f>AVERAGE('26.08 Suam-Bukwo-24h'!D96,'24.08 Suam-Bukwo-24h'!D96)</f>
        <v>0</v>
      </c>
      <c r="E96" s="52">
        <f>AVERAGE('26.08 Suam-Bukwo-24h'!E96,'24.08 Suam-Bukwo-24h'!E96)</f>
        <v>0</v>
      </c>
      <c r="F96" s="52">
        <f>AVERAGE('26.08 Suam-Bukwo-24h'!F96,'24.08 Suam-Bukwo-24h'!F96)</f>
        <v>0</v>
      </c>
      <c r="G96" s="52">
        <f>AVERAGE('26.08 Suam-Bukwo-24h'!G96,'24.08 Suam-Bukwo-24h'!G96)</f>
        <v>0</v>
      </c>
      <c r="H96" s="52">
        <f>AVERAGE('26.08 Suam-Bukwo-24h'!H96,'24.08 Suam-Bukwo-24h'!H96)</f>
        <v>0</v>
      </c>
      <c r="I96" s="52">
        <f>AVERAGE('26.08 Suam-Bukwo-24h'!I96,'24.08 Suam-Bukwo-24h'!I96)</f>
        <v>0</v>
      </c>
      <c r="J96" s="52">
        <f>AVERAGE('26.08 Suam-Bukwo-24h'!J96,'24.08 Suam-Bukwo-24h'!J96)</f>
        <v>0</v>
      </c>
      <c r="K96" s="52">
        <f>AVERAGE('26.08 Suam-Bukwo-24h'!K96,'24.08 Suam-Bukwo-24h'!K96)</f>
        <v>0</v>
      </c>
      <c r="L96" s="52">
        <f>AVERAGE('26.08 Suam-Bukwo-24h'!L96,'24.08 Suam-Bukwo-24h'!L96)</f>
        <v>0</v>
      </c>
      <c r="M96" s="52">
        <f>AVERAGE('26.08 Suam-Bukwo-24h'!M96,'24.08 Suam-Bukwo-24h'!M96)</f>
        <v>0</v>
      </c>
      <c r="N96" s="52">
        <f>AVERAGE('26.08 Suam-Bukwo-24h'!N96,'24.08 Suam-Bukwo-24h'!N96)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52">
        <f>AVERAGE('26.08 Suam-Bukwo-24h'!C97,'24.08 Suam-Bukwo-24h'!C97)</f>
        <v>0</v>
      </c>
      <c r="D97" s="52">
        <f>AVERAGE('26.08 Suam-Bukwo-24h'!D97,'24.08 Suam-Bukwo-24h'!D97)</f>
        <v>0</v>
      </c>
      <c r="E97" s="52">
        <f>AVERAGE('26.08 Suam-Bukwo-24h'!E97,'24.08 Suam-Bukwo-24h'!E97)</f>
        <v>0</v>
      </c>
      <c r="F97" s="52">
        <f>AVERAGE('26.08 Suam-Bukwo-24h'!F97,'24.08 Suam-Bukwo-24h'!F97)</f>
        <v>0</v>
      </c>
      <c r="G97" s="52">
        <f>AVERAGE('26.08 Suam-Bukwo-24h'!G97,'24.08 Suam-Bukwo-24h'!G97)</f>
        <v>0</v>
      </c>
      <c r="H97" s="52">
        <f>AVERAGE('26.08 Suam-Bukwo-24h'!H97,'24.08 Suam-Bukwo-24h'!H97)</f>
        <v>0</v>
      </c>
      <c r="I97" s="52">
        <f>AVERAGE('26.08 Suam-Bukwo-24h'!I97,'24.08 Suam-Bukwo-24h'!I97)</f>
        <v>0</v>
      </c>
      <c r="J97" s="52">
        <f>AVERAGE('26.08 Suam-Bukwo-24h'!J97,'24.08 Suam-Bukwo-24h'!J97)</f>
        <v>0</v>
      </c>
      <c r="K97" s="52">
        <f>AVERAGE('26.08 Suam-Bukwo-24h'!K97,'24.08 Suam-Bukwo-24h'!K97)</f>
        <v>0</v>
      </c>
      <c r="L97" s="52">
        <f>AVERAGE('26.08 Suam-Bukwo-24h'!L97,'24.08 Suam-Bukwo-24h'!L97)</f>
        <v>0</v>
      </c>
      <c r="M97" s="52">
        <f>AVERAGE('26.08 Suam-Bukwo-24h'!M97,'24.08 Suam-Bukwo-24h'!M97)</f>
        <v>0</v>
      </c>
      <c r="N97" s="52">
        <f>AVERAGE('26.08 Suam-Bukwo-24h'!N97,'24.08 Suam-Bukwo-24h'!N97)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52">
        <f>AVERAGE('26.08 Suam-Bukwo-24h'!C98,'24.08 Suam-Bukwo-24h'!C98)</f>
        <v>0</v>
      </c>
      <c r="D98" s="52">
        <f>AVERAGE('26.08 Suam-Bukwo-24h'!D98,'24.08 Suam-Bukwo-24h'!D98)</f>
        <v>0</v>
      </c>
      <c r="E98" s="52">
        <f>AVERAGE('26.08 Suam-Bukwo-24h'!E98,'24.08 Suam-Bukwo-24h'!E98)</f>
        <v>0</v>
      </c>
      <c r="F98" s="52">
        <f>AVERAGE('26.08 Suam-Bukwo-24h'!F98,'24.08 Suam-Bukwo-24h'!F98)</f>
        <v>0</v>
      </c>
      <c r="G98" s="52">
        <f>AVERAGE('26.08 Suam-Bukwo-24h'!G98,'24.08 Suam-Bukwo-24h'!G98)</f>
        <v>0</v>
      </c>
      <c r="H98" s="52">
        <f>AVERAGE('26.08 Suam-Bukwo-24h'!H98,'24.08 Suam-Bukwo-24h'!H98)</f>
        <v>0</v>
      </c>
      <c r="I98" s="52">
        <f>AVERAGE('26.08 Suam-Bukwo-24h'!I98,'24.08 Suam-Bukwo-24h'!I98)</f>
        <v>0.5</v>
      </c>
      <c r="J98" s="52">
        <f>AVERAGE('26.08 Suam-Bukwo-24h'!J98,'24.08 Suam-Bukwo-24h'!J98)</f>
        <v>0</v>
      </c>
      <c r="K98" s="52">
        <f>AVERAGE('26.08 Suam-Bukwo-24h'!K98,'24.08 Suam-Bukwo-24h'!K98)</f>
        <v>0</v>
      </c>
      <c r="L98" s="52">
        <f>AVERAGE('26.08 Suam-Bukwo-24h'!L98,'24.08 Suam-Bukwo-24h'!L98)</f>
        <v>0</v>
      </c>
      <c r="M98" s="52">
        <f>AVERAGE('26.08 Suam-Bukwo-24h'!M98,'24.08 Suam-Bukwo-24h'!M98)</f>
        <v>0</v>
      </c>
      <c r="N98" s="52">
        <f>AVERAGE('26.08 Suam-Bukwo-24h'!N98,'24.08 Suam-Bukwo-24h'!N98)</f>
        <v>0</v>
      </c>
      <c r="O98" s="15">
        <f t="shared" si="35"/>
        <v>0.5</v>
      </c>
      <c r="P98" s="15">
        <f t="shared" si="36"/>
        <v>0.5</v>
      </c>
      <c r="R98" s="8"/>
      <c r="T98"/>
    </row>
    <row r="99" spans="2:20" ht="23.1" customHeight="1" x14ac:dyDescent="0.25">
      <c r="B99" s="23" t="s">
        <v>139</v>
      </c>
      <c r="C99" s="52">
        <f>AVERAGE('26.08 Suam-Bukwo-24h'!C99,'24.08 Suam-Bukwo-24h'!C99)</f>
        <v>0</v>
      </c>
      <c r="D99" s="52">
        <f>AVERAGE('26.08 Suam-Bukwo-24h'!D99,'24.08 Suam-Bukwo-24h'!D99)</f>
        <v>0</v>
      </c>
      <c r="E99" s="52">
        <f>AVERAGE('26.08 Suam-Bukwo-24h'!E99,'24.08 Suam-Bukwo-24h'!E99)</f>
        <v>0</v>
      </c>
      <c r="F99" s="52">
        <f>AVERAGE('26.08 Suam-Bukwo-24h'!F99,'24.08 Suam-Bukwo-24h'!F99)</f>
        <v>0</v>
      </c>
      <c r="G99" s="52">
        <f>AVERAGE('26.08 Suam-Bukwo-24h'!G99,'24.08 Suam-Bukwo-24h'!G99)</f>
        <v>0</v>
      </c>
      <c r="H99" s="52">
        <f>AVERAGE('26.08 Suam-Bukwo-24h'!H99,'24.08 Suam-Bukwo-24h'!H99)</f>
        <v>0</v>
      </c>
      <c r="I99" s="52">
        <f>AVERAGE('26.08 Suam-Bukwo-24h'!I99,'24.08 Suam-Bukwo-24h'!I99)</f>
        <v>1</v>
      </c>
      <c r="J99" s="52">
        <f>AVERAGE('26.08 Suam-Bukwo-24h'!J99,'24.08 Suam-Bukwo-24h'!J99)</f>
        <v>0</v>
      </c>
      <c r="K99" s="52">
        <f>AVERAGE('26.08 Suam-Bukwo-24h'!K99,'24.08 Suam-Bukwo-24h'!K99)</f>
        <v>0</v>
      </c>
      <c r="L99" s="52">
        <f>AVERAGE('26.08 Suam-Bukwo-24h'!L99,'24.08 Suam-Bukwo-24h'!L99)</f>
        <v>0</v>
      </c>
      <c r="M99" s="52">
        <f>AVERAGE('26.08 Suam-Bukwo-24h'!M99,'24.08 Suam-Bukwo-24h'!M99)</f>
        <v>0.5</v>
      </c>
      <c r="N99" s="52">
        <f>AVERAGE('26.08 Suam-Bukwo-24h'!N99,'24.08 Suam-Bukwo-24h'!N99)</f>
        <v>0</v>
      </c>
      <c r="O99" s="15">
        <f t="shared" si="35"/>
        <v>1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52">
        <f>AVERAGE('26.08 Suam-Bukwo-24h'!C100,'24.08 Suam-Bukwo-24h'!C100)</f>
        <v>0.5</v>
      </c>
      <c r="D100" s="52">
        <f>AVERAGE('26.08 Suam-Bukwo-24h'!D100,'24.08 Suam-Bukwo-24h'!D100)</f>
        <v>0</v>
      </c>
      <c r="E100" s="52">
        <f>AVERAGE('26.08 Suam-Bukwo-24h'!E100,'24.08 Suam-Bukwo-24h'!E100)</f>
        <v>0.5</v>
      </c>
      <c r="F100" s="52">
        <f>AVERAGE('26.08 Suam-Bukwo-24h'!F100,'24.08 Suam-Bukwo-24h'!F100)</f>
        <v>0</v>
      </c>
      <c r="G100" s="52">
        <f>AVERAGE('26.08 Suam-Bukwo-24h'!G100,'24.08 Suam-Bukwo-24h'!G100)</f>
        <v>0</v>
      </c>
      <c r="H100" s="52">
        <f>AVERAGE('26.08 Suam-Bukwo-24h'!H100,'24.08 Suam-Bukwo-24h'!H100)</f>
        <v>0</v>
      </c>
      <c r="I100" s="52">
        <f>AVERAGE('26.08 Suam-Bukwo-24h'!I100,'24.08 Suam-Bukwo-24h'!I100)</f>
        <v>1.5</v>
      </c>
      <c r="J100" s="52">
        <f>AVERAGE('26.08 Suam-Bukwo-24h'!J100,'24.08 Suam-Bukwo-24h'!J100)</f>
        <v>0</v>
      </c>
      <c r="K100" s="52">
        <f>AVERAGE('26.08 Suam-Bukwo-24h'!K100,'24.08 Suam-Bukwo-24h'!K100)</f>
        <v>0</v>
      </c>
      <c r="L100" s="52">
        <f>AVERAGE('26.08 Suam-Bukwo-24h'!L100,'24.08 Suam-Bukwo-24h'!L100)</f>
        <v>0</v>
      </c>
      <c r="M100" s="52">
        <f>AVERAGE('26.08 Suam-Bukwo-24h'!M100,'24.08 Suam-Bukwo-24h'!M100)</f>
        <v>1.5</v>
      </c>
      <c r="N100" s="52">
        <f>AVERAGE('26.08 Suam-Bukwo-24h'!N100,'24.08 Suam-Bukwo-24h'!N100)</f>
        <v>0</v>
      </c>
      <c r="O100" s="15">
        <f t="shared" si="35"/>
        <v>2.5</v>
      </c>
      <c r="P100" s="15">
        <f t="shared" si="36"/>
        <v>4</v>
      </c>
      <c r="R100" s="8"/>
      <c r="T100"/>
    </row>
    <row r="101" spans="2:20" ht="23.1" customHeight="1" x14ac:dyDescent="0.25">
      <c r="B101" s="23" t="s">
        <v>141</v>
      </c>
      <c r="C101" s="52">
        <f>AVERAGE('26.08 Suam-Bukwo-24h'!C101,'24.08 Suam-Bukwo-24h'!C101)</f>
        <v>0</v>
      </c>
      <c r="D101" s="52">
        <f>AVERAGE('26.08 Suam-Bukwo-24h'!D101,'24.08 Suam-Bukwo-24h'!D101)</f>
        <v>0</v>
      </c>
      <c r="E101" s="52">
        <f>AVERAGE('26.08 Suam-Bukwo-24h'!E101,'24.08 Suam-Bukwo-24h'!E101)</f>
        <v>0</v>
      </c>
      <c r="F101" s="52">
        <f>AVERAGE('26.08 Suam-Bukwo-24h'!F101,'24.08 Suam-Bukwo-24h'!F101)</f>
        <v>0</v>
      </c>
      <c r="G101" s="52">
        <f>AVERAGE('26.08 Suam-Bukwo-24h'!G101,'24.08 Suam-Bukwo-24h'!G101)</f>
        <v>0</v>
      </c>
      <c r="H101" s="52">
        <f>AVERAGE('26.08 Suam-Bukwo-24h'!H101,'24.08 Suam-Bukwo-24h'!H101)</f>
        <v>0</v>
      </c>
      <c r="I101" s="52">
        <f>AVERAGE('26.08 Suam-Bukwo-24h'!I101,'24.08 Suam-Bukwo-24h'!I101)</f>
        <v>0</v>
      </c>
      <c r="J101" s="52">
        <f>AVERAGE('26.08 Suam-Bukwo-24h'!J101,'24.08 Suam-Bukwo-24h'!J101)</f>
        <v>0</v>
      </c>
      <c r="K101" s="52">
        <f>AVERAGE('26.08 Suam-Bukwo-24h'!K101,'24.08 Suam-Bukwo-24h'!K101)</f>
        <v>0</v>
      </c>
      <c r="L101" s="52">
        <f>AVERAGE('26.08 Suam-Bukwo-24h'!L101,'24.08 Suam-Bukwo-24h'!L101)</f>
        <v>0</v>
      </c>
      <c r="M101" s="52">
        <f>AVERAGE('26.08 Suam-Bukwo-24h'!M101,'24.08 Suam-Bukwo-24h'!M101)</f>
        <v>0.5</v>
      </c>
      <c r="N101" s="52">
        <f>AVERAGE('26.08 Suam-Bukwo-24h'!N101,'24.08 Suam-Bukwo-24h'!N101)</f>
        <v>0</v>
      </c>
      <c r="O101" s="15">
        <f t="shared" si="35"/>
        <v>0</v>
      </c>
      <c r="P101" s="15">
        <f t="shared" si="36"/>
        <v>0.5</v>
      </c>
      <c r="R101" s="8"/>
      <c r="T101"/>
    </row>
    <row r="102" spans="2:20" ht="23.1" customHeight="1" x14ac:dyDescent="0.25">
      <c r="B102" s="24" t="s">
        <v>142</v>
      </c>
      <c r="C102" s="52">
        <f>AVERAGE('26.08 Suam-Bukwo-24h'!C102,'24.08 Suam-Bukwo-24h'!C102)</f>
        <v>0</v>
      </c>
      <c r="D102" s="52">
        <f>AVERAGE('26.08 Suam-Bukwo-24h'!D102,'24.08 Suam-Bukwo-24h'!D102)</f>
        <v>0</v>
      </c>
      <c r="E102" s="52">
        <f>AVERAGE('26.08 Suam-Bukwo-24h'!E102,'24.08 Suam-Bukwo-24h'!E102)</f>
        <v>0</v>
      </c>
      <c r="F102" s="52">
        <f>AVERAGE('26.08 Suam-Bukwo-24h'!F102,'24.08 Suam-Bukwo-24h'!F102)</f>
        <v>0</v>
      </c>
      <c r="G102" s="52">
        <f>AVERAGE('26.08 Suam-Bukwo-24h'!G102,'24.08 Suam-Bukwo-24h'!G102)</f>
        <v>0</v>
      </c>
      <c r="H102" s="52">
        <f>AVERAGE('26.08 Suam-Bukwo-24h'!H102,'24.08 Suam-Bukwo-24h'!H102)</f>
        <v>0</v>
      </c>
      <c r="I102" s="52">
        <f>AVERAGE('26.08 Suam-Bukwo-24h'!I102,'24.08 Suam-Bukwo-24h'!I102)</f>
        <v>0</v>
      </c>
      <c r="J102" s="52">
        <f>AVERAGE('26.08 Suam-Bukwo-24h'!J102,'24.08 Suam-Bukwo-24h'!J102)</f>
        <v>0</v>
      </c>
      <c r="K102" s="52">
        <f>AVERAGE('26.08 Suam-Bukwo-24h'!K102,'24.08 Suam-Bukwo-24h'!K102)</f>
        <v>0</v>
      </c>
      <c r="L102" s="52">
        <f>AVERAGE('26.08 Suam-Bukwo-24h'!L102,'24.08 Suam-Bukwo-24h'!L102)</f>
        <v>0</v>
      </c>
      <c r="M102" s="52">
        <f>AVERAGE('26.08 Suam-Bukwo-24h'!M102,'24.08 Suam-Bukwo-24h'!M102)</f>
        <v>0.5</v>
      </c>
      <c r="N102" s="52">
        <f>AVERAGE('26.08 Suam-Bukwo-24h'!N102,'24.08 Suam-Bukwo-24h'!N102)</f>
        <v>0</v>
      </c>
      <c r="O102" s="15">
        <f t="shared" si="35"/>
        <v>0</v>
      </c>
      <c r="P102" s="15">
        <f t="shared" si="36"/>
        <v>0.5</v>
      </c>
      <c r="R102" s="8"/>
      <c r="T102"/>
    </row>
    <row r="103" spans="2:20" ht="23.1" customHeight="1" x14ac:dyDescent="0.25">
      <c r="B103" s="23" t="s">
        <v>143</v>
      </c>
      <c r="C103" s="52">
        <f>AVERAGE('26.08 Suam-Bukwo-24h'!C103,'24.08 Suam-Bukwo-24h'!C103)</f>
        <v>0</v>
      </c>
      <c r="D103" s="52">
        <f>AVERAGE('26.08 Suam-Bukwo-24h'!D103,'24.08 Suam-Bukwo-24h'!D103)</f>
        <v>0</v>
      </c>
      <c r="E103" s="52">
        <f>AVERAGE('26.08 Suam-Bukwo-24h'!E103,'24.08 Suam-Bukwo-24h'!E103)</f>
        <v>0</v>
      </c>
      <c r="F103" s="52">
        <f>AVERAGE('26.08 Suam-Bukwo-24h'!F103,'24.08 Suam-Bukwo-24h'!F103)</f>
        <v>0</v>
      </c>
      <c r="G103" s="52">
        <f>AVERAGE('26.08 Suam-Bukwo-24h'!G103,'24.08 Suam-Bukwo-24h'!G103)</f>
        <v>0</v>
      </c>
      <c r="H103" s="52">
        <f>AVERAGE('26.08 Suam-Bukwo-24h'!H103,'24.08 Suam-Bukwo-24h'!H103)</f>
        <v>0</v>
      </c>
      <c r="I103" s="52">
        <f>AVERAGE('26.08 Suam-Bukwo-24h'!I103,'24.08 Suam-Bukwo-24h'!I103)</f>
        <v>1</v>
      </c>
      <c r="J103" s="52">
        <f>AVERAGE('26.08 Suam-Bukwo-24h'!J103,'24.08 Suam-Bukwo-24h'!J103)</f>
        <v>0</v>
      </c>
      <c r="K103" s="52">
        <f>AVERAGE('26.08 Suam-Bukwo-24h'!K103,'24.08 Suam-Bukwo-24h'!K103)</f>
        <v>0</v>
      </c>
      <c r="L103" s="52">
        <f>AVERAGE('26.08 Suam-Bukwo-24h'!L103,'24.08 Suam-Bukwo-24h'!L103)</f>
        <v>0</v>
      </c>
      <c r="M103" s="52">
        <f>AVERAGE('26.08 Suam-Bukwo-24h'!M103,'24.08 Suam-Bukwo-24h'!M103)</f>
        <v>1</v>
      </c>
      <c r="N103" s="52">
        <f>AVERAGE('26.08 Suam-Bukwo-24h'!N103,'24.08 Suam-Bukwo-24h'!N103)</f>
        <v>0</v>
      </c>
      <c r="O103" s="15">
        <f t="shared" si="35"/>
        <v>1</v>
      </c>
      <c r="P103" s="15">
        <f t="shared" si="36"/>
        <v>2</v>
      </c>
      <c r="R103" s="8"/>
      <c r="T103"/>
    </row>
    <row r="104" spans="2:20" ht="23.1" customHeight="1" x14ac:dyDescent="0.25">
      <c r="B104" s="25" t="s">
        <v>144</v>
      </c>
      <c r="C104" s="52">
        <f>AVERAGE('26.08 Suam-Bukwo-24h'!C104,'24.08 Suam-Bukwo-24h'!C104)</f>
        <v>0</v>
      </c>
      <c r="D104" s="52">
        <f>AVERAGE('26.08 Suam-Bukwo-24h'!D104,'24.08 Suam-Bukwo-24h'!D104)</f>
        <v>0</v>
      </c>
      <c r="E104" s="52">
        <f>AVERAGE('26.08 Suam-Bukwo-24h'!E104,'24.08 Suam-Bukwo-24h'!E104)</f>
        <v>0</v>
      </c>
      <c r="F104" s="52">
        <f>AVERAGE('26.08 Suam-Bukwo-24h'!F104,'24.08 Suam-Bukwo-24h'!F104)</f>
        <v>0</v>
      </c>
      <c r="G104" s="52">
        <f>AVERAGE('26.08 Suam-Bukwo-24h'!G104,'24.08 Suam-Bukwo-24h'!G104)</f>
        <v>0</v>
      </c>
      <c r="H104" s="52">
        <f>AVERAGE('26.08 Suam-Bukwo-24h'!H104,'24.08 Suam-Bukwo-24h'!H104)</f>
        <v>0</v>
      </c>
      <c r="I104" s="52">
        <f>AVERAGE('26.08 Suam-Bukwo-24h'!I104,'24.08 Suam-Bukwo-24h'!I104)</f>
        <v>0</v>
      </c>
      <c r="J104" s="52">
        <f>AVERAGE('26.08 Suam-Bukwo-24h'!J104,'24.08 Suam-Bukwo-24h'!J104)</f>
        <v>0</v>
      </c>
      <c r="K104" s="52">
        <f>AVERAGE('26.08 Suam-Bukwo-24h'!K104,'24.08 Suam-Bukwo-24h'!K104)</f>
        <v>0</v>
      </c>
      <c r="L104" s="52">
        <f>AVERAGE('26.08 Suam-Bukwo-24h'!L104,'24.08 Suam-Bukwo-24h'!L104)</f>
        <v>0</v>
      </c>
      <c r="M104" s="52">
        <f>AVERAGE('26.08 Suam-Bukwo-24h'!M104,'24.08 Suam-Bukwo-24h'!M104)</f>
        <v>0</v>
      </c>
      <c r="N104" s="52">
        <f>AVERAGE('26.08 Suam-Bukwo-24h'!N104,'24.08 Suam-Bukwo-24h'!N104)</f>
        <v>0</v>
      </c>
      <c r="O104" s="15">
        <f t="shared" si="35"/>
        <v>0</v>
      </c>
      <c r="P104" s="15">
        <f t="shared" si="36"/>
        <v>0</v>
      </c>
      <c r="R104" s="8"/>
      <c r="T104"/>
    </row>
    <row r="105" spans="2:20" ht="23.1" customHeight="1" x14ac:dyDescent="0.25">
      <c r="B105" s="23" t="s">
        <v>145</v>
      </c>
      <c r="C105" s="52">
        <f>AVERAGE('26.08 Suam-Bukwo-24h'!C105,'24.08 Suam-Bukwo-24h'!C105)</f>
        <v>0</v>
      </c>
      <c r="D105" s="52">
        <f>AVERAGE('26.08 Suam-Bukwo-24h'!D105,'24.08 Suam-Bukwo-24h'!D105)</f>
        <v>0</v>
      </c>
      <c r="E105" s="52">
        <f>AVERAGE('26.08 Suam-Bukwo-24h'!E105,'24.08 Suam-Bukwo-24h'!E105)</f>
        <v>0</v>
      </c>
      <c r="F105" s="52">
        <f>AVERAGE('26.08 Suam-Bukwo-24h'!F105,'24.08 Suam-Bukwo-24h'!F105)</f>
        <v>0</v>
      </c>
      <c r="G105" s="52">
        <f>AVERAGE('26.08 Suam-Bukwo-24h'!G105,'24.08 Suam-Bukwo-24h'!G105)</f>
        <v>0</v>
      </c>
      <c r="H105" s="52">
        <f>AVERAGE('26.08 Suam-Bukwo-24h'!H105,'24.08 Suam-Bukwo-24h'!H105)</f>
        <v>0</v>
      </c>
      <c r="I105" s="52">
        <f>AVERAGE('26.08 Suam-Bukwo-24h'!I105,'24.08 Suam-Bukwo-24h'!I105)</f>
        <v>0</v>
      </c>
      <c r="J105" s="52">
        <f>AVERAGE('26.08 Suam-Bukwo-24h'!J105,'24.08 Suam-Bukwo-24h'!J105)</f>
        <v>0</v>
      </c>
      <c r="K105" s="52">
        <f>AVERAGE('26.08 Suam-Bukwo-24h'!K105,'24.08 Suam-Bukwo-24h'!K105)</f>
        <v>0</v>
      </c>
      <c r="L105" s="52">
        <f>AVERAGE('26.08 Suam-Bukwo-24h'!L105,'24.08 Suam-Bukwo-24h'!L105)</f>
        <v>0</v>
      </c>
      <c r="M105" s="52">
        <f>AVERAGE('26.08 Suam-Bukwo-24h'!M105,'24.08 Suam-Bukwo-24h'!M105)</f>
        <v>0</v>
      </c>
      <c r="N105" s="52">
        <f>AVERAGE('26.08 Suam-Bukwo-24h'!N105,'24.08 Suam-Bukwo-24h'!N105)</f>
        <v>0</v>
      </c>
      <c r="O105" s="15">
        <f t="shared" si="35"/>
        <v>0</v>
      </c>
      <c r="P105" s="15">
        <f t="shared" si="36"/>
        <v>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7.6428571428571432</v>
      </c>
      <c r="D106" s="16">
        <f t="shared" ref="D106:P106" si="37">SUM(D10:D105)</f>
        <v>4.2857142857142847</v>
      </c>
      <c r="E106" s="16">
        <f t="shared" si="37"/>
        <v>13.785714285714286</v>
      </c>
      <c r="F106" s="16">
        <f t="shared" si="37"/>
        <v>0</v>
      </c>
      <c r="G106" s="16">
        <f t="shared" si="37"/>
        <v>0</v>
      </c>
      <c r="H106" s="16">
        <f t="shared" si="37"/>
        <v>0</v>
      </c>
      <c r="I106" s="16">
        <f t="shared" si="37"/>
        <v>32.214285714285708</v>
      </c>
      <c r="J106" s="16">
        <f t="shared" si="37"/>
        <v>0.7857142857142857</v>
      </c>
      <c r="K106" s="16">
        <f t="shared" si="37"/>
        <v>0</v>
      </c>
      <c r="L106" s="16">
        <f t="shared" si="37"/>
        <v>1.2857142857142858</v>
      </c>
      <c r="M106" s="16">
        <f t="shared" si="37"/>
        <v>615.35714285714266</v>
      </c>
      <c r="N106" s="16">
        <f t="shared" si="37"/>
        <v>1.857142857142857</v>
      </c>
      <c r="O106" s="16">
        <f t="shared" si="37"/>
        <v>61.857142857142854</v>
      </c>
      <c r="P106" s="16">
        <f t="shared" si="37"/>
        <v>677.21428571428567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1.128572935344373E-2</v>
      </c>
      <c r="D107" s="43">
        <f t="shared" si="38"/>
        <v>6.328446366417044E-3</v>
      </c>
      <c r="E107" s="43">
        <f t="shared" si="38"/>
        <v>2.0356502478641497E-2</v>
      </c>
      <c r="F107" s="43">
        <f t="shared" si="38"/>
        <v>0</v>
      </c>
      <c r="G107" s="43">
        <f t="shared" si="38"/>
        <v>0</v>
      </c>
      <c r="H107" s="43">
        <f t="shared" si="38"/>
        <v>0</v>
      </c>
      <c r="I107" s="43">
        <f t="shared" si="38"/>
        <v>4.7568821854234777E-2</v>
      </c>
      <c r="J107" s="43">
        <f t="shared" si="38"/>
        <v>1.1602151671764583E-3</v>
      </c>
      <c r="K107" s="43">
        <f t="shared" si="38"/>
        <v>0</v>
      </c>
      <c r="L107" s="43">
        <f t="shared" si="38"/>
        <v>1.8985339099251138E-3</v>
      </c>
      <c r="M107" s="43">
        <f t="shared" si="38"/>
        <v>0.90865942411138045</v>
      </c>
      <c r="N107" s="43">
        <f t="shared" si="38"/>
        <v>2.7423267587807195E-3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0.12355658198614319</v>
      </c>
      <c r="D108" s="44">
        <f t="shared" ref="D108:N108" si="39">D106/$O$106</f>
        <v>6.9284064665127001E-2</v>
      </c>
      <c r="E108" s="44">
        <f t="shared" si="39"/>
        <v>0.22286374133949194</v>
      </c>
      <c r="F108" s="44">
        <f t="shared" si="39"/>
        <v>0</v>
      </c>
      <c r="G108" s="44">
        <f t="shared" si="39"/>
        <v>0</v>
      </c>
      <c r="H108" s="44">
        <f t="shared" si="39"/>
        <v>0</v>
      </c>
      <c r="I108" s="44">
        <f t="shared" si="39"/>
        <v>0.52078521939953804</v>
      </c>
      <c r="J108" s="44">
        <f t="shared" si="39"/>
        <v>1.2702078521939953E-2</v>
      </c>
      <c r="K108" s="44">
        <f t="shared" si="39"/>
        <v>0</v>
      </c>
      <c r="L108" s="44">
        <f t="shared" si="39"/>
        <v>2.0785219399538108E-2</v>
      </c>
      <c r="M108" s="44"/>
      <c r="N108" s="44">
        <f t="shared" si="39"/>
        <v>3.0023094688221709E-2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L55" zoomScale="60" workbookViewId="0">
      <selection activeCell="AD52" sqref="AD5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'29.08 Bukwo-Suam'!C3:G3</f>
        <v>MCC-C5-STN144-SUAM-BUKWO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0" t="s">
        <v>162</v>
      </c>
      <c r="E5" s="71"/>
      <c r="F5" s="41" t="s">
        <v>1</v>
      </c>
      <c r="G5" s="68" t="str">
        <f>'29.08 Bukwo-Suam'!G5:H5</f>
        <v>KAMKAMBA</v>
      </c>
      <c r="H5" s="69"/>
      <c r="I5" s="14"/>
      <c r="J5" s="2" t="s">
        <v>5</v>
      </c>
      <c r="K5" s="68" t="str">
        <f>'29.08 Bukwo-Suam'!K5:L5</f>
        <v>NORMAN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68" t="str">
        <f>'29.08 Bukwo-Suam'!D6:E6</f>
        <v>BUKWO</v>
      </c>
      <c r="E6" s="69"/>
      <c r="F6" s="2" t="s">
        <v>2</v>
      </c>
      <c r="G6" s="68" t="str">
        <f>'29.08 Bukwo-Suam'!G6:H6</f>
        <v>SUAM</v>
      </c>
      <c r="H6" s="69"/>
      <c r="J6" s="2" t="s">
        <v>21</v>
      </c>
      <c r="K6" s="68" t="str">
        <f>'29.08 Bukwo-Suam'!K6:L6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2</v>
      </c>
      <c r="N10" s="52">
        <v>0</v>
      </c>
      <c r="O10" s="15">
        <f t="shared" ref="O10:O73" si="0">SUM(C10:L10,N10)</f>
        <v>0</v>
      </c>
      <c r="P10" s="15">
        <f t="shared" ref="P10:P73" si="1">SUM(C10:N10)</f>
        <v>2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0.14285714285714285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0.2857142857142857</v>
      </c>
      <c r="Z10" s="17">
        <f t="shared" si="2"/>
        <v>0.14285714285714285</v>
      </c>
      <c r="AA10" s="17">
        <f t="shared" si="2"/>
        <v>0</v>
      </c>
      <c r="AB10" s="17">
        <f t="shared" si="2"/>
        <v>0</v>
      </c>
      <c r="AC10" s="17">
        <f t="shared" si="2"/>
        <v>12.571428571428573</v>
      </c>
      <c r="AD10" s="17">
        <f t="shared" si="2"/>
        <v>0</v>
      </c>
      <c r="AE10" s="31">
        <f t="shared" si="2"/>
        <v>0.5714285714285714</v>
      </c>
      <c r="AF10" s="31">
        <f t="shared" si="2"/>
        <v>13.142857142857142</v>
      </c>
    </row>
    <row r="11" spans="2:32" s="6" customFormat="1" ht="23.1" customHeight="1" x14ac:dyDescent="0.25">
      <c r="B11" s="23" t="s">
        <v>38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0.14285714285714285</v>
      </c>
      <c r="J11" s="52">
        <v>0</v>
      </c>
      <c r="K11" s="52">
        <v>0</v>
      </c>
      <c r="L11" s="52">
        <v>0</v>
      </c>
      <c r="M11" s="52">
        <v>2.5714285714285716</v>
      </c>
      <c r="N11" s="52">
        <v>0</v>
      </c>
      <c r="O11" s="15">
        <f t="shared" si="0"/>
        <v>0.14285714285714285</v>
      </c>
      <c r="P11" s="15">
        <f t="shared" si="1"/>
        <v>2.7142857142857144</v>
      </c>
      <c r="R11" s="1" t="s">
        <v>7</v>
      </c>
      <c r="S11" s="17">
        <f t="shared" ref="S11:AF11" si="3">SUM(C14:C17)</f>
        <v>0.2857142857142857</v>
      </c>
      <c r="T11" s="17">
        <f t="shared" si="3"/>
        <v>0</v>
      </c>
      <c r="U11" s="17">
        <f t="shared" si="3"/>
        <v>0.71428571428571419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0.42857142857142855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20</v>
      </c>
      <c r="AD11" s="17">
        <f t="shared" si="3"/>
        <v>0</v>
      </c>
      <c r="AE11" s="31">
        <f t="shared" si="3"/>
        <v>1.5714285714285712</v>
      </c>
      <c r="AF11" s="31">
        <f t="shared" si="3"/>
        <v>21.571428571428573</v>
      </c>
    </row>
    <row r="12" spans="2:32" ht="23.1" customHeight="1" x14ac:dyDescent="0.25">
      <c r="B12" s="23" t="s">
        <v>39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4.2857142857142856</v>
      </c>
      <c r="N12" s="52">
        <v>0</v>
      </c>
      <c r="O12" s="15">
        <f t="shared" si="0"/>
        <v>0</v>
      </c>
      <c r="P12" s="15">
        <f t="shared" si="1"/>
        <v>4.2857142857142856</v>
      </c>
      <c r="R12" s="1" t="s">
        <v>8</v>
      </c>
      <c r="S12" s="17">
        <f t="shared" ref="S12:AF12" si="4">SUM(C18:C21)</f>
        <v>0.42857142857142855</v>
      </c>
      <c r="T12" s="17">
        <f t="shared" si="4"/>
        <v>0</v>
      </c>
      <c r="U12" s="17">
        <f t="shared" si="4"/>
        <v>0.5714285714285714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0.5714285714285714</v>
      </c>
      <c r="Z12" s="17">
        <f t="shared" si="4"/>
        <v>0.2857142857142857</v>
      </c>
      <c r="AA12" s="17">
        <f t="shared" si="4"/>
        <v>0</v>
      </c>
      <c r="AB12" s="17">
        <f t="shared" si="4"/>
        <v>0</v>
      </c>
      <c r="AC12" s="17">
        <f t="shared" si="4"/>
        <v>30.857142857142854</v>
      </c>
      <c r="AD12" s="17">
        <f t="shared" si="4"/>
        <v>0</v>
      </c>
      <c r="AE12" s="31">
        <f t="shared" si="4"/>
        <v>1.8571428571428568</v>
      </c>
      <c r="AF12" s="31">
        <f t="shared" si="4"/>
        <v>32.714285714285715</v>
      </c>
    </row>
    <row r="13" spans="2:32" ht="23.1" customHeight="1" x14ac:dyDescent="0.25">
      <c r="B13" s="23" t="s">
        <v>40</v>
      </c>
      <c r="C13" s="52">
        <v>0</v>
      </c>
      <c r="D13" s="52">
        <v>0</v>
      </c>
      <c r="E13" s="52">
        <v>0.14285714285714285</v>
      </c>
      <c r="F13" s="52">
        <v>0</v>
      </c>
      <c r="G13" s="52">
        <v>0</v>
      </c>
      <c r="H13" s="52">
        <v>0</v>
      </c>
      <c r="I13" s="52">
        <v>0.14285714285714285</v>
      </c>
      <c r="J13" s="52">
        <v>0.14285714285714285</v>
      </c>
      <c r="K13" s="52">
        <v>0</v>
      </c>
      <c r="L13" s="52">
        <v>0</v>
      </c>
      <c r="M13" s="52">
        <v>3.7142857142857144</v>
      </c>
      <c r="N13" s="52">
        <v>0</v>
      </c>
      <c r="O13" s="15">
        <f t="shared" si="0"/>
        <v>0.42857142857142855</v>
      </c>
      <c r="P13" s="15">
        <f t="shared" si="1"/>
        <v>4.1428571428571432</v>
      </c>
      <c r="R13" s="1" t="s">
        <v>9</v>
      </c>
      <c r="S13" s="17">
        <f t="shared" ref="S13:AF13" si="5">SUM(C22:C25)</f>
        <v>0.5714285714285714</v>
      </c>
      <c r="T13" s="17">
        <f t="shared" si="5"/>
        <v>0</v>
      </c>
      <c r="U13" s="17">
        <f t="shared" si="5"/>
        <v>0.8571428571428571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1.5714285714285714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44.285714285714285</v>
      </c>
      <c r="AD13" s="17">
        <f t="shared" si="5"/>
        <v>0</v>
      </c>
      <c r="AE13" s="31">
        <f t="shared" si="5"/>
        <v>3</v>
      </c>
      <c r="AF13" s="31">
        <f t="shared" si="5"/>
        <v>47.285714285714285</v>
      </c>
    </row>
    <row r="14" spans="2:32" ht="23.1" customHeight="1" x14ac:dyDescent="0.25">
      <c r="B14" s="23" t="s">
        <v>41</v>
      </c>
      <c r="C14" s="52">
        <v>0.14285714285714285</v>
      </c>
      <c r="D14" s="52">
        <v>0</v>
      </c>
      <c r="E14" s="52">
        <v>0.2857142857142857</v>
      </c>
      <c r="F14" s="52">
        <v>0</v>
      </c>
      <c r="G14" s="52">
        <v>0</v>
      </c>
      <c r="H14" s="52">
        <v>0</v>
      </c>
      <c r="I14" s="52">
        <v>0</v>
      </c>
      <c r="J14" s="52">
        <v>0.14285714285714285</v>
      </c>
      <c r="K14" s="52">
        <v>0</v>
      </c>
      <c r="L14" s="52">
        <v>0</v>
      </c>
      <c r="M14" s="52">
        <v>4.1428571428571432</v>
      </c>
      <c r="N14" s="52">
        <v>0</v>
      </c>
      <c r="O14" s="15">
        <f t="shared" si="0"/>
        <v>0.5714285714285714</v>
      </c>
      <c r="P14" s="15">
        <f t="shared" si="1"/>
        <v>4.7142857142857144</v>
      </c>
      <c r="R14" s="1" t="s">
        <v>10</v>
      </c>
      <c r="S14" s="17">
        <f t="shared" ref="S14:AF14" si="6">SUM(C26:C29)</f>
        <v>0.14285714285714285</v>
      </c>
      <c r="T14" s="17">
        <f t="shared" si="6"/>
        <v>0</v>
      </c>
      <c r="U14" s="17">
        <f t="shared" si="6"/>
        <v>0.2857142857142857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1.8571428571428572</v>
      </c>
      <c r="Z14" s="17">
        <f t="shared" si="6"/>
        <v>0.14285714285714285</v>
      </c>
      <c r="AA14" s="17">
        <f t="shared" si="6"/>
        <v>0</v>
      </c>
      <c r="AB14" s="17">
        <f t="shared" si="6"/>
        <v>0</v>
      </c>
      <c r="AC14" s="17">
        <f t="shared" si="6"/>
        <v>44</v>
      </c>
      <c r="AD14" s="17">
        <f t="shared" si="6"/>
        <v>0</v>
      </c>
      <c r="AE14" s="31">
        <f t="shared" si="6"/>
        <v>2.4285714285714284</v>
      </c>
      <c r="AF14" s="31">
        <f t="shared" si="6"/>
        <v>46.428571428571431</v>
      </c>
    </row>
    <row r="15" spans="2:32" ht="23.1" customHeight="1" x14ac:dyDescent="0.25">
      <c r="B15" s="23" t="s">
        <v>42</v>
      </c>
      <c r="C15" s="52">
        <v>0</v>
      </c>
      <c r="D15" s="52">
        <v>0</v>
      </c>
      <c r="E15" s="52">
        <v>0.2857142857142857</v>
      </c>
      <c r="F15" s="52">
        <v>0</v>
      </c>
      <c r="G15" s="52">
        <v>0</v>
      </c>
      <c r="H15" s="52">
        <v>0</v>
      </c>
      <c r="I15" s="52">
        <v>0.2857142857142857</v>
      </c>
      <c r="J15" s="52">
        <v>0</v>
      </c>
      <c r="K15" s="52">
        <v>0</v>
      </c>
      <c r="L15" s="52">
        <v>0</v>
      </c>
      <c r="M15" s="52">
        <v>4.1428571428571432</v>
      </c>
      <c r="N15" s="52">
        <v>0</v>
      </c>
      <c r="O15" s="15">
        <f t="shared" si="0"/>
        <v>0.5714285714285714</v>
      </c>
      <c r="P15" s="15">
        <f t="shared" si="1"/>
        <v>4.7142857142857144</v>
      </c>
      <c r="R15" s="1" t="s">
        <v>11</v>
      </c>
      <c r="S15" s="17">
        <f t="shared" ref="S15:AF15" si="7">SUM(C30:C33)</f>
        <v>0.42857142857142855</v>
      </c>
      <c r="T15" s="17">
        <f t="shared" si="7"/>
        <v>0</v>
      </c>
      <c r="U15" s="17">
        <f t="shared" si="7"/>
        <v>0.5714285714285714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2.5714285714285712</v>
      </c>
      <c r="Z15" s="17">
        <f t="shared" si="7"/>
        <v>0.14285714285714285</v>
      </c>
      <c r="AA15" s="17">
        <f t="shared" si="7"/>
        <v>0</v>
      </c>
      <c r="AB15" s="17">
        <f t="shared" si="7"/>
        <v>0</v>
      </c>
      <c r="AC15" s="17">
        <f t="shared" si="7"/>
        <v>46</v>
      </c>
      <c r="AD15" s="17">
        <f t="shared" si="7"/>
        <v>0</v>
      </c>
      <c r="AE15" s="31">
        <f t="shared" si="7"/>
        <v>3.7142857142857144</v>
      </c>
      <c r="AF15" s="31">
        <f t="shared" si="7"/>
        <v>49.714285714285715</v>
      </c>
    </row>
    <row r="16" spans="2:32" ht="23.1" customHeight="1" x14ac:dyDescent="0.25">
      <c r="B16" s="23" t="s">
        <v>43</v>
      </c>
      <c r="C16" s="52">
        <v>0.14285714285714285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5.2857142857142856</v>
      </c>
      <c r="N16" s="52">
        <v>0</v>
      </c>
      <c r="O16" s="15">
        <f t="shared" si="0"/>
        <v>0.14285714285714285</v>
      </c>
      <c r="P16" s="15">
        <f t="shared" si="1"/>
        <v>5.4285714285714288</v>
      </c>
      <c r="R16" s="1" t="s">
        <v>12</v>
      </c>
      <c r="S16" s="17">
        <f t="shared" ref="S16:AF16" si="8">SUM(C34:C37)</f>
        <v>0.5714285714285714</v>
      </c>
      <c r="T16" s="17">
        <f t="shared" si="8"/>
        <v>0</v>
      </c>
      <c r="U16" s="17">
        <f t="shared" si="8"/>
        <v>0</v>
      </c>
      <c r="V16" s="17">
        <f t="shared" si="8"/>
        <v>0.14285714285714285</v>
      </c>
      <c r="W16" s="17">
        <f t="shared" si="8"/>
        <v>0</v>
      </c>
      <c r="X16" s="17">
        <f t="shared" si="8"/>
        <v>0</v>
      </c>
      <c r="Y16" s="17">
        <f t="shared" si="8"/>
        <v>1.7142857142857142</v>
      </c>
      <c r="Z16" s="17">
        <f t="shared" si="8"/>
        <v>0.2857142857142857</v>
      </c>
      <c r="AA16" s="17">
        <f t="shared" si="8"/>
        <v>0</v>
      </c>
      <c r="AB16" s="17">
        <f t="shared" si="8"/>
        <v>0</v>
      </c>
      <c r="AC16" s="17">
        <f t="shared" si="8"/>
        <v>41.142857142857139</v>
      </c>
      <c r="AD16" s="17">
        <f t="shared" si="8"/>
        <v>0</v>
      </c>
      <c r="AE16" s="31">
        <f t="shared" si="8"/>
        <v>2.7142857142857135</v>
      </c>
      <c r="AF16" s="31">
        <f t="shared" si="8"/>
        <v>43.857142857142854</v>
      </c>
    </row>
    <row r="17" spans="2:32" ht="23.1" customHeight="1" x14ac:dyDescent="0.25">
      <c r="B17" s="23" t="s">
        <v>44</v>
      </c>
      <c r="C17" s="52">
        <v>0</v>
      </c>
      <c r="D17" s="52">
        <v>0</v>
      </c>
      <c r="E17" s="52">
        <v>0.14285714285714285</v>
      </c>
      <c r="F17" s="52">
        <v>0</v>
      </c>
      <c r="G17" s="52">
        <v>0</v>
      </c>
      <c r="H17" s="52">
        <v>0</v>
      </c>
      <c r="I17" s="52">
        <v>0.14285714285714285</v>
      </c>
      <c r="J17" s="52">
        <v>0</v>
      </c>
      <c r="K17" s="52">
        <v>0</v>
      </c>
      <c r="L17" s="52">
        <v>0</v>
      </c>
      <c r="M17" s="52">
        <v>6.4285714285714288</v>
      </c>
      <c r="N17" s="52">
        <v>0</v>
      </c>
      <c r="O17" s="15">
        <f t="shared" si="0"/>
        <v>0.2857142857142857</v>
      </c>
      <c r="P17" s="15">
        <f t="shared" si="1"/>
        <v>6.7142857142857144</v>
      </c>
      <c r="R17" s="1" t="s">
        <v>13</v>
      </c>
      <c r="S17" s="17">
        <f t="shared" ref="S17:AF17" si="9">SUM(C38:C41)</f>
        <v>0.14285714285714285</v>
      </c>
      <c r="T17" s="17">
        <f t="shared" si="9"/>
        <v>0</v>
      </c>
      <c r="U17" s="17">
        <f t="shared" si="9"/>
        <v>0.71428571428571419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1.4285714285714284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49.714285714285708</v>
      </c>
      <c r="AD17" s="17">
        <f t="shared" si="9"/>
        <v>0</v>
      </c>
      <c r="AE17" s="31">
        <f t="shared" si="9"/>
        <v>2.2857142857142856</v>
      </c>
      <c r="AF17" s="31">
        <f t="shared" si="9"/>
        <v>51.999999999999993</v>
      </c>
    </row>
    <row r="18" spans="2:32" ht="23.1" customHeight="1" x14ac:dyDescent="0.25">
      <c r="B18" s="23" t="s">
        <v>45</v>
      </c>
      <c r="C18" s="52">
        <v>0</v>
      </c>
      <c r="D18" s="52">
        <v>0</v>
      </c>
      <c r="E18" s="52">
        <v>0.14285714285714285</v>
      </c>
      <c r="F18" s="52">
        <v>0</v>
      </c>
      <c r="G18" s="52">
        <v>0</v>
      </c>
      <c r="H18" s="52">
        <v>0</v>
      </c>
      <c r="I18" s="52">
        <v>0.2857142857142857</v>
      </c>
      <c r="J18" s="52">
        <v>0</v>
      </c>
      <c r="K18" s="52">
        <v>0</v>
      </c>
      <c r="L18" s="52">
        <v>0</v>
      </c>
      <c r="M18" s="52">
        <v>6.4285714285714288</v>
      </c>
      <c r="N18" s="52">
        <v>0</v>
      </c>
      <c r="O18" s="15">
        <f t="shared" si="0"/>
        <v>0.42857142857142855</v>
      </c>
      <c r="P18" s="15">
        <f t="shared" si="1"/>
        <v>6.8571428571428577</v>
      </c>
      <c r="R18" s="1" t="s">
        <v>14</v>
      </c>
      <c r="S18" s="17">
        <f t="shared" ref="S18:AF18" si="10">SUM(C42:C45)</f>
        <v>0.2857142857142857</v>
      </c>
      <c r="T18" s="17">
        <f t="shared" si="10"/>
        <v>0</v>
      </c>
      <c r="U18" s="17">
        <f t="shared" si="10"/>
        <v>0.8571428571428571</v>
      </c>
      <c r="V18" s="17">
        <f t="shared" si="10"/>
        <v>0.14285714285714285</v>
      </c>
      <c r="W18" s="17">
        <f t="shared" si="10"/>
        <v>0</v>
      </c>
      <c r="X18" s="17">
        <f t="shared" si="10"/>
        <v>0</v>
      </c>
      <c r="Y18" s="17">
        <f t="shared" si="10"/>
        <v>1.9999999999999998</v>
      </c>
      <c r="Z18" s="17">
        <f t="shared" si="10"/>
        <v>0.2857142857142857</v>
      </c>
      <c r="AA18" s="17">
        <f t="shared" si="10"/>
        <v>0.14285714285714285</v>
      </c>
      <c r="AB18" s="17">
        <f t="shared" si="10"/>
        <v>0</v>
      </c>
      <c r="AC18" s="17">
        <f t="shared" si="10"/>
        <v>40.428571428571423</v>
      </c>
      <c r="AD18" s="17">
        <f t="shared" si="10"/>
        <v>0</v>
      </c>
      <c r="AE18" s="31">
        <f t="shared" si="10"/>
        <v>3.7142857142857144</v>
      </c>
      <c r="AF18" s="31">
        <f t="shared" si="10"/>
        <v>44.142857142857139</v>
      </c>
    </row>
    <row r="19" spans="2:32" ht="23.1" customHeight="1" x14ac:dyDescent="0.25">
      <c r="B19" s="23" t="s">
        <v>46</v>
      </c>
      <c r="C19" s="52">
        <v>0</v>
      </c>
      <c r="D19" s="52">
        <v>0</v>
      </c>
      <c r="E19" s="52">
        <v>0.14285714285714285</v>
      </c>
      <c r="F19" s="52">
        <v>0</v>
      </c>
      <c r="G19" s="52">
        <v>0</v>
      </c>
      <c r="H19" s="52">
        <v>0</v>
      </c>
      <c r="I19" s="52">
        <v>0.14285714285714285</v>
      </c>
      <c r="J19" s="52">
        <v>0.14285714285714285</v>
      </c>
      <c r="K19" s="52">
        <v>0</v>
      </c>
      <c r="L19" s="52">
        <v>0</v>
      </c>
      <c r="M19" s="52">
        <v>7.8571428571428568</v>
      </c>
      <c r="N19" s="52">
        <v>0</v>
      </c>
      <c r="O19" s="15">
        <f t="shared" si="0"/>
        <v>0.42857142857142855</v>
      </c>
      <c r="P19" s="15">
        <f t="shared" si="1"/>
        <v>8.2857142857142847</v>
      </c>
      <c r="R19" s="1" t="s">
        <v>15</v>
      </c>
      <c r="S19" s="17">
        <f t="shared" ref="S19:AF19" si="11">SUM(C46:C49)</f>
        <v>0.2857142857142857</v>
      </c>
      <c r="T19" s="17">
        <f t="shared" si="11"/>
        <v>0</v>
      </c>
      <c r="U19" s="17">
        <f t="shared" si="11"/>
        <v>0.71428571428571419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2.2857142857142856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44.571428571428577</v>
      </c>
      <c r="AD19" s="17">
        <f t="shared" si="11"/>
        <v>0</v>
      </c>
      <c r="AE19" s="31">
        <f t="shared" si="11"/>
        <v>3.2857142857142856</v>
      </c>
      <c r="AF19" s="31">
        <f t="shared" si="11"/>
        <v>47.857142857142861</v>
      </c>
    </row>
    <row r="20" spans="2:32" ht="23.1" customHeight="1" x14ac:dyDescent="0.25">
      <c r="B20" s="23" t="s">
        <v>47</v>
      </c>
      <c r="C20" s="52">
        <v>0.14285714285714285</v>
      </c>
      <c r="D20" s="52">
        <v>0</v>
      </c>
      <c r="E20" s="52">
        <v>0.2857142857142857</v>
      </c>
      <c r="F20" s="52">
        <v>0</v>
      </c>
      <c r="G20" s="52">
        <v>0</v>
      </c>
      <c r="H20" s="52">
        <v>0</v>
      </c>
      <c r="I20" s="52">
        <v>0.14285714285714285</v>
      </c>
      <c r="J20" s="52">
        <v>0.14285714285714285</v>
      </c>
      <c r="K20" s="52">
        <v>0</v>
      </c>
      <c r="L20" s="52">
        <v>0</v>
      </c>
      <c r="M20" s="52">
        <v>8.1428571428571423</v>
      </c>
      <c r="N20" s="52">
        <v>0</v>
      </c>
      <c r="O20" s="15">
        <f t="shared" si="0"/>
        <v>0.71428571428571419</v>
      </c>
      <c r="P20" s="15">
        <f t="shared" si="1"/>
        <v>8.8571428571428559</v>
      </c>
      <c r="R20" s="1" t="s">
        <v>16</v>
      </c>
      <c r="S20" s="17">
        <f t="shared" ref="S20:AF20" si="12">SUM(C50:C53)</f>
        <v>0.42857142857142855</v>
      </c>
      <c r="T20" s="17">
        <f t="shared" si="12"/>
        <v>0</v>
      </c>
      <c r="U20" s="17">
        <f t="shared" si="12"/>
        <v>0.8571428571428571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1.4285714285714286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37.571428571428569</v>
      </c>
      <c r="AD20" s="17">
        <f t="shared" si="12"/>
        <v>0</v>
      </c>
      <c r="AE20" s="31">
        <f t="shared" si="12"/>
        <v>2.7142857142857144</v>
      </c>
      <c r="AF20" s="31">
        <f t="shared" si="12"/>
        <v>40.285714285714285</v>
      </c>
    </row>
    <row r="21" spans="2:32" ht="23.1" customHeight="1" x14ac:dyDescent="0.25">
      <c r="B21" s="23" t="s">
        <v>48</v>
      </c>
      <c r="C21" s="52">
        <v>0.2857142857142857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8.4285714285714288</v>
      </c>
      <c r="N21" s="52">
        <v>0</v>
      </c>
      <c r="O21" s="15">
        <f t="shared" si="0"/>
        <v>0.2857142857142857</v>
      </c>
      <c r="P21" s="15">
        <f t="shared" si="1"/>
        <v>8.7142857142857153</v>
      </c>
      <c r="R21" s="36" t="s">
        <v>20</v>
      </c>
      <c r="S21" s="34">
        <f t="shared" ref="S21:AF21" si="13">SUM(C54:C57)</f>
        <v>0.71428571428571419</v>
      </c>
      <c r="T21" s="17">
        <f t="shared" si="13"/>
        <v>0</v>
      </c>
      <c r="U21" s="17">
        <f t="shared" si="13"/>
        <v>0.85714285714285698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1.5714285714285714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45.142857142857146</v>
      </c>
      <c r="AD21" s="17">
        <f t="shared" si="13"/>
        <v>0</v>
      </c>
      <c r="AE21" s="31">
        <f t="shared" si="13"/>
        <v>3.1428571428571423</v>
      </c>
      <c r="AF21" s="31">
        <f t="shared" si="13"/>
        <v>48.285714285714292</v>
      </c>
    </row>
    <row r="22" spans="2:32" ht="23.1" customHeight="1" x14ac:dyDescent="0.25">
      <c r="B22" s="23" t="s">
        <v>49</v>
      </c>
      <c r="C22" s="52">
        <v>0</v>
      </c>
      <c r="D22" s="52">
        <v>0</v>
      </c>
      <c r="E22" s="52">
        <v>0.14285714285714285</v>
      </c>
      <c r="F22" s="52">
        <v>0</v>
      </c>
      <c r="G22" s="52">
        <v>0</v>
      </c>
      <c r="H22" s="52">
        <v>0</v>
      </c>
      <c r="I22" s="52">
        <v>0.2857142857142857</v>
      </c>
      <c r="J22" s="52">
        <v>0</v>
      </c>
      <c r="K22" s="52">
        <v>0</v>
      </c>
      <c r="L22" s="52">
        <v>0</v>
      </c>
      <c r="M22" s="52">
        <v>9.2857142857142865</v>
      </c>
      <c r="N22" s="52">
        <v>0</v>
      </c>
      <c r="O22" s="15">
        <f t="shared" si="0"/>
        <v>0.42857142857142855</v>
      </c>
      <c r="P22" s="15">
        <f t="shared" si="1"/>
        <v>9.7142857142857153</v>
      </c>
      <c r="R22" s="1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26</v>
      </c>
      <c r="AD22" s="34">
        <f t="shared" si="14"/>
        <v>0</v>
      </c>
      <c r="AE22" s="31">
        <f t="shared" si="14"/>
        <v>3</v>
      </c>
      <c r="AF22" s="31">
        <f t="shared" si="14"/>
        <v>29</v>
      </c>
    </row>
    <row r="23" spans="2:32" ht="23.1" customHeight="1" x14ac:dyDescent="0.25">
      <c r="B23" s="23" t="s">
        <v>50</v>
      </c>
      <c r="C23" s="52">
        <v>0.2857142857142857</v>
      </c>
      <c r="D23" s="52">
        <v>0</v>
      </c>
      <c r="E23" s="52">
        <v>0.2857142857142857</v>
      </c>
      <c r="F23" s="52">
        <v>0</v>
      </c>
      <c r="G23" s="52">
        <v>0</v>
      </c>
      <c r="H23" s="52">
        <v>0</v>
      </c>
      <c r="I23" s="52">
        <v>0.2857142857142857</v>
      </c>
      <c r="J23" s="52">
        <v>0</v>
      </c>
      <c r="K23" s="52">
        <v>0</v>
      </c>
      <c r="L23" s="52">
        <v>0</v>
      </c>
      <c r="M23" s="52">
        <v>11.571428571428571</v>
      </c>
      <c r="N23" s="52">
        <v>0</v>
      </c>
      <c r="O23" s="15">
        <f t="shared" si="0"/>
        <v>0.8571428571428571</v>
      </c>
      <c r="P23" s="15">
        <f t="shared" si="1"/>
        <v>12.428571428571429</v>
      </c>
      <c r="R23" s="1" t="s">
        <v>147</v>
      </c>
      <c r="S23" s="34">
        <f>SUM(C62:C65)</f>
        <v>0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0.5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24.5</v>
      </c>
      <c r="AD23" s="34">
        <f t="shared" si="15"/>
        <v>0</v>
      </c>
      <c r="AE23" s="31">
        <f t="shared" si="15"/>
        <v>1.5</v>
      </c>
      <c r="AF23" s="31">
        <f t="shared" si="15"/>
        <v>26</v>
      </c>
    </row>
    <row r="24" spans="2:32" ht="23.1" customHeight="1" x14ac:dyDescent="0.25">
      <c r="B24" s="23" t="s">
        <v>51</v>
      </c>
      <c r="C24" s="52">
        <v>0.14285714285714285</v>
      </c>
      <c r="D24" s="52">
        <v>0</v>
      </c>
      <c r="E24" s="52">
        <v>0.14285714285714285</v>
      </c>
      <c r="F24" s="52">
        <v>0</v>
      </c>
      <c r="G24" s="52">
        <v>0</v>
      </c>
      <c r="H24" s="52">
        <v>0</v>
      </c>
      <c r="I24" s="52">
        <v>0.42857142857142855</v>
      </c>
      <c r="J24" s="52">
        <v>0</v>
      </c>
      <c r="K24" s="52">
        <v>0</v>
      </c>
      <c r="L24" s="52">
        <v>0</v>
      </c>
      <c r="M24" s="52">
        <v>11.857142857142858</v>
      </c>
      <c r="N24" s="52">
        <v>0</v>
      </c>
      <c r="O24" s="15">
        <f t="shared" si="0"/>
        <v>0.71428571428571419</v>
      </c>
      <c r="P24" s="15">
        <f t="shared" si="1"/>
        <v>12.571428571428571</v>
      </c>
      <c r="R24" s="1" t="s">
        <v>148</v>
      </c>
      <c r="S24" s="34">
        <f>SUM(C66:C69)</f>
        <v>0.5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25.5</v>
      </c>
      <c r="AD24" s="34">
        <f t="shared" si="16"/>
        <v>0</v>
      </c>
      <c r="AE24" s="31">
        <f t="shared" si="16"/>
        <v>3.5</v>
      </c>
      <c r="AF24" s="31">
        <f t="shared" si="16"/>
        <v>29</v>
      </c>
    </row>
    <row r="25" spans="2:32" ht="23.1" customHeight="1" x14ac:dyDescent="0.25">
      <c r="B25" s="23" t="s">
        <v>52</v>
      </c>
      <c r="C25" s="52">
        <v>0.14285714285714285</v>
      </c>
      <c r="D25" s="52">
        <v>0</v>
      </c>
      <c r="E25" s="52">
        <v>0.2857142857142857</v>
      </c>
      <c r="F25" s="52">
        <v>0</v>
      </c>
      <c r="G25" s="52">
        <v>0</v>
      </c>
      <c r="H25" s="52">
        <v>0</v>
      </c>
      <c r="I25" s="52">
        <v>0.5714285714285714</v>
      </c>
      <c r="J25" s="52">
        <v>0</v>
      </c>
      <c r="K25" s="52">
        <v>0</v>
      </c>
      <c r="L25" s="52">
        <v>0</v>
      </c>
      <c r="M25" s="52">
        <v>11.571428571428571</v>
      </c>
      <c r="N25" s="52">
        <v>0</v>
      </c>
      <c r="O25" s="15">
        <f t="shared" si="0"/>
        <v>1</v>
      </c>
      <c r="P25" s="15">
        <f t="shared" si="1"/>
        <v>12.571428571428571</v>
      </c>
      <c r="R25" s="1" t="s">
        <v>149</v>
      </c>
      <c r="S25" s="34">
        <f>SUM(C70:C73)</f>
        <v>0.5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25</v>
      </c>
      <c r="AD25" s="34">
        <f t="shared" si="17"/>
        <v>0</v>
      </c>
      <c r="AE25" s="31">
        <f t="shared" si="17"/>
        <v>0.5</v>
      </c>
      <c r="AF25" s="31">
        <f t="shared" si="17"/>
        <v>25.5</v>
      </c>
    </row>
    <row r="26" spans="2:32" ht="23.1" customHeight="1" x14ac:dyDescent="0.25">
      <c r="B26" s="23" t="s">
        <v>53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0.2857142857142857</v>
      </c>
      <c r="J26" s="52">
        <v>0</v>
      </c>
      <c r="K26" s="52">
        <v>0</v>
      </c>
      <c r="L26" s="52">
        <v>0</v>
      </c>
      <c r="M26" s="52">
        <v>11</v>
      </c>
      <c r="N26" s="52">
        <v>0</v>
      </c>
      <c r="O26" s="15">
        <f t="shared" si="0"/>
        <v>0.2857142857142857</v>
      </c>
      <c r="P26" s="15">
        <f t="shared" si="1"/>
        <v>11.285714285714286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9.5</v>
      </c>
      <c r="AD26" s="34">
        <f t="shared" si="18"/>
        <v>0</v>
      </c>
      <c r="AE26" s="31">
        <f t="shared" si="18"/>
        <v>0.5</v>
      </c>
      <c r="AF26" s="31">
        <f t="shared" si="18"/>
        <v>10</v>
      </c>
    </row>
    <row r="27" spans="2:32" ht="23.1" customHeight="1" x14ac:dyDescent="0.25">
      <c r="B27" s="23" t="s">
        <v>54</v>
      </c>
      <c r="C27" s="52">
        <v>0.14285714285714285</v>
      </c>
      <c r="D27" s="52">
        <v>0</v>
      </c>
      <c r="E27" s="52">
        <v>0.14285714285714285</v>
      </c>
      <c r="F27" s="52">
        <v>0</v>
      </c>
      <c r="G27" s="52">
        <v>0</v>
      </c>
      <c r="H27" s="52">
        <v>0</v>
      </c>
      <c r="I27" s="52">
        <v>0.2857142857142857</v>
      </c>
      <c r="J27" s="52">
        <v>0</v>
      </c>
      <c r="K27" s="52">
        <v>0</v>
      </c>
      <c r="L27" s="52">
        <v>0</v>
      </c>
      <c r="M27" s="52">
        <v>10.428571428571429</v>
      </c>
      <c r="N27" s="52">
        <v>0</v>
      </c>
      <c r="O27" s="15">
        <f t="shared" si="0"/>
        <v>0.5714285714285714</v>
      </c>
      <c r="P27" s="15">
        <f t="shared" si="1"/>
        <v>11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1.5</v>
      </c>
      <c r="AD27" s="34">
        <f t="shared" si="19"/>
        <v>0</v>
      </c>
      <c r="AE27" s="31">
        <f t="shared" si="19"/>
        <v>0</v>
      </c>
      <c r="AF27" s="31">
        <f t="shared" si="19"/>
        <v>1.5</v>
      </c>
    </row>
    <row r="28" spans="2:32" ht="23.1" customHeight="1" x14ac:dyDescent="0.25">
      <c r="B28" s="23" t="s">
        <v>55</v>
      </c>
      <c r="C28" s="52">
        <v>0</v>
      </c>
      <c r="D28" s="52">
        <v>0</v>
      </c>
      <c r="E28" s="52">
        <v>0.14285714285714285</v>
      </c>
      <c r="F28" s="52">
        <v>0</v>
      </c>
      <c r="G28" s="52">
        <v>0</v>
      </c>
      <c r="H28" s="52">
        <v>0</v>
      </c>
      <c r="I28" s="52">
        <v>0.2857142857142857</v>
      </c>
      <c r="J28" s="52">
        <v>0</v>
      </c>
      <c r="K28" s="52">
        <v>0</v>
      </c>
      <c r="L28" s="52">
        <v>0</v>
      </c>
      <c r="M28" s="52">
        <v>10.571428571428571</v>
      </c>
      <c r="N28" s="52">
        <v>0</v>
      </c>
      <c r="O28" s="15">
        <f t="shared" si="0"/>
        <v>0.42857142857142855</v>
      </c>
      <c r="P28" s="15">
        <f t="shared" si="1"/>
        <v>11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0.5</v>
      </c>
      <c r="AD28" s="34">
        <f t="shared" si="20"/>
        <v>0</v>
      </c>
      <c r="AE28" s="31">
        <f t="shared" si="20"/>
        <v>0</v>
      </c>
      <c r="AF28" s="31">
        <f t="shared" si="20"/>
        <v>0.5</v>
      </c>
    </row>
    <row r="29" spans="2:32" ht="23.1" customHeight="1" x14ac:dyDescent="0.25">
      <c r="B29" s="23" t="s">
        <v>56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0.14285714285714285</v>
      </c>
      <c r="K29" s="52">
        <v>0</v>
      </c>
      <c r="L29" s="52">
        <v>0</v>
      </c>
      <c r="M29" s="52">
        <v>12</v>
      </c>
      <c r="N29" s="52">
        <v>0</v>
      </c>
      <c r="O29" s="15">
        <f t="shared" si="0"/>
        <v>1.1428571428571428</v>
      </c>
      <c r="P29" s="15">
        <f t="shared" si="1"/>
        <v>13.142857142857142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52">
        <v>0.14285714285714285</v>
      </c>
      <c r="D30" s="52">
        <v>0</v>
      </c>
      <c r="E30" s="52">
        <v>0.14285714285714285</v>
      </c>
      <c r="F30" s="52">
        <v>0</v>
      </c>
      <c r="G30" s="52">
        <v>0</v>
      </c>
      <c r="H30" s="52">
        <v>0</v>
      </c>
      <c r="I30" s="52">
        <v>0.8571428571428571</v>
      </c>
      <c r="J30" s="52">
        <v>0</v>
      </c>
      <c r="K30" s="52">
        <v>0</v>
      </c>
      <c r="L30" s="52">
        <v>0</v>
      </c>
      <c r="M30" s="52">
        <v>8.7142857142857135</v>
      </c>
      <c r="N30" s="52">
        <v>0</v>
      </c>
      <c r="O30" s="15">
        <f t="shared" si="0"/>
        <v>1.1428571428571428</v>
      </c>
      <c r="P30" s="15">
        <f t="shared" si="1"/>
        <v>9.8571428571428559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52">
        <v>0.14285714285714285</v>
      </c>
      <c r="D31" s="52">
        <v>0</v>
      </c>
      <c r="E31" s="52">
        <v>0.42857142857142855</v>
      </c>
      <c r="F31" s="52">
        <v>0</v>
      </c>
      <c r="G31" s="52">
        <v>0</v>
      </c>
      <c r="H31" s="52">
        <v>0</v>
      </c>
      <c r="I31" s="52">
        <v>1</v>
      </c>
      <c r="J31" s="52">
        <v>0</v>
      </c>
      <c r="K31" s="52">
        <v>0</v>
      </c>
      <c r="L31" s="52">
        <v>0</v>
      </c>
      <c r="M31" s="52">
        <v>11.571428571428571</v>
      </c>
      <c r="N31" s="52">
        <v>0</v>
      </c>
      <c r="O31" s="15">
        <f t="shared" si="0"/>
        <v>1.5714285714285714</v>
      </c>
      <c r="P31" s="15">
        <f t="shared" si="1"/>
        <v>13.142857142857142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1.5</v>
      </c>
      <c r="AF31" s="31">
        <f t="shared" si="23"/>
        <v>1.5</v>
      </c>
    </row>
    <row r="32" spans="2:32" ht="23.1" customHeight="1" x14ac:dyDescent="0.25">
      <c r="B32" s="24" t="s">
        <v>59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0.2857142857142857</v>
      </c>
      <c r="J32" s="52">
        <v>0.14285714285714285</v>
      </c>
      <c r="K32" s="52">
        <v>0</v>
      </c>
      <c r="L32" s="52">
        <v>0</v>
      </c>
      <c r="M32" s="52">
        <v>11.857142857142858</v>
      </c>
      <c r="N32" s="52">
        <v>0</v>
      </c>
      <c r="O32" s="15">
        <f t="shared" si="0"/>
        <v>0.42857142857142855</v>
      </c>
      <c r="P32" s="15">
        <f t="shared" si="1"/>
        <v>12.285714285714286</v>
      </c>
      <c r="R32" s="1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2.5</v>
      </c>
      <c r="AD32" s="34">
        <f t="shared" si="24"/>
        <v>0</v>
      </c>
      <c r="AE32" s="31">
        <f t="shared" si="24"/>
        <v>0</v>
      </c>
      <c r="AF32" s="31">
        <f t="shared" si="24"/>
        <v>2.5</v>
      </c>
    </row>
    <row r="33" spans="2:32" ht="23.1" customHeight="1" x14ac:dyDescent="0.25">
      <c r="B33" s="23" t="s">
        <v>60</v>
      </c>
      <c r="C33" s="52">
        <v>0.14285714285714285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0.42857142857142855</v>
      </c>
      <c r="J33" s="52">
        <v>0</v>
      </c>
      <c r="K33" s="52">
        <v>0</v>
      </c>
      <c r="L33" s="52">
        <v>0</v>
      </c>
      <c r="M33" s="52">
        <v>13.857142857142858</v>
      </c>
      <c r="N33" s="52">
        <v>0</v>
      </c>
      <c r="O33" s="15">
        <f t="shared" si="0"/>
        <v>0.5714285714285714</v>
      </c>
      <c r="P33" s="15">
        <f t="shared" si="1"/>
        <v>14.428571428571429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0.5</v>
      </c>
      <c r="AF33" s="31">
        <f t="shared" si="25"/>
        <v>8.5</v>
      </c>
    </row>
    <row r="34" spans="2:32" ht="23.1" customHeight="1" x14ac:dyDescent="0.25">
      <c r="B34" s="24" t="s">
        <v>61</v>
      </c>
      <c r="C34" s="52">
        <v>0.2857142857142857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0.2857142857142857</v>
      </c>
      <c r="J34" s="52">
        <v>0.14285714285714285</v>
      </c>
      <c r="K34" s="52">
        <v>0</v>
      </c>
      <c r="L34" s="52">
        <v>0</v>
      </c>
      <c r="M34" s="52">
        <v>13.428571428571429</v>
      </c>
      <c r="N34" s="52">
        <v>0</v>
      </c>
      <c r="O34" s="15">
        <f t="shared" si="0"/>
        <v>0.71428571428571419</v>
      </c>
      <c r="P34" s="15">
        <f t="shared" si="1"/>
        <v>14.142857142857142</v>
      </c>
      <c r="R34" s="53" t="s">
        <v>90</v>
      </c>
      <c r="S34" s="54">
        <f t="shared" ref="S34:AF34" si="26">MAX(S10:S12)</f>
        <v>0.42857142857142855</v>
      </c>
      <c r="T34" s="54">
        <f t="shared" si="26"/>
        <v>0</v>
      </c>
      <c r="U34" s="54">
        <f t="shared" si="26"/>
        <v>0.71428571428571419</v>
      </c>
      <c r="V34" s="54">
        <f t="shared" si="26"/>
        <v>0</v>
      </c>
      <c r="W34" s="54">
        <f t="shared" si="26"/>
        <v>0</v>
      </c>
      <c r="X34" s="54">
        <f t="shared" si="26"/>
        <v>0</v>
      </c>
      <c r="Y34" s="54">
        <f t="shared" si="26"/>
        <v>0.5714285714285714</v>
      </c>
      <c r="Z34" s="54">
        <f t="shared" si="26"/>
        <v>0.2857142857142857</v>
      </c>
      <c r="AA34" s="54">
        <f t="shared" si="26"/>
        <v>0</v>
      </c>
      <c r="AB34" s="54">
        <f t="shared" si="26"/>
        <v>0</v>
      </c>
      <c r="AC34" s="54">
        <f t="shared" si="26"/>
        <v>30.857142857142854</v>
      </c>
      <c r="AD34" s="54">
        <f t="shared" si="26"/>
        <v>0</v>
      </c>
      <c r="AE34" s="40">
        <f t="shared" si="26"/>
        <v>1.8571428571428568</v>
      </c>
      <c r="AF34" s="40">
        <f t="shared" si="26"/>
        <v>32.714285714285715</v>
      </c>
    </row>
    <row r="35" spans="2:32" ht="23.1" customHeight="1" x14ac:dyDescent="0.25">
      <c r="B35" s="24" t="s">
        <v>62</v>
      </c>
      <c r="C35" s="52">
        <v>0.14285714285714285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0.42857142857142855</v>
      </c>
      <c r="J35" s="52">
        <v>0.14285714285714285</v>
      </c>
      <c r="K35" s="52">
        <v>0</v>
      </c>
      <c r="L35" s="52">
        <v>0</v>
      </c>
      <c r="M35" s="52">
        <v>9.1428571428571423</v>
      </c>
      <c r="N35" s="52">
        <v>0</v>
      </c>
      <c r="O35" s="15">
        <f t="shared" si="0"/>
        <v>0.71428571428571419</v>
      </c>
      <c r="P35" s="15">
        <f t="shared" si="1"/>
        <v>9.8571428571428559</v>
      </c>
      <c r="R35" s="53" t="s">
        <v>91</v>
      </c>
      <c r="S35" s="54">
        <f t="shared" ref="S35:AF35" si="27">MAX(S13:S18)</f>
        <v>0.5714285714285714</v>
      </c>
      <c r="T35" s="54">
        <f t="shared" si="27"/>
        <v>0</v>
      </c>
      <c r="U35" s="54">
        <f t="shared" si="27"/>
        <v>0.8571428571428571</v>
      </c>
      <c r="V35" s="54">
        <f t="shared" si="27"/>
        <v>0.14285714285714285</v>
      </c>
      <c r="W35" s="54">
        <f t="shared" si="27"/>
        <v>0</v>
      </c>
      <c r="X35" s="54">
        <f t="shared" si="27"/>
        <v>0</v>
      </c>
      <c r="Y35" s="54">
        <f t="shared" si="27"/>
        <v>2.5714285714285712</v>
      </c>
      <c r="Z35" s="54">
        <f t="shared" si="27"/>
        <v>0.2857142857142857</v>
      </c>
      <c r="AA35" s="54">
        <f t="shared" si="27"/>
        <v>0.14285714285714285</v>
      </c>
      <c r="AB35" s="54">
        <f t="shared" si="27"/>
        <v>0</v>
      </c>
      <c r="AC35" s="54">
        <f t="shared" si="27"/>
        <v>49.714285714285708</v>
      </c>
      <c r="AD35" s="54">
        <f t="shared" si="27"/>
        <v>0</v>
      </c>
      <c r="AE35" s="40">
        <f t="shared" si="27"/>
        <v>3.7142857142857144</v>
      </c>
      <c r="AF35" s="40">
        <f t="shared" si="27"/>
        <v>51.999999999999993</v>
      </c>
    </row>
    <row r="36" spans="2:32" ht="23.1" customHeight="1" x14ac:dyDescent="0.25">
      <c r="B36" s="24" t="s">
        <v>63</v>
      </c>
      <c r="C36" s="52">
        <v>0</v>
      </c>
      <c r="D36" s="52">
        <v>0</v>
      </c>
      <c r="E36" s="52">
        <v>0</v>
      </c>
      <c r="F36" s="52">
        <v>0.14285714285714285</v>
      </c>
      <c r="G36" s="52">
        <v>0</v>
      </c>
      <c r="H36" s="52">
        <v>0</v>
      </c>
      <c r="I36" s="52">
        <v>0.5714285714285714</v>
      </c>
      <c r="J36" s="52">
        <v>0</v>
      </c>
      <c r="K36" s="52">
        <v>0</v>
      </c>
      <c r="L36" s="52">
        <v>0</v>
      </c>
      <c r="M36" s="52">
        <v>8.5714285714285712</v>
      </c>
      <c r="N36" s="52">
        <v>0</v>
      </c>
      <c r="O36" s="15">
        <f t="shared" si="0"/>
        <v>0.71428571428571419</v>
      </c>
      <c r="P36" s="15">
        <f t="shared" si="1"/>
        <v>9.2857142857142847</v>
      </c>
      <c r="R36" s="53" t="s">
        <v>92</v>
      </c>
      <c r="S36" s="54">
        <f t="shared" ref="S36:AF36" si="28">MAX(S19:S21)</f>
        <v>0.71428571428571419</v>
      </c>
      <c r="T36" s="54">
        <f t="shared" si="28"/>
        <v>0</v>
      </c>
      <c r="U36" s="54">
        <f t="shared" si="28"/>
        <v>0.8571428571428571</v>
      </c>
      <c r="V36" s="54">
        <f t="shared" si="28"/>
        <v>0</v>
      </c>
      <c r="W36" s="54">
        <f t="shared" si="28"/>
        <v>0</v>
      </c>
      <c r="X36" s="54">
        <f t="shared" si="28"/>
        <v>0</v>
      </c>
      <c r="Y36" s="54">
        <f t="shared" si="28"/>
        <v>2.2857142857142856</v>
      </c>
      <c r="Z36" s="54">
        <f t="shared" si="28"/>
        <v>0</v>
      </c>
      <c r="AA36" s="54">
        <f t="shared" si="28"/>
        <v>0</v>
      </c>
      <c r="AB36" s="54">
        <f t="shared" si="28"/>
        <v>0</v>
      </c>
      <c r="AC36" s="54">
        <f t="shared" si="28"/>
        <v>45.142857142857146</v>
      </c>
      <c r="AD36" s="54">
        <f t="shared" si="28"/>
        <v>0</v>
      </c>
      <c r="AE36" s="40">
        <f t="shared" si="28"/>
        <v>3.2857142857142856</v>
      </c>
      <c r="AF36" s="40">
        <f t="shared" si="28"/>
        <v>48.285714285714292</v>
      </c>
    </row>
    <row r="37" spans="2:32" ht="23.1" customHeight="1" x14ac:dyDescent="0.25">
      <c r="B37" s="23" t="s">
        <v>64</v>
      </c>
      <c r="C37" s="52">
        <v>0.14285714285714285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0.42857142857142855</v>
      </c>
      <c r="J37" s="52">
        <v>0</v>
      </c>
      <c r="K37" s="52">
        <v>0</v>
      </c>
      <c r="L37" s="52">
        <v>0</v>
      </c>
      <c r="M37" s="52">
        <v>10</v>
      </c>
      <c r="N37" s="52">
        <v>0</v>
      </c>
      <c r="O37" s="15">
        <f t="shared" si="0"/>
        <v>0.5714285714285714</v>
      </c>
      <c r="P37" s="15">
        <f t="shared" si="1"/>
        <v>10.571428571428571</v>
      </c>
      <c r="R37" s="37" t="s">
        <v>85</v>
      </c>
      <c r="S37" s="55">
        <f t="shared" ref="S37:AF37" si="29">SUM(S10:S12)</f>
        <v>0.71428571428571419</v>
      </c>
      <c r="T37" s="56">
        <f t="shared" si="29"/>
        <v>0</v>
      </c>
      <c r="U37" s="56">
        <f t="shared" si="29"/>
        <v>1.4285714285714284</v>
      </c>
      <c r="V37" s="56">
        <f t="shared" si="29"/>
        <v>0</v>
      </c>
      <c r="W37" s="56">
        <f t="shared" si="29"/>
        <v>0</v>
      </c>
      <c r="X37" s="56">
        <f t="shared" si="29"/>
        <v>0</v>
      </c>
      <c r="Y37" s="56">
        <f t="shared" si="29"/>
        <v>1.2857142857142856</v>
      </c>
      <c r="Z37" s="56">
        <f t="shared" si="29"/>
        <v>0.5714285714285714</v>
      </c>
      <c r="AA37" s="56">
        <f t="shared" si="29"/>
        <v>0</v>
      </c>
      <c r="AB37" s="56">
        <f t="shared" si="29"/>
        <v>0</v>
      </c>
      <c r="AC37" s="56">
        <f t="shared" si="29"/>
        <v>63.428571428571423</v>
      </c>
      <c r="AD37" s="56">
        <f t="shared" si="29"/>
        <v>0</v>
      </c>
      <c r="AE37" s="57">
        <f t="shared" si="29"/>
        <v>3.9999999999999991</v>
      </c>
      <c r="AF37" s="57">
        <f t="shared" si="29"/>
        <v>67.428571428571431</v>
      </c>
    </row>
    <row r="38" spans="2:32" ht="23.1" customHeight="1" x14ac:dyDescent="0.25">
      <c r="B38" s="24" t="s">
        <v>65</v>
      </c>
      <c r="C38" s="52">
        <v>0</v>
      </c>
      <c r="D38" s="52">
        <v>0</v>
      </c>
      <c r="E38" s="52">
        <v>0.14285714285714285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11.428571428571429</v>
      </c>
      <c r="N38" s="52">
        <v>0</v>
      </c>
      <c r="O38" s="15">
        <f t="shared" si="0"/>
        <v>0.14285714285714285</v>
      </c>
      <c r="P38" s="15">
        <f t="shared" si="1"/>
        <v>11.571428571428571</v>
      </c>
      <c r="R38" s="28" t="s">
        <v>86</v>
      </c>
      <c r="S38" s="56">
        <f t="shared" ref="S38:AF38" si="30">SUM(S13:S18)</f>
        <v>2.1428571428571428</v>
      </c>
      <c r="T38" s="56">
        <f t="shared" si="30"/>
        <v>0</v>
      </c>
      <c r="U38" s="56">
        <f t="shared" si="30"/>
        <v>3.2857142857142856</v>
      </c>
      <c r="V38" s="56">
        <f t="shared" si="30"/>
        <v>0.2857142857142857</v>
      </c>
      <c r="W38" s="56">
        <f t="shared" si="30"/>
        <v>0</v>
      </c>
      <c r="X38" s="56">
        <f t="shared" si="30"/>
        <v>0</v>
      </c>
      <c r="Y38" s="56">
        <f t="shared" si="30"/>
        <v>11.142857142857142</v>
      </c>
      <c r="Z38" s="56">
        <f t="shared" si="30"/>
        <v>0.8571428571428571</v>
      </c>
      <c r="AA38" s="56">
        <f t="shared" si="30"/>
        <v>0.14285714285714285</v>
      </c>
      <c r="AB38" s="56">
        <f t="shared" si="30"/>
        <v>0</v>
      </c>
      <c r="AC38" s="56">
        <f t="shared" si="30"/>
        <v>265.57142857142856</v>
      </c>
      <c r="AD38" s="56">
        <f t="shared" si="30"/>
        <v>0</v>
      </c>
      <c r="AE38" s="57">
        <f t="shared" si="30"/>
        <v>17.857142857142858</v>
      </c>
      <c r="AF38" s="57">
        <f t="shared" si="30"/>
        <v>283.42857142857144</v>
      </c>
    </row>
    <row r="39" spans="2:32" ht="23.1" customHeight="1" x14ac:dyDescent="0.25">
      <c r="B39" s="24" t="s">
        <v>66</v>
      </c>
      <c r="C39" s="52">
        <v>0</v>
      </c>
      <c r="D39" s="52">
        <v>0</v>
      </c>
      <c r="E39" s="52">
        <v>0.14285714285714285</v>
      </c>
      <c r="F39" s="52">
        <v>0</v>
      </c>
      <c r="G39" s="52">
        <v>0</v>
      </c>
      <c r="H39" s="52">
        <v>0</v>
      </c>
      <c r="I39" s="52">
        <v>0.5714285714285714</v>
      </c>
      <c r="J39" s="52">
        <v>0</v>
      </c>
      <c r="K39" s="52">
        <v>0</v>
      </c>
      <c r="L39" s="52">
        <v>0</v>
      </c>
      <c r="M39" s="52">
        <v>10.571428571428571</v>
      </c>
      <c r="N39" s="52">
        <v>0</v>
      </c>
      <c r="O39" s="15">
        <f t="shared" si="0"/>
        <v>0.71428571428571419</v>
      </c>
      <c r="P39" s="15">
        <f t="shared" si="1"/>
        <v>11.285714285714285</v>
      </c>
      <c r="R39" s="29" t="s">
        <v>87</v>
      </c>
      <c r="S39" s="56">
        <f t="shared" ref="S39:AF39" si="31">SUM(S19:S21)</f>
        <v>1.4285714285714284</v>
      </c>
      <c r="T39" s="56">
        <f t="shared" si="31"/>
        <v>0</v>
      </c>
      <c r="U39" s="56">
        <f t="shared" si="31"/>
        <v>2.4285714285714279</v>
      </c>
      <c r="V39" s="56">
        <f t="shared" si="31"/>
        <v>0</v>
      </c>
      <c r="W39" s="56">
        <f t="shared" si="31"/>
        <v>0</v>
      </c>
      <c r="X39" s="56">
        <f t="shared" si="31"/>
        <v>0</v>
      </c>
      <c r="Y39" s="56">
        <f t="shared" si="31"/>
        <v>5.2857142857142856</v>
      </c>
      <c r="Z39" s="56">
        <f t="shared" si="31"/>
        <v>0</v>
      </c>
      <c r="AA39" s="56">
        <f t="shared" si="31"/>
        <v>0</v>
      </c>
      <c r="AB39" s="56">
        <f t="shared" si="31"/>
        <v>0</v>
      </c>
      <c r="AC39" s="56">
        <f t="shared" si="31"/>
        <v>127.28571428571428</v>
      </c>
      <c r="AD39" s="56">
        <f t="shared" si="31"/>
        <v>0</v>
      </c>
      <c r="AE39" s="57">
        <f t="shared" si="31"/>
        <v>9.1428571428571423</v>
      </c>
      <c r="AF39" s="57">
        <f t="shared" si="31"/>
        <v>136.42857142857144</v>
      </c>
    </row>
    <row r="40" spans="2:32" ht="23.1" customHeight="1" x14ac:dyDescent="0.25">
      <c r="B40" s="24" t="s">
        <v>67</v>
      </c>
      <c r="C40" s="52">
        <v>0.14285714285714285</v>
      </c>
      <c r="D40" s="52">
        <v>0</v>
      </c>
      <c r="E40" s="52">
        <v>0.42857142857142855</v>
      </c>
      <c r="F40" s="52">
        <v>0</v>
      </c>
      <c r="G40" s="52">
        <v>0</v>
      </c>
      <c r="H40" s="52">
        <v>0</v>
      </c>
      <c r="I40" s="52">
        <v>0.2857142857142857</v>
      </c>
      <c r="J40" s="52">
        <v>0</v>
      </c>
      <c r="K40" s="52">
        <v>0</v>
      </c>
      <c r="L40" s="52">
        <v>0</v>
      </c>
      <c r="M40" s="52">
        <v>15.571428571428571</v>
      </c>
      <c r="N40" s="52">
        <v>0</v>
      </c>
      <c r="O40" s="15">
        <f t="shared" si="0"/>
        <v>0.8571428571428571</v>
      </c>
      <c r="P40" s="15">
        <f t="shared" si="1"/>
        <v>16.428571428571427</v>
      </c>
      <c r="R40" s="5" t="s">
        <v>17</v>
      </c>
      <c r="S40" s="56">
        <f t="shared" ref="S40:AF40" si="32">SUM(S10:S21)</f>
        <v>4.2857142857142847</v>
      </c>
      <c r="T40" s="56">
        <f t="shared" si="32"/>
        <v>0</v>
      </c>
      <c r="U40" s="56">
        <f t="shared" si="32"/>
        <v>7.1428571428571415</v>
      </c>
      <c r="V40" s="56">
        <f t="shared" si="32"/>
        <v>0.2857142857142857</v>
      </c>
      <c r="W40" s="56">
        <f t="shared" si="32"/>
        <v>0</v>
      </c>
      <c r="X40" s="56">
        <f t="shared" si="32"/>
        <v>0</v>
      </c>
      <c r="Y40" s="56">
        <f t="shared" si="32"/>
        <v>17.714285714285712</v>
      </c>
      <c r="Z40" s="56">
        <f t="shared" si="32"/>
        <v>1.4285714285714284</v>
      </c>
      <c r="AA40" s="56">
        <f t="shared" si="32"/>
        <v>0.14285714285714285</v>
      </c>
      <c r="AB40" s="56">
        <f t="shared" si="32"/>
        <v>0</v>
      </c>
      <c r="AC40" s="56">
        <f t="shared" si="32"/>
        <v>456.28571428571428</v>
      </c>
      <c r="AD40" s="56">
        <f t="shared" si="32"/>
        <v>0</v>
      </c>
      <c r="AE40" s="57">
        <f t="shared" si="32"/>
        <v>31</v>
      </c>
      <c r="AF40" s="57">
        <f t="shared" si="32"/>
        <v>487.28571428571433</v>
      </c>
    </row>
    <row r="41" spans="2:32" ht="23.1" customHeight="1" x14ac:dyDescent="0.25">
      <c r="B41" s="23" t="s">
        <v>68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0.5714285714285714</v>
      </c>
      <c r="J41" s="52">
        <v>0</v>
      </c>
      <c r="K41" s="52">
        <v>0</v>
      </c>
      <c r="L41" s="52">
        <v>0</v>
      </c>
      <c r="M41" s="52">
        <v>12.142857142857142</v>
      </c>
      <c r="N41" s="52">
        <v>0</v>
      </c>
      <c r="O41" s="15">
        <f t="shared" si="0"/>
        <v>0.5714285714285714</v>
      </c>
      <c r="P41" s="15">
        <f t="shared" si="1"/>
        <v>12.714285714285714</v>
      </c>
      <c r="R41" s="5" t="s">
        <v>183</v>
      </c>
      <c r="S41" s="56">
        <f>SUM(S10:S33)</f>
        <v>6.2857142857142847</v>
      </c>
      <c r="T41" s="56">
        <f t="shared" ref="T41:AD41" si="33">SUM(T10:T33)</f>
        <v>0</v>
      </c>
      <c r="U41" s="56">
        <f t="shared" si="33"/>
        <v>10.142857142857142</v>
      </c>
      <c r="V41" s="56">
        <f t="shared" si="33"/>
        <v>0.2857142857142857</v>
      </c>
      <c r="W41" s="56">
        <f t="shared" si="33"/>
        <v>0</v>
      </c>
      <c r="X41" s="56">
        <f t="shared" si="33"/>
        <v>0</v>
      </c>
      <c r="Y41" s="56">
        <f t="shared" si="33"/>
        <v>23.214285714285712</v>
      </c>
      <c r="Z41" s="56">
        <f t="shared" si="33"/>
        <v>1.9285714285714284</v>
      </c>
      <c r="AA41" s="56">
        <f t="shared" si="33"/>
        <v>0.14285714285714285</v>
      </c>
      <c r="AB41" s="56">
        <f t="shared" si="33"/>
        <v>0</v>
      </c>
      <c r="AC41" s="56">
        <f t="shared" si="33"/>
        <v>579.28571428571422</v>
      </c>
      <c r="AD41" s="56">
        <f t="shared" si="33"/>
        <v>0</v>
      </c>
      <c r="AE41" s="57">
        <f>SUM(AE10:AE33)</f>
        <v>42</v>
      </c>
      <c r="AF41" s="57">
        <f>SUM(AF10:AF33)</f>
        <v>621.28571428571433</v>
      </c>
    </row>
    <row r="42" spans="2:32" ht="23.1" customHeight="1" x14ac:dyDescent="0.25">
      <c r="B42" s="24" t="s">
        <v>69</v>
      </c>
      <c r="C42" s="52">
        <v>0</v>
      </c>
      <c r="D42" s="52">
        <v>0</v>
      </c>
      <c r="E42" s="52">
        <v>0.14285714285714285</v>
      </c>
      <c r="F42" s="52">
        <v>0</v>
      </c>
      <c r="G42" s="52">
        <v>0</v>
      </c>
      <c r="H42" s="52">
        <v>0</v>
      </c>
      <c r="I42" s="52">
        <v>0.14285714285714285</v>
      </c>
      <c r="J42" s="52">
        <v>0.14285714285714285</v>
      </c>
      <c r="K42" s="52">
        <v>0</v>
      </c>
      <c r="L42" s="52">
        <v>0</v>
      </c>
      <c r="M42" s="52">
        <v>11</v>
      </c>
      <c r="N42" s="52">
        <v>0</v>
      </c>
      <c r="O42" s="15">
        <f t="shared" si="0"/>
        <v>0.42857142857142855</v>
      </c>
      <c r="P42" s="15">
        <f t="shared" si="1"/>
        <v>11.428571428571429</v>
      </c>
      <c r="R42" s="5" t="s">
        <v>160</v>
      </c>
      <c r="S42" s="48">
        <f>S41/S40</f>
        <v>1.4666666666666668</v>
      </c>
      <c r="T42" s="48">
        <v>0</v>
      </c>
      <c r="U42" s="48">
        <f t="shared" ref="T42:AF42" si="34">U41/U40</f>
        <v>1.4200000000000002</v>
      </c>
      <c r="V42" s="48">
        <f t="shared" si="34"/>
        <v>1</v>
      </c>
      <c r="W42" s="48">
        <v>0</v>
      </c>
      <c r="X42" s="48">
        <v>0</v>
      </c>
      <c r="Y42" s="48">
        <f t="shared" si="34"/>
        <v>1.310483870967742</v>
      </c>
      <c r="Z42" s="48">
        <f t="shared" si="34"/>
        <v>1.35</v>
      </c>
      <c r="AA42" s="48">
        <f t="shared" si="34"/>
        <v>1</v>
      </c>
      <c r="AB42" s="48">
        <v>0</v>
      </c>
      <c r="AC42" s="48">
        <f t="shared" si="34"/>
        <v>1.2695679398872886</v>
      </c>
      <c r="AD42" s="48">
        <v>0</v>
      </c>
      <c r="AE42" s="58">
        <f t="shared" si="34"/>
        <v>1.3548387096774193</v>
      </c>
      <c r="AF42" s="58">
        <f t="shared" si="34"/>
        <v>1.2749926707710348</v>
      </c>
    </row>
    <row r="43" spans="2:32" ht="23.1" customHeight="1" x14ac:dyDescent="0.25">
      <c r="B43" s="23" t="s">
        <v>70</v>
      </c>
      <c r="C43" s="52">
        <v>0</v>
      </c>
      <c r="D43" s="52">
        <v>0</v>
      </c>
      <c r="E43" s="52">
        <v>0.2857142857142857</v>
      </c>
      <c r="F43" s="52">
        <v>0.14285714285714285</v>
      </c>
      <c r="G43" s="52">
        <v>0</v>
      </c>
      <c r="H43" s="52">
        <v>0</v>
      </c>
      <c r="I43" s="52">
        <v>0.5714285714285714</v>
      </c>
      <c r="J43" s="52">
        <v>0</v>
      </c>
      <c r="K43" s="52">
        <v>0</v>
      </c>
      <c r="L43" s="52">
        <v>0</v>
      </c>
      <c r="M43" s="52">
        <v>10.285714285714286</v>
      </c>
      <c r="N43" s="52">
        <v>0</v>
      </c>
      <c r="O43" s="15">
        <f t="shared" si="0"/>
        <v>1</v>
      </c>
      <c r="P43" s="15">
        <f t="shared" si="1"/>
        <v>11.285714285714286</v>
      </c>
    </row>
    <row r="44" spans="2:32" ht="23.1" customHeight="1" x14ac:dyDescent="0.25">
      <c r="B44" s="25" t="s">
        <v>71</v>
      </c>
      <c r="C44" s="52">
        <v>0.2857142857142857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0.8571428571428571</v>
      </c>
      <c r="J44" s="52">
        <v>0.14285714285714285</v>
      </c>
      <c r="K44" s="52">
        <v>0</v>
      </c>
      <c r="L44" s="52">
        <v>0</v>
      </c>
      <c r="M44" s="52">
        <v>8.5714285714285712</v>
      </c>
      <c r="N44" s="52">
        <v>0</v>
      </c>
      <c r="O44" s="15">
        <f t="shared" si="0"/>
        <v>1.2857142857142856</v>
      </c>
      <c r="P44" s="15">
        <f t="shared" si="1"/>
        <v>9.8571428571428577</v>
      </c>
    </row>
    <row r="45" spans="2:32" ht="23.1" customHeight="1" x14ac:dyDescent="0.25">
      <c r="B45" s="23" t="s">
        <v>72</v>
      </c>
      <c r="C45" s="52">
        <v>0</v>
      </c>
      <c r="D45" s="52">
        <v>0</v>
      </c>
      <c r="E45" s="52">
        <v>0.42857142857142855</v>
      </c>
      <c r="F45" s="52">
        <v>0</v>
      </c>
      <c r="G45" s="52">
        <v>0</v>
      </c>
      <c r="H45" s="52">
        <v>0</v>
      </c>
      <c r="I45" s="52">
        <v>0.42857142857142855</v>
      </c>
      <c r="J45" s="52">
        <v>0</v>
      </c>
      <c r="K45" s="52">
        <v>0.14285714285714285</v>
      </c>
      <c r="L45" s="52">
        <v>0</v>
      </c>
      <c r="M45" s="52">
        <v>10.571428571428571</v>
      </c>
      <c r="N45" s="52">
        <v>0</v>
      </c>
      <c r="O45" s="15">
        <f t="shared" si="0"/>
        <v>1</v>
      </c>
      <c r="P45" s="15">
        <f t="shared" si="1"/>
        <v>11.571428571428571</v>
      </c>
    </row>
    <row r="46" spans="2:32" ht="23.1" customHeight="1" x14ac:dyDescent="0.25">
      <c r="B46" s="24" t="s">
        <v>73</v>
      </c>
      <c r="C46" s="52">
        <v>0.14285714285714285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0.2857142857142857</v>
      </c>
      <c r="J46" s="52">
        <v>0</v>
      </c>
      <c r="K46" s="52">
        <v>0</v>
      </c>
      <c r="L46" s="52">
        <v>0</v>
      </c>
      <c r="M46" s="52">
        <v>10.142857142857142</v>
      </c>
      <c r="N46" s="52">
        <v>0</v>
      </c>
      <c r="O46" s="15">
        <f t="shared" si="0"/>
        <v>0.42857142857142855</v>
      </c>
      <c r="P46" s="15">
        <f t="shared" si="1"/>
        <v>10.571428571428571</v>
      </c>
      <c r="R46" s="8"/>
      <c r="T46"/>
    </row>
    <row r="47" spans="2:32" ht="23.1" customHeight="1" x14ac:dyDescent="0.25">
      <c r="B47" s="24" t="s">
        <v>74</v>
      </c>
      <c r="C47" s="52">
        <v>0</v>
      </c>
      <c r="D47" s="52">
        <v>0</v>
      </c>
      <c r="E47" s="52">
        <v>0.2857142857142857</v>
      </c>
      <c r="F47" s="52">
        <v>0</v>
      </c>
      <c r="G47" s="52">
        <v>0</v>
      </c>
      <c r="H47" s="52">
        <v>0</v>
      </c>
      <c r="I47" s="52">
        <v>0.5714285714285714</v>
      </c>
      <c r="J47" s="52">
        <v>0</v>
      </c>
      <c r="K47" s="52">
        <v>0</v>
      </c>
      <c r="L47" s="52">
        <v>0</v>
      </c>
      <c r="M47" s="52">
        <v>11.285714285714286</v>
      </c>
      <c r="N47" s="52">
        <v>0</v>
      </c>
      <c r="O47" s="15">
        <f t="shared" si="0"/>
        <v>0.8571428571428571</v>
      </c>
      <c r="P47" s="15">
        <f t="shared" si="1"/>
        <v>12.142857142857144</v>
      </c>
      <c r="R47" s="8"/>
      <c r="T47"/>
    </row>
    <row r="48" spans="2:32" ht="23.1" customHeight="1" x14ac:dyDescent="0.25">
      <c r="B48" s="24" t="s">
        <v>75</v>
      </c>
      <c r="C48" s="52">
        <v>0</v>
      </c>
      <c r="D48" s="52">
        <v>0</v>
      </c>
      <c r="E48" s="52">
        <v>0.14285714285714285</v>
      </c>
      <c r="F48" s="52">
        <v>0</v>
      </c>
      <c r="G48" s="52">
        <v>0</v>
      </c>
      <c r="H48" s="52">
        <v>0</v>
      </c>
      <c r="I48" s="52">
        <v>0.42857142857142855</v>
      </c>
      <c r="J48" s="52">
        <v>0</v>
      </c>
      <c r="K48" s="52">
        <v>0</v>
      </c>
      <c r="L48" s="52">
        <v>0</v>
      </c>
      <c r="M48" s="52">
        <v>10.428571428571429</v>
      </c>
      <c r="N48" s="52">
        <v>0</v>
      </c>
      <c r="O48" s="15">
        <f t="shared" si="0"/>
        <v>0.5714285714285714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2">
        <v>0.14285714285714285</v>
      </c>
      <c r="D49" s="52">
        <v>0</v>
      </c>
      <c r="E49" s="52">
        <v>0.2857142857142857</v>
      </c>
      <c r="F49" s="52">
        <v>0</v>
      </c>
      <c r="G49" s="52">
        <v>0</v>
      </c>
      <c r="H49" s="52">
        <v>0</v>
      </c>
      <c r="I49" s="52">
        <v>1</v>
      </c>
      <c r="J49" s="52">
        <v>0</v>
      </c>
      <c r="K49" s="52">
        <v>0</v>
      </c>
      <c r="L49" s="52">
        <v>0</v>
      </c>
      <c r="M49" s="52">
        <v>12.714285714285714</v>
      </c>
      <c r="N49" s="52">
        <v>0</v>
      </c>
      <c r="O49" s="15">
        <f t="shared" si="0"/>
        <v>1.4285714285714286</v>
      </c>
      <c r="P49" s="15">
        <f t="shared" si="1"/>
        <v>14.142857142857142</v>
      </c>
      <c r="R49" s="8"/>
      <c r="T49"/>
    </row>
    <row r="50" spans="2:20" ht="23.1" customHeight="1" x14ac:dyDescent="0.25">
      <c r="B50" s="24" t="s">
        <v>77</v>
      </c>
      <c r="C50" s="52">
        <v>0</v>
      </c>
      <c r="D50" s="52">
        <v>0</v>
      </c>
      <c r="E50" s="52">
        <v>0.14285714285714285</v>
      </c>
      <c r="F50" s="52">
        <v>0</v>
      </c>
      <c r="G50" s="52">
        <v>0</v>
      </c>
      <c r="H50" s="52">
        <v>0</v>
      </c>
      <c r="I50" s="52">
        <v>0.5714285714285714</v>
      </c>
      <c r="J50" s="52">
        <v>0</v>
      </c>
      <c r="K50" s="52">
        <v>0</v>
      </c>
      <c r="L50" s="52">
        <v>0</v>
      </c>
      <c r="M50" s="52">
        <v>8.7142857142857135</v>
      </c>
      <c r="N50" s="52">
        <v>0</v>
      </c>
      <c r="O50" s="15">
        <f t="shared" si="0"/>
        <v>0.71428571428571419</v>
      </c>
      <c r="P50" s="15">
        <f t="shared" si="1"/>
        <v>9.428571428571427</v>
      </c>
      <c r="R50" s="8"/>
      <c r="T50"/>
    </row>
    <row r="51" spans="2:20" ht="23.1" customHeight="1" x14ac:dyDescent="0.25">
      <c r="B51" s="24" t="s">
        <v>78</v>
      </c>
      <c r="C51" s="52">
        <v>0</v>
      </c>
      <c r="D51" s="52">
        <v>0</v>
      </c>
      <c r="E51" s="52">
        <v>0.14285714285714285</v>
      </c>
      <c r="F51" s="52">
        <v>0</v>
      </c>
      <c r="G51" s="52">
        <v>0</v>
      </c>
      <c r="H51" s="52">
        <v>0</v>
      </c>
      <c r="I51" s="52">
        <v>0.2857142857142857</v>
      </c>
      <c r="J51" s="52">
        <v>0</v>
      </c>
      <c r="K51" s="52">
        <v>0</v>
      </c>
      <c r="L51" s="52">
        <v>0</v>
      </c>
      <c r="M51" s="52">
        <v>10.857142857142858</v>
      </c>
      <c r="N51" s="52">
        <v>0</v>
      </c>
      <c r="O51" s="15">
        <f t="shared" si="0"/>
        <v>0.42857142857142855</v>
      </c>
      <c r="P51" s="15">
        <f t="shared" si="1"/>
        <v>11.285714285714286</v>
      </c>
      <c r="R51" s="8"/>
      <c r="T51"/>
    </row>
    <row r="52" spans="2:20" ht="23.1" customHeight="1" x14ac:dyDescent="0.25">
      <c r="B52" s="24" t="s">
        <v>79</v>
      </c>
      <c r="C52" s="52">
        <v>0.2857142857142857</v>
      </c>
      <c r="D52" s="52">
        <v>0</v>
      </c>
      <c r="E52" s="52">
        <v>0.14285714285714285</v>
      </c>
      <c r="F52" s="52">
        <v>0</v>
      </c>
      <c r="G52" s="52">
        <v>0</v>
      </c>
      <c r="H52" s="52">
        <v>0</v>
      </c>
      <c r="I52" s="52">
        <v>0.14285714285714285</v>
      </c>
      <c r="J52" s="52">
        <v>0</v>
      </c>
      <c r="K52" s="52">
        <v>0</v>
      </c>
      <c r="L52" s="52">
        <v>0</v>
      </c>
      <c r="M52" s="52">
        <v>9</v>
      </c>
      <c r="N52" s="52">
        <v>0</v>
      </c>
      <c r="O52" s="15">
        <f t="shared" si="0"/>
        <v>0.5714285714285714</v>
      </c>
      <c r="P52" s="15">
        <f t="shared" si="1"/>
        <v>9.5714285714285712</v>
      </c>
      <c r="R52" s="8"/>
      <c r="T52"/>
    </row>
    <row r="53" spans="2:20" ht="23.1" customHeight="1" x14ac:dyDescent="0.25">
      <c r="B53" s="23" t="s">
        <v>80</v>
      </c>
      <c r="C53" s="52">
        <v>0.14285714285714285</v>
      </c>
      <c r="D53" s="52">
        <v>0</v>
      </c>
      <c r="E53" s="52">
        <v>0.42857142857142855</v>
      </c>
      <c r="F53" s="52">
        <v>0</v>
      </c>
      <c r="G53" s="52">
        <v>0</v>
      </c>
      <c r="H53" s="52">
        <v>0</v>
      </c>
      <c r="I53" s="52">
        <v>0.42857142857142855</v>
      </c>
      <c r="J53" s="52">
        <v>0</v>
      </c>
      <c r="K53" s="52">
        <v>0</v>
      </c>
      <c r="L53" s="52">
        <v>0</v>
      </c>
      <c r="M53" s="52">
        <v>9</v>
      </c>
      <c r="N53" s="52">
        <v>0</v>
      </c>
      <c r="O53" s="15">
        <f t="shared" si="0"/>
        <v>1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2">
        <v>0.42857142857142855</v>
      </c>
      <c r="D54" s="52">
        <v>0</v>
      </c>
      <c r="E54" s="52">
        <v>0.2857142857142857</v>
      </c>
      <c r="F54" s="52">
        <v>0</v>
      </c>
      <c r="G54" s="52">
        <v>0</v>
      </c>
      <c r="H54" s="52">
        <v>0</v>
      </c>
      <c r="I54" s="52">
        <v>0.2857142857142857</v>
      </c>
      <c r="J54" s="52">
        <v>0</v>
      </c>
      <c r="K54" s="52">
        <v>0</v>
      </c>
      <c r="L54" s="52">
        <v>0</v>
      </c>
      <c r="M54" s="52">
        <v>11.285714285714286</v>
      </c>
      <c r="N54" s="52">
        <v>0</v>
      </c>
      <c r="O54" s="15">
        <f t="shared" si="0"/>
        <v>0.99999999999999989</v>
      </c>
      <c r="P54" s="15">
        <f t="shared" si="1"/>
        <v>12.285714285714286</v>
      </c>
      <c r="R54" s="8"/>
      <c r="T54"/>
    </row>
    <row r="55" spans="2:20" ht="23.1" customHeight="1" x14ac:dyDescent="0.25">
      <c r="B55" s="23" t="s">
        <v>82</v>
      </c>
      <c r="C55" s="52">
        <v>0.14285714285714285</v>
      </c>
      <c r="D55" s="52">
        <v>0</v>
      </c>
      <c r="E55" s="52">
        <v>0.42857142857142855</v>
      </c>
      <c r="F55" s="52">
        <v>0</v>
      </c>
      <c r="G55" s="52">
        <v>0</v>
      </c>
      <c r="H55" s="52">
        <v>0</v>
      </c>
      <c r="I55" s="52">
        <v>0.42857142857142855</v>
      </c>
      <c r="J55" s="52">
        <v>0</v>
      </c>
      <c r="K55" s="52">
        <v>0</v>
      </c>
      <c r="L55" s="52">
        <v>0</v>
      </c>
      <c r="M55" s="52">
        <v>10.142857142857142</v>
      </c>
      <c r="N55" s="52">
        <v>0</v>
      </c>
      <c r="O55" s="15">
        <f t="shared" si="0"/>
        <v>1</v>
      </c>
      <c r="P55" s="15">
        <f t="shared" si="1"/>
        <v>11.142857142857142</v>
      </c>
      <c r="R55" s="8"/>
      <c r="T55"/>
    </row>
    <row r="56" spans="2:20" ht="23.1" customHeight="1" x14ac:dyDescent="0.25">
      <c r="B56" s="23" t="s">
        <v>83</v>
      </c>
      <c r="C56" s="52">
        <v>0</v>
      </c>
      <c r="D56" s="52">
        <v>0</v>
      </c>
      <c r="E56" s="52">
        <v>0.14285714285714285</v>
      </c>
      <c r="F56" s="52">
        <v>0</v>
      </c>
      <c r="G56" s="52">
        <v>0</v>
      </c>
      <c r="H56" s="52">
        <v>0</v>
      </c>
      <c r="I56" s="52">
        <v>0.42857142857142855</v>
      </c>
      <c r="J56" s="52">
        <v>0</v>
      </c>
      <c r="K56" s="52">
        <v>0</v>
      </c>
      <c r="L56" s="52">
        <v>0</v>
      </c>
      <c r="M56" s="52">
        <v>11.428571428571429</v>
      </c>
      <c r="N56" s="52">
        <v>0</v>
      </c>
      <c r="O56" s="15">
        <f t="shared" si="0"/>
        <v>0.5714285714285714</v>
      </c>
      <c r="P56" s="15">
        <f t="shared" si="1"/>
        <v>12</v>
      </c>
      <c r="R56" s="8"/>
      <c r="T56"/>
    </row>
    <row r="57" spans="2:20" ht="23.1" customHeight="1" x14ac:dyDescent="0.25">
      <c r="B57" s="23" t="s">
        <v>84</v>
      </c>
      <c r="C57" s="52">
        <v>0.14285714285714285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0.42857142857142855</v>
      </c>
      <c r="J57" s="52">
        <v>0</v>
      </c>
      <c r="K57" s="52">
        <v>0</v>
      </c>
      <c r="L57" s="52">
        <v>0</v>
      </c>
      <c r="M57" s="52">
        <v>12.285714285714286</v>
      </c>
      <c r="N57" s="52">
        <v>0</v>
      </c>
      <c r="O57" s="15">
        <f t="shared" si="0"/>
        <v>0.5714285714285714</v>
      </c>
      <c r="P57" s="15">
        <f t="shared" si="1"/>
        <v>12.857142857142858</v>
      </c>
      <c r="R57" s="8"/>
      <c r="T57"/>
    </row>
    <row r="58" spans="2:20" ht="23.1" customHeight="1" x14ac:dyDescent="0.25">
      <c r="B58" s="23" t="s">
        <v>99</v>
      </c>
      <c r="C58" s="52">
        <f>AVERAGE('24.08 Bukwo-Suam-24h'!C58,'26.08 Bukwo-Suam-24h'!C58)</f>
        <v>0</v>
      </c>
      <c r="D58" s="52">
        <f>AVERAGE('24.08 Bukwo-Suam-24h'!D58,'26.08 Bukwo-Suam-24h'!D58)</f>
        <v>0</v>
      </c>
      <c r="E58" s="52">
        <f>AVERAGE('24.08 Bukwo-Suam-24h'!E58,'26.08 Bukwo-Suam-24h'!E58)</f>
        <v>0.5</v>
      </c>
      <c r="F58" s="52">
        <f>AVERAGE('24.08 Bukwo-Suam-24h'!F58,'26.08 Bukwo-Suam-24h'!F58)</f>
        <v>0</v>
      </c>
      <c r="G58" s="52">
        <f>AVERAGE('24.08 Bukwo-Suam-24h'!G58,'26.08 Bukwo-Suam-24h'!G58)</f>
        <v>0</v>
      </c>
      <c r="H58" s="52">
        <f>AVERAGE('24.08 Bukwo-Suam-24h'!H58,'26.08 Bukwo-Suam-24h'!H58)</f>
        <v>0</v>
      </c>
      <c r="I58" s="52">
        <f>AVERAGE('24.08 Bukwo-Suam-24h'!I58,'26.08 Bukwo-Suam-24h'!I58)</f>
        <v>0</v>
      </c>
      <c r="J58" s="52">
        <f>AVERAGE('24.08 Bukwo-Suam-24h'!J58,'26.08 Bukwo-Suam-24h'!J58)</f>
        <v>0</v>
      </c>
      <c r="K58" s="52">
        <f>AVERAGE('24.08 Bukwo-Suam-24h'!K58,'26.08 Bukwo-Suam-24h'!K58)</f>
        <v>0</v>
      </c>
      <c r="L58" s="52">
        <f>AVERAGE('24.08 Bukwo-Suam-24h'!L58,'26.08 Bukwo-Suam-24h'!L58)</f>
        <v>0</v>
      </c>
      <c r="M58" s="52">
        <f>AVERAGE('24.08 Bukwo-Suam-24h'!M58,'26.08 Bukwo-Suam-24h'!M58)</f>
        <v>7</v>
      </c>
      <c r="N58" s="52">
        <f>AVERAGE('24.08 Bukwo-Suam-24h'!N58,'26.08 Bukwo-Suam-24h'!N58)</f>
        <v>0</v>
      </c>
      <c r="O58" s="15">
        <f t="shared" si="0"/>
        <v>0.5</v>
      </c>
      <c r="P58" s="15">
        <f t="shared" si="1"/>
        <v>7.5</v>
      </c>
      <c r="R58" s="8"/>
      <c r="T58"/>
    </row>
    <row r="59" spans="2:20" ht="23.1" customHeight="1" x14ac:dyDescent="0.25">
      <c r="B59" s="23" t="s">
        <v>100</v>
      </c>
      <c r="C59" s="52">
        <f>AVERAGE('24.08 Bukwo-Suam-24h'!C59,'26.08 Bukwo-Suam-24h'!C59)</f>
        <v>0.5</v>
      </c>
      <c r="D59" s="52">
        <f>AVERAGE('24.08 Bukwo-Suam-24h'!D59,'26.08 Bukwo-Suam-24h'!D59)</f>
        <v>0</v>
      </c>
      <c r="E59" s="52">
        <f>AVERAGE('24.08 Bukwo-Suam-24h'!E59,'26.08 Bukwo-Suam-24h'!E59)</f>
        <v>0</v>
      </c>
      <c r="F59" s="52">
        <f>AVERAGE('24.08 Bukwo-Suam-24h'!F59,'26.08 Bukwo-Suam-24h'!F59)</f>
        <v>0</v>
      </c>
      <c r="G59" s="52">
        <f>AVERAGE('24.08 Bukwo-Suam-24h'!G59,'26.08 Bukwo-Suam-24h'!G59)</f>
        <v>0</v>
      </c>
      <c r="H59" s="52">
        <f>AVERAGE('24.08 Bukwo-Suam-24h'!H59,'26.08 Bukwo-Suam-24h'!H59)</f>
        <v>0</v>
      </c>
      <c r="I59" s="52">
        <f>AVERAGE('24.08 Bukwo-Suam-24h'!I59,'26.08 Bukwo-Suam-24h'!I59)</f>
        <v>0</v>
      </c>
      <c r="J59" s="52">
        <f>AVERAGE('24.08 Bukwo-Suam-24h'!J59,'26.08 Bukwo-Suam-24h'!J59)</f>
        <v>0</v>
      </c>
      <c r="K59" s="52">
        <f>AVERAGE('24.08 Bukwo-Suam-24h'!K59,'26.08 Bukwo-Suam-24h'!K59)</f>
        <v>0</v>
      </c>
      <c r="L59" s="52">
        <f>AVERAGE('24.08 Bukwo-Suam-24h'!L59,'26.08 Bukwo-Suam-24h'!L59)</f>
        <v>0</v>
      </c>
      <c r="M59" s="52">
        <f>AVERAGE('24.08 Bukwo-Suam-24h'!M59,'26.08 Bukwo-Suam-24h'!M59)</f>
        <v>3</v>
      </c>
      <c r="N59" s="52">
        <f>AVERAGE('24.08 Bukwo-Suam-24h'!N59,'26.08 Bukwo-Suam-24h'!N59)</f>
        <v>0</v>
      </c>
      <c r="O59" s="15">
        <f t="shared" si="0"/>
        <v>0.5</v>
      </c>
      <c r="P59" s="15">
        <f t="shared" si="1"/>
        <v>3.5</v>
      </c>
      <c r="R59" s="8"/>
      <c r="T59"/>
    </row>
    <row r="60" spans="2:20" ht="23.1" customHeight="1" x14ac:dyDescent="0.25">
      <c r="B60" s="23" t="s">
        <v>101</v>
      </c>
      <c r="C60" s="52">
        <f>AVERAGE('24.08 Bukwo-Suam-24h'!C60,'26.08 Bukwo-Suam-24h'!C60)</f>
        <v>0</v>
      </c>
      <c r="D60" s="52">
        <f>AVERAGE('24.08 Bukwo-Suam-24h'!D60,'26.08 Bukwo-Suam-24h'!D60)</f>
        <v>0</v>
      </c>
      <c r="E60" s="52">
        <f>AVERAGE('24.08 Bukwo-Suam-24h'!E60,'26.08 Bukwo-Suam-24h'!E60)</f>
        <v>0.5</v>
      </c>
      <c r="F60" s="52">
        <f>AVERAGE('24.08 Bukwo-Suam-24h'!F60,'26.08 Bukwo-Suam-24h'!F60)</f>
        <v>0</v>
      </c>
      <c r="G60" s="52">
        <f>AVERAGE('24.08 Bukwo-Suam-24h'!G60,'26.08 Bukwo-Suam-24h'!G60)</f>
        <v>0</v>
      </c>
      <c r="H60" s="52">
        <f>AVERAGE('24.08 Bukwo-Suam-24h'!H60,'26.08 Bukwo-Suam-24h'!H60)</f>
        <v>0</v>
      </c>
      <c r="I60" s="52">
        <f>AVERAGE('24.08 Bukwo-Suam-24h'!I60,'26.08 Bukwo-Suam-24h'!I60)</f>
        <v>1</v>
      </c>
      <c r="J60" s="52">
        <f>AVERAGE('24.08 Bukwo-Suam-24h'!J60,'26.08 Bukwo-Suam-24h'!J60)</f>
        <v>0</v>
      </c>
      <c r="K60" s="52">
        <f>AVERAGE('24.08 Bukwo-Suam-24h'!K60,'26.08 Bukwo-Suam-24h'!K60)</f>
        <v>0</v>
      </c>
      <c r="L60" s="52">
        <f>AVERAGE('24.08 Bukwo-Suam-24h'!L60,'26.08 Bukwo-Suam-24h'!L60)</f>
        <v>0</v>
      </c>
      <c r="M60" s="52">
        <f>AVERAGE('24.08 Bukwo-Suam-24h'!M60,'26.08 Bukwo-Suam-24h'!M60)</f>
        <v>8.5</v>
      </c>
      <c r="N60" s="52">
        <f>AVERAGE('24.08 Bukwo-Suam-24h'!N60,'26.08 Bukwo-Suam-24h'!N60)</f>
        <v>0</v>
      </c>
      <c r="O60" s="15">
        <f t="shared" si="0"/>
        <v>1.5</v>
      </c>
      <c r="P60" s="15">
        <f t="shared" si="1"/>
        <v>10</v>
      </c>
      <c r="R60" s="8"/>
      <c r="T60"/>
    </row>
    <row r="61" spans="2:20" ht="23.1" customHeight="1" x14ac:dyDescent="0.25">
      <c r="B61" s="23" t="s">
        <v>102</v>
      </c>
      <c r="C61" s="52">
        <f>AVERAGE('24.08 Bukwo-Suam-24h'!C61,'26.08 Bukwo-Suam-24h'!C61)</f>
        <v>0.5</v>
      </c>
      <c r="D61" s="52">
        <f>AVERAGE('24.08 Bukwo-Suam-24h'!D61,'26.08 Bukwo-Suam-24h'!D61)</f>
        <v>0</v>
      </c>
      <c r="E61" s="52">
        <f>AVERAGE('24.08 Bukwo-Suam-24h'!E61,'26.08 Bukwo-Suam-24h'!E61)</f>
        <v>0</v>
      </c>
      <c r="F61" s="52">
        <f>AVERAGE('24.08 Bukwo-Suam-24h'!F61,'26.08 Bukwo-Suam-24h'!F61)</f>
        <v>0</v>
      </c>
      <c r="G61" s="52">
        <f>AVERAGE('24.08 Bukwo-Suam-24h'!G61,'26.08 Bukwo-Suam-24h'!G61)</f>
        <v>0</v>
      </c>
      <c r="H61" s="52">
        <f>AVERAGE('24.08 Bukwo-Suam-24h'!H61,'26.08 Bukwo-Suam-24h'!H61)</f>
        <v>0</v>
      </c>
      <c r="I61" s="52">
        <f>AVERAGE('24.08 Bukwo-Suam-24h'!I61,'26.08 Bukwo-Suam-24h'!I61)</f>
        <v>0</v>
      </c>
      <c r="J61" s="52">
        <f>AVERAGE('24.08 Bukwo-Suam-24h'!J61,'26.08 Bukwo-Suam-24h'!J61)</f>
        <v>0</v>
      </c>
      <c r="K61" s="52">
        <f>AVERAGE('24.08 Bukwo-Suam-24h'!K61,'26.08 Bukwo-Suam-24h'!K61)</f>
        <v>0</v>
      </c>
      <c r="L61" s="52">
        <f>AVERAGE('24.08 Bukwo-Suam-24h'!L61,'26.08 Bukwo-Suam-24h'!L61)</f>
        <v>0</v>
      </c>
      <c r="M61" s="52">
        <f>AVERAGE('24.08 Bukwo-Suam-24h'!M61,'26.08 Bukwo-Suam-24h'!M61)</f>
        <v>7.5</v>
      </c>
      <c r="N61" s="52">
        <f>AVERAGE('24.08 Bukwo-Suam-24h'!N61,'26.08 Bukwo-Suam-24h'!N61)</f>
        <v>0</v>
      </c>
      <c r="O61" s="15">
        <f t="shared" si="0"/>
        <v>0.5</v>
      </c>
      <c r="P61" s="15">
        <f t="shared" si="1"/>
        <v>8</v>
      </c>
      <c r="R61" s="8"/>
      <c r="T61"/>
    </row>
    <row r="62" spans="2:20" ht="23.1" customHeight="1" x14ac:dyDescent="0.25">
      <c r="B62" s="23" t="s">
        <v>107</v>
      </c>
      <c r="C62" s="52">
        <f>AVERAGE('24.08 Bukwo-Suam-24h'!C62,'26.08 Bukwo-Suam-24h'!C62)</f>
        <v>0</v>
      </c>
      <c r="D62" s="52">
        <f>AVERAGE('24.08 Bukwo-Suam-24h'!D62,'26.08 Bukwo-Suam-24h'!D62)</f>
        <v>0</v>
      </c>
      <c r="E62" s="52">
        <f>AVERAGE('24.08 Bukwo-Suam-24h'!E62,'26.08 Bukwo-Suam-24h'!E62)</f>
        <v>0</v>
      </c>
      <c r="F62" s="52">
        <f>AVERAGE('24.08 Bukwo-Suam-24h'!F62,'26.08 Bukwo-Suam-24h'!F62)</f>
        <v>0</v>
      </c>
      <c r="G62" s="52">
        <f>AVERAGE('24.08 Bukwo-Suam-24h'!G62,'26.08 Bukwo-Suam-24h'!G62)</f>
        <v>0</v>
      </c>
      <c r="H62" s="52">
        <f>AVERAGE('24.08 Bukwo-Suam-24h'!H62,'26.08 Bukwo-Suam-24h'!H62)</f>
        <v>0</v>
      </c>
      <c r="I62" s="52">
        <f>AVERAGE('24.08 Bukwo-Suam-24h'!I62,'26.08 Bukwo-Suam-24h'!I62)</f>
        <v>0</v>
      </c>
      <c r="J62" s="52">
        <f>AVERAGE('24.08 Bukwo-Suam-24h'!J62,'26.08 Bukwo-Suam-24h'!J62)</f>
        <v>0</v>
      </c>
      <c r="K62" s="52">
        <f>AVERAGE('24.08 Bukwo-Suam-24h'!K62,'26.08 Bukwo-Suam-24h'!K62)</f>
        <v>0</v>
      </c>
      <c r="L62" s="52">
        <f>AVERAGE('24.08 Bukwo-Suam-24h'!L62,'26.08 Bukwo-Suam-24h'!L62)</f>
        <v>0</v>
      </c>
      <c r="M62" s="52">
        <f>AVERAGE('24.08 Bukwo-Suam-24h'!M62,'26.08 Bukwo-Suam-24h'!M62)</f>
        <v>6.5</v>
      </c>
      <c r="N62" s="52">
        <f>AVERAGE('24.08 Bukwo-Suam-24h'!N62,'26.08 Bukwo-Suam-24h'!N62)</f>
        <v>0</v>
      </c>
      <c r="O62" s="15">
        <f t="shared" si="0"/>
        <v>0</v>
      </c>
      <c r="P62" s="15">
        <f t="shared" si="1"/>
        <v>6.5</v>
      </c>
      <c r="R62" s="8"/>
      <c r="T62"/>
    </row>
    <row r="63" spans="2:20" ht="23.1" customHeight="1" x14ac:dyDescent="0.25">
      <c r="B63" s="23" t="s">
        <v>108</v>
      </c>
      <c r="C63" s="52">
        <f>AVERAGE('24.08 Bukwo-Suam-24h'!C63,'26.08 Bukwo-Suam-24h'!C63)</f>
        <v>0</v>
      </c>
      <c r="D63" s="52">
        <f>AVERAGE('24.08 Bukwo-Suam-24h'!D63,'26.08 Bukwo-Suam-24h'!D63)</f>
        <v>0</v>
      </c>
      <c r="E63" s="52">
        <f>AVERAGE('24.08 Bukwo-Suam-24h'!E63,'26.08 Bukwo-Suam-24h'!E63)</f>
        <v>0</v>
      </c>
      <c r="F63" s="52">
        <f>AVERAGE('24.08 Bukwo-Suam-24h'!F63,'26.08 Bukwo-Suam-24h'!F63)</f>
        <v>0</v>
      </c>
      <c r="G63" s="52">
        <f>AVERAGE('24.08 Bukwo-Suam-24h'!G63,'26.08 Bukwo-Suam-24h'!G63)</f>
        <v>0</v>
      </c>
      <c r="H63" s="52">
        <f>AVERAGE('24.08 Bukwo-Suam-24h'!H63,'26.08 Bukwo-Suam-24h'!H63)</f>
        <v>0</v>
      </c>
      <c r="I63" s="52">
        <f>AVERAGE('24.08 Bukwo-Suam-24h'!I63,'26.08 Bukwo-Suam-24h'!I63)</f>
        <v>0</v>
      </c>
      <c r="J63" s="52">
        <f>AVERAGE('24.08 Bukwo-Suam-24h'!J63,'26.08 Bukwo-Suam-24h'!J63)</f>
        <v>0</v>
      </c>
      <c r="K63" s="52">
        <f>AVERAGE('24.08 Bukwo-Suam-24h'!K63,'26.08 Bukwo-Suam-24h'!K63)</f>
        <v>0</v>
      </c>
      <c r="L63" s="52">
        <f>AVERAGE('24.08 Bukwo-Suam-24h'!L63,'26.08 Bukwo-Suam-24h'!L63)</f>
        <v>0</v>
      </c>
      <c r="M63" s="52">
        <f>AVERAGE('24.08 Bukwo-Suam-24h'!M63,'26.08 Bukwo-Suam-24h'!M63)</f>
        <v>6</v>
      </c>
      <c r="N63" s="52">
        <f>AVERAGE('24.08 Bukwo-Suam-24h'!N63,'26.08 Bukwo-Suam-24h'!N63)</f>
        <v>0</v>
      </c>
      <c r="O63" s="15">
        <f t="shared" si="0"/>
        <v>0</v>
      </c>
      <c r="P63" s="15">
        <f t="shared" si="1"/>
        <v>6</v>
      </c>
      <c r="R63" s="8"/>
      <c r="T63"/>
    </row>
    <row r="64" spans="2:20" ht="23.1" customHeight="1" x14ac:dyDescent="0.25">
      <c r="B64" s="23" t="s">
        <v>109</v>
      </c>
      <c r="C64" s="52">
        <f>AVERAGE('24.08 Bukwo-Suam-24h'!C64,'26.08 Bukwo-Suam-24h'!C64)</f>
        <v>0</v>
      </c>
      <c r="D64" s="52">
        <f>AVERAGE('24.08 Bukwo-Suam-24h'!D64,'26.08 Bukwo-Suam-24h'!D64)</f>
        <v>0</v>
      </c>
      <c r="E64" s="52">
        <f>AVERAGE('24.08 Bukwo-Suam-24h'!E64,'26.08 Bukwo-Suam-24h'!E64)</f>
        <v>0.5</v>
      </c>
      <c r="F64" s="52">
        <f>AVERAGE('24.08 Bukwo-Suam-24h'!F64,'26.08 Bukwo-Suam-24h'!F64)</f>
        <v>0</v>
      </c>
      <c r="G64" s="52">
        <f>AVERAGE('24.08 Bukwo-Suam-24h'!G64,'26.08 Bukwo-Suam-24h'!G64)</f>
        <v>0</v>
      </c>
      <c r="H64" s="52">
        <f>AVERAGE('24.08 Bukwo-Suam-24h'!H64,'26.08 Bukwo-Suam-24h'!H64)</f>
        <v>0</v>
      </c>
      <c r="I64" s="52">
        <f>AVERAGE('24.08 Bukwo-Suam-24h'!I64,'26.08 Bukwo-Suam-24h'!I64)</f>
        <v>0.5</v>
      </c>
      <c r="J64" s="52">
        <f>AVERAGE('24.08 Bukwo-Suam-24h'!J64,'26.08 Bukwo-Suam-24h'!J64)</f>
        <v>0</v>
      </c>
      <c r="K64" s="52">
        <f>AVERAGE('24.08 Bukwo-Suam-24h'!K64,'26.08 Bukwo-Suam-24h'!K64)</f>
        <v>0</v>
      </c>
      <c r="L64" s="52">
        <f>AVERAGE('24.08 Bukwo-Suam-24h'!L64,'26.08 Bukwo-Suam-24h'!L64)</f>
        <v>0</v>
      </c>
      <c r="M64" s="52">
        <f>AVERAGE('24.08 Bukwo-Suam-24h'!M64,'26.08 Bukwo-Suam-24h'!M64)</f>
        <v>3</v>
      </c>
      <c r="N64" s="52">
        <f>AVERAGE('24.08 Bukwo-Suam-24h'!N64,'26.08 Bukwo-Suam-24h'!N64)</f>
        <v>0</v>
      </c>
      <c r="O64" s="15">
        <f t="shared" si="0"/>
        <v>1</v>
      </c>
      <c r="P64" s="15">
        <f t="shared" si="1"/>
        <v>4</v>
      </c>
      <c r="R64" s="8"/>
      <c r="T64"/>
    </row>
    <row r="65" spans="2:20" ht="23.1" customHeight="1" x14ac:dyDescent="0.25">
      <c r="B65" s="23" t="s">
        <v>158</v>
      </c>
      <c r="C65" s="52">
        <f>AVERAGE('24.08 Bukwo-Suam-24h'!C65,'26.08 Bukwo-Suam-24h'!C65)</f>
        <v>0</v>
      </c>
      <c r="D65" s="52">
        <f>AVERAGE('24.08 Bukwo-Suam-24h'!D65,'26.08 Bukwo-Suam-24h'!D65)</f>
        <v>0</v>
      </c>
      <c r="E65" s="52">
        <f>AVERAGE('24.08 Bukwo-Suam-24h'!E65,'26.08 Bukwo-Suam-24h'!E65)</f>
        <v>0.5</v>
      </c>
      <c r="F65" s="52">
        <f>AVERAGE('24.08 Bukwo-Suam-24h'!F65,'26.08 Bukwo-Suam-24h'!F65)</f>
        <v>0</v>
      </c>
      <c r="G65" s="52">
        <f>AVERAGE('24.08 Bukwo-Suam-24h'!G65,'26.08 Bukwo-Suam-24h'!G65)</f>
        <v>0</v>
      </c>
      <c r="H65" s="52">
        <f>AVERAGE('24.08 Bukwo-Suam-24h'!H65,'26.08 Bukwo-Suam-24h'!H65)</f>
        <v>0</v>
      </c>
      <c r="I65" s="52">
        <f>AVERAGE('24.08 Bukwo-Suam-24h'!I65,'26.08 Bukwo-Suam-24h'!I65)</f>
        <v>0</v>
      </c>
      <c r="J65" s="52">
        <f>AVERAGE('24.08 Bukwo-Suam-24h'!J65,'26.08 Bukwo-Suam-24h'!J65)</f>
        <v>0</v>
      </c>
      <c r="K65" s="52">
        <f>AVERAGE('24.08 Bukwo-Suam-24h'!K65,'26.08 Bukwo-Suam-24h'!K65)</f>
        <v>0</v>
      </c>
      <c r="L65" s="52">
        <f>AVERAGE('24.08 Bukwo-Suam-24h'!L65,'26.08 Bukwo-Suam-24h'!L65)</f>
        <v>0</v>
      </c>
      <c r="M65" s="52">
        <f>AVERAGE('24.08 Bukwo-Suam-24h'!M65,'26.08 Bukwo-Suam-24h'!M65)</f>
        <v>9</v>
      </c>
      <c r="N65" s="52">
        <f>AVERAGE('24.08 Bukwo-Suam-24h'!N65,'26.08 Bukwo-Suam-24h'!N65)</f>
        <v>0</v>
      </c>
      <c r="O65" s="15">
        <f t="shared" si="0"/>
        <v>0.5</v>
      </c>
      <c r="P65" s="15">
        <f t="shared" si="1"/>
        <v>9.5</v>
      </c>
      <c r="R65" s="8"/>
      <c r="T65"/>
    </row>
    <row r="66" spans="2:20" ht="23.1" customHeight="1" x14ac:dyDescent="0.25">
      <c r="B66" s="23" t="s">
        <v>103</v>
      </c>
      <c r="C66" s="52">
        <f>AVERAGE('24.08 Bukwo-Suam-24h'!C66,'26.08 Bukwo-Suam-24h'!C66)</f>
        <v>0</v>
      </c>
      <c r="D66" s="52">
        <f>AVERAGE('24.08 Bukwo-Suam-24h'!D66,'26.08 Bukwo-Suam-24h'!D66)</f>
        <v>0</v>
      </c>
      <c r="E66" s="52">
        <f>AVERAGE('24.08 Bukwo-Suam-24h'!E66,'26.08 Bukwo-Suam-24h'!E66)</f>
        <v>0</v>
      </c>
      <c r="F66" s="52">
        <f>AVERAGE('24.08 Bukwo-Suam-24h'!F66,'26.08 Bukwo-Suam-24h'!F66)</f>
        <v>0</v>
      </c>
      <c r="G66" s="52">
        <f>AVERAGE('24.08 Bukwo-Suam-24h'!G66,'26.08 Bukwo-Suam-24h'!G66)</f>
        <v>0</v>
      </c>
      <c r="H66" s="52">
        <f>AVERAGE('24.08 Bukwo-Suam-24h'!H66,'26.08 Bukwo-Suam-24h'!H66)</f>
        <v>0</v>
      </c>
      <c r="I66" s="52">
        <f>AVERAGE('24.08 Bukwo-Suam-24h'!I66,'26.08 Bukwo-Suam-24h'!I66)</f>
        <v>0.5</v>
      </c>
      <c r="J66" s="52">
        <f>AVERAGE('24.08 Bukwo-Suam-24h'!J66,'26.08 Bukwo-Suam-24h'!J66)</f>
        <v>0</v>
      </c>
      <c r="K66" s="52">
        <f>AVERAGE('24.08 Bukwo-Suam-24h'!K66,'26.08 Bukwo-Suam-24h'!K66)</f>
        <v>0</v>
      </c>
      <c r="L66" s="52">
        <f>AVERAGE('24.08 Bukwo-Suam-24h'!L66,'26.08 Bukwo-Suam-24h'!L66)</f>
        <v>0</v>
      </c>
      <c r="M66" s="52">
        <f>AVERAGE('24.08 Bukwo-Suam-24h'!M66,'26.08 Bukwo-Suam-24h'!M66)</f>
        <v>5</v>
      </c>
      <c r="N66" s="52">
        <f>AVERAGE('24.08 Bukwo-Suam-24h'!N66,'26.08 Bukwo-Suam-24h'!N66)</f>
        <v>0</v>
      </c>
      <c r="O66" s="15">
        <f t="shared" si="0"/>
        <v>0.5</v>
      </c>
      <c r="P66" s="15">
        <f t="shared" si="1"/>
        <v>5.5</v>
      </c>
      <c r="R66" s="8"/>
      <c r="T66"/>
    </row>
    <row r="67" spans="2:20" ht="23.1" customHeight="1" x14ac:dyDescent="0.25">
      <c r="B67" s="23" t="s">
        <v>104</v>
      </c>
      <c r="C67" s="52">
        <f>AVERAGE('24.08 Bukwo-Suam-24h'!C67,'26.08 Bukwo-Suam-24h'!C67)</f>
        <v>0</v>
      </c>
      <c r="D67" s="52">
        <f>AVERAGE('24.08 Bukwo-Suam-24h'!D67,'26.08 Bukwo-Suam-24h'!D67)</f>
        <v>0</v>
      </c>
      <c r="E67" s="52">
        <f>AVERAGE('24.08 Bukwo-Suam-24h'!E67,'26.08 Bukwo-Suam-24h'!E67)</f>
        <v>0</v>
      </c>
      <c r="F67" s="52">
        <f>AVERAGE('24.08 Bukwo-Suam-24h'!F67,'26.08 Bukwo-Suam-24h'!F67)</f>
        <v>0</v>
      </c>
      <c r="G67" s="52">
        <f>AVERAGE('24.08 Bukwo-Suam-24h'!G67,'26.08 Bukwo-Suam-24h'!G67)</f>
        <v>0</v>
      </c>
      <c r="H67" s="52">
        <f>AVERAGE('24.08 Bukwo-Suam-24h'!H67,'26.08 Bukwo-Suam-24h'!H67)</f>
        <v>0</v>
      </c>
      <c r="I67" s="52">
        <f>AVERAGE('24.08 Bukwo-Suam-24h'!I67,'26.08 Bukwo-Suam-24h'!I67)</f>
        <v>0.5</v>
      </c>
      <c r="J67" s="52">
        <f>AVERAGE('24.08 Bukwo-Suam-24h'!J67,'26.08 Bukwo-Suam-24h'!J67)</f>
        <v>0</v>
      </c>
      <c r="K67" s="52">
        <f>AVERAGE('24.08 Bukwo-Suam-24h'!K67,'26.08 Bukwo-Suam-24h'!K67)</f>
        <v>0</v>
      </c>
      <c r="L67" s="52">
        <f>AVERAGE('24.08 Bukwo-Suam-24h'!L67,'26.08 Bukwo-Suam-24h'!L67)</f>
        <v>0</v>
      </c>
      <c r="M67" s="52">
        <f>AVERAGE('24.08 Bukwo-Suam-24h'!M67,'26.08 Bukwo-Suam-24h'!M67)</f>
        <v>5.5</v>
      </c>
      <c r="N67" s="52">
        <f>AVERAGE('24.08 Bukwo-Suam-24h'!N67,'26.08 Bukwo-Suam-24h'!N67)</f>
        <v>0</v>
      </c>
      <c r="O67" s="15">
        <f t="shared" si="0"/>
        <v>0.5</v>
      </c>
      <c r="P67" s="15">
        <f t="shared" si="1"/>
        <v>6</v>
      </c>
      <c r="R67" s="8"/>
      <c r="T67"/>
    </row>
    <row r="68" spans="2:20" ht="23.1" customHeight="1" x14ac:dyDescent="0.25">
      <c r="B68" s="23" t="s">
        <v>105</v>
      </c>
      <c r="C68" s="52">
        <f>AVERAGE('24.08 Bukwo-Suam-24h'!C68,'26.08 Bukwo-Suam-24h'!C68)</f>
        <v>0.5</v>
      </c>
      <c r="D68" s="52">
        <f>AVERAGE('24.08 Bukwo-Suam-24h'!D68,'26.08 Bukwo-Suam-24h'!D68)</f>
        <v>0</v>
      </c>
      <c r="E68" s="52">
        <f>AVERAGE('24.08 Bukwo-Suam-24h'!E68,'26.08 Bukwo-Suam-24h'!E68)</f>
        <v>1</v>
      </c>
      <c r="F68" s="52">
        <f>AVERAGE('24.08 Bukwo-Suam-24h'!F68,'26.08 Bukwo-Suam-24h'!F68)</f>
        <v>0</v>
      </c>
      <c r="G68" s="52">
        <f>AVERAGE('24.08 Bukwo-Suam-24h'!G68,'26.08 Bukwo-Suam-24h'!G68)</f>
        <v>0</v>
      </c>
      <c r="H68" s="52">
        <f>AVERAGE('24.08 Bukwo-Suam-24h'!H68,'26.08 Bukwo-Suam-24h'!H68)</f>
        <v>0</v>
      </c>
      <c r="I68" s="52">
        <f>AVERAGE('24.08 Bukwo-Suam-24h'!I68,'26.08 Bukwo-Suam-24h'!I68)</f>
        <v>1</v>
      </c>
      <c r="J68" s="52">
        <f>AVERAGE('24.08 Bukwo-Suam-24h'!J68,'26.08 Bukwo-Suam-24h'!J68)</f>
        <v>0</v>
      </c>
      <c r="K68" s="52">
        <f>AVERAGE('24.08 Bukwo-Suam-24h'!K68,'26.08 Bukwo-Suam-24h'!K68)</f>
        <v>0</v>
      </c>
      <c r="L68" s="52">
        <f>AVERAGE('24.08 Bukwo-Suam-24h'!L68,'26.08 Bukwo-Suam-24h'!L68)</f>
        <v>0</v>
      </c>
      <c r="M68" s="52">
        <f>AVERAGE('24.08 Bukwo-Suam-24h'!M68,'26.08 Bukwo-Suam-24h'!M68)</f>
        <v>11</v>
      </c>
      <c r="N68" s="52">
        <f>AVERAGE('24.08 Bukwo-Suam-24h'!N68,'26.08 Bukwo-Suam-24h'!N68)</f>
        <v>0</v>
      </c>
      <c r="O68" s="15">
        <f t="shared" si="0"/>
        <v>2.5</v>
      </c>
      <c r="P68" s="15">
        <f t="shared" si="1"/>
        <v>13.5</v>
      </c>
      <c r="R68" s="8"/>
      <c r="T68"/>
    </row>
    <row r="69" spans="2:20" ht="23.1" customHeight="1" x14ac:dyDescent="0.25">
      <c r="B69" s="23" t="s">
        <v>106</v>
      </c>
      <c r="C69" s="52">
        <f>AVERAGE('24.08 Bukwo-Suam-24h'!C69,'26.08 Bukwo-Suam-24h'!C69)</f>
        <v>0</v>
      </c>
      <c r="D69" s="52">
        <f>AVERAGE('24.08 Bukwo-Suam-24h'!D69,'26.08 Bukwo-Suam-24h'!D69)</f>
        <v>0</v>
      </c>
      <c r="E69" s="52">
        <f>AVERAGE('24.08 Bukwo-Suam-24h'!E69,'26.08 Bukwo-Suam-24h'!E69)</f>
        <v>0</v>
      </c>
      <c r="F69" s="52">
        <f>AVERAGE('24.08 Bukwo-Suam-24h'!F69,'26.08 Bukwo-Suam-24h'!F69)</f>
        <v>0</v>
      </c>
      <c r="G69" s="52">
        <f>AVERAGE('24.08 Bukwo-Suam-24h'!G69,'26.08 Bukwo-Suam-24h'!G69)</f>
        <v>0</v>
      </c>
      <c r="H69" s="52">
        <f>AVERAGE('24.08 Bukwo-Suam-24h'!H69,'26.08 Bukwo-Suam-24h'!H69)</f>
        <v>0</v>
      </c>
      <c r="I69" s="52">
        <f>AVERAGE('24.08 Bukwo-Suam-24h'!I69,'26.08 Bukwo-Suam-24h'!I69)</f>
        <v>0</v>
      </c>
      <c r="J69" s="52">
        <f>AVERAGE('24.08 Bukwo-Suam-24h'!J69,'26.08 Bukwo-Suam-24h'!J69)</f>
        <v>0</v>
      </c>
      <c r="K69" s="52">
        <f>AVERAGE('24.08 Bukwo-Suam-24h'!K69,'26.08 Bukwo-Suam-24h'!K69)</f>
        <v>0</v>
      </c>
      <c r="L69" s="52">
        <f>AVERAGE('24.08 Bukwo-Suam-24h'!L69,'26.08 Bukwo-Suam-24h'!L69)</f>
        <v>0</v>
      </c>
      <c r="M69" s="52">
        <f>AVERAGE('24.08 Bukwo-Suam-24h'!M69,'26.08 Bukwo-Suam-24h'!M69)</f>
        <v>4</v>
      </c>
      <c r="N69" s="52">
        <f>AVERAGE('24.08 Bukwo-Suam-24h'!N69,'26.08 Bukwo-Suam-24h'!N69)</f>
        <v>0</v>
      </c>
      <c r="O69" s="15">
        <f t="shared" si="0"/>
        <v>0</v>
      </c>
      <c r="P69" s="15">
        <f t="shared" si="1"/>
        <v>4</v>
      </c>
      <c r="R69" s="8"/>
      <c r="T69"/>
    </row>
    <row r="70" spans="2:20" ht="23.1" customHeight="1" x14ac:dyDescent="0.25">
      <c r="B70" s="23" t="s">
        <v>110</v>
      </c>
      <c r="C70" s="52">
        <f>AVERAGE('24.08 Bukwo-Suam-24h'!C70,'26.08 Bukwo-Suam-24h'!C70)</f>
        <v>0.5</v>
      </c>
      <c r="D70" s="52">
        <f>AVERAGE('24.08 Bukwo-Suam-24h'!D70,'26.08 Bukwo-Suam-24h'!D70)</f>
        <v>0</v>
      </c>
      <c r="E70" s="52">
        <f>AVERAGE('24.08 Bukwo-Suam-24h'!E70,'26.08 Bukwo-Suam-24h'!E70)</f>
        <v>0</v>
      </c>
      <c r="F70" s="52">
        <f>AVERAGE('24.08 Bukwo-Suam-24h'!F70,'26.08 Bukwo-Suam-24h'!F70)</f>
        <v>0</v>
      </c>
      <c r="G70" s="52">
        <f>AVERAGE('24.08 Bukwo-Suam-24h'!G70,'26.08 Bukwo-Suam-24h'!G70)</f>
        <v>0</v>
      </c>
      <c r="H70" s="52">
        <f>AVERAGE('24.08 Bukwo-Suam-24h'!H70,'26.08 Bukwo-Suam-24h'!H70)</f>
        <v>0</v>
      </c>
      <c r="I70" s="52">
        <f>AVERAGE('24.08 Bukwo-Suam-24h'!I70,'26.08 Bukwo-Suam-24h'!I70)</f>
        <v>0</v>
      </c>
      <c r="J70" s="52">
        <f>AVERAGE('24.08 Bukwo-Suam-24h'!J70,'26.08 Bukwo-Suam-24h'!J70)</f>
        <v>0</v>
      </c>
      <c r="K70" s="52">
        <f>AVERAGE('24.08 Bukwo-Suam-24h'!K70,'26.08 Bukwo-Suam-24h'!K70)</f>
        <v>0</v>
      </c>
      <c r="L70" s="52">
        <f>AVERAGE('24.08 Bukwo-Suam-24h'!L70,'26.08 Bukwo-Suam-24h'!L70)</f>
        <v>0</v>
      </c>
      <c r="M70" s="52">
        <f>AVERAGE('24.08 Bukwo-Suam-24h'!M70,'26.08 Bukwo-Suam-24h'!M70)</f>
        <v>11</v>
      </c>
      <c r="N70" s="52">
        <f>AVERAGE('24.08 Bukwo-Suam-24h'!N70,'26.08 Bukwo-Suam-24h'!N70)</f>
        <v>0</v>
      </c>
      <c r="O70" s="15">
        <f t="shared" si="0"/>
        <v>0.5</v>
      </c>
      <c r="P70" s="15">
        <f t="shared" si="1"/>
        <v>11.5</v>
      </c>
      <c r="R70" s="8"/>
      <c r="T70"/>
    </row>
    <row r="71" spans="2:20" ht="23.1" customHeight="1" x14ac:dyDescent="0.25">
      <c r="B71" s="23" t="s">
        <v>111</v>
      </c>
      <c r="C71" s="52">
        <f>AVERAGE('24.08 Bukwo-Suam-24h'!C71,'26.08 Bukwo-Suam-24h'!C71)</f>
        <v>0</v>
      </c>
      <c r="D71" s="52">
        <f>AVERAGE('24.08 Bukwo-Suam-24h'!D71,'26.08 Bukwo-Suam-24h'!D71)</f>
        <v>0</v>
      </c>
      <c r="E71" s="52">
        <f>AVERAGE('24.08 Bukwo-Suam-24h'!E71,'26.08 Bukwo-Suam-24h'!E71)</f>
        <v>0</v>
      </c>
      <c r="F71" s="52">
        <f>AVERAGE('24.08 Bukwo-Suam-24h'!F71,'26.08 Bukwo-Suam-24h'!F71)</f>
        <v>0</v>
      </c>
      <c r="G71" s="52">
        <f>AVERAGE('24.08 Bukwo-Suam-24h'!G71,'26.08 Bukwo-Suam-24h'!G71)</f>
        <v>0</v>
      </c>
      <c r="H71" s="52">
        <f>AVERAGE('24.08 Bukwo-Suam-24h'!H71,'26.08 Bukwo-Suam-24h'!H71)</f>
        <v>0</v>
      </c>
      <c r="I71" s="52">
        <f>AVERAGE('24.08 Bukwo-Suam-24h'!I71,'26.08 Bukwo-Suam-24h'!I71)</f>
        <v>0</v>
      </c>
      <c r="J71" s="52">
        <f>AVERAGE('24.08 Bukwo-Suam-24h'!J71,'26.08 Bukwo-Suam-24h'!J71)</f>
        <v>0</v>
      </c>
      <c r="K71" s="52">
        <f>AVERAGE('24.08 Bukwo-Suam-24h'!K71,'26.08 Bukwo-Suam-24h'!K71)</f>
        <v>0</v>
      </c>
      <c r="L71" s="52">
        <f>AVERAGE('24.08 Bukwo-Suam-24h'!L71,'26.08 Bukwo-Suam-24h'!L71)</f>
        <v>0</v>
      </c>
      <c r="M71" s="52">
        <f>AVERAGE('24.08 Bukwo-Suam-24h'!M71,'26.08 Bukwo-Suam-24h'!M71)</f>
        <v>6.5</v>
      </c>
      <c r="N71" s="52">
        <f>AVERAGE('24.08 Bukwo-Suam-24h'!N71,'26.08 Bukwo-Suam-24h'!N71)</f>
        <v>0</v>
      </c>
      <c r="O71" s="15">
        <f t="shared" si="0"/>
        <v>0</v>
      </c>
      <c r="P71" s="15">
        <f t="shared" si="1"/>
        <v>6.5</v>
      </c>
      <c r="R71" s="8"/>
      <c r="T71"/>
    </row>
    <row r="72" spans="2:20" ht="23.1" customHeight="1" x14ac:dyDescent="0.25">
      <c r="B72" s="23" t="s">
        <v>112</v>
      </c>
      <c r="C72" s="52">
        <f>AVERAGE('24.08 Bukwo-Suam-24h'!C72,'26.08 Bukwo-Suam-24h'!C72)</f>
        <v>0</v>
      </c>
      <c r="D72" s="52">
        <f>AVERAGE('24.08 Bukwo-Suam-24h'!D72,'26.08 Bukwo-Suam-24h'!D72)</f>
        <v>0</v>
      </c>
      <c r="E72" s="52">
        <f>AVERAGE('24.08 Bukwo-Suam-24h'!E72,'26.08 Bukwo-Suam-24h'!E72)</f>
        <v>0</v>
      </c>
      <c r="F72" s="52">
        <f>AVERAGE('24.08 Bukwo-Suam-24h'!F72,'26.08 Bukwo-Suam-24h'!F72)</f>
        <v>0</v>
      </c>
      <c r="G72" s="52">
        <f>AVERAGE('24.08 Bukwo-Suam-24h'!G72,'26.08 Bukwo-Suam-24h'!G72)</f>
        <v>0</v>
      </c>
      <c r="H72" s="52">
        <f>AVERAGE('24.08 Bukwo-Suam-24h'!H72,'26.08 Bukwo-Suam-24h'!H72)</f>
        <v>0</v>
      </c>
      <c r="I72" s="52">
        <f>AVERAGE('24.08 Bukwo-Suam-24h'!I72,'26.08 Bukwo-Suam-24h'!I72)</f>
        <v>0</v>
      </c>
      <c r="J72" s="52">
        <f>AVERAGE('24.08 Bukwo-Suam-24h'!J72,'26.08 Bukwo-Suam-24h'!J72)</f>
        <v>0</v>
      </c>
      <c r="K72" s="52">
        <f>AVERAGE('24.08 Bukwo-Suam-24h'!K72,'26.08 Bukwo-Suam-24h'!K72)</f>
        <v>0</v>
      </c>
      <c r="L72" s="52">
        <f>AVERAGE('24.08 Bukwo-Suam-24h'!L72,'26.08 Bukwo-Suam-24h'!L72)</f>
        <v>0</v>
      </c>
      <c r="M72" s="52">
        <f>AVERAGE('24.08 Bukwo-Suam-24h'!M72,'26.08 Bukwo-Suam-24h'!M72)</f>
        <v>6.5</v>
      </c>
      <c r="N72" s="52">
        <f>AVERAGE('24.08 Bukwo-Suam-24h'!N72,'26.08 Bukwo-Suam-24h'!N72)</f>
        <v>0</v>
      </c>
      <c r="O72" s="15">
        <f t="shared" si="0"/>
        <v>0</v>
      </c>
      <c r="P72" s="15">
        <f t="shared" si="1"/>
        <v>6.5</v>
      </c>
      <c r="R72" s="8"/>
      <c r="T72"/>
    </row>
    <row r="73" spans="2:20" ht="23.1" customHeight="1" x14ac:dyDescent="0.25">
      <c r="B73" s="23" t="s">
        <v>113</v>
      </c>
      <c r="C73" s="52">
        <f>AVERAGE('24.08 Bukwo-Suam-24h'!C73,'26.08 Bukwo-Suam-24h'!C73)</f>
        <v>0</v>
      </c>
      <c r="D73" s="52">
        <f>AVERAGE('24.08 Bukwo-Suam-24h'!D73,'26.08 Bukwo-Suam-24h'!D73)</f>
        <v>0</v>
      </c>
      <c r="E73" s="52">
        <f>AVERAGE('24.08 Bukwo-Suam-24h'!E73,'26.08 Bukwo-Suam-24h'!E73)</f>
        <v>0</v>
      </c>
      <c r="F73" s="52">
        <f>AVERAGE('24.08 Bukwo-Suam-24h'!F73,'26.08 Bukwo-Suam-24h'!F73)</f>
        <v>0</v>
      </c>
      <c r="G73" s="52">
        <f>AVERAGE('24.08 Bukwo-Suam-24h'!G73,'26.08 Bukwo-Suam-24h'!G73)</f>
        <v>0</v>
      </c>
      <c r="H73" s="52">
        <f>AVERAGE('24.08 Bukwo-Suam-24h'!H73,'26.08 Bukwo-Suam-24h'!H73)</f>
        <v>0</v>
      </c>
      <c r="I73" s="52">
        <f>AVERAGE('24.08 Bukwo-Suam-24h'!I73,'26.08 Bukwo-Suam-24h'!I73)</f>
        <v>0</v>
      </c>
      <c r="J73" s="52">
        <f>AVERAGE('24.08 Bukwo-Suam-24h'!J73,'26.08 Bukwo-Suam-24h'!J73)</f>
        <v>0</v>
      </c>
      <c r="K73" s="52">
        <f>AVERAGE('24.08 Bukwo-Suam-24h'!K73,'26.08 Bukwo-Suam-24h'!K73)</f>
        <v>0</v>
      </c>
      <c r="L73" s="52">
        <f>AVERAGE('24.08 Bukwo-Suam-24h'!L73,'26.08 Bukwo-Suam-24h'!L73)</f>
        <v>0</v>
      </c>
      <c r="M73" s="52">
        <f>AVERAGE('24.08 Bukwo-Suam-24h'!M73,'26.08 Bukwo-Suam-24h'!M73)</f>
        <v>1</v>
      </c>
      <c r="N73" s="52">
        <f>AVERAGE('24.08 Bukwo-Suam-24h'!N73,'26.08 Bukwo-Suam-24h'!N73)</f>
        <v>0</v>
      </c>
      <c r="O73" s="15">
        <f t="shared" si="0"/>
        <v>0</v>
      </c>
      <c r="P73" s="15">
        <f t="shared" si="1"/>
        <v>1</v>
      </c>
      <c r="R73" s="8"/>
      <c r="T73"/>
    </row>
    <row r="74" spans="2:20" ht="23.1" customHeight="1" x14ac:dyDescent="0.25">
      <c r="B74" s="23" t="s">
        <v>114</v>
      </c>
      <c r="C74" s="52">
        <f>AVERAGE('24.08 Bukwo-Suam-24h'!C74,'26.08 Bukwo-Suam-24h'!C74)</f>
        <v>0</v>
      </c>
      <c r="D74" s="52">
        <f>AVERAGE('24.08 Bukwo-Suam-24h'!D74,'26.08 Bukwo-Suam-24h'!D74)</f>
        <v>0</v>
      </c>
      <c r="E74" s="52">
        <f>AVERAGE('24.08 Bukwo-Suam-24h'!E74,'26.08 Bukwo-Suam-24h'!E74)</f>
        <v>0</v>
      </c>
      <c r="F74" s="52">
        <f>AVERAGE('24.08 Bukwo-Suam-24h'!F74,'26.08 Bukwo-Suam-24h'!F74)</f>
        <v>0</v>
      </c>
      <c r="G74" s="52">
        <f>AVERAGE('24.08 Bukwo-Suam-24h'!G74,'26.08 Bukwo-Suam-24h'!G74)</f>
        <v>0</v>
      </c>
      <c r="H74" s="52">
        <f>AVERAGE('24.08 Bukwo-Suam-24h'!H74,'26.08 Bukwo-Suam-24h'!H74)</f>
        <v>0</v>
      </c>
      <c r="I74" s="52">
        <f>AVERAGE('24.08 Bukwo-Suam-24h'!I74,'26.08 Bukwo-Suam-24h'!I74)</f>
        <v>0</v>
      </c>
      <c r="J74" s="52">
        <f>AVERAGE('24.08 Bukwo-Suam-24h'!J74,'26.08 Bukwo-Suam-24h'!J74)</f>
        <v>0</v>
      </c>
      <c r="K74" s="52">
        <f>AVERAGE('24.08 Bukwo-Suam-24h'!K74,'26.08 Bukwo-Suam-24h'!K74)</f>
        <v>0</v>
      </c>
      <c r="L74" s="52">
        <f>AVERAGE('24.08 Bukwo-Suam-24h'!L74,'26.08 Bukwo-Suam-24h'!L74)</f>
        <v>0</v>
      </c>
      <c r="M74" s="52">
        <f>AVERAGE('24.08 Bukwo-Suam-24h'!M74,'26.08 Bukwo-Suam-24h'!M74)</f>
        <v>3</v>
      </c>
      <c r="N74" s="52">
        <f>AVERAGE('24.08 Bukwo-Suam-24h'!N74,'26.08 Bukwo-Suam-24h'!N74)</f>
        <v>0</v>
      </c>
      <c r="O74" s="15">
        <f t="shared" ref="O74:O105" si="35">SUM(C74:L74,N74)</f>
        <v>0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52">
        <f>AVERAGE('24.08 Bukwo-Suam-24h'!C75,'26.08 Bukwo-Suam-24h'!C75)</f>
        <v>0</v>
      </c>
      <c r="D75" s="52">
        <f>AVERAGE('24.08 Bukwo-Suam-24h'!D75,'26.08 Bukwo-Suam-24h'!D75)</f>
        <v>0</v>
      </c>
      <c r="E75" s="52">
        <f>AVERAGE('24.08 Bukwo-Suam-24h'!E75,'26.08 Bukwo-Suam-24h'!E75)</f>
        <v>0</v>
      </c>
      <c r="F75" s="52">
        <f>AVERAGE('24.08 Bukwo-Suam-24h'!F75,'26.08 Bukwo-Suam-24h'!F75)</f>
        <v>0</v>
      </c>
      <c r="G75" s="52">
        <f>AVERAGE('24.08 Bukwo-Suam-24h'!G75,'26.08 Bukwo-Suam-24h'!G75)</f>
        <v>0</v>
      </c>
      <c r="H75" s="52">
        <f>AVERAGE('24.08 Bukwo-Suam-24h'!H75,'26.08 Bukwo-Suam-24h'!H75)</f>
        <v>0</v>
      </c>
      <c r="I75" s="52">
        <f>AVERAGE('24.08 Bukwo-Suam-24h'!I75,'26.08 Bukwo-Suam-24h'!I75)</f>
        <v>0</v>
      </c>
      <c r="J75" s="52">
        <f>AVERAGE('24.08 Bukwo-Suam-24h'!J75,'26.08 Bukwo-Suam-24h'!J75)</f>
        <v>0</v>
      </c>
      <c r="K75" s="52">
        <f>AVERAGE('24.08 Bukwo-Suam-24h'!K75,'26.08 Bukwo-Suam-24h'!K75)</f>
        <v>0</v>
      </c>
      <c r="L75" s="52">
        <f>AVERAGE('24.08 Bukwo-Suam-24h'!L75,'26.08 Bukwo-Suam-24h'!L75)</f>
        <v>0</v>
      </c>
      <c r="M75" s="52">
        <f>AVERAGE('24.08 Bukwo-Suam-24h'!M75,'26.08 Bukwo-Suam-24h'!M75)</f>
        <v>0.5</v>
      </c>
      <c r="N75" s="52">
        <f>AVERAGE('24.08 Bukwo-Suam-24h'!N75,'26.08 Bukwo-Suam-24h'!N75)</f>
        <v>0</v>
      </c>
      <c r="O75" s="15">
        <f t="shared" si="35"/>
        <v>0</v>
      </c>
      <c r="P75" s="15">
        <f t="shared" si="36"/>
        <v>0.5</v>
      </c>
      <c r="R75" s="8"/>
      <c r="T75"/>
    </row>
    <row r="76" spans="2:20" ht="23.1" customHeight="1" x14ac:dyDescent="0.25">
      <c r="B76" s="23" t="s">
        <v>116</v>
      </c>
      <c r="C76" s="52">
        <f>AVERAGE('24.08 Bukwo-Suam-24h'!C76,'26.08 Bukwo-Suam-24h'!C76)</f>
        <v>0</v>
      </c>
      <c r="D76" s="52">
        <f>AVERAGE('24.08 Bukwo-Suam-24h'!D76,'26.08 Bukwo-Suam-24h'!D76)</f>
        <v>0</v>
      </c>
      <c r="E76" s="52">
        <f>AVERAGE('24.08 Bukwo-Suam-24h'!E76,'26.08 Bukwo-Suam-24h'!E76)</f>
        <v>0</v>
      </c>
      <c r="F76" s="52">
        <f>AVERAGE('24.08 Bukwo-Suam-24h'!F76,'26.08 Bukwo-Suam-24h'!F76)</f>
        <v>0</v>
      </c>
      <c r="G76" s="52">
        <f>AVERAGE('24.08 Bukwo-Suam-24h'!G76,'26.08 Bukwo-Suam-24h'!G76)</f>
        <v>0</v>
      </c>
      <c r="H76" s="52">
        <f>AVERAGE('24.08 Bukwo-Suam-24h'!H76,'26.08 Bukwo-Suam-24h'!H76)</f>
        <v>0</v>
      </c>
      <c r="I76" s="52">
        <f>AVERAGE('24.08 Bukwo-Suam-24h'!I76,'26.08 Bukwo-Suam-24h'!I76)</f>
        <v>0.5</v>
      </c>
      <c r="J76" s="52">
        <f>AVERAGE('24.08 Bukwo-Suam-24h'!J76,'26.08 Bukwo-Suam-24h'!J76)</f>
        <v>0</v>
      </c>
      <c r="K76" s="52">
        <f>AVERAGE('24.08 Bukwo-Suam-24h'!K76,'26.08 Bukwo-Suam-24h'!K76)</f>
        <v>0</v>
      </c>
      <c r="L76" s="52">
        <f>AVERAGE('24.08 Bukwo-Suam-24h'!L76,'26.08 Bukwo-Suam-24h'!L76)</f>
        <v>0</v>
      </c>
      <c r="M76" s="52">
        <f>AVERAGE('24.08 Bukwo-Suam-24h'!M76,'26.08 Bukwo-Suam-24h'!M76)</f>
        <v>2</v>
      </c>
      <c r="N76" s="52">
        <f>AVERAGE('24.08 Bukwo-Suam-24h'!N76,'26.08 Bukwo-Suam-24h'!N76)</f>
        <v>0</v>
      </c>
      <c r="O76" s="15">
        <f t="shared" si="35"/>
        <v>0.5</v>
      </c>
      <c r="P76" s="15">
        <f t="shared" si="36"/>
        <v>2.5</v>
      </c>
      <c r="R76" s="8"/>
      <c r="T76"/>
    </row>
    <row r="77" spans="2:20" ht="23.1" customHeight="1" x14ac:dyDescent="0.25">
      <c r="B77" s="23" t="s">
        <v>117</v>
      </c>
      <c r="C77" s="52">
        <f>AVERAGE('24.08 Bukwo-Suam-24h'!C77,'26.08 Bukwo-Suam-24h'!C77)</f>
        <v>0</v>
      </c>
      <c r="D77" s="52">
        <f>AVERAGE('24.08 Bukwo-Suam-24h'!D77,'26.08 Bukwo-Suam-24h'!D77)</f>
        <v>0</v>
      </c>
      <c r="E77" s="52">
        <f>AVERAGE('24.08 Bukwo-Suam-24h'!E77,'26.08 Bukwo-Suam-24h'!E77)</f>
        <v>0</v>
      </c>
      <c r="F77" s="52">
        <f>AVERAGE('24.08 Bukwo-Suam-24h'!F77,'26.08 Bukwo-Suam-24h'!F77)</f>
        <v>0</v>
      </c>
      <c r="G77" s="52">
        <f>AVERAGE('24.08 Bukwo-Suam-24h'!G77,'26.08 Bukwo-Suam-24h'!G77)</f>
        <v>0</v>
      </c>
      <c r="H77" s="52">
        <f>AVERAGE('24.08 Bukwo-Suam-24h'!H77,'26.08 Bukwo-Suam-24h'!H77)</f>
        <v>0</v>
      </c>
      <c r="I77" s="52">
        <f>AVERAGE('24.08 Bukwo-Suam-24h'!I77,'26.08 Bukwo-Suam-24h'!I77)</f>
        <v>0</v>
      </c>
      <c r="J77" s="52">
        <f>AVERAGE('24.08 Bukwo-Suam-24h'!J77,'26.08 Bukwo-Suam-24h'!J77)</f>
        <v>0</v>
      </c>
      <c r="K77" s="52">
        <f>AVERAGE('24.08 Bukwo-Suam-24h'!K77,'26.08 Bukwo-Suam-24h'!K77)</f>
        <v>0</v>
      </c>
      <c r="L77" s="52">
        <f>AVERAGE('24.08 Bukwo-Suam-24h'!L77,'26.08 Bukwo-Suam-24h'!L77)</f>
        <v>0</v>
      </c>
      <c r="M77" s="52">
        <f>AVERAGE('24.08 Bukwo-Suam-24h'!M77,'26.08 Bukwo-Suam-24h'!M77)</f>
        <v>4</v>
      </c>
      <c r="N77" s="52">
        <f>AVERAGE('24.08 Bukwo-Suam-24h'!N77,'26.08 Bukwo-Suam-24h'!N77)</f>
        <v>0</v>
      </c>
      <c r="O77" s="15">
        <f t="shared" si="35"/>
        <v>0</v>
      </c>
      <c r="P77" s="15">
        <f t="shared" si="36"/>
        <v>4</v>
      </c>
      <c r="R77" s="8"/>
      <c r="T77"/>
    </row>
    <row r="78" spans="2:20" ht="23.1" customHeight="1" x14ac:dyDescent="0.25">
      <c r="B78" s="24" t="s">
        <v>118</v>
      </c>
      <c r="C78" s="52">
        <f>AVERAGE('24.08 Bukwo-Suam-24h'!C78,'26.08 Bukwo-Suam-24h'!C78)</f>
        <v>0</v>
      </c>
      <c r="D78" s="52">
        <f>AVERAGE('24.08 Bukwo-Suam-24h'!D78,'26.08 Bukwo-Suam-24h'!D78)</f>
        <v>0</v>
      </c>
      <c r="E78" s="52">
        <f>AVERAGE('24.08 Bukwo-Suam-24h'!E78,'26.08 Bukwo-Suam-24h'!E78)</f>
        <v>0</v>
      </c>
      <c r="F78" s="52">
        <f>AVERAGE('24.08 Bukwo-Suam-24h'!F78,'26.08 Bukwo-Suam-24h'!F78)</f>
        <v>0</v>
      </c>
      <c r="G78" s="52">
        <f>AVERAGE('24.08 Bukwo-Suam-24h'!G78,'26.08 Bukwo-Suam-24h'!G78)</f>
        <v>0</v>
      </c>
      <c r="H78" s="52">
        <f>AVERAGE('24.08 Bukwo-Suam-24h'!H78,'26.08 Bukwo-Suam-24h'!H78)</f>
        <v>0</v>
      </c>
      <c r="I78" s="52">
        <f>AVERAGE('24.08 Bukwo-Suam-24h'!I78,'26.08 Bukwo-Suam-24h'!I78)</f>
        <v>0</v>
      </c>
      <c r="J78" s="52">
        <f>AVERAGE('24.08 Bukwo-Suam-24h'!J78,'26.08 Bukwo-Suam-24h'!J78)</f>
        <v>0</v>
      </c>
      <c r="K78" s="52">
        <f>AVERAGE('24.08 Bukwo-Suam-24h'!K78,'26.08 Bukwo-Suam-24h'!K78)</f>
        <v>0</v>
      </c>
      <c r="L78" s="52">
        <f>AVERAGE('24.08 Bukwo-Suam-24h'!L78,'26.08 Bukwo-Suam-24h'!L78)</f>
        <v>0</v>
      </c>
      <c r="M78" s="52">
        <f>AVERAGE('24.08 Bukwo-Suam-24h'!M78,'26.08 Bukwo-Suam-24h'!M78)</f>
        <v>0.5</v>
      </c>
      <c r="N78" s="52">
        <f>AVERAGE('24.08 Bukwo-Suam-24h'!N78,'26.08 Bukwo-Suam-24h'!N78)</f>
        <v>0</v>
      </c>
      <c r="O78" s="15">
        <f t="shared" si="35"/>
        <v>0</v>
      </c>
      <c r="P78" s="15">
        <f t="shared" si="36"/>
        <v>0.5</v>
      </c>
      <c r="R78" s="8"/>
      <c r="T78"/>
    </row>
    <row r="79" spans="2:20" ht="23.1" customHeight="1" x14ac:dyDescent="0.25">
      <c r="B79" s="23" t="s">
        <v>119</v>
      </c>
      <c r="C79" s="52">
        <f>AVERAGE('24.08 Bukwo-Suam-24h'!C79,'26.08 Bukwo-Suam-24h'!C79)</f>
        <v>0</v>
      </c>
      <c r="D79" s="52">
        <f>AVERAGE('24.08 Bukwo-Suam-24h'!D79,'26.08 Bukwo-Suam-24h'!D79)</f>
        <v>0</v>
      </c>
      <c r="E79" s="52">
        <f>AVERAGE('24.08 Bukwo-Suam-24h'!E79,'26.08 Bukwo-Suam-24h'!E79)</f>
        <v>0</v>
      </c>
      <c r="F79" s="52">
        <f>AVERAGE('24.08 Bukwo-Suam-24h'!F79,'26.08 Bukwo-Suam-24h'!F79)</f>
        <v>0</v>
      </c>
      <c r="G79" s="52">
        <f>AVERAGE('24.08 Bukwo-Suam-24h'!G79,'26.08 Bukwo-Suam-24h'!G79)</f>
        <v>0</v>
      </c>
      <c r="H79" s="52">
        <f>AVERAGE('24.08 Bukwo-Suam-24h'!H79,'26.08 Bukwo-Suam-24h'!H79)</f>
        <v>0</v>
      </c>
      <c r="I79" s="52">
        <f>AVERAGE('24.08 Bukwo-Suam-24h'!I79,'26.08 Bukwo-Suam-24h'!I79)</f>
        <v>0</v>
      </c>
      <c r="J79" s="52">
        <f>AVERAGE('24.08 Bukwo-Suam-24h'!J79,'26.08 Bukwo-Suam-24h'!J79)</f>
        <v>0</v>
      </c>
      <c r="K79" s="52">
        <f>AVERAGE('24.08 Bukwo-Suam-24h'!K79,'26.08 Bukwo-Suam-24h'!K79)</f>
        <v>0</v>
      </c>
      <c r="L79" s="52">
        <f>AVERAGE('24.08 Bukwo-Suam-24h'!L79,'26.08 Bukwo-Suam-24h'!L79)</f>
        <v>0</v>
      </c>
      <c r="M79" s="52">
        <f>AVERAGE('24.08 Bukwo-Suam-24h'!M79,'26.08 Bukwo-Suam-24h'!M79)</f>
        <v>1</v>
      </c>
      <c r="N79" s="52">
        <f>AVERAGE('24.08 Bukwo-Suam-24h'!N79,'26.08 Bukwo-Suam-24h'!N79)</f>
        <v>0</v>
      </c>
      <c r="O79" s="15">
        <f t="shared" si="35"/>
        <v>0</v>
      </c>
      <c r="P79" s="15">
        <f t="shared" si="36"/>
        <v>1</v>
      </c>
      <c r="R79" s="8"/>
      <c r="T79"/>
    </row>
    <row r="80" spans="2:20" ht="23.1" customHeight="1" x14ac:dyDescent="0.25">
      <c r="B80" s="25" t="s">
        <v>120</v>
      </c>
      <c r="C80" s="52">
        <f>AVERAGE('24.08 Bukwo-Suam-24h'!C80,'26.08 Bukwo-Suam-24h'!C80)</f>
        <v>0</v>
      </c>
      <c r="D80" s="52">
        <f>AVERAGE('24.08 Bukwo-Suam-24h'!D80,'26.08 Bukwo-Suam-24h'!D80)</f>
        <v>0</v>
      </c>
      <c r="E80" s="52">
        <f>AVERAGE('24.08 Bukwo-Suam-24h'!E80,'26.08 Bukwo-Suam-24h'!E80)</f>
        <v>0</v>
      </c>
      <c r="F80" s="52">
        <f>AVERAGE('24.08 Bukwo-Suam-24h'!F80,'26.08 Bukwo-Suam-24h'!F80)</f>
        <v>0</v>
      </c>
      <c r="G80" s="52">
        <f>AVERAGE('24.08 Bukwo-Suam-24h'!G80,'26.08 Bukwo-Suam-24h'!G80)</f>
        <v>0</v>
      </c>
      <c r="H80" s="52">
        <f>AVERAGE('24.08 Bukwo-Suam-24h'!H80,'26.08 Bukwo-Suam-24h'!H80)</f>
        <v>0</v>
      </c>
      <c r="I80" s="52">
        <f>AVERAGE('24.08 Bukwo-Suam-24h'!I80,'26.08 Bukwo-Suam-24h'!I80)</f>
        <v>0</v>
      </c>
      <c r="J80" s="52">
        <f>AVERAGE('24.08 Bukwo-Suam-24h'!J80,'26.08 Bukwo-Suam-24h'!J80)</f>
        <v>0</v>
      </c>
      <c r="K80" s="52">
        <f>AVERAGE('24.08 Bukwo-Suam-24h'!K80,'26.08 Bukwo-Suam-24h'!K80)</f>
        <v>0</v>
      </c>
      <c r="L80" s="52">
        <f>AVERAGE('24.08 Bukwo-Suam-24h'!L80,'26.08 Bukwo-Suam-24h'!L80)</f>
        <v>0</v>
      </c>
      <c r="M80" s="52">
        <f>AVERAGE('24.08 Bukwo-Suam-24h'!M80,'26.08 Bukwo-Suam-24h'!M80)</f>
        <v>0</v>
      </c>
      <c r="N80" s="52">
        <f>AVERAGE('24.08 Bukwo-Suam-24h'!N80,'26.08 Bukwo-Suam-24h'!N80)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52">
        <f>AVERAGE('24.08 Bukwo-Suam-24h'!C81,'26.08 Bukwo-Suam-24h'!C81)</f>
        <v>0</v>
      </c>
      <c r="D81" s="52">
        <f>AVERAGE('24.08 Bukwo-Suam-24h'!D81,'26.08 Bukwo-Suam-24h'!D81)</f>
        <v>0</v>
      </c>
      <c r="E81" s="52">
        <f>AVERAGE('24.08 Bukwo-Suam-24h'!E81,'26.08 Bukwo-Suam-24h'!E81)</f>
        <v>0</v>
      </c>
      <c r="F81" s="52">
        <f>AVERAGE('24.08 Bukwo-Suam-24h'!F81,'26.08 Bukwo-Suam-24h'!F81)</f>
        <v>0</v>
      </c>
      <c r="G81" s="52">
        <f>AVERAGE('24.08 Bukwo-Suam-24h'!G81,'26.08 Bukwo-Suam-24h'!G81)</f>
        <v>0</v>
      </c>
      <c r="H81" s="52">
        <f>AVERAGE('24.08 Bukwo-Suam-24h'!H81,'26.08 Bukwo-Suam-24h'!H81)</f>
        <v>0</v>
      </c>
      <c r="I81" s="52">
        <f>AVERAGE('24.08 Bukwo-Suam-24h'!I81,'26.08 Bukwo-Suam-24h'!I81)</f>
        <v>0</v>
      </c>
      <c r="J81" s="52">
        <f>AVERAGE('24.08 Bukwo-Suam-24h'!J81,'26.08 Bukwo-Suam-24h'!J81)</f>
        <v>0</v>
      </c>
      <c r="K81" s="52">
        <f>AVERAGE('24.08 Bukwo-Suam-24h'!K81,'26.08 Bukwo-Suam-24h'!K81)</f>
        <v>0</v>
      </c>
      <c r="L81" s="52">
        <f>AVERAGE('24.08 Bukwo-Suam-24h'!L81,'26.08 Bukwo-Suam-24h'!L81)</f>
        <v>0</v>
      </c>
      <c r="M81" s="52">
        <f>AVERAGE('24.08 Bukwo-Suam-24h'!M81,'26.08 Bukwo-Suam-24h'!M81)</f>
        <v>0</v>
      </c>
      <c r="N81" s="52">
        <f>AVERAGE('24.08 Bukwo-Suam-24h'!N81,'26.08 Bukwo-Suam-24h'!N81)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52">
        <f>AVERAGE('24.08 Bukwo-Suam-24h'!C82,'26.08 Bukwo-Suam-24h'!C82)</f>
        <v>0</v>
      </c>
      <c r="D82" s="52">
        <f>AVERAGE('24.08 Bukwo-Suam-24h'!D82,'26.08 Bukwo-Suam-24h'!D82)</f>
        <v>0</v>
      </c>
      <c r="E82" s="52">
        <f>AVERAGE('24.08 Bukwo-Suam-24h'!E82,'26.08 Bukwo-Suam-24h'!E82)</f>
        <v>0</v>
      </c>
      <c r="F82" s="52">
        <f>AVERAGE('24.08 Bukwo-Suam-24h'!F82,'26.08 Bukwo-Suam-24h'!F82)</f>
        <v>0</v>
      </c>
      <c r="G82" s="52">
        <f>AVERAGE('24.08 Bukwo-Suam-24h'!G82,'26.08 Bukwo-Suam-24h'!G82)</f>
        <v>0</v>
      </c>
      <c r="H82" s="52">
        <f>AVERAGE('24.08 Bukwo-Suam-24h'!H82,'26.08 Bukwo-Suam-24h'!H82)</f>
        <v>0</v>
      </c>
      <c r="I82" s="52">
        <f>AVERAGE('24.08 Bukwo-Suam-24h'!I82,'26.08 Bukwo-Suam-24h'!I82)</f>
        <v>0</v>
      </c>
      <c r="J82" s="52">
        <f>AVERAGE('24.08 Bukwo-Suam-24h'!J82,'26.08 Bukwo-Suam-24h'!J82)</f>
        <v>0</v>
      </c>
      <c r="K82" s="52">
        <f>AVERAGE('24.08 Bukwo-Suam-24h'!K82,'26.08 Bukwo-Suam-24h'!K82)</f>
        <v>0</v>
      </c>
      <c r="L82" s="52">
        <f>AVERAGE('24.08 Bukwo-Suam-24h'!L82,'26.08 Bukwo-Suam-24h'!L82)</f>
        <v>0</v>
      </c>
      <c r="M82" s="52">
        <f>AVERAGE('24.08 Bukwo-Suam-24h'!M82,'26.08 Bukwo-Suam-24h'!M82)</f>
        <v>0.5</v>
      </c>
      <c r="N82" s="52">
        <f>AVERAGE('24.08 Bukwo-Suam-24h'!N82,'26.08 Bukwo-Suam-24h'!N82)</f>
        <v>0</v>
      </c>
      <c r="O82" s="15">
        <f t="shared" si="35"/>
        <v>0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52">
        <f>AVERAGE('24.08 Bukwo-Suam-24h'!C83,'26.08 Bukwo-Suam-24h'!C83)</f>
        <v>0</v>
      </c>
      <c r="D83" s="52">
        <f>AVERAGE('24.08 Bukwo-Suam-24h'!D83,'26.08 Bukwo-Suam-24h'!D83)</f>
        <v>0</v>
      </c>
      <c r="E83" s="52">
        <f>AVERAGE('24.08 Bukwo-Suam-24h'!E83,'26.08 Bukwo-Suam-24h'!E83)</f>
        <v>0</v>
      </c>
      <c r="F83" s="52">
        <f>AVERAGE('24.08 Bukwo-Suam-24h'!F83,'26.08 Bukwo-Suam-24h'!F83)</f>
        <v>0</v>
      </c>
      <c r="G83" s="52">
        <f>AVERAGE('24.08 Bukwo-Suam-24h'!G83,'26.08 Bukwo-Suam-24h'!G83)</f>
        <v>0</v>
      </c>
      <c r="H83" s="52">
        <f>AVERAGE('24.08 Bukwo-Suam-24h'!H83,'26.08 Bukwo-Suam-24h'!H83)</f>
        <v>0</v>
      </c>
      <c r="I83" s="52">
        <f>AVERAGE('24.08 Bukwo-Suam-24h'!I83,'26.08 Bukwo-Suam-24h'!I83)</f>
        <v>0</v>
      </c>
      <c r="J83" s="52">
        <f>AVERAGE('24.08 Bukwo-Suam-24h'!J83,'26.08 Bukwo-Suam-24h'!J83)</f>
        <v>0</v>
      </c>
      <c r="K83" s="52">
        <f>AVERAGE('24.08 Bukwo-Suam-24h'!K83,'26.08 Bukwo-Suam-24h'!K83)</f>
        <v>0</v>
      </c>
      <c r="L83" s="52">
        <f>AVERAGE('24.08 Bukwo-Suam-24h'!L83,'26.08 Bukwo-Suam-24h'!L83)</f>
        <v>0</v>
      </c>
      <c r="M83" s="52">
        <f>AVERAGE('24.08 Bukwo-Suam-24h'!M83,'26.08 Bukwo-Suam-24h'!M83)</f>
        <v>0</v>
      </c>
      <c r="N83" s="52">
        <f>AVERAGE('24.08 Bukwo-Suam-24h'!N83,'26.08 Bukwo-Suam-24h'!N83)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52">
        <f>AVERAGE('24.08 Bukwo-Suam-24h'!C84,'26.08 Bukwo-Suam-24h'!C84)</f>
        <v>0</v>
      </c>
      <c r="D84" s="52">
        <f>AVERAGE('24.08 Bukwo-Suam-24h'!D84,'26.08 Bukwo-Suam-24h'!D84)</f>
        <v>0</v>
      </c>
      <c r="E84" s="52">
        <f>AVERAGE('24.08 Bukwo-Suam-24h'!E84,'26.08 Bukwo-Suam-24h'!E84)</f>
        <v>0</v>
      </c>
      <c r="F84" s="52">
        <f>AVERAGE('24.08 Bukwo-Suam-24h'!F84,'26.08 Bukwo-Suam-24h'!F84)</f>
        <v>0</v>
      </c>
      <c r="G84" s="52">
        <f>AVERAGE('24.08 Bukwo-Suam-24h'!G84,'26.08 Bukwo-Suam-24h'!G84)</f>
        <v>0</v>
      </c>
      <c r="H84" s="52">
        <f>AVERAGE('24.08 Bukwo-Suam-24h'!H84,'26.08 Bukwo-Suam-24h'!H84)</f>
        <v>0</v>
      </c>
      <c r="I84" s="52">
        <f>AVERAGE('24.08 Bukwo-Suam-24h'!I84,'26.08 Bukwo-Suam-24h'!I84)</f>
        <v>0</v>
      </c>
      <c r="J84" s="52">
        <f>AVERAGE('24.08 Bukwo-Suam-24h'!J84,'26.08 Bukwo-Suam-24h'!J84)</f>
        <v>0</v>
      </c>
      <c r="K84" s="52">
        <f>AVERAGE('24.08 Bukwo-Suam-24h'!K84,'26.08 Bukwo-Suam-24h'!K84)</f>
        <v>0</v>
      </c>
      <c r="L84" s="52">
        <f>AVERAGE('24.08 Bukwo-Suam-24h'!L84,'26.08 Bukwo-Suam-24h'!L84)</f>
        <v>0</v>
      </c>
      <c r="M84" s="52">
        <f>AVERAGE('24.08 Bukwo-Suam-24h'!M84,'26.08 Bukwo-Suam-24h'!M84)</f>
        <v>0</v>
      </c>
      <c r="N84" s="52">
        <f>AVERAGE('24.08 Bukwo-Suam-24h'!N84,'26.08 Bukwo-Suam-24h'!N84)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52">
        <f>AVERAGE('24.08 Bukwo-Suam-24h'!C85,'26.08 Bukwo-Suam-24h'!C85)</f>
        <v>0</v>
      </c>
      <c r="D85" s="52">
        <f>AVERAGE('24.08 Bukwo-Suam-24h'!D85,'26.08 Bukwo-Suam-24h'!D85)</f>
        <v>0</v>
      </c>
      <c r="E85" s="52">
        <f>AVERAGE('24.08 Bukwo-Suam-24h'!E85,'26.08 Bukwo-Suam-24h'!E85)</f>
        <v>0</v>
      </c>
      <c r="F85" s="52">
        <f>AVERAGE('24.08 Bukwo-Suam-24h'!F85,'26.08 Bukwo-Suam-24h'!F85)</f>
        <v>0</v>
      </c>
      <c r="G85" s="52">
        <f>AVERAGE('24.08 Bukwo-Suam-24h'!G85,'26.08 Bukwo-Suam-24h'!G85)</f>
        <v>0</v>
      </c>
      <c r="H85" s="52">
        <f>AVERAGE('24.08 Bukwo-Suam-24h'!H85,'26.08 Bukwo-Suam-24h'!H85)</f>
        <v>0</v>
      </c>
      <c r="I85" s="52">
        <f>AVERAGE('24.08 Bukwo-Suam-24h'!I85,'26.08 Bukwo-Suam-24h'!I85)</f>
        <v>0</v>
      </c>
      <c r="J85" s="52">
        <f>AVERAGE('24.08 Bukwo-Suam-24h'!J85,'26.08 Bukwo-Suam-24h'!J85)</f>
        <v>0</v>
      </c>
      <c r="K85" s="52">
        <f>AVERAGE('24.08 Bukwo-Suam-24h'!K85,'26.08 Bukwo-Suam-24h'!K85)</f>
        <v>0</v>
      </c>
      <c r="L85" s="52">
        <f>AVERAGE('24.08 Bukwo-Suam-24h'!L85,'26.08 Bukwo-Suam-24h'!L85)</f>
        <v>0</v>
      </c>
      <c r="M85" s="52">
        <f>AVERAGE('24.08 Bukwo-Suam-24h'!M85,'26.08 Bukwo-Suam-24h'!M85)</f>
        <v>0</v>
      </c>
      <c r="N85" s="52">
        <f>AVERAGE('24.08 Bukwo-Suam-24h'!N85,'26.08 Bukwo-Suam-24h'!N85)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52">
        <f>AVERAGE('24.08 Bukwo-Suam-24h'!C86,'26.08 Bukwo-Suam-24h'!C86)</f>
        <v>0</v>
      </c>
      <c r="D86" s="52">
        <f>AVERAGE('24.08 Bukwo-Suam-24h'!D86,'26.08 Bukwo-Suam-24h'!D86)</f>
        <v>0</v>
      </c>
      <c r="E86" s="52">
        <f>AVERAGE('24.08 Bukwo-Suam-24h'!E86,'26.08 Bukwo-Suam-24h'!E86)</f>
        <v>0</v>
      </c>
      <c r="F86" s="52">
        <f>AVERAGE('24.08 Bukwo-Suam-24h'!F86,'26.08 Bukwo-Suam-24h'!F86)</f>
        <v>0</v>
      </c>
      <c r="G86" s="52">
        <f>AVERAGE('24.08 Bukwo-Suam-24h'!G86,'26.08 Bukwo-Suam-24h'!G86)</f>
        <v>0</v>
      </c>
      <c r="H86" s="52">
        <f>AVERAGE('24.08 Bukwo-Suam-24h'!H86,'26.08 Bukwo-Suam-24h'!H86)</f>
        <v>0</v>
      </c>
      <c r="I86" s="52">
        <f>AVERAGE('24.08 Bukwo-Suam-24h'!I86,'26.08 Bukwo-Suam-24h'!I86)</f>
        <v>0</v>
      </c>
      <c r="J86" s="52">
        <f>AVERAGE('24.08 Bukwo-Suam-24h'!J86,'26.08 Bukwo-Suam-24h'!J86)</f>
        <v>0</v>
      </c>
      <c r="K86" s="52">
        <f>AVERAGE('24.08 Bukwo-Suam-24h'!K86,'26.08 Bukwo-Suam-24h'!K86)</f>
        <v>0</v>
      </c>
      <c r="L86" s="52">
        <f>AVERAGE('24.08 Bukwo-Suam-24h'!L86,'26.08 Bukwo-Suam-24h'!L86)</f>
        <v>0</v>
      </c>
      <c r="M86" s="52">
        <f>AVERAGE('24.08 Bukwo-Suam-24h'!M86,'26.08 Bukwo-Suam-24h'!M86)</f>
        <v>0</v>
      </c>
      <c r="N86" s="52">
        <f>AVERAGE('24.08 Bukwo-Suam-24h'!N86,'26.08 Bukwo-Suam-24h'!N86)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52">
        <f>AVERAGE('24.08 Bukwo-Suam-24h'!C87,'26.08 Bukwo-Suam-24h'!C87)</f>
        <v>0</v>
      </c>
      <c r="D87" s="52">
        <f>AVERAGE('24.08 Bukwo-Suam-24h'!D87,'26.08 Bukwo-Suam-24h'!D87)</f>
        <v>0</v>
      </c>
      <c r="E87" s="52">
        <f>AVERAGE('24.08 Bukwo-Suam-24h'!E87,'26.08 Bukwo-Suam-24h'!E87)</f>
        <v>0</v>
      </c>
      <c r="F87" s="52">
        <f>AVERAGE('24.08 Bukwo-Suam-24h'!F87,'26.08 Bukwo-Suam-24h'!F87)</f>
        <v>0</v>
      </c>
      <c r="G87" s="52">
        <f>AVERAGE('24.08 Bukwo-Suam-24h'!G87,'26.08 Bukwo-Suam-24h'!G87)</f>
        <v>0</v>
      </c>
      <c r="H87" s="52">
        <f>AVERAGE('24.08 Bukwo-Suam-24h'!H87,'26.08 Bukwo-Suam-24h'!H87)</f>
        <v>0</v>
      </c>
      <c r="I87" s="52">
        <f>AVERAGE('24.08 Bukwo-Suam-24h'!I87,'26.08 Bukwo-Suam-24h'!I87)</f>
        <v>0</v>
      </c>
      <c r="J87" s="52">
        <f>AVERAGE('24.08 Bukwo-Suam-24h'!J87,'26.08 Bukwo-Suam-24h'!J87)</f>
        <v>0</v>
      </c>
      <c r="K87" s="52">
        <f>AVERAGE('24.08 Bukwo-Suam-24h'!K87,'26.08 Bukwo-Suam-24h'!K87)</f>
        <v>0</v>
      </c>
      <c r="L87" s="52">
        <f>AVERAGE('24.08 Bukwo-Suam-24h'!L87,'26.08 Bukwo-Suam-24h'!L87)</f>
        <v>0</v>
      </c>
      <c r="M87" s="52">
        <f>AVERAGE('24.08 Bukwo-Suam-24h'!M87,'26.08 Bukwo-Suam-24h'!M87)</f>
        <v>0</v>
      </c>
      <c r="N87" s="52">
        <f>AVERAGE('24.08 Bukwo-Suam-24h'!N87,'26.08 Bukwo-Suam-24h'!N87)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52">
        <f>AVERAGE('24.08 Bukwo-Suam-24h'!C88,'26.08 Bukwo-Suam-24h'!C88)</f>
        <v>0</v>
      </c>
      <c r="D88" s="52">
        <f>AVERAGE('24.08 Bukwo-Suam-24h'!D88,'26.08 Bukwo-Suam-24h'!D88)</f>
        <v>0</v>
      </c>
      <c r="E88" s="52">
        <f>AVERAGE('24.08 Bukwo-Suam-24h'!E88,'26.08 Bukwo-Suam-24h'!E88)</f>
        <v>0</v>
      </c>
      <c r="F88" s="52">
        <f>AVERAGE('24.08 Bukwo-Suam-24h'!F88,'26.08 Bukwo-Suam-24h'!F88)</f>
        <v>0</v>
      </c>
      <c r="G88" s="52">
        <f>AVERAGE('24.08 Bukwo-Suam-24h'!G88,'26.08 Bukwo-Suam-24h'!G88)</f>
        <v>0</v>
      </c>
      <c r="H88" s="52">
        <f>AVERAGE('24.08 Bukwo-Suam-24h'!H88,'26.08 Bukwo-Suam-24h'!H88)</f>
        <v>0</v>
      </c>
      <c r="I88" s="52">
        <f>AVERAGE('24.08 Bukwo-Suam-24h'!I88,'26.08 Bukwo-Suam-24h'!I88)</f>
        <v>0</v>
      </c>
      <c r="J88" s="52">
        <f>AVERAGE('24.08 Bukwo-Suam-24h'!J88,'26.08 Bukwo-Suam-24h'!J88)</f>
        <v>0</v>
      </c>
      <c r="K88" s="52">
        <f>AVERAGE('24.08 Bukwo-Suam-24h'!K88,'26.08 Bukwo-Suam-24h'!K88)</f>
        <v>0</v>
      </c>
      <c r="L88" s="52">
        <f>AVERAGE('24.08 Bukwo-Suam-24h'!L88,'26.08 Bukwo-Suam-24h'!L88)</f>
        <v>0</v>
      </c>
      <c r="M88" s="52">
        <f>AVERAGE('24.08 Bukwo-Suam-24h'!M88,'26.08 Bukwo-Suam-24h'!M88)</f>
        <v>0</v>
      </c>
      <c r="N88" s="52">
        <f>AVERAGE('24.08 Bukwo-Suam-24h'!N88,'26.08 Bukwo-Suam-24h'!N88)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52">
        <f>AVERAGE('24.08 Bukwo-Suam-24h'!C89,'26.08 Bukwo-Suam-24h'!C89)</f>
        <v>0</v>
      </c>
      <c r="D89" s="52">
        <f>AVERAGE('24.08 Bukwo-Suam-24h'!D89,'26.08 Bukwo-Suam-24h'!D89)</f>
        <v>0</v>
      </c>
      <c r="E89" s="52">
        <f>AVERAGE('24.08 Bukwo-Suam-24h'!E89,'26.08 Bukwo-Suam-24h'!E89)</f>
        <v>0</v>
      </c>
      <c r="F89" s="52">
        <f>AVERAGE('24.08 Bukwo-Suam-24h'!F89,'26.08 Bukwo-Suam-24h'!F89)</f>
        <v>0</v>
      </c>
      <c r="G89" s="52">
        <f>AVERAGE('24.08 Bukwo-Suam-24h'!G89,'26.08 Bukwo-Suam-24h'!G89)</f>
        <v>0</v>
      </c>
      <c r="H89" s="52">
        <f>AVERAGE('24.08 Bukwo-Suam-24h'!H89,'26.08 Bukwo-Suam-24h'!H89)</f>
        <v>0</v>
      </c>
      <c r="I89" s="52">
        <f>AVERAGE('24.08 Bukwo-Suam-24h'!I89,'26.08 Bukwo-Suam-24h'!I89)</f>
        <v>0</v>
      </c>
      <c r="J89" s="52">
        <f>AVERAGE('24.08 Bukwo-Suam-24h'!J89,'26.08 Bukwo-Suam-24h'!J89)</f>
        <v>0</v>
      </c>
      <c r="K89" s="52">
        <f>AVERAGE('24.08 Bukwo-Suam-24h'!K89,'26.08 Bukwo-Suam-24h'!K89)</f>
        <v>0</v>
      </c>
      <c r="L89" s="52">
        <f>AVERAGE('24.08 Bukwo-Suam-24h'!L89,'26.08 Bukwo-Suam-24h'!L89)</f>
        <v>0</v>
      </c>
      <c r="M89" s="52">
        <f>AVERAGE('24.08 Bukwo-Suam-24h'!M89,'26.08 Bukwo-Suam-24h'!M89)</f>
        <v>0</v>
      </c>
      <c r="N89" s="52">
        <f>AVERAGE('24.08 Bukwo-Suam-24h'!N89,'26.08 Bukwo-Suam-24h'!N89)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52">
        <f>AVERAGE('24.08 Bukwo-Suam-24h'!C90,'26.08 Bukwo-Suam-24h'!C90)</f>
        <v>0</v>
      </c>
      <c r="D90" s="52">
        <f>AVERAGE('24.08 Bukwo-Suam-24h'!D90,'26.08 Bukwo-Suam-24h'!D90)</f>
        <v>0</v>
      </c>
      <c r="E90" s="52">
        <f>AVERAGE('24.08 Bukwo-Suam-24h'!E90,'26.08 Bukwo-Suam-24h'!E90)</f>
        <v>0</v>
      </c>
      <c r="F90" s="52">
        <f>AVERAGE('24.08 Bukwo-Suam-24h'!F90,'26.08 Bukwo-Suam-24h'!F90)</f>
        <v>0</v>
      </c>
      <c r="G90" s="52">
        <f>AVERAGE('24.08 Bukwo-Suam-24h'!G90,'26.08 Bukwo-Suam-24h'!G90)</f>
        <v>0</v>
      </c>
      <c r="H90" s="52">
        <f>AVERAGE('24.08 Bukwo-Suam-24h'!H90,'26.08 Bukwo-Suam-24h'!H90)</f>
        <v>0</v>
      </c>
      <c r="I90" s="52">
        <f>AVERAGE('24.08 Bukwo-Suam-24h'!I90,'26.08 Bukwo-Suam-24h'!I90)</f>
        <v>0</v>
      </c>
      <c r="J90" s="52">
        <f>AVERAGE('24.08 Bukwo-Suam-24h'!J90,'26.08 Bukwo-Suam-24h'!J90)</f>
        <v>0</v>
      </c>
      <c r="K90" s="52">
        <f>AVERAGE('24.08 Bukwo-Suam-24h'!K90,'26.08 Bukwo-Suam-24h'!K90)</f>
        <v>0</v>
      </c>
      <c r="L90" s="52">
        <f>AVERAGE('24.08 Bukwo-Suam-24h'!L90,'26.08 Bukwo-Suam-24h'!L90)</f>
        <v>0</v>
      </c>
      <c r="M90" s="52">
        <f>AVERAGE('24.08 Bukwo-Suam-24h'!M90,'26.08 Bukwo-Suam-24h'!M90)</f>
        <v>0</v>
      </c>
      <c r="N90" s="52">
        <f>AVERAGE('24.08 Bukwo-Suam-24h'!N90,'26.08 Bukwo-Suam-24h'!N90)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52">
        <f>AVERAGE('24.08 Bukwo-Suam-24h'!C91,'26.08 Bukwo-Suam-24h'!C91)</f>
        <v>0</v>
      </c>
      <c r="D91" s="52">
        <f>AVERAGE('24.08 Bukwo-Suam-24h'!D91,'26.08 Bukwo-Suam-24h'!D91)</f>
        <v>0</v>
      </c>
      <c r="E91" s="52">
        <f>AVERAGE('24.08 Bukwo-Suam-24h'!E91,'26.08 Bukwo-Suam-24h'!E91)</f>
        <v>0</v>
      </c>
      <c r="F91" s="52">
        <f>AVERAGE('24.08 Bukwo-Suam-24h'!F91,'26.08 Bukwo-Suam-24h'!F91)</f>
        <v>0</v>
      </c>
      <c r="G91" s="52">
        <f>AVERAGE('24.08 Bukwo-Suam-24h'!G91,'26.08 Bukwo-Suam-24h'!G91)</f>
        <v>0</v>
      </c>
      <c r="H91" s="52">
        <f>AVERAGE('24.08 Bukwo-Suam-24h'!H91,'26.08 Bukwo-Suam-24h'!H91)</f>
        <v>0</v>
      </c>
      <c r="I91" s="52">
        <f>AVERAGE('24.08 Bukwo-Suam-24h'!I91,'26.08 Bukwo-Suam-24h'!I91)</f>
        <v>0</v>
      </c>
      <c r="J91" s="52">
        <f>AVERAGE('24.08 Bukwo-Suam-24h'!J91,'26.08 Bukwo-Suam-24h'!J91)</f>
        <v>0</v>
      </c>
      <c r="K91" s="52">
        <f>AVERAGE('24.08 Bukwo-Suam-24h'!K91,'26.08 Bukwo-Suam-24h'!K91)</f>
        <v>0</v>
      </c>
      <c r="L91" s="52">
        <f>AVERAGE('24.08 Bukwo-Suam-24h'!L91,'26.08 Bukwo-Suam-24h'!L91)</f>
        <v>0</v>
      </c>
      <c r="M91" s="52">
        <f>AVERAGE('24.08 Bukwo-Suam-24h'!M91,'26.08 Bukwo-Suam-24h'!M91)</f>
        <v>0</v>
      </c>
      <c r="N91" s="52">
        <f>AVERAGE('24.08 Bukwo-Suam-24h'!N91,'26.08 Bukwo-Suam-24h'!N91)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52">
        <f>AVERAGE('24.08 Bukwo-Suam-24h'!C92,'26.08 Bukwo-Suam-24h'!C92)</f>
        <v>0</v>
      </c>
      <c r="D92" s="52">
        <f>AVERAGE('24.08 Bukwo-Suam-24h'!D92,'26.08 Bukwo-Suam-24h'!D92)</f>
        <v>0</v>
      </c>
      <c r="E92" s="52">
        <f>AVERAGE('24.08 Bukwo-Suam-24h'!E92,'26.08 Bukwo-Suam-24h'!E92)</f>
        <v>0</v>
      </c>
      <c r="F92" s="52">
        <f>AVERAGE('24.08 Bukwo-Suam-24h'!F92,'26.08 Bukwo-Suam-24h'!F92)</f>
        <v>0</v>
      </c>
      <c r="G92" s="52">
        <f>AVERAGE('24.08 Bukwo-Suam-24h'!G92,'26.08 Bukwo-Suam-24h'!G92)</f>
        <v>0</v>
      </c>
      <c r="H92" s="52">
        <f>AVERAGE('24.08 Bukwo-Suam-24h'!H92,'26.08 Bukwo-Suam-24h'!H92)</f>
        <v>0</v>
      </c>
      <c r="I92" s="52">
        <f>AVERAGE('24.08 Bukwo-Suam-24h'!I92,'26.08 Bukwo-Suam-24h'!I92)</f>
        <v>0</v>
      </c>
      <c r="J92" s="52">
        <f>AVERAGE('24.08 Bukwo-Suam-24h'!J92,'26.08 Bukwo-Suam-24h'!J92)</f>
        <v>0</v>
      </c>
      <c r="K92" s="52">
        <f>AVERAGE('24.08 Bukwo-Suam-24h'!K92,'26.08 Bukwo-Suam-24h'!K92)</f>
        <v>0</v>
      </c>
      <c r="L92" s="52">
        <f>AVERAGE('24.08 Bukwo-Suam-24h'!L92,'26.08 Bukwo-Suam-24h'!L92)</f>
        <v>0</v>
      </c>
      <c r="M92" s="52">
        <f>AVERAGE('24.08 Bukwo-Suam-24h'!M92,'26.08 Bukwo-Suam-24h'!M92)</f>
        <v>0</v>
      </c>
      <c r="N92" s="52">
        <f>AVERAGE('24.08 Bukwo-Suam-24h'!N92,'26.08 Bukwo-Suam-24h'!N92)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52">
        <f>AVERAGE('24.08 Bukwo-Suam-24h'!C93,'26.08 Bukwo-Suam-24h'!C93)</f>
        <v>0</v>
      </c>
      <c r="D93" s="52">
        <f>AVERAGE('24.08 Bukwo-Suam-24h'!D93,'26.08 Bukwo-Suam-24h'!D93)</f>
        <v>0</v>
      </c>
      <c r="E93" s="52">
        <f>AVERAGE('24.08 Bukwo-Suam-24h'!E93,'26.08 Bukwo-Suam-24h'!E93)</f>
        <v>0</v>
      </c>
      <c r="F93" s="52">
        <f>AVERAGE('24.08 Bukwo-Suam-24h'!F93,'26.08 Bukwo-Suam-24h'!F93)</f>
        <v>0</v>
      </c>
      <c r="G93" s="52">
        <f>AVERAGE('24.08 Bukwo-Suam-24h'!G93,'26.08 Bukwo-Suam-24h'!G93)</f>
        <v>0</v>
      </c>
      <c r="H93" s="52">
        <f>AVERAGE('24.08 Bukwo-Suam-24h'!H93,'26.08 Bukwo-Suam-24h'!H93)</f>
        <v>0</v>
      </c>
      <c r="I93" s="52">
        <f>AVERAGE('24.08 Bukwo-Suam-24h'!I93,'26.08 Bukwo-Suam-24h'!I93)</f>
        <v>0</v>
      </c>
      <c r="J93" s="52">
        <f>AVERAGE('24.08 Bukwo-Suam-24h'!J93,'26.08 Bukwo-Suam-24h'!J93)</f>
        <v>0</v>
      </c>
      <c r="K93" s="52">
        <f>AVERAGE('24.08 Bukwo-Suam-24h'!K93,'26.08 Bukwo-Suam-24h'!K93)</f>
        <v>0</v>
      </c>
      <c r="L93" s="52">
        <f>AVERAGE('24.08 Bukwo-Suam-24h'!L93,'26.08 Bukwo-Suam-24h'!L93)</f>
        <v>0</v>
      </c>
      <c r="M93" s="52">
        <f>AVERAGE('24.08 Bukwo-Suam-24h'!M93,'26.08 Bukwo-Suam-24h'!M93)</f>
        <v>0</v>
      </c>
      <c r="N93" s="52">
        <f>AVERAGE('24.08 Bukwo-Suam-24h'!N93,'26.08 Bukwo-Suam-24h'!N93)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52">
        <f>AVERAGE('24.08 Bukwo-Suam-24h'!C94,'26.08 Bukwo-Suam-24h'!C94)</f>
        <v>0</v>
      </c>
      <c r="D94" s="52">
        <f>AVERAGE('24.08 Bukwo-Suam-24h'!D94,'26.08 Bukwo-Suam-24h'!D94)</f>
        <v>0</v>
      </c>
      <c r="E94" s="52">
        <f>AVERAGE('24.08 Bukwo-Suam-24h'!E94,'26.08 Bukwo-Suam-24h'!E94)</f>
        <v>0</v>
      </c>
      <c r="F94" s="52">
        <f>AVERAGE('24.08 Bukwo-Suam-24h'!F94,'26.08 Bukwo-Suam-24h'!F94)</f>
        <v>0</v>
      </c>
      <c r="G94" s="52">
        <f>AVERAGE('24.08 Bukwo-Suam-24h'!G94,'26.08 Bukwo-Suam-24h'!G94)</f>
        <v>0</v>
      </c>
      <c r="H94" s="52">
        <f>AVERAGE('24.08 Bukwo-Suam-24h'!H94,'26.08 Bukwo-Suam-24h'!H94)</f>
        <v>0</v>
      </c>
      <c r="I94" s="52">
        <f>AVERAGE('24.08 Bukwo-Suam-24h'!I94,'26.08 Bukwo-Suam-24h'!I94)</f>
        <v>0</v>
      </c>
      <c r="J94" s="52">
        <f>AVERAGE('24.08 Bukwo-Suam-24h'!J94,'26.08 Bukwo-Suam-24h'!J94)</f>
        <v>0</v>
      </c>
      <c r="K94" s="52">
        <f>AVERAGE('24.08 Bukwo-Suam-24h'!K94,'26.08 Bukwo-Suam-24h'!K94)</f>
        <v>0</v>
      </c>
      <c r="L94" s="52">
        <f>AVERAGE('24.08 Bukwo-Suam-24h'!L94,'26.08 Bukwo-Suam-24h'!L94)</f>
        <v>0</v>
      </c>
      <c r="M94" s="52">
        <f>AVERAGE('24.08 Bukwo-Suam-24h'!M94,'26.08 Bukwo-Suam-24h'!M94)</f>
        <v>0</v>
      </c>
      <c r="N94" s="52">
        <f>AVERAGE('24.08 Bukwo-Suam-24h'!N94,'26.08 Bukwo-Suam-24h'!N94)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52">
        <f>AVERAGE('24.08 Bukwo-Suam-24h'!C95,'26.08 Bukwo-Suam-24h'!C95)</f>
        <v>0</v>
      </c>
      <c r="D95" s="52">
        <f>AVERAGE('24.08 Bukwo-Suam-24h'!D95,'26.08 Bukwo-Suam-24h'!D95)</f>
        <v>0</v>
      </c>
      <c r="E95" s="52">
        <f>AVERAGE('24.08 Bukwo-Suam-24h'!E95,'26.08 Bukwo-Suam-24h'!E95)</f>
        <v>0</v>
      </c>
      <c r="F95" s="52">
        <f>AVERAGE('24.08 Bukwo-Suam-24h'!F95,'26.08 Bukwo-Suam-24h'!F95)</f>
        <v>0</v>
      </c>
      <c r="G95" s="52">
        <f>AVERAGE('24.08 Bukwo-Suam-24h'!G95,'26.08 Bukwo-Suam-24h'!G95)</f>
        <v>0</v>
      </c>
      <c r="H95" s="52">
        <f>AVERAGE('24.08 Bukwo-Suam-24h'!H95,'26.08 Bukwo-Suam-24h'!H95)</f>
        <v>0</v>
      </c>
      <c r="I95" s="52">
        <f>AVERAGE('24.08 Bukwo-Suam-24h'!I95,'26.08 Bukwo-Suam-24h'!I95)</f>
        <v>0</v>
      </c>
      <c r="J95" s="52">
        <f>AVERAGE('24.08 Bukwo-Suam-24h'!J95,'26.08 Bukwo-Suam-24h'!J95)</f>
        <v>0</v>
      </c>
      <c r="K95" s="52">
        <f>AVERAGE('24.08 Bukwo-Suam-24h'!K95,'26.08 Bukwo-Suam-24h'!K95)</f>
        <v>0</v>
      </c>
      <c r="L95" s="52">
        <f>AVERAGE('24.08 Bukwo-Suam-24h'!L95,'26.08 Bukwo-Suam-24h'!L95)</f>
        <v>0</v>
      </c>
      <c r="M95" s="52">
        <f>AVERAGE('24.08 Bukwo-Suam-24h'!M95,'26.08 Bukwo-Suam-24h'!M95)</f>
        <v>0</v>
      </c>
      <c r="N95" s="52">
        <f>AVERAGE('24.08 Bukwo-Suam-24h'!N95,'26.08 Bukwo-Suam-24h'!N95)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52">
        <f>AVERAGE('24.08 Bukwo-Suam-24h'!C96,'26.08 Bukwo-Suam-24h'!C96)</f>
        <v>0</v>
      </c>
      <c r="D96" s="52">
        <f>AVERAGE('24.08 Bukwo-Suam-24h'!D96,'26.08 Bukwo-Suam-24h'!D96)</f>
        <v>0</v>
      </c>
      <c r="E96" s="52">
        <f>AVERAGE('24.08 Bukwo-Suam-24h'!E96,'26.08 Bukwo-Suam-24h'!E96)</f>
        <v>0</v>
      </c>
      <c r="F96" s="52">
        <f>AVERAGE('24.08 Bukwo-Suam-24h'!F96,'26.08 Bukwo-Suam-24h'!F96)</f>
        <v>0</v>
      </c>
      <c r="G96" s="52">
        <f>AVERAGE('24.08 Bukwo-Suam-24h'!G96,'26.08 Bukwo-Suam-24h'!G96)</f>
        <v>0</v>
      </c>
      <c r="H96" s="52">
        <f>AVERAGE('24.08 Bukwo-Suam-24h'!H96,'26.08 Bukwo-Suam-24h'!H96)</f>
        <v>0</v>
      </c>
      <c r="I96" s="52">
        <f>AVERAGE('24.08 Bukwo-Suam-24h'!I96,'26.08 Bukwo-Suam-24h'!I96)</f>
        <v>0</v>
      </c>
      <c r="J96" s="52">
        <f>AVERAGE('24.08 Bukwo-Suam-24h'!J96,'26.08 Bukwo-Suam-24h'!J96)</f>
        <v>0</v>
      </c>
      <c r="K96" s="52">
        <f>AVERAGE('24.08 Bukwo-Suam-24h'!K96,'26.08 Bukwo-Suam-24h'!K96)</f>
        <v>0</v>
      </c>
      <c r="L96" s="52">
        <f>AVERAGE('24.08 Bukwo-Suam-24h'!L96,'26.08 Bukwo-Suam-24h'!L96)</f>
        <v>0</v>
      </c>
      <c r="M96" s="52">
        <f>AVERAGE('24.08 Bukwo-Suam-24h'!M96,'26.08 Bukwo-Suam-24h'!M96)</f>
        <v>0</v>
      </c>
      <c r="N96" s="52">
        <f>AVERAGE('24.08 Bukwo-Suam-24h'!N96,'26.08 Bukwo-Suam-24h'!N96)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52">
        <f>AVERAGE('24.08 Bukwo-Suam-24h'!C97,'26.08 Bukwo-Suam-24h'!C97)</f>
        <v>0</v>
      </c>
      <c r="D97" s="52">
        <f>AVERAGE('24.08 Bukwo-Suam-24h'!D97,'26.08 Bukwo-Suam-24h'!D97)</f>
        <v>0</v>
      </c>
      <c r="E97" s="52">
        <f>AVERAGE('24.08 Bukwo-Suam-24h'!E97,'26.08 Bukwo-Suam-24h'!E97)</f>
        <v>0</v>
      </c>
      <c r="F97" s="52">
        <f>AVERAGE('24.08 Bukwo-Suam-24h'!F97,'26.08 Bukwo-Suam-24h'!F97)</f>
        <v>0</v>
      </c>
      <c r="G97" s="52">
        <f>AVERAGE('24.08 Bukwo-Suam-24h'!G97,'26.08 Bukwo-Suam-24h'!G97)</f>
        <v>0</v>
      </c>
      <c r="H97" s="52">
        <f>AVERAGE('24.08 Bukwo-Suam-24h'!H97,'26.08 Bukwo-Suam-24h'!H97)</f>
        <v>0</v>
      </c>
      <c r="I97" s="52">
        <f>AVERAGE('24.08 Bukwo-Suam-24h'!I97,'26.08 Bukwo-Suam-24h'!I97)</f>
        <v>1</v>
      </c>
      <c r="J97" s="52">
        <f>AVERAGE('24.08 Bukwo-Suam-24h'!J97,'26.08 Bukwo-Suam-24h'!J97)</f>
        <v>0.5</v>
      </c>
      <c r="K97" s="52">
        <f>AVERAGE('24.08 Bukwo-Suam-24h'!K97,'26.08 Bukwo-Suam-24h'!K97)</f>
        <v>0</v>
      </c>
      <c r="L97" s="52">
        <f>AVERAGE('24.08 Bukwo-Suam-24h'!L97,'26.08 Bukwo-Suam-24h'!L97)</f>
        <v>0</v>
      </c>
      <c r="M97" s="52">
        <f>AVERAGE('24.08 Bukwo-Suam-24h'!M97,'26.08 Bukwo-Suam-24h'!M97)</f>
        <v>0</v>
      </c>
      <c r="N97" s="52">
        <f>AVERAGE('24.08 Bukwo-Suam-24h'!N97,'26.08 Bukwo-Suam-24h'!N97)</f>
        <v>0</v>
      </c>
      <c r="O97" s="15">
        <f t="shared" si="35"/>
        <v>1.5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52">
        <f>AVERAGE('24.08 Bukwo-Suam-24h'!C98,'26.08 Bukwo-Suam-24h'!C98)</f>
        <v>0</v>
      </c>
      <c r="D98" s="52">
        <f>AVERAGE('24.08 Bukwo-Suam-24h'!D98,'26.08 Bukwo-Suam-24h'!D98)</f>
        <v>0</v>
      </c>
      <c r="E98" s="52">
        <f>AVERAGE('24.08 Bukwo-Suam-24h'!E98,'26.08 Bukwo-Suam-24h'!E98)</f>
        <v>0</v>
      </c>
      <c r="F98" s="52">
        <f>AVERAGE('24.08 Bukwo-Suam-24h'!F98,'26.08 Bukwo-Suam-24h'!F98)</f>
        <v>0</v>
      </c>
      <c r="G98" s="52">
        <f>AVERAGE('24.08 Bukwo-Suam-24h'!G98,'26.08 Bukwo-Suam-24h'!G98)</f>
        <v>0</v>
      </c>
      <c r="H98" s="52">
        <f>AVERAGE('24.08 Bukwo-Suam-24h'!H98,'26.08 Bukwo-Suam-24h'!H98)</f>
        <v>0</v>
      </c>
      <c r="I98" s="52">
        <f>AVERAGE('24.08 Bukwo-Suam-24h'!I98,'26.08 Bukwo-Suam-24h'!I98)</f>
        <v>0</v>
      </c>
      <c r="J98" s="52">
        <f>AVERAGE('24.08 Bukwo-Suam-24h'!J98,'26.08 Bukwo-Suam-24h'!J98)</f>
        <v>0</v>
      </c>
      <c r="K98" s="52">
        <f>AVERAGE('24.08 Bukwo-Suam-24h'!K98,'26.08 Bukwo-Suam-24h'!K98)</f>
        <v>0</v>
      </c>
      <c r="L98" s="52">
        <f>AVERAGE('24.08 Bukwo-Suam-24h'!L98,'26.08 Bukwo-Suam-24h'!L98)</f>
        <v>0</v>
      </c>
      <c r="M98" s="52">
        <f>AVERAGE('24.08 Bukwo-Suam-24h'!M98,'26.08 Bukwo-Suam-24h'!M98)</f>
        <v>0</v>
      </c>
      <c r="N98" s="52">
        <f>AVERAGE('24.08 Bukwo-Suam-24h'!N98,'26.08 Bukwo-Suam-24h'!N98)</f>
        <v>0</v>
      </c>
      <c r="O98" s="15">
        <f t="shared" si="35"/>
        <v>0</v>
      </c>
      <c r="P98" s="15">
        <f t="shared" si="36"/>
        <v>0</v>
      </c>
      <c r="R98" s="8"/>
      <c r="T98"/>
    </row>
    <row r="99" spans="2:20" ht="23.1" customHeight="1" x14ac:dyDescent="0.25">
      <c r="B99" s="23" t="s">
        <v>139</v>
      </c>
      <c r="C99" s="52">
        <f>AVERAGE('24.08 Bukwo-Suam-24h'!C99,'26.08 Bukwo-Suam-24h'!C99)</f>
        <v>0</v>
      </c>
      <c r="D99" s="52">
        <f>AVERAGE('24.08 Bukwo-Suam-24h'!D99,'26.08 Bukwo-Suam-24h'!D99)</f>
        <v>0</v>
      </c>
      <c r="E99" s="52">
        <f>AVERAGE('24.08 Bukwo-Suam-24h'!E99,'26.08 Bukwo-Suam-24h'!E99)</f>
        <v>0</v>
      </c>
      <c r="F99" s="52">
        <f>AVERAGE('24.08 Bukwo-Suam-24h'!F99,'26.08 Bukwo-Suam-24h'!F99)</f>
        <v>0</v>
      </c>
      <c r="G99" s="52">
        <f>AVERAGE('24.08 Bukwo-Suam-24h'!G99,'26.08 Bukwo-Suam-24h'!G99)</f>
        <v>0</v>
      </c>
      <c r="H99" s="52">
        <f>AVERAGE('24.08 Bukwo-Suam-24h'!H99,'26.08 Bukwo-Suam-24h'!H99)</f>
        <v>0</v>
      </c>
      <c r="I99" s="52">
        <f>AVERAGE('24.08 Bukwo-Suam-24h'!I99,'26.08 Bukwo-Suam-24h'!I99)</f>
        <v>0</v>
      </c>
      <c r="J99" s="52">
        <f>AVERAGE('24.08 Bukwo-Suam-24h'!J99,'26.08 Bukwo-Suam-24h'!J99)</f>
        <v>0</v>
      </c>
      <c r="K99" s="52">
        <f>AVERAGE('24.08 Bukwo-Suam-24h'!K99,'26.08 Bukwo-Suam-24h'!K99)</f>
        <v>0</v>
      </c>
      <c r="L99" s="52">
        <f>AVERAGE('24.08 Bukwo-Suam-24h'!L99,'26.08 Bukwo-Suam-24h'!L99)</f>
        <v>0</v>
      </c>
      <c r="M99" s="52">
        <f>AVERAGE('24.08 Bukwo-Suam-24h'!M99,'26.08 Bukwo-Suam-24h'!M99)</f>
        <v>0</v>
      </c>
      <c r="N99" s="52">
        <f>AVERAGE('24.08 Bukwo-Suam-24h'!N99,'26.08 Bukwo-Suam-24h'!N99)</f>
        <v>0</v>
      </c>
      <c r="O99" s="15">
        <f t="shared" si="35"/>
        <v>0</v>
      </c>
      <c r="P99" s="15">
        <f t="shared" si="36"/>
        <v>0</v>
      </c>
      <c r="R99" s="8"/>
      <c r="T99"/>
    </row>
    <row r="100" spans="2:20" ht="23.1" customHeight="1" x14ac:dyDescent="0.25">
      <c r="B100" s="25" t="s">
        <v>140</v>
      </c>
      <c r="C100" s="52">
        <f>AVERAGE('24.08 Bukwo-Suam-24h'!C100,'26.08 Bukwo-Suam-24h'!C100)</f>
        <v>0</v>
      </c>
      <c r="D100" s="52">
        <f>AVERAGE('24.08 Bukwo-Suam-24h'!D100,'26.08 Bukwo-Suam-24h'!D100)</f>
        <v>0</v>
      </c>
      <c r="E100" s="52">
        <f>AVERAGE('24.08 Bukwo-Suam-24h'!E100,'26.08 Bukwo-Suam-24h'!E100)</f>
        <v>0</v>
      </c>
      <c r="F100" s="52">
        <f>AVERAGE('24.08 Bukwo-Suam-24h'!F100,'26.08 Bukwo-Suam-24h'!F100)</f>
        <v>0</v>
      </c>
      <c r="G100" s="52">
        <f>AVERAGE('24.08 Bukwo-Suam-24h'!G100,'26.08 Bukwo-Suam-24h'!G100)</f>
        <v>0</v>
      </c>
      <c r="H100" s="52">
        <f>AVERAGE('24.08 Bukwo-Suam-24h'!H100,'26.08 Bukwo-Suam-24h'!H100)</f>
        <v>0</v>
      </c>
      <c r="I100" s="52">
        <f>AVERAGE('24.08 Bukwo-Suam-24h'!I100,'26.08 Bukwo-Suam-24h'!I100)</f>
        <v>0</v>
      </c>
      <c r="J100" s="52">
        <f>AVERAGE('24.08 Bukwo-Suam-24h'!J100,'26.08 Bukwo-Suam-24h'!J100)</f>
        <v>0</v>
      </c>
      <c r="K100" s="52">
        <f>AVERAGE('24.08 Bukwo-Suam-24h'!K100,'26.08 Bukwo-Suam-24h'!K100)</f>
        <v>0</v>
      </c>
      <c r="L100" s="52">
        <f>AVERAGE('24.08 Bukwo-Suam-24h'!L100,'26.08 Bukwo-Suam-24h'!L100)</f>
        <v>0</v>
      </c>
      <c r="M100" s="52">
        <f>AVERAGE('24.08 Bukwo-Suam-24h'!M100,'26.08 Bukwo-Suam-24h'!M100)</f>
        <v>0.5</v>
      </c>
      <c r="N100" s="52">
        <f>AVERAGE('24.08 Bukwo-Suam-24h'!N100,'26.08 Bukwo-Suam-24h'!N100)</f>
        <v>0</v>
      </c>
      <c r="O100" s="15">
        <f t="shared" si="35"/>
        <v>0</v>
      </c>
      <c r="P100" s="15">
        <f t="shared" si="36"/>
        <v>0.5</v>
      </c>
      <c r="R100" s="8"/>
      <c r="T100"/>
    </row>
    <row r="101" spans="2:20" ht="23.1" customHeight="1" x14ac:dyDescent="0.25">
      <c r="B101" s="23" t="s">
        <v>141</v>
      </c>
      <c r="C101" s="52">
        <f>AVERAGE('24.08 Bukwo-Suam-24h'!C101,'26.08 Bukwo-Suam-24h'!C101)</f>
        <v>0</v>
      </c>
      <c r="D101" s="52">
        <f>AVERAGE('24.08 Bukwo-Suam-24h'!D101,'26.08 Bukwo-Suam-24h'!D101)</f>
        <v>0</v>
      </c>
      <c r="E101" s="52">
        <f>AVERAGE('24.08 Bukwo-Suam-24h'!E101,'26.08 Bukwo-Suam-24h'!E101)</f>
        <v>0</v>
      </c>
      <c r="F101" s="52">
        <f>AVERAGE('24.08 Bukwo-Suam-24h'!F101,'26.08 Bukwo-Suam-24h'!F101)</f>
        <v>0</v>
      </c>
      <c r="G101" s="52">
        <f>AVERAGE('24.08 Bukwo-Suam-24h'!G101,'26.08 Bukwo-Suam-24h'!G101)</f>
        <v>0</v>
      </c>
      <c r="H101" s="52">
        <f>AVERAGE('24.08 Bukwo-Suam-24h'!H101,'26.08 Bukwo-Suam-24h'!H101)</f>
        <v>0</v>
      </c>
      <c r="I101" s="52">
        <f>AVERAGE('24.08 Bukwo-Suam-24h'!I101,'26.08 Bukwo-Suam-24h'!I101)</f>
        <v>0</v>
      </c>
      <c r="J101" s="52">
        <f>AVERAGE('24.08 Bukwo-Suam-24h'!J101,'26.08 Bukwo-Suam-24h'!J101)</f>
        <v>0</v>
      </c>
      <c r="K101" s="52">
        <f>AVERAGE('24.08 Bukwo-Suam-24h'!K101,'26.08 Bukwo-Suam-24h'!K101)</f>
        <v>0</v>
      </c>
      <c r="L101" s="52">
        <f>AVERAGE('24.08 Bukwo-Suam-24h'!L101,'26.08 Bukwo-Suam-24h'!L101)</f>
        <v>0</v>
      </c>
      <c r="M101" s="52">
        <f>AVERAGE('24.08 Bukwo-Suam-24h'!M101,'26.08 Bukwo-Suam-24h'!M101)</f>
        <v>2</v>
      </c>
      <c r="N101" s="52">
        <f>AVERAGE('24.08 Bukwo-Suam-24h'!N101,'26.08 Bukwo-Suam-24h'!N101)</f>
        <v>0</v>
      </c>
      <c r="O101" s="15">
        <f t="shared" si="35"/>
        <v>0</v>
      </c>
      <c r="P101" s="15">
        <f t="shared" si="36"/>
        <v>2</v>
      </c>
      <c r="R101" s="8"/>
      <c r="T101"/>
    </row>
    <row r="102" spans="2:20" ht="23.1" customHeight="1" x14ac:dyDescent="0.25">
      <c r="B102" s="24" t="s">
        <v>142</v>
      </c>
      <c r="C102" s="52">
        <f>AVERAGE('24.08 Bukwo-Suam-24h'!C102,'26.08 Bukwo-Suam-24h'!C102)</f>
        <v>0</v>
      </c>
      <c r="D102" s="52">
        <f>AVERAGE('24.08 Bukwo-Suam-24h'!D102,'26.08 Bukwo-Suam-24h'!D102)</f>
        <v>0</v>
      </c>
      <c r="E102" s="52">
        <f>AVERAGE('24.08 Bukwo-Suam-24h'!E102,'26.08 Bukwo-Suam-24h'!E102)</f>
        <v>0</v>
      </c>
      <c r="F102" s="52">
        <f>AVERAGE('24.08 Bukwo-Suam-24h'!F102,'26.08 Bukwo-Suam-24h'!F102)</f>
        <v>0</v>
      </c>
      <c r="G102" s="52">
        <f>AVERAGE('24.08 Bukwo-Suam-24h'!G102,'26.08 Bukwo-Suam-24h'!G102)</f>
        <v>0</v>
      </c>
      <c r="H102" s="52">
        <f>AVERAGE('24.08 Bukwo-Suam-24h'!H102,'26.08 Bukwo-Suam-24h'!H102)</f>
        <v>0</v>
      </c>
      <c r="I102" s="52">
        <f>AVERAGE('24.08 Bukwo-Suam-24h'!I102,'26.08 Bukwo-Suam-24h'!I102)</f>
        <v>0</v>
      </c>
      <c r="J102" s="52">
        <f>AVERAGE('24.08 Bukwo-Suam-24h'!J102,'26.08 Bukwo-Suam-24h'!J102)</f>
        <v>0</v>
      </c>
      <c r="K102" s="52">
        <f>AVERAGE('24.08 Bukwo-Suam-24h'!K102,'26.08 Bukwo-Suam-24h'!K102)</f>
        <v>0</v>
      </c>
      <c r="L102" s="52">
        <f>AVERAGE('24.08 Bukwo-Suam-24h'!L102,'26.08 Bukwo-Suam-24h'!L102)</f>
        <v>0</v>
      </c>
      <c r="M102" s="52">
        <f>AVERAGE('24.08 Bukwo-Suam-24h'!M102,'26.08 Bukwo-Suam-24h'!M102)</f>
        <v>0.5</v>
      </c>
      <c r="N102" s="52">
        <f>AVERAGE('24.08 Bukwo-Suam-24h'!N102,'26.08 Bukwo-Suam-24h'!N102)</f>
        <v>0</v>
      </c>
      <c r="O102" s="15">
        <f t="shared" si="35"/>
        <v>0</v>
      </c>
      <c r="P102" s="15">
        <f t="shared" si="36"/>
        <v>0.5</v>
      </c>
      <c r="R102" s="8"/>
      <c r="T102"/>
    </row>
    <row r="103" spans="2:20" ht="23.1" customHeight="1" x14ac:dyDescent="0.25">
      <c r="B103" s="23" t="s">
        <v>143</v>
      </c>
      <c r="C103" s="52">
        <f>AVERAGE('24.08 Bukwo-Suam-24h'!C103,'26.08 Bukwo-Suam-24h'!C103)</f>
        <v>0</v>
      </c>
      <c r="D103" s="52">
        <f>AVERAGE('24.08 Bukwo-Suam-24h'!D103,'26.08 Bukwo-Suam-24h'!D103)</f>
        <v>0</v>
      </c>
      <c r="E103" s="52">
        <f>AVERAGE('24.08 Bukwo-Suam-24h'!E103,'26.08 Bukwo-Suam-24h'!E103)</f>
        <v>0</v>
      </c>
      <c r="F103" s="52">
        <f>AVERAGE('24.08 Bukwo-Suam-24h'!F103,'26.08 Bukwo-Suam-24h'!F103)</f>
        <v>0</v>
      </c>
      <c r="G103" s="52">
        <f>AVERAGE('24.08 Bukwo-Suam-24h'!G103,'26.08 Bukwo-Suam-24h'!G103)</f>
        <v>0</v>
      </c>
      <c r="H103" s="52">
        <f>AVERAGE('24.08 Bukwo-Suam-24h'!H103,'26.08 Bukwo-Suam-24h'!H103)</f>
        <v>0</v>
      </c>
      <c r="I103" s="52">
        <f>AVERAGE('24.08 Bukwo-Suam-24h'!I103,'26.08 Bukwo-Suam-24h'!I103)</f>
        <v>0</v>
      </c>
      <c r="J103" s="52">
        <f>AVERAGE('24.08 Bukwo-Suam-24h'!J103,'26.08 Bukwo-Suam-24h'!J103)</f>
        <v>0</v>
      </c>
      <c r="K103" s="52">
        <f>AVERAGE('24.08 Bukwo-Suam-24h'!K103,'26.08 Bukwo-Suam-24h'!K103)</f>
        <v>0</v>
      </c>
      <c r="L103" s="52">
        <f>AVERAGE('24.08 Bukwo-Suam-24h'!L103,'26.08 Bukwo-Suam-24h'!L103)</f>
        <v>0</v>
      </c>
      <c r="M103" s="52">
        <f>AVERAGE('24.08 Bukwo-Suam-24h'!M103,'26.08 Bukwo-Suam-24h'!M103)</f>
        <v>3.5</v>
      </c>
      <c r="N103" s="52">
        <f>AVERAGE('24.08 Bukwo-Suam-24h'!N103,'26.08 Bukwo-Suam-24h'!N103)</f>
        <v>0</v>
      </c>
      <c r="O103" s="15">
        <f t="shared" si="35"/>
        <v>0</v>
      </c>
      <c r="P103" s="15">
        <f t="shared" si="36"/>
        <v>3.5</v>
      </c>
      <c r="R103" s="8"/>
      <c r="T103"/>
    </row>
    <row r="104" spans="2:20" ht="23.1" customHeight="1" x14ac:dyDescent="0.25">
      <c r="B104" s="25" t="s">
        <v>144</v>
      </c>
      <c r="C104" s="52">
        <f>AVERAGE('24.08 Bukwo-Suam-24h'!C104,'26.08 Bukwo-Suam-24h'!C104)</f>
        <v>0</v>
      </c>
      <c r="D104" s="52">
        <f>AVERAGE('24.08 Bukwo-Suam-24h'!D104,'26.08 Bukwo-Suam-24h'!D104)</f>
        <v>0</v>
      </c>
      <c r="E104" s="52">
        <f>AVERAGE('24.08 Bukwo-Suam-24h'!E104,'26.08 Bukwo-Suam-24h'!E104)</f>
        <v>0</v>
      </c>
      <c r="F104" s="52">
        <f>AVERAGE('24.08 Bukwo-Suam-24h'!F104,'26.08 Bukwo-Suam-24h'!F104)</f>
        <v>0</v>
      </c>
      <c r="G104" s="52">
        <f>AVERAGE('24.08 Bukwo-Suam-24h'!G104,'26.08 Bukwo-Suam-24h'!G104)</f>
        <v>0</v>
      </c>
      <c r="H104" s="52">
        <f>AVERAGE('24.08 Bukwo-Suam-24h'!H104,'26.08 Bukwo-Suam-24h'!H104)</f>
        <v>0</v>
      </c>
      <c r="I104" s="52">
        <f>AVERAGE('24.08 Bukwo-Suam-24h'!I104,'26.08 Bukwo-Suam-24h'!I104)</f>
        <v>0.5</v>
      </c>
      <c r="J104" s="52">
        <f>AVERAGE('24.08 Bukwo-Suam-24h'!J104,'26.08 Bukwo-Suam-24h'!J104)</f>
        <v>0</v>
      </c>
      <c r="K104" s="52">
        <f>AVERAGE('24.08 Bukwo-Suam-24h'!K104,'26.08 Bukwo-Suam-24h'!K104)</f>
        <v>0</v>
      </c>
      <c r="L104" s="52">
        <f>AVERAGE('24.08 Bukwo-Suam-24h'!L104,'26.08 Bukwo-Suam-24h'!L104)</f>
        <v>0</v>
      </c>
      <c r="M104" s="52">
        <f>AVERAGE('24.08 Bukwo-Suam-24h'!M104,'26.08 Bukwo-Suam-24h'!M104)</f>
        <v>1</v>
      </c>
      <c r="N104" s="52">
        <f>AVERAGE('24.08 Bukwo-Suam-24h'!N104,'26.08 Bukwo-Suam-24h'!N104)</f>
        <v>0</v>
      </c>
      <c r="O104" s="15">
        <f t="shared" si="35"/>
        <v>0.5</v>
      </c>
      <c r="P104" s="15">
        <f t="shared" si="36"/>
        <v>1.5</v>
      </c>
      <c r="R104" s="8"/>
      <c r="T104"/>
    </row>
    <row r="105" spans="2:20" ht="23.1" customHeight="1" x14ac:dyDescent="0.25">
      <c r="B105" s="23" t="s">
        <v>145</v>
      </c>
      <c r="C105" s="52">
        <f>AVERAGE('24.08 Bukwo-Suam-24h'!C105,'26.08 Bukwo-Suam-24h'!C105)</f>
        <v>0</v>
      </c>
      <c r="D105" s="52">
        <f>AVERAGE('24.08 Bukwo-Suam-24h'!D105,'26.08 Bukwo-Suam-24h'!D105)</f>
        <v>0</v>
      </c>
      <c r="E105" s="52">
        <f>AVERAGE('24.08 Bukwo-Suam-24h'!E105,'26.08 Bukwo-Suam-24h'!E105)</f>
        <v>0</v>
      </c>
      <c r="F105" s="52">
        <f>AVERAGE('24.08 Bukwo-Suam-24h'!F105,'26.08 Bukwo-Suam-24h'!F105)</f>
        <v>0</v>
      </c>
      <c r="G105" s="52">
        <f>AVERAGE('24.08 Bukwo-Suam-24h'!G105,'26.08 Bukwo-Suam-24h'!G105)</f>
        <v>0</v>
      </c>
      <c r="H105" s="52">
        <f>AVERAGE('24.08 Bukwo-Suam-24h'!H105,'26.08 Bukwo-Suam-24h'!H105)</f>
        <v>0</v>
      </c>
      <c r="I105" s="52">
        <f>AVERAGE('24.08 Bukwo-Suam-24h'!I105,'26.08 Bukwo-Suam-24h'!I105)</f>
        <v>0</v>
      </c>
      <c r="J105" s="52">
        <f>AVERAGE('24.08 Bukwo-Suam-24h'!J105,'26.08 Bukwo-Suam-24h'!J105)</f>
        <v>0</v>
      </c>
      <c r="K105" s="52">
        <f>AVERAGE('24.08 Bukwo-Suam-24h'!K105,'26.08 Bukwo-Suam-24h'!K105)</f>
        <v>0</v>
      </c>
      <c r="L105" s="52">
        <f>AVERAGE('24.08 Bukwo-Suam-24h'!L105,'26.08 Bukwo-Suam-24h'!L105)</f>
        <v>0</v>
      </c>
      <c r="M105" s="52">
        <f>AVERAGE('24.08 Bukwo-Suam-24h'!M105,'26.08 Bukwo-Suam-24h'!M105)</f>
        <v>3</v>
      </c>
      <c r="N105" s="52">
        <f>AVERAGE('24.08 Bukwo-Suam-24h'!N105,'26.08 Bukwo-Suam-24h'!N105)</f>
        <v>0</v>
      </c>
      <c r="O105" s="15">
        <f t="shared" si="35"/>
        <v>0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6.2857142857142847</v>
      </c>
      <c r="D106" s="16">
        <f t="shared" ref="D106:P106" si="37">SUM(D10:D105)</f>
        <v>0</v>
      </c>
      <c r="E106" s="16">
        <f t="shared" si="37"/>
        <v>10.142857142857144</v>
      </c>
      <c r="F106" s="16">
        <f t="shared" si="37"/>
        <v>0.2857142857142857</v>
      </c>
      <c r="G106" s="16">
        <f t="shared" si="37"/>
        <v>0</v>
      </c>
      <c r="H106" s="16">
        <f t="shared" si="37"/>
        <v>0</v>
      </c>
      <c r="I106" s="16">
        <f t="shared" si="37"/>
        <v>23.214285714285708</v>
      </c>
      <c r="J106" s="16">
        <f t="shared" si="37"/>
        <v>1.9285714285714282</v>
      </c>
      <c r="K106" s="16">
        <f t="shared" si="37"/>
        <v>0.14285714285714285</v>
      </c>
      <c r="L106" s="16">
        <f t="shared" si="37"/>
        <v>0</v>
      </c>
      <c r="M106" s="16">
        <f t="shared" si="37"/>
        <v>579.28571428571433</v>
      </c>
      <c r="N106" s="16">
        <f t="shared" si="37"/>
        <v>0</v>
      </c>
      <c r="O106" s="16">
        <f t="shared" si="37"/>
        <v>42</v>
      </c>
      <c r="P106" s="16">
        <f t="shared" si="37"/>
        <v>621.28571428571422</v>
      </c>
      <c r="R106" s="8"/>
      <c r="T106"/>
    </row>
    <row r="107" spans="2:20" ht="23.1" customHeight="1" x14ac:dyDescent="0.25">
      <c r="B107" s="26" t="s">
        <v>93</v>
      </c>
      <c r="C107" s="43">
        <f>C106/$P$106</f>
        <v>1.0117268337548861E-2</v>
      </c>
      <c r="D107" s="43">
        <f t="shared" ref="D107:N107" si="38">D106/$P$106</f>
        <v>0</v>
      </c>
      <c r="E107" s="43">
        <f t="shared" si="38"/>
        <v>1.6325592090135666E-2</v>
      </c>
      <c r="F107" s="43">
        <f t="shared" si="38"/>
        <v>4.5987583352494828E-4</v>
      </c>
      <c r="G107" s="43">
        <f t="shared" si="38"/>
        <v>0</v>
      </c>
      <c r="H107" s="43">
        <f t="shared" si="38"/>
        <v>0</v>
      </c>
      <c r="I107" s="43">
        <f t="shared" si="38"/>
        <v>3.7364911473902043E-2</v>
      </c>
      <c r="J107" s="43">
        <f t="shared" si="38"/>
        <v>3.1041618762934005E-3</v>
      </c>
      <c r="K107" s="43">
        <f t="shared" si="38"/>
        <v>2.2993791676247414E-4</v>
      </c>
      <c r="L107" s="43">
        <f t="shared" si="38"/>
        <v>0</v>
      </c>
      <c r="M107" s="43">
        <f t="shared" si="38"/>
        <v>0.93239825247183283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0.1496598639455782</v>
      </c>
      <c r="D108" s="44">
        <f t="shared" ref="D108:N108" si="39">D106/$O$106</f>
        <v>0</v>
      </c>
      <c r="E108" s="44">
        <f t="shared" si="39"/>
        <v>0.2414965986394558</v>
      </c>
      <c r="F108" s="44">
        <f t="shared" si="39"/>
        <v>6.8027210884353739E-3</v>
      </c>
      <c r="G108" s="44">
        <f t="shared" si="39"/>
        <v>0</v>
      </c>
      <c r="H108" s="44">
        <f t="shared" si="39"/>
        <v>0</v>
      </c>
      <c r="I108" s="44">
        <f t="shared" si="39"/>
        <v>0.55272108843537404</v>
      </c>
      <c r="J108" s="44">
        <f t="shared" si="39"/>
        <v>4.5918367346938764E-2</v>
      </c>
      <c r="K108" s="44">
        <f t="shared" si="39"/>
        <v>3.4013605442176869E-3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N73" zoomScale="60" workbookViewId="0">
      <selection activeCell="Z93" sqref="Z9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2" t="s">
        <v>23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2:32" ht="20.100000000000001" customHeight="1" x14ac:dyDescent="0.25">
      <c r="B2" s="63" t="s">
        <v>95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2:32" ht="20.100000000000001" customHeight="1" x14ac:dyDescent="0.25">
      <c r="B3" s="22" t="s">
        <v>96</v>
      </c>
      <c r="C3" s="67" t="str">
        <f>'29.08 Bukwo-Suam'!C3:G3</f>
        <v>MCC-C5-STN144-SUAM-BUKWO</v>
      </c>
      <c r="D3" s="67"/>
      <c r="E3" s="67"/>
      <c r="F3" s="67"/>
      <c r="G3" s="67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70" t="s">
        <v>162</v>
      </c>
      <c r="E5" s="71"/>
      <c r="F5" s="41" t="s">
        <v>1</v>
      </c>
      <c r="G5" s="68" t="str">
        <f>'Avg Week Bukwo-Suam'!G5:H5</f>
        <v>KAMKAMBA</v>
      </c>
      <c r="H5" s="69"/>
      <c r="I5" s="14"/>
      <c r="J5" s="2" t="s">
        <v>5</v>
      </c>
      <c r="K5" s="68" t="str">
        <f>'Avg Week Bukwo-Suam'!K5:L5</f>
        <v>NORMAN</v>
      </c>
      <c r="L5" s="69"/>
      <c r="M5" s="10"/>
      <c r="N5" s="10"/>
      <c r="O5" s="3"/>
      <c r="P5" s="3"/>
    </row>
    <row r="6" spans="2:32" ht="23.25" customHeight="1" x14ac:dyDescent="0.25">
      <c r="C6" s="2" t="s">
        <v>4</v>
      </c>
      <c r="D6" s="72" t="s">
        <v>161</v>
      </c>
      <c r="E6" s="73"/>
      <c r="F6" s="2" t="s">
        <v>2</v>
      </c>
      <c r="G6" s="72" t="s">
        <v>161</v>
      </c>
      <c r="H6" s="73"/>
      <c r="J6" s="2" t="s">
        <v>21</v>
      </c>
      <c r="K6" s="68" t="str">
        <f>'Avg Week Bukwo-Suam'!K6:L6</f>
        <v>IVAN</v>
      </c>
      <c r="L6" s="6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61" t="s">
        <v>88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Saum-Bukwo'!C10+'Avg Week Bukwo-Suam'!C10</f>
        <v>0.14285714285714285</v>
      </c>
      <c r="D10" s="49">
        <f>'Avg Week Saum-Bukwo'!D10+'Avg Week Bukwo-Suam'!D10</f>
        <v>0</v>
      </c>
      <c r="E10" s="49">
        <f>'Avg Week Saum-Bukwo'!E10+'Avg Week Bukwo-Suam'!E10</f>
        <v>0</v>
      </c>
      <c r="F10" s="49">
        <f>'Avg Week Saum-Bukwo'!F10+'Avg Week Bukwo-Suam'!F10</f>
        <v>0</v>
      </c>
      <c r="G10" s="49">
        <f>'Avg Week Saum-Bukwo'!G10+'Avg Week Bukwo-Suam'!G10</f>
        <v>0</v>
      </c>
      <c r="H10" s="49">
        <f>'Avg Week Saum-Bukwo'!H10+'Avg Week Bukwo-Suam'!H10</f>
        <v>0</v>
      </c>
      <c r="I10" s="49">
        <f>'Avg Week Saum-Bukwo'!I10+'Avg Week Bukwo-Suam'!I10</f>
        <v>0.14285714285714285</v>
      </c>
      <c r="J10" s="49">
        <f>'Avg Week Saum-Bukwo'!J10+'Avg Week Bukwo-Suam'!J10</f>
        <v>0</v>
      </c>
      <c r="K10" s="49">
        <f>'Avg Week Saum-Bukwo'!K10+'Avg Week Bukwo-Suam'!K10</f>
        <v>0</v>
      </c>
      <c r="L10" s="49">
        <f>'Avg Week Saum-Bukwo'!L10+'Avg Week Bukwo-Suam'!L10</f>
        <v>0</v>
      </c>
      <c r="M10" s="49">
        <f>'Avg Week Saum-Bukwo'!M10+'Avg Week Bukwo-Suam'!M10</f>
        <v>3.8571428571428572</v>
      </c>
      <c r="N10" s="49">
        <f>'Avg Week Saum-Bukwo'!N10+'Avg Week Bukwo-Suam'!N10</f>
        <v>0</v>
      </c>
      <c r="O10" s="15">
        <f t="shared" ref="O10:O73" si="0">SUM(C10:L10,N10)</f>
        <v>0.2857142857142857</v>
      </c>
      <c r="P10" s="15">
        <f t="shared" ref="P10:P73" si="1">SUM(C10:N10)</f>
        <v>4.1428571428571432</v>
      </c>
      <c r="R10" s="1" t="s">
        <v>6</v>
      </c>
      <c r="S10" s="17">
        <f t="shared" ref="S10:AF10" si="2">SUM(C10:C13)</f>
        <v>0.42857142857142855</v>
      </c>
      <c r="T10" s="17">
        <f t="shared" si="2"/>
        <v>0.2857142857142857</v>
      </c>
      <c r="U10" s="17">
        <f t="shared" si="2"/>
        <v>0.5714285714285714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0.5714285714285714</v>
      </c>
      <c r="Z10" s="17">
        <f t="shared" si="2"/>
        <v>0.14285714285714285</v>
      </c>
      <c r="AA10" s="17">
        <f t="shared" si="2"/>
        <v>0</v>
      </c>
      <c r="AB10" s="17">
        <f t="shared" si="2"/>
        <v>0</v>
      </c>
      <c r="AC10" s="17">
        <f t="shared" si="2"/>
        <v>27.428571428571431</v>
      </c>
      <c r="AD10" s="17">
        <f t="shared" si="2"/>
        <v>0</v>
      </c>
      <c r="AE10" s="31">
        <f t="shared" si="2"/>
        <v>1.9999999999999998</v>
      </c>
      <c r="AF10" s="31">
        <f t="shared" si="2"/>
        <v>29.428571428571431</v>
      </c>
    </row>
    <row r="11" spans="2:32" s="6" customFormat="1" ht="23.1" customHeight="1" x14ac:dyDescent="0.25">
      <c r="B11" s="23" t="s">
        <v>38</v>
      </c>
      <c r="C11" s="49">
        <f>'Avg Week Saum-Bukwo'!C11+'Avg Week Bukwo-Suam'!C11</f>
        <v>0</v>
      </c>
      <c r="D11" s="49">
        <f>'Avg Week Saum-Bukwo'!D11+'Avg Week Bukwo-Suam'!D11</f>
        <v>0</v>
      </c>
      <c r="E11" s="49">
        <f>'Avg Week Saum-Bukwo'!E11+'Avg Week Bukwo-Suam'!E11</f>
        <v>0</v>
      </c>
      <c r="F11" s="49">
        <f>'Avg Week Saum-Bukwo'!F11+'Avg Week Bukwo-Suam'!F11</f>
        <v>0</v>
      </c>
      <c r="G11" s="49">
        <f>'Avg Week Saum-Bukwo'!G11+'Avg Week Bukwo-Suam'!G11</f>
        <v>0</v>
      </c>
      <c r="H11" s="49">
        <f>'Avg Week Saum-Bukwo'!H11+'Avg Week Bukwo-Suam'!H11</f>
        <v>0</v>
      </c>
      <c r="I11" s="49">
        <f>'Avg Week Saum-Bukwo'!I11+'Avg Week Bukwo-Suam'!I11</f>
        <v>0.14285714285714285</v>
      </c>
      <c r="J11" s="49">
        <f>'Avg Week Saum-Bukwo'!J11+'Avg Week Bukwo-Suam'!J11</f>
        <v>0</v>
      </c>
      <c r="K11" s="49">
        <f>'Avg Week Saum-Bukwo'!K11+'Avg Week Bukwo-Suam'!K11</f>
        <v>0</v>
      </c>
      <c r="L11" s="49">
        <f>'Avg Week Saum-Bukwo'!L11+'Avg Week Bukwo-Suam'!L11</f>
        <v>0</v>
      </c>
      <c r="M11" s="49">
        <f>'Avg Week Saum-Bukwo'!M11+'Avg Week Bukwo-Suam'!M11</f>
        <v>5.1428571428571432</v>
      </c>
      <c r="N11" s="49">
        <f>'Avg Week Saum-Bukwo'!N11+'Avg Week Bukwo-Suam'!N11</f>
        <v>0</v>
      </c>
      <c r="O11" s="15">
        <f t="shared" si="0"/>
        <v>0.14285714285714285</v>
      </c>
      <c r="P11" s="15">
        <f t="shared" si="1"/>
        <v>5.2857142857142865</v>
      </c>
      <c r="R11" s="1" t="s">
        <v>7</v>
      </c>
      <c r="S11" s="17">
        <f t="shared" ref="S11:AF11" si="3">SUM(C14:C17)</f>
        <v>0.71428571428571419</v>
      </c>
      <c r="T11" s="17">
        <f t="shared" si="3"/>
        <v>0.42857142857142855</v>
      </c>
      <c r="U11" s="17">
        <f t="shared" si="3"/>
        <v>2.2857142857142856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1.4285714285714286</v>
      </c>
      <c r="Z11" s="17">
        <f t="shared" si="3"/>
        <v>0.2857142857142857</v>
      </c>
      <c r="AA11" s="17">
        <f t="shared" si="3"/>
        <v>0</v>
      </c>
      <c r="AB11" s="17">
        <f t="shared" si="3"/>
        <v>0</v>
      </c>
      <c r="AC11" s="17">
        <f t="shared" si="3"/>
        <v>45</v>
      </c>
      <c r="AD11" s="17">
        <f t="shared" si="3"/>
        <v>0</v>
      </c>
      <c r="AE11" s="31">
        <f t="shared" si="3"/>
        <v>5.1428571428571423</v>
      </c>
      <c r="AF11" s="31">
        <f t="shared" si="3"/>
        <v>50.142857142857139</v>
      </c>
    </row>
    <row r="12" spans="2:32" ht="23.1" customHeight="1" x14ac:dyDescent="0.25">
      <c r="B12" s="23" t="s">
        <v>39</v>
      </c>
      <c r="C12" s="49">
        <f>'Avg Week Saum-Bukwo'!C12+'Avg Week Bukwo-Suam'!C12</f>
        <v>0</v>
      </c>
      <c r="D12" s="49">
        <f>'Avg Week Saum-Bukwo'!D12+'Avg Week Bukwo-Suam'!D12</f>
        <v>0.14285714285714285</v>
      </c>
      <c r="E12" s="49">
        <f>'Avg Week Saum-Bukwo'!E12+'Avg Week Bukwo-Suam'!E12</f>
        <v>0.14285714285714285</v>
      </c>
      <c r="F12" s="49">
        <f>'Avg Week Saum-Bukwo'!F12+'Avg Week Bukwo-Suam'!F12</f>
        <v>0</v>
      </c>
      <c r="G12" s="49">
        <f>'Avg Week Saum-Bukwo'!G12+'Avg Week Bukwo-Suam'!G12</f>
        <v>0</v>
      </c>
      <c r="H12" s="49">
        <f>'Avg Week Saum-Bukwo'!H12+'Avg Week Bukwo-Suam'!H12</f>
        <v>0</v>
      </c>
      <c r="I12" s="49">
        <f>'Avg Week Saum-Bukwo'!I12+'Avg Week Bukwo-Suam'!I12</f>
        <v>0</v>
      </c>
      <c r="J12" s="49">
        <f>'Avg Week Saum-Bukwo'!J12+'Avg Week Bukwo-Suam'!J12</f>
        <v>0</v>
      </c>
      <c r="K12" s="49">
        <f>'Avg Week Saum-Bukwo'!K12+'Avg Week Bukwo-Suam'!K12</f>
        <v>0</v>
      </c>
      <c r="L12" s="49">
        <f>'Avg Week Saum-Bukwo'!L12+'Avg Week Bukwo-Suam'!L12</f>
        <v>0</v>
      </c>
      <c r="M12" s="49">
        <f>'Avg Week Saum-Bukwo'!M12+'Avg Week Bukwo-Suam'!M12</f>
        <v>8.7142857142857153</v>
      </c>
      <c r="N12" s="49">
        <f>'Avg Week Saum-Bukwo'!N12+'Avg Week Bukwo-Suam'!N12</f>
        <v>0</v>
      </c>
      <c r="O12" s="15">
        <f t="shared" si="0"/>
        <v>0.2857142857142857</v>
      </c>
      <c r="P12" s="15">
        <f t="shared" si="1"/>
        <v>9.0000000000000018</v>
      </c>
      <c r="R12" s="1" t="s">
        <v>8</v>
      </c>
      <c r="S12" s="17">
        <f t="shared" ref="S12:AF12" si="4">SUM(C18:C21)</f>
        <v>0.8571428571428571</v>
      </c>
      <c r="T12" s="17">
        <f t="shared" si="4"/>
        <v>0.2857142857142857</v>
      </c>
      <c r="U12" s="17">
        <f t="shared" si="4"/>
        <v>2.1428571428571428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1.2857142857142856</v>
      </c>
      <c r="Z12" s="17">
        <f t="shared" si="4"/>
        <v>0.2857142857142857</v>
      </c>
      <c r="AA12" s="17">
        <f t="shared" si="4"/>
        <v>0</v>
      </c>
      <c r="AB12" s="17">
        <f t="shared" si="4"/>
        <v>0</v>
      </c>
      <c r="AC12" s="17">
        <f t="shared" si="4"/>
        <v>74.428571428571431</v>
      </c>
      <c r="AD12" s="17">
        <f t="shared" si="4"/>
        <v>0.14285714285714285</v>
      </c>
      <c r="AE12" s="31">
        <f t="shared" si="4"/>
        <v>4.9999999999999991</v>
      </c>
      <c r="AF12" s="31">
        <f t="shared" si="4"/>
        <v>79.428571428571416</v>
      </c>
    </row>
    <row r="13" spans="2:32" ht="23.1" customHeight="1" x14ac:dyDescent="0.25">
      <c r="B13" s="23" t="s">
        <v>40</v>
      </c>
      <c r="C13" s="49">
        <f>'Avg Week Saum-Bukwo'!C13+'Avg Week Bukwo-Suam'!C13</f>
        <v>0.2857142857142857</v>
      </c>
      <c r="D13" s="49">
        <f>'Avg Week Saum-Bukwo'!D13+'Avg Week Bukwo-Suam'!D13</f>
        <v>0.14285714285714285</v>
      </c>
      <c r="E13" s="49">
        <f>'Avg Week Saum-Bukwo'!E13+'Avg Week Bukwo-Suam'!E13</f>
        <v>0.42857142857142855</v>
      </c>
      <c r="F13" s="49">
        <f>'Avg Week Saum-Bukwo'!F13+'Avg Week Bukwo-Suam'!F13</f>
        <v>0</v>
      </c>
      <c r="G13" s="49">
        <f>'Avg Week Saum-Bukwo'!G13+'Avg Week Bukwo-Suam'!G13</f>
        <v>0</v>
      </c>
      <c r="H13" s="49">
        <f>'Avg Week Saum-Bukwo'!H13+'Avg Week Bukwo-Suam'!H13</f>
        <v>0</v>
      </c>
      <c r="I13" s="49">
        <f>'Avg Week Saum-Bukwo'!I13+'Avg Week Bukwo-Suam'!I13</f>
        <v>0.2857142857142857</v>
      </c>
      <c r="J13" s="49">
        <f>'Avg Week Saum-Bukwo'!J13+'Avg Week Bukwo-Suam'!J13</f>
        <v>0.14285714285714285</v>
      </c>
      <c r="K13" s="49">
        <f>'Avg Week Saum-Bukwo'!K13+'Avg Week Bukwo-Suam'!K13</f>
        <v>0</v>
      </c>
      <c r="L13" s="49">
        <f>'Avg Week Saum-Bukwo'!L13+'Avg Week Bukwo-Suam'!L13</f>
        <v>0</v>
      </c>
      <c r="M13" s="49">
        <f>'Avg Week Saum-Bukwo'!M13+'Avg Week Bukwo-Suam'!M13</f>
        <v>9.7142857142857153</v>
      </c>
      <c r="N13" s="49">
        <f>'Avg Week Saum-Bukwo'!N13+'Avg Week Bukwo-Suam'!N13</f>
        <v>0</v>
      </c>
      <c r="O13" s="15">
        <f t="shared" si="0"/>
        <v>1.2857142857142856</v>
      </c>
      <c r="P13" s="15">
        <f t="shared" si="1"/>
        <v>11</v>
      </c>
      <c r="R13" s="1" t="s">
        <v>9</v>
      </c>
      <c r="S13" s="17">
        <f t="shared" ref="S13:AF13" si="5">SUM(C22:C25)</f>
        <v>1</v>
      </c>
      <c r="T13" s="17">
        <f t="shared" si="5"/>
        <v>0.42857142857142855</v>
      </c>
      <c r="U13" s="17">
        <f t="shared" si="5"/>
        <v>1.4285714285714284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3.1428571428571428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107.57142857142858</v>
      </c>
      <c r="AD13" s="17">
        <f t="shared" si="5"/>
        <v>0</v>
      </c>
      <c r="AE13" s="31">
        <f t="shared" si="5"/>
        <v>6</v>
      </c>
      <c r="AF13" s="31">
        <f t="shared" si="5"/>
        <v>113.57142857142857</v>
      </c>
    </row>
    <row r="14" spans="2:32" ht="23.1" customHeight="1" x14ac:dyDescent="0.25">
      <c r="B14" s="23" t="s">
        <v>41</v>
      </c>
      <c r="C14" s="49">
        <f>'Avg Week Saum-Bukwo'!C14+'Avg Week Bukwo-Suam'!C14</f>
        <v>0.2857142857142857</v>
      </c>
      <c r="D14" s="49">
        <f>'Avg Week Saum-Bukwo'!D14+'Avg Week Bukwo-Suam'!D14</f>
        <v>0</v>
      </c>
      <c r="E14" s="49">
        <f>'Avg Week Saum-Bukwo'!E14+'Avg Week Bukwo-Suam'!E14</f>
        <v>0.42857142857142855</v>
      </c>
      <c r="F14" s="49">
        <f>'Avg Week Saum-Bukwo'!F14+'Avg Week Bukwo-Suam'!F14</f>
        <v>0</v>
      </c>
      <c r="G14" s="49">
        <f>'Avg Week Saum-Bukwo'!G14+'Avg Week Bukwo-Suam'!G14</f>
        <v>0</v>
      </c>
      <c r="H14" s="49">
        <f>'Avg Week Saum-Bukwo'!H14+'Avg Week Bukwo-Suam'!H14</f>
        <v>0</v>
      </c>
      <c r="I14" s="49">
        <f>'Avg Week Saum-Bukwo'!I14+'Avg Week Bukwo-Suam'!I14</f>
        <v>0</v>
      </c>
      <c r="J14" s="49">
        <f>'Avg Week Saum-Bukwo'!J14+'Avg Week Bukwo-Suam'!J14</f>
        <v>0.14285714285714285</v>
      </c>
      <c r="K14" s="49">
        <f>'Avg Week Saum-Bukwo'!K14+'Avg Week Bukwo-Suam'!K14</f>
        <v>0</v>
      </c>
      <c r="L14" s="49">
        <f>'Avg Week Saum-Bukwo'!L14+'Avg Week Bukwo-Suam'!L14</f>
        <v>0</v>
      </c>
      <c r="M14" s="49">
        <f>'Avg Week Saum-Bukwo'!M14+'Avg Week Bukwo-Suam'!M14</f>
        <v>7.8571428571428577</v>
      </c>
      <c r="N14" s="49">
        <f>'Avg Week Saum-Bukwo'!N14+'Avg Week Bukwo-Suam'!N14</f>
        <v>0</v>
      </c>
      <c r="O14" s="15">
        <f t="shared" si="0"/>
        <v>0.85714285714285698</v>
      </c>
      <c r="P14" s="15">
        <f t="shared" si="1"/>
        <v>8.7142857142857153</v>
      </c>
      <c r="R14" s="1" t="s">
        <v>10</v>
      </c>
      <c r="S14" s="17">
        <f t="shared" ref="S14:AF14" si="6">SUM(C26:C29)</f>
        <v>0.5714285714285714</v>
      </c>
      <c r="T14" s="17">
        <f t="shared" si="6"/>
        <v>0</v>
      </c>
      <c r="U14" s="17">
        <f t="shared" si="6"/>
        <v>0.99999999999999989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4.1428571428571423</v>
      </c>
      <c r="Z14" s="17">
        <f t="shared" si="6"/>
        <v>0.14285714285714285</v>
      </c>
      <c r="AA14" s="17">
        <f t="shared" si="6"/>
        <v>0</v>
      </c>
      <c r="AB14" s="17">
        <f t="shared" si="6"/>
        <v>0</v>
      </c>
      <c r="AC14" s="17">
        <f t="shared" si="6"/>
        <v>106.57142857142857</v>
      </c>
      <c r="AD14" s="17">
        <f t="shared" si="6"/>
        <v>0</v>
      </c>
      <c r="AE14" s="31">
        <f t="shared" si="6"/>
        <v>5.8571428571428577</v>
      </c>
      <c r="AF14" s="31">
        <f t="shared" si="6"/>
        <v>112.42857142857142</v>
      </c>
    </row>
    <row r="15" spans="2:32" ht="23.1" customHeight="1" x14ac:dyDescent="0.25">
      <c r="B15" s="23" t="s">
        <v>42</v>
      </c>
      <c r="C15" s="49">
        <f>'Avg Week Saum-Bukwo'!C15+'Avg Week Bukwo-Suam'!C15</f>
        <v>0</v>
      </c>
      <c r="D15" s="49">
        <f>'Avg Week Saum-Bukwo'!D15+'Avg Week Bukwo-Suam'!D15</f>
        <v>0.14285714285714285</v>
      </c>
      <c r="E15" s="49">
        <f>'Avg Week Saum-Bukwo'!E15+'Avg Week Bukwo-Suam'!E15</f>
        <v>0.71428571428571419</v>
      </c>
      <c r="F15" s="49">
        <f>'Avg Week Saum-Bukwo'!F15+'Avg Week Bukwo-Suam'!F15</f>
        <v>0</v>
      </c>
      <c r="G15" s="49">
        <f>'Avg Week Saum-Bukwo'!G15+'Avg Week Bukwo-Suam'!G15</f>
        <v>0</v>
      </c>
      <c r="H15" s="49">
        <f>'Avg Week Saum-Bukwo'!H15+'Avg Week Bukwo-Suam'!H15</f>
        <v>0</v>
      </c>
      <c r="I15" s="49">
        <f>'Avg Week Saum-Bukwo'!I15+'Avg Week Bukwo-Suam'!I15</f>
        <v>0.42857142857142855</v>
      </c>
      <c r="J15" s="49">
        <f>'Avg Week Saum-Bukwo'!J15+'Avg Week Bukwo-Suam'!J15</f>
        <v>0.14285714285714285</v>
      </c>
      <c r="K15" s="49">
        <f>'Avg Week Saum-Bukwo'!K15+'Avg Week Bukwo-Suam'!K15</f>
        <v>0</v>
      </c>
      <c r="L15" s="49">
        <f>'Avg Week Saum-Bukwo'!L15+'Avg Week Bukwo-Suam'!L15</f>
        <v>0</v>
      </c>
      <c r="M15" s="49">
        <f>'Avg Week Saum-Bukwo'!M15+'Avg Week Bukwo-Suam'!M15</f>
        <v>10.428571428571429</v>
      </c>
      <c r="N15" s="49">
        <f>'Avg Week Saum-Bukwo'!N15+'Avg Week Bukwo-Suam'!N15</f>
        <v>0</v>
      </c>
      <c r="O15" s="15">
        <f t="shared" si="0"/>
        <v>1.4285714285714284</v>
      </c>
      <c r="P15" s="15">
        <f t="shared" si="1"/>
        <v>11.857142857142858</v>
      </c>
      <c r="R15" s="1" t="s">
        <v>11</v>
      </c>
      <c r="S15" s="17">
        <f t="shared" ref="S15:AF15" si="7">SUM(C30:C33)</f>
        <v>0.8571428571428571</v>
      </c>
      <c r="T15" s="17">
        <f t="shared" si="7"/>
        <v>0.2857142857142857</v>
      </c>
      <c r="U15" s="17">
        <f t="shared" si="7"/>
        <v>1.1428571428571428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5.4285714285714288</v>
      </c>
      <c r="Z15" s="17">
        <f t="shared" si="7"/>
        <v>0.14285714285714285</v>
      </c>
      <c r="AA15" s="17">
        <f t="shared" si="7"/>
        <v>0</v>
      </c>
      <c r="AB15" s="17">
        <f t="shared" si="7"/>
        <v>0</v>
      </c>
      <c r="AC15" s="17">
        <f t="shared" si="7"/>
        <v>103.14285714285714</v>
      </c>
      <c r="AD15" s="17">
        <f t="shared" si="7"/>
        <v>1.5714285714285714</v>
      </c>
      <c r="AE15" s="31">
        <f t="shared" si="7"/>
        <v>9.428571428571427</v>
      </c>
      <c r="AF15" s="31">
        <f t="shared" si="7"/>
        <v>112.57142857142856</v>
      </c>
    </row>
    <row r="16" spans="2:32" ht="23.1" customHeight="1" x14ac:dyDescent="0.25">
      <c r="B16" s="23" t="s">
        <v>43</v>
      </c>
      <c r="C16" s="49">
        <f>'Avg Week Saum-Bukwo'!C16+'Avg Week Bukwo-Suam'!C16</f>
        <v>0.2857142857142857</v>
      </c>
      <c r="D16" s="49">
        <f>'Avg Week Saum-Bukwo'!D16+'Avg Week Bukwo-Suam'!D16</f>
        <v>0.14285714285714285</v>
      </c>
      <c r="E16" s="49">
        <f>'Avg Week Saum-Bukwo'!E16+'Avg Week Bukwo-Suam'!E16</f>
        <v>0.2857142857142857</v>
      </c>
      <c r="F16" s="49">
        <f>'Avg Week Saum-Bukwo'!F16+'Avg Week Bukwo-Suam'!F16</f>
        <v>0</v>
      </c>
      <c r="G16" s="49">
        <f>'Avg Week Saum-Bukwo'!G16+'Avg Week Bukwo-Suam'!G16</f>
        <v>0</v>
      </c>
      <c r="H16" s="49">
        <f>'Avg Week Saum-Bukwo'!H16+'Avg Week Bukwo-Suam'!H16</f>
        <v>0</v>
      </c>
      <c r="I16" s="49">
        <f>'Avg Week Saum-Bukwo'!I16+'Avg Week Bukwo-Suam'!I16</f>
        <v>0.5714285714285714</v>
      </c>
      <c r="J16" s="49">
        <f>'Avg Week Saum-Bukwo'!J16+'Avg Week Bukwo-Suam'!J16</f>
        <v>0</v>
      </c>
      <c r="K16" s="49">
        <f>'Avg Week Saum-Bukwo'!K16+'Avg Week Bukwo-Suam'!K16</f>
        <v>0</v>
      </c>
      <c r="L16" s="49">
        <f>'Avg Week Saum-Bukwo'!L16+'Avg Week Bukwo-Suam'!L16</f>
        <v>0</v>
      </c>
      <c r="M16" s="49">
        <f>'Avg Week Saum-Bukwo'!M16+'Avg Week Bukwo-Suam'!M16</f>
        <v>12.285714285714285</v>
      </c>
      <c r="N16" s="49">
        <f>'Avg Week Saum-Bukwo'!N16+'Avg Week Bukwo-Suam'!N16</f>
        <v>0</v>
      </c>
      <c r="O16" s="15">
        <f t="shared" si="0"/>
        <v>1.2857142857142856</v>
      </c>
      <c r="P16" s="15">
        <f t="shared" si="1"/>
        <v>13.571428571428569</v>
      </c>
      <c r="R16" s="1" t="s">
        <v>12</v>
      </c>
      <c r="S16" s="17">
        <f t="shared" ref="S16:AF16" si="8">SUM(C34:C37)</f>
        <v>0.8571428571428571</v>
      </c>
      <c r="T16" s="17">
        <f t="shared" si="8"/>
        <v>0</v>
      </c>
      <c r="U16" s="17">
        <f t="shared" si="8"/>
        <v>0.2857142857142857</v>
      </c>
      <c r="V16" s="17">
        <f t="shared" si="8"/>
        <v>0.14285714285714285</v>
      </c>
      <c r="W16" s="17">
        <f t="shared" si="8"/>
        <v>0</v>
      </c>
      <c r="X16" s="17">
        <f t="shared" si="8"/>
        <v>0</v>
      </c>
      <c r="Y16" s="17">
        <f t="shared" si="8"/>
        <v>3.5714285714285712</v>
      </c>
      <c r="Z16" s="17">
        <f t="shared" si="8"/>
        <v>0.42857142857142855</v>
      </c>
      <c r="AA16" s="17">
        <f t="shared" si="8"/>
        <v>0</v>
      </c>
      <c r="AB16" s="17">
        <f t="shared" si="8"/>
        <v>0</v>
      </c>
      <c r="AC16" s="17">
        <f t="shared" si="8"/>
        <v>88.857142857142861</v>
      </c>
      <c r="AD16" s="17">
        <f t="shared" si="8"/>
        <v>0</v>
      </c>
      <c r="AE16" s="31">
        <f t="shared" si="8"/>
        <v>5.2857142857142847</v>
      </c>
      <c r="AF16" s="31">
        <f t="shared" si="8"/>
        <v>94.142857142857125</v>
      </c>
    </row>
    <row r="17" spans="2:32" ht="23.1" customHeight="1" x14ac:dyDescent="0.25">
      <c r="B17" s="23" t="s">
        <v>44</v>
      </c>
      <c r="C17" s="49">
        <f>'Avg Week Saum-Bukwo'!C17+'Avg Week Bukwo-Suam'!C17</f>
        <v>0.14285714285714285</v>
      </c>
      <c r="D17" s="49">
        <f>'Avg Week Saum-Bukwo'!D17+'Avg Week Bukwo-Suam'!D17</f>
        <v>0.14285714285714285</v>
      </c>
      <c r="E17" s="49">
        <f>'Avg Week Saum-Bukwo'!E17+'Avg Week Bukwo-Suam'!E17</f>
        <v>0.85714285714285721</v>
      </c>
      <c r="F17" s="49">
        <f>'Avg Week Saum-Bukwo'!F17+'Avg Week Bukwo-Suam'!F17</f>
        <v>0</v>
      </c>
      <c r="G17" s="49">
        <f>'Avg Week Saum-Bukwo'!G17+'Avg Week Bukwo-Suam'!G17</f>
        <v>0</v>
      </c>
      <c r="H17" s="49">
        <f>'Avg Week Saum-Bukwo'!H17+'Avg Week Bukwo-Suam'!H17</f>
        <v>0</v>
      </c>
      <c r="I17" s="49">
        <f>'Avg Week Saum-Bukwo'!I17+'Avg Week Bukwo-Suam'!I17</f>
        <v>0.42857142857142855</v>
      </c>
      <c r="J17" s="49">
        <f>'Avg Week Saum-Bukwo'!J17+'Avg Week Bukwo-Suam'!J17</f>
        <v>0</v>
      </c>
      <c r="K17" s="49">
        <f>'Avg Week Saum-Bukwo'!K17+'Avg Week Bukwo-Suam'!K17</f>
        <v>0</v>
      </c>
      <c r="L17" s="49">
        <f>'Avg Week Saum-Bukwo'!L17+'Avg Week Bukwo-Suam'!L17</f>
        <v>0</v>
      </c>
      <c r="M17" s="49">
        <f>'Avg Week Saum-Bukwo'!M17+'Avg Week Bukwo-Suam'!M17</f>
        <v>14.428571428571429</v>
      </c>
      <c r="N17" s="49">
        <f>'Avg Week Saum-Bukwo'!N17+'Avg Week Bukwo-Suam'!N17</f>
        <v>0</v>
      </c>
      <c r="O17" s="15">
        <f t="shared" si="0"/>
        <v>1.5714285714285714</v>
      </c>
      <c r="P17" s="15">
        <f t="shared" si="1"/>
        <v>16</v>
      </c>
      <c r="R17" s="1" t="s">
        <v>13</v>
      </c>
      <c r="S17" s="17">
        <f t="shared" ref="S17:AF17" si="9">SUM(C38:C41)</f>
        <v>0.5714285714285714</v>
      </c>
      <c r="T17" s="17">
        <f t="shared" si="9"/>
        <v>0.85714285714285698</v>
      </c>
      <c r="U17" s="17">
        <f t="shared" si="9"/>
        <v>1.2857142857142856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3.714285714285714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91.857142857142861</v>
      </c>
      <c r="AD17" s="17">
        <f t="shared" si="9"/>
        <v>0.14285714285714285</v>
      </c>
      <c r="AE17" s="31">
        <f t="shared" si="9"/>
        <v>6.5714285714285712</v>
      </c>
      <c r="AF17" s="31">
        <f t="shared" si="9"/>
        <v>98.428571428571431</v>
      </c>
    </row>
    <row r="18" spans="2:32" ht="23.1" customHeight="1" x14ac:dyDescent="0.25">
      <c r="B18" s="23" t="s">
        <v>45</v>
      </c>
      <c r="C18" s="49">
        <f>'Avg Week Saum-Bukwo'!C18+'Avg Week Bukwo-Suam'!C18</f>
        <v>0</v>
      </c>
      <c r="D18" s="49">
        <f>'Avg Week Saum-Bukwo'!D18+'Avg Week Bukwo-Suam'!D18</f>
        <v>0.14285714285714285</v>
      </c>
      <c r="E18" s="49">
        <f>'Avg Week Saum-Bukwo'!E18+'Avg Week Bukwo-Suam'!E18</f>
        <v>0.5714285714285714</v>
      </c>
      <c r="F18" s="49">
        <f>'Avg Week Saum-Bukwo'!F18+'Avg Week Bukwo-Suam'!F18</f>
        <v>0</v>
      </c>
      <c r="G18" s="49">
        <f>'Avg Week Saum-Bukwo'!G18+'Avg Week Bukwo-Suam'!G18</f>
        <v>0</v>
      </c>
      <c r="H18" s="49">
        <f>'Avg Week Saum-Bukwo'!H18+'Avg Week Bukwo-Suam'!H18</f>
        <v>0</v>
      </c>
      <c r="I18" s="49">
        <f>'Avg Week Saum-Bukwo'!I18+'Avg Week Bukwo-Suam'!I18</f>
        <v>0.2857142857142857</v>
      </c>
      <c r="J18" s="49">
        <f>'Avg Week Saum-Bukwo'!J18+'Avg Week Bukwo-Suam'!J18</f>
        <v>0</v>
      </c>
      <c r="K18" s="49">
        <f>'Avg Week Saum-Bukwo'!K18+'Avg Week Bukwo-Suam'!K18</f>
        <v>0</v>
      </c>
      <c r="L18" s="49">
        <f>'Avg Week Saum-Bukwo'!L18+'Avg Week Bukwo-Suam'!L18</f>
        <v>0</v>
      </c>
      <c r="M18" s="49">
        <f>'Avg Week Saum-Bukwo'!M18+'Avg Week Bukwo-Suam'!M18</f>
        <v>16.714285714285715</v>
      </c>
      <c r="N18" s="49">
        <f>'Avg Week Saum-Bukwo'!N18+'Avg Week Bukwo-Suam'!N18</f>
        <v>0</v>
      </c>
      <c r="O18" s="15">
        <f t="shared" si="0"/>
        <v>0.99999999999999989</v>
      </c>
      <c r="P18" s="15">
        <f t="shared" si="1"/>
        <v>17.714285714285715</v>
      </c>
      <c r="R18" s="1" t="s">
        <v>14</v>
      </c>
      <c r="S18" s="17">
        <f t="shared" ref="S18:AF18" si="10">SUM(C42:C45)</f>
        <v>0.85714285714285698</v>
      </c>
      <c r="T18" s="17">
        <f t="shared" si="10"/>
        <v>0.14285714285714285</v>
      </c>
      <c r="U18" s="17">
        <f t="shared" si="10"/>
        <v>1.2857142857142856</v>
      </c>
      <c r="V18" s="17">
        <f t="shared" si="10"/>
        <v>0.14285714285714285</v>
      </c>
      <c r="W18" s="17">
        <f t="shared" si="10"/>
        <v>0</v>
      </c>
      <c r="X18" s="17">
        <f t="shared" si="10"/>
        <v>0</v>
      </c>
      <c r="Y18" s="17">
        <f t="shared" si="10"/>
        <v>4.1428571428571423</v>
      </c>
      <c r="Z18" s="17">
        <f t="shared" si="10"/>
        <v>0.2857142857142857</v>
      </c>
      <c r="AA18" s="17">
        <f t="shared" si="10"/>
        <v>0.14285714285714285</v>
      </c>
      <c r="AB18" s="17">
        <f t="shared" si="10"/>
        <v>0</v>
      </c>
      <c r="AC18" s="17">
        <f t="shared" si="10"/>
        <v>74.285714285714278</v>
      </c>
      <c r="AD18" s="17">
        <f t="shared" si="10"/>
        <v>0</v>
      </c>
      <c r="AE18" s="31">
        <f t="shared" si="10"/>
        <v>6.9999999999999991</v>
      </c>
      <c r="AF18" s="31">
        <f t="shared" si="10"/>
        <v>81.285714285714278</v>
      </c>
    </row>
    <row r="19" spans="2:32" ht="23.1" customHeight="1" x14ac:dyDescent="0.25">
      <c r="B19" s="23" t="s">
        <v>46</v>
      </c>
      <c r="C19" s="49">
        <f>'Avg Week Saum-Bukwo'!C19+'Avg Week Bukwo-Suam'!C19</f>
        <v>0.14285714285714285</v>
      </c>
      <c r="D19" s="49">
        <f>'Avg Week Saum-Bukwo'!D19+'Avg Week Bukwo-Suam'!D19</f>
        <v>0</v>
      </c>
      <c r="E19" s="49">
        <f>'Avg Week Saum-Bukwo'!E19+'Avg Week Bukwo-Suam'!E19</f>
        <v>0.5714285714285714</v>
      </c>
      <c r="F19" s="49">
        <f>'Avg Week Saum-Bukwo'!F19+'Avg Week Bukwo-Suam'!F19</f>
        <v>0</v>
      </c>
      <c r="G19" s="49">
        <f>'Avg Week Saum-Bukwo'!G19+'Avg Week Bukwo-Suam'!G19</f>
        <v>0</v>
      </c>
      <c r="H19" s="49">
        <f>'Avg Week Saum-Bukwo'!H19+'Avg Week Bukwo-Suam'!H19</f>
        <v>0</v>
      </c>
      <c r="I19" s="49">
        <f>'Avg Week Saum-Bukwo'!I19+'Avg Week Bukwo-Suam'!I19</f>
        <v>0.42857142857142855</v>
      </c>
      <c r="J19" s="49">
        <f>'Avg Week Saum-Bukwo'!J19+'Avg Week Bukwo-Suam'!J19</f>
        <v>0.14285714285714285</v>
      </c>
      <c r="K19" s="49">
        <f>'Avg Week Saum-Bukwo'!K19+'Avg Week Bukwo-Suam'!K19</f>
        <v>0</v>
      </c>
      <c r="L19" s="49">
        <f>'Avg Week Saum-Bukwo'!L19+'Avg Week Bukwo-Suam'!L19</f>
        <v>0</v>
      </c>
      <c r="M19" s="49">
        <f>'Avg Week Saum-Bukwo'!M19+'Avg Week Bukwo-Suam'!M19</f>
        <v>20</v>
      </c>
      <c r="N19" s="49">
        <f>'Avg Week Saum-Bukwo'!N19+'Avg Week Bukwo-Suam'!N19</f>
        <v>0</v>
      </c>
      <c r="O19" s="15">
        <f t="shared" si="0"/>
        <v>1.2857142857142856</v>
      </c>
      <c r="P19" s="15">
        <f t="shared" si="1"/>
        <v>21.285714285714285</v>
      </c>
      <c r="R19" s="1" t="s">
        <v>15</v>
      </c>
      <c r="S19" s="17">
        <f t="shared" ref="S19:AF19" si="11">SUM(C46:C49)</f>
        <v>0.42857142857142855</v>
      </c>
      <c r="T19" s="17">
        <f t="shared" si="11"/>
        <v>0.42857142857142855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3.8571428571428568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81.714285714285708</v>
      </c>
      <c r="AD19" s="17">
        <f t="shared" si="11"/>
        <v>0</v>
      </c>
      <c r="AE19" s="31">
        <f t="shared" si="11"/>
        <v>5.7142857142857135</v>
      </c>
      <c r="AF19" s="31">
        <f t="shared" si="11"/>
        <v>87.428571428571431</v>
      </c>
    </row>
    <row r="20" spans="2:32" ht="23.1" customHeight="1" x14ac:dyDescent="0.25">
      <c r="B20" s="23" t="s">
        <v>47</v>
      </c>
      <c r="C20" s="49">
        <f>'Avg Week Saum-Bukwo'!C20+'Avg Week Bukwo-Suam'!C20</f>
        <v>0.2857142857142857</v>
      </c>
      <c r="D20" s="49">
        <f>'Avg Week Saum-Bukwo'!D20+'Avg Week Bukwo-Suam'!D20</f>
        <v>0.14285714285714285</v>
      </c>
      <c r="E20" s="49">
        <f>'Avg Week Saum-Bukwo'!E20+'Avg Week Bukwo-Suam'!E20</f>
        <v>0.71428571428571419</v>
      </c>
      <c r="F20" s="49">
        <f>'Avg Week Saum-Bukwo'!F20+'Avg Week Bukwo-Suam'!F20</f>
        <v>0</v>
      </c>
      <c r="G20" s="49">
        <f>'Avg Week Saum-Bukwo'!G20+'Avg Week Bukwo-Suam'!G20</f>
        <v>0</v>
      </c>
      <c r="H20" s="49">
        <f>'Avg Week Saum-Bukwo'!H20+'Avg Week Bukwo-Suam'!H20</f>
        <v>0</v>
      </c>
      <c r="I20" s="49">
        <f>'Avg Week Saum-Bukwo'!I20+'Avg Week Bukwo-Suam'!I20</f>
        <v>0.42857142857142855</v>
      </c>
      <c r="J20" s="49">
        <f>'Avg Week Saum-Bukwo'!J20+'Avg Week Bukwo-Suam'!J20</f>
        <v>0.14285714285714285</v>
      </c>
      <c r="K20" s="49">
        <f>'Avg Week Saum-Bukwo'!K20+'Avg Week Bukwo-Suam'!K20</f>
        <v>0</v>
      </c>
      <c r="L20" s="49">
        <f>'Avg Week Saum-Bukwo'!L20+'Avg Week Bukwo-Suam'!L20</f>
        <v>0</v>
      </c>
      <c r="M20" s="49">
        <f>'Avg Week Saum-Bukwo'!M20+'Avg Week Bukwo-Suam'!M20</f>
        <v>18.857142857142854</v>
      </c>
      <c r="N20" s="49">
        <f>'Avg Week Saum-Bukwo'!N20+'Avg Week Bukwo-Suam'!N20</f>
        <v>0.14285714285714285</v>
      </c>
      <c r="O20" s="15">
        <f t="shared" si="0"/>
        <v>1.857142857142857</v>
      </c>
      <c r="P20" s="15">
        <f t="shared" si="1"/>
        <v>20.714285714285712</v>
      </c>
      <c r="R20" s="1" t="s">
        <v>16</v>
      </c>
      <c r="S20" s="17">
        <f t="shared" ref="S20:AF20" si="12">SUM(C50:C53)</f>
        <v>1.1428571428571428</v>
      </c>
      <c r="T20" s="17">
        <f t="shared" si="12"/>
        <v>0.14285714285714285</v>
      </c>
      <c r="U20" s="17">
        <f t="shared" si="12"/>
        <v>1.8571428571428572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2.8571428571428572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76.714285714285722</v>
      </c>
      <c r="AD20" s="17">
        <f t="shared" si="12"/>
        <v>0</v>
      </c>
      <c r="AE20" s="31">
        <f t="shared" si="12"/>
        <v>6</v>
      </c>
      <c r="AF20" s="31">
        <f t="shared" si="12"/>
        <v>82.714285714285722</v>
      </c>
    </row>
    <row r="21" spans="2:32" ht="23.1" customHeight="1" x14ac:dyDescent="0.25">
      <c r="B21" s="23" t="s">
        <v>48</v>
      </c>
      <c r="C21" s="49">
        <f>'Avg Week Saum-Bukwo'!C21+'Avg Week Bukwo-Suam'!C21</f>
        <v>0.42857142857142855</v>
      </c>
      <c r="D21" s="49">
        <f>'Avg Week Saum-Bukwo'!D21+'Avg Week Bukwo-Suam'!D21</f>
        <v>0</v>
      </c>
      <c r="E21" s="49">
        <f>'Avg Week Saum-Bukwo'!E21+'Avg Week Bukwo-Suam'!E21</f>
        <v>0.2857142857142857</v>
      </c>
      <c r="F21" s="49">
        <f>'Avg Week Saum-Bukwo'!F21+'Avg Week Bukwo-Suam'!F21</f>
        <v>0</v>
      </c>
      <c r="G21" s="49">
        <f>'Avg Week Saum-Bukwo'!G21+'Avg Week Bukwo-Suam'!G21</f>
        <v>0</v>
      </c>
      <c r="H21" s="49">
        <f>'Avg Week Saum-Bukwo'!H21+'Avg Week Bukwo-Suam'!H21</f>
        <v>0</v>
      </c>
      <c r="I21" s="49">
        <f>'Avg Week Saum-Bukwo'!I21+'Avg Week Bukwo-Suam'!I21</f>
        <v>0.14285714285714285</v>
      </c>
      <c r="J21" s="49">
        <f>'Avg Week Saum-Bukwo'!J21+'Avg Week Bukwo-Suam'!J21</f>
        <v>0</v>
      </c>
      <c r="K21" s="49">
        <f>'Avg Week Saum-Bukwo'!K21+'Avg Week Bukwo-Suam'!K21</f>
        <v>0</v>
      </c>
      <c r="L21" s="49">
        <f>'Avg Week Saum-Bukwo'!L21+'Avg Week Bukwo-Suam'!L21</f>
        <v>0</v>
      </c>
      <c r="M21" s="49">
        <f>'Avg Week Saum-Bukwo'!M21+'Avg Week Bukwo-Suam'!M21</f>
        <v>18.857142857142858</v>
      </c>
      <c r="N21" s="49">
        <f>'Avg Week Saum-Bukwo'!N21+'Avg Week Bukwo-Suam'!N21</f>
        <v>0</v>
      </c>
      <c r="O21" s="15">
        <f t="shared" si="0"/>
        <v>0.85714285714285698</v>
      </c>
      <c r="P21" s="15">
        <f t="shared" si="1"/>
        <v>19.714285714285715</v>
      </c>
      <c r="R21" s="36" t="s">
        <v>20</v>
      </c>
      <c r="S21" s="34">
        <f t="shared" ref="S21:AF21" si="13">SUM(C54:C57)</f>
        <v>1.1428571428571428</v>
      </c>
      <c r="T21" s="17">
        <f t="shared" si="13"/>
        <v>0</v>
      </c>
      <c r="U21" s="17">
        <f t="shared" si="13"/>
        <v>2.1428571428571428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3.2857142857142856</v>
      </c>
      <c r="Z21" s="17">
        <f t="shared" si="13"/>
        <v>0</v>
      </c>
      <c r="AA21" s="17">
        <f t="shared" si="13"/>
        <v>0</v>
      </c>
      <c r="AB21" s="17">
        <f t="shared" si="13"/>
        <v>1.2857142857142858</v>
      </c>
      <c r="AC21" s="17">
        <f t="shared" si="13"/>
        <v>81.571428571428569</v>
      </c>
      <c r="AD21" s="17">
        <f t="shared" si="13"/>
        <v>0</v>
      </c>
      <c r="AE21" s="31">
        <f t="shared" si="13"/>
        <v>7.8571428571428577</v>
      </c>
      <c r="AF21" s="31">
        <f t="shared" si="13"/>
        <v>89.428571428571431</v>
      </c>
    </row>
    <row r="22" spans="2:32" ht="23.1" customHeight="1" x14ac:dyDescent="0.25">
      <c r="B22" s="23" t="s">
        <v>49</v>
      </c>
      <c r="C22" s="49">
        <f>'Avg Week Saum-Bukwo'!C22+'Avg Week Bukwo-Suam'!C22</f>
        <v>0</v>
      </c>
      <c r="D22" s="49">
        <f>'Avg Week Saum-Bukwo'!D22+'Avg Week Bukwo-Suam'!D22</f>
        <v>0.2857142857142857</v>
      </c>
      <c r="E22" s="49">
        <f>'Avg Week Saum-Bukwo'!E22+'Avg Week Bukwo-Suam'!E22</f>
        <v>0.42857142857142855</v>
      </c>
      <c r="F22" s="49">
        <f>'Avg Week Saum-Bukwo'!F22+'Avg Week Bukwo-Suam'!F22</f>
        <v>0</v>
      </c>
      <c r="G22" s="49">
        <f>'Avg Week Saum-Bukwo'!G22+'Avg Week Bukwo-Suam'!G22</f>
        <v>0</v>
      </c>
      <c r="H22" s="49">
        <f>'Avg Week Saum-Bukwo'!H22+'Avg Week Bukwo-Suam'!H22</f>
        <v>0</v>
      </c>
      <c r="I22" s="49">
        <f>'Avg Week Saum-Bukwo'!I22+'Avg Week Bukwo-Suam'!I22</f>
        <v>0.42857142857142855</v>
      </c>
      <c r="J22" s="49">
        <f>'Avg Week Saum-Bukwo'!J22+'Avg Week Bukwo-Suam'!J22</f>
        <v>0</v>
      </c>
      <c r="K22" s="49">
        <f>'Avg Week Saum-Bukwo'!K22+'Avg Week Bukwo-Suam'!K22</f>
        <v>0</v>
      </c>
      <c r="L22" s="49">
        <f>'Avg Week Saum-Bukwo'!L22+'Avg Week Bukwo-Suam'!L22</f>
        <v>0</v>
      </c>
      <c r="M22" s="49">
        <f>'Avg Week Saum-Bukwo'!M22+'Avg Week Bukwo-Suam'!M22</f>
        <v>23.857142857142858</v>
      </c>
      <c r="N22" s="49">
        <f>'Avg Week Saum-Bukwo'!N22+'Avg Week Bukwo-Suam'!N22</f>
        <v>0</v>
      </c>
      <c r="O22" s="15">
        <f t="shared" si="0"/>
        <v>1.1428571428571428</v>
      </c>
      <c r="P22" s="15">
        <f t="shared" si="1"/>
        <v>25</v>
      </c>
      <c r="R22" s="1" t="s">
        <v>146</v>
      </c>
      <c r="S22" s="34">
        <f>SUM(C58:C61)</f>
        <v>2</v>
      </c>
      <c r="T22" s="34">
        <f t="shared" ref="T22:AF22" si="14">SUM(D58:D61)</f>
        <v>0.5</v>
      </c>
      <c r="U22" s="34">
        <f t="shared" si="14"/>
        <v>3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52.5</v>
      </c>
      <c r="AD22" s="34">
        <f t="shared" si="14"/>
        <v>0</v>
      </c>
      <c r="AE22" s="31">
        <f t="shared" si="14"/>
        <v>8</v>
      </c>
      <c r="AF22" s="31">
        <f t="shared" si="14"/>
        <v>60.5</v>
      </c>
    </row>
    <row r="23" spans="2:32" ht="23.1" customHeight="1" x14ac:dyDescent="0.25">
      <c r="B23" s="23" t="s">
        <v>50</v>
      </c>
      <c r="C23" s="49">
        <f>'Avg Week Saum-Bukwo'!C23+'Avg Week Bukwo-Suam'!C23</f>
        <v>0.2857142857142857</v>
      </c>
      <c r="D23" s="49">
        <f>'Avg Week Saum-Bukwo'!D23+'Avg Week Bukwo-Suam'!D23</f>
        <v>0</v>
      </c>
      <c r="E23" s="49">
        <f>'Avg Week Saum-Bukwo'!E23+'Avg Week Bukwo-Suam'!E23</f>
        <v>0.5714285714285714</v>
      </c>
      <c r="F23" s="49">
        <f>'Avg Week Saum-Bukwo'!F23+'Avg Week Bukwo-Suam'!F23</f>
        <v>0</v>
      </c>
      <c r="G23" s="49">
        <f>'Avg Week Saum-Bukwo'!G23+'Avg Week Bukwo-Suam'!G23</f>
        <v>0</v>
      </c>
      <c r="H23" s="49">
        <f>'Avg Week Saum-Bukwo'!H23+'Avg Week Bukwo-Suam'!H23</f>
        <v>0</v>
      </c>
      <c r="I23" s="49">
        <f>'Avg Week Saum-Bukwo'!I23+'Avg Week Bukwo-Suam'!I23</f>
        <v>1</v>
      </c>
      <c r="J23" s="49">
        <f>'Avg Week Saum-Bukwo'!J23+'Avg Week Bukwo-Suam'!J23</f>
        <v>0</v>
      </c>
      <c r="K23" s="49">
        <f>'Avg Week Saum-Bukwo'!K23+'Avg Week Bukwo-Suam'!K23</f>
        <v>0</v>
      </c>
      <c r="L23" s="49">
        <f>'Avg Week Saum-Bukwo'!L23+'Avg Week Bukwo-Suam'!L23</f>
        <v>0</v>
      </c>
      <c r="M23" s="49">
        <f>'Avg Week Saum-Bukwo'!M23+'Avg Week Bukwo-Suam'!M23</f>
        <v>28.428571428571431</v>
      </c>
      <c r="N23" s="49">
        <f>'Avg Week Saum-Bukwo'!N23+'Avg Week Bukwo-Suam'!N23</f>
        <v>0</v>
      </c>
      <c r="O23" s="15">
        <f t="shared" si="0"/>
        <v>1.8571428571428572</v>
      </c>
      <c r="P23" s="15">
        <f t="shared" si="1"/>
        <v>30.285714285714288</v>
      </c>
      <c r="R23" s="1" t="s">
        <v>147</v>
      </c>
      <c r="S23" s="34">
        <f>SUM(C62:C65)</f>
        <v>0</v>
      </c>
      <c r="T23" s="34">
        <f t="shared" ref="T23:AF23" si="15">SUM(D62:D65)</f>
        <v>0.5</v>
      </c>
      <c r="U23" s="34">
        <f t="shared" si="15"/>
        <v>1.5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3.5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49</v>
      </c>
      <c r="AD23" s="34">
        <f t="shared" si="15"/>
        <v>0</v>
      </c>
      <c r="AE23" s="31">
        <f t="shared" si="15"/>
        <v>5.5</v>
      </c>
      <c r="AF23" s="31">
        <f t="shared" si="15"/>
        <v>54.5</v>
      </c>
    </row>
    <row r="24" spans="2:32" ht="23.1" customHeight="1" x14ac:dyDescent="0.25">
      <c r="B24" s="23" t="s">
        <v>51</v>
      </c>
      <c r="C24" s="49">
        <f>'Avg Week Saum-Bukwo'!C24+'Avg Week Bukwo-Suam'!C24</f>
        <v>0.2857142857142857</v>
      </c>
      <c r="D24" s="49">
        <f>'Avg Week Saum-Bukwo'!D24+'Avg Week Bukwo-Suam'!D24</f>
        <v>0.14285714285714285</v>
      </c>
      <c r="E24" s="49">
        <f>'Avg Week Saum-Bukwo'!E24+'Avg Week Bukwo-Suam'!E24</f>
        <v>0.14285714285714285</v>
      </c>
      <c r="F24" s="49">
        <f>'Avg Week Saum-Bukwo'!F24+'Avg Week Bukwo-Suam'!F24</f>
        <v>0</v>
      </c>
      <c r="G24" s="49">
        <f>'Avg Week Saum-Bukwo'!G24+'Avg Week Bukwo-Suam'!G24</f>
        <v>0</v>
      </c>
      <c r="H24" s="49">
        <f>'Avg Week Saum-Bukwo'!H24+'Avg Week Bukwo-Suam'!H24</f>
        <v>0</v>
      </c>
      <c r="I24" s="49">
        <f>'Avg Week Saum-Bukwo'!I24+'Avg Week Bukwo-Suam'!I24</f>
        <v>0.71428571428571419</v>
      </c>
      <c r="J24" s="49">
        <f>'Avg Week Saum-Bukwo'!J24+'Avg Week Bukwo-Suam'!J24</f>
        <v>0</v>
      </c>
      <c r="K24" s="49">
        <f>'Avg Week Saum-Bukwo'!K24+'Avg Week Bukwo-Suam'!K24</f>
        <v>0</v>
      </c>
      <c r="L24" s="49">
        <f>'Avg Week Saum-Bukwo'!L24+'Avg Week Bukwo-Suam'!L24</f>
        <v>0</v>
      </c>
      <c r="M24" s="49">
        <f>'Avg Week Saum-Bukwo'!M24+'Avg Week Bukwo-Suam'!M24</f>
        <v>26.571428571428569</v>
      </c>
      <c r="N24" s="49">
        <f>'Avg Week Saum-Bukwo'!N24+'Avg Week Bukwo-Suam'!N24</f>
        <v>0</v>
      </c>
      <c r="O24" s="15">
        <f t="shared" si="0"/>
        <v>1.2857142857142856</v>
      </c>
      <c r="P24" s="15">
        <f t="shared" si="1"/>
        <v>27.857142857142854</v>
      </c>
      <c r="R24" s="1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1.5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3.5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55.5</v>
      </c>
      <c r="AD24" s="34">
        <f t="shared" si="16"/>
        <v>0</v>
      </c>
      <c r="AE24" s="31">
        <f t="shared" si="16"/>
        <v>6</v>
      </c>
      <c r="AF24" s="31">
        <f t="shared" si="16"/>
        <v>61.5</v>
      </c>
    </row>
    <row r="25" spans="2:32" ht="23.1" customHeight="1" x14ac:dyDescent="0.25">
      <c r="B25" s="23" t="s">
        <v>52</v>
      </c>
      <c r="C25" s="49">
        <f>'Avg Week Saum-Bukwo'!C25+'Avg Week Bukwo-Suam'!C25</f>
        <v>0.42857142857142855</v>
      </c>
      <c r="D25" s="49">
        <f>'Avg Week Saum-Bukwo'!D25+'Avg Week Bukwo-Suam'!D25</f>
        <v>0</v>
      </c>
      <c r="E25" s="49">
        <f>'Avg Week Saum-Bukwo'!E25+'Avg Week Bukwo-Suam'!E25</f>
        <v>0.2857142857142857</v>
      </c>
      <c r="F25" s="49">
        <f>'Avg Week Saum-Bukwo'!F25+'Avg Week Bukwo-Suam'!F25</f>
        <v>0</v>
      </c>
      <c r="G25" s="49">
        <f>'Avg Week Saum-Bukwo'!G25+'Avg Week Bukwo-Suam'!G25</f>
        <v>0</v>
      </c>
      <c r="H25" s="49">
        <f>'Avg Week Saum-Bukwo'!H25+'Avg Week Bukwo-Suam'!H25</f>
        <v>0</v>
      </c>
      <c r="I25" s="49">
        <f>'Avg Week Saum-Bukwo'!I25+'Avg Week Bukwo-Suam'!I25</f>
        <v>1</v>
      </c>
      <c r="J25" s="49">
        <f>'Avg Week Saum-Bukwo'!J25+'Avg Week Bukwo-Suam'!J25</f>
        <v>0</v>
      </c>
      <c r="K25" s="49">
        <f>'Avg Week Saum-Bukwo'!K25+'Avg Week Bukwo-Suam'!K25</f>
        <v>0</v>
      </c>
      <c r="L25" s="49">
        <f>'Avg Week Saum-Bukwo'!L25+'Avg Week Bukwo-Suam'!L25</f>
        <v>0</v>
      </c>
      <c r="M25" s="49">
        <f>'Avg Week Saum-Bukwo'!M25+'Avg Week Bukwo-Suam'!M25</f>
        <v>28.714285714285715</v>
      </c>
      <c r="N25" s="49">
        <f>'Avg Week Saum-Bukwo'!N25+'Avg Week Bukwo-Suam'!N25</f>
        <v>0</v>
      </c>
      <c r="O25" s="15">
        <f t="shared" si="0"/>
        <v>1.7142857142857142</v>
      </c>
      <c r="P25" s="15">
        <f t="shared" si="1"/>
        <v>30.428571428571431</v>
      </c>
      <c r="R25" s="1" t="s">
        <v>149</v>
      </c>
      <c r="S25" s="34">
        <f>SUM(C70:C73)</f>
        <v>0.5</v>
      </c>
      <c r="T25" s="34">
        <f t="shared" ref="T25:AF25" si="17">SUM(D70:D73)</f>
        <v>0</v>
      </c>
      <c r="U25" s="34">
        <f t="shared" si="17"/>
        <v>0.5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0.5</v>
      </c>
      <c r="AA25" s="34">
        <f t="shared" si="17"/>
        <v>0</v>
      </c>
      <c r="AB25" s="34">
        <f t="shared" si="17"/>
        <v>0</v>
      </c>
      <c r="AC25" s="34">
        <f t="shared" si="17"/>
        <v>44.5</v>
      </c>
      <c r="AD25" s="34">
        <f t="shared" si="17"/>
        <v>0</v>
      </c>
      <c r="AE25" s="31">
        <f t="shared" si="17"/>
        <v>2.5</v>
      </c>
      <c r="AF25" s="31">
        <f t="shared" si="17"/>
        <v>47</v>
      </c>
    </row>
    <row r="26" spans="2:32" ht="23.1" customHeight="1" x14ac:dyDescent="0.25">
      <c r="B26" s="23" t="s">
        <v>53</v>
      </c>
      <c r="C26" s="49">
        <f>'Avg Week Saum-Bukwo'!C26+'Avg Week Bukwo-Suam'!C26</f>
        <v>0.14285714285714285</v>
      </c>
      <c r="D26" s="49">
        <f>'Avg Week Saum-Bukwo'!D26+'Avg Week Bukwo-Suam'!D26</f>
        <v>0</v>
      </c>
      <c r="E26" s="49">
        <f>'Avg Week Saum-Bukwo'!E26+'Avg Week Bukwo-Suam'!E26</f>
        <v>0.2857142857142857</v>
      </c>
      <c r="F26" s="49">
        <f>'Avg Week Saum-Bukwo'!F26+'Avg Week Bukwo-Suam'!F26</f>
        <v>0</v>
      </c>
      <c r="G26" s="49">
        <f>'Avg Week Saum-Bukwo'!G26+'Avg Week Bukwo-Suam'!G26</f>
        <v>0</v>
      </c>
      <c r="H26" s="49">
        <f>'Avg Week Saum-Bukwo'!H26+'Avg Week Bukwo-Suam'!H26</f>
        <v>0</v>
      </c>
      <c r="I26" s="49">
        <f>'Avg Week Saum-Bukwo'!I26+'Avg Week Bukwo-Suam'!I26</f>
        <v>0.71428571428571419</v>
      </c>
      <c r="J26" s="49">
        <f>'Avg Week Saum-Bukwo'!J26+'Avg Week Bukwo-Suam'!J26</f>
        <v>0</v>
      </c>
      <c r="K26" s="49">
        <f>'Avg Week Saum-Bukwo'!K26+'Avg Week Bukwo-Suam'!K26</f>
        <v>0</v>
      </c>
      <c r="L26" s="49">
        <f>'Avg Week Saum-Bukwo'!L26+'Avg Week Bukwo-Suam'!L26</f>
        <v>0</v>
      </c>
      <c r="M26" s="49">
        <f>'Avg Week Saum-Bukwo'!M26+'Avg Week Bukwo-Suam'!M26</f>
        <v>26.285714285714285</v>
      </c>
      <c r="N26" s="49">
        <f>'Avg Week Saum-Bukwo'!N26+'Avg Week Bukwo-Suam'!N26</f>
        <v>0</v>
      </c>
      <c r="O26" s="15">
        <f t="shared" si="0"/>
        <v>1.1428571428571428</v>
      </c>
      <c r="P26" s="15">
        <f t="shared" si="1"/>
        <v>27.428571428571427</v>
      </c>
      <c r="R26" s="1" t="s">
        <v>150</v>
      </c>
      <c r="S26" s="34">
        <f>SUM(C74:C77)</f>
        <v>0.5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16</v>
      </c>
      <c r="AD26" s="34">
        <f t="shared" si="18"/>
        <v>0</v>
      </c>
      <c r="AE26" s="31">
        <f t="shared" si="18"/>
        <v>2</v>
      </c>
      <c r="AF26" s="31">
        <f t="shared" si="18"/>
        <v>18</v>
      </c>
    </row>
    <row r="27" spans="2:32" ht="23.1" customHeight="1" x14ac:dyDescent="0.25">
      <c r="B27" s="23" t="s">
        <v>54</v>
      </c>
      <c r="C27" s="49">
        <f>'Avg Week Saum-Bukwo'!C27+'Avg Week Bukwo-Suam'!C27</f>
        <v>0.42857142857142855</v>
      </c>
      <c r="D27" s="49">
        <f>'Avg Week Saum-Bukwo'!D27+'Avg Week Bukwo-Suam'!D27</f>
        <v>0</v>
      </c>
      <c r="E27" s="49">
        <f>'Avg Week Saum-Bukwo'!E27+'Avg Week Bukwo-Suam'!E27</f>
        <v>0.14285714285714285</v>
      </c>
      <c r="F27" s="49">
        <f>'Avg Week Saum-Bukwo'!F27+'Avg Week Bukwo-Suam'!F27</f>
        <v>0</v>
      </c>
      <c r="G27" s="49">
        <f>'Avg Week Saum-Bukwo'!G27+'Avg Week Bukwo-Suam'!G27</f>
        <v>0</v>
      </c>
      <c r="H27" s="49">
        <f>'Avg Week Saum-Bukwo'!H27+'Avg Week Bukwo-Suam'!H27</f>
        <v>0</v>
      </c>
      <c r="I27" s="49">
        <f>'Avg Week Saum-Bukwo'!I27+'Avg Week Bukwo-Suam'!I27</f>
        <v>1</v>
      </c>
      <c r="J27" s="49">
        <f>'Avg Week Saum-Bukwo'!J27+'Avg Week Bukwo-Suam'!J27</f>
        <v>0</v>
      </c>
      <c r="K27" s="49">
        <f>'Avg Week Saum-Bukwo'!K27+'Avg Week Bukwo-Suam'!K27</f>
        <v>0</v>
      </c>
      <c r="L27" s="49">
        <f>'Avg Week Saum-Bukwo'!L27+'Avg Week Bukwo-Suam'!L27</f>
        <v>0</v>
      </c>
      <c r="M27" s="49">
        <f>'Avg Week Saum-Bukwo'!M27+'Avg Week Bukwo-Suam'!M27</f>
        <v>27.857142857142854</v>
      </c>
      <c r="N27" s="49">
        <f>'Avg Week Saum-Bukwo'!N27+'Avg Week Bukwo-Suam'!N27</f>
        <v>0</v>
      </c>
      <c r="O27" s="15">
        <f t="shared" si="0"/>
        <v>1.5714285714285714</v>
      </c>
      <c r="P27" s="15">
        <f t="shared" si="1"/>
        <v>29.428571428571427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0</v>
      </c>
      <c r="AF27" s="31">
        <f t="shared" si="19"/>
        <v>3</v>
      </c>
    </row>
    <row r="28" spans="2:32" ht="23.1" customHeight="1" x14ac:dyDescent="0.25">
      <c r="B28" s="23" t="s">
        <v>55</v>
      </c>
      <c r="C28" s="49">
        <f>'Avg Week Saum-Bukwo'!C28+'Avg Week Bukwo-Suam'!C28</f>
        <v>0</v>
      </c>
      <c r="D28" s="49">
        <f>'Avg Week Saum-Bukwo'!D28+'Avg Week Bukwo-Suam'!D28</f>
        <v>0</v>
      </c>
      <c r="E28" s="49">
        <f>'Avg Week Saum-Bukwo'!E28+'Avg Week Bukwo-Suam'!E28</f>
        <v>0.2857142857142857</v>
      </c>
      <c r="F28" s="49">
        <f>'Avg Week Saum-Bukwo'!F28+'Avg Week Bukwo-Suam'!F28</f>
        <v>0</v>
      </c>
      <c r="G28" s="49">
        <f>'Avg Week Saum-Bukwo'!G28+'Avg Week Bukwo-Suam'!G28</f>
        <v>0</v>
      </c>
      <c r="H28" s="49">
        <f>'Avg Week Saum-Bukwo'!H28+'Avg Week Bukwo-Suam'!H28</f>
        <v>0</v>
      </c>
      <c r="I28" s="49">
        <f>'Avg Week Saum-Bukwo'!I28+'Avg Week Bukwo-Suam'!I28</f>
        <v>0.71428571428571419</v>
      </c>
      <c r="J28" s="49">
        <f>'Avg Week Saum-Bukwo'!J28+'Avg Week Bukwo-Suam'!J28</f>
        <v>0</v>
      </c>
      <c r="K28" s="49">
        <f>'Avg Week Saum-Bukwo'!K28+'Avg Week Bukwo-Suam'!K28</f>
        <v>0</v>
      </c>
      <c r="L28" s="49">
        <f>'Avg Week Saum-Bukwo'!L28+'Avg Week Bukwo-Suam'!L28</f>
        <v>0</v>
      </c>
      <c r="M28" s="49">
        <f>'Avg Week Saum-Bukwo'!M28+'Avg Week Bukwo-Suam'!M28</f>
        <v>26.571428571428569</v>
      </c>
      <c r="N28" s="49">
        <f>'Avg Week Saum-Bukwo'!N28+'Avg Week Bukwo-Suam'!N28</f>
        <v>0</v>
      </c>
      <c r="O28" s="15">
        <f t="shared" si="0"/>
        <v>0.99999999999999989</v>
      </c>
      <c r="P28" s="15">
        <f t="shared" si="1"/>
        <v>27.571428571428569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0.5</v>
      </c>
      <c r="AD28" s="34">
        <f t="shared" si="20"/>
        <v>0</v>
      </c>
      <c r="AE28" s="31">
        <f t="shared" si="20"/>
        <v>1</v>
      </c>
      <c r="AF28" s="31">
        <f t="shared" si="20"/>
        <v>1.5</v>
      </c>
    </row>
    <row r="29" spans="2:32" ht="23.1" customHeight="1" x14ac:dyDescent="0.25">
      <c r="B29" s="23" t="s">
        <v>56</v>
      </c>
      <c r="C29" s="49">
        <f>'Avg Week Saum-Bukwo'!C29+'Avg Week Bukwo-Suam'!C29</f>
        <v>0</v>
      </c>
      <c r="D29" s="49">
        <f>'Avg Week Saum-Bukwo'!D29+'Avg Week Bukwo-Suam'!D29</f>
        <v>0</v>
      </c>
      <c r="E29" s="49">
        <f>'Avg Week Saum-Bukwo'!E29+'Avg Week Bukwo-Suam'!E29</f>
        <v>0.2857142857142857</v>
      </c>
      <c r="F29" s="49">
        <f>'Avg Week Saum-Bukwo'!F29+'Avg Week Bukwo-Suam'!F29</f>
        <v>0</v>
      </c>
      <c r="G29" s="49">
        <f>'Avg Week Saum-Bukwo'!G29+'Avg Week Bukwo-Suam'!G29</f>
        <v>0</v>
      </c>
      <c r="H29" s="49">
        <f>'Avg Week Saum-Bukwo'!H29+'Avg Week Bukwo-Suam'!H29</f>
        <v>0</v>
      </c>
      <c r="I29" s="49">
        <f>'Avg Week Saum-Bukwo'!I29+'Avg Week Bukwo-Suam'!I29</f>
        <v>1.7142857142857144</v>
      </c>
      <c r="J29" s="49">
        <f>'Avg Week Saum-Bukwo'!J29+'Avg Week Bukwo-Suam'!J29</f>
        <v>0.14285714285714285</v>
      </c>
      <c r="K29" s="49">
        <f>'Avg Week Saum-Bukwo'!K29+'Avg Week Bukwo-Suam'!K29</f>
        <v>0</v>
      </c>
      <c r="L29" s="49">
        <f>'Avg Week Saum-Bukwo'!L29+'Avg Week Bukwo-Suam'!L29</f>
        <v>0</v>
      </c>
      <c r="M29" s="49">
        <f>'Avg Week Saum-Bukwo'!M29+'Avg Week Bukwo-Suam'!M29</f>
        <v>25.857142857142858</v>
      </c>
      <c r="N29" s="49">
        <f>'Avg Week Saum-Bukwo'!N29+'Avg Week Bukwo-Suam'!N29</f>
        <v>0</v>
      </c>
      <c r="O29" s="15">
        <f t="shared" si="0"/>
        <v>2.1428571428571428</v>
      </c>
      <c r="P29" s="15">
        <f t="shared" si="1"/>
        <v>28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23" t="s">
        <v>57</v>
      </c>
      <c r="C30" s="49">
        <f>'Avg Week Saum-Bukwo'!C30+'Avg Week Bukwo-Suam'!C30</f>
        <v>0.14285714285714285</v>
      </c>
      <c r="D30" s="49">
        <f>'Avg Week Saum-Bukwo'!D30+'Avg Week Bukwo-Suam'!D30</f>
        <v>0</v>
      </c>
      <c r="E30" s="49">
        <f>'Avg Week Saum-Bukwo'!E30+'Avg Week Bukwo-Suam'!E30</f>
        <v>0.42857142857142855</v>
      </c>
      <c r="F30" s="49">
        <f>'Avg Week Saum-Bukwo'!F30+'Avg Week Bukwo-Suam'!F30</f>
        <v>0</v>
      </c>
      <c r="G30" s="49">
        <f>'Avg Week Saum-Bukwo'!G30+'Avg Week Bukwo-Suam'!G30</f>
        <v>0</v>
      </c>
      <c r="H30" s="49">
        <f>'Avg Week Saum-Bukwo'!H30+'Avg Week Bukwo-Suam'!H30</f>
        <v>0</v>
      </c>
      <c r="I30" s="49">
        <f>'Avg Week Saum-Bukwo'!I30+'Avg Week Bukwo-Suam'!I30</f>
        <v>1.7142857142857142</v>
      </c>
      <c r="J30" s="49">
        <f>'Avg Week Saum-Bukwo'!J30+'Avg Week Bukwo-Suam'!J30</f>
        <v>0</v>
      </c>
      <c r="K30" s="49">
        <f>'Avg Week Saum-Bukwo'!K30+'Avg Week Bukwo-Suam'!K30</f>
        <v>0</v>
      </c>
      <c r="L30" s="49">
        <f>'Avg Week Saum-Bukwo'!L30+'Avg Week Bukwo-Suam'!L30</f>
        <v>0</v>
      </c>
      <c r="M30" s="49">
        <f>'Avg Week Saum-Bukwo'!M30+'Avg Week Bukwo-Suam'!M30</f>
        <v>23.285714285714285</v>
      </c>
      <c r="N30" s="49">
        <f>'Avg Week Saum-Bukwo'!N30+'Avg Week Bukwo-Suam'!N30</f>
        <v>0</v>
      </c>
      <c r="O30" s="15">
        <f t="shared" si="0"/>
        <v>2.2857142857142856</v>
      </c>
      <c r="P30" s="15">
        <f t="shared" si="1"/>
        <v>25.571428571428569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'Avg Week Saum-Bukwo'!C31+'Avg Week Bukwo-Suam'!C31</f>
        <v>0.2857142857142857</v>
      </c>
      <c r="D31" s="49">
        <f>'Avg Week Saum-Bukwo'!D31+'Avg Week Bukwo-Suam'!D31</f>
        <v>0</v>
      </c>
      <c r="E31" s="49">
        <f>'Avg Week Saum-Bukwo'!E31+'Avg Week Bukwo-Suam'!E31</f>
        <v>0.42857142857142855</v>
      </c>
      <c r="F31" s="49">
        <f>'Avg Week Saum-Bukwo'!F31+'Avg Week Bukwo-Suam'!F31</f>
        <v>0</v>
      </c>
      <c r="G31" s="49">
        <f>'Avg Week Saum-Bukwo'!G31+'Avg Week Bukwo-Suam'!G31</f>
        <v>0</v>
      </c>
      <c r="H31" s="49">
        <f>'Avg Week Saum-Bukwo'!H31+'Avg Week Bukwo-Suam'!H31</f>
        <v>0</v>
      </c>
      <c r="I31" s="49">
        <f>'Avg Week Saum-Bukwo'!I31+'Avg Week Bukwo-Suam'!I31</f>
        <v>1.5714285714285714</v>
      </c>
      <c r="J31" s="49">
        <f>'Avg Week Saum-Bukwo'!J31+'Avg Week Bukwo-Suam'!J31</f>
        <v>0</v>
      </c>
      <c r="K31" s="49">
        <f>'Avg Week Saum-Bukwo'!K31+'Avg Week Bukwo-Suam'!K31</f>
        <v>0</v>
      </c>
      <c r="L31" s="49">
        <f>'Avg Week Saum-Bukwo'!L31+'Avg Week Bukwo-Suam'!L31</f>
        <v>0</v>
      </c>
      <c r="M31" s="49">
        <f>'Avg Week Saum-Bukwo'!M31+'Avg Week Bukwo-Suam'!M31</f>
        <v>26.714285714285715</v>
      </c>
      <c r="N31" s="49">
        <f>'Avg Week Saum-Bukwo'!N31+'Avg Week Bukwo-Suam'!N31</f>
        <v>0</v>
      </c>
      <c r="O31" s="15">
        <f t="shared" si="0"/>
        <v>2.2857142857142856</v>
      </c>
      <c r="P31" s="15">
        <f t="shared" si="1"/>
        <v>29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1.5</v>
      </c>
      <c r="AF31" s="31">
        <f t="shared" si="23"/>
        <v>1.5</v>
      </c>
    </row>
    <row r="32" spans="2:32" ht="23.1" customHeight="1" x14ac:dyDescent="0.25">
      <c r="B32" s="24" t="s">
        <v>59</v>
      </c>
      <c r="C32" s="49">
        <f>'Avg Week Saum-Bukwo'!C32+'Avg Week Bukwo-Suam'!C32</f>
        <v>0</v>
      </c>
      <c r="D32" s="49">
        <f>'Avg Week Saum-Bukwo'!D32+'Avg Week Bukwo-Suam'!D32</f>
        <v>0.14285714285714285</v>
      </c>
      <c r="E32" s="49">
        <f>'Avg Week Saum-Bukwo'!E32+'Avg Week Bukwo-Suam'!E32</f>
        <v>0.14285714285714285</v>
      </c>
      <c r="F32" s="49">
        <f>'Avg Week Saum-Bukwo'!F32+'Avg Week Bukwo-Suam'!F32</f>
        <v>0</v>
      </c>
      <c r="G32" s="49">
        <f>'Avg Week Saum-Bukwo'!G32+'Avg Week Bukwo-Suam'!G32</f>
        <v>0</v>
      </c>
      <c r="H32" s="49">
        <f>'Avg Week Saum-Bukwo'!H32+'Avg Week Bukwo-Suam'!H32</f>
        <v>0</v>
      </c>
      <c r="I32" s="49">
        <f>'Avg Week Saum-Bukwo'!I32+'Avg Week Bukwo-Suam'!I32</f>
        <v>1.1428571428571428</v>
      </c>
      <c r="J32" s="49">
        <f>'Avg Week Saum-Bukwo'!J32+'Avg Week Bukwo-Suam'!J32</f>
        <v>0.14285714285714285</v>
      </c>
      <c r="K32" s="49">
        <f>'Avg Week Saum-Bukwo'!K32+'Avg Week Bukwo-Suam'!K32</f>
        <v>0</v>
      </c>
      <c r="L32" s="49">
        <f>'Avg Week Saum-Bukwo'!L32+'Avg Week Bukwo-Suam'!L32</f>
        <v>0</v>
      </c>
      <c r="M32" s="49">
        <f>'Avg Week Saum-Bukwo'!M32+'Avg Week Bukwo-Suam'!M32</f>
        <v>26.285714285714285</v>
      </c>
      <c r="N32" s="49">
        <f>'Avg Week Saum-Bukwo'!N32+'Avg Week Bukwo-Suam'!N32</f>
        <v>0</v>
      </c>
      <c r="O32" s="15">
        <f t="shared" si="0"/>
        <v>1.5714285714285712</v>
      </c>
      <c r="P32" s="15">
        <f t="shared" si="1"/>
        <v>27.857142857142854</v>
      </c>
      <c r="R32" s="1" t="s">
        <v>156</v>
      </c>
      <c r="S32" s="34">
        <f>SUM(C98:C101)</f>
        <v>0.5</v>
      </c>
      <c r="T32" s="34">
        <f t="shared" ref="T32:AF32" si="24">SUM(D98:D101)</f>
        <v>0</v>
      </c>
      <c r="U32" s="34">
        <f t="shared" si="24"/>
        <v>0.5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</v>
      </c>
      <c r="AD32" s="34">
        <f t="shared" si="24"/>
        <v>0</v>
      </c>
      <c r="AE32" s="31">
        <f t="shared" si="24"/>
        <v>4</v>
      </c>
      <c r="AF32" s="31">
        <f t="shared" si="24"/>
        <v>9</v>
      </c>
    </row>
    <row r="33" spans="2:32" ht="23.1" customHeight="1" x14ac:dyDescent="0.25">
      <c r="B33" s="23" t="s">
        <v>60</v>
      </c>
      <c r="C33" s="49">
        <f>'Avg Week Saum-Bukwo'!C33+'Avg Week Bukwo-Suam'!C33</f>
        <v>0.42857142857142855</v>
      </c>
      <c r="D33" s="49">
        <f>'Avg Week Saum-Bukwo'!D33+'Avg Week Bukwo-Suam'!D33</f>
        <v>0.14285714285714285</v>
      </c>
      <c r="E33" s="49">
        <f>'Avg Week Saum-Bukwo'!E33+'Avg Week Bukwo-Suam'!E33</f>
        <v>0.14285714285714285</v>
      </c>
      <c r="F33" s="49">
        <f>'Avg Week Saum-Bukwo'!F33+'Avg Week Bukwo-Suam'!F33</f>
        <v>0</v>
      </c>
      <c r="G33" s="49">
        <f>'Avg Week Saum-Bukwo'!G33+'Avg Week Bukwo-Suam'!G33</f>
        <v>0</v>
      </c>
      <c r="H33" s="49">
        <f>'Avg Week Saum-Bukwo'!H33+'Avg Week Bukwo-Suam'!H33</f>
        <v>0</v>
      </c>
      <c r="I33" s="49">
        <f>'Avg Week Saum-Bukwo'!I33+'Avg Week Bukwo-Suam'!I33</f>
        <v>1</v>
      </c>
      <c r="J33" s="49">
        <f>'Avg Week Saum-Bukwo'!J33+'Avg Week Bukwo-Suam'!J33</f>
        <v>0</v>
      </c>
      <c r="K33" s="49">
        <f>'Avg Week Saum-Bukwo'!K33+'Avg Week Bukwo-Suam'!K33</f>
        <v>0</v>
      </c>
      <c r="L33" s="49">
        <f>'Avg Week Saum-Bukwo'!L33+'Avg Week Bukwo-Suam'!L33</f>
        <v>0</v>
      </c>
      <c r="M33" s="49">
        <f>'Avg Week Saum-Bukwo'!M33+'Avg Week Bukwo-Suam'!M33</f>
        <v>26.857142857142858</v>
      </c>
      <c r="N33" s="49">
        <f>'Avg Week Saum-Bukwo'!N33+'Avg Week Bukwo-Suam'!N33</f>
        <v>1.5714285714285714</v>
      </c>
      <c r="O33" s="15">
        <f t="shared" si="0"/>
        <v>3.2857142857142856</v>
      </c>
      <c r="P33" s="15">
        <f t="shared" si="1"/>
        <v>30.142857142857146</v>
      </c>
      <c r="R33" s="1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9.5</v>
      </c>
      <c r="AD33" s="34">
        <f t="shared" si="25"/>
        <v>0</v>
      </c>
      <c r="AE33" s="31">
        <f t="shared" si="25"/>
        <v>1.5</v>
      </c>
      <c r="AF33" s="31">
        <f t="shared" si="25"/>
        <v>11</v>
      </c>
    </row>
    <row r="34" spans="2:32" ht="23.1" customHeight="1" x14ac:dyDescent="0.25">
      <c r="B34" s="24" t="s">
        <v>61</v>
      </c>
      <c r="C34" s="49">
        <f>'Avg Week Saum-Bukwo'!C34+'Avg Week Bukwo-Suam'!C34</f>
        <v>0.2857142857142857</v>
      </c>
      <c r="D34" s="49">
        <f>'Avg Week Saum-Bukwo'!D34+'Avg Week Bukwo-Suam'!D34</f>
        <v>0</v>
      </c>
      <c r="E34" s="49">
        <f>'Avg Week Saum-Bukwo'!E34+'Avg Week Bukwo-Suam'!E34</f>
        <v>0</v>
      </c>
      <c r="F34" s="49">
        <f>'Avg Week Saum-Bukwo'!F34+'Avg Week Bukwo-Suam'!F34</f>
        <v>0</v>
      </c>
      <c r="G34" s="49">
        <f>'Avg Week Saum-Bukwo'!G34+'Avg Week Bukwo-Suam'!G34</f>
        <v>0</v>
      </c>
      <c r="H34" s="49">
        <f>'Avg Week Saum-Bukwo'!H34+'Avg Week Bukwo-Suam'!H34</f>
        <v>0</v>
      </c>
      <c r="I34" s="49">
        <f>'Avg Week Saum-Bukwo'!I34+'Avg Week Bukwo-Suam'!I34</f>
        <v>0.8571428571428571</v>
      </c>
      <c r="J34" s="49">
        <f>'Avg Week Saum-Bukwo'!J34+'Avg Week Bukwo-Suam'!J34</f>
        <v>0.2857142857142857</v>
      </c>
      <c r="K34" s="49">
        <f>'Avg Week Saum-Bukwo'!K34+'Avg Week Bukwo-Suam'!K34</f>
        <v>0</v>
      </c>
      <c r="L34" s="49">
        <f>'Avg Week Saum-Bukwo'!L34+'Avg Week Bukwo-Suam'!L34</f>
        <v>0</v>
      </c>
      <c r="M34" s="49">
        <f>'Avg Week Saum-Bukwo'!M34+'Avg Week Bukwo-Suam'!M34</f>
        <v>26</v>
      </c>
      <c r="N34" s="49">
        <f>'Avg Week Saum-Bukwo'!N34+'Avg Week Bukwo-Suam'!N34</f>
        <v>0</v>
      </c>
      <c r="O34" s="15">
        <f t="shared" si="0"/>
        <v>1.4285714285714284</v>
      </c>
      <c r="P34" s="15">
        <f t="shared" si="1"/>
        <v>27.428571428571427</v>
      </c>
      <c r="R34" s="53" t="s">
        <v>90</v>
      </c>
      <c r="S34" s="54">
        <f t="shared" ref="S34:AF34" si="26">MAX(S10:S12)</f>
        <v>0.8571428571428571</v>
      </c>
      <c r="T34" s="54">
        <f t="shared" si="26"/>
        <v>0.42857142857142855</v>
      </c>
      <c r="U34" s="54">
        <f t="shared" si="26"/>
        <v>2.2857142857142856</v>
      </c>
      <c r="V34" s="54">
        <f t="shared" si="26"/>
        <v>0</v>
      </c>
      <c r="W34" s="54">
        <f t="shared" si="26"/>
        <v>0</v>
      </c>
      <c r="X34" s="54">
        <f t="shared" si="26"/>
        <v>0</v>
      </c>
      <c r="Y34" s="54">
        <f t="shared" si="26"/>
        <v>1.4285714285714286</v>
      </c>
      <c r="Z34" s="54">
        <f t="shared" si="26"/>
        <v>0.2857142857142857</v>
      </c>
      <c r="AA34" s="54">
        <f t="shared" si="26"/>
        <v>0</v>
      </c>
      <c r="AB34" s="54">
        <f t="shared" si="26"/>
        <v>0</v>
      </c>
      <c r="AC34" s="54">
        <f t="shared" si="26"/>
        <v>74.428571428571431</v>
      </c>
      <c r="AD34" s="54">
        <f t="shared" si="26"/>
        <v>0.14285714285714285</v>
      </c>
      <c r="AE34" s="40">
        <f t="shared" si="26"/>
        <v>5.1428571428571423</v>
      </c>
      <c r="AF34" s="40">
        <f t="shared" si="26"/>
        <v>79.428571428571416</v>
      </c>
    </row>
    <row r="35" spans="2:32" ht="23.1" customHeight="1" x14ac:dyDescent="0.25">
      <c r="B35" s="24" t="s">
        <v>62</v>
      </c>
      <c r="C35" s="49">
        <f>'Avg Week Saum-Bukwo'!C35+'Avg Week Bukwo-Suam'!C35</f>
        <v>0.2857142857142857</v>
      </c>
      <c r="D35" s="49">
        <f>'Avg Week Saum-Bukwo'!D35+'Avg Week Bukwo-Suam'!D35</f>
        <v>0</v>
      </c>
      <c r="E35" s="49">
        <f>'Avg Week Saum-Bukwo'!E35+'Avg Week Bukwo-Suam'!E35</f>
        <v>0</v>
      </c>
      <c r="F35" s="49">
        <f>'Avg Week Saum-Bukwo'!F35+'Avg Week Bukwo-Suam'!F35</f>
        <v>0</v>
      </c>
      <c r="G35" s="49">
        <f>'Avg Week Saum-Bukwo'!G35+'Avg Week Bukwo-Suam'!G35</f>
        <v>0</v>
      </c>
      <c r="H35" s="49">
        <f>'Avg Week Saum-Bukwo'!H35+'Avg Week Bukwo-Suam'!H35</f>
        <v>0</v>
      </c>
      <c r="I35" s="49">
        <f>'Avg Week Saum-Bukwo'!I35+'Avg Week Bukwo-Suam'!I35</f>
        <v>1.2857142857142856</v>
      </c>
      <c r="J35" s="49">
        <f>'Avg Week Saum-Bukwo'!J35+'Avg Week Bukwo-Suam'!J35</f>
        <v>0.14285714285714285</v>
      </c>
      <c r="K35" s="49">
        <f>'Avg Week Saum-Bukwo'!K35+'Avg Week Bukwo-Suam'!K35</f>
        <v>0</v>
      </c>
      <c r="L35" s="49">
        <f>'Avg Week Saum-Bukwo'!L35+'Avg Week Bukwo-Suam'!L35</f>
        <v>0</v>
      </c>
      <c r="M35" s="49">
        <f>'Avg Week Saum-Bukwo'!M35+'Avg Week Bukwo-Suam'!M35</f>
        <v>21.571428571428569</v>
      </c>
      <c r="N35" s="49">
        <f>'Avg Week Saum-Bukwo'!N35+'Avg Week Bukwo-Suam'!N35</f>
        <v>0</v>
      </c>
      <c r="O35" s="15">
        <f t="shared" si="0"/>
        <v>1.714285714285714</v>
      </c>
      <c r="P35" s="15">
        <f t="shared" si="1"/>
        <v>23.285714285714285</v>
      </c>
      <c r="R35" s="53" t="s">
        <v>91</v>
      </c>
      <c r="S35" s="54">
        <f t="shared" ref="S35:AF35" si="27">MAX(S13:S18)</f>
        <v>1</v>
      </c>
      <c r="T35" s="54">
        <f t="shared" si="27"/>
        <v>0.85714285714285698</v>
      </c>
      <c r="U35" s="54">
        <f t="shared" si="27"/>
        <v>1.4285714285714284</v>
      </c>
      <c r="V35" s="54">
        <f t="shared" si="27"/>
        <v>0.14285714285714285</v>
      </c>
      <c r="W35" s="54">
        <f t="shared" si="27"/>
        <v>0</v>
      </c>
      <c r="X35" s="54">
        <f t="shared" si="27"/>
        <v>0</v>
      </c>
      <c r="Y35" s="54">
        <f t="shared" si="27"/>
        <v>5.4285714285714288</v>
      </c>
      <c r="Z35" s="54">
        <f t="shared" si="27"/>
        <v>0.42857142857142855</v>
      </c>
      <c r="AA35" s="54">
        <f t="shared" si="27"/>
        <v>0.14285714285714285</v>
      </c>
      <c r="AB35" s="54">
        <f t="shared" si="27"/>
        <v>0</v>
      </c>
      <c r="AC35" s="54">
        <f t="shared" si="27"/>
        <v>107.57142857142858</v>
      </c>
      <c r="AD35" s="54">
        <f t="shared" si="27"/>
        <v>1.5714285714285714</v>
      </c>
      <c r="AE35" s="40">
        <f t="shared" si="27"/>
        <v>9.428571428571427</v>
      </c>
      <c r="AF35" s="40">
        <f t="shared" si="27"/>
        <v>113.57142857142857</v>
      </c>
    </row>
    <row r="36" spans="2:32" ht="23.1" customHeight="1" x14ac:dyDescent="0.25">
      <c r="B36" s="24" t="s">
        <v>63</v>
      </c>
      <c r="C36" s="49">
        <f>'Avg Week Saum-Bukwo'!C36+'Avg Week Bukwo-Suam'!C36</f>
        <v>0</v>
      </c>
      <c r="D36" s="49">
        <f>'Avg Week Saum-Bukwo'!D36+'Avg Week Bukwo-Suam'!D36</f>
        <v>0</v>
      </c>
      <c r="E36" s="49">
        <f>'Avg Week Saum-Bukwo'!E36+'Avg Week Bukwo-Suam'!E36</f>
        <v>0.2857142857142857</v>
      </c>
      <c r="F36" s="49">
        <f>'Avg Week Saum-Bukwo'!F36+'Avg Week Bukwo-Suam'!F36</f>
        <v>0.14285714285714285</v>
      </c>
      <c r="G36" s="49">
        <f>'Avg Week Saum-Bukwo'!G36+'Avg Week Bukwo-Suam'!G36</f>
        <v>0</v>
      </c>
      <c r="H36" s="49">
        <f>'Avg Week Saum-Bukwo'!H36+'Avg Week Bukwo-Suam'!H36</f>
        <v>0</v>
      </c>
      <c r="I36" s="49">
        <f>'Avg Week Saum-Bukwo'!I36+'Avg Week Bukwo-Suam'!I36</f>
        <v>0.8571428571428571</v>
      </c>
      <c r="J36" s="49">
        <f>'Avg Week Saum-Bukwo'!J36+'Avg Week Bukwo-Suam'!J36</f>
        <v>0</v>
      </c>
      <c r="K36" s="49">
        <f>'Avg Week Saum-Bukwo'!K36+'Avg Week Bukwo-Suam'!K36</f>
        <v>0</v>
      </c>
      <c r="L36" s="49">
        <f>'Avg Week Saum-Bukwo'!L36+'Avg Week Bukwo-Suam'!L36</f>
        <v>0</v>
      </c>
      <c r="M36" s="49">
        <f>'Avg Week Saum-Bukwo'!M36+'Avg Week Bukwo-Suam'!M36</f>
        <v>20.571428571428569</v>
      </c>
      <c r="N36" s="49">
        <f>'Avg Week Saum-Bukwo'!N36+'Avg Week Bukwo-Suam'!N36</f>
        <v>0</v>
      </c>
      <c r="O36" s="15">
        <f t="shared" si="0"/>
        <v>1.2857142857142856</v>
      </c>
      <c r="P36" s="15">
        <f t="shared" si="1"/>
        <v>21.857142857142854</v>
      </c>
      <c r="R36" s="53" t="s">
        <v>92</v>
      </c>
      <c r="S36" s="54">
        <f t="shared" ref="S36:AF36" si="28">MAX(S19:S21)</f>
        <v>1.1428571428571428</v>
      </c>
      <c r="T36" s="54">
        <f t="shared" si="28"/>
        <v>0.42857142857142855</v>
      </c>
      <c r="U36" s="54">
        <f t="shared" si="28"/>
        <v>2.1428571428571428</v>
      </c>
      <c r="V36" s="54">
        <f t="shared" si="28"/>
        <v>0</v>
      </c>
      <c r="W36" s="54">
        <f t="shared" si="28"/>
        <v>0</v>
      </c>
      <c r="X36" s="54">
        <f t="shared" si="28"/>
        <v>0</v>
      </c>
      <c r="Y36" s="54">
        <f t="shared" si="28"/>
        <v>3.8571428571428568</v>
      </c>
      <c r="Z36" s="54">
        <f t="shared" si="28"/>
        <v>0</v>
      </c>
      <c r="AA36" s="54">
        <f t="shared" si="28"/>
        <v>0</v>
      </c>
      <c r="AB36" s="54">
        <f t="shared" si="28"/>
        <v>1.2857142857142858</v>
      </c>
      <c r="AC36" s="54">
        <f t="shared" si="28"/>
        <v>81.714285714285708</v>
      </c>
      <c r="AD36" s="54">
        <f t="shared" si="28"/>
        <v>0</v>
      </c>
      <c r="AE36" s="40">
        <f t="shared" si="28"/>
        <v>7.8571428571428577</v>
      </c>
      <c r="AF36" s="40">
        <f t="shared" si="28"/>
        <v>89.428571428571431</v>
      </c>
    </row>
    <row r="37" spans="2:32" ht="23.1" customHeight="1" x14ac:dyDescent="0.25">
      <c r="B37" s="23" t="s">
        <v>64</v>
      </c>
      <c r="C37" s="49">
        <f>'Avg Week Saum-Bukwo'!C37+'Avg Week Bukwo-Suam'!C37</f>
        <v>0.2857142857142857</v>
      </c>
      <c r="D37" s="49">
        <f>'Avg Week Saum-Bukwo'!D37+'Avg Week Bukwo-Suam'!D37</f>
        <v>0</v>
      </c>
      <c r="E37" s="49">
        <f>'Avg Week Saum-Bukwo'!E37+'Avg Week Bukwo-Suam'!E37</f>
        <v>0</v>
      </c>
      <c r="F37" s="49">
        <f>'Avg Week Saum-Bukwo'!F37+'Avg Week Bukwo-Suam'!F37</f>
        <v>0</v>
      </c>
      <c r="G37" s="49">
        <f>'Avg Week Saum-Bukwo'!G37+'Avg Week Bukwo-Suam'!G37</f>
        <v>0</v>
      </c>
      <c r="H37" s="49">
        <f>'Avg Week Saum-Bukwo'!H37+'Avg Week Bukwo-Suam'!H37</f>
        <v>0</v>
      </c>
      <c r="I37" s="49">
        <f>'Avg Week Saum-Bukwo'!I37+'Avg Week Bukwo-Suam'!I37</f>
        <v>0.5714285714285714</v>
      </c>
      <c r="J37" s="49">
        <f>'Avg Week Saum-Bukwo'!J37+'Avg Week Bukwo-Suam'!J37</f>
        <v>0</v>
      </c>
      <c r="K37" s="49">
        <f>'Avg Week Saum-Bukwo'!K37+'Avg Week Bukwo-Suam'!K37</f>
        <v>0</v>
      </c>
      <c r="L37" s="49">
        <f>'Avg Week Saum-Bukwo'!L37+'Avg Week Bukwo-Suam'!L37</f>
        <v>0</v>
      </c>
      <c r="M37" s="49">
        <f>'Avg Week Saum-Bukwo'!M37+'Avg Week Bukwo-Suam'!M37</f>
        <v>20.714285714285715</v>
      </c>
      <c r="N37" s="49">
        <f>'Avg Week Saum-Bukwo'!N37+'Avg Week Bukwo-Suam'!N37</f>
        <v>0</v>
      </c>
      <c r="O37" s="15">
        <f t="shared" si="0"/>
        <v>0.8571428571428571</v>
      </c>
      <c r="P37" s="15">
        <f t="shared" si="1"/>
        <v>21.571428571428573</v>
      </c>
      <c r="R37" s="37" t="s">
        <v>85</v>
      </c>
      <c r="S37" s="55">
        <f t="shared" ref="S37:AF37" si="29">SUM(S10:S12)</f>
        <v>2</v>
      </c>
      <c r="T37" s="56">
        <f t="shared" si="29"/>
        <v>0.99999999999999989</v>
      </c>
      <c r="U37" s="56">
        <f t="shared" si="29"/>
        <v>5</v>
      </c>
      <c r="V37" s="56">
        <f t="shared" si="29"/>
        <v>0</v>
      </c>
      <c r="W37" s="56">
        <f t="shared" si="29"/>
        <v>0</v>
      </c>
      <c r="X37" s="56">
        <f t="shared" si="29"/>
        <v>0</v>
      </c>
      <c r="Y37" s="56">
        <f t="shared" si="29"/>
        <v>3.2857142857142856</v>
      </c>
      <c r="Z37" s="56">
        <f t="shared" si="29"/>
        <v>0.71428571428571419</v>
      </c>
      <c r="AA37" s="56">
        <f t="shared" si="29"/>
        <v>0</v>
      </c>
      <c r="AB37" s="56">
        <f t="shared" si="29"/>
        <v>0</v>
      </c>
      <c r="AC37" s="56">
        <f t="shared" si="29"/>
        <v>146.85714285714286</v>
      </c>
      <c r="AD37" s="56">
        <f t="shared" si="29"/>
        <v>0.14285714285714285</v>
      </c>
      <c r="AE37" s="57">
        <f t="shared" si="29"/>
        <v>12.142857142857142</v>
      </c>
      <c r="AF37" s="57">
        <f t="shared" si="29"/>
        <v>159</v>
      </c>
    </row>
    <row r="38" spans="2:32" ht="23.1" customHeight="1" x14ac:dyDescent="0.25">
      <c r="B38" s="24" t="s">
        <v>65</v>
      </c>
      <c r="C38" s="49">
        <f>'Avg Week Saum-Bukwo'!C38+'Avg Week Bukwo-Suam'!C38</f>
        <v>0.14285714285714285</v>
      </c>
      <c r="D38" s="49">
        <f>'Avg Week Saum-Bukwo'!D38+'Avg Week Bukwo-Suam'!D38</f>
        <v>0.42857142857142855</v>
      </c>
      <c r="E38" s="49">
        <f>'Avg Week Saum-Bukwo'!E38+'Avg Week Bukwo-Suam'!E38</f>
        <v>0.2857142857142857</v>
      </c>
      <c r="F38" s="49">
        <f>'Avg Week Saum-Bukwo'!F38+'Avg Week Bukwo-Suam'!F38</f>
        <v>0</v>
      </c>
      <c r="G38" s="49">
        <f>'Avg Week Saum-Bukwo'!G38+'Avg Week Bukwo-Suam'!G38</f>
        <v>0</v>
      </c>
      <c r="H38" s="49">
        <f>'Avg Week Saum-Bukwo'!H38+'Avg Week Bukwo-Suam'!H38</f>
        <v>0</v>
      </c>
      <c r="I38" s="49">
        <f>'Avg Week Saum-Bukwo'!I38+'Avg Week Bukwo-Suam'!I38</f>
        <v>0.5714285714285714</v>
      </c>
      <c r="J38" s="49">
        <f>'Avg Week Saum-Bukwo'!J38+'Avg Week Bukwo-Suam'!J38</f>
        <v>0</v>
      </c>
      <c r="K38" s="49">
        <f>'Avg Week Saum-Bukwo'!K38+'Avg Week Bukwo-Suam'!K38</f>
        <v>0</v>
      </c>
      <c r="L38" s="49">
        <f>'Avg Week Saum-Bukwo'!L38+'Avg Week Bukwo-Suam'!L38</f>
        <v>0</v>
      </c>
      <c r="M38" s="49">
        <f>'Avg Week Saum-Bukwo'!M38+'Avg Week Bukwo-Suam'!M38</f>
        <v>22.857142857142858</v>
      </c>
      <c r="N38" s="49">
        <f>'Avg Week Saum-Bukwo'!N38+'Avg Week Bukwo-Suam'!N38</f>
        <v>0</v>
      </c>
      <c r="O38" s="15">
        <f t="shared" si="0"/>
        <v>1.4285714285714284</v>
      </c>
      <c r="P38" s="15">
        <f t="shared" si="1"/>
        <v>24.285714285714285</v>
      </c>
      <c r="R38" s="28" t="s">
        <v>86</v>
      </c>
      <c r="S38" s="56">
        <f t="shared" ref="S38:AF38" si="30">SUM(S13:S18)</f>
        <v>4.7142857142857135</v>
      </c>
      <c r="T38" s="56">
        <f t="shared" si="30"/>
        <v>1.714285714285714</v>
      </c>
      <c r="U38" s="56">
        <f t="shared" si="30"/>
        <v>6.4285714285714279</v>
      </c>
      <c r="V38" s="56">
        <f t="shared" si="30"/>
        <v>0.2857142857142857</v>
      </c>
      <c r="W38" s="56">
        <f t="shared" si="30"/>
        <v>0</v>
      </c>
      <c r="X38" s="56">
        <f t="shared" si="30"/>
        <v>0</v>
      </c>
      <c r="Y38" s="56">
        <f t="shared" si="30"/>
        <v>24.142857142857142</v>
      </c>
      <c r="Z38" s="56">
        <f t="shared" si="30"/>
        <v>0.99999999999999989</v>
      </c>
      <c r="AA38" s="56">
        <f t="shared" si="30"/>
        <v>0.14285714285714285</v>
      </c>
      <c r="AB38" s="56">
        <f t="shared" si="30"/>
        <v>0</v>
      </c>
      <c r="AC38" s="56">
        <f t="shared" si="30"/>
        <v>572.28571428571445</v>
      </c>
      <c r="AD38" s="56">
        <f t="shared" si="30"/>
        <v>1.7142857142857142</v>
      </c>
      <c r="AE38" s="57">
        <f t="shared" si="30"/>
        <v>40.142857142857139</v>
      </c>
      <c r="AF38" s="57">
        <f t="shared" si="30"/>
        <v>612.42857142857133</v>
      </c>
    </row>
    <row r="39" spans="2:32" ht="23.1" customHeight="1" x14ac:dyDescent="0.25">
      <c r="B39" s="24" t="s">
        <v>66</v>
      </c>
      <c r="C39" s="49">
        <f>'Avg Week Saum-Bukwo'!C39+'Avg Week Bukwo-Suam'!C39</f>
        <v>0.14285714285714285</v>
      </c>
      <c r="D39" s="49">
        <f>'Avg Week Saum-Bukwo'!D39+'Avg Week Bukwo-Suam'!D39</f>
        <v>0</v>
      </c>
      <c r="E39" s="49">
        <f>'Avg Week Saum-Bukwo'!E39+'Avg Week Bukwo-Suam'!E39</f>
        <v>0.2857142857142857</v>
      </c>
      <c r="F39" s="49">
        <f>'Avg Week Saum-Bukwo'!F39+'Avg Week Bukwo-Suam'!F39</f>
        <v>0</v>
      </c>
      <c r="G39" s="49">
        <f>'Avg Week Saum-Bukwo'!G39+'Avg Week Bukwo-Suam'!G39</f>
        <v>0</v>
      </c>
      <c r="H39" s="49">
        <f>'Avg Week Saum-Bukwo'!H39+'Avg Week Bukwo-Suam'!H39</f>
        <v>0</v>
      </c>
      <c r="I39" s="49">
        <f>'Avg Week Saum-Bukwo'!I39+'Avg Week Bukwo-Suam'!I39</f>
        <v>0.71428571428571419</v>
      </c>
      <c r="J39" s="49">
        <f>'Avg Week Saum-Bukwo'!J39+'Avg Week Bukwo-Suam'!J39</f>
        <v>0</v>
      </c>
      <c r="K39" s="49">
        <f>'Avg Week Saum-Bukwo'!K39+'Avg Week Bukwo-Suam'!K39</f>
        <v>0</v>
      </c>
      <c r="L39" s="49">
        <f>'Avg Week Saum-Bukwo'!L39+'Avg Week Bukwo-Suam'!L39</f>
        <v>0</v>
      </c>
      <c r="M39" s="49">
        <f>'Avg Week Saum-Bukwo'!M39+'Avg Week Bukwo-Suam'!M39</f>
        <v>18.857142857142858</v>
      </c>
      <c r="N39" s="49">
        <f>'Avg Week Saum-Bukwo'!N39+'Avg Week Bukwo-Suam'!N39</f>
        <v>0</v>
      </c>
      <c r="O39" s="15">
        <f t="shared" si="0"/>
        <v>1.1428571428571428</v>
      </c>
      <c r="P39" s="15">
        <f t="shared" si="1"/>
        <v>20</v>
      </c>
      <c r="R39" s="29" t="s">
        <v>87</v>
      </c>
      <c r="S39" s="56">
        <f t="shared" ref="S39:AF39" si="31">SUM(S19:S21)</f>
        <v>2.7142857142857144</v>
      </c>
      <c r="T39" s="56">
        <f t="shared" si="31"/>
        <v>0.5714285714285714</v>
      </c>
      <c r="U39" s="56">
        <f t="shared" si="31"/>
        <v>5</v>
      </c>
      <c r="V39" s="56">
        <f t="shared" si="31"/>
        <v>0</v>
      </c>
      <c r="W39" s="56">
        <f t="shared" si="31"/>
        <v>0</v>
      </c>
      <c r="X39" s="56">
        <f t="shared" si="31"/>
        <v>0</v>
      </c>
      <c r="Y39" s="56">
        <f t="shared" si="31"/>
        <v>10</v>
      </c>
      <c r="Z39" s="56">
        <f t="shared" si="31"/>
        <v>0</v>
      </c>
      <c r="AA39" s="56">
        <f t="shared" si="31"/>
        <v>0</v>
      </c>
      <c r="AB39" s="56">
        <f t="shared" si="31"/>
        <v>1.2857142857142858</v>
      </c>
      <c r="AC39" s="56">
        <f t="shared" si="31"/>
        <v>240</v>
      </c>
      <c r="AD39" s="56">
        <f t="shared" si="31"/>
        <v>0</v>
      </c>
      <c r="AE39" s="57">
        <f t="shared" si="31"/>
        <v>19.571428571428569</v>
      </c>
      <c r="AF39" s="57">
        <f t="shared" si="31"/>
        <v>259.57142857142861</v>
      </c>
    </row>
    <row r="40" spans="2:32" ht="23.1" customHeight="1" x14ac:dyDescent="0.25">
      <c r="B40" s="24" t="s">
        <v>67</v>
      </c>
      <c r="C40" s="49">
        <f>'Avg Week Saum-Bukwo'!C40+'Avg Week Bukwo-Suam'!C40</f>
        <v>0.2857142857142857</v>
      </c>
      <c r="D40" s="49">
        <f>'Avg Week Saum-Bukwo'!D40+'Avg Week Bukwo-Suam'!D40</f>
        <v>0.2857142857142857</v>
      </c>
      <c r="E40" s="49">
        <f>'Avg Week Saum-Bukwo'!E40+'Avg Week Bukwo-Suam'!E40</f>
        <v>0.42857142857142855</v>
      </c>
      <c r="F40" s="49">
        <f>'Avg Week Saum-Bukwo'!F40+'Avg Week Bukwo-Suam'!F40</f>
        <v>0</v>
      </c>
      <c r="G40" s="49">
        <f>'Avg Week Saum-Bukwo'!G40+'Avg Week Bukwo-Suam'!G40</f>
        <v>0</v>
      </c>
      <c r="H40" s="49">
        <f>'Avg Week Saum-Bukwo'!H40+'Avg Week Bukwo-Suam'!H40</f>
        <v>0</v>
      </c>
      <c r="I40" s="49">
        <f>'Avg Week Saum-Bukwo'!I40+'Avg Week Bukwo-Suam'!I40</f>
        <v>1.4285714285714284</v>
      </c>
      <c r="J40" s="49">
        <f>'Avg Week Saum-Bukwo'!J40+'Avg Week Bukwo-Suam'!J40</f>
        <v>0</v>
      </c>
      <c r="K40" s="49">
        <f>'Avg Week Saum-Bukwo'!K40+'Avg Week Bukwo-Suam'!K40</f>
        <v>0</v>
      </c>
      <c r="L40" s="49">
        <f>'Avg Week Saum-Bukwo'!L40+'Avg Week Bukwo-Suam'!L40</f>
        <v>0</v>
      </c>
      <c r="M40" s="49">
        <f>'Avg Week Saum-Bukwo'!M40+'Avg Week Bukwo-Suam'!M40</f>
        <v>25.714285714285715</v>
      </c>
      <c r="N40" s="49">
        <f>'Avg Week Saum-Bukwo'!N40+'Avg Week Bukwo-Suam'!N40</f>
        <v>0</v>
      </c>
      <c r="O40" s="15">
        <f t="shared" si="0"/>
        <v>2.4285714285714284</v>
      </c>
      <c r="P40" s="15">
        <f t="shared" si="1"/>
        <v>28.142857142857142</v>
      </c>
      <c r="R40" s="5" t="s">
        <v>17</v>
      </c>
      <c r="S40" s="56">
        <f t="shared" ref="S40:AF40" si="32">SUM(S10:S21)</f>
        <v>9.428571428571427</v>
      </c>
      <c r="T40" s="56">
        <f t="shared" si="32"/>
        <v>3.2857142857142851</v>
      </c>
      <c r="U40" s="56">
        <f t="shared" si="32"/>
        <v>16.428571428571427</v>
      </c>
      <c r="V40" s="56">
        <f t="shared" si="32"/>
        <v>0.2857142857142857</v>
      </c>
      <c r="W40" s="56">
        <f t="shared" si="32"/>
        <v>0</v>
      </c>
      <c r="X40" s="56">
        <f t="shared" si="32"/>
        <v>0</v>
      </c>
      <c r="Y40" s="56">
        <f t="shared" si="32"/>
        <v>37.428571428571423</v>
      </c>
      <c r="Z40" s="56">
        <f t="shared" si="32"/>
        <v>1.714285714285714</v>
      </c>
      <c r="AA40" s="56">
        <f t="shared" si="32"/>
        <v>0.14285714285714285</v>
      </c>
      <c r="AB40" s="56">
        <f t="shared" si="32"/>
        <v>1.2857142857142858</v>
      </c>
      <c r="AC40" s="56">
        <f t="shared" si="32"/>
        <v>959.142857142857</v>
      </c>
      <c r="AD40" s="56">
        <f t="shared" si="32"/>
        <v>1.857142857142857</v>
      </c>
      <c r="AE40" s="57">
        <f t="shared" si="32"/>
        <v>71.857142857142861</v>
      </c>
      <c r="AF40" s="57">
        <f t="shared" si="32"/>
        <v>1030.9999999999998</v>
      </c>
    </row>
    <row r="41" spans="2:32" ht="23.1" customHeight="1" x14ac:dyDescent="0.25">
      <c r="B41" s="23" t="s">
        <v>68</v>
      </c>
      <c r="C41" s="49">
        <f>'Avg Week Saum-Bukwo'!C41+'Avg Week Bukwo-Suam'!C41</f>
        <v>0</v>
      </c>
      <c r="D41" s="49">
        <f>'Avg Week Saum-Bukwo'!D41+'Avg Week Bukwo-Suam'!D41</f>
        <v>0.14285714285714285</v>
      </c>
      <c r="E41" s="49">
        <f>'Avg Week Saum-Bukwo'!E41+'Avg Week Bukwo-Suam'!E41</f>
        <v>0.2857142857142857</v>
      </c>
      <c r="F41" s="49">
        <f>'Avg Week Saum-Bukwo'!F41+'Avg Week Bukwo-Suam'!F41</f>
        <v>0</v>
      </c>
      <c r="G41" s="49">
        <f>'Avg Week Saum-Bukwo'!G41+'Avg Week Bukwo-Suam'!G41</f>
        <v>0</v>
      </c>
      <c r="H41" s="49">
        <f>'Avg Week Saum-Bukwo'!H41+'Avg Week Bukwo-Suam'!H41</f>
        <v>0</v>
      </c>
      <c r="I41" s="49">
        <f>'Avg Week Saum-Bukwo'!I41+'Avg Week Bukwo-Suam'!I41</f>
        <v>1</v>
      </c>
      <c r="J41" s="49">
        <f>'Avg Week Saum-Bukwo'!J41+'Avg Week Bukwo-Suam'!J41</f>
        <v>0</v>
      </c>
      <c r="K41" s="49">
        <f>'Avg Week Saum-Bukwo'!K41+'Avg Week Bukwo-Suam'!K41</f>
        <v>0</v>
      </c>
      <c r="L41" s="49">
        <f>'Avg Week Saum-Bukwo'!L41+'Avg Week Bukwo-Suam'!L41</f>
        <v>0</v>
      </c>
      <c r="M41" s="49">
        <f>'Avg Week Saum-Bukwo'!M41+'Avg Week Bukwo-Suam'!M41</f>
        <v>24.428571428571431</v>
      </c>
      <c r="N41" s="49">
        <f>'Avg Week Saum-Bukwo'!N41+'Avg Week Bukwo-Suam'!N41</f>
        <v>0.14285714285714285</v>
      </c>
      <c r="O41" s="15">
        <f t="shared" si="0"/>
        <v>1.5714285714285714</v>
      </c>
      <c r="P41" s="15">
        <f t="shared" si="1"/>
        <v>26</v>
      </c>
      <c r="R41" s="5" t="s">
        <v>183</v>
      </c>
      <c r="S41" s="56">
        <f>SUM(S10:S33)</f>
        <v>13.928571428571427</v>
      </c>
      <c r="T41" s="56">
        <f t="shared" ref="T41:AD41" si="33">SUM(T10:T33)</f>
        <v>4.2857142857142847</v>
      </c>
      <c r="U41" s="56">
        <f t="shared" si="33"/>
        <v>23.928571428571427</v>
      </c>
      <c r="V41" s="56">
        <f t="shared" si="33"/>
        <v>0.2857142857142857</v>
      </c>
      <c r="W41" s="56">
        <f t="shared" si="33"/>
        <v>0</v>
      </c>
      <c r="X41" s="56">
        <f t="shared" si="33"/>
        <v>0</v>
      </c>
      <c r="Y41" s="56">
        <f t="shared" si="33"/>
        <v>55.428571428571423</v>
      </c>
      <c r="Z41" s="56">
        <f t="shared" si="33"/>
        <v>2.714285714285714</v>
      </c>
      <c r="AA41" s="56">
        <f t="shared" si="33"/>
        <v>0.14285714285714285</v>
      </c>
      <c r="AB41" s="56">
        <f t="shared" si="33"/>
        <v>1.2857142857142858</v>
      </c>
      <c r="AC41" s="56">
        <f t="shared" si="33"/>
        <v>1194.6428571428569</v>
      </c>
      <c r="AD41" s="56">
        <f t="shared" si="33"/>
        <v>1.857142857142857</v>
      </c>
      <c r="AE41" s="57">
        <f>SUM(AE10:AE33)</f>
        <v>103.85714285714286</v>
      </c>
      <c r="AF41" s="57">
        <f>SUM(AF10:AF33)</f>
        <v>1298.4999999999998</v>
      </c>
    </row>
    <row r="42" spans="2:32" ht="23.1" customHeight="1" x14ac:dyDescent="0.25">
      <c r="B42" s="24" t="s">
        <v>69</v>
      </c>
      <c r="C42" s="49">
        <f>'Avg Week Saum-Bukwo'!C42+'Avg Week Bukwo-Suam'!C42</f>
        <v>0.14285714285714285</v>
      </c>
      <c r="D42" s="49">
        <f>'Avg Week Saum-Bukwo'!D42+'Avg Week Bukwo-Suam'!D42</f>
        <v>0</v>
      </c>
      <c r="E42" s="49">
        <f>'Avg Week Saum-Bukwo'!E42+'Avg Week Bukwo-Suam'!E42</f>
        <v>0.14285714285714285</v>
      </c>
      <c r="F42" s="49">
        <f>'Avg Week Saum-Bukwo'!F42+'Avg Week Bukwo-Suam'!F42</f>
        <v>0</v>
      </c>
      <c r="G42" s="49">
        <f>'Avg Week Saum-Bukwo'!G42+'Avg Week Bukwo-Suam'!G42</f>
        <v>0</v>
      </c>
      <c r="H42" s="49">
        <f>'Avg Week Saum-Bukwo'!H42+'Avg Week Bukwo-Suam'!H42</f>
        <v>0</v>
      </c>
      <c r="I42" s="49">
        <f>'Avg Week Saum-Bukwo'!I42+'Avg Week Bukwo-Suam'!I42</f>
        <v>1</v>
      </c>
      <c r="J42" s="49">
        <f>'Avg Week Saum-Bukwo'!J42+'Avg Week Bukwo-Suam'!J42</f>
        <v>0.14285714285714285</v>
      </c>
      <c r="K42" s="49">
        <f>'Avg Week Saum-Bukwo'!K42+'Avg Week Bukwo-Suam'!K42</f>
        <v>0</v>
      </c>
      <c r="L42" s="49">
        <f>'Avg Week Saum-Bukwo'!L42+'Avg Week Bukwo-Suam'!L42</f>
        <v>0</v>
      </c>
      <c r="M42" s="49">
        <f>'Avg Week Saum-Bukwo'!M42+'Avg Week Bukwo-Suam'!M42</f>
        <v>18.571428571428569</v>
      </c>
      <c r="N42" s="49">
        <f>'Avg Week Saum-Bukwo'!N42+'Avg Week Bukwo-Suam'!N42</f>
        <v>0</v>
      </c>
      <c r="O42" s="15">
        <f t="shared" si="0"/>
        <v>1.4285714285714284</v>
      </c>
      <c r="P42" s="15">
        <f t="shared" si="1"/>
        <v>19.999999999999996</v>
      </c>
      <c r="R42" s="5" t="s">
        <v>160</v>
      </c>
      <c r="S42" s="48">
        <f>S41/S40</f>
        <v>1.4772727272727273</v>
      </c>
      <c r="T42" s="48">
        <f t="shared" ref="T42:AF42" si="34">T41/T40</f>
        <v>1.3043478260869565</v>
      </c>
      <c r="U42" s="48">
        <f t="shared" si="34"/>
        <v>1.4565217391304348</v>
      </c>
      <c r="V42" s="48">
        <f t="shared" si="34"/>
        <v>1</v>
      </c>
      <c r="W42" s="48">
        <v>0</v>
      </c>
      <c r="X42" s="48">
        <v>0</v>
      </c>
      <c r="Y42" s="48">
        <f t="shared" si="34"/>
        <v>1.4809160305343512</v>
      </c>
      <c r="Z42" s="48">
        <f t="shared" si="34"/>
        <v>1.5833333333333335</v>
      </c>
      <c r="AA42" s="48">
        <f t="shared" si="34"/>
        <v>1</v>
      </c>
      <c r="AB42" s="48">
        <f t="shared" si="34"/>
        <v>1</v>
      </c>
      <c r="AC42" s="48">
        <f t="shared" si="34"/>
        <v>1.2455317247542448</v>
      </c>
      <c r="AD42" s="48">
        <f t="shared" si="34"/>
        <v>1</v>
      </c>
      <c r="AE42" s="58">
        <f t="shared" si="34"/>
        <v>1.445328031809145</v>
      </c>
      <c r="AF42" s="58">
        <f t="shared" si="34"/>
        <v>1.2594568380213385</v>
      </c>
    </row>
    <row r="43" spans="2:32" ht="23.1" customHeight="1" x14ac:dyDescent="0.25">
      <c r="B43" s="23" t="s">
        <v>70</v>
      </c>
      <c r="C43" s="49">
        <f>'Avg Week Saum-Bukwo'!C43+'Avg Week Bukwo-Suam'!C43</f>
        <v>0</v>
      </c>
      <c r="D43" s="49">
        <f>'Avg Week Saum-Bukwo'!D43+'Avg Week Bukwo-Suam'!D43</f>
        <v>0.14285714285714285</v>
      </c>
      <c r="E43" s="49">
        <f>'Avg Week Saum-Bukwo'!E43+'Avg Week Bukwo-Suam'!E43</f>
        <v>0.5714285714285714</v>
      </c>
      <c r="F43" s="49">
        <f>'Avg Week Saum-Bukwo'!F43+'Avg Week Bukwo-Suam'!F43</f>
        <v>0.14285714285714285</v>
      </c>
      <c r="G43" s="49">
        <f>'Avg Week Saum-Bukwo'!G43+'Avg Week Bukwo-Suam'!G43</f>
        <v>0</v>
      </c>
      <c r="H43" s="49">
        <f>'Avg Week Saum-Bukwo'!H43+'Avg Week Bukwo-Suam'!H43</f>
        <v>0</v>
      </c>
      <c r="I43" s="49">
        <f>'Avg Week Saum-Bukwo'!I43+'Avg Week Bukwo-Suam'!I43</f>
        <v>1.4285714285714284</v>
      </c>
      <c r="J43" s="49">
        <f>'Avg Week Saum-Bukwo'!J43+'Avg Week Bukwo-Suam'!J43</f>
        <v>0</v>
      </c>
      <c r="K43" s="49">
        <f>'Avg Week Saum-Bukwo'!K43+'Avg Week Bukwo-Suam'!K43</f>
        <v>0</v>
      </c>
      <c r="L43" s="49">
        <f>'Avg Week Saum-Bukwo'!L43+'Avg Week Bukwo-Suam'!L43</f>
        <v>0</v>
      </c>
      <c r="M43" s="49">
        <f>'Avg Week Saum-Bukwo'!M43+'Avg Week Bukwo-Suam'!M43</f>
        <v>19</v>
      </c>
      <c r="N43" s="49">
        <f>'Avg Week Saum-Bukwo'!N43+'Avg Week Bukwo-Suam'!N43</f>
        <v>0</v>
      </c>
      <c r="O43" s="15">
        <f t="shared" si="0"/>
        <v>2.2857142857142856</v>
      </c>
      <c r="P43" s="15">
        <f t="shared" si="1"/>
        <v>21.285714285714285</v>
      </c>
    </row>
    <row r="44" spans="2:32" ht="23.1" customHeight="1" x14ac:dyDescent="0.25">
      <c r="B44" s="25" t="s">
        <v>71</v>
      </c>
      <c r="C44" s="49">
        <f>'Avg Week Saum-Bukwo'!C44+'Avg Week Bukwo-Suam'!C44</f>
        <v>0.5714285714285714</v>
      </c>
      <c r="D44" s="49">
        <f>'Avg Week Saum-Bukwo'!D44+'Avg Week Bukwo-Suam'!D44</f>
        <v>0</v>
      </c>
      <c r="E44" s="49">
        <f>'Avg Week Saum-Bukwo'!E44+'Avg Week Bukwo-Suam'!E44</f>
        <v>0.14285714285714285</v>
      </c>
      <c r="F44" s="49">
        <f>'Avg Week Saum-Bukwo'!F44+'Avg Week Bukwo-Suam'!F44</f>
        <v>0</v>
      </c>
      <c r="G44" s="49">
        <f>'Avg Week Saum-Bukwo'!G44+'Avg Week Bukwo-Suam'!G44</f>
        <v>0</v>
      </c>
      <c r="H44" s="49">
        <f>'Avg Week Saum-Bukwo'!H44+'Avg Week Bukwo-Suam'!H44</f>
        <v>0</v>
      </c>
      <c r="I44" s="49">
        <f>'Avg Week Saum-Bukwo'!I44+'Avg Week Bukwo-Suam'!I44</f>
        <v>1.1428571428571428</v>
      </c>
      <c r="J44" s="49">
        <f>'Avg Week Saum-Bukwo'!J44+'Avg Week Bukwo-Suam'!J44</f>
        <v>0.14285714285714285</v>
      </c>
      <c r="K44" s="49">
        <f>'Avg Week Saum-Bukwo'!K44+'Avg Week Bukwo-Suam'!K44</f>
        <v>0</v>
      </c>
      <c r="L44" s="49">
        <f>'Avg Week Saum-Bukwo'!L44+'Avg Week Bukwo-Suam'!L44</f>
        <v>0</v>
      </c>
      <c r="M44" s="49">
        <f>'Avg Week Saum-Bukwo'!M44+'Avg Week Bukwo-Suam'!M44</f>
        <v>17.142857142857142</v>
      </c>
      <c r="N44" s="49">
        <f>'Avg Week Saum-Bukwo'!N44+'Avg Week Bukwo-Suam'!N44</f>
        <v>0</v>
      </c>
      <c r="O44" s="15">
        <f t="shared" si="0"/>
        <v>1.9999999999999998</v>
      </c>
      <c r="P44" s="15">
        <f t="shared" si="1"/>
        <v>19.142857142857142</v>
      </c>
    </row>
    <row r="45" spans="2:32" ht="23.1" customHeight="1" x14ac:dyDescent="0.25">
      <c r="B45" s="23" t="s">
        <v>72</v>
      </c>
      <c r="C45" s="49">
        <f>'Avg Week Saum-Bukwo'!C45+'Avg Week Bukwo-Suam'!C45</f>
        <v>0.14285714285714285</v>
      </c>
      <c r="D45" s="49">
        <f>'Avg Week Saum-Bukwo'!D45+'Avg Week Bukwo-Suam'!D45</f>
        <v>0</v>
      </c>
      <c r="E45" s="49">
        <f>'Avg Week Saum-Bukwo'!E45+'Avg Week Bukwo-Suam'!E45</f>
        <v>0.42857142857142855</v>
      </c>
      <c r="F45" s="49">
        <f>'Avg Week Saum-Bukwo'!F45+'Avg Week Bukwo-Suam'!F45</f>
        <v>0</v>
      </c>
      <c r="G45" s="49">
        <f>'Avg Week Saum-Bukwo'!G45+'Avg Week Bukwo-Suam'!G45</f>
        <v>0</v>
      </c>
      <c r="H45" s="49">
        <f>'Avg Week Saum-Bukwo'!H45+'Avg Week Bukwo-Suam'!H45</f>
        <v>0</v>
      </c>
      <c r="I45" s="49">
        <f>'Avg Week Saum-Bukwo'!I45+'Avg Week Bukwo-Suam'!I45</f>
        <v>0.5714285714285714</v>
      </c>
      <c r="J45" s="49">
        <f>'Avg Week Saum-Bukwo'!J45+'Avg Week Bukwo-Suam'!J45</f>
        <v>0</v>
      </c>
      <c r="K45" s="49">
        <f>'Avg Week Saum-Bukwo'!K45+'Avg Week Bukwo-Suam'!K45</f>
        <v>0.14285714285714285</v>
      </c>
      <c r="L45" s="49">
        <f>'Avg Week Saum-Bukwo'!L45+'Avg Week Bukwo-Suam'!L45</f>
        <v>0</v>
      </c>
      <c r="M45" s="49">
        <f>'Avg Week Saum-Bukwo'!M45+'Avg Week Bukwo-Suam'!M45</f>
        <v>19.571428571428569</v>
      </c>
      <c r="N45" s="49">
        <f>'Avg Week Saum-Bukwo'!N45+'Avg Week Bukwo-Suam'!N45</f>
        <v>0</v>
      </c>
      <c r="O45" s="15">
        <f t="shared" si="0"/>
        <v>1.2857142857142856</v>
      </c>
      <c r="P45" s="15">
        <f t="shared" si="1"/>
        <v>20.857142857142854</v>
      </c>
    </row>
    <row r="46" spans="2:32" ht="23.1" customHeight="1" x14ac:dyDescent="0.25">
      <c r="B46" s="24" t="s">
        <v>73</v>
      </c>
      <c r="C46" s="49">
        <f>'Avg Week Saum-Bukwo'!C46+'Avg Week Bukwo-Suam'!C46</f>
        <v>0.14285714285714285</v>
      </c>
      <c r="D46" s="49">
        <f>'Avg Week Saum-Bukwo'!D46+'Avg Week Bukwo-Suam'!D46</f>
        <v>0</v>
      </c>
      <c r="E46" s="49">
        <f>'Avg Week Saum-Bukwo'!E46+'Avg Week Bukwo-Suam'!E46</f>
        <v>0</v>
      </c>
      <c r="F46" s="49">
        <f>'Avg Week Saum-Bukwo'!F46+'Avg Week Bukwo-Suam'!F46</f>
        <v>0</v>
      </c>
      <c r="G46" s="49">
        <f>'Avg Week Saum-Bukwo'!G46+'Avg Week Bukwo-Suam'!G46</f>
        <v>0</v>
      </c>
      <c r="H46" s="49">
        <f>'Avg Week Saum-Bukwo'!H46+'Avg Week Bukwo-Suam'!H46</f>
        <v>0</v>
      </c>
      <c r="I46" s="49">
        <f>'Avg Week Saum-Bukwo'!I46+'Avg Week Bukwo-Suam'!I46</f>
        <v>0.71428571428571419</v>
      </c>
      <c r="J46" s="49">
        <f>'Avg Week Saum-Bukwo'!J46+'Avg Week Bukwo-Suam'!J46</f>
        <v>0</v>
      </c>
      <c r="K46" s="49">
        <f>'Avg Week Saum-Bukwo'!K46+'Avg Week Bukwo-Suam'!K46</f>
        <v>0</v>
      </c>
      <c r="L46" s="49">
        <f>'Avg Week Saum-Bukwo'!L46+'Avg Week Bukwo-Suam'!L46</f>
        <v>0</v>
      </c>
      <c r="M46" s="49">
        <f>'Avg Week Saum-Bukwo'!M46+'Avg Week Bukwo-Suam'!M46</f>
        <v>19</v>
      </c>
      <c r="N46" s="49">
        <f>'Avg Week Saum-Bukwo'!N46+'Avg Week Bukwo-Suam'!N46</f>
        <v>0</v>
      </c>
      <c r="O46" s="15">
        <f t="shared" si="0"/>
        <v>0.85714285714285698</v>
      </c>
      <c r="P46" s="15">
        <f t="shared" si="1"/>
        <v>19.857142857142858</v>
      </c>
      <c r="R46" s="8"/>
      <c r="T46"/>
    </row>
    <row r="47" spans="2:32" ht="23.1" customHeight="1" x14ac:dyDescent="0.25">
      <c r="B47" s="24" t="s">
        <v>74</v>
      </c>
      <c r="C47" s="49">
        <f>'Avg Week Saum-Bukwo'!C47+'Avg Week Bukwo-Suam'!C47</f>
        <v>0</v>
      </c>
      <c r="D47" s="49">
        <f>'Avg Week Saum-Bukwo'!D47+'Avg Week Bukwo-Suam'!D47</f>
        <v>0.14285714285714285</v>
      </c>
      <c r="E47" s="49">
        <f>'Avg Week Saum-Bukwo'!E47+'Avg Week Bukwo-Suam'!E47</f>
        <v>0.2857142857142857</v>
      </c>
      <c r="F47" s="49">
        <f>'Avg Week Saum-Bukwo'!F47+'Avg Week Bukwo-Suam'!F47</f>
        <v>0</v>
      </c>
      <c r="G47" s="49">
        <f>'Avg Week Saum-Bukwo'!G47+'Avg Week Bukwo-Suam'!G47</f>
        <v>0</v>
      </c>
      <c r="H47" s="49">
        <f>'Avg Week Saum-Bukwo'!H47+'Avg Week Bukwo-Suam'!H47</f>
        <v>0</v>
      </c>
      <c r="I47" s="49">
        <f>'Avg Week Saum-Bukwo'!I47+'Avg Week Bukwo-Suam'!I47</f>
        <v>1.1428571428571428</v>
      </c>
      <c r="J47" s="49">
        <f>'Avg Week Saum-Bukwo'!J47+'Avg Week Bukwo-Suam'!J47</f>
        <v>0</v>
      </c>
      <c r="K47" s="49">
        <f>'Avg Week Saum-Bukwo'!K47+'Avg Week Bukwo-Suam'!K47</f>
        <v>0</v>
      </c>
      <c r="L47" s="49">
        <f>'Avg Week Saum-Bukwo'!L47+'Avg Week Bukwo-Suam'!L47</f>
        <v>0</v>
      </c>
      <c r="M47" s="49">
        <f>'Avg Week Saum-Bukwo'!M47+'Avg Week Bukwo-Suam'!M47</f>
        <v>20</v>
      </c>
      <c r="N47" s="49">
        <f>'Avg Week Saum-Bukwo'!N47+'Avg Week Bukwo-Suam'!N47</f>
        <v>0</v>
      </c>
      <c r="O47" s="15">
        <f t="shared" si="0"/>
        <v>1.5714285714285714</v>
      </c>
      <c r="P47" s="15">
        <f t="shared" si="1"/>
        <v>21.571428571428573</v>
      </c>
      <c r="R47" s="8"/>
      <c r="T47"/>
    </row>
    <row r="48" spans="2:32" ht="23.1" customHeight="1" x14ac:dyDescent="0.25">
      <c r="B48" s="24" t="s">
        <v>75</v>
      </c>
      <c r="C48" s="49">
        <f>'Avg Week Saum-Bukwo'!C48+'Avg Week Bukwo-Suam'!C48</f>
        <v>0.14285714285714285</v>
      </c>
      <c r="D48" s="49">
        <f>'Avg Week Saum-Bukwo'!D48+'Avg Week Bukwo-Suam'!D48</f>
        <v>0.14285714285714285</v>
      </c>
      <c r="E48" s="49">
        <f>'Avg Week Saum-Bukwo'!E48+'Avg Week Bukwo-Suam'!E48</f>
        <v>0.2857142857142857</v>
      </c>
      <c r="F48" s="49">
        <f>'Avg Week Saum-Bukwo'!F48+'Avg Week Bukwo-Suam'!F48</f>
        <v>0</v>
      </c>
      <c r="G48" s="49">
        <f>'Avg Week Saum-Bukwo'!G48+'Avg Week Bukwo-Suam'!G48</f>
        <v>0</v>
      </c>
      <c r="H48" s="49">
        <f>'Avg Week Saum-Bukwo'!H48+'Avg Week Bukwo-Suam'!H48</f>
        <v>0</v>
      </c>
      <c r="I48" s="49">
        <f>'Avg Week Saum-Bukwo'!I48+'Avg Week Bukwo-Suam'!I48</f>
        <v>0.5714285714285714</v>
      </c>
      <c r="J48" s="49">
        <f>'Avg Week Saum-Bukwo'!J48+'Avg Week Bukwo-Suam'!J48</f>
        <v>0</v>
      </c>
      <c r="K48" s="49">
        <f>'Avg Week Saum-Bukwo'!K48+'Avg Week Bukwo-Suam'!K48</f>
        <v>0</v>
      </c>
      <c r="L48" s="49">
        <f>'Avg Week Saum-Bukwo'!L48+'Avg Week Bukwo-Suam'!L48</f>
        <v>0</v>
      </c>
      <c r="M48" s="49">
        <f>'Avg Week Saum-Bukwo'!M48+'Avg Week Bukwo-Suam'!M48</f>
        <v>19.142857142857142</v>
      </c>
      <c r="N48" s="49">
        <f>'Avg Week Saum-Bukwo'!N48+'Avg Week Bukwo-Suam'!N48</f>
        <v>0</v>
      </c>
      <c r="O48" s="15">
        <f t="shared" si="0"/>
        <v>1.1428571428571428</v>
      </c>
      <c r="P48" s="15">
        <f t="shared" si="1"/>
        <v>20.285714285714285</v>
      </c>
      <c r="R48" s="8"/>
      <c r="T48"/>
    </row>
    <row r="49" spans="2:20" ht="23.1" customHeight="1" x14ac:dyDescent="0.25">
      <c r="B49" s="23" t="s">
        <v>76</v>
      </c>
      <c r="C49" s="49">
        <f>'Avg Week Saum-Bukwo'!C49+'Avg Week Bukwo-Suam'!C49</f>
        <v>0.14285714285714285</v>
      </c>
      <c r="D49" s="49">
        <f>'Avg Week Saum-Bukwo'!D49+'Avg Week Bukwo-Suam'!D49</f>
        <v>0.14285714285714285</v>
      </c>
      <c r="E49" s="49">
        <f>'Avg Week Saum-Bukwo'!E49+'Avg Week Bukwo-Suam'!E49</f>
        <v>0.42857142857142855</v>
      </c>
      <c r="F49" s="49">
        <f>'Avg Week Saum-Bukwo'!F49+'Avg Week Bukwo-Suam'!F49</f>
        <v>0</v>
      </c>
      <c r="G49" s="49">
        <f>'Avg Week Saum-Bukwo'!G49+'Avg Week Bukwo-Suam'!G49</f>
        <v>0</v>
      </c>
      <c r="H49" s="49">
        <f>'Avg Week Saum-Bukwo'!H49+'Avg Week Bukwo-Suam'!H49</f>
        <v>0</v>
      </c>
      <c r="I49" s="49">
        <f>'Avg Week Saum-Bukwo'!I49+'Avg Week Bukwo-Suam'!I49</f>
        <v>1.4285714285714286</v>
      </c>
      <c r="J49" s="49">
        <f>'Avg Week Saum-Bukwo'!J49+'Avg Week Bukwo-Suam'!J49</f>
        <v>0</v>
      </c>
      <c r="K49" s="49">
        <f>'Avg Week Saum-Bukwo'!K49+'Avg Week Bukwo-Suam'!K49</f>
        <v>0</v>
      </c>
      <c r="L49" s="49">
        <f>'Avg Week Saum-Bukwo'!L49+'Avg Week Bukwo-Suam'!L49</f>
        <v>0</v>
      </c>
      <c r="M49" s="49">
        <f>'Avg Week Saum-Bukwo'!M49+'Avg Week Bukwo-Suam'!M49</f>
        <v>23.571428571428569</v>
      </c>
      <c r="N49" s="49">
        <f>'Avg Week Saum-Bukwo'!N49+'Avg Week Bukwo-Suam'!N49</f>
        <v>0</v>
      </c>
      <c r="O49" s="15">
        <f t="shared" si="0"/>
        <v>2.1428571428571428</v>
      </c>
      <c r="P49" s="15">
        <f t="shared" si="1"/>
        <v>25.714285714285712</v>
      </c>
      <c r="R49" s="8"/>
      <c r="T49"/>
    </row>
    <row r="50" spans="2:20" ht="23.1" customHeight="1" x14ac:dyDescent="0.25">
      <c r="B50" s="24" t="s">
        <v>77</v>
      </c>
      <c r="C50" s="49">
        <f>'Avg Week Saum-Bukwo'!C50+'Avg Week Bukwo-Suam'!C50</f>
        <v>0.14285714285714285</v>
      </c>
      <c r="D50" s="49">
        <f>'Avg Week Saum-Bukwo'!D50+'Avg Week Bukwo-Suam'!D50</f>
        <v>0</v>
      </c>
      <c r="E50" s="49">
        <f>'Avg Week Saum-Bukwo'!E50+'Avg Week Bukwo-Suam'!E50</f>
        <v>0.14285714285714285</v>
      </c>
      <c r="F50" s="49">
        <f>'Avg Week Saum-Bukwo'!F50+'Avg Week Bukwo-Suam'!F50</f>
        <v>0</v>
      </c>
      <c r="G50" s="49">
        <f>'Avg Week Saum-Bukwo'!G50+'Avg Week Bukwo-Suam'!G50</f>
        <v>0</v>
      </c>
      <c r="H50" s="49">
        <f>'Avg Week Saum-Bukwo'!H50+'Avg Week Bukwo-Suam'!H50</f>
        <v>0</v>
      </c>
      <c r="I50" s="49">
        <f>'Avg Week Saum-Bukwo'!I50+'Avg Week Bukwo-Suam'!I50</f>
        <v>0.71428571428571419</v>
      </c>
      <c r="J50" s="49">
        <f>'Avg Week Saum-Bukwo'!J50+'Avg Week Bukwo-Suam'!J50</f>
        <v>0</v>
      </c>
      <c r="K50" s="49">
        <f>'Avg Week Saum-Bukwo'!K50+'Avg Week Bukwo-Suam'!K50</f>
        <v>0</v>
      </c>
      <c r="L50" s="49">
        <f>'Avg Week Saum-Bukwo'!L50+'Avg Week Bukwo-Suam'!L50</f>
        <v>0</v>
      </c>
      <c r="M50" s="49">
        <f>'Avg Week Saum-Bukwo'!M50+'Avg Week Bukwo-Suam'!M50</f>
        <v>17.571428571428569</v>
      </c>
      <c r="N50" s="49">
        <f>'Avg Week Saum-Bukwo'!N50+'Avg Week Bukwo-Suam'!N50</f>
        <v>0</v>
      </c>
      <c r="O50" s="15">
        <f t="shared" si="0"/>
        <v>0.99999999999999989</v>
      </c>
      <c r="P50" s="15">
        <f t="shared" si="1"/>
        <v>18.571428571428569</v>
      </c>
      <c r="R50" s="8"/>
      <c r="T50"/>
    </row>
    <row r="51" spans="2:20" ht="23.1" customHeight="1" x14ac:dyDescent="0.25">
      <c r="B51" s="24" t="s">
        <v>78</v>
      </c>
      <c r="C51" s="49">
        <f>'Avg Week Saum-Bukwo'!C51+'Avg Week Bukwo-Suam'!C51</f>
        <v>0.14285714285714285</v>
      </c>
      <c r="D51" s="49">
        <f>'Avg Week Saum-Bukwo'!D51+'Avg Week Bukwo-Suam'!D51</f>
        <v>0.14285714285714285</v>
      </c>
      <c r="E51" s="49">
        <f>'Avg Week Saum-Bukwo'!E51+'Avg Week Bukwo-Suam'!E51</f>
        <v>0.85714285714285721</v>
      </c>
      <c r="F51" s="49">
        <f>'Avg Week Saum-Bukwo'!F51+'Avg Week Bukwo-Suam'!F51</f>
        <v>0</v>
      </c>
      <c r="G51" s="49">
        <f>'Avg Week Saum-Bukwo'!G51+'Avg Week Bukwo-Suam'!G51</f>
        <v>0</v>
      </c>
      <c r="H51" s="49">
        <f>'Avg Week Saum-Bukwo'!H51+'Avg Week Bukwo-Suam'!H51</f>
        <v>0</v>
      </c>
      <c r="I51" s="49">
        <f>'Avg Week Saum-Bukwo'!I51+'Avg Week Bukwo-Suam'!I51</f>
        <v>1</v>
      </c>
      <c r="J51" s="49">
        <f>'Avg Week Saum-Bukwo'!J51+'Avg Week Bukwo-Suam'!J51</f>
        <v>0</v>
      </c>
      <c r="K51" s="49">
        <f>'Avg Week Saum-Bukwo'!K51+'Avg Week Bukwo-Suam'!K51</f>
        <v>0</v>
      </c>
      <c r="L51" s="49">
        <f>'Avg Week Saum-Bukwo'!L51+'Avg Week Bukwo-Suam'!L51</f>
        <v>0</v>
      </c>
      <c r="M51" s="49">
        <f>'Avg Week Saum-Bukwo'!M51+'Avg Week Bukwo-Suam'!M51</f>
        <v>21.428571428571431</v>
      </c>
      <c r="N51" s="49">
        <f>'Avg Week Saum-Bukwo'!N51+'Avg Week Bukwo-Suam'!N51</f>
        <v>0</v>
      </c>
      <c r="O51" s="15">
        <f t="shared" si="0"/>
        <v>2.1428571428571428</v>
      </c>
      <c r="P51" s="15">
        <f t="shared" si="1"/>
        <v>23.571428571428573</v>
      </c>
      <c r="R51" s="8"/>
      <c r="T51"/>
    </row>
    <row r="52" spans="2:20" ht="23.1" customHeight="1" x14ac:dyDescent="0.25">
      <c r="B52" s="24" t="s">
        <v>79</v>
      </c>
      <c r="C52" s="49">
        <f>'Avg Week Saum-Bukwo'!C52+'Avg Week Bukwo-Suam'!C52</f>
        <v>0.2857142857142857</v>
      </c>
      <c r="D52" s="49">
        <f>'Avg Week Saum-Bukwo'!D52+'Avg Week Bukwo-Suam'!D52</f>
        <v>0</v>
      </c>
      <c r="E52" s="49">
        <f>'Avg Week Saum-Bukwo'!E52+'Avg Week Bukwo-Suam'!E52</f>
        <v>0.42857142857142855</v>
      </c>
      <c r="F52" s="49">
        <f>'Avg Week Saum-Bukwo'!F52+'Avg Week Bukwo-Suam'!F52</f>
        <v>0</v>
      </c>
      <c r="G52" s="49">
        <f>'Avg Week Saum-Bukwo'!G52+'Avg Week Bukwo-Suam'!G52</f>
        <v>0</v>
      </c>
      <c r="H52" s="49">
        <f>'Avg Week Saum-Bukwo'!H52+'Avg Week Bukwo-Suam'!H52</f>
        <v>0</v>
      </c>
      <c r="I52" s="49">
        <f>'Avg Week Saum-Bukwo'!I52+'Avg Week Bukwo-Suam'!I52</f>
        <v>0.2857142857142857</v>
      </c>
      <c r="J52" s="49">
        <f>'Avg Week Saum-Bukwo'!J52+'Avg Week Bukwo-Suam'!J52</f>
        <v>0</v>
      </c>
      <c r="K52" s="49">
        <f>'Avg Week Saum-Bukwo'!K52+'Avg Week Bukwo-Suam'!K52</f>
        <v>0</v>
      </c>
      <c r="L52" s="49">
        <f>'Avg Week Saum-Bukwo'!L52+'Avg Week Bukwo-Suam'!L52</f>
        <v>0</v>
      </c>
      <c r="M52" s="49">
        <f>'Avg Week Saum-Bukwo'!M52+'Avg Week Bukwo-Suam'!M52</f>
        <v>19.857142857142858</v>
      </c>
      <c r="N52" s="49">
        <f>'Avg Week Saum-Bukwo'!N52+'Avg Week Bukwo-Suam'!N52</f>
        <v>0</v>
      </c>
      <c r="O52" s="15">
        <f t="shared" si="0"/>
        <v>0.99999999999999989</v>
      </c>
      <c r="P52" s="15">
        <f t="shared" si="1"/>
        <v>20.857142857142858</v>
      </c>
      <c r="R52" s="8"/>
      <c r="T52"/>
    </row>
    <row r="53" spans="2:20" ht="23.1" customHeight="1" x14ac:dyDescent="0.25">
      <c r="B53" s="23" t="s">
        <v>80</v>
      </c>
      <c r="C53" s="49">
        <f>'Avg Week Saum-Bukwo'!C53+'Avg Week Bukwo-Suam'!C53</f>
        <v>0.5714285714285714</v>
      </c>
      <c r="D53" s="49">
        <f>'Avg Week Saum-Bukwo'!D53+'Avg Week Bukwo-Suam'!D53</f>
        <v>0</v>
      </c>
      <c r="E53" s="49">
        <f>'Avg Week Saum-Bukwo'!E53+'Avg Week Bukwo-Suam'!E53</f>
        <v>0.42857142857142855</v>
      </c>
      <c r="F53" s="49">
        <f>'Avg Week Saum-Bukwo'!F53+'Avg Week Bukwo-Suam'!F53</f>
        <v>0</v>
      </c>
      <c r="G53" s="49">
        <f>'Avg Week Saum-Bukwo'!G53+'Avg Week Bukwo-Suam'!G53</f>
        <v>0</v>
      </c>
      <c r="H53" s="49">
        <f>'Avg Week Saum-Bukwo'!H53+'Avg Week Bukwo-Suam'!H53</f>
        <v>0</v>
      </c>
      <c r="I53" s="49">
        <f>'Avg Week Saum-Bukwo'!I53+'Avg Week Bukwo-Suam'!I53</f>
        <v>0.8571428571428571</v>
      </c>
      <c r="J53" s="49">
        <f>'Avg Week Saum-Bukwo'!J53+'Avg Week Bukwo-Suam'!J53</f>
        <v>0</v>
      </c>
      <c r="K53" s="49">
        <f>'Avg Week Saum-Bukwo'!K53+'Avg Week Bukwo-Suam'!K53</f>
        <v>0</v>
      </c>
      <c r="L53" s="49">
        <f>'Avg Week Saum-Bukwo'!L53+'Avg Week Bukwo-Suam'!L53</f>
        <v>0</v>
      </c>
      <c r="M53" s="49">
        <f>'Avg Week Saum-Bukwo'!M53+'Avg Week Bukwo-Suam'!M53</f>
        <v>17.857142857142858</v>
      </c>
      <c r="N53" s="49">
        <f>'Avg Week Saum-Bukwo'!N53+'Avg Week Bukwo-Suam'!N53</f>
        <v>0</v>
      </c>
      <c r="O53" s="15">
        <f t="shared" si="0"/>
        <v>1.8571428571428572</v>
      </c>
      <c r="P53" s="15">
        <f t="shared" si="1"/>
        <v>19.714285714285715</v>
      </c>
      <c r="R53" s="8"/>
      <c r="T53"/>
    </row>
    <row r="54" spans="2:20" ht="23.1" customHeight="1" x14ac:dyDescent="0.25">
      <c r="B54" s="23" t="s">
        <v>81</v>
      </c>
      <c r="C54" s="49">
        <f>'Avg Week Saum-Bukwo'!C54+'Avg Week Bukwo-Suam'!C54</f>
        <v>0.42857142857142855</v>
      </c>
      <c r="D54" s="49">
        <f>'Avg Week Saum-Bukwo'!D54+'Avg Week Bukwo-Suam'!D54</f>
        <v>0</v>
      </c>
      <c r="E54" s="49">
        <f>'Avg Week Saum-Bukwo'!E54+'Avg Week Bukwo-Suam'!E54</f>
        <v>1</v>
      </c>
      <c r="F54" s="49">
        <f>'Avg Week Saum-Bukwo'!F54+'Avg Week Bukwo-Suam'!F54</f>
        <v>0</v>
      </c>
      <c r="G54" s="49">
        <f>'Avg Week Saum-Bukwo'!G54+'Avg Week Bukwo-Suam'!G54</f>
        <v>0</v>
      </c>
      <c r="H54" s="49">
        <f>'Avg Week Saum-Bukwo'!H54+'Avg Week Bukwo-Suam'!H54</f>
        <v>0</v>
      </c>
      <c r="I54" s="49">
        <f>'Avg Week Saum-Bukwo'!I54+'Avg Week Bukwo-Suam'!I54</f>
        <v>0.71428571428571419</v>
      </c>
      <c r="J54" s="49">
        <f>'Avg Week Saum-Bukwo'!J54+'Avg Week Bukwo-Suam'!J54</f>
        <v>0</v>
      </c>
      <c r="K54" s="49">
        <f>'Avg Week Saum-Bukwo'!K54+'Avg Week Bukwo-Suam'!K54</f>
        <v>0</v>
      </c>
      <c r="L54" s="49">
        <f>'Avg Week Saum-Bukwo'!L54+'Avg Week Bukwo-Suam'!L54</f>
        <v>0</v>
      </c>
      <c r="M54" s="49">
        <f>'Avg Week Saum-Bukwo'!M54+'Avg Week Bukwo-Suam'!M54</f>
        <v>21.571428571428573</v>
      </c>
      <c r="N54" s="49">
        <f>'Avg Week Saum-Bukwo'!N54+'Avg Week Bukwo-Suam'!N54</f>
        <v>0</v>
      </c>
      <c r="O54" s="15">
        <f t="shared" si="0"/>
        <v>2.1428571428571428</v>
      </c>
      <c r="P54" s="15">
        <f t="shared" si="1"/>
        <v>23.714285714285715</v>
      </c>
      <c r="R54" s="8"/>
      <c r="T54"/>
    </row>
    <row r="55" spans="2:20" ht="23.1" customHeight="1" x14ac:dyDescent="0.25">
      <c r="B55" s="23" t="s">
        <v>82</v>
      </c>
      <c r="C55" s="49">
        <f>'Avg Week Saum-Bukwo'!C55+'Avg Week Bukwo-Suam'!C55</f>
        <v>0.2857142857142857</v>
      </c>
      <c r="D55" s="49">
        <f>'Avg Week Saum-Bukwo'!D55+'Avg Week Bukwo-Suam'!D55</f>
        <v>0</v>
      </c>
      <c r="E55" s="49">
        <f>'Avg Week Saum-Bukwo'!E55+'Avg Week Bukwo-Suam'!E55</f>
        <v>0.5714285714285714</v>
      </c>
      <c r="F55" s="49">
        <f>'Avg Week Saum-Bukwo'!F55+'Avg Week Bukwo-Suam'!F55</f>
        <v>0</v>
      </c>
      <c r="G55" s="49">
        <f>'Avg Week Saum-Bukwo'!G55+'Avg Week Bukwo-Suam'!G55</f>
        <v>0</v>
      </c>
      <c r="H55" s="49">
        <f>'Avg Week Saum-Bukwo'!H55+'Avg Week Bukwo-Suam'!H55</f>
        <v>0</v>
      </c>
      <c r="I55" s="49">
        <f>'Avg Week Saum-Bukwo'!I55+'Avg Week Bukwo-Suam'!I55</f>
        <v>0.5714285714285714</v>
      </c>
      <c r="J55" s="49">
        <f>'Avg Week Saum-Bukwo'!J55+'Avg Week Bukwo-Suam'!J55</f>
        <v>0</v>
      </c>
      <c r="K55" s="49">
        <f>'Avg Week Saum-Bukwo'!K55+'Avg Week Bukwo-Suam'!K55</f>
        <v>0</v>
      </c>
      <c r="L55" s="49">
        <f>'Avg Week Saum-Bukwo'!L55+'Avg Week Bukwo-Suam'!L55</f>
        <v>0</v>
      </c>
      <c r="M55" s="49">
        <f>'Avg Week Saum-Bukwo'!M55+'Avg Week Bukwo-Suam'!M55</f>
        <v>19.714285714285715</v>
      </c>
      <c r="N55" s="49">
        <f>'Avg Week Saum-Bukwo'!N55+'Avg Week Bukwo-Suam'!N55</f>
        <v>0</v>
      </c>
      <c r="O55" s="15">
        <f t="shared" si="0"/>
        <v>1.4285714285714284</v>
      </c>
      <c r="P55" s="15">
        <f t="shared" si="1"/>
        <v>21.142857142857142</v>
      </c>
      <c r="R55" s="8"/>
      <c r="T55"/>
    </row>
    <row r="56" spans="2:20" ht="23.1" customHeight="1" x14ac:dyDescent="0.25">
      <c r="B56" s="23" t="s">
        <v>83</v>
      </c>
      <c r="C56" s="49">
        <f>'Avg Week Saum-Bukwo'!C56+'Avg Week Bukwo-Suam'!C56</f>
        <v>0.14285714285714285</v>
      </c>
      <c r="D56" s="49">
        <f>'Avg Week Saum-Bukwo'!D56+'Avg Week Bukwo-Suam'!D56</f>
        <v>0</v>
      </c>
      <c r="E56" s="49">
        <f>'Avg Week Saum-Bukwo'!E56+'Avg Week Bukwo-Suam'!E56</f>
        <v>0.42857142857142855</v>
      </c>
      <c r="F56" s="49">
        <f>'Avg Week Saum-Bukwo'!F56+'Avg Week Bukwo-Suam'!F56</f>
        <v>0</v>
      </c>
      <c r="G56" s="49">
        <f>'Avg Week Saum-Bukwo'!G56+'Avg Week Bukwo-Suam'!G56</f>
        <v>0</v>
      </c>
      <c r="H56" s="49">
        <f>'Avg Week Saum-Bukwo'!H56+'Avg Week Bukwo-Suam'!H56</f>
        <v>0</v>
      </c>
      <c r="I56" s="49">
        <f>'Avg Week Saum-Bukwo'!I56+'Avg Week Bukwo-Suam'!I56</f>
        <v>0.8571428571428571</v>
      </c>
      <c r="J56" s="49">
        <f>'Avg Week Saum-Bukwo'!J56+'Avg Week Bukwo-Suam'!J56</f>
        <v>0</v>
      </c>
      <c r="K56" s="49">
        <f>'Avg Week Saum-Bukwo'!K56+'Avg Week Bukwo-Suam'!K56</f>
        <v>0</v>
      </c>
      <c r="L56" s="49">
        <f>'Avg Week Saum-Bukwo'!L56+'Avg Week Bukwo-Suam'!L56</f>
        <v>0</v>
      </c>
      <c r="M56" s="49">
        <f>'Avg Week Saum-Bukwo'!M56+'Avg Week Bukwo-Suam'!M56</f>
        <v>21.142857142857142</v>
      </c>
      <c r="N56" s="49">
        <f>'Avg Week Saum-Bukwo'!N56+'Avg Week Bukwo-Suam'!N56</f>
        <v>0</v>
      </c>
      <c r="O56" s="15">
        <f t="shared" si="0"/>
        <v>1.4285714285714284</v>
      </c>
      <c r="P56" s="15">
        <f t="shared" si="1"/>
        <v>22.571428571428569</v>
      </c>
      <c r="R56" s="8"/>
      <c r="T56"/>
    </row>
    <row r="57" spans="2:20" ht="23.1" customHeight="1" x14ac:dyDescent="0.25">
      <c r="B57" s="23" t="s">
        <v>84</v>
      </c>
      <c r="C57" s="49">
        <f>'Avg Week Saum-Bukwo'!C57+'Avg Week Bukwo-Suam'!C57</f>
        <v>0.2857142857142857</v>
      </c>
      <c r="D57" s="49">
        <f>'Avg Week Saum-Bukwo'!D57+'Avg Week Bukwo-Suam'!D57</f>
        <v>0</v>
      </c>
      <c r="E57" s="49">
        <f>'Avg Week Saum-Bukwo'!E57+'Avg Week Bukwo-Suam'!E57</f>
        <v>0.14285714285714285</v>
      </c>
      <c r="F57" s="49">
        <f>'Avg Week Saum-Bukwo'!F57+'Avg Week Bukwo-Suam'!F57</f>
        <v>0</v>
      </c>
      <c r="G57" s="49">
        <f>'Avg Week Saum-Bukwo'!G57+'Avg Week Bukwo-Suam'!G57</f>
        <v>0</v>
      </c>
      <c r="H57" s="49">
        <f>'Avg Week Saum-Bukwo'!H57+'Avg Week Bukwo-Suam'!H57</f>
        <v>0</v>
      </c>
      <c r="I57" s="49">
        <f>'Avg Week Saum-Bukwo'!I57+'Avg Week Bukwo-Suam'!I57</f>
        <v>1.1428571428571428</v>
      </c>
      <c r="J57" s="49">
        <f>'Avg Week Saum-Bukwo'!J57+'Avg Week Bukwo-Suam'!J57</f>
        <v>0</v>
      </c>
      <c r="K57" s="49">
        <f>'Avg Week Saum-Bukwo'!K57+'Avg Week Bukwo-Suam'!K57</f>
        <v>0</v>
      </c>
      <c r="L57" s="49">
        <f>'Avg Week Saum-Bukwo'!L57+'Avg Week Bukwo-Suam'!L57</f>
        <v>1.2857142857142858</v>
      </c>
      <c r="M57" s="49">
        <f>'Avg Week Saum-Bukwo'!M57+'Avg Week Bukwo-Suam'!M57</f>
        <v>19.142857142857142</v>
      </c>
      <c r="N57" s="49">
        <f>'Avg Week Saum-Bukwo'!N57+'Avg Week Bukwo-Suam'!N57</f>
        <v>0</v>
      </c>
      <c r="O57" s="15">
        <f t="shared" si="0"/>
        <v>2.8571428571428572</v>
      </c>
      <c r="P57" s="15">
        <f t="shared" si="1"/>
        <v>22</v>
      </c>
      <c r="R57" s="8"/>
      <c r="T57"/>
    </row>
    <row r="58" spans="2:20" ht="23.1" customHeight="1" x14ac:dyDescent="0.25">
      <c r="B58" s="23" t="s">
        <v>99</v>
      </c>
      <c r="C58" s="49">
        <f>'Avg Week Saum-Bukwo'!C58+'Avg Week Bukwo-Suam'!C58</f>
        <v>0.5</v>
      </c>
      <c r="D58" s="49">
        <f>'Avg Week Saum-Bukwo'!D58+'Avg Week Bukwo-Suam'!D58</f>
        <v>0</v>
      </c>
      <c r="E58" s="49">
        <f>'Avg Week Saum-Bukwo'!E58+'Avg Week Bukwo-Suam'!E58</f>
        <v>2</v>
      </c>
      <c r="F58" s="49">
        <f>'Avg Week Saum-Bukwo'!F58+'Avg Week Bukwo-Suam'!F58</f>
        <v>0</v>
      </c>
      <c r="G58" s="49">
        <f>'Avg Week Saum-Bukwo'!G58+'Avg Week Bukwo-Suam'!G58</f>
        <v>0</v>
      </c>
      <c r="H58" s="49">
        <f>'Avg Week Saum-Bukwo'!H58+'Avg Week Bukwo-Suam'!H58</f>
        <v>0</v>
      </c>
      <c r="I58" s="49">
        <f>'Avg Week Saum-Bukwo'!I58+'Avg Week Bukwo-Suam'!I58</f>
        <v>1</v>
      </c>
      <c r="J58" s="49">
        <f>'Avg Week Saum-Bukwo'!J58+'Avg Week Bukwo-Suam'!J58</f>
        <v>0</v>
      </c>
      <c r="K58" s="49">
        <f>'Avg Week Saum-Bukwo'!K58+'Avg Week Bukwo-Suam'!K58</f>
        <v>0</v>
      </c>
      <c r="L58" s="49">
        <f>'Avg Week Saum-Bukwo'!L58+'Avg Week Bukwo-Suam'!L58</f>
        <v>0</v>
      </c>
      <c r="M58" s="49">
        <f>'Avg Week Saum-Bukwo'!M58+'Avg Week Bukwo-Suam'!M58</f>
        <v>15</v>
      </c>
      <c r="N58" s="49">
        <f>'Avg Week Saum-Bukwo'!N58+'Avg Week Bukwo-Suam'!N58</f>
        <v>0</v>
      </c>
      <c r="O58" s="15">
        <f t="shared" si="0"/>
        <v>3.5</v>
      </c>
      <c r="P58" s="15">
        <f t="shared" si="1"/>
        <v>18.5</v>
      </c>
      <c r="R58" s="8"/>
      <c r="T58"/>
    </row>
    <row r="59" spans="2:20" ht="23.1" customHeight="1" x14ac:dyDescent="0.25">
      <c r="B59" s="23" t="s">
        <v>100</v>
      </c>
      <c r="C59" s="49">
        <f>'Avg Week Saum-Bukwo'!C59+'Avg Week Bukwo-Suam'!C59</f>
        <v>0.5</v>
      </c>
      <c r="D59" s="49">
        <f>'Avg Week Saum-Bukwo'!D59+'Avg Week Bukwo-Suam'!D59</f>
        <v>0</v>
      </c>
      <c r="E59" s="49">
        <f>'Avg Week Saum-Bukwo'!E59+'Avg Week Bukwo-Suam'!E59</f>
        <v>0.5</v>
      </c>
      <c r="F59" s="49">
        <f>'Avg Week Saum-Bukwo'!F59+'Avg Week Bukwo-Suam'!F59</f>
        <v>0</v>
      </c>
      <c r="G59" s="49">
        <f>'Avg Week Saum-Bukwo'!G59+'Avg Week Bukwo-Suam'!G59</f>
        <v>0</v>
      </c>
      <c r="H59" s="49">
        <f>'Avg Week Saum-Bukwo'!H59+'Avg Week Bukwo-Suam'!H59</f>
        <v>0</v>
      </c>
      <c r="I59" s="49">
        <f>'Avg Week Saum-Bukwo'!I59+'Avg Week Bukwo-Suam'!I59</f>
        <v>0</v>
      </c>
      <c r="J59" s="49">
        <f>'Avg Week Saum-Bukwo'!J59+'Avg Week Bukwo-Suam'!J59</f>
        <v>0</v>
      </c>
      <c r="K59" s="49">
        <f>'Avg Week Saum-Bukwo'!K59+'Avg Week Bukwo-Suam'!K59</f>
        <v>0</v>
      </c>
      <c r="L59" s="49">
        <f>'Avg Week Saum-Bukwo'!L59+'Avg Week Bukwo-Suam'!L59</f>
        <v>0</v>
      </c>
      <c r="M59" s="49">
        <f>'Avg Week Saum-Bukwo'!M59+'Avg Week Bukwo-Suam'!M59</f>
        <v>9.5</v>
      </c>
      <c r="N59" s="49">
        <f>'Avg Week Saum-Bukwo'!N59+'Avg Week Bukwo-Suam'!N59</f>
        <v>0</v>
      </c>
      <c r="O59" s="15">
        <f t="shared" si="0"/>
        <v>1</v>
      </c>
      <c r="P59" s="15">
        <f t="shared" si="1"/>
        <v>10.5</v>
      </c>
      <c r="R59" s="8"/>
      <c r="T59"/>
    </row>
    <row r="60" spans="2:20" ht="23.1" customHeight="1" x14ac:dyDescent="0.25">
      <c r="B60" s="23" t="s">
        <v>101</v>
      </c>
      <c r="C60" s="49">
        <f>'Avg Week Saum-Bukwo'!C60+'Avg Week Bukwo-Suam'!C60</f>
        <v>0</v>
      </c>
      <c r="D60" s="49">
        <f>'Avg Week Saum-Bukwo'!D60+'Avg Week Bukwo-Suam'!D60</f>
        <v>0.5</v>
      </c>
      <c r="E60" s="49">
        <f>'Avg Week Saum-Bukwo'!E60+'Avg Week Bukwo-Suam'!E60</f>
        <v>0.5</v>
      </c>
      <c r="F60" s="49">
        <f>'Avg Week Saum-Bukwo'!F60+'Avg Week Bukwo-Suam'!F60</f>
        <v>0</v>
      </c>
      <c r="G60" s="49">
        <f>'Avg Week Saum-Bukwo'!G60+'Avg Week Bukwo-Suam'!G60</f>
        <v>0</v>
      </c>
      <c r="H60" s="49">
        <f>'Avg Week Saum-Bukwo'!H60+'Avg Week Bukwo-Suam'!H60</f>
        <v>0</v>
      </c>
      <c r="I60" s="49">
        <f>'Avg Week Saum-Bukwo'!I60+'Avg Week Bukwo-Suam'!I60</f>
        <v>1.5</v>
      </c>
      <c r="J60" s="49">
        <f>'Avg Week Saum-Bukwo'!J60+'Avg Week Bukwo-Suam'!J60</f>
        <v>0</v>
      </c>
      <c r="K60" s="49">
        <f>'Avg Week Saum-Bukwo'!K60+'Avg Week Bukwo-Suam'!K60</f>
        <v>0</v>
      </c>
      <c r="L60" s="49">
        <f>'Avg Week Saum-Bukwo'!L60+'Avg Week Bukwo-Suam'!L60</f>
        <v>0</v>
      </c>
      <c r="M60" s="49">
        <f>'Avg Week Saum-Bukwo'!M60+'Avg Week Bukwo-Suam'!M60</f>
        <v>13</v>
      </c>
      <c r="N60" s="49">
        <f>'Avg Week Saum-Bukwo'!N60+'Avg Week Bukwo-Suam'!N60</f>
        <v>0</v>
      </c>
      <c r="O60" s="15">
        <f t="shared" si="0"/>
        <v>2.5</v>
      </c>
      <c r="P60" s="15">
        <f t="shared" si="1"/>
        <v>15.5</v>
      </c>
      <c r="R60" s="8"/>
      <c r="T60"/>
    </row>
    <row r="61" spans="2:20" ht="23.1" customHeight="1" x14ac:dyDescent="0.25">
      <c r="B61" s="23" t="s">
        <v>102</v>
      </c>
      <c r="C61" s="49">
        <f>'Avg Week Saum-Bukwo'!C61+'Avg Week Bukwo-Suam'!C61</f>
        <v>1</v>
      </c>
      <c r="D61" s="49">
        <f>'Avg Week Saum-Bukwo'!D61+'Avg Week Bukwo-Suam'!D61</f>
        <v>0</v>
      </c>
      <c r="E61" s="49">
        <f>'Avg Week Saum-Bukwo'!E61+'Avg Week Bukwo-Suam'!E61</f>
        <v>0</v>
      </c>
      <c r="F61" s="49">
        <f>'Avg Week Saum-Bukwo'!F61+'Avg Week Bukwo-Suam'!F61</f>
        <v>0</v>
      </c>
      <c r="G61" s="49">
        <f>'Avg Week Saum-Bukwo'!G61+'Avg Week Bukwo-Suam'!G61</f>
        <v>0</v>
      </c>
      <c r="H61" s="49">
        <f>'Avg Week Saum-Bukwo'!H61+'Avg Week Bukwo-Suam'!H61</f>
        <v>0</v>
      </c>
      <c r="I61" s="49">
        <f>'Avg Week Saum-Bukwo'!I61+'Avg Week Bukwo-Suam'!I61</f>
        <v>0</v>
      </c>
      <c r="J61" s="49">
        <f>'Avg Week Saum-Bukwo'!J61+'Avg Week Bukwo-Suam'!J61</f>
        <v>0</v>
      </c>
      <c r="K61" s="49">
        <f>'Avg Week Saum-Bukwo'!K61+'Avg Week Bukwo-Suam'!K61</f>
        <v>0</v>
      </c>
      <c r="L61" s="49">
        <f>'Avg Week Saum-Bukwo'!L61+'Avg Week Bukwo-Suam'!L61</f>
        <v>0</v>
      </c>
      <c r="M61" s="49">
        <f>'Avg Week Saum-Bukwo'!M61+'Avg Week Bukwo-Suam'!M61</f>
        <v>15</v>
      </c>
      <c r="N61" s="49">
        <f>'Avg Week Saum-Bukwo'!N61+'Avg Week Bukwo-Suam'!N61</f>
        <v>0</v>
      </c>
      <c r="O61" s="15">
        <f t="shared" si="0"/>
        <v>1</v>
      </c>
      <c r="P61" s="15">
        <f t="shared" si="1"/>
        <v>16</v>
      </c>
      <c r="R61" s="8"/>
      <c r="T61"/>
    </row>
    <row r="62" spans="2:20" ht="23.1" customHeight="1" x14ac:dyDescent="0.25">
      <c r="B62" s="23" t="s">
        <v>107</v>
      </c>
      <c r="C62" s="49">
        <f>'Avg Week Saum-Bukwo'!C62+'Avg Week Bukwo-Suam'!C62</f>
        <v>0</v>
      </c>
      <c r="D62" s="49">
        <f>'Avg Week Saum-Bukwo'!D62+'Avg Week Bukwo-Suam'!D62</f>
        <v>0</v>
      </c>
      <c r="E62" s="49">
        <f>'Avg Week Saum-Bukwo'!E62+'Avg Week Bukwo-Suam'!E62</f>
        <v>0</v>
      </c>
      <c r="F62" s="49">
        <f>'Avg Week Saum-Bukwo'!F62+'Avg Week Bukwo-Suam'!F62</f>
        <v>0</v>
      </c>
      <c r="G62" s="49">
        <f>'Avg Week Saum-Bukwo'!G62+'Avg Week Bukwo-Suam'!G62</f>
        <v>0</v>
      </c>
      <c r="H62" s="49">
        <f>'Avg Week Saum-Bukwo'!H62+'Avg Week Bukwo-Suam'!H62</f>
        <v>0</v>
      </c>
      <c r="I62" s="49">
        <f>'Avg Week Saum-Bukwo'!I62+'Avg Week Bukwo-Suam'!I62</f>
        <v>0.5</v>
      </c>
      <c r="J62" s="49">
        <f>'Avg Week Saum-Bukwo'!J62+'Avg Week Bukwo-Suam'!J62</f>
        <v>0</v>
      </c>
      <c r="K62" s="49">
        <f>'Avg Week Saum-Bukwo'!K62+'Avg Week Bukwo-Suam'!K62</f>
        <v>0</v>
      </c>
      <c r="L62" s="49">
        <f>'Avg Week Saum-Bukwo'!L62+'Avg Week Bukwo-Suam'!L62</f>
        <v>0</v>
      </c>
      <c r="M62" s="49">
        <f>'Avg Week Saum-Bukwo'!M62+'Avg Week Bukwo-Suam'!M62</f>
        <v>12.5</v>
      </c>
      <c r="N62" s="49">
        <f>'Avg Week Saum-Bukwo'!N62+'Avg Week Bukwo-Suam'!N62</f>
        <v>0</v>
      </c>
      <c r="O62" s="15">
        <f t="shared" si="0"/>
        <v>0.5</v>
      </c>
      <c r="P62" s="15">
        <f t="shared" si="1"/>
        <v>13</v>
      </c>
      <c r="R62" s="8"/>
      <c r="T62"/>
    </row>
    <row r="63" spans="2:20" ht="23.1" customHeight="1" x14ac:dyDescent="0.25">
      <c r="B63" s="23" t="s">
        <v>108</v>
      </c>
      <c r="C63" s="49">
        <f>'Avg Week Saum-Bukwo'!C63+'Avg Week Bukwo-Suam'!C63</f>
        <v>0</v>
      </c>
      <c r="D63" s="49">
        <f>'Avg Week Saum-Bukwo'!D63+'Avg Week Bukwo-Suam'!D63</f>
        <v>0</v>
      </c>
      <c r="E63" s="49">
        <f>'Avg Week Saum-Bukwo'!E63+'Avg Week Bukwo-Suam'!E63</f>
        <v>0.5</v>
      </c>
      <c r="F63" s="49">
        <f>'Avg Week Saum-Bukwo'!F63+'Avg Week Bukwo-Suam'!F63</f>
        <v>0</v>
      </c>
      <c r="G63" s="49">
        <f>'Avg Week Saum-Bukwo'!G63+'Avg Week Bukwo-Suam'!G63</f>
        <v>0</v>
      </c>
      <c r="H63" s="49">
        <f>'Avg Week Saum-Bukwo'!H63+'Avg Week Bukwo-Suam'!H63</f>
        <v>0</v>
      </c>
      <c r="I63" s="49">
        <f>'Avg Week Saum-Bukwo'!I63+'Avg Week Bukwo-Suam'!I63</f>
        <v>0</v>
      </c>
      <c r="J63" s="49">
        <f>'Avg Week Saum-Bukwo'!J63+'Avg Week Bukwo-Suam'!J63</f>
        <v>0</v>
      </c>
      <c r="K63" s="49">
        <f>'Avg Week Saum-Bukwo'!K63+'Avg Week Bukwo-Suam'!K63</f>
        <v>0</v>
      </c>
      <c r="L63" s="49">
        <f>'Avg Week Saum-Bukwo'!L63+'Avg Week Bukwo-Suam'!L63</f>
        <v>0</v>
      </c>
      <c r="M63" s="49">
        <f>'Avg Week Saum-Bukwo'!M63+'Avg Week Bukwo-Suam'!M63</f>
        <v>10.5</v>
      </c>
      <c r="N63" s="49">
        <f>'Avg Week Saum-Bukwo'!N63+'Avg Week Bukwo-Suam'!N63</f>
        <v>0</v>
      </c>
      <c r="O63" s="15">
        <f t="shared" si="0"/>
        <v>0.5</v>
      </c>
      <c r="P63" s="15">
        <f t="shared" si="1"/>
        <v>11</v>
      </c>
      <c r="R63" s="8"/>
      <c r="T63"/>
    </row>
    <row r="64" spans="2:20" ht="23.1" customHeight="1" x14ac:dyDescent="0.25">
      <c r="B64" s="23" t="s">
        <v>109</v>
      </c>
      <c r="C64" s="49">
        <f>'Avg Week Saum-Bukwo'!C64+'Avg Week Bukwo-Suam'!C64</f>
        <v>0</v>
      </c>
      <c r="D64" s="49">
        <f>'Avg Week Saum-Bukwo'!D64+'Avg Week Bukwo-Suam'!D64</f>
        <v>0</v>
      </c>
      <c r="E64" s="49">
        <f>'Avg Week Saum-Bukwo'!E64+'Avg Week Bukwo-Suam'!E64</f>
        <v>0.5</v>
      </c>
      <c r="F64" s="49">
        <f>'Avg Week Saum-Bukwo'!F64+'Avg Week Bukwo-Suam'!F64</f>
        <v>0</v>
      </c>
      <c r="G64" s="49">
        <f>'Avg Week Saum-Bukwo'!G64+'Avg Week Bukwo-Suam'!G64</f>
        <v>0</v>
      </c>
      <c r="H64" s="49">
        <f>'Avg Week Saum-Bukwo'!H64+'Avg Week Bukwo-Suam'!H64</f>
        <v>0</v>
      </c>
      <c r="I64" s="49">
        <f>'Avg Week Saum-Bukwo'!I64+'Avg Week Bukwo-Suam'!I64</f>
        <v>1.5</v>
      </c>
      <c r="J64" s="49">
        <f>'Avg Week Saum-Bukwo'!J64+'Avg Week Bukwo-Suam'!J64</f>
        <v>0</v>
      </c>
      <c r="K64" s="49">
        <f>'Avg Week Saum-Bukwo'!K64+'Avg Week Bukwo-Suam'!K64</f>
        <v>0</v>
      </c>
      <c r="L64" s="49">
        <f>'Avg Week Saum-Bukwo'!L64+'Avg Week Bukwo-Suam'!L64</f>
        <v>0</v>
      </c>
      <c r="M64" s="49">
        <f>'Avg Week Saum-Bukwo'!M64+'Avg Week Bukwo-Suam'!M64</f>
        <v>8.5</v>
      </c>
      <c r="N64" s="49">
        <f>'Avg Week Saum-Bukwo'!N64+'Avg Week Bukwo-Suam'!N64</f>
        <v>0</v>
      </c>
      <c r="O64" s="15">
        <f t="shared" si="0"/>
        <v>2</v>
      </c>
      <c r="P64" s="15">
        <f t="shared" si="1"/>
        <v>10.5</v>
      </c>
      <c r="R64" s="8"/>
      <c r="T64"/>
    </row>
    <row r="65" spans="2:20" ht="23.1" customHeight="1" x14ac:dyDescent="0.25">
      <c r="B65" s="23" t="s">
        <v>158</v>
      </c>
      <c r="C65" s="49">
        <f>'Avg Week Saum-Bukwo'!C65+'Avg Week Bukwo-Suam'!C65</f>
        <v>0</v>
      </c>
      <c r="D65" s="49">
        <f>'Avg Week Saum-Bukwo'!D65+'Avg Week Bukwo-Suam'!D65</f>
        <v>0.5</v>
      </c>
      <c r="E65" s="49">
        <f>'Avg Week Saum-Bukwo'!E65+'Avg Week Bukwo-Suam'!E65</f>
        <v>0.5</v>
      </c>
      <c r="F65" s="49">
        <f>'Avg Week Saum-Bukwo'!F65+'Avg Week Bukwo-Suam'!F65</f>
        <v>0</v>
      </c>
      <c r="G65" s="49">
        <f>'Avg Week Saum-Bukwo'!G65+'Avg Week Bukwo-Suam'!G65</f>
        <v>0</v>
      </c>
      <c r="H65" s="49">
        <f>'Avg Week Saum-Bukwo'!H65+'Avg Week Bukwo-Suam'!H65</f>
        <v>0</v>
      </c>
      <c r="I65" s="49">
        <f>'Avg Week Saum-Bukwo'!I65+'Avg Week Bukwo-Suam'!I65</f>
        <v>1.5</v>
      </c>
      <c r="J65" s="49">
        <f>'Avg Week Saum-Bukwo'!J65+'Avg Week Bukwo-Suam'!J65</f>
        <v>0</v>
      </c>
      <c r="K65" s="49">
        <f>'Avg Week Saum-Bukwo'!K65+'Avg Week Bukwo-Suam'!K65</f>
        <v>0</v>
      </c>
      <c r="L65" s="49">
        <f>'Avg Week Saum-Bukwo'!L65+'Avg Week Bukwo-Suam'!L65</f>
        <v>0</v>
      </c>
      <c r="M65" s="49">
        <f>'Avg Week Saum-Bukwo'!M65+'Avg Week Bukwo-Suam'!M65</f>
        <v>17.5</v>
      </c>
      <c r="N65" s="49">
        <f>'Avg Week Saum-Bukwo'!N65+'Avg Week Bukwo-Suam'!N65</f>
        <v>0</v>
      </c>
      <c r="O65" s="15">
        <f t="shared" si="0"/>
        <v>2.5</v>
      </c>
      <c r="P65" s="15">
        <f t="shared" si="1"/>
        <v>20</v>
      </c>
      <c r="R65" s="8"/>
      <c r="T65"/>
    </row>
    <row r="66" spans="2:20" ht="23.1" customHeight="1" x14ac:dyDescent="0.25">
      <c r="B66" s="23" t="s">
        <v>103</v>
      </c>
      <c r="C66" s="49">
        <f>'Avg Week Saum-Bukwo'!C66+'Avg Week Bukwo-Suam'!C66</f>
        <v>0.5</v>
      </c>
      <c r="D66" s="49">
        <f>'Avg Week Saum-Bukwo'!D66+'Avg Week Bukwo-Suam'!D66</f>
        <v>0</v>
      </c>
      <c r="E66" s="49">
        <f>'Avg Week Saum-Bukwo'!E66+'Avg Week Bukwo-Suam'!E66</f>
        <v>0</v>
      </c>
      <c r="F66" s="49">
        <f>'Avg Week Saum-Bukwo'!F66+'Avg Week Bukwo-Suam'!F66</f>
        <v>0</v>
      </c>
      <c r="G66" s="49">
        <f>'Avg Week Saum-Bukwo'!G66+'Avg Week Bukwo-Suam'!G66</f>
        <v>0</v>
      </c>
      <c r="H66" s="49">
        <f>'Avg Week Saum-Bukwo'!H66+'Avg Week Bukwo-Suam'!H66</f>
        <v>0</v>
      </c>
      <c r="I66" s="49">
        <f>'Avg Week Saum-Bukwo'!I66+'Avg Week Bukwo-Suam'!I66</f>
        <v>1</v>
      </c>
      <c r="J66" s="49">
        <f>'Avg Week Saum-Bukwo'!J66+'Avg Week Bukwo-Suam'!J66</f>
        <v>0</v>
      </c>
      <c r="K66" s="49">
        <f>'Avg Week Saum-Bukwo'!K66+'Avg Week Bukwo-Suam'!K66</f>
        <v>0</v>
      </c>
      <c r="L66" s="49">
        <f>'Avg Week Saum-Bukwo'!L66+'Avg Week Bukwo-Suam'!L66</f>
        <v>0</v>
      </c>
      <c r="M66" s="49">
        <f>'Avg Week Saum-Bukwo'!M66+'Avg Week Bukwo-Suam'!M66</f>
        <v>12.5</v>
      </c>
      <c r="N66" s="49">
        <f>'Avg Week Saum-Bukwo'!N66+'Avg Week Bukwo-Suam'!N66</f>
        <v>0</v>
      </c>
      <c r="O66" s="15">
        <f t="shared" si="0"/>
        <v>1.5</v>
      </c>
      <c r="P66" s="15">
        <f t="shared" si="1"/>
        <v>14</v>
      </c>
      <c r="R66" s="8"/>
      <c r="T66"/>
    </row>
    <row r="67" spans="2:20" ht="23.1" customHeight="1" x14ac:dyDescent="0.25">
      <c r="B67" s="23" t="s">
        <v>104</v>
      </c>
      <c r="C67" s="49">
        <f>'Avg Week Saum-Bukwo'!C67+'Avg Week Bukwo-Suam'!C67</f>
        <v>0</v>
      </c>
      <c r="D67" s="49">
        <f>'Avg Week Saum-Bukwo'!D67+'Avg Week Bukwo-Suam'!D67</f>
        <v>0</v>
      </c>
      <c r="E67" s="49">
        <f>'Avg Week Saum-Bukwo'!E67+'Avg Week Bukwo-Suam'!E67</f>
        <v>0</v>
      </c>
      <c r="F67" s="49">
        <f>'Avg Week Saum-Bukwo'!F67+'Avg Week Bukwo-Suam'!F67</f>
        <v>0</v>
      </c>
      <c r="G67" s="49">
        <f>'Avg Week Saum-Bukwo'!G67+'Avg Week Bukwo-Suam'!G67</f>
        <v>0</v>
      </c>
      <c r="H67" s="49">
        <f>'Avg Week Saum-Bukwo'!H67+'Avg Week Bukwo-Suam'!H67</f>
        <v>0</v>
      </c>
      <c r="I67" s="49">
        <f>'Avg Week Saum-Bukwo'!I67+'Avg Week Bukwo-Suam'!I67</f>
        <v>1</v>
      </c>
      <c r="J67" s="49">
        <f>'Avg Week Saum-Bukwo'!J67+'Avg Week Bukwo-Suam'!J67</f>
        <v>0</v>
      </c>
      <c r="K67" s="49">
        <f>'Avg Week Saum-Bukwo'!K67+'Avg Week Bukwo-Suam'!K67</f>
        <v>0</v>
      </c>
      <c r="L67" s="49">
        <f>'Avg Week Saum-Bukwo'!L67+'Avg Week Bukwo-Suam'!L67</f>
        <v>0</v>
      </c>
      <c r="M67" s="49">
        <f>'Avg Week Saum-Bukwo'!M67+'Avg Week Bukwo-Suam'!M67</f>
        <v>12.5</v>
      </c>
      <c r="N67" s="49">
        <f>'Avg Week Saum-Bukwo'!N67+'Avg Week Bukwo-Suam'!N67</f>
        <v>0</v>
      </c>
      <c r="O67" s="15">
        <f t="shared" si="0"/>
        <v>1</v>
      </c>
      <c r="P67" s="15">
        <f t="shared" si="1"/>
        <v>13.5</v>
      </c>
      <c r="R67" s="8"/>
      <c r="T67"/>
    </row>
    <row r="68" spans="2:20" ht="23.1" customHeight="1" x14ac:dyDescent="0.25">
      <c r="B68" s="23" t="s">
        <v>105</v>
      </c>
      <c r="C68" s="49">
        <f>'Avg Week Saum-Bukwo'!C68+'Avg Week Bukwo-Suam'!C68</f>
        <v>0.5</v>
      </c>
      <c r="D68" s="49">
        <f>'Avg Week Saum-Bukwo'!D68+'Avg Week Bukwo-Suam'!D68</f>
        <v>0</v>
      </c>
      <c r="E68" s="49">
        <f>'Avg Week Saum-Bukwo'!E68+'Avg Week Bukwo-Suam'!E68</f>
        <v>1.5</v>
      </c>
      <c r="F68" s="49">
        <f>'Avg Week Saum-Bukwo'!F68+'Avg Week Bukwo-Suam'!F68</f>
        <v>0</v>
      </c>
      <c r="G68" s="49">
        <f>'Avg Week Saum-Bukwo'!G68+'Avg Week Bukwo-Suam'!G68</f>
        <v>0</v>
      </c>
      <c r="H68" s="49">
        <f>'Avg Week Saum-Bukwo'!H68+'Avg Week Bukwo-Suam'!H68</f>
        <v>0</v>
      </c>
      <c r="I68" s="49">
        <f>'Avg Week Saum-Bukwo'!I68+'Avg Week Bukwo-Suam'!I68</f>
        <v>1.5</v>
      </c>
      <c r="J68" s="49">
        <f>'Avg Week Saum-Bukwo'!J68+'Avg Week Bukwo-Suam'!J68</f>
        <v>0</v>
      </c>
      <c r="K68" s="49">
        <f>'Avg Week Saum-Bukwo'!K68+'Avg Week Bukwo-Suam'!K68</f>
        <v>0</v>
      </c>
      <c r="L68" s="49">
        <f>'Avg Week Saum-Bukwo'!L68+'Avg Week Bukwo-Suam'!L68</f>
        <v>0</v>
      </c>
      <c r="M68" s="49">
        <f>'Avg Week Saum-Bukwo'!M68+'Avg Week Bukwo-Suam'!M68</f>
        <v>19</v>
      </c>
      <c r="N68" s="49">
        <f>'Avg Week Saum-Bukwo'!N68+'Avg Week Bukwo-Suam'!N68</f>
        <v>0</v>
      </c>
      <c r="O68" s="15">
        <f t="shared" si="0"/>
        <v>3.5</v>
      </c>
      <c r="P68" s="15">
        <f t="shared" si="1"/>
        <v>22.5</v>
      </c>
      <c r="R68" s="8"/>
      <c r="T68"/>
    </row>
    <row r="69" spans="2:20" ht="23.1" customHeight="1" x14ac:dyDescent="0.25">
      <c r="B69" s="23" t="s">
        <v>106</v>
      </c>
      <c r="C69" s="49">
        <f>'Avg Week Saum-Bukwo'!C69+'Avg Week Bukwo-Suam'!C69</f>
        <v>0</v>
      </c>
      <c r="D69" s="49">
        <f>'Avg Week Saum-Bukwo'!D69+'Avg Week Bukwo-Suam'!D69</f>
        <v>0</v>
      </c>
      <c r="E69" s="49">
        <f>'Avg Week Saum-Bukwo'!E69+'Avg Week Bukwo-Suam'!E69</f>
        <v>0</v>
      </c>
      <c r="F69" s="49">
        <f>'Avg Week Saum-Bukwo'!F69+'Avg Week Bukwo-Suam'!F69</f>
        <v>0</v>
      </c>
      <c r="G69" s="49">
        <f>'Avg Week Saum-Bukwo'!G69+'Avg Week Bukwo-Suam'!G69</f>
        <v>0</v>
      </c>
      <c r="H69" s="49">
        <f>'Avg Week Saum-Bukwo'!H69+'Avg Week Bukwo-Suam'!H69</f>
        <v>0</v>
      </c>
      <c r="I69" s="49">
        <f>'Avg Week Saum-Bukwo'!I69+'Avg Week Bukwo-Suam'!I69</f>
        <v>0</v>
      </c>
      <c r="J69" s="49">
        <f>'Avg Week Saum-Bukwo'!J69+'Avg Week Bukwo-Suam'!J69</f>
        <v>0</v>
      </c>
      <c r="K69" s="49">
        <f>'Avg Week Saum-Bukwo'!K69+'Avg Week Bukwo-Suam'!K69</f>
        <v>0</v>
      </c>
      <c r="L69" s="49">
        <f>'Avg Week Saum-Bukwo'!L69+'Avg Week Bukwo-Suam'!L69</f>
        <v>0</v>
      </c>
      <c r="M69" s="49">
        <f>'Avg Week Saum-Bukwo'!M69+'Avg Week Bukwo-Suam'!M69</f>
        <v>11.5</v>
      </c>
      <c r="N69" s="49">
        <f>'Avg Week Saum-Bukwo'!N69+'Avg Week Bukwo-Suam'!N69</f>
        <v>0</v>
      </c>
      <c r="O69" s="15">
        <f t="shared" si="0"/>
        <v>0</v>
      </c>
      <c r="P69" s="15">
        <f t="shared" si="1"/>
        <v>11.5</v>
      </c>
      <c r="R69" s="8"/>
      <c r="T69"/>
    </row>
    <row r="70" spans="2:20" ht="23.1" customHeight="1" x14ac:dyDescent="0.25">
      <c r="B70" s="23" t="s">
        <v>110</v>
      </c>
      <c r="C70" s="49">
        <f>'Avg Week Saum-Bukwo'!C70+'Avg Week Bukwo-Suam'!C70</f>
        <v>0.5</v>
      </c>
      <c r="D70" s="49">
        <f>'Avg Week Saum-Bukwo'!D70+'Avg Week Bukwo-Suam'!D70</f>
        <v>0</v>
      </c>
      <c r="E70" s="49">
        <f>'Avg Week Saum-Bukwo'!E70+'Avg Week Bukwo-Suam'!E70</f>
        <v>0</v>
      </c>
      <c r="F70" s="49">
        <f>'Avg Week Saum-Bukwo'!F70+'Avg Week Bukwo-Suam'!F70</f>
        <v>0</v>
      </c>
      <c r="G70" s="49">
        <f>'Avg Week Saum-Bukwo'!G70+'Avg Week Bukwo-Suam'!G70</f>
        <v>0</v>
      </c>
      <c r="H70" s="49">
        <f>'Avg Week Saum-Bukwo'!H70+'Avg Week Bukwo-Suam'!H70</f>
        <v>0</v>
      </c>
      <c r="I70" s="49">
        <f>'Avg Week Saum-Bukwo'!I70+'Avg Week Bukwo-Suam'!I70</f>
        <v>0</v>
      </c>
      <c r="J70" s="49">
        <f>'Avg Week Saum-Bukwo'!J70+'Avg Week Bukwo-Suam'!J70</f>
        <v>0</v>
      </c>
      <c r="K70" s="49">
        <f>'Avg Week Saum-Bukwo'!K70+'Avg Week Bukwo-Suam'!K70</f>
        <v>0</v>
      </c>
      <c r="L70" s="49">
        <f>'Avg Week Saum-Bukwo'!L70+'Avg Week Bukwo-Suam'!L70</f>
        <v>0</v>
      </c>
      <c r="M70" s="49">
        <f>'Avg Week Saum-Bukwo'!M70+'Avg Week Bukwo-Suam'!M70</f>
        <v>20</v>
      </c>
      <c r="N70" s="49">
        <f>'Avg Week Saum-Bukwo'!N70+'Avg Week Bukwo-Suam'!N70</f>
        <v>0</v>
      </c>
      <c r="O70" s="15">
        <f t="shared" si="0"/>
        <v>0.5</v>
      </c>
      <c r="P70" s="15">
        <f t="shared" si="1"/>
        <v>20.5</v>
      </c>
      <c r="R70" s="8"/>
      <c r="T70"/>
    </row>
    <row r="71" spans="2:20" ht="23.1" customHeight="1" x14ac:dyDescent="0.25">
      <c r="B71" s="23" t="s">
        <v>111</v>
      </c>
      <c r="C71" s="49">
        <f>'Avg Week Saum-Bukwo'!C71+'Avg Week Bukwo-Suam'!C71</f>
        <v>0</v>
      </c>
      <c r="D71" s="49">
        <f>'Avg Week Saum-Bukwo'!D71+'Avg Week Bukwo-Suam'!D71</f>
        <v>0</v>
      </c>
      <c r="E71" s="49">
        <f>'Avg Week Saum-Bukwo'!E71+'Avg Week Bukwo-Suam'!E71</f>
        <v>0</v>
      </c>
      <c r="F71" s="49">
        <f>'Avg Week Saum-Bukwo'!F71+'Avg Week Bukwo-Suam'!F71</f>
        <v>0</v>
      </c>
      <c r="G71" s="49">
        <f>'Avg Week Saum-Bukwo'!G71+'Avg Week Bukwo-Suam'!G71</f>
        <v>0</v>
      </c>
      <c r="H71" s="49">
        <f>'Avg Week Saum-Bukwo'!H71+'Avg Week Bukwo-Suam'!H71</f>
        <v>0</v>
      </c>
      <c r="I71" s="49">
        <f>'Avg Week Saum-Bukwo'!I71+'Avg Week Bukwo-Suam'!I71</f>
        <v>0</v>
      </c>
      <c r="J71" s="49">
        <f>'Avg Week Saum-Bukwo'!J71+'Avg Week Bukwo-Suam'!J71</f>
        <v>0</v>
      </c>
      <c r="K71" s="49">
        <f>'Avg Week Saum-Bukwo'!K71+'Avg Week Bukwo-Suam'!K71</f>
        <v>0</v>
      </c>
      <c r="L71" s="49">
        <f>'Avg Week Saum-Bukwo'!L71+'Avg Week Bukwo-Suam'!L71</f>
        <v>0</v>
      </c>
      <c r="M71" s="49">
        <f>'Avg Week Saum-Bukwo'!M71+'Avg Week Bukwo-Suam'!M71</f>
        <v>10.5</v>
      </c>
      <c r="N71" s="49">
        <f>'Avg Week Saum-Bukwo'!N71+'Avg Week Bukwo-Suam'!N71</f>
        <v>0</v>
      </c>
      <c r="O71" s="15">
        <f t="shared" si="0"/>
        <v>0</v>
      </c>
      <c r="P71" s="15">
        <f t="shared" si="1"/>
        <v>10.5</v>
      </c>
      <c r="R71" s="8"/>
      <c r="T71"/>
    </row>
    <row r="72" spans="2:20" ht="23.1" customHeight="1" x14ac:dyDescent="0.25">
      <c r="B72" s="23" t="s">
        <v>112</v>
      </c>
      <c r="C72" s="49">
        <f>'Avg Week Saum-Bukwo'!C72+'Avg Week Bukwo-Suam'!C72</f>
        <v>0</v>
      </c>
      <c r="D72" s="49">
        <f>'Avg Week Saum-Bukwo'!D72+'Avg Week Bukwo-Suam'!D72</f>
        <v>0</v>
      </c>
      <c r="E72" s="49">
        <f>'Avg Week Saum-Bukwo'!E72+'Avg Week Bukwo-Suam'!E72</f>
        <v>0.5</v>
      </c>
      <c r="F72" s="49">
        <f>'Avg Week Saum-Bukwo'!F72+'Avg Week Bukwo-Suam'!F72</f>
        <v>0</v>
      </c>
      <c r="G72" s="49">
        <f>'Avg Week Saum-Bukwo'!G72+'Avg Week Bukwo-Suam'!G72</f>
        <v>0</v>
      </c>
      <c r="H72" s="49">
        <f>'Avg Week Saum-Bukwo'!H72+'Avg Week Bukwo-Suam'!H72</f>
        <v>0</v>
      </c>
      <c r="I72" s="49">
        <f>'Avg Week Saum-Bukwo'!I72+'Avg Week Bukwo-Suam'!I72</f>
        <v>1</v>
      </c>
      <c r="J72" s="49">
        <f>'Avg Week Saum-Bukwo'!J72+'Avg Week Bukwo-Suam'!J72</f>
        <v>0.5</v>
      </c>
      <c r="K72" s="49">
        <f>'Avg Week Saum-Bukwo'!K72+'Avg Week Bukwo-Suam'!K72</f>
        <v>0</v>
      </c>
      <c r="L72" s="49">
        <f>'Avg Week Saum-Bukwo'!L72+'Avg Week Bukwo-Suam'!L72</f>
        <v>0</v>
      </c>
      <c r="M72" s="49">
        <f>'Avg Week Saum-Bukwo'!M72+'Avg Week Bukwo-Suam'!M72</f>
        <v>9.5</v>
      </c>
      <c r="N72" s="49">
        <f>'Avg Week Saum-Bukwo'!N72+'Avg Week Bukwo-Suam'!N72</f>
        <v>0</v>
      </c>
      <c r="O72" s="15">
        <f t="shared" si="0"/>
        <v>2</v>
      </c>
      <c r="P72" s="15">
        <f t="shared" si="1"/>
        <v>11.5</v>
      </c>
      <c r="R72" s="8"/>
      <c r="T72"/>
    </row>
    <row r="73" spans="2:20" ht="23.1" customHeight="1" x14ac:dyDescent="0.25">
      <c r="B73" s="23" t="s">
        <v>113</v>
      </c>
      <c r="C73" s="49">
        <f>'Avg Week Saum-Bukwo'!C73+'Avg Week Bukwo-Suam'!C73</f>
        <v>0</v>
      </c>
      <c r="D73" s="49">
        <f>'Avg Week Saum-Bukwo'!D73+'Avg Week Bukwo-Suam'!D73</f>
        <v>0</v>
      </c>
      <c r="E73" s="49">
        <f>'Avg Week Saum-Bukwo'!E73+'Avg Week Bukwo-Suam'!E73</f>
        <v>0</v>
      </c>
      <c r="F73" s="49">
        <f>'Avg Week Saum-Bukwo'!F73+'Avg Week Bukwo-Suam'!F73</f>
        <v>0</v>
      </c>
      <c r="G73" s="49">
        <f>'Avg Week Saum-Bukwo'!G73+'Avg Week Bukwo-Suam'!G73</f>
        <v>0</v>
      </c>
      <c r="H73" s="49">
        <f>'Avg Week Saum-Bukwo'!H73+'Avg Week Bukwo-Suam'!H73</f>
        <v>0</v>
      </c>
      <c r="I73" s="49">
        <f>'Avg Week Saum-Bukwo'!I73+'Avg Week Bukwo-Suam'!I73</f>
        <v>0</v>
      </c>
      <c r="J73" s="49">
        <f>'Avg Week Saum-Bukwo'!J73+'Avg Week Bukwo-Suam'!J73</f>
        <v>0</v>
      </c>
      <c r="K73" s="49">
        <f>'Avg Week Saum-Bukwo'!K73+'Avg Week Bukwo-Suam'!K73</f>
        <v>0</v>
      </c>
      <c r="L73" s="49">
        <f>'Avg Week Saum-Bukwo'!L73+'Avg Week Bukwo-Suam'!L73</f>
        <v>0</v>
      </c>
      <c r="M73" s="49">
        <f>'Avg Week Saum-Bukwo'!M73+'Avg Week Bukwo-Suam'!M73</f>
        <v>4.5</v>
      </c>
      <c r="N73" s="49">
        <f>'Avg Week Saum-Bukwo'!N73+'Avg Week Bukwo-Suam'!N73</f>
        <v>0</v>
      </c>
      <c r="O73" s="15">
        <f t="shared" si="0"/>
        <v>0</v>
      </c>
      <c r="P73" s="15">
        <f t="shared" si="1"/>
        <v>4.5</v>
      </c>
      <c r="R73" s="8"/>
      <c r="T73"/>
    </row>
    <row r="74" spans="2:20" ht="23.1" customHeight="1" x14ac:dyDescent="0.25">
      <c r="B74" s="23" t="s">
        <v>114</v>
      </c>
      <c r="C74" s="49">
        <f>'Avg Week Saum-Bukwo'!C74+'Avg Week Bukwo-Suam'!C74</f>
        <v>0</v>
      </c>
      <c r="D74" s="49">
        <f>'Avg Week Saum-Bukwo'!D74+'Avg Week Bukwo-Suam'!D74</f>
        <v>0</v>
      </c>
      <c r="E74" s="49">
        <f>'Avg Week Saum-Bukwo'!E74+'Avg Week Bukwo-Suam'!E74</f>
        <v>0</v>
      </c>
      <c r="F74" s="49">
        <f>'Avg Week Saum-Bukwo'!F74+'Avg Week Bukwo-Suam'!F74</f>
        <v>0</v>
      </c>
      <c r="G74" s="49">
        <f>'Avg Week Saum-Bukwo'!G74+'Avg Week Bukwo-Suam'!G74</f>
        <v>0</v>
      </c>
      <c r="H74" s="49">
        <f>'Avg Week Saum-Bukwo'!H74+'Avg Week Bukwo-Suam'!H74</f>
        <v>0</v>
      </c>
      <c r="I74" s="49">
        <f>'Avg Week Saum-Bukwo'!I74+'Avg Week Bukwo-Suam'!I74</f>
        <v>0</v>
      </c>
      <c r="J74" s="49">
        <f>'Avg Week Saum-Bukwo'!J74+'Avg Week Bukwo-Suam'!J74</f>
        <v>0</v>
      </c>
      <c r="K74" s="49">
        <f>'Avg Week Saum-Bukwo'!K74+'Avg Week Bukwo-Suam'!K74</f>
        <v>0</v>
      </c>
      <c r="L74" s="49">
        <f>'Avg Week Saum-Bukwo'!L74+'Avg Week Bukwo-Suam'!L74</f>
        <v>0</v>
      </c>
      <c r="M74" s="49">
        <f>'Avg Week Saum-Bukwo'!M74+'Avg Week Bukwo-Suam'!M74</f>
        <v>6.5</v>
      </c>
      <c r="N74" s="49">
        <f>'Avg Week Saum-Bukwo'!N74+'Avg Week Bukwo-Suam'!N74</f>
        <v>0</v>
      </c>
      <c r="O74" s="15">
        <f t="shared" ref="O74:O105" si="35">SUM(C74:L74,N74)</f>
        <v>0</v>
      </c>
      <c r="P74" s="15">
        <f t="shared" ref="P74:P105" si="36">SUM(C74:N74)</f>
        <v>6.5</v>
      </c>
      <c r="R74" s="8"/>
      <c r="T74"/>
    </row>
    <row r="75" spans="2:20" ht="23.1" customHeight="1" x14ac:dyDescent="0.25">
      <c r="B75" s="23" t="s">
        <v>115</v>
      </c>
      <c r="C75" s="49">
        <f>'Avg Week Saum-Bukwo'!C75+'Avg Week Bukwo-Suam'!C75</f>
        <v>0.5</v>
      </c>
      <c r="D75" s="49">
        <f>'Avg Week Saum-Bukwo'!D75+'Avg Week Bukwo-Suam'!D75</f>
        <v>0</v>
      </c>
      <c r="E75" s="49">
        <f>'Avg Week Saum-Bukwo'!E75+'Avg Week Bukwo-Suam'!E75</f>
        <v>0</v>
      </c>
      <c r="F75" s="49">
        <f>'Avg Week Saum-Bukwo'!F75+'Avg Week Bukwo-Suam'!F75</f>
        <v>0</v>
      </c>
      <c r="G75" s="49">
        <f>'Avg Week Saum-Bukwo'!G75+'Avg Week Bukwo-Suam'!G75</f>
        <v>0</v>
      </c>
      <c r="H75" s="49">
        <f>'Avg Week Saum-Bukwo'!H75+'Avg Week Bukwo-Suam'!H75</f>
        <v>0</v>
      </c>
      <c r="I75" s="49">
        <f>'Avg Week Saum-Bukwo'!I75+'Avg Week Bukwo-Suam'!I75</f>
        <v>0.5</v>
      </c>
      <c r="J75" s="49">
        <f>'Avg Week Saum-Bukwo'!J75+'Avg Week Bukwo-Suam'!J75</f>
        <v>0</v>
      </c>
      <c r="K75" s="49">
        <f>'Avg Week Saum-Bukwo'!K75+'Avg Week Bukwo-Suam'!K75</f>
        <v>0</v>
      </c>
      <c r="L75" s="49">
        <f>'Avg Week Saum-Bukwo'!L75+'Avg Week Bukwo-Suam'!L75</f>
        <v>0</v>
      </c>
      <c r="M75" s="49">
        <f>'Avg Week Saum-Bukwo'!M75+'Avg Week Bukwo-Suam'!M75</f>
        <v>0.5</v>
      </c>
      <c r="N75" s="49">
        <f>'Avg Week Saum-Bukwo'!N75+'Avg Week Bukwo-Suam'!N75</f>
        <v>0</v>
      </c>
      <c r="O75" s="15">
        <f t="shared" si="35"/>
        <v>1</v>
      </c>
      <c r="P75" s="15">
        <f t="shared" si="36"/>
        <v>1.5</v>
      </c>
      <c r="R75" s="8"/>
      <c r="T75"/>
    </row>
    <row r="76" spans="2:20" ht="23.1" customHeight="1" x14ac:dyDescent="0.25">
      <c r="B76" s="23" t="s">
        <v>116</v>
      </c>
      <c r="C76" s="49">
        <f>'Avg Week Saum-Bukwo'!C76+'Avg Week Bukwo-Suam'!C76</f>
        <v>0</v>
      </c>
      <c r="D76" s="49">
        <f>'Avg Week Saum-Bukwo'!D76+'Avg Week Bukwo-Suam'!D76</f>
        <v>0</v>
      </c>
      <c r="E76" s="49">
        <f>'Avg Week Saum-Bukwo'!E76+'Avg Week Bukwo-Suam'!E76</f>
        <v>0</v>
      </c>
      <c r="F76" s="49">
        <f>'Avg Week Saum-Bukwo'!F76+'Avg Week Bukwo-Suam'!F76</f>
        <v>0</v>
      </c>
      <c r="G76" s="49">
        <f>'Avg Week Saum-Bukwo'!G76+'Avg Week Bukwo-Suam'!G76</f>
        <v>0</v>
      </c>
      <c r="H76" s="49">
        <f>'Avg Week Saum-Bukwo'!H76+'Avg Week Bukwo-Suam'!H76</f>
        <v>0</v>
      </c>
      <c r="I76" s="49">
        <f>'Avg Week Saum-Bukwo'!I76+'Avg Week Bukwo-Suam'!I76</f>
        <v>0.5</v>
      </c>
      <c r="J76" s="49">
        <f>'Avg Week Saum-Bukwo'!J76+'Avg Week Bukwo-Suam'!J76</f>
        <v>0</v>
      </c>
      <c r="K76" s="49">
        <f>'Avg Week Saum-Bukwo'!K76+'Avg Week Bukwo-Suam'!K76</f>
        <v>0</v>
      </c>
      <c r="L76" s="49">
        <f>'Avg Week Saum-Bukwo'!L76+'Avg Week Bukwo-Suam'!L76</f>
        <v>0</v>
      </c>
      <c r="M76" s="49">
        <f>'Avg Week Saum-Bukwo'!M76+'Avg Week Bukwo-Suam'!M76</f>
        <v>4</v>
      </c>
      <c r="N76" s="49">
        <f>'Avg Week Saum-Bukwo'!N76+'Avg Week Bukwo-Suam'!N76</f>
        <v>0</v>
      </c>
      <c r="O76" s="15">
        <f t="shared" si="35"/>
        <v>0.5</v>
      </c>
      <c r="P76" s="15">
        <f t="shared" si="36"/>
        <v>4.5</v>
      </c>
      <c r="R76" s="8"/>
      <c r="T76"/>
    </row>
    <row r="77" spans="2:20" ht="23.1" customHeight="1" x14ac:dyDescent="0.25">
      <c r="B77" s="23" t="s">
        <v>117</v>
      </c>
      <c r="C77" s="49">
        <f>'Avg Week Saum-Bukwo'!C77+'Avg Week Bukwo-Suam'!C77</f>
        <v>0</v>
      </c>
      <c r="D77" s="49">
        <f>'Avg Week Saum-Bukwo'!D77+'Avg Week Bukwo-Suam'!D77</f>
        <v>0</v>
      </c>
      <c r="E77" s="49">
        <f>'Avg Week Saum-Bukwo'!E77+'Avg Week Bukwo-Suam'!E77</f>
        <v>0</v>
      </c>
      <c r="F77" s="49">
        <f>'Avg Week Saum-Bukwo'!F77+'Avg Week Bukwo-Suam'!F77</f>
        <v>0</v>
      </c>
      <c r="G77" s="49">
        <f>'Avg Week Saum-Bukwo'!G77+'Avg Week Bukwo-Suam'!G77</f>
        <v>0</v>
      </c>
      <c r="H77" s="49">
        <f>'Avg Week Saum-Bukwo'!H77+'Avg Week Bukwo-Suam'!H77</f>
        <v>0</v>
      </c>
      <c r="I77" s="49">
        <f>'Avg Week Saum-Bukwo'!I77+'Avg Week Bukwo-Suam'!I77</f>
        <v>0.5</v>
      </c>
      <c r="J77" s="49">
        <f>'Avg Week Saum-Bukwo'!J77+'Avg Week Bukwo-Suam'!J77</f>
        <v>0</v>
      </c>
      <c r="K77" s="49">
        <f>'Avg Week Saum-Bukwo'!K77+'Avg Week Bukwo-Suam'!K77</f>
        <v>0</v>
      </c>
      <c r="L77" s="49">
        <f>'Avg Week Saum-Bukwo'!L77+'Avg Week Bukwo-Suam'!L77</f>
        <v>0</v>
      </c>
      <c r="M77" s="49">
        <f>'Avg Week Saum-Bukwo'!M77+'Avg Week Bukwo-Suam'!M77</f>
        <v>5</v>
      </c>
      <c r="N77" s="49">
        <f>'Avg Week Saum-Bukwo'!N77+'Avg Week Bukwo-Suam'!N77</f>
        <v>0</v>
      </c>
      <c r="O77" s="15">
        <f t="shared" si="35"/>
        <v>0.5</v>
      </c>
      <c r="P77" s="15">
        <f t="shared" si="36"/>
        <v>5.5</v>
      </c>
      <c r="R77" s="8"/>
      <c r="T77"/>
    </row>
    <row r="78" spans="2:20" ht="23.1" customHeight="1" x14ac:dyDescent="0.25">
      <c r="B78" s="24" t="s">
        <v>118</v>
      </c>
      <c r="C78" s="49">
        <f>'Avg Week Saum-Bukwo'!C78+'Avg Week Bukwo-Suam'!C78</f>
        <v>0</v>
      </c>
      <c r="D78" s="49">
        <f>'Avg Week Saum-Bukwo'!D78+'Avg Week Bukwo-Suam'!D78</f>
        <v>0</v>
      </c>
      <c r="E78" s="49">
        <f>'Avg Week Saum-Bukwo'!E78+'Avg Week Bukwo-Suam'!E78</f>
        <v>0</v>
      </c>
      <c r="F78" s="49">
        <f>'Avg Week Saum-Bukwo'!F78+'Avg Week Bukwo-Suam'!F78</f>
        <v>0</v>
      </c>
      <c r="G78" s="49">
        <f>'Avg Week Saum-Bukwo'!G78+'Avg Week Bukwo-Suam'!G78</f>
        <v>0</v>
      </c>
      <c r="H78" s="49">
        <f>'Avg Week Saum-Bukwo'!H78+'Avg Week Bukwo-Suam'!H78</f>
        <v>0</v>
      </c>
      <c r="I78" s="49">
        <f>'Avg Week Saum-Bukwo'!I78+'Avg Week Bukwo-Suam'!I78</f>
        <v>0</v>
      </c>
      <c r="J78" s="49">
        <f>'Avg Week Saum-Bukwo'!J78+'Avg Week Bukwo-Suam'!J78</f>
        <v>0</v>
      </c>
      <c r="K78" s="49">
        <f>'Avg Week Saum-Bukwo'!K78+'Avg Week Bukwo-Suam'!K78</f>
        <v>0</v>
      </c>
      <c r="L78" s="49">
        <f>'Avg Week Saum-Bukwo'!L78+'Avg Week Bukwo-Suam'!L78</f>
        <v>0</v>
      </c>
      <c r="M78" s="49">
        <f>'Avg Week Saum-Bukwo'!M78+'Avg Week Bukwo-Suam'!M78</f>
        <v>1.5</v>
      </c>
      <c r="N78" s="49">
        <f>'Avg Week Saum-Bukwo'!N78+'Avg Week Bukwo-Suam'!N78</f>
        <v>0</v>
      </c>
      <c r="O78" s="15">
        <f t="shared" si="35"/>
        <v>0</v>
      </c>
      <c r="P78" s="15">
        <f t="shared" si="36"/>
        <v>1.5</v>
      </c>
      <c r="R78" s="8"/>
      <c r="T78"/>
    </row>
    <row r="79" spans="2:20" ht="23.1" customHeight="1" x14ac:dyDescent="0.25">
      <c r="B79" s="23" t="s">
        <v>119</v>
      </c>
      <c r="C79" s="49">
        <f>'Avg Week Saum-Bukwo'!C79+'Avg Week Bukwo-Suam'!C79</f>
        <v>0</v>
      </c>
      <c r="D79" s="49">
        <f>'Avg Week Saum-Bukwo'!D79+'Avg Week Bukwo-Suam'!D79</f>
        <v>0</v>
      </c>
      <c r="E79" s="49">
        <f>'Avg Week Saum-Bukwo'!E79+'Avg Week Bukwo-Suam'!E79</f>
        <v>0</v>
      </c>
      <c r="F79" s="49">
        <f>'Avg Week Saum-Bukwo'!F79+'Avg Week Bukwo-Suam'!F79</f>
        <v>0</v>
      </c>
      <c r="G79" s="49">
        <f>'Avg Week Saum-Bukwo'!G79+'Avg Week Bukwo-Suam'!G79</f>
        <v>0</v>
      </c>
      <c r="H79" s="49">
        <f>'Avg Week Saum-Bukwo'!H79+'Avg Week Bukwo-Suam'!H79</f>
        <v>0</v>
      </c>
      <c r="I79" s="49">
        <f>'Avg Week Saum-Bukwo'!I79+'Avg Week Bukwo-Suam'!I79</f>
        <v>0</v>
      </c>
      <c r="J79" s="49">
        <f>'Avg Week Saum-Bukwo'!J79+'Avg Week Bukwo-Suam'!J79</f>
        <v>0</v>
      </c>
      <c r="K79" s="49">
        <f>'Avg Week Saum-Bukwo'!K79+'Avg Week Bukwo-Suam'!K79</f>
        <v>0</v>
      </c>
      <c r="L79" s="49">
        <f>'Avg Week Saum-Bukwo'!L79+'Avg Week Bukwo-Suam'!L79</f>
        <v>0</v>
      </c>
      <c r="M79" s="49">
        <f>'Avg Week Saum-Bukwo'!M79+'Avg Week Bukwo-Suam'!M79</f>
        <v>1.5</v>
      </c>
      <c r="N79" s="49">
        <f>'Avg Week Saum-Bukwo'!N79+'Avg Week Bukwo-Suam'!N79</f>
        <v>0</v>
      </c>
      <c r="O79" s="15">
        <f t="shared" si="35"/>
        <v>0</v>
      </c>
      <c r="P79" s="15">
        <f t="shared" si="36"/>
        <v>1.5</v>
      </c>
      <c r="R79" s="8"/>
      <c r="T79"/>
    </row>
    <row r="80" spans="2:20" ht="23.1" customHeight="1" x14ac:dyDescent="0.25">
      <c r="B80" s="25" t="s">
        <v>120</v>
      </c>
      <c r="C80" s="49">
        <f>'Avg Week Saum-Bukwo'!C80+'Avg Week Bukwo-Suam'!C80</f>
        <v>0</v>
      </c>
      <c r="D80" s="49">
        <f>'Avg Week Saum-Bukwo'!D80+'Avg Week Bukwo-Suam'!D80</f>
        <v>0</v>
      </c>
      <c r="E80" s="49">
        <f>'Avg Week Saum-Bukwo'!E80+'Avg Week Bukwo-Suam'!E80</f>
        <v>0</v>
      </c>
      <c r="F80" s="49">
        <f>'Avg Week Saum-Bukwo'!F80+'Avg Week Bukwo-Suam'!F80</f>
        <v>0</v>
      </c>
      <c r="G80" s="49">
        <f>'Avg Week Saum-Bukwo'!G80+'Avg Week Bukwo-Suam'!G80</f>
        <v>0</v>
      </c>
      <c r="H80" s="49">
        <f>'Avg Week Saum-Bukwo'!H80+'Avg Week Bukwo-Suam'!H80</f>
        <v>0</v>
      </c>
      <c r="I80" s="49">
        <f>'Avg Week Saum-Bukwo'!I80+'Avg Week Bukwo-Suam'!I80</f>
        <v>0</v>
      </c>
      <c r="J80" s="49">
        <f>'Avg Week Saum-Bukwo'!J80+'Avg Week Bukwo-Suam'!J80</f>
        <v>0</v>
      </c>
      <c r="K80" s="49">
        <f>'Avg Week Saum-Bukwo'!K80+'Avg Week Bukwo-Suam'!K80</f>
        <v>0</v>
      </c>
      <c r="L80" s="49">
        <f>'Avg Week Saum-Bukwo'!L80+'Avg Week Bukwo-Suam'!L80</f>
        <v>0</v>
      </c>
      <c r="M80" s="49">
        <f>'Avg Week Saum-Bukwo'!M80+'Avg Week Bukwo-Suam'!M80</f>
        <v>0</v>
      </c>
      <c r="N80" s="49">
        <f>'Avg Week Saum-Bukwo'!N80+'Avg Week Bukwo-Suam'!N80</f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23" t="s">
        <v>121</v>
      </c>
      <c r="C81" s="49">
        <f>'Avg Week Saum-Bukwo'!C81+'Avg Week Bukwo-Suam'!C81</f>
        <v>0</v>
      </c>
      <c r="D81" s="49">
        <f>'Avg Week Saum-Bukwo'!D81+'Avg Week Bukwo-Suam'!D81</f>
        <v>0</v>
      </c>
      <c r="E81" s="49">
        <f>'Avg Week Saum-Bukwo'!E81+'Avg Week Bukwo-Suam'!E81</f>
        <v>0</v>
      </c>
      <c r="F81" s="49">
        <f>'Avg Week Saum-Bukwo'!F81+'Avg Week Bukwo-Suam'!F81</f>
        <v>0</v>
      </c>
      <c r="G81" s="49">
        <f>'Avg Week Saum-Bukwo'!G81+'Avg Week Bukwo-Suam'!G81</f>
        <v>0</v>
      </c>
      <c r="H81" s="49">
        <f>'Avg Week Saum-Bukwo'!H81+'Avg Week Bukwo-Suam'!H81</f>
        <v>0</v>
      </c>
      <c r="I81" s="49">
        <f>'Avg Week Saum-Bukwo'!I81+'Avg Week Bukwo-Suam'!I81</f>
        <v>0</v>
      </c>
      <c r="J81" s="49">
        <f>'Avg Week Saum-Bukwo'!J81+'Avg Week Bukwo-Suam'!J81</f>
        <v>0</v>
      </c>
      <c r="K81" s="49">
        <f>'Avg Week Saum-Bukwo'!K81+'Avg Week Bukwo-Suam'!K81</f>
        <v>0</v>
      </c>
      <c r="L81" s="49">
        <f>'Avg Week Saum-Bukwo'!L81+'Avg Week Bukwo-Suam'!L81</f>
        <v>0</v>
      </c>
      <c r="M81" s="49">
        <f>'Avg Week Saum-Bukwo'!M81+'Avg Week Bukwo-Suam'!M81</f>
        <v>0</v>
      </c>
      <c r="N81" s="49">
        <f>'Avg Week Saum-Bukwo'!N81+'Avg Week Bukwo-Suam'!N81</f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24" t="s">
        <v>122</v>
      </c>
      <c r="C82" s="49">
        <f>'Avg Week Saum-Bukwo'!C82+'Avg Week Bukwo-Suam'!C82</f>
        <v>0</v>
      </c>
      <c r="D82" s="49">
        <f>'Avg Week Saum-Bukwo'!D82+'Avg Week Bukwo-Suam'!D82</f>
        <v>0</v>
      </c>
      <c r="E82" s="49">
        <f>'Avg Week Saum-Bukwo'!E82+'Avg Week Bukwo-Suam'!E82</f>
        <v>0</v>
      </c>
      <c r="F82" s="49">
        <f>'Avg Week Saum-Bukwo'!F82+'Avg Week Bukwo-Suam'!F82</f>
        <v>0</v>
      </c>
      <c r="G82" s="49">
        <f>'Avg Week Saum-Bukwo'!G82+'Avg Week Bukwo-Suam'!G82</f>
        <v>0</v>
      </c>
      <c r="H82" s="49">
        <f>'Avg Week Saum-Bukwo'!H82+'Avg Week Bukwo-Suam'!H82</f>
        <v>0</v>
      </c>
      <c r="I82" s="49">
        <f>'Avg Week Saum-Bukwo'!I82+'Avg Week Bukwo-Suam'!I82</f>
        <v>0</v>
      </c>
      <c r="J82" s="49">
        <f>'Avg Week Saum-Bukwo'!J82+'Avg Week Bukwo-Suam'!J82</f>
        <v>0</v>
      </c>
      <c r="K82" s="49">
        <f>'Avg Week Saum-Bukwo'!K82+'Avg Week Bukwo-Suam'!K82</f>
        <v>0</v>
      </c>
      <c r="L82" s="49">
        <f>'Avg Week Saum-Bukwo'!L82+'Avg Week Bukwo-Suam'!L82</f>
        <v>0</v>
      </c>
      <c r="M82" s="49">
        <f>'Avg Week Saum-Bukwo'!M82+'Avg Week Bukwo-Suam'!M82</f>
        <v>0.5</v>
      </c>
      <c r="N82" s="49">
        <f>'Avg Week Saum-Bukwo'!N82+'Avg Week Bukwo-Suam'!N82</f>
        <v>0</v>
      </c>
      <c r="O82" s="15">
        <f t="shared" si="35"/>
        <v>0</v>
      </c>
      <c r="P82" s="15">
        <f t="shared" si="36"/>
        <v>0.5</v>
      </c>
      <c r="R82" s="8"/>
      <c r="T82"/>
    </row>
    <row r="83" spans="2:20" ht="23.1" customHeight="1" x14ac:dyDescent="0.25">
      <c r="B83" s="23" t="s">
        <v>123</v>
      </c>
      <c r="C83" s="49">
        <f>'Avg Week Saum-Bukwo'!C83+'Avg Week Bukwo-Suam'!C83</f>
        <v>0</v>
      </c>
      <c r="D83" s="49">
        <f>'Avg Week Saum-Bukwo'!D83+'Avg Week Bukwo-Suam'!D83</f>
        <v>0</v>
      </c>
      <c r="E83" s="49">
        <f>'Avg Week Saum-Bukwo'!E83+'Avg Week Bukwo-Suam'!E83</f>
        <v>0.5</v>
      </c>
      <c r="F83" s="49">
        <f>'Avg Week Saum-Bukwo'!F83+'Avg Week Bukwo-Suam'!F83</f>
        <v>0</v>
      </c>
      <c r="G83" s="49">
        <f>'Avg Week Saum-Bukwo'!G83+'Avg Week Bukwo-Suam'!G83</f>
        <v>0</v>
      </c>
      <c r="H83" s="49">
        <f>'Avg Week Saum-Bukwo'!H83+'Avg Week Bukwo-Suam'!H83</f>
        <v>0</v>
      </c>
      <c r="I83" s="49">
        <f>'Avg Week Saum-Bukwo'!I83+'Avg Week Bukwo-Suam'!I83</f>
        <v>0.5</v>
      </c>
      <c r="J83" s="49">
        <f>'Avg Week Saum-Bukwo'!J83+'Avg Week Bukwo-Suam'!J83</f>
        <v>0</v>
      </c>
      <c r="K83" s="49">
        <f>'Avg Week Saum-Bukwo'!K83+'Avg Week Bukwo-Suam'!K83</f>
        <v>0</v>
      </c>
      <c r="L83" s="49">
        <f>'Avg Week Saum-Bukwo'!L83+'Avg Week Bukwo-Suam'!L83</f>
        <v>0</v>
      </c>
      <c r="M83" s="49">
        <f>'Avg Week Saum-Bukwo'!M83+'Avg Week Bukwo-Suam'!M83</f>
        <v>0</v>
      </c>
      <c r="N83" s="49">
        <f>'Avg Week Saum-Bukwo'!N83+'Avg Week Bukwo-Suam'!N83</f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'Avg Week Saum-Bukwo'!C84+'Avg Week Bukwo-Suam'!C84</f>
        <v>0</v>
      </c>
      <c r="D84" s="49">
        <f>'Avg Week Saum-Bukwo'!D84+'Avg Week Bukwo-Suam'!D84</f>
        <v>0</v>
      </c>
      <c r="E84" s="49">
        <f>'Avg Week Saum-Bukwo'!E84+'Avg Week Bukwo-Suam'!E84</f>
        <v>0</v>
      </c>
      <c r="F84" s="49">
        <f>'Avg Week Saum-Bukwo'!F84+'Avg Week Bukwo-Suam'!F84</f>
        <v>0</v>
      </c>
      <c r="G84" s="49">
        <f>'Avg Week Saum-Bukwo'!G84+'Avg Week Bukwo-Suam'!G84</f>
        <v>0</v>
      </c>
      <c r="H84" s="49">
        <f>'Avg Week Saum-Bukwo'!H84+'Avg Week Bukwo-Suam'!H84</f>
        <v>0</v>
      </c>
      <c r="I84" s="49">
        <f>'Avg Week Saum-Bukwo'!I84+'Avg Week Bukwo-Suam'!I84</f>
        <v>0</v>
      </c>
      <c r="J84" s="49">
        <f>'Avg Week Saum-Bukwo'!J84+'Avg Week Bukwo-Suam'!J84</f>
        <v>0</v>
      </c>
      <c r="K84" s="49">
        <f>'Avg Week Saum-Bukwo'!K84+'Avg Week Bukwo-Suam'!K84</f>
        <v>0</v>
      </c>
      <c r="L84" s="49">
        <f>'Avg Week Saum-Bukwo'!L84+'Avg Week Bukwo-Suam'!L84</f>
        <v>0</v>
      </c>
      <c r="M84" s="49">
        <f>'Avg Week Saum-Bukwo'!M84+'Avg Week Bukwo-Suam'!M84</f>
        <v>0</v>
      </c>
      <c r="N84" s="49">
        <f>'Avg Week Saum-Bukwo'!N84+'Avg Week Bukwo-Suam'!N84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'Avg Week Saum-Bukwo'!C85+'Avg Week Bukwo-Suam'!C85</f>
        <v>0</v>
      </c>
      <c r="D85" s="49">
        <f>'Avg Week Saum-Bukwo'!D85+'Avg Week Bukwo-Suam'!D85</f>
        <v>0</v>
      </c>
      <c r="E85" s="49">
        <f>'Avg Week Saum-Bukwo'!E85+'Avg Week Bukwo-Suam'!E85</f>
        <v>0</v>
      </c>
      <c r="F85" s="49">
        <f>'Avg Week Saum-Bukwo'!F85+'Avg Week Bukwo-Suam'!F85</f>
        <v>0</v>
      </c>
      <c r="G85" s="49">
        <f>'Avg Week Saum-Bukwo'!G85+'Avg Week Bukwo-Suam'!G85</f>
        <v>0</v>
      </c>
      <c r="H85" s="49">
        <f>'Avg Week Saum-Bukwo'!H85+'Avg Week Bukwo-Suam'!H85</f>
        <v>0</v>
      </c>
      <c r="I85" s="49">
        <f>'Avg Week Saum-Bukwo'!I85+'Avg Week Bukwo-Suam'!I85</f>
        <v>0</v>
      </c>
      <c r="J85" s="49">
        <f>'Avg Week Saum-Bukwo'!J85+'Avg Week Bukwo-Suam'!J85</f>
        <v>0</v>
      </c>
      <c r="K85" s="49">
        <f>'Avg Week Saum-Bukwo'!K85+'Avg Week Bukwo-Suam'!K85</f>
        <v>0</v>
      </c>
      <c r="L85" s="49">
        <f>'Avg Week Saum-Bukwo'!L85+'Avg Week Bukwo-Suam'!L85</f>
        <v>0</v>
      </c>
      <c r="M85" s="49">
        <f>'Avg Week Saum-Bukwo'!M85+'Avg Week Bukwo-Suam'!M85</f>
        <v>0</v>
      </c>
      <c r="N85" s="49">
        <f>'Avg Week Saum-Bukwo'!N85+'Avg Week Bukwo-Suam'!N85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'Avg Week Saum-Bukwo'!C86+'Avg Week Bukwo-Suam'!C86</f>
        <v>0</v>
      </c>
      <c r="D86" s="49">
        <f>'Avg Week Saum-Bukwo'!D86+'Avg Week Bukwo-Suam'!D86</f>
        <v>0</v>
      </c>
      <c r="E86" s="49">
        <f>'Avg Week Saum-Bukwo'!E86+'Avg Week Bukwo-Suam'!E86</f>
        <v>0</v>
      </c>
      <c r="F86" s="49">
        <f>'Avg Week Saum-Bukwo'!F86+'Avg Week Bukwo-Suam'!F86</f>
        <v>0</v>
      </c>
      <c r="G86" s="49">
        <f>'Avg Week Saum-Bukwo'!G86+'Avg Week Bukwo-Suam'!G86</f>
        <v>0</v>
      </c>
      <c r="H86" s="49">
        <f>'Avg Week Saum-Bukwo'!H86+'Avg Week Bukwo-Suam'!H86</f>
        <v>0</v>
      </c>
      <c r="I86" s="49">
        <f>'Avg Week Saum-Bukwo'!I86+'Avg Week Bukwo-Suam'!I86</f>
        <v>0</v>
      </c>
      <c r="J86" s="49">
        <f>'Avg Week Saum-Bukwo'!J86+'Avg Week Bukwo-Suam'!J86</f>
        <v>0</v>
      </c>
      <c r="K86" s="49">
        <f>'Avg Week Saum-Bukwo'!K86+'Avg Week Bukwo-Suam'!K86</f>
        <v>0</v>
      </c>
      <c r="L86" s="49">
        <f>'Avg Week Saum-Bukwo'!L86+'Avg Week Bukwo-Suam'!L86</f>
        <v>0</v>
      </c>
      <c r="M86" s="49">
        <f>'Avg Week Saum-Bukwo'!M86+'Avg Week Bukwo-Suam'!M86</f>
        <v>0</v>
      </c>
      <c r="N86" s="49">
        <f>'Avg Week Saum-Bukwo'!N86+'Avg Week Bukwo-Suam'!N86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'Avg Week Saum-Bukwo'!C87+'Avg Week Bukwo-Suam'!C87</f>
        <v>0</v>
      </c>
      <c r="D87" s="49">
        <f>'Avg Week Saum-Bukwo'!D87+'Avg Week Bukwo-Suam'!D87</f>
        <v>0</v>
      </c>
      <c r="E87" s="49">
        <f>'Avg Week Saum-Bukwo'!E87+'Avg Week Bukwo-Suam'!E87</f>
        <v>0</v>
      </c>
      <c r="F87" s="49">
        <f>'Avg Week Saum-Bukwo'!F87+'Avg Week Bukwo-Suam'!F87</f>
        <v>0</v>
      </c>
      <c r="G87" s="49">
        <f>'Avg Week Saum-Bukwo'!G87+'Avg Week Bukwo-Suam'!G87</f>
        <v>0</v>
      </c>
      <c r="H87" s="49">
        <f>'Avg Week Saum-Bukwo'!H87+'Avg Week Bukwo-Suam'!H87</f>
        <v>0</v>
      </c>
      <c r="I87" s="49">
        <f>'Avg Week Saum-Bukwo'!I87+'Avg Week Bukwo-Suam'!I87</f>
        <v>0</v>
      </c>
      <c r="J87" s="49">
        <f>'Avg Week Saum-Bukwo'!J87+'Avg Week Bukwo-Suam'!J87</f>
        <v>0</v>
      </c>
      <c r="K87" s="49">
        <f>'Avg Week Saum-Bukwo'!K87+'Avg Week Bukwo-Suam'!K87</f>
        <v>0</v>
      </c>
      <c r="L87" s="49">
        <f>'Avg Week Saum-Bukwo'!L87+'Avg Week Bukwo-Suam'!L87</f>
        <v>0</v>
      </c>
      <c r="M87" s="49">
        <f>'Avg Week Saum-Bukwo'!M87+'Avg Week Bukwo-Suam'!M87</f>
        <v>0</v>
      </c>
      <c r="N87" s="49">
        <f>'Avg Week Saum-Bukwo'!N87+'Avg Week Bukwo-Suam'!N87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'Avg Week Saum-Bukwo'!C88+'Avg Week Bukwo-Suam'!C88</f>
        <v>0</v>
      </c>
      <c r="D88" s="49">
        <f>'Avg Week Saum-Bukwo'!D88+'Avg Week Bukwo-Suam'!D88</f>
        <v>0</v>
      </c>
      <c r="E88" s="49">
        <f>'Avg Week Saum-Bukwo'!E88+'Avg Week Bukwo-Suam'!E88</f>
        <v>0</v>
      </c>
      <c r="F88" s="49">
        <f>'Avg Week Saum-Bukwo'!F88+'Avg Week Bukwo-Suam'!F88</f>
        <v>0</v>
      </c>
      <c r="G88" s="49">
        <f>'Avg Week Saum-Bukwo'!G88+'Avg Week Bukwo-Suam'!G88</f>
        <v>0</v>
      </c>
      <c r="H88" s="49">
        <f>'Avg Week Saum-Bukwo'!H88+'Avg Week Bukwo-Suam'!H88</f>
        <v>0</v>
      </c>
      <c r="I88" s="49">
        <f>'Avg Week Saum-Bukwo'!I88+'Avg Week Bukwo-Suam'!I88</f>
        <v>0</v>
      </c>
      <c r="J88" s="49">
        <f>'Avg Week Saum-Bukwo'!J88+'Avg Week Bukwo-Suam'!J88</f>
        <v>0</v>
      </c>
      <c r="K88" s="49">
        <f>'Avg Week Saum-Bukwo'!K88+'Avg Week Bukwo-Suam'!K88</f>
        <v>0</v>
      </c>
      <c r="L88" s="49">
        <f>'Avg Week Saum-Bukwo'!L88+'Avg Week Bukwo-Suam'!L88</f>
        <v>0</v>
      </c>
      <c r="M88" s="49">
        <f>'Avg Week Saum-Bukwo'!M88+'Avg Week Bukwo-Suam'!M88</f>
        <v>0</v>
      </c>
      <c r="N88" s="49">
        <f>'Avg Week Saum-Bukwo'!N88+'Avg Week Bukwo-Suam'!N88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'Avg Week Saum-Bukwo'!C89+'Avg Week Bukwo-Suam'!C89</f>
        <v>0</v>
      </c>
      <c r="D89" s="49">
        <f>'Avg Week Saum-Bukwo'!D89+'Avg Week Bukwo-Suam'!D89</f>
        <v>0</v>
      </c>
      <c r="E89" s="49">
        <f>'Avg Week Saum-Bukwo'!E89+'Avg Week Bukwo-Suam'!E89</f>
        <v>0</v>
      </c>
      <c r="F89" s="49">
        <f>'Avg Week Saum-Bukwo'!F89+'Avg Week Bukwo-Suam'!F89</f>
        <v>0</v>
      </c>
      <c r="G89" s="49">
        <f>'Avg Week Saum-Bukwo'!G89+'Avg Week Bukwo-Suam'!G89</f>
        <v>0</v>
      </c>
      <c r="H89" s="49">
        <f>'Avg Week Saum-Bukwo'!H89+'Avg Week Bukwo-Suam'!H89</f>
        <v>0</v>
      </c>
      <c r="I89" s="49">
        <f>'Avg Week Saum-Bukwo'!I89+'Avg Week Bukwo-Suam'!I89</f>
        <v>0</v>
      </c>
      <c r="J89" s="49">
        <f>'Avg Week Saum-Bukwo'!J89+'Avg Week Bukwo-Suam'!J89</f>
        <v>0</v>
      </c>
      <c r="K89" s="49">
        <f>'Avg Week Saum-Bukwo'!K89+'Avg Week Bukwo-Suam'!K89</f>
        <v>0</v>
      </c>
      <c r="L89" s="49">
        <f>'Avg Week Saum-Bukwo'!L89+'Avg Week Bukwo-Suam'!L89</f>
        <v>0</v>
      </c>
      <c r="M89" s="49">
        <f>'Avg Week Saum-Bukwo'!M89+'Avg Week Bukwo-Suam'!M89</f>
        <v>0</v>
      </c>
      <c r="N89" s="49">
        <f>'Avg Week Saum-Bukwo'!N89+'Avg Week Bukwo-Suam'!N89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'Avg Week Saum-Bukwo'!C90+'Avg Week Bukwo-Suam'!C90</f>
        <v>0</v>
      </c>
      <c r="D90" s="49">
        <f>'Avg Week Saum-Bukwo'!D90+'Avg Week Bukwo-Suam'!D90</f>
        <v>0</v>
      </c>
      <c r="E90" s="49">
        <f>'Avg Week Saum-Bukwo'!E90+'Avg Week Bukwo-Suam'!E90</f>
        <v>0</v>
      </c>
      <c r="F90" s="49">
        <f>'Avg Week Saum-Bukwo'!F90+'Avg Week Bukwo-Suam'!F90</f>
        <v>0</v>
      </c>
      <c r="G90" s="49">
        <f>'Avg Week Saum-Bukwo'!G90+'Avg Week Bukwo-Suam'!G90</f>
        <v>0</v>
      </c>
      <c r="H90" s="49">
        <f>'Avg Week Saum-Bukwo'!H90+'Avg Week Bukwo-Suam'!H90</f>
        <v>0</v>
      </c>
      <c r="I90" s="49">
        <f>'Avg Week Saum-Bukwo'!I90+'Avg Week Bukwo-Suam'!I90</f>
        <v>0</v>
      </c>
      <c r="J90" s="49">
        <f>'Avg Week Saum-Bukwo'!J90+'Avg Week Bukwo-Suam'!J90</f>
        <v>0</v>
      </c>
      <c r="K90" s="49">
        <f>'Avg Week Saum-Bukwo'!K90+'Avg Week Bukwo-Suam'!K90</f>
        <v>0</v>
      </c>
      <c r="L90" s="49">
        <f>'Avg Week Saum-Bukwo'!L90+'Avg Week Bukwo-Suam'!L90</f>
        <v>0</v>
      </c>
      <c r="M90" s="49">
        <f>'Avg Week Saum-Bukwo'!M90+'Avg Week Bukwo-Suam'!M90</f>
        <v>0</v>
      </c>
      <c r="N90" s="49">
        <f>'Avg Week Saum-Bukwo'!N90+'Avg Week Bukwo-Suam'!N90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'Avg Week Saum-Bukwo'!C91+'Avg Week Bukwo-Suam'!C91</f>
        <v>0</v>
      </c>
      <c r="D91" s="49">
        <f>'Avg Week Saum-Bukwo'!D91+'Avg Week Bukwo-Suam'!D91</f>
        <v>0</v>
      </c>
      <c r="E91" s="49">
        <f>'Avg Week Saum-Bukwo'!E91+'Avg Week Bukwo-Suam'!E91</f>
        <v>0</v>
      </c>
      <c r="F91" s="49">
        <f>'Avg Week Saum-Bukwo'!F91+'Avg Week Bukwo-Suam'!F91</f>
        <v>0</v>
      </c>
      <c r="G91" s="49">
        <f>'Avg Week Saum-Bukwo'!G91+'Avg Week Bukwo-Suam'!G91</f>
        <v>0</v>
      </c>
      <c r="H91" s="49">
        <f>'Avg Week Saum-Bukwo'!H91+'Avg Week Bukwo-Suam'!H91</f>
        <v>0</v>
      </c>
      <c r="I91" s="49">
        <f>'Avg Week Saum-Bukwo'!I91+'Avg Week Bukwo-Suam'!I91</f>
        <v>0</v>
      </c>
      <c r="J91" s="49">
        <f>'Avg Week Saum-Bukwo'!J91+'Avg Week Bukwo-Suam'!J91</f>
        <v>0</v>
      </c>
      <c r="K91" s="49">
        <f>'Avg Week Saum-Bukwo'!K91+'Avg Week Bukwo-Suam'!K91</f>
        <v>0</v>
      </c>
      <c r="L91" s="49">
        <f>'Avg Week Saum-Bukwo'!L91+'Avg Week Bukwo-Suam'!L91</f>
        <v>0</v>
      </c>
      <c r="M91" s="49">
        <f>'Avg Week Saum-Bukwo'!M91+'Avg Week Bukwo-Suam'!M91</f>
        <v>0</v>
      </c>
      <c r="N91" s="49">
        <f>'Avg Week Saum-Bukwo'!N91+'Avg Week Bukwo-Suam'!N91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'Avg Week Saum-Bukwo'!C92+'Avg Week Bukwo-Suam'!C92</f>
        <v>0</v>
      </c>
      <c r="D92" s="49">
        <f>'Avg Week Saum-Bukwo'!D92+'Avg Week Bukwo-Suam'!D92</f>
        <v>0</v>
      </c>
      <c r="E92" s="49">
        <f>'Avg Week Saum-Bukwo'!E92+'Avg Week Bukwo-Suam'!E92</f>
        <v>0</v>
      </c>
      <c r="F92" s="49">
        <f>'Avg Week Saum-Bukwo'!F92+'Avg Week Bukwo-Suam'!F92</f>
        <v>0</v>
      </c>
      <c r="G92" s="49">
        <f>'Avg Week Saum-Bukwo'!G92+'Avg Week Bukwo-Suam'!G92</f>
        <v>0</v>
      </c>
      <c r="H92" s="49">
        <f>'Avg Week Saum-Bukwo'!H92+'Avg Week Bukwo-Suam'!H92</f>
        <v>0</v>
      </c>
      <c r="I92" s="49">
        <f>'Avg Week Saum-Bukwo'!I92+'Avg Week Bukwo-Suam'!I92</f>
        <v>0</v>
      </c>
      <c r="J92" s="49">
        <f>'Avg Week Saum-Bukwo'!J92+'Avg Week Bukwo-Suam'!J92</f>
        <v>0</v>
      </c>
      <c r="K92" s="49">
        <f>'Avg Week Saum-Bukwo'!K92+'Avg Week Bukwo-Suam'!K92</f>
        <v>0</v>
      </c>
      <c r="L92" s="49">
        <f>'Avg Week Saum-Bukwo'!L92+'Avg Week Bukwo-Suam'!L92</f>
        <v>0</v>
      </c>
      <c r="M92" s="49">
        <f>'Avg Week Saum-Bukwo'!M92+'Avg Week Bukwo-Suam'!M92</f>
        <v>0</v>
      </c>
      <c r="N92" s="49">
        <f>'Avg Week Saum-Bukwo'!N92+'Avg Week Bukwo-Suam'!N92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'Avg Week Saum-Bukwo'!C93+'Avg Week Bukwo-Suam'!C93</f>
        <v>0</v>
      </c>
      <c r="D93" s="49">
        <f>'Avg Week Saum-Bukwo'!D93+'Avg Week Bukwo-Suam'!D93</f>
        <v>0</v>
      </c>
      <c r="E93" s="49">
        <f>'Avg Week Saum-Bukwo'!E93+'Avg Week Bukwo-Suam'!E93</f>
        <v>0</v>
      </c>
      <c r="F93" s="49">
        <f>'Avg Week Saum-Bukwo'!F93+'Avg Week Bukwo-Suam'!F93</f>
        <v>0</v>
      </c>
      <c r="G93" s="49">
        <f>'Avg Week Saum-Bukwo'!G93+'Avg Week Bukwo-Suam'!G93</f>
        <v>0</v>
      </c>
      <c r="H93" s="49">
        <f>'Avg Week Saum-Bukwo'!H93+'Avg Week Bukwo-Suam'!H93</f>
        <v>0</v>
      </c>
      <c r="I93" s="49">
        <f>'Avg Week Saum-Bukwo'!I93+'Avg Week Bukwo-Suam'!I93</f>
        <v>0</v>
      </c>
      <c r="J93" s="49">
        <f>'Avg Week Saum-Bukwo'!J93+'Avg Week Bukwo-Suam'!J93</f>
        <v>0</v>
      </c>
      <c r="K93" s="49">
        <f>'Avg Week Saum-Bukwo'!K93+'Avg Week Bukwo-Suam'!K93</f>
        <v>0</v>
      </c>
      <c r="L93" s="49">
        <f>'Avg Week Saum-Bukwo'!L93+'Avg Week Bukwo-Suam'!L93</f>
        <v>0</v>
      </c>
      <c r="M93" s="49">
        <f>'Avg Week Saum-Bukwo'!M93+'Avg Week Bukwo-Suam'!M93</f>
        <v>0</v>
      </c>
      <c r="N93" s="49">
        <f>'Avg Week Saum-Bukwo'!N93+'Avg Week Bukwo-Suam'!N93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'Avg Week Saum-Bukwo'!C94+'Avg Week Bukwo-Suam'!C94</f>
        <v>0</v>
      </c>
      <c r="D94" s="49">
        <f>'Avg Week Saum-Bukwo'!D94+'Avg Week Bukwo-Suam'!D94</f>
        <v>0</v>
      </c>
      <c r="E94" s="49">
        <f>'Avg Week Saum-Bukwo'!E94+'Avg Week Bukwo-Suam'!E94</f>
        <v>0</v>
      </c>
      <c r="F94" s="49">
        <f>'Avg Week Saum-Bukwo'!F94+'Avg Week Bukwo-Suam'!F94</f>
        <v>0</v>
      </c>
      <c r="G94" s="49">
        <f>'Avg Week Saum-Bukwo'!G94+'Avg Week Bukwo-Suam'!G94</f>
        <v>0</v>
      </c>
      <c r="H94" s="49">
        <f>'Avg Week Saum-Bukwo'!H94+'Avg Week Bukwo-Suam'!H94</f>
        <v>0</v>
      </c>
      <c r="I94" s="49">
        <f>'Avg Week Saum-Bukwo'!I94+'Avg Week Bukwo-Suam'!I94</f>
        <v>0</v>
      </c>
      <c r="J94" s="49">
        <f>'Avg Week Saum-Bukwo'!J94+'Avg Week Bukwo-Suam'!J94</f>
        <v>0</v>
      </c>
      <c r="K94" s="49">
        <f>'Avg Week Saum-Bukwo'!K94+'Avg Week Bukwo-Suam'!K94</f>
        <v>0</v>
      </c>
      <c r="L94" s="49">
        <f>'Avg Week Saum-Bukwo'!L94+'Avg Week Bukwo-Suam'!L94</f>
        <v>0</v>
      </c>
      <c r="M94" s="49">
        <f>'Avg Week Saum-Bukwo'!M94+'Avg Week Bukwo-Suam'!M94</f>
        <v>0</v>
      </c>
      <c r="N94" s="49">
        <f>'Avg Week Saum-Bukwo'!N94+'Avg Week Bukwo-Suam'!N94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'Avg Week Saum-Bukwo'!C95+'Avg Week Bukwo-Suam'!C95</f>
        <v>0</v>
      </c>
      <c r="D95" s="49">
        <f>'Avg Week Saum-Bukwo'!D95+'Avg Week Bukwo-Suam'!D95</f>
        <v>0</v>
      </c>
      <c r="E95" s="49">
        <f>'Avg Week Saum-Bukwo'!E95+'Avg Week Bukwo-Suam'!E95</f>
        <v>0</v>
      </c>
      <c r="F95" s="49">
        <f>'Avg Week Saum-Bukwo'!F95+'Avg Week Bukwo-Suam'!F95</f>
        <v>0</v>
      </c>
      <c r="G95" s="49">
        <f>'Avg Week Saum-Bukwo'!G95+'Avg Week Bukwo-Suam'!G95</f>
        <v>0</v>
      </c>
      <c r="H95" s="49">
        <f>'Avg Week Saum-Bukwo'!H95+'Avg Week Bukwo-Suam'!H95</f>
        <v>0</v>
      </c>
      <c r="I95" s="49">
        <f>'Avg Week Saum-Bukwo'!I95+'Avg Week Bukwo-Suam'!I95</f>
        <v>0</v>
      </c>
      <c r="J95" s="49">
        <f>'Avg Week Saum-Bukwo'!J95+'Avg Week Bukwo-Suam'!J95</f>
        <v>0</v>
      </c>
      <c r="K95" s="49">
        <f>'Avg Week Saum-Bukwo'!K95+'Avg Week Bukwo-Suam'!K95</f>
        <v>0</v>
      </c>
      <c r="L95" s="49">
        <f>'Avg Week Saum-Bukwo'!L95+'Avg Week Bukwo-Suam'!L95</f>
        <v>0</v>
      </c>
      <c r="M95" s="49">
        <f>'Avg Week Saum-Bukwo'!M95+'Avg Week Bukwo-Suam'!M95</f>
        <v>0</v>
      </c>
      <c r="N95" s="49">
        <f>'Avg Week Saum-Bukwo'!N95+'Avg Week Bukwo-Suam'!N95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'Avg Week Saum-Bukwo'!C96+'Avg Week Bukwo-Suam'!C96</f>
        <v>0</v>
      </c>
      <c r="D96" s="49">
        <f>'Avg Week Saum-Bukwo'!D96+'Avg Week Bukwo-Suam'!D96</f>
        <v>0</v>
      </c>
      <c r="E96" s="49">
        <f>'Avg Week Saum-Bukwo'!E96+'Avg Week Bukwo-Suam'!E96</f>
        <v>0</v>
      </c>
      <c r="F96" s="49">
        <f>'Avg Week Saum-Bukwo'!F96+'Avg Week Bukwo-Suam'!F96</f>
        <v>0</v>
      </c>
      <c r="G96" s="49">
        <f>'Avg Week Saum-Bukwo'!G96+'Avg Week Bukwo-Suam'!G96</f>
        <v>0</v>
      </c>
      <c r="H96" s="49">
        <f>'Avg Week Saum-Bukwo'!H96+'Avg Week Bukwo-Suam'!H96</f>
        <v>0</v>
      </c>
      <c r="I96" s="49">
        <f>'Avg Week Saum-Bukwo'!I96+'Avg Week Bukwo-Suam'!I96</f>
        <v>0</v>
      </c>
      <c r="J96" s="49">
        <f>'Avg Week Saum-Bukwo'!J96+'Avg Week Bukwo-Suam'!J96</f>
        <v>0</v>
      </c>
      <c r="K96" s="49">
        <f>'Avg Week Saum-Bukwo'!K96+'Avg Week Bukwo-Suam'!K96</f>
        <v>0</v>
      </c>
      <c r="L96" s="49">
        <f>'Avg Week Saum-Bukwo'!L96+'Avg Week Bukwo-Suam'!L96</f>
        <v>0</v>
      </c>
      <c r="M96" s="49">
        <f>'Avg Week Saum-Bukwo'!M96+'Avg Week Bukwo-Suam'!M96</f>
        <v>0</v>
      </c>
      <c r="N96" s="49">
        <f>'Avg Week Saum-Bukwo'!N96+'Avg Week Bukwo-Suam'!N96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'Avg Week Saum-Bukwo'!C97+'Avg Week Bukwo-Suam'!C97</f>
        <v>0</v>
      </c>
      <c r="D97" s="49">
        <f>'Avg Week Saum-Bukwo'!D97+'Avg Week Bukwo-Suam'!D97</f>
        <v>0</v>
      </c>
      <c r="E97" s="49">
        <f>'Avg Week Saum-Bukwo'!E97+'Avg Week Bukwo-Suam'!E97</f>
        <v>0</v>
      </c>
      <c r="F97" s="49">
        <f>'Avg Week Saum-Bukwo'!F97+'Avg Week Bukwo-Suam'!F97</f>
        <v>0</v>
      </c>
      <c r="G97" s="49">
        <f>'Avg Week Saum-Bukwo'!G97+'Avg Week Bukwo-Suam'!G97</f>
        <v>0</v>
      </c>
      <c r="H97" s="49">
        <f>'Avg Week Saum-Bukwo'!H97+'Avg Week Bukwo-Suam'!H97</f>
        <v>0</v>
      </c>
      <c r="I97" s="49">
        <f>'Avg Week Saum-Bukwo'!I97+'Avg Week Bukwo-Suam'!I97</f>
        <v>1</v>
      </c>
      <c r="J97" s="49">
        <f>'Avg Week Saum-Bukwo'!J97+'Avg Week Bukwo-Suam'!J97</f>
        <v>0.5</v>
      </c>
      <c r="K97" s="49">
        <f>'Avg Week Saum-Bukwo'!K97+'Avg Week Bukwo-Suam'!K97</f>
        <v>0</v>
      </c>
      <c r="L97" s="49">
        <f>'Avg Week Saum-Bukwo'!L97+'Avg Week Bukwo-Suam'!L97</f>
        <v>0</v>
      </c>
      <c r="M97" s="49">
        <f>'Avg Week Saum-Bukwo'!M97+'Avg Week Bukwo-Suam'!M97</f>
        <v>0</v>
      </c>
      <c r="N97" s="49">
        <f>'Avg Week Saum-Bukwo'!N97+'Avg Week Bukwo-Suam'!N97</f>
        <v>0</v>
      </c>
      <c r="O97" s="15">
        <f t="shared" si="35"/>
        <v>1.5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'Avg Week Saum-Bukwo'!C98+'Avg Week Bukwo-Suam'!C98</f>
        <v>0</v>
      </c>
      <c r="D98" s="49">
        <f>'Avg Week Saum-Bukwo'!D98+'Avg Week Bukwo-Suam'!D98</f>
        <v>0</v>
      </c>
      <c r="E98" s="49">
        <f>'Avg Week Saum-Bukwo'!E98+'Avg Week Bukwo-Suam'!E98</f>
        <v>0</v>
      </c>
      <c r="F98" s="49">
        <f>'Avg Week Saum-Bukwo'!F98+'Avg Week Bukwo-Suam'!F98</f>
        <v>0</v>
      </c>
      <c r="G98" s="49">
        <f>'Avg Week Saum-Bukwo'!G98+'Avg Week Bukwo-Suam'!G98</f>
        <v>0</v>
      </c>
      <c r="H98" s="49">
        <f>'Avg Week Saum-Bukwo'!H98+'Avg Week Bukwo-Suam'!H98</f>
        <v>0</v>
      </c>
      <c r="I98" s="49">
        <f>'Avg Week Saum-Bukwo'!I98+'Avg Week Bukwo-Suam'!I98</f>
        <v>0.5</v>
      </c>
      <c r="J98" s="49">
        <f>'Avg Week Saum-Bukwo'!J98+'Avg Week Bukwo-Suam'!J98</f>
        <v>0</v>
      </c>
      <c r="K98" s="49">
        <f>'Avg Week Saum-Bukwo'!K98+'Avg Week Bukwo-Suam'!K98</f>
        <v>0</v>
      </c>
      <c r="L98" s="49">
        <f>'Avg Week Saum-Bukwo'!L98+'Avg Week Bukwo-Suam'!L98</f>
        <v>0</v>
      </c>
      <c r="M98" s="49">
        <f>'Avg Week Saum-Bukwo'!M98+'Avg Week Bukwo-Suam'!M98</f>
        <v>0</v>
      </c>
      <c r="N98" s="49">
        <f>'Avg Week Saum-Bukwo'!N98+'Avg Week Bukwo-Suam'!N98</f>
        <v>0</v>
      </c>
      <c r="O98" s="15">
        <f t="shared" si="35"/>
        <v>0.5</v>
      </c>
      <c r="P98" s="15">
        <f t="shared" si="36"/>
        <v>0.5</v>
      </c>
      <c r="R98" s="8"/>
      <c r="T98"/>
    </row>
    <row r="99" spans="2:20" ht="23.1" customHeight="1" x14ac:dyDescent="0.25">
      <c r="B99" s="23" t="s">
        <v>139</v>
      </c>
      <c r="C99" s="49">
        <f>'Avg Week Saum-Bukwo'!C99+'Avg Week Bukwo-Suam'!C99</f>
        <v>0</v>
      </c>
      <c r="D99" s="49">
        <f>'Avg Week Saum-Bukwo'!D99+'Avg Week Bukwo-Suam'!D99</f>
        <v>0</v>
      </c>
      <c r="E99" s="49">
        <f>'Avg Week Saum-Bukwo'!E99+'Avg Week Bukwo-Suam'!E99</f>
        <v>0</v>
      </c>
      <c r="F99" s="49">
        <f>'Avg Week Saum-Bukwo'!F99+'Avg Week Bukwo-Suam'!F99</f>
        <v>0</v>
      </c>
      <c r="G99" s="49">
        <f>'Avg Week Saum-Bukwo'!G99+'Avg Week Bukwo-Suam'!G99</f>
        <v>0</v>
      </c>
      <c r="H99" s="49">
        <f>'Avg Week Saum-Bukwo'!H99+'Avg Week Bukwo-Suam'!H99</f>
        <v>0</v>
      </c>
      <c r="I99" s="49">
        <f>'Avg Week Saum-Bukwo'!I99+'Avg Week Bukwo-Suam'!I99</f>
        <v>1</v>
      </c>
      <c r="J99" s="49">
        <f>'Avg Week Saum-Bukwo'!J99+'Avg Week Bukwo-Suam'!J99</f>
        <v>0</v>
      </c>
      <c r="K99" s="49">
        <f>'Avg Week Saum-Bukwo'!K99+'Avg Week Bukwo-Suam'!K99</f>
        <v>0</v>
      </c>
      <c r="L99" s="49">
        <f>'Avg Week Saum-Bukwo'!L99+'Avg Week Bukwo-Suam'!L99</f>
        <v>0</v>
      </c>
      <c r="M99" s="49">
        <f>'Avg Week Saum-Bukwo'!M99+'Avg Week Bukwo-Suam'!M99</f>
        <v>0.5</v>
      </c>
      <c r="N99" s="49">
        <f>'Avg Week Saum-Bukwo'!N99+'Avg Week Bukwo-Suam'!N99</f>
        <v>0</v>
      </c>
      <c r="O99" s="15">
        <f t="shared" si="35"/>
        <v>1</v>
      </c>
      <c r="P99" s="15">
        <f t="shared" si="36"/>
        <v>1.5</v>
      </c>
      <c r="R99" s="8"/>
      <c r="T99"/>
    </row>
    <row r="100" spans="2:20" ht="23.1" customHeight="1" x14ac:dyDescent="0.25">
      <c r="B100" s="25" t="s">
        <v>140</v>
      </c>
      <c r="C100" s="49">
        <f>'Avg Week Saum-Bukwo'!C100+'Avg Week Bukwo-Suam'!C100</f>
        <v>0.5</v>
      </c>
      <c r="D100" s="49">
        <f>'Avg Week Saum-Bukwo'!D100+'Avg Week Bukwo-Suam'!D100</f>
        <v>0</v>
      </c>
      <c r="E100" s="49">
        <f>'Avg Week Saum-Bukwo'!E100+'Avg Week Bukwo-Suam'!E100</f>
        <v>0.5</v>
      </c>
      <c r="F100" s="49">
        <f>'Avg Week Saum-Bukwo'!F100+'Avg Week Bukwo-Suam'!F100</f>
        <v>0</v>
      </c>
      <c r="G100" s="49">
        <f>'Avg Week Saum-Bukwo'!G100+'Avg Week Bukwo-Suam'!G100</f>
        <v>0</v>
      </c>
      <c r="H100" s="49">
        <f>'Avg Week Saum-Bukwo'!H100+'Avg Week Bukwo-Suam'!H100</f>
        <v>0</v>
      </c>
      <c r="I100" s="49">
        <f>'Avg Week Saum-Bukwo'!I100+'Avg Week Bukwo-Suam'!I100</f>
        <v>1.5</v>
      </c>
      <c r="J100" s="49">
        <f>'Avg Week Saum-Bukwo'!J100+'Avg Week Bukwo-Suam'!J100</f>
        <v>0</v>
      </c>
      <c r="K100" s="49">
        <f>'Avg Week Saum-Bukwo'!K100+'Avg Week Bukwo-Suam'!K100</f>
        <v>0</v>
      </c>
      <c r="L100" s="49">
        <f>'Avg Week Saum-Bukwo'!L100+'Avg Week Bukwo-Suam'!L100</f>
        <v>0</v>
      </c>
      <c r="M100" s="49">
        <f>'Avg Week Saum-Bukwo'!M100+'Avg Week Bukwo-Suam'!M100</f>
        <v>2</v>
      </c>
      <c r="N100" s="49">
        <f>'Avg Week Saum-Bukwo'!N100+'Avg Week Bukwo-Suam'!N100</f>
        <v>0</v>
      </c>
      <c r="O100" s="15">
        <f t="shared" si="35"/>
        <v>2.5</v>
      </c>
      <c r="P100" s="15">
        <f t="shared" si="36"/>
        <v>4.5</v>
      </c>
      <c r="R100" s="8"/>
      <c r="T100"/>
    </row>
    <row r="101" spans="2:20" ht="23.1" customHeight="1" x14ac:dyDescent="0.25">
      <c r="B101" s="23" t="s">
        <v>141</v>
      </c>
      <c r="C101" s="49">
        <f>'Avg Week Saum-Bukwo'!C101+'Avg Week Bukwo-Suam'!C101</f>
        <v>0</v>
      </c>
      <c r="D101" s="49">
        <f>'Avg Week Saum-Bukwo'!D101+'Avg Week Bukwo-Suam'!D101</f>
        <v>0</v>
      </c>
      <c r="E101" s="49">
        <f>'Avg Week Saum-Bukwo'!E101+'Avg Week Bukwo-Suam'!E101</f>
        <v>0</v>
      </c>
      <c r="F101" s="49">
        <f>'Avg Week Saum-Bukwo'!F101+'Avg Week Bukwo-Suam'!F101</f>
        <v>0</v>
      </c>
      <c r="G101" s="49">
        <f>'Avg Week Saum-Bukwo'!G101+'Avg Week Bukwo-Suam'!G101</f>
        <v>0</v>
      </c>
      <c r="H101" s="49">
        <f>'Avg Week Saum-Bukwo'!H101+'Avg Week Bukwo-Suam'!H101</f>
        <v>0</v>
      </c>
      <c r="I101" s="49">
        <f>'Avg Week Saum-Bukwo'!I101+'Avg Week Bukwo-Suam'!I101</f>
        <v>0</v>
      </c>
      <c r="J101" s="49">
        <f>'Avg Week Saum-Bukwo'!J101+'Avg Week Bukwo-Suam'!J101</f>
        <v>0</v>
      </c>
      <c r="K101" s="49">
        <f>'Avg Week Saum-Bukwo'!K101+'Avg Week Bukwo-Suam'!K101</f>
        <v>0</v>
      </c>
      <c r="L101" s="49">
        <f>'Avg Week Saum-Bukwo'!L101+'Avg Week Bukwo-Suam'!L101</f>
        <v>0</v>
      </c>
      <c r="M101" s="49">
        <f>'Avg Week Saum-Bukwo'!M101+'Avg Week Bukwo-Suam'!M101</f>
        <v>2.5</v>
      </c>
      <c r="N101" s="49">
        <f>'Avg Week Saum-Bukwo'!N101+'Avg Week Bukwo-Suam'!N101</f>
        <v>0</v>
      </c>
      <c r="O101" s="15">
        <f t="shared" si="35"/>
        <v>0</v>
      </c>
      <c r="P101" s="15">
        <f t="shared" si="36"/>
        <v>2.5</v>
      </c>
      <c r="R101" s="8"/>
      <c r="T101"/>
    </row>
    <row r="102" spans="2:20" ht="23.1" customHeight="1" x14ac:dyDescent="0.25">
      <c r="B102" s="24" t="s">
        <v>142</v>
      </c>
      <c r="C102" s="49">
        <f>'Avg Week Saum-Bukwo'!C102+'Avg Week Bukwo-Suam'!C102</f>
        <v>0</v>
      </c>
      <c r="D102" s="49">
        <f>'Avg Week Saum-Bukwo'!D102+'Avg Week Bukwo-Suam'!D102</f>
        <v>0</v>
      </c>
      <c r="E102" s="49">
        <f>'Avg Week Saum-Bukwo'!E102+'Avg Week Bukwo-Suam'!E102</f>
        <v>0</v>
      </c>
      <c r="F102" s="49">
        <f>'Avg Week Saum-Bukwo'!F102+'Avg Week Bukwo-Suam'!F102</f>
        <v>0</v>
      </c>
      <c r="G102" s="49">
        <f>'Avg Week Saum-Bukwo'!G102+'Avg Week Bukwo-Suam'!G102</f>
        <v>0</v>
      </c>
      <c r="H102" s="49">
        <f>'Avg Week Saum-Bukwo'!H102+'Avg Week Bukwo-Suam'!H102</f>
        <v>0</v>
      </c>
      <c r="I102" s="49">
        <f>'Avg Week Saum-Bukwo'!I102+'Avg Week Bukwo-Suam'!I102</f>
        <v>0</v>
      </c>
      <c r="J102" s="49">
        <f>'Avg Week Saum-Bukwo'!J102+'Avg Week Bukwo-Suam'!J102</f>
        <v>0</v>
      </c>
      <c r="K102" s="49">
        <f>'Avg Week Saum-Bukwo'!K102+'Avg Week Bukwo-Suam'!K102</f>
        <v>0</v>
      </c>
      <c r="L102" s="49">
        <f>'Avg Week Saum-Bukwo'!L102+'Avg Week Bukwo-Suam'!L102</f>
        <v>0</v>
      </c>
      <c r="M102" s="49">
        <f>'Avg Week Saum-Bukwo'!M102+'Avg Week Bukwo-Suam'!M102</f>
        <v>1</v>
      </c>
      <c r="N102" s="49">
        <f>'Avg Week Saum-Bukwo'!N102+'Avg Week Bukwo-Suam'!N102</f>
        <v>0</v>
      </c>
      <c r="O102" s="15">
        <f t="shared" si="35"/>
        <v>0</v>
      </c>
      <c r="P102" s="15">
        <f t="shared" si="36"/>
        <v>1</v>
      </c>
      <c r="R102" s="8"/>
      <c r="T102"/>
    </row>
    <row r="103" spans="2:20" ht="23.1" customHeight="1" x14ac:dyDescent="0.25">
      <c r="B103" s="23" t="s">
        <v>143</v>
      </c>
      <c r="C103" s="49">
        <f>'Avg Week Saum-Bukwo'!C103+'Avg Week Bukwo-Suam'!C103</f>
        <v>0</v>
      </c>
      <c r="D103" s="49">
        <f>'Avg Week Saum-Bukwo'!D103+'Avg Week Bukwo-Suam'!D103</f>
        <v>0</v>
      </c>
      <c r="E103" s="49">
        <f>'Avg Week Saum-Bukwo'!E103+'Avg Week Bukwo-Suam'!E103</f>
        <v>0</v>
      </c>
      <c r="F103" s="49">
        <f>'Avg Week Saum-Bukwo'!F103+'Avg Week Bukwo-Suam'!F103</f>
        <v>0</v>
      </c>
      <c r="G103" s="49">
        <f>'Avg Week Saum-Bukwo'!G103+'Avg Week Bukwo-Suam'!G103</f>
        <v>0</v>
      </c>
      <c r="H103" s="49">
        <f>'Avg Week Saum-Bukwo'!H103+'Avg Week Bukwo-Suam'!H103</f>
        <v>0</v>
      </c>
      <c r="I103" s="49">
        <f>'Avg Week Saum-Bukwo'!I103+'Avg Week Bukwo-Suam'!I103</f>
        <v>1</v>
      </c>
      <c r="J103" s="49">
        <f>'Avg Week Saum-Bukwo'!J103+'Avg Week Bukwo-Suam'!J103</f>
        <v>0</v>
      </c>
      <c r="K103" s="49">
        <f>'Avg Week Saum-Bukwo'!K103+'Avg Week Bukwo-Suam'!K103</f>
        <v>0</v>
      </c>
      <c r="L103" s="49">
        <f>'Avg Week Saum-Bukwo'!L103+'Avg Week Bukwo-Suam'!L103</f>
        <v>0</v>
      </c>
      <c r="M103" s="49">
        <f>'Avg Week Saum-Bukwo'!M103+'Avg Week Bukwo-Suam'!M103</f>
        <v>4.5</v>
      </c>
      <c r="N103" s="49">
        <f>'Avg Week Saum-Bukwo'!N103+'Avg Week Bukwo-Suam'!N103</f>
        <v>0</v>
      </c>
      <c r="O103" s="15">
        <f t="shared" si="35"/>
        <v>1</v>
      </c>
      <c r="P103" s="15">
        <f t="shared" si="36"/>
        <v>5.5</v>
      </c>
      <c r="R103" s="8"/>
      <c r="T103"/>
    </row>
    <row r="104" spans="2:20" ht="23.1" customHeight="1" x14ac:dyDescent="0.25">
      <c r="B104" s="25" t="s">
        <v>144</v>
      </c>
      <c r="C104" s="49">
        <f>'Avg Week Saum-Bukwo'!C104+'Avg Week Bukwo-Suam'!C104</f>
        <v>0</v>
      </c>
      <c r="D104" s="49">
        <f>'Avg Week Saum-Bukwo'!D104+'Avg Week Bukwo-Suam'!D104</f>
        <v>0</v>
      </c>
      <c r="E104" s="49">
        <f>'Avg Week Saum-Bukwo'!E104+'Avg Week Bukwo-Suam'!E104</f>
        <v>0</v>
      </c>
      <c r="F104" s="49">
        <f>'Avg Week Saum-Bukwo'!F104+'Avg Week Bukwo-Suam'!F104</f>
        <v>0</v>
      </c>
      <c r="G104" s="49">
        <f>'Avg Week Saum-Bukwo'!G104+'Avg Week Bukwo-Suam'!G104</f>
        <v>0</v>
      </c>
      <c r="H104" s="49">
        <f>'Avg Week Saum-Bukwo'!H104+'Avg Week Bukwo-Suam'!H104</f>
        <v>0</v>
      </c>
      <c r="I104" s="49">
        <f>'Avg Week Saum-Bukwo'!I104+'Avg Week Bukwo-Suam'!I104</f>
        <v>0.5</v>
      </c>
      <c r="J104" s="49">
        <f>'Avg Week Saum-Bukwo'!J104+'Avg Week Bukwo-Suam'!J104</f>
        <v>0</v>
      </c>
      <c r="K104" s="49">
        <f>'Avg Week Saum-Bukwo'!K104+'Avg Week Bukwo-Suam'!K104</f>
        <v>0</v>
      </c>
      <c r="L104" s="49">
        <f>'Avg Week Saum-Bukwo'!L104+'Avg Week Bukwo-Suam'!L104</f>
        <v>0</v>
      </c>
      <c r="M104" s="49">
        <f>'Avg Week Saum-Bukwo'!M104+'Avg Week Bukwo-Suam'!M104</f>
        <v>1</v>
      </c>
      <c r="N104" s="49">
        <f>'Avg Week Saum-Bukwo'!N104+'Avg Week Bukwo-Suam'!N104</f>
        <v>0</v>
      </c>
      <c r="O104" s="15">
        <f t="shared" si="35"/>
        <v>0.5</v>
      </c>
      <c r="P104" s="15">
        <f t="shared" si="36"/>
        <v>1.5</v>
      </c>
      <c r="R104" s="8"/>
      <c r="T104"/>
    </row>
    <row r="105" spans="2:20" ht="23.1" customHeight="1" x14ac:dyDescent="0.25">
      <c r="B105" s="23" t="s">
        <v>145</v>
      </c>
      <c r="C105" s="49">
        <f>'Avg Week Saum-Bukwo'!C105+'Avg Week Bukwo-Suam'!C105</f>
        <v>0</v>
      </c>
      <c r="D105" s="49">
        <f>'Avg Week Saum-Bukwo'!D105+'Avg Week Bukwo-Suam'!D105</f>
        <v>0</v>
      </c>
      <c r="E105" s="49">
        <f>'Avg Week Saum-Bukwo'!E105+'Avg Week Bukwo-Suam'!E105</f>
        <v>0</v>
      </c>
      <c r="F105" s="49">
        <f>'Avg Week Saum-Bukwo'!F105+'Avg Week Bukwo-Suam'!F105</f>
        <v>0</v>
      </c>
      <c r="G105" s="49">
        <f>'Avg Week Saum-Bukwo'!G105+'Avg Week Bukwo-Suam'!G105</f>
        <v>0</v>
      </c>
      <c r="H105" s="49">
        <f>'Avg Week Saum-Bukwo'!H105+'Avg Week Bukwo-Suam'!H105</f>
        <v>0</v>
      </c>
      <c r="I105" s="49">
        <f>'Avg Week Saum-Bukwo'!I105+'Avg Week Bukwo-Suam'!I105</f>
        <v>0</v>
      </c>
      <c r="J105" s="49">
        <f>'Avg Week Saum-Bukwo'!J105+'Avg Week Bukwo-Suam'!J105</f>
        <v>0</v>
      </c>
      <c r="K105" s="49">
        <f>'Avg Week Saum-Bukwo'!K105+'Avg Week Bukwo-Suam'!K105</f>
        <v>0</v>
      </c>
      <c r="L105" s="49">
        <f>'Avg Week Saum-Bukwo'!L105+'Avg Week Bukwo-Suam'!L105</f>
        <v>0</v>
      </c>
      <c r="M105" s="49">
        <f>'Avg Week Saum-Bukwo'!M105+'Avg Week Bukwo-Suam'!M105</f>
        <v>3</v>
      </c>
      <c r="N105" s="49">
        <f>'Avg Week Saum-Bukwo'!N105+'Avg Week Bukwo-Suam'!N105</f>
        <v>0</v>
      </c>
      <c r="O105" s="15">
        <f t="shared" si="35"/>
        <v>0</v>
      </c>
      <c r="P105" s="15">
        <f t="shared" si="36"/>
        <v>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13.928571428571432</v>
      </c>
      <c r="D106" s="16">
        <f>SUM(D10:D105)</f>
        <v>4.2857142857142847</v>
      </c>
      <c r="E106" s="16">
        <f t="shared" ref="E106:P106" si="37">SUM(E10:E105)</f>
        <v>23.928571428571431</v>
      </c>
      <c r="F106" s="16">
        <f t="shared" si="37"/>
        <v>0.2857142857142857</v>
      </c>
      <c r="G106" s="16">
        <f t="shared" si="37"/>
        <v>0</v>
      </c>
      <c r="H106" s="16">
        <f t="shared" si="37"/>
        <v>0</v>
      </c>
      <c r="I106" s="16">
        <f t="shared" si="37"/>
        <v>55.428571428571423</v>
      </c>
      <c r="J106" s="16">
        <f t="shared" si="37"/>
        <v>2.714285714285714</v>
      </c>
      <c r="K106" s="16">
        <f t="shared" si="37"/>
        <v>0.14285714285714285</v>
      </c>
      <c r="L106" s="16">
        <f t="shared" si="37"/>
        <v>1.2857142857142858</v>
      </c>
      <c r="M106" s="16">
        <f t="shared" si="37"/>
        <v>1194.6428571428569</v>
      </c>
      <c r="N106" s="16">
        <f t="shared" si="37"/>
        <v>1.857142857142857</v>
      </c>
      <c r="O106" s="16">
        <f t="shared" si="37"/>
        <v>103.85714285714286</v>
      </c>
      <c r="P106" s="16">
        <f t="shared" si="37"/>
        <v>1298.5</v>
      </c>
      <c r="R106" s="8"/>
      <c r="T106"/>
    </row>
    <row r="107" spans="2:20" ht="23.1" customHeight="1" x14ac:dyDescent="0.25">
      <c r="B107" s="26" t="s">
        <v>93</v>
      </c>
      <c r="C107" s="43">
        <f>C106/$P$106</f>
        <v>1.0726662632708073E-2</v>
      </c>
      <c r="D107" s="43">
        <f t="shared" ref="D107:N107" si="38">D106/$P$106</f>
        <v>3.30051157929479E-3</v>
      </c>
      <c r="E107" s="43">
        <f t="shared" si="38"/>
        <v>1.8427856317729249E-2</v>
      </c>
      <c r="F107" s="43">
        <f t="shared" si="38"/>
        <v>2.2003410528631938E-4</v>
      </c>
      <c r="G107" s="43">
        <f t="shared" si="38"/>
        <v>0</v>
      </c>
      <c r="H107" s="43">
        <f t="shared" si="38"/>
        <v>0</v>
      </c>
      <c r="I107" s="43">
        <f t="shared" si="38"/>
        <v>4.2686616425545956E-2</v>
      </c>
      <c r="J107" s="43">
        <f t="shared" si="38"/>
        <v>2.0903240002200338E-3</v>
      </c>
      <c r="K107" s="43">
        <f t="shared" si="38"/>
        <v>1.1001705264315969E-4</v>
      </c>
      <c r="L107" s="43">
        <f t="shared" si="38"/>
        <v>9.9015347378843721E-4</v>
      </c>
      <c r="M107" s="43">
        <f t="shared" si="38"/>
        <v>0.9200176027284227</v>
      </c>
      <c r="N107" s="43">
        <f t="shared" si="38"/>
        <v>1.4302216843610758E-3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0.13411279229711145</v>
      </c>
      <c r="D108" s="44">
        <f t="shared" ref="D108:N108" si="39">D106/$O$106</f>
        <v>4.126547455295735E-2</v>
      </c>
      <c r="E108" s="44">
        <f t="shared" si="39"/>
        <v>0.23039889958734527</v>
      </c>
      <c r="F108" s="44">
        <f t="shared" si="39"/>
        <v>2.7510316368638235E-3</v>
      </c>
      <c r="G108" s="44">
        <f t="shared" si="39"/>
        <v>0</v>
      </c>
      <c r="H108" s="44">
        <f t="shared" si="39"/>
        <v>0</v>
      </c>
      <c r="I108" s="44">
        <f t="shared" si="39"/>
        <v>0.53370013755158174</v>
      </c>
      <c r="J108" s="44">
        <f t="shared" si="39"/>
        <v>2.6134800550206325E-2</v>
      </c>
      <c r="K108" s="44">
        <f t="shared" si="39"/>
        <v>1.3755158184319118E-3</v>
      </c>
      <c r="L108" s="44">
        <f t="shared" si="39"/>
        <v>1.2379642365887207E-2</v>
      </c>
      <c r="M108" s="44"/>
      <c r="N108" s="44">
        <f t="shared" si="39"/>
        <v>1.7881705639614852E-2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23.08 Suam- Bukwo</vt:lpstr>
      <vt:lpstr>23.08 Bukwo-Suam</vt:lpstr>
      <vt:lpstr>24.08 Suam-Bukwo-24h</vt:lpstr>
      <vt:lpstr>24.08 Bukwo-Suam-24h</vt:lpstr>
      <vt:lpstr>25.08 Suam-Bukwo</vt:lpstr>
      <vt:lpstr>25.08 Bukwo-Suam</vt:lpstr>
      <vt:lpstr>26.08 Suam-Bukwo-24h</vt:lpstr>
      <vt:lpstr>26.08 Bukwo-Suam-24h</vt:lpstr>
      <vt:lpstr>27.08 Suam-Bukwo</vt:lpstr>
      <vt:lpstr>27.08 Bukwo-Suam</vt:lpstr>
      <vt:lpstr>28.08 Suam-Bukwo</vt:lpstr>
      <vt:lpstr>28.08 Bukwo-Suam</vt:lpstr>
      <vt:lpstr>29.08 Suam-Bukwo</vt:lpstr>
      <vt:lpstr>29.08 Bukwo-Suam</vt:lpstr>
      <vt:lpstr>Avg Week Saum-Bukwo</vt:lpstr>
      <vt:lpstr>Avg Week Bukwo-Suam</vt:lpstr>
      <vt:lpstr>Avg Week Suam-Bukwo-2Dir</vt:lpstr>
      <vt:lpstr>'23.08 Bukwo-Suam'!Print_Area</vt:lpstr>
      <vt:lpstr>'23.08 Suam- Bukwo'!Print_Area</vt:lpstr>
      <vt:lpstr>'24.08 Bukwo-Suam-24h'!Print_Area</vt:lpstr>
      <vt:lpstr>'24.08 Suam-Bukwo-24h'!Print_Area</vt:lpstr>
      <vt:lpstr>'25.08 Bukwo-Suam'!Print_Area</vt:lpstr>
      <vt:lpstr>'25.08 Suam-Bukwo'!Print_Area</vt:lpstr>
      <vt:lpstr>'26.08 Bukwo-Suam-24h'!Print_Area</vt:lpstr>
      <vt:lpstr>'26.08 Suam-Bukwo-24h'!Print_Area</vt:lpstr>
      <vt:lpstr>'27.08 Bukwo-Suam'!Print_Area</vt:lpstr>
      <vt:lpstr>'27.08 Suam-Bukwo'!Print_Area</vt:lpstr>
      <vt:lpstr>'28.08 Bukwo-Suam'!Print_Area</vt:lpstr>
      <vt:lpstr>'28.08 Suam-Bukwo'!Print_Area</vt:lpstr>
      <vt:lpstr>'29.08 Bukwo-Suam'!Print_Area</vt:lpstr>
      <vt:lpstr>'29.08 Suam-Bukwo'!Print_Area</vt:lpstr>
      <vt:lpstr>'Avg Week Bukwo-Suam'!Print_Area</vt:lpstr>
      <vt:lpstr>'Avg Week Saum-Bukwo'!Print_Area</vt:lpstr>
      <vt:lpstr>'Avg Week Suam-Bukwo-2Dir'!Print_Area</vt:lpstr>
      <vt:lpstr>'23.08 Bukwo-Suam'!Print_Titles</vt:lpstr>
      <vt:lpstr>'23.08 Suam- Bukwo'!Print_Titles</vt:lpstr>
      <vt:lpstr>'24.08 Bukwo-Suam-24h'!Print_Titles</vt:lpstr>
      <vt:lpstr>'24.08 Suam-Bukwo-24h'!Print_Titles</vt:lpstr>
      <vt:lpstr>'25.08 Bukwo-Suam'!Print_Titles</vt:lpstr>
      <vt:lpstr>'25.08 Suam-Bukwo'!Print_Titles</vt:lpstr>
      <vt:lpstr>'26.08 Bukwo-Suam-24h'!Print_Titles</vt:lpstr>
      <vt:lpstr>'26.08 Suam-Bukwo-24h'!Print_Titles</vt:lpstr>
      <vt:lpstr>'27.08 Bukwo-Suam'!Print_Titles</vt:lpstr>
      <vt:lpstr>'27.08 Suam-Bukwo'!Print_Titles</vt:lpstr>
      <vt:lpstr>'28.08 Bukwo-Suam'!Print_Titles</vt:lpstr>
      <vt:lpstr>'28.08 Suam-Bukwo'!Print_Titles</vt:lpstr>
      <vt:lpstr>'29.08 Bukwo-Suam'!Print_Titles</vt:lpstr>
      <vt:lpstr>'29.08 Suam-Bukwo'!Print_Titles</vt:lpstr>
      <vt:lpstr>'Avg Week Bukwo-Suam'!Print_Titles</vt:lpstr>
      <vt:lpstr>'Avg Week Saum-Bukwo'!Print_Titles</vt:lpstr>
      <vt:lpstr>'Avg Week Suam-Bukwo-2Dir'!Print_Titles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STEWARD CONSULTANCY</cp:lastModifiedBy>
  <cp:lastPrinted>2019-07-25T18:18:41Z</cp:lastPrinted>
  <dcterms:created xsi:type="dcterms:W3CDTF">2010-07-06T07:39:49Z</dcterms:created>
  <dcterms:modified xsi:type="dcterms:W3CDTF">2020-01-16T15:26:29Z</dcterms:modified>
</cp:coreProperties>
</file>