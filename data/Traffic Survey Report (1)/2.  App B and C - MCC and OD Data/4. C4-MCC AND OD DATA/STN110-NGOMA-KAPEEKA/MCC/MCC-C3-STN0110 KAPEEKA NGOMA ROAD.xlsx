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EDMP\EDMP Analysis\C-4 Analysis Complete-Benard\STN110-NGOMA-KAPEEKA\MCC\"/>
    </mc:Choice>
  </mc:AlternateContent>
  <xr:revisionPtr revIDLastSave="0" documentId="13_ncr:1_{27977451-633A-481B-BF40-BFF0C1890429}" xr6:coauthVersionLast="45" xr6:coauthVersionMax="45" xr10:uidLastSave="{00000000-0000-0000-0000-000000000000}"/>
  <bookViews>
    <workbookView xWindow="-120" yWindow="-120" windowWidth="20730" windowHeight="11160" tabRatio="898" firstSheet="14" activeTab="16" xr2:uid="{00000000-000D-0000-FFFF-FFFF00000000}"/>
  </bookViews>
  <sheets>
    <sheet name="17.10 KAPEEKA-NGOMA" sheetId="93" r:id="rId1"/>
    <sheet name="17.10 NGOMA-KAPEEKA" sheetId="94" r:id="rId2"/>
    <sheet name="18.10 KAPEEKA-NGOMA" sheetId="95" r:id="rId3"/>
    <sheet name="18.10 NGOMA KAPEEKA" sheetId="96" r:id="rId4"/>
    <sheet name="19.10 KAPEEKA-NGOMA 24h" sheetId="101" r:id="rId5"/>
    <sheet name="19.10 NGOMA-KAPEEKA-24h" sheetId="109" r:id="rId6"/>
    <sheet name="20.10 KAPEEKA-NGOMA" sheetId="97" r:id="rId7"/>
    <sheet name="20.10 NGOMA-KAPEEKA" sheetId="98" r:id="rId8"/>
    <sheet name="21.10 KAPEEKA-NGOMA-24h" sheetId="105" r:id="rId9"/>
    <sheet name="21.10 NGOMA KAPEEKA-24h" sheetId="110" r:id="rId10"/>
    <sheet name="22.10 KAPEEKA-NGOMA" sheetId="99" r:id="rId11"/>
    <sheet name="22.10 NGOMA-KAPEERA" sheetId="100" r:id="rId12"/>
    <sheet name="23.10 KAPEEKA-NGOMA" sheetId="103" r:id="rId13"/>
    <sheet name="23.10 NGOMA-KAPEEKA" sheetId="104" r:id="rId14"/>
    <sheet name="Avg Week KAPEEKA-NGOMA" sheetId="107" r:id="rId15"/>
    <sheet name="Avg Week NGOMA-KAPEEKA" sheetId="108" r:id="rId16"/>
    <sheet name="Avg Week KAPEEKA-NGOMA-2Dir" sheetId="111" r:id="rId17"/>
  </sheets>
  <definedNames>
    <definedName name="_xlnm.Print_Area" localSheetId="0">'17.10 KAPEEKA-NGOMA'!$A$1:$AF$60</definedName>
    <definedName name="_xlnm.Print_Area" localSheetId="1">'17.10 NGOMA-KAPEEKA'!$A$1:$AF$60</definedName>
    <definedName name="_xlnm.Print_Area" localSheetId="2">'18.10 KAPEEKA-NGOMA'!$A$1:$AF$60</definedName>
    <definedName name="_xlnm.Print_Area" localSheetId="3">'18.10 NGOMA KAPEEKA'!$A$1:$AF$60</definedName>
    <definedName name="_xlnm.Print_Area" localSheetId="4">'19.10 KAPEEKA-NGOMA 24h'!$A$1:$AF$108</definedName>
    <definedName name="_xlnm.Print_Area" localSheetId="5">'19.10 NGOMA-KAPEEKA-24h'!$A$1:$AF$108</definedName>
    <definedName name="_xlnm.Print_Area" localSheetId="6">'20.10 KAPEEKA-NGOMA'!$A$1:$AF$60</definedName>
    <definedName name="_xlnm.Print_Area" localSheetId="7">'20.10 NGOMA-KAPEEKA'!$A$1:$AF$60</definedName>
    <definedName name="_xlnm.Print_Area" localSheetId="8">'21.10 KAPEEKA-NGOMA-24h'!$A$1:$AF$108</definedName>
    <definedName name="_xlnm.Print_Area" localSheetId="9">'21.10 NGOMA KAPEEKA-24h'!$A$1:$AF$108</definedName>
    <definedName name="_xlnm.Print_Area" localSheetId="10">'22.10 KAPEEKA-NGOMA'!$A$1:$AF$60</definedName>
    <definedName name="_xlnm.Print_Area" localSheetId="11">'22.10 NGOMA-KAPEERA'!$A$1:$AF$60</definedName>
    <definedName name="_xlnm.Print_Area" localSheetId="12">'23.10 KAPEEKA-NGOMA'!$A$1:$AF$60</definedName>
    <definedName name="_xlnm.Print_Area" localSheetId="13">'23.10 NGOMA-KAPEEKA'!$A$1:$AF$60</definedName>
    <definedName name="_xlnm.Print_Area" localSheetId="14">'Avg Week KAPEEKA-NGOMA'!$A$1:$AF$108</definedName>
    <definedName name="_xlnm.Print_Area" localSheetId="16">'Avg Week KAPEEKA-NGOMA-2Dir'!$A$1:$AF$108</definedName>
    <definedName name="_xlnm.Print_Area" localSheetId="15">'Avg Week NGOMA-KAPEEKA'!$A$1:$AF$108</definedName>
    <definedName name="_xlnm.Print_Titles" localSheetId="0">'17.10 KAPEEKA-NGOMA'!$1:$8</definedName>
    <definedName name="_xlnm.Print_Titles" localSheetId="1">'17.10 NGOMA-KAPEEKA'!$1:$8</definedName>
    <definedName name="_xlnm.Print_Titles" localSheetId="2">'18.10 KAPEEKA-NGOMA'!$1:$8</definedName>
    <definedName name="_xlnm.Print_Titles" localSheetId="3">'18.10 NGOMA KAPEEKA'!$1:$8</definedName>
    <definedName name="_xlnm.Print_Titles" localSheetId="4">'19.10 KAPEEKA-NGOMA 24h'!$1:$8</definedName>
    <definedName name="_xlnm.Print_Titles" localSheetId="5">'19.10 NGOMA-KAPEEKA-24h'!$1:$8</definedName>
    <definedName name="_xlnm.Print_Titles" localSheetId="6">'20.10 KAPEEKA-NGOMA'!$1:$8</definedName>
    <definedName name="_xlnm.Print_Titles" localSheetId="7">'20.10 NGOMA-KAPEEKA'!$1:$8</definedName>
    <definedName name="_xlnm.Print_Titles" localSheetId="8">'21.10 KAPEEKA-NGOMA-24h'!$1:$8</definedName>
    <definedName name="_xlnm.Print_Titles" localSheetId="9">'21.10 NGOMA KAPEEKA-24h'!$1:$8</definedName>
    <definedName name="_xlnm.Print_Titles" localSheetId="10">'22.10 KAPEEKA-NGOMA'!$1:$8</definedName>
    <definedName name="_xlnm.Print_Titles" localSheetId="11">'22.10 NGOMA-KAPEERA'!$1:$8</definedName>
    <definedName name="_xlnm.Print_Titles" localSheetId="12">'23.10 KAPEEKA-NGOMA'!$1:$8</definedName>
    <definedName name="_xlnm.Print_Titles" localSheetId="13">'23.10 NGOMA-KAPEEKA'!$1:$8</definedName>
    <definedName name="_xlnm.Print_Titles" localSheetId="14">'Avg Week KAPEEKA-NGOMA'!$1:$8</definedName>
    <definedName name="_xlnm.Print_Titles" localSheetId="16">'Avg Week KAPEEKA-NGOMA-2Dir'!$1:$8</definedName>
    <definedName name="_xlnm.Print_Titles" localSheetId="15">'Avg Week NGOMA-KAPEEKA'!$1:$8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2" i="111" l="1"/>
  <c r="E62" i="111"/>
  <c r="U23" i="111" s="1"/>
  <c r="K73" i="111"/>
  <c r="L73" i="111"/>
  <c r="D79" i="111"/>
  <c r="E79" i="111"/>
  <c r="N81" i="111"/>
  <c r="D82" i="111"/>
  <c r="T28" i="111" s="1"/>
  <c r="M84" i="111"/>
  <c r="N84" i="111"/>
  <c r="L87" i="111"/>
  <c r="M87" i="111"/>
  <c r="K90" i="111"/>
  <c r="L90" i="111"/>
  <c r="AB30" i="111" s="1"/>
  <c r="J93" i="111"/>
  <c r="K93" i="111"/>
  <c r="I96" i="111"/>
  <c r="J96" i="111"/>
  <c r="H99" i="111"/>
  <c r="I99" i="111"/>
  <c r="H102" i="111"/>
  <c r="G105" i="111"/>
  <c r="C83" i="111"/>
  <c r="D58" i="108"/>
  <c r="E58" i="108"/>
  <c r="F58" i="108"/>
  <c r="G58" i="108"/>
  <c r="H58" i="108"/>
  <c r="X22" i="108" s="1"/>
  <c r="I58" i="108"/>
  <c r="J58" i="108"/>
  <c r="K58" i="108"/>
  <c r="AA22" i="108" s="1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T23" i="108" s="1"/>
  <c r="E62" i="108"/>
  <c r="F62" i="108"/>
  <c r="G62" i="108"/>
  <c r="H62" i="108"/>
  <c r="I62" i="108"/>
  <c r="J62" i="108"/>
  <c r="K62" i="108"/>
  <c r="L62" i="108"/>
  <c r="AB23" i="108" s="1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X24" i="108" s="1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T25" i="108" s="1"/>
  <c r="E70" i="108"/>
  <c r="F70" i="108"/>
  <c r="G70" i="108"/>
  <c r="H70" i="108"/>
  <c r="I70" i="108"/>
  <c r="J70" i="108"/>
  <c r="K70" i="108"/>
  <c r="L70" i="108"/>
  <c r="AB25" i="108" s="1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X26" i="108" s="1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T27" i="108" s="1"/>
  <c r="E78" i="108"/>
  <c r="F78" i="108"/>
  <c r="G78" i="108"/>
  <c r="H78" i="108"/>
  <c r="I78" i="108"/>
  <c r="J78" i="108"/>
  <c r="K78" i="108"/>
  <c r="L78" i="108"/>
  <c r="AB27" i="108" s="1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X28" i="108" s="1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T29" i="108" s="1"/>
  <c r="E86" i="108"/>
  <c r="F86" i="108"/>
  <c r="G86" i="108"/>
  <c r="H86" i="108"/>
  <c r="I86" i="108"/>
  <c r="J86" i="108"/>
  <c r="K86" i="108"/>
  <c r="L86" i="108"/>
  <c r="AB29" i="108" s="1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X30" i="108" s="1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T31" i="108" s="1"/>
  <c r="E94" i="108"/>
  <c r="F94" i="108"/>
  <c r="G94" i="108"/>
  <c r="H94" i="108"/>
  <c r="I94" i="108"/>
  <c r="J94" i="108"/>
  <c r="K94" i="108"/>
  <c r="L94" i="108"/>
  <c r="AB31" i="108" s="1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X32" i="108" s="1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W33" i="108" s="1"/>
  <c r="H102" i="108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F105" i="111" s="1"/>
  <c r="G105" i="108"/>
  <c r="H105" i="108"/>
  <c r="I105" i="108"/>
  <c r="J105" i="108"/>
  <c r="K105" i="108"/>
  <c r="L105" i="108"/>
  <c r="M105" i="108"/>
  <c r="N105" i="108"/>
  <c r="C59" i="108"/>
  <c r="C60" i="108"/>
  <c r="P60" i="108" s="1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P76" i="108" s="1"/>
  <c r="C77" i="108"/>
  <c r="C78" i="108"/>
  <c r="C79" i="108"/>
  <c r="C80" i="108"/>
  <c r="C81" i="108"/>
  <c r="C82" i="108"/>
  <c r="C82" i="111" s="1"/>
  <c r="C83" i="108"/>
  <c r="C84" i="108"/>
  <c r="C85" i="108"/>
  <c r="C86" i="108"/>
  <c r="C87" i="108"/>
  <c r="C88" i="108"/>
  <c r="C89" i="108"/>
  <c r="C90" i="108"/>
  <c r="C91" i="108"/>
  <c r="C92" i="108"/>
  <c r="P92" i="108" s="1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D59" i="111" s="1"/>
  <c r="E59" i="107"/>
  <c r="E59" i="111" s="1"/>
  <c r="F59" i="107"/>
  <c r="F59" i="111" s="1"/>
  <c r="G59" i="107"/>
  <c r="G59" i="111" s="1"/>
  <c r="H59" i="107"/>
  <c r="H59" i="111" s="1"/>
  <c r="I59" i="107"/>
  <c r="I59" i="111" s="1"/>
  <c r="J59" i="107"/>
  <c r="J59" i="111" s="1"/>
  <c r="K59" i="107"/>
  <c r="K59" i="111" s="1"/>
  <c r="L59" i="107"/>
  <c r="L59" i="111" s="1"/>
  <c r="M59" i="107"/>
  <c r="M59" i="111" s="1"/>
  <c r="N59" i="107"/>
  <c r="N59" i="111" s="1"/>
  <c r="D60" i="107"/>
  <c r="D60" i="111" s="1"/>
  <c r="E60" i="107"/>
  <c r="E60" i="111" s="1"/>
  <c r="F60" i="107"/>
  <c r="F60" i="111" s="1"/>
  <c r="G60" i="107"/>
  <c r="G60" i="111" s="1"/>
  <c r="H60" i="107"/>
  <c r="H60" i="111" s="1"/>
  <c r="O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N61" i="111" s="1"/>
  <c r="D62" i="107"/>
  <c r="E62" i="107"/>
  <c r="F62" i="107"/>
  <c r="G62" i="107"/>
  <c r="H62" i="107"/>
  <c r="I62" i="107"/>
  <c r="J62" i="107"/>
  <c r="K62" i="107"/>
  <c r="L62" i="107"/>
  <c r="M62" i="107"/>
  <c r="N62" i="107"/>
  <c r="D63" i="107"/>
  <c r="D63" i="111" s="1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N63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M67" i="111" s="1"/>
  <c r="N67" i="107"/>
  <c r="N67" i="111" s="1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D70" i="107"/>
  <c r="E70" i="107"/>
  <c r="F70" i="107"/>
  <c r="G70" i="107"/>
  <c r="H70" i="107"/>
  <c r="I70" i="107"/>
  <c r="J70" i="107"/>
  <c r="K70" i="107"/>
  <c r="L70" i="107"/>
  <c r="L70" i="111" s="1"/>
  <c r="AB25" i="111" s="1"/>
  <c r="M70" i="107"/>
  <c r="M70" i="111" s="1"/>
  <c r="AC25" i="111" s="1"/>
  <c r="N70" i="107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D72" i="107"/>
  <c r="D72" i="111" s="1"/>
  <c r="E72" i="107"/>
  <c r="E72" i="111" s="1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L73" i="107"/>
  <c r="M73" i="107"/>
  <c r="M73" i="111" s="1"/>
  <c r="N73" i="107"/>
  <c r="N73" i="111" s="1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N75" i="111" s="1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E79" i="107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M79" i="111" s="1"/>
  <c r="N79" i="107"/>
  <c r="N79" i="111" s="1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N84" i="107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M87" i="107"/>
  <c r="N87" i="107"/>
  <c r="N87" i="111" s="1"/>
  <c r="D88" i="107"/>
  <c r="D88" i="111" s="1"/>
  <c r="E88" i="107"/>
  <c r="E88" i="111" s="1"/>
  <c r="F88" i="107"/>
  <c r="F88" i="111" s="1"/>
  <c r="G88" i="107"/>
  <c r="G88" i="111" s="1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D89" i="107"/>
  <c r="D89" i="111" s="1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K93" i="107"/>
  <c r="L93" i="107"/>
  <c r="L93" i="111" s="1"/>
  <c r="M93" i="107"/>
  <c r="M93" i="111" s="1"/>
  <c r="N93" i="107"/>
  <c r="N93" i="111" s="1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D95" i="111" s="1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I96" i="107"/>
  <c r="J96" i="107"/>
  <c r="K96" i="107"/>
  <c r="K96" i="111" s="1"/>
  <c r="L96" i="107"/>
  <c r="L96" i="111" s="1"/>
  <c r="M96" i="107"/>
  <c r="M96" i="111" s="1"/>
  <c r="N96" i="107"/>
  <c r="N96" i="111" s="1"/>
  <c r="D97" i="107"/>
  <c r="D97" i="111" s="1"/>
  <c r="E97" i="107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N97" i="107"/>
  <c r="N97" i="111" s="1"/>
  <c r="D98" i="107"/>
  <c r="E98" i="107"/>
  <c r="F98" i="107"/>
  <c r="G98" i="107"/>
  <c r="H98" i="107"/>
  <c r="I98" i="107"/>
  <c r="J98" i="107"/>
  <c r="K98" i="107"/>
  <c r="K98" i="111" s="1"/>
  <c r="L98" i="107"/>
  <c r="M98" i="107"/>
  <c r="N98" i="107"/>
  <c r="D99" i="107"/>
  <c r="D99" i="111" s="1"/>
  <c r="E99" i="107"/>
  <c r="E99" i="111" s="1"/>
  <c r="F99" i="107"/>
  <c r="F99" i="111" s="1"/>
  <c r="G99" i="107"/>
  <c r="H99" i="107"/>
  <c r="I99" i="107"/>
  <c r="J99" i="107"/>
  <c r="J99" i="111" s="1"/>
  <c r="K99" i="107"/>
  <c r="K99" i="111" s="1"/>
  <c r="L99" i="107"/>
  <c r="L99" i="111" s="1"/>
  <c r="M99" i="107"/>
  <c r="M99" i="111" s="1"/>
  <c r="N99" i="107"/>
  <c r="N99" i="111" s="1"/>
  <c r="D100" i="107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M100" i="107"/>
  <c r="M100" i="111" s="1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L103" i="107"/>
  <c r="L103" i="111" s="1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F105" i="107"/>
  <c r="G105" i="107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N105" i="107"/>
  <c r="N105" i="111" s="1"/>
  <c r="C59" i="107"/>
  <c r="C60" i="107"/>
  <c r="C60" i="111" s="1"/>
  <c r="P60" i="111" s="1"/>
  <c r="C61" i="107"/>
  <c r="C62" i="107"/>
  <c r="C63" i="107"/>
  <c r="C64" i="107"/>
  <c r="C65" i="107"/>
  <c r="C66" i="107"/>
  <c r="C66" i="111" s="1"/>
  <c r="C67" i="107"/>
  <c r="C68" i="107"/>
  <c r="C69" i="107"/>
  <c r="C70" i="107"/>
  <c r="C71" i="107"/>
  <c r="C72" i="107"/>
  <c r="C73" i="107"/>
  <c r="C74" i="107"/>
  <c r="C74" i="111" s="1"/>
  <c r="C75" i="107"/>
  <c r="C76" i="107"/>
  <c r="C76" i="111" s="1"/>
  <c r="P76" i="111" s="1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2" i="111" s="1"/>
  <c r="C93" i="107"/>
  <c r="C94" i="107"/>
  <c r="C95" i="107"/>
  <c r="C96" i="107"/>
  <c r="C97" i="107"/>
  <c r="C98" i="107"/>
  <c r="C98" i="111" s="1"/>
  <c r="C99" i="107"/>
  <c r="C100" i="107"/>
  <c r="C101" i="107"/>
  <c r="C102" i="107"/>
  <c r="C103" i="107"/>
  <c r="C104" i="107"/>
  <c r="C105" i="107"/>
  <c r="C58" i="108"/>
  <c r="C58" i="107"/>
  <c r="C58" i="111" s="1"/>
  <c r="AA32" i="111" l="1"/>
  <c r="S24" i="111"/>
  <c r="P61" i="107"/>
  <c r="O61" i="107"/>
  <c r="C61" i="111"/>
  <c r="V32" i="107"/>
  <c r="F98" i="111"/>
  <c r="V32" i="111" s="1"/>
  <c r="O92" i="107"/>
  <c r="U30" i="107"/>
  <c r="E90" i="111"/>
  <c r="U30" i="111" s="1"/>
  <c r="AC26" i="107"/>
  <c r="M74" i="111"/>
  <c r="AC26" i="111" s="1"/>
  <c r="U24" i="107"/>
  <c r="E66" i="111"/>
  <c r="U24" i="111" s="1"/>
  <c r="Y23" i="107"/>
  <c r="I62" i="111"/>
  <c r="Y23" i="111" s="1"/>
  <c r="U22" i="107"/>
  <c r="E58" i="111"/>
  <c r="U22" i="111" s="1"/>
  <c r="P81" i="108"/>
  <c r="O81" i="108"/>
  <c r="G102" i="111"/>
  <c r="W33" i="111" s="1"/>
  <c r="AA30" i="111"/>
  <c r="T23" i="111"/>
  <c r="P92" i="107"/>
  <c r="S22" i="108"/>
  <c r="P58" i="108"/>
  <c r="O58" i="108"/>
  <c r="P99" i="107"/>
  <c r="O99" i="107"/>
  <c r="P91" i="107"/>
  <c r="O91" i="107"/>
  <c r="P83" i="107"/>
  <c r="O83" i="107"/>
  <c r="P75" i="107"/>
  <c r="O75" i="107"/>
  <c r="P67" i="107"/>
  <c r="O67" i="107"/>
  <c r="P59" i="107"/>
  <c r="O59" i="107"/>
  <c r="X33" i="107"/>
  <c r="AB32" i="107"/>
  <c r="T32" i="107"/>
  <c r="X31" i="107"/>
  <c r="AB30" i="107"/>
  <c r="T30" i="107"/>
  <c r="X29" i="107"/>
  <c r="AB28" i="107"/>
  <c r="T28" i="107"/>
  <c r="X27" i="107"/>
  <c r="AB26" i="107"/>
  <c r="L74" i="111"/>
  <c r="AB26" i="111" s="1"/>
  <c r="T26" i="107"/>
  <c r="D74" i="111"/>
  <c r="T26" i="111" s="1"/>
  <c r="X25" i="107"/>
  <c r="H70" i="111"/>
  <c r="X25" i="111" s="1"/>
  <c r="L66" i="111"/>
  <c r="AB24" i="111" s="1"/>
  <c r="AB24" i="107"/>
  <c r="T24" i="107"/>
  <c r="D66" i="111"/>
  <c r="T24" i="111" s="1"/>
  <c r="X23" i="107"/>
  <c r="H62" i="111"/>
  <c r="X23" i="111" s="1"/>
  <c r="AB22" i="107"/>
  <c r="L58" i="111"/>
  <c r="AB22" i="111" s="1"/>
  <c r="T22" i="107"/>
  <c r="D58" i="111"/>
  <c r="T22" i="111" s="1"/>
  <c r="P104" i="108"/>
  <c r="O104" i="108"/>
  <c r="P96" i="108"/>
  <c r="O96" i="108"/>
  <c r="P88" i="108"/>
  <c r="O88" i="108"/>
  <c r="P80" i="108"/>
  <c r="O80" i="108"/>
  <c r="P72" i="108"/>
  <c r="O72" i="108"/>
  <c r="P64" i="108"/>
  <c r="O64" i="108"/>
  <c r="AC33" i="108"/>
  <c r="U33" i="108"/>
  <c r="C75" i="111"/>
  <c r="L98" i="111"/>
  <c r="D90" i="111"/>
  <c r="T30" i="111" s="1"/>
  <c r="H78" i="111"/>
  <c r="X27" i="111" s="1"/>
  <c r="O60" i="108"/>
  <c r="O76" i="111"/>
  <c r="P101" i="107"/>
  <c r="O101" i="107"/>
  <c r="C101" i="111"/>
  <c r="P69" i="107"/>
  <c r="O69" i="107"/>
  <c r="C69" i="111"/>
  <c r="Z33" i="107"/>
  <c r="J102" i="111"/>
  <c r="Z33" i="111" s="1"/>
  <c r="V28" i="107"/>
  <c r="F82" i="111"/>
  <c r="V28" i="111" s="1"/>
  <c r="Z27" i="107"/>
  <c r="J78" i="111"/>
  <c r="Z27" i="111" s="1"/>
  <c r="S26" i="108"/>
  <c r="P74" i="108"/>
  <c r="O74" i="108"/>
  <c r="P92" i="111"/>
  <c r="O92" i="111"/>
  <c r="Y33" i="107"/>
  <c r="I102" i="111"/>
  <c r="Y33" i="111" s="1"/>
  <c r="AC32" i="107"/>
  <c r="M98" i="111"/>
  <c r="AC32" i="111" s="1"/>
  <c r="P97" i="108"/>
  <c r="O97" i="108"/>
  <c r="V33" i="108"/>
  <c r="Z32" i="108"/>
  <c r="S30" i="107"/>
  <c r="P90" i="107"/>
  <c r="AF30" i="107" s="1"/>
  <c r="O90" i="107"/>
  <c r="AE30" i="107" s="1"/>
  <c r="W33" i="107"/>
  <c r="W31" i="107"/>
  <c r="AA30" i="107"/>
  <c r="W29" i="107"/>
  <c r="AA28" i="107"/>
  <c r="W27" i="107"/>
  <c r="AA26" i="107"/>
  <c r="K74" i="111"/>
  <c r="AA26" i="111" s="1"/>
  <c r="W25" i="107"/>
  <c r="G70" i="111"/>
  <c r="W25" i="111" s="1"/>
  <c r="AA24" i="107"/>
  <c r="K66" i="111"/>
  <c r="AA24" i="111" s="1"/>
  <c r="W23" i="107"/>
  <c r="G62" i="111"/>
  <c r="W23" i="111" s="1"/>
  <c r="AA22" i="107"/>
  <c r="K58" i="111"/>
  <c r="AA22" i="111" s="1"/>
  <c r="P103" i="108"/>
  <c r="O103" i="108"/>
  <c r="P95" i="108"/>
  <c r="O95" i="108"/>
  <c r="P87" i="108"/>
  <c r="O87" i="108"/>
  <c r="P79" i="108"/>
  <c r="O79" i="108"/>
  <c r="P71" i="108"/>
  <c r="O71" i="108"/>
  <c r="P63" i="108"/>
  <c r="O63" i="108"/>
  <c r="AB33" i="108"/>
  <c r="T33" i="108"/>
  <c r="G78" i="111"/>
  <c r="W27" i="111" s="1"/>
  <c r="AD32" i="107"/>
  <c r="N98" i="111"/>
  <c r="AD32" i="111" s="1"/>
  <c r="V30" i="107"/>
  <c r="F90" i="111"/>
  <c r="V30" i="111" s="1"/>
  <c r="Z23" i="107"/>
  <c r="J62" i="111"/>
  <c r="Z23" i="111" s="1"/>
  <c r="AD22" i="107"/>
  <c r="N58" i="111"/>
  <c r="AD22" i="111" s="1"/>
  <c r="S28" i="108"/>
  <c r="P82" i="108"/>
  <c r="O82" i="108"/>
  <c r="Y29" i="107"/>
  <c r="I86" i="111"/>
  <c r="Y29" i="111" s="1"/>
  <c r="Y27" i="107"/>
  <c r="I78" i="111"/>
  <c r="Y27" i="111" s="1"/>
  <c r="P65" i="108"/>
  <c r="O65" i="108"/>
  <c r="P74" i="107"/>
  <c r="S26" i="107"/>
  <c r="O74" i="107"/>
  <c r="P105" i="107"/>
  <c r="O105" i="107"/>
  <c r="C105" i="111"/>
  <c r="P73" i="107"/>
  <c r="O73" i="107"/>
  <c r="C73" i="111"/>
  <c r="E105" i="111"/>
  <c r="V33" i="107"/>
  <c r="F102" i="111"/>
  <c r="V33" i="111" s="1"/>
  <c r="G99" i="111"/>
  <c r="Z30" i="107"/>
  <c r="J90" i="111"/>
  <c r="Z30" i="111" s="1"/>
  <c r="AD29" i="107"/>
  <c r="N86" i="111"/>
  <c r="AD29" i="111" s="1"/>
  <c r="V29" i="107"/>
  <c r="F86" i="111"/>
  <c r="V29" i="111" s="1"/>
  <c r="Z28" i="107"/>
  <c r="J82" i="111"/>
  <c r="Z28" i="111" s="1"/>
  <c r="AD27" i="107"/>
  <c r="N78" i="111"/>
  <c r="AD27" i="111" s="1"/>
  <c r="V27" i="107"/>
  <c r="F78" i="111"/>
  <c r="V27" i="111" s="1"/>
  <c r="Z26" i="107"/>
  <c r="J74" i="111"/>
  <c r="Z26" i="111" s="1"/>
  <c r="AD25" i="107"/>
  <c r="N70" i="111"/>
  <c r="AD25" i="111" s="1"/>
  <c r="V25" i="107"/>
  <c r="F70" i="111"/>
  <c r="V25" i="111" s="1"/>
  <c r="J66" i="111"/>
  <c r="Z24" i="111" s="1"/>
  <c r="Z24" i="107"/>
  <c r="AD23" i="107"/>
  <c r="N62" i="111"/>
  <c r="AD23" i="111" s="1"/>
  <c r="V23" i="107"/>
  <c r="F62" i="111"/>
  <c r="V23" i="111" s="1"/>
  <c r="Z22" i="107"/>
  <c r="J58" i="111"/>
  <c r="Z22" i="111" s="1"/>
  <c r="S33" i="108"/>
  <c r="P102" i="108"/>
  <c r="O102" i="108"/>
  <c r="S31" i="108"/>
  <c r="P94" i="108"/>
  <c r="AF31" i="108" s="1"/>
  <c r="O94" i="108"/>
  <c r="AE31" i="108" s="1"/>
  <c r="S29" i="108"/>
  <c r="P86" i="108"/>
  <c r="AF29" i="108" s="1"/>
  <c r="O86" i="108"/>
  <c r="AE29" i="108" s="1"/>
  <c r="S27" i="108"/>
  <c r="P78" i="108"/>
  <c r="O78" i="108"/>
  <c r="S25" i="108"/>
  <c r="P70" i="108"/>
  <c r="O70" i="108"/>
  <c r="S23" i="108"/>
  <c r="P62" i="108"/>
  <c r="AF23" i="108" s="1"/>
  <c r="O62" i="108"/>
  <c r="AA33" i="108"/>
  <c r="W32" i="108"/>
  <c r="AA31" i="108"/>
  <c r="W30" i="108"/>
  <c r="AA29" i="108"/>
  <c r="W28" i="108"/>
  <c r="AA27" i="108"/>
  <c r="W26" i="108"/>
  <c r="AA25" i="108"/>
  <c r="W24" i="108"/>
  <c r="AA23" i="108"/>
  <c r="W22" i="108"/>
  <c r="C99" i="111"/>
  <c r="C67" i="111"/>
  <c r="D98" i="111"/>
  <c r="T32" i="111" s="1"/>
  <c r="H86" i="111"/>
  <c r="X29" i="111" s="1"/>
  <c r="O60" i="107"/>
  <c r="O76" i="108"/>
  <c r="P93" i="107"/>
  <c r="O93" i="107"/>
  <c r="C93" i="111"/>
  <c r="Z31" i="107"/>
  <c r="J94" i="111"/>
  <c r="Z31" i="111" s="1"/>
  <c r="Z29" i="107"/>
  <c r="J86" i="111"/>
  <c r="Z29" i="111" s="1"/>
  <c r="V26" i="107"/>
  <c r="F74" i="111"/>
  <c r="V26" i="111" s="1"/>
  <c r="Z25" i="107"/>
  <c r="J70" i="111"/>
  <c r="Z25" i="111" s="1"/>
  <c r="S24" i="108"/>
  <c r="P66" i="108"/>
  <c r="AF24" i="108" s="1"/>
  <c r="O66" i="108"/>
  <c r="P83" i="111"/>
  <c r="O83" i="111"/>
  <c r="U32" i="107"/>
  <c r="E98" i="111"/>
  <c r="U32" i="111" s="1"/>
  <c r="Y25" i="107"/>
  <c r="I70" i="111"/>
  <c r="Y25" i="111" s="1"/>
  <c r="AC24" i="107"/>
  <c r="M66" i="111"/>
  <c r="AC24" i="111" s="1"/>
  <c r="AC22" i="107"/>
  <c r="M58" i="111"/>
  <c r="AC22" i="111" s="1"/>
  <c r="P89" i="108"/>
  <c r="O89" i="108"/>
  <c r="S28" i="107"/>
  <c r="P82" i="107"/>
  <c r="AF28" i="107" s="1"/>
  <c r="O82" i="107"/>
  <c r="AE28" i="107" s="1"/>
  <c r="AA32" i="107"/>
  <c r="P81" i="107"/>
  <c r="O81" i="107"/>
  <c r="C81" i="111"/>
  <c r="M105" i="111"/>
  <c r="AD33" i="107"/>
  <c r="N102" i="111"/>
  <c r="AD33" i="111" s="1"/>
  <c r="L100" i="111"/>
  <c r="M97" i="111"/>
  <c r="AD31" i="107"/>
  <c r="N94" i="111"/>
  <c r="AD31" i="111" s="1"/>
  <c r="V31" i="107"/>
  <c r="F94" i="111"/>
  <c r="V31" i="111" s="1"/>
  <c r="P88" i="107"/>
  <c r="O88" i="107"/>
  <c r="C88" i="111"/>
  <c r="P72" i="107"/>
  <c r="O72" i="107"/>
  <c r="C72" i="111"/>
  <c r="P64" i="107"/>
  <c r="C64" i="111"/>
  <c r="O64" i="107"/>
  <c r="AC33" i="107"/>
  <c r="M102" i="111"/>
  <c r="AC33" i="111" s="1"/>
  <c r="U33" i="107"/>
  <c r="E102" i="111"/>
  <c r="U33" i="111" s="1"/>
  <c r="Y32" i="107"/>
  <c r="I98" i="111"/>
  <c r="AC31" i="107"/>
  <c r="M94" i="111"/>
  <c r="AC31" i="111" s="1"/>
  <c r="U31" i="107"/>
  <c r="E94" i="111"/>
  <c r="U31" i="111" s="1"/>
  <c r="Y30" i="107"/>
  <c r="I90" i="111"/>
  <c r="Y30" i="111" s="1"/>
  <c r="AC29" i="107"/>
  <c r="M86" i="111"/>
  <c r="AC29" i="111" s="1"/>
  <c r="U29" i="107"/>
  <c r="E86" i="111"/>
  <c r="U29" i="111" s="1"/>
  <c r="Y28" i="107"/>
  <c r="I82" i="111"/>
  <c r="Y28" i="111" s="1"/>
  <c r="AC27" i="107"/>
  <c r="M78" i="111"/>
  <c r="AC27" i="111" s="1"/>
  <c r="U27" i="107"/>
  <c r="E78" i="111"/>
  <c r="U27" i="111" s="1"/>
  <c r="Y26" i="107"/>
  <c r="I74" i="111"/>
  <c r="Y26" i="111" s="1"/>
  <c r="AC25" i="107"/>
  <c r="U25" i="107"/>
  <c r="E70" i="111"/>
  <c r="U25" i="111" s="1"/>
  <c r="Y24" i="107"/>
  <c r="I66" i="111"/>
  <c r="Y24" i="111" s="1"/>
  <c r="AC23" i="107"/>
  <c r="M62" i="111"/>
  <c r="AC23" i="111" s="1"/>
  <c r="U23" i="107"/>
  <c r="Y22" i="107"/>
  <c r="I58" i="111"/>
  <c r="Y22" i="111" s="1"/>
  <c r="P101" i="108"/>
  <c r="O101" i="108"/>
  <c r="P93" i="108"/>
  <c r="O93" i="108"/>
  <c r="P85" i="108"/>
  <c r="O85" i="108"/>
  <c r="P77" i="108"/>
  <c r="O77" i="108"/>
  <c r="P69" i="108"/>
  <c r="O69" i="108"/>
  <c r="P61" i="108"/>
  <c r="O61" i="108"/>
  <c r="Z33" i="108"/>
  <c r="AD32" i="108"/>
  <c r="AD22" i="108"/>
  <c r="G86" i="111"/>
  <c r="W29" i="111" s="1"/>
  <c r="P60" i="107"/>
  <c r="P85" i="107"/>
  <c r="O85" i="107"/>
  <c r="C85" i="111"/>
  <c r="AD30" i="107"/>
  <c r="N90" i="111"/>
  <c r="AD30" i="111" s="1"/>
  <c r="AD26" i="107"/>
  <c r="N74" i="111"/>
  <c r="AD26" i="111" s="1"/>
  <c r="AD24" i="107"/>
  <c r="N66" i="111"/>
  <c r="AD24" i="111" s="1"/>
  <c r="S32" i="108"/>
  <c r="P98" i="108"/>
  <c r="O98" i="108"/>
  <c r="C100" i="111"/>
  <c r="P100" i="107"/>
  <c r="O100" i="107"/>
  <c r="C68" i="111"/>
  <c r="P68" i="107"/>
  <c r="O68" i="107"/>
  <c r="AC28" i="107"/>
  <c r="M82" i="111"/>
  <c r="AC28" i="111" s="1"/>
  <c r="U26" i="107"/>
  <c r="E74" i="111"/>
  <c r="U26" i="111" s="1"/>
  <c r="AD33" i="108"/>
  <c r="P89" i="107"/>
  <c r="O89" i="107"/>
  <c r="C89" i="111"/>
  <c r="H104" i="111"/>
  <c r="X33" i="111" s="1"/>
  <c r="D100" i="111"/>
  <c r="H96" i="111"/>
  <c r="P104" i="107"/>
  <c r="O104" i="107"/>
  <c r="C104" i="111"/>
  <c r="P103" i="107"/>
  <c r="O103" i="107"/>
  <c r="C103" i="111"/>
  <c r="P87" i="107"/>
  <c r="O87" i="107"/>
  <c r="C87" i="111"/>
  <c r="P71" i="107"/>
  <c r="O71" i="107"/>
  <c r="C71" i="111"/>
  <c r="P63" i="107"/>
  <c r="O63" i="107"/>
  <c r="C63" i="111"/>
  <c r="AB33" i="107"/>
  <c r="L102" i="111"/>
  <c r="AB33" i="111" s="1"/>
  <c r="T33" i="107"/>
  <c r="D102" i="111"/>
  <c r="T33" i="111" s="1"/>
  <c r="X32" i="107"/>
  <c r="H98" i="111"/>
  <c r="X32" i="111" s="1"/>
  <c r="AB31" i="107"/>
  <c r="L94" i="111"/>
  <c r="AB31" i="111" s="1"/>
  <c r="T31" i="107"/>
  <c r="D94" i="111"/>
  <c r="T31" i="111" s="1"/>
  <c r="X30" i="107"/>
  <c r="H90" i="111"/>
  <c r="X30" i="111" s="1"/>
  <c r="AB29" i="107"/>
  <c r="L86" i="111"/>
  <c r="AB29" i="111" s="1"/>
  <c r="T29" i="107"/>
  <c r="D86" i="111"/>
  <c r="T29" i="111" s="1"/>
  <c r="X28" i="107"/>
  <c r="H82" i="111"/>
  <c r="X28" i="111" s="1"/>
  <c r="AB27" i="107"/>
  <c r="L78" i="111"/>
  <c r="AB27" i="111" s="1"/>
  <c r="T27" i="107"/>
  <c r="D78" i="111"/>
  <c r="T27" i="111" s="1"/>
  <c r="X26" i="107"/>
  <c r="H74" i="111"/>
  <c r="X26" i="111" s="1"/>
  <c r="AB25" i="107"/>
  <c r="T25" i="107"/>
  <c r="D70" i="111"/>
  <c r="T25" i="111" s="1"/>
  <c r="X24" i="107"/>
  <c r="H66" i="111"/>
  <c r="X24" i="111" s="1"/>
  <c r="AB23" i="107"/>
  <c r="L62" i="111"/>
  <c r="AB23" i="111" s="1"/>
  <c r="T23" i="107"/>
  <c r="X22" i="107"/>
  <c r="H58" i="111"/>
  <c r="X22" i="111" s="1"/>
  <c r="P100" i="108"/>
  <c r="O100" i="108"/>
  <c r="P84" i="108"/>
  <c r="O84" i="108"/>
  <c r="P68" i="108"/>
  <c r="O68" i="108"/>
  <c r="Y33" i="108"/>
  <c r="C91" i="111"/>
  <c r="C59" i="111"/>
  <c r="H94" i="111"/>
  <c r="L82" i="111"/>
  <c r="AB28" i="111" s="1"/>
  <c r="O76" i="107"/>
  <c r="O92" i="108"/>
  <c r="P77" i="107"/>
  <c r="O77" i="107"/>
  <c r="C77" i="111"/>
  <c r="AD28" i="107"/>
  <c r="N82" i="111"/>
  <c r="AD28" i="111" s="1"/>
  <c r="V24" i="107"/>
  <c r="F66" i="111"/>
  <c r="V24" i="111" s="1"/>
  <c r="V22" i="107"/>
  <c r="F58" i="111"/>
  <c r="V22" i="111" s="1"/>
  <c r="S30" i="108"/>
  <c r="P90" i="108"/>
  <c r="O90" i="108"/>
  <c r="AE30" i="108" s="1"/>
  <c r="S22" i="107"/>
  <c r="P58" i="107"/>
  <c r="AF22" i="107" s="1"/>
  <c r="O58" i="107"/>
  <c r="AE22" i="107" s="1"/>
  <c r="C84" i="111"/>
  <c r="P84" i="107"/>
  <c r="O84" i="107"/>
  <c r="Y31" i="107"/>
  <c r="I94" i="111"/>
  <c r="Y31" i="111" s="1"/>
  <c r="AC30" i="107"/>
  <c r="M90" i="111"/>
  <c r="AC30" i="111" s="1"/>
  <c r="U28" i="107"/>
  <c r="E82" i="111"/>
  <c r="U28" i="111" s="1"/>
  <c r="P105" i="108"/>
  <c r="O105" i="108"/>
  <c r="P73" i="108"/>
  <c r="O73" i="108"/>
  <c r="S32" i="107"/>
  <c r="P98" i="107"/>
  <c r="O98" i="107"/>
  <c r="S24" i="107"/>
  <c r="P66" i="107"/>
  <c r="O66" i="107"/>
  <c r="P97" i="107"/>
  <c r="O97" i="107"/>
  <c r="C97" i="111"/>
  <c r="P65" i="107"/>
  <c r="O65" i="107"/>
  <c r="C65" i="111"/>
  <c r="K103" i="111"/>
  <c r="I101" i="111"/>
  <c r="Z32" i="107"/>
  <c r="J98" i="111"/>
  <c r="Z32" i="111" s="1"/>
  <c r="E97" i="111"/>
  <c r="P96" i="107"/>
  <c r="C96" i="111"/>
  <c r="O96" i="107"/>
  <c r="P80" i="107"/>
  <c r="C80" i="111"/>
  <c r="O80" i="107"/>
  <c r="P95" i="107"/>
  <c r="O95" i="107"/>
  <c r="C95" i="111"/>
  <c r="P79" i="107"/>
  <c r="O79" i="107"/>
  <c r="C79" i="111"/>
  <c r="S33" i="107"/>
  <c r="P102" i="107"/>
  <c r="AF33" i="107" s="1"/>
  <c r="O102" i="107"/>
  <c r="AE33" i="107" s="1"/>
  <c r="C102" i="111"/>
  <c r="S31" i="107"/>
  <c r="P94" i="107"/>
  <c r="O94" i="107"/>
  <c r="C94" i="111"/>
  <c r="S29" i="107"/>
  <c r="P86" i="107"/>
  <c r="AF29" i="107" s="1"/>
  <c r="O86" i="107"/>
  <c r="AE29" i="107" s="1"/>
  <c r="C86" i="111"/>
  <c r="S27" i="107"/>
  <c r="P78" i="107"/>
  <c r="AF27" i="107" s="1"/>
  <c r="O78" i="107"/>
  <c r="C78" i="111"/>
  <c r="S25" i="107"/>
  <c r="P70" i="107"/>
  <c r="O70" i="107"/>
  <c r="AE25" i="107" s="1"/>
  <c r="C70" i="111"/>
  <c r="S23" i="107"/>
  <c r="P62" i="107"/>
  <c r="O62" i="107"/>
  <c r="C62" i="111"/>
  <c r="AA33" i="107"/>
  <c r="K102" i="111"/>
  <c r="AA33" i="111" s="1"/>
  <c r="W32" i="107"/>
  <c r="G98" i="111"/>
  <c r="W32" i="111" s="1"/>
  <c r="AA31" i="107"/>
  <c r="K94" i="111"/>
  <c r="AA31" i="111" s="1"/>
  <c r="W30" i="107"/>
  <c r="G90" i="111"/>
  <c r="W30" i="111" s="1"/>
  <c r="AA29" i="107"/>
  <c r="K86" i="111"/>
  <c r="AA29" i="111" s="1"/>
  <c r="W28" i="107"/>
  <c r="G82" i="111"/>
  <c r="W28" i="111" s="1"/>
  <c r="AA27" i="107"/>
  <c r="K78" i="111"/>
  <c r="AA27" i="111" s="1"/>
  <c r="W26" i="107"/>
  <c r="G74" i="111"/>
  <c r="W26" i="111" s="1"/>
  <c r="AA25" i="107"/>
  <c r="K70" i="111"/>
  <c r="AA25" i="111" s="1"/>
  <c r="W24" i="107"/>
  <c r="G66" i="111"/>
  <c r="W24" i="111" s="1"/>
  <c r="AA23" i="107"/>
  <c r="K62" i="111"/>
  <c r="AA23" i="111" s="1"/>
  <c r="W22" i="107"/>
  <c r="G58" i="111"/>
  <c r="W22" i="111" s="1"/>
  <c r="P99" i="108"/>
  <c r="O99" i="108"/>
  <c r="P91" i="108"/>
  <c r="O91" i="108"/>
  <c r="P83" i="108"/>
  <c r="O83" i="108"/>
  <c r="P75" i="108"/>
  <c r="O75" i="108"/>
  <c r="P67" i="108"/>
  <c r="O67" i="108"/>
  <c r="P59" i="108"/>
  <c r="O59" i="108"/>
  <c r="X33" i="108"/>
  <c r="AB28" i="108"/>
  <c r="C90" i="111"/>
  <c r="G94" i="111"/>
  <c r="W31" i="111" s="1"/>
  <c r="K82" i="111"/>
  <c r="AA28" i="111" s="1"/>
  <c r="P76" i="107"/>
  <c r="V32" i="108"/>
  <c r="Z31" i="108"/>
  <c r="AD30" i="108"/>
  <c r="V30" i="108"/>
  <c r="Z29" i="108"/>
  <c r="AD28" i="108"/>
  <c r="V28" i="108"/>
  <c r="Z27" i="108"/>
  <c r="AD26" i="108"/>
  <c r="V26" i="108"/>
  <c r="Z25" i="108"/>
  <c r="AD24" i="108"/>
  <c r="V24" i="108"/>
  <c r="Z23" i="108"/>
  <c r="V22" i="108"/>
  <c r="AC32" i="108"/>
  <c r="U32" i="108"/>
  <c r="Y31" i="108"/>
  <c r="AC30" i="108"/>
  <c r="U30" i="108"/>
  <c r="Y29" i="108"/>
  <c r="AC28" i="108"/>
  <c r="U28" i="108"/>
  <c r="Y27" i="108"/>
  <c r="AC26" i="108"/>
  <c r="U26" i="108"/>
  <c r="Y25" i="108"/>
  <c r="AC24" i="108"/>
  <c r="U24" i="108"/>
  <c r="Y23" i="108"/>
  <c r="AC22" i="108"/>
  <c r="U22" i="108"/>
  <c r="AB32" i="108"/>
  <c r="T32" i="108"/>
  <c r="X31" i="108"/>
  <c r="AB30" i="108"/>
  <c r="T30" i="108"/>
  <c r="X29" i="108"/>
  <c r="T28" i="108"/>
  <c r="X27" i="108"/>
  <c r="AB26" i="108"/>
  <c r="T26" i="108"/>
  <c r="X25" i="108"/>
  <c r="AB24" i="108"/>
  <c r="T24" i="108"/>
  <c r="X23" i="108"/>
  <c r="AB22" i="108"/>
  <c r="T22" i="108"/>
  <c r="AA32" i="108"/>
  <c r="W31" i="108"/>
  <c r="AA30" i="108"/>
  <c r="W29" i="108"/>
  <c r="AA28" i="108"/>
  <c r="W27" i="108"/>
  <c r="AA26" i="108"/>
  <c r="W25" i="108"/>
  <c r="AA24" i="108"/>
  <c r="W23" i="108"/>
  <c r="AD31" i="108"/>
  <c r="V31" i="108"/>
  <c r="Z30" i="108"/>
  <c r="AD29" i="108"/>
  <c r="V29" i="108"/>
  <c r="Z28" i="108"/>
  <c r="AD27" i="108"/>
  <c r="V27" i="108"/>
  <c r="Z26" i="108"/>
  <c r="AD25" i="108"/>
  <c r="V25" i="108"/>
  <c r="Z24" i="108"/>
  <c r="AD23" i="108"/>
  <c r="V23" i="108"/>
  <c r="Z22" i="108"/>
  <c r="Y32" i="108"/>
  <c r="AC31" i="108"/>
  <c r="U31" i="108"/>
  <c r="Y30" i="108"/>
  <c r="AC29" i="108"/>
  <c r="U29" i="108"/>
  <c r="Y28" i="108"/>
  <c r="AC27" i="108"/>
  <c r="U27" i="108"/>
  <c r="Y26" i="108"/>
  <c r="AC25" i="108"/>
  <c r="U25" i="108"/>
  <c r="Y24" i="108"/>
  <c r="AC23" i="108"/>
  <c r="U23" i="108"/>
  <c r="Y22" i="108"/>
  <c r="O34" i="99"/>
  <c r="P80" i="111" l="1"/>
  <c r="O80" i="111"/>
  <c r="AE24" i="107"/>
  <c r="P100" i="111"/>
  <c r="O100" i="111"/>
  <c r="P93" i="111"/>
  <c r="O93" i="111"/>
  <c r="P99" i="111"/>
  <c r="O99" i="111"/>
  <c r="AE25" i="108"/>
  <c r="P105" i="111"/>
  <c r="O105" i="111"/>
  <c r="P101" i="111"/>
  <c r="O101" i="111"/>
  <c r="P75" i="111"/>
  <c r="O75" i="111"/>
  <c r="S26" i="111"/>
  <c r="S32" i="111"/>
  <c r="P59" i="111"/>
  <c r="O59" i="111"/>
  <c r="AF30" i="108"/>
  <c r="P74" i="111"/>
  <c r="S23" i="111"/>
  <c r="P62" i="111"/>
  <c r="AF23" i="111" s="1"/>
  <c r="O62" i="111"/>
  <c r="S27" i="111"/>
  <c r="P78" i="111"/>
  <c r="O78" i="111"/>
  <c r="O94" i="111"/>
  <c r="S31" i="111"/>
  <c r="P94" i="111"/>
  <c r="AF31" i="111" s="1"/>
  <c r="P79" i="111"/>
  <c r="O79" i="111"/>
  <c r="AF24" i="107"/>
  <c r="P63" i="111"/>
  <c r="O63" i="111"/>
  <c r="AE32" i="108"/>
  <c r="P64" i="111"/>
  <c r="O64" i="111"/>
  <c r="AF25" i="108"/>
  <c r="O58" i="111"/>
  <c r="O98" i="111"/>
  <c r="AF25" i="107"/>
  <c r="P87" i="111"/>
  <c r="O87" i="111"/>
  <c r="P67" i="111"/>
  <c r="O67" i="111"/>
  <c r="S30" i="111"/>
  <c r="O90" i="111"/>
  <c r="P90" i="111"/>
  <c r="AE23" i="107"/>
  <c r="AE27" i="107"/>
  <c r="AE31" i="107"/>
  <c r="P65" i="111"/>
  <c r="O65" i="111"/>
  <c r="P84" i="111"/>
  <c r="O84" i="111"/>
  <c r="P103" i="111"/>
  <c r="O103" i="111"/>
  <c r="AF32" i="108"/>
  <c r="P85" i="111"/>
  <c r="O85" i="111"/>
  <c r="Y32" i="111"/>
  <c r="P81" i="111"/>
  <c r="O81" i="111"/>
  <c r="P58" i="111"/>
  <c r="P82" i="111"/>
  <c r="O74" i="111"/>
  <c r="P77" i="111"/>
  <c r="O77" i="111"/>
  <c r="AB32" i="111"/>
  <c r="P98" i="111"/>
  <c r="AF32" i="111" s="1"/>
  <c r="AF23" i="107"/>
  <c r="AF31" i="107"/>
  <c r="P96" i="111"/>
  <c r="O96" i="111"/>
  <c r="AE32" i="107"/>
  <c r="P89" i="111"/>
  <c r="O89" i="111"/>
  <c r="P72" i="111"/>
  <c r="O72" i="111"/>
  <c r="AE27" i="108"/>
  <c r="AE26" i="107"/>
  <c r="P61" i="111"/>
  <c r="O61" i="111"/>
  <c r="S22" i="111"/>
  <c r="S28" i="111"/>
  <c r="AF22" i="108"/>
  <c r="O91" i="111"/>
  <c r="P91" i="111"/>
  <c r="P95" i="111"/>
  <c r="O95" i="111"/>
  <c r="AF32" i="107"/>
  <c r="P71" i="111"/>
  <c r="O71" i="111"/>
  <c r="AF27" i="108"/>
  <c r="AE33" i="108"/>
  <c r="AE28" i="108"/>
  <c r="AE26" i="108"/>
  <c r="O66" i="111"/>
  <c r="O82" i="111"/>
  <c r="P88" i="111"/>
  <c r="O88" i="111"/>
  <c r="P70" i="111"/>
  <c r="AF25" i="111" s="1"/>
  <c r="O70" i="111"/>
  <c r="S25" i="111"/>
  <c r="O86" i="111"/>
  <c r="S29" i="111"/>
  <c r="P86" i="111"/>
  <c r="O102" i="111"/>
  <c r="AE33" i="111" s="1"/>
  <c r="P102" i="111"/>
  <c r="AF33" i="111" s="1"/>
  <c r="S33" i="111"/>
  <c r="P97" i="111"/>
  <c r="O97" i="111"/>
  <c r="X31" i="111"/>
  <c r="P104" i="111"/>
  <c r="O104" i="111"/>
  <c r="P68" i="111"/>
  <c r="O68" i="111"/>
  <c r="AE24" i="108"/>
  <c r="AE23" i="108"/>
  <c r="AF33" i="108"/>
  <c r="P73" i="111"/>
  <c r="O73" i="111"/>
  <c r="AF26" i="107"/>
  <c r="AF28" i="108"/>
  <c r="AF26" i="108"/>
  <c r="P69" i="111"/>
  <c r="O69" i="111"/>
  <c r="AE22" i="108"/>
  <c r="P66" i="111"/>
  <c r="C3" i="94"/>
  <c r="AF26" i="111" l="1"/>
  <c r="AF29" i="111"/>
  <c r="AE28" i="111"/>
  <c r="AE31" i="111"/>
  <c r="AF24" i="111"/>
  <c r="AE24" i="111"/>
  <c r="AE26" i="111"/>
  <c r="AE27" i="111"/>
  <c r="AE29" i="111"/>
  <c r="AF28" i="111"/>
  <c r="AF27" i="111"/>
  <c r="AF22" i="111"/>
  <c r="AF30" i="111"/>
  <c r="AE32" i="111"/>
  <c r="AE25" i="111"/>
  <c r="AE30" i="111"/>
  <c r="AE22" i="111"/>
  <c r="AE23" i="111"/>
  <c r="K6" i="98"/>
  <c r="K6" i="99" s="1"/>
  <c r="K6" i="100" s="1"/>
  <c r="K6" i="101" s="1"/>
  <c r="K6" i="109" s="1"/>
  <c r="K6" i="105" s="1"/>
  <c r="K6" i="110" s="1"/>
  <c r="K6" i="103" s="1"/>
  <c r="K5" i="10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G5" i="96"/>
  <c r="K6" i="95"/>
  <c r="K5" i="95"/>
  <c r="G5" i="95"/>
  <c r="K6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5" i="107" l="1"/>
  <c r="K5" i="108"/>
  <c r="K5" i="111" s="1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Y19" i="105"/>
  <c r="X19" i="105"/>
  <c r="X39" i="105" s="1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V19" i="103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C19" i="99"/>
  <c r="AB19" i="99"/>
  <c r="AA19" i="99"/>
  <c r="AA27" i="99" s="1"/>
  <c r="Z19" i="99"/>
  <c r="Y19" i="99"/>
  <c r="X19" i="99"/>
  <c r="W19" i="99"/>
  <c r="W27" i="99" s="1"/>
  <c r="V19" i="99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AA26" i="95" s="1"/>
  <c r="W13" i="95"/>
  <c r="V13" i="95"/>
  <c r="U13" i="95"/>
  <c r="T13" i="95"/>
  <c r="AD21" i="95"/>
  <c r="AC20" i="95"/>
  <c r="T19" i="95"/>
  <c r="V27" i="103" l="1"/>
  <c r="AD27" i="103"/>
  <c r="Z39" i="105"/>
  <c r="X27" i="97"/>
  <c r="X26" i="98"/>
  <c r="V27" i="99"/>
  <c r="AD27" i="99"/>
  <c r="V39" i="101"/>
  <c r="W27" i="103"/>
  <c r="AA39" i="105"/>
  <c r="U39" i="109"/>
  <c r="AD38" i="101"/>
  <c r="AA39" i="101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Z12" i="108" s="1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X19" i="108" s="1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V20" i="108" s="1"/>
  <c r="H50" i="108"/>
  <c r="X20" i="108" s="1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V21" i="108" s="1"/>
  <c r="H54" i="108"/>
  <c r="X21" i="108" s="1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W11" i="108" s="1"/>
  <c r="I14" i="108"/>
  <c r="Y11" i="108" s="1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Y14" i="108" s="1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S38" i="110" s="1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Y19" i="108" s="1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4" i="108" s="1"/>
  <c r="AA15" i="94"/>
  <c r="K30" i="108"/>
  <c r="AA16" i="94"/>
  <c r="K34" i="108"/>
  <c r="AA16" i="108" s="1"/>
  <c r="AA18" i="94"/>
  <c r="K42" i="108"/>
  <c r="M54" i="108"/>
  <c r="M50" i="108"/>
  <c r="M46" i="108"/>
  <c r="C42" i="108"/>
  <c r="S18" i="108" s="1"/>
  <c r="C34" i="108"/>
  <c r="S16" i="108" s="1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U21" i="108" s="1"/>
  <c r="E50" i="108"/>
  <c r="U20" i="108" s="1"/>
  <c r="C46" i="108"/>
  <c r="S19" i="108" s="1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V11" i="108" s="1"/>
  <c r="J15" i="108"/>
  <c r="N16" i="108"/>
  <c r="F18" i="108"/>
  <c r="V12" i="108" s="1"/>
  <c r="J19" i="108"/>
  <c r="N20" i="108"/>
  <c r="J23" i="108"/>
  <c r="N24" i="108"/>
  <c r="F24" i="108"/>
  <c r="Z13" i="109"/>
  <c r="P12" i="110"/>
  <c r="F16" i="108"/>
  <c r="J17" i="108"/>
  <c r="I54" i="108"/>
  <c r="Y21" i="108" s="1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S13" i="108" s="1"/>
  <c r="E22" i="108"/>
  <c r="U13" i="108" s="1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W21" i="108" s="1"/>
  <c r="C54" i="108"/>
  <c r="S21" i="108" s="1"/>
  <c r="K50" i="108"/>
  <c r="AA20" i="108" s="1"/>
  <c r="G50" i="108"/>
  <c r="C50" i="108"/>
  <c r="K46" i="108"/>
  <c r="G46" i="108"/>
  <c r="G38" i="108"/>
  <c r="G30" i="108"/>
  <c r="W15" i="108" s="1"/>
  <c r="G26" i="108"/>
  <c r="W14" i="108" s="1"/>
  <c r="F22" i="108"/>
  <c r="H12" i="108"/>
  <c r="L12" i="108"/>
  <c r="D13" i="108"/>
  <c r="H13" i="108"/>
  <c r="L13" i="108"/>
  <c r="D14" i="108"/>
  <c r="H14" i="108"/>
  <c r="X11" i="108" s="1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X13" i="108" s="1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V14" i="108" s="1"/>
  <c r="H26" i="108"/>
  <c r="X14" i="108" s="1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V15" i="108" s="1"/>
  <c r="H30" i="108"/>
  <c r="X15" i="108" s="1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V16" i="108" s="1"/>
  <c r="H34" i="108"/>
  <c r="X16" i="108" s="1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V17" i="108" s="1"/>
  <c r="H38" i="108"/>
  <c r="X17" i="108" s="1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V18" i="108" s="1"/>
  <c r="H42" i="108"/>
  <c r="X18" i="108" s="1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X26" i="103" s="1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W16" i="107" s="1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AD20" i="107" s="1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X10" i="107" l="1"/>
  <c r="H106" i="107"/>
  <c r="W20" i="107"/>
  <c r="X38" i="108"/>
  <c r="X35" i="108"/>
  <c r="U35" i="108"/>
  <c r="AD18" i="107"/>
  <c r="AD17" i="107"/>
  <c r="AD16" i="107"/>
  <c r="AD15" i="107"/>
  <c r="V15" i="107"/>
  <c r="AD14" i="107"/>
  <c r="V14" i="107"/>
  <c r="AD13" i="107"/>
  <c r="V13" i="107"/>
  <c r="AD12" i="107"/>
  <c r="V12" i="107"/>
  <c r="AD11" i="107"/>
  <c r="V11" i="107"/>
  <c r="T10" i="108"/>
  <c r="D106" i="108"/>
  <c r="V39" i="108"/>
  <c r="V36" i="108"/>
  <c r="T13" i="108"/>
  <c r="T11" i="108"/>
  <c r="S14" i="108"/>
  <c r="S38" i="108" s="1"/>
  <c r="U19" i="108"/>
  <c r="U14" i="108"/>
  <c r="U38" i="108" s="1"/>
  <c r="W12" i="108"/>
  <c r="AA10" i="108"/>
  <c r="K106" i="108"/>
  <c r="W15" i="107"/>
  <c r="Y12" i="108"/>
  <c r="AC10" i="108"/>
  <c r="M106" i="108"/>
  <c r="X39" i="108"/>
  <c r="X36" i="108"/>
  <c r="V17" i="107"/>
  <c r="AC21" i="107"/>
  <c r="U21" i="107"/>
  <c r="AC20" i="107"/>
  <c r="U20" i="107"/>
  <c r="AC19" i="107"/>
  <c r="U19" i="107"/>
  <c r="AC18" i="107"/>
  <c r="U18" i="107"/>
  <c r="AC17" i="107"/>
  <c r="U17" i="107"/>
  <c r="AC16" i="107"/>
  <c r="U16" i="107"/>
  <c r="AC15" i="107"/>
  <c r="U15" i="107"/>
  <c r="AC14" i="107"/>
  <c r="U14" i="107"/>
  <c r="AC13" i="107"/>
  <c r="U13" i="107"/>
  <c r="AC12" i="107"/>
  <c r="U12" i="107"/>
  <c r="AC11" i="107"/>
  <c r="U11" i="107"/>
  <c r="X23" i="103"/>
  <c r="AF33" i="101"/>
  <c r="X10" i="108"/>
  <c r="H106" i="108"/>
  <c r="T19" i="108"/>
  <c r="T18" i="108"/>
  <c r="T17" i="108"/>
  <c r="T16" i="108"/>
  <c r="T15" i="108"/>
  <c r="T14" i="108"/>
  <c r="W17" i="108"/>
  <c r="Y20" i="108"/>
  <c r="Y39" i="108" s="1"/>
  <c r="AC17" i="108"/>
  <c r="AC15" i="108"/>
  <c r="U12" i="108"/>
  <c r="U11" i="108"/>
  <c r="Y10" i="108"/>
  <c r="I106" i="108"/>
  <c r="T21" i="108"/>
  <c r="T20" i="108"/>
  <c r="W21" i="107"/>
  <c r="W17" i="107"/>
  <c r="W11" i="107"/>
  <c r="W10" i="107"/>
  <c r="G106" i="107"/>
  <c r="V19" i="107"/>
  <c r="V18" i="107"/>
  <c r="AD10" i="107"/>
  <c r="N106" i="107"/>
  <c r="AC10" i="107"/>
  <c r="M106" i="107"/>
  <c r="U10" i="107"/>
  <c r="E106" i="107"/>
  <c r="AB21" i="107"/>
  <c r="T21" i="107"/>
  <c r="AB20" i="107"/>
  <c r="T20" i="107"/>
  <c r="AB19" i="107"/>
  <c r="T19" i="107"/>
  <c r="AB18" i="107"/>
  <c r="T18" i="107"/>
  <c r="AB17" i="107"/>
  <c r="T17" i="107"/>
  <c r="AB16" i="107"/>
  <c r="T16" i="107"/>
  <c r="AB15" i="107"/>
  <c r="T15" i="107"/>
  <c r="AB14" i="107"/>
  <c r="T14" i="107"/>
  <c r="AB13" i="107"/>
  <c r="T13" i="107"/>
  <c r="AB12" i="107"/>
  <c r="T12" i="107"/>
  <c r="AB11" i="107"/>
  <c r="T11" i="107"/>
  <c r="Z26" i="95"/>
  <c r="AB10" i="108"/>
  <c r="L106" i="108"/>
  <c r="AB12" i="108"/>
  <c r="W19" i="108"/>
  <c r="AA21" i="108"/>
  <c r="AA15" i="108"/>
  <c r="AA17" i="108"/>
  <c r="Y15" i="108"/>
  <c r="S12" i="108"/>
  <c r="S11" i="108"/>
  <c r="W10" i="108"/>
  <c r="G106" i="108"/>
  <c r="W14" i="107"/>
  <c r="Y36" i="108"/>
  <c r="AD21" i="107"/>
  <c r="V20" i="107"/>
  <c r="T10" i="107"/>
  <c r="D106" i="107"/>
  <c r="AA21" i="107"/>
  <c r="S21" i="107"/>
  <c r="AA20" i="107"/>
  <c r="S20" i="107"/>
  <c r="AA19" i="107"/>
  <c r="S19" i="107"/>
  <c r="AA18" i="107"/>
  <c r="S18" i="107"/>
  <c r="AA17" i="107"/>
  <c r="S17" i="107"/>
  <c r="AA16" i="107"/>
  <c r="S16" i="107"/>
  <c r="AA15" i="107"/>
  <c r="S15" i="107"/>
  <c r="AA14" i="107"/>
  <c r="S14" i="107"/>
  <c r="AA13" i="107"/>
  <c r="S13" i="107"/>
  <c r="AA12" i="107"/>
  <c r="S12" i="107"/>
  <c r="AA11" i="107"/>
  <c r="S11" i="107"/>
  <c r="AF28" i="101"/>
  <c r="S38" i="105"/>
  <c r="S10" i="108"/>
  <c r="C106" i="108"/>
  <c r="X12" i="108"/>
  <c r="AA19" i="108"/>
  <c r="AC13" i="108"/>
  <c r="AC19" i="108"/>
  <c r="AC18" i="108"/>
  <c r="Y17" i="108"/>
  <c r="AC16" i="108"/>
  <c r="U15" i="108"/>
  <c r="U10" i="108"/>
  <c r="E106" i="108"/>
  <c r="AD13" i="108"/>
  <c r="W18" i="107"/>
  <c r="W12" i="107"/>
  <c r="V10" i="108"/>
  <c r="F106" i="108"/>
  <c r="AD19" i="107"/>
  <c r="V16" i="107"/>
  <c r="V10" i="107"/>
  <c r="F106" i="107"/>
  <c r="AB10" i="107"/>
  <c r="L106" i="107"/>
  <c r="AA10" i="107"/>
  <c r="K106" i="107"/>
  <c r="Z21" i="107"/>
  <c r="Z20" i="107"/>
  <c r="Z19" i="107"/>
  <c r="Z18" i="107"/>
  <c r="Z17" i="107"/>
  <c r="Z16" i="107"/>
  <c r="Z15" i="107"/>
  <c r="Z14" i="107"/>
  <c r="Z13" i="107"/>
  <c r="Z12" i="107"/>
  <c r="Z11" i="107"/>
  <c r="U38" i="109"/>
  <c r="AD18" i="108"/>
  <c r="AD17" i="108"/>
  <c r="AD16" i="108"/>
  <c r="AD15" i="108"/>
  <c r="AD14" i="108"/>
  <c r="T12" i="108"/>
  <c r="S20" i="108"/>
  <c r="S39" i="108" s="1"/>
  <c r="AA13" i="108"/>
  <c r="AC20" i="108"/>
  <c r="Y18" i="108"/>
  <c r="U17" i="108"/>
  <c r="Y16" i="108"/>
  <c r="AD21" i="108"/>
  <c r="AD20" i="108"/>
  <c r="AD19" i="108"/>
  <c r="Z13" i="108"/>
  <c r="W19" i="107"/>
  <c r="W13" i="107"/>
  <c r="Y21" i="107"/>
  <c r="Y19" i="107"/>
  <c r="Y17" i="107"/>
  <c r="Y16" i="107"/>
  <c r="Y15" i="107"/>
  <c r="Y14" i="107"/>
  <c r="Y13" i="107"/>
  <c r="Y12" i="107"/>
  <c r="Y11" i="107"/>
  <c r="AF32" i="101"/>
  <c r="AB18" i="108"/>
  <c r="AB17" i="108"/>
  <c r="AB16" i="108"/>
  <c r="AB15" i="108"/>
  <c r="AB14" i="108"/>
  <c r="W20" i="108"/>
  <c r="Y13" i="108"/>
  <c r="S15" i="108"/>
  <c r="AD10" i="108"/>
  <c r="N106" i="108"/>
  <c r="AC21" i="108"/>
  <c r="W18" i="108"/>
  <c r="W16" i="108"/>
  <c r="AC12" i="108"/>
  <c r="AC11" i="108"/>
  <c r="AB21" i="108"/>
  <c r="AB20" i="108"/>
  <c r="AB19" i="108"/>
  <c r="AD11" i="108"/>
  <c r="S10" i="107"/>
  <c r="C106" i="107"/>
  <c r="V21" i="107"/>
  <c r="Z10" i="107"/>
  <c r="J106" i="107"/>
  <c r="Y20" i="107"/>
  <c r="Y18" i="107"/>
  <c r="Y10" i="107"/>
  <c r="I106" i="107"/>
  <c r="X21" i="107"/>
  <c r="X20" i="107"/>
  <c r="X19" i="107"/>
  <c r="X18" i="107"/>
  <c r="X17" i="107"/>
  <c r="X16" i="107"/>
  <c r="X15" i="107"/>
  <c r="X14" i="107"/>
  <c r="X13" i="107"/>
  <c r="X12" i="107"/>
  <c r="X11" i="107"/>
  <c r="Z18" i="108"/>
  <c r="Z17" i="108"/>
  <c r="Z16" i="108"/>
  <c r="Z15" i="108"/>
  <c r="Z14" i="108"/>
  <c r="AB13" i="108"/>
  <c r="AB11" i="108"/>
  <c r="V13" i="108"/>
  <c r="W13" i="108"/>
  <c r="S17" i="108"/>
  <c r="Z10" i="108"/>
  <c r="J106" i="108"/>
  <c r="AA18" i="108"/>
  <c r="U18" i="108"/>
  <c r="U16" i="108"/>
  <c r="AC14" i="108"/>
  <c r="AA12" i="108"/>
  <c r="AA11" i="108"/>
  <c r="Z21" i="108"/>
  <c r="Z20" i="108"/>
  <c r="Z19" i="108"/>
  <c r="AD12" i="108"/>
  <c r="Z11" i="10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AA18" i="111" s="1"/>
  <c r="I42" i="111"/>
  <c r="E42" i="111"/>
  <c r="C42" i="111"/>
  <c r="S18" i="111" s="1"/>
  <c r="K41" i="111"/>
  <c r="G41" i="111"/>
  <c r="C41" i="111"/>
  <c r="K40" i="111"/>
  <c r="G40" i="111"/>
  <c r="C40" i="111"/>
  <c r="K39" i="111"/>
  <c r="G39" i="111"/>
  <c r="C39" i="111"/>
  <c r="K38" i="111"/>
  <c r="AA17" i="111" s="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T21" i="111" s="1"/>
  <c r="L53" i="111"/>
  <c r="H53" i="111"/>
  <c r="D53" i="111"/>
  <c r="L52" i="111"/>
  <c r="H52" i="111"/>
  <c r="D52" i="111"/>
  <c r="L51" i="111"/>
  <c r="H51" i="111"/>
  <c r="D51" i="111"/>
  <c r="L50" i="111"/>
  <c r="H50" i="111"/>
  <c r="X20" i="111" s="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T19" i="111" s="1"/>
  <c r="L45" i="111"/>
  <c r="H45" i="111"/>
  <c r="D45" i="111"/>
  <c r="L44" i="111"/>
  <c r="H44" i="111"/>
  <c r="D44" i="111"/>
  <c r="L43" i="111"/>
  <c r="H43" i="111"/>
  <c r="D43" i="111"/>
  <c r="L42" i="111"/>
  <c r="H42" i="111"/>
  <c r="X18" i="111" s="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T17" i="111" s="1"/>
  <c r="L37" i="111"/>
  <c r="H37" i="111"/>
  <c r="D37" i="111"/>
  <c r="L36" i="111"/>
  <c r="H36" i="111"/>
  <c r="D36" i="111"/>
  <c r="L35" i="111"/>
  <c r="H35" i="111"/>
  <c r="D35" i="111"/>
  <c r="L34" i="111"/>
  <c r="AB16" i="111" s="1"/>
  <c r="H34" i="111"/>
  <c r="X16" i="111" s="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T15" i="111" s="1"/>
  <c r="L29" i="111"/>
  <c r="H29" i="111"/>
  <c r="D29" i="111"/>
  <c r="L28" i="111"/>
  <c r="H28" i="111"/>
  <c r="D28" i="111"/>
  <c r="L27" i="111"/>
  <c r="H27" i="111"/>
  <c r="D27" i="111"/>
  <c r="L26" i="111"/>
  <c r="AB14" i="111" s="1"/>
  <c r="H26" i="111"/>
  <c r="X14" i="111" s="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X12" i="111" s="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W13" i="111" s="1"/>
  <c r="C22" i="111"/>
  <c r="S13" i="111" s="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W11" i="111" s="1"/>
  <c r="C14" i="111"/>
  <c r="S11" i="111" s="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AD21" i="111" s="1"/>
  <c r="J54" i="111"/>
  <c r="Z21" i="111" s="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AD19" i="111" s="1"/>
  <c r="J46" i="111"/>
  <c r="Z19" i="111" s="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AD17" i="111" s="1"/>
  <c r="J38" i="111"/>
  <c r="Z17" i="111" s="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AD15" i="111" s="1"/>
  <c r="J30" i="111"/>
  <c r="Z15" i="111" s="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Z13" i="111" s="1"/>
  <c r="F22" i="111"/>
  <c r="D22" i="111"/>
  <c r="J21" i="111"/>
  <c r="H21" i="111"/>
  <c r="N20" i="111"/>
  <c r="L20" i="111"/>
  <c r="J20" i="111"/>
  <c r="D20" i="111"/>
  <c r="N19" i="111"/>
  <c r="H19" i="111"/>
  <c r="N18" i="111"/>
  <c r="AD12" i="111" s="1"/>
  <c r="L18" i="111"/>
  <c r="AB12" i="111" s="1"/>
  <c r="F18" i="111"/>
  <c r="V12" i="111" s="1"/>
  <c r="D18" i="111"/>
  <c r="N17" i="111"/>
  <c r="H17" i="111"/>
  <c r="L16" i="111"/>
  <c r="J16" i="111"/>
  <c r="F16" i="111"/>
  <c r="D16" i="111"/>
  <c r="J15" i="111"/>
  <c r="H15" i="111"/>
  <c r="F15" i="111"/>
  <c r="L14" i="111"/>
  <c r="AB11" i="111" s="1"/>
  <c r="J14" i="111"/>
  <c r="Z11" i="111" s="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S21" i="111" s="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W20" i="111" s="1"/>
  <c r="G49" i="111"/>
  <c r="E49" i="111"/>
  <c r="K48" i="111"/>
  <c r="E48" i="111"/>
  <c r="C48" i="111"/>
  <c r="M47" i="111"/>
  <c r="I47" i="111"/>
  <c r="G47" i="111"/>
  <c r="M46" i="111"/>
  <c r="K46" i="111"/>
  <c r="AA19" i="111" s="1"/>
  <c r="I46" i="111"/>
  <c r="Y19" i="111" s="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W16" i="111" s="1"/>
  <c r="C34" i="111"/>
  <c r="S16" i="111" s="1"/>
  <c r="M33" i="111"/>
  <c r="I33" i="111"/>
  <c r="E33" i="111"/>
  <c r="M32" i="111"/>
  <c r="I32" i="111"/>
  <c r="E32" i="111"/>
  <c r="M31" i="111"/>
  <c r="I31" i="111"/>
  <c r="E31" i="111"/>
  <c r="M30" i="111"/>
  <c r="AC15" i="111" s="1"/>
  <c r="E30" i="111"/>
  <c r="U15" i="111" s="1"/>
  <c r="C30" i="111"/>
  <c r="S15" i="111" s="1"/>
  <c r="K29" i="111"/>
  <c r="G29" i="111"/>
  <c r="C29" i="111"/>
  <c r="K28" i="111"/>
  <c r="G28" i="111"/>
  <c r="C28" i="111"/>
  <c r="K27" i="111"/>
  <c r="G27" i="111"/>
  <c r="C27" i="111"/>
  <c r="I26" i="111"/>
  <c r="Y14" i="111" s="1"/>
  <c r="G26" i="111"/>
  <c r="W14" i="111" s="1"/>
  <c r="M25" i="111"/>
  <c r="I25" i="111"/>
  <c r="E25" i="111"/>
  <c r="M24" i="111"/>
  <c r="I24" i="111"/>
  <c r="E24" i="111"/>
  <c r="M23" i="111"/>
  <c r="I23" i="111"/>
  <c r="E23" i="111"/>
  <c r="M22" i="111"/>
  <c r="I22" i="111"/>
  <c r="Y13" i="111" s="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U12" i="111" s="1"/>
  <c r="M17" i="111"/>
  <c r="I17" i="111"/>
  <c r="E17" i="111"/>
  <c r="M16" i="111"/>
  <c r="I16" i="111"/>
  <c r="E16" i="111"/>
  <c r="M15" i="111"/>
  <c r="I15" i="111"/>
  <c r="E15" i="111"/>
  <c r="M14" i="111"/>
  <c r="I14" i="111"/>
  <c r="Y11" i="111" s="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AF13" i="108" s="1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AF14" i="108" s="1"/>
  <c r="U24" i="94"/>
  <c r="AC26" i="94"/>
  <c r="O51" i="108"/>
  <c r="O47" i="108"/>
  <c r="O26" i="108"/>
  <c r="O22" i="108"/>
  <c r="O18" i="108"/>
  <c r="P54" i="108"/>
  <c r="AF21" i="108" s="1"/>
  <c r="O50" i="108"/>
  <c r="O44" i="108"/>
  <c r="O46" i="108"/>
  <c r="AE19" i="108" s="1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AF18" i="108" s="1"/>
  <c r="P34" i="108"/>
  <c r="O54" i="108"/>
  <c r="O42" i="108"/>
  <c r="AE18" i="108" s="1"/>
  <c r="O34" i="108"/>
  <c r="AE16" i="108" s="1"/>
  <c r="P18" i="108"/>
  <c r="AF12" i="108" s="1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AF21" i="107" s="1"/>
  <c r="O54" i="107"/>
  <c r="P53" i="107"/>
  <c r="O53" i="107"/>
  <c r="O52" i="107"/>
  <c r="P52" i="107"/>
  <c r="O51" i="107"/>
  <c r="P51" i="107"/>
  <c r="O50" i="107"/>
  <c r="AE20" i="107" s="1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AE18" i="107" s="1"/>
  <c r="P42" i="107"/>
  <c r="P41" i="107"/>
  <c r="O41" i="107"/>
  <c r="P40" i="107"/>
  <c r="P39" i="107"/>
  <c r="O38" i="107"/>
  <c r="P37" i="107"/>
  <c r="O36" i="107"/>
  <c r="O35" i="107"/>
  <c r="O34" i="107"/>
  <c r="AE16" i="107" s="1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AE14" i="107" s="1"/>
  <c r="O23" i="107"/>
  <c r="O21" i="107"/>
  <c r="O18" i="107"/>
  <c r="O16" i="107"/>
  <c r="O14" i="107"/>
  <c r="O12" i="107"/>
  <c r="P26" i="107"/>
  <c r="P38" i="107"/>
  <c r="P30" i="107"/>
  <c r="AF15" i="107" s="1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W37" i="107" l="1"/>
  <c r="W40" i="107"/>
  <c r="W41" i="107"/>
  <c r="W42" i="107" s="1"/>
  <c r="W34" i="107"/>
  <c r="U39" i="107"/>
  <c r="U36" i="107"/>
  <c r="AF16" i="107"/>
  <c r="AE19" i="107"/>
  <c r="AF11" i="107"/>
  <c r="AF20" i="108"/>
  <c r="AF15" i="108"/>
  <c r="AE20" i="108"/>
  <c r="AC11" i="111"/>
  <c r="AC13" i="111"/>
  <c r="AC18" i="111"/>
  <c r="AD10" i="111"/>
  <c r="N106" i="111"/>
  <c r="V13" i="111"/>
  <c r="V15" i="111"/>
  <c r="V17" i="111"/>
  <c r="V19" i="111"/>
  <c r="V21" i="111"/>
  <c r="AC14" i="111"/>
  <c r="AA16" i="111"/>
  <c r="T14" i="111"/>
  <c r="T16" i="111"/>
  <c r="T18" i="111"/>
  <c r="T20" i="111"/>
  <c r="U10" i="111"/>
  <c r="E106" i="111"/>
  <c r="AA21" i="111"/>
  <c r="Y34" i="107"/>
  <c r="Y41" i="107"/>
  <c r="Y42" i="107" s="1"/>
  <c r="Y40" i="107"/>
  <c r="Y37" i="107"/>
  <c r="W36" i="107"/>
  <c r="W39" i="107"/>
  <c r="AB41" i="107"/>
  <c r="AB40" i="107"/>
  <c r="AB42" i="107" s="1"/>
  <c r="AB37" i="107"/>
  <c r="AB34" i="107"/>
  <c r="AC39" i="108"/>
  <c r="AC36" i="108"/>
  <c r="S36" i="107"/>
  <c r="S39" i="107"/>
  <c r="AB41" i="108"/>
  <c r="AB37" i="108"/>
  <c r="AB40" i="108"/>
  <c r="AB42" i="108" s="1"/>
  <c r="AB34" i="108"/>
  <c r="Y41" i="108"/>
  <c r="Y34" i="108"/>
  <c r="Y40" i="108"/>
  <c r="Y42" i="108" s="1"/>
  <c r="Y37" i="108"/>
  <c r="V38" i="107"/>
  <c r="V35" i="107"/>
  <c r="Z38" i="108"/>
  <c r="Z35" i="108"/>
  <c r="AC38" i="108"/>
  <c r="AC35" i="108"/>
  <c r="AF17" i="107"/>
  <c r="AE17" i="107"/>
  <c r="AF13" i="107"/>
  <c r="AE12" i="108"/>
  <c r="AF19" i="108"/>
  <c r="S19" i="111"/>
  <c r="AB13" i="111"/>
  <c r="W15" i="111"/>
  <c r="W38" i="111" s="1"/>
  <c r="Z12" i="111"/>
  <c r="AB18" i="111"/>
  <c r="AB20" i="111"/>
  <c r="AC10" i="111"/>
  <c r="M106" i="111"/>
  <c r="U18" i="111"/>
  <c r="S20" i="111"/>
  <c r="D106" i="111"/>
  <c r="T10" i="111"/>
  <c r="AD41" i="108"/>
  <c r="AD40" i="108"/>
  <c r="AD37" i="108"/>
  <c r="AD34" i="108"/>
  <c r="AD39" i="108"/>
  <c r="AD36" i="108"/>
  <c r="Z39" i="107"/>
  <c r="Z36" i="107"/>
  <c r="V41" i="107"/>
  <c r="V42" i="107" s="1"/>
  <c r="V40" i="107"/>
  <c r="V34" i="107"/>
  <c r="V37" i="107"/>
  <c r="AA39" i="108"/>
  <c r="AA36" i="108"/>
  <c r="T39" i="107"/>
  <c r="T36" i="107"/>
  <c r="AC39" i="107"/>
  <c r="AC36" i="107"/>
  <c r="U39" i="108"/>
  <c r="U36" i="108"/>
  <c r="AE11" i="108"/>
  <c r="Z36" i="111"/>
  <c r="S38" i="111"/>
  <c r="AA38" i="108"/>
  <c r="AA35" i="108"/>
  <c r="V22" i="93"/>
  <c r="AE24" i="98"/>
  <c r="AE10" i="107"/>
  <c r="O106" i="107"/>
  <c r="H108" i="107" s="1"/>
  <c r="AF14" i="107"/>
  <c r="AF12" i="107"/>
  <c r="AE13" i="108"/>
  <c r="Y12" i="111"/>
  <c r="AC16" i="111"/>
  <c r="W17" i="111"/>
  <c r="U21" i="111"/>
  <c r="T12" i="111"/>
  <c r="AA11" i="111"/>
  <c r="AA13" i="111"/>
  <c r="Y15" i="111"/>
  <c r="S10" i="111"/>
  <c r="C106" i="111"/>
  <c r="Y18" i="111"/>
  <c r="U20" i="111"/>
  <c r="Z10" i="111"/>
  <c r="J106" i="111"/>
  <c r="W38" i="108"/>
  <c r="W35" i="108"/>
  <c r="Y39" i="107"/>
  <c r="Y36" i="107"/>
  <c r="U41" i="108"/>
  <c r="U40" i="108"/>
  <c r="U42" i="108" s="1"/>
  <c r="U37" i="108"/>
  <c r="U34" i="108"/>
  <c r="AB39" i="107"/>
  <c r="AB36" i="107"/>
  <c r="AC34" i="107"/>
  <c r="AC37" i="107"/>
  <c r="AC40" i="107"/>
  <c r="AC41" i="107"/>
  <c r="AC42" i="107" s="1"/>
  <c r="AC41" i="108"/>
  <c r="AC34" i="108"/>
  <c r="AC37" i="108"/>
  <c r="AC40" i="108"/>
  <c r="AC42" i="108" s="1"/>
  <c r="T41" i="108"/>
  <c r="T40" i="108"/>
  <c r="T42" i="108" s="1"/>
  <c r="T37" i="108"/>
  <c r="T34" i="108"/>
  <c r="Y10" i="111"/>
  <c r="I106" i="111"/>
  <c r="AD38" i="108"/>
  <c r="AD35" i="108"/>
  <c r="AF10" i="107"/>
  <c r="P106" i="107"/>
  <c r="AE14" i="108"/>
  <c r="P106" i="108"/>
  <c r="H107" i="108" s="1"/>
  <c r="AF10" i="108"/>
  <c r="AC12" i="111"/>
  <c r="Y17" i="111"/>
  <c r="AC21" i="111"/>
  <c r="V14" i="111"/>
  <c r="V16" i="111"/>
  <c r="V18" i="111"/>
  <c r="V20" i="111"/>
  <c r="AA15" i="111"/>
  <c r="T39" i="111"/>
  <c r="T36" i="111"/>
  <c r="AA20" i="111"/>
  <c r="AA36" i="111" s="1"/>
  <c r="AB10" i="111"/>
  <c r="L106" i="111"/>
  <c r="V38" i="108"/>
  <c r="V35" i="108"/>
  <c r="X39" i="107"/>
  <c r="X36" i="107"/>
  <c r="Z41" i="107"/>
  <c r="Z40" i="107"/>
  <c r="Z37" i="107"/>
  <c r="Z34" i="107"/>
  <c r="Y38" i="108"/>
  <c r="Y35" i="108"/>
  <c r="Z38" i="107"/>
  <c r="Z35" i="107"/>
  <c r="AD39" i="107"/>
  <c r="AD36" i="107"/>
  <c r="S38" i="107"/>
  <c r="S35" i="107"/>
  <c r="T39" i="108"/>
  <c r="T36" i="108"/>
  <c r="S35" i="108"/>
  <c r="AE13" i="107"/>
  <c r="AB39" i="108"/>
  <c r="AB36" i="108"/>
  <c r="U34" i="107"/>
  <c r="U40" i="107"/>
  <c r="U37" i="107"/>
  <c r="U41" i="107"/>
  <c r="U42" i="107" s="1"/>
  <c r="AD38" i="107"/>
  <c r="AD35" i="107"/>
  <c r="AE11" i="107"/>
  <c r="AE21" i="108"/>
  <c r="AE36" i="108" s="1"/>
  <c r="AE15" i="108"/>
  <c r="AC17" i="111"/>
  <c r="AC19" i="111"/>
  <c r="Z14" i="111"/>
  <c r="Z16" i="111"/>
  <c r="Z38" i="111" s="1"/>
  <c r="Z18" i="111"/>
  <c r="Z35" i="111" s="1"/>
  <c r="Z20" i="111"/>
  <c r="Z39" i="111" s="1"/>
  <c r="S12" i="111"/>
  <c r="S14" i="111"/>
  <c r="S35" i="111" s="1"/>
  <c r="V11" i="111"/>
  <c r="X13" i="111"/>
  <c r="X15" i="111"/>
  <c r="X17" i="111"/>
  <c r="X19" i="111"/>
  <c r="X21" i="111"/>
  <c r="S17" i="111"/>
  <c r="AC20" i="111"/>
  <c r="S36" i="108"/>
  <c r="S41" i="108"/>
  <c r="S40" i="108"/>
  <c r="S42" i="108" s="1"/>
  <c r="S37" i="108"/>
  <c r="S34" i="108"/>
  <c r="AA38" i="107"/>
  <c r="AA35" i="107"/>
  <c r="W39" i="108"/>
  <c r="W36" i="108"/>
  <c r="AD41" i="107"/>
  <c r="AD40" i="107"/>
  <c r="AD34" i="107"/>
  <c r="AD37" i="107"/>
  <c r="U35" i="107"/>
  <c r="U38" i="107"/>
  <c r="AF16" i="108"/>
  <c r="AF38" i="108" s="1"/>
  <c r="AE39" i="108"/>
  <c r="AE10" i="108"/>
  <c r="O106" i="108"/>
  <c r="H108" i="108" s="1"/>
  <c r="W10" i="111"/>
  <c r="G106" i="111"/>
  <c r="U11" i="111"/>
  <c r="U13" i="111"/>
  <c r="V10" i="111"/>
  <c r="F106" i="111"/>
  <c r="AD14" i="111"/>
  <c r="AD16" i="111"/>
  <c r="AD18" i="111"/>
  <c r="AD20" i="111"/>
  <c r="AD39" i="111" s="1"/>
  <c r="W12" i="111"/>
  <c r="U14" i="111"/>
  <c r="U16" i="111"/>
  <c r="X11" i="111"/>
  <c r="AD13" i="111"/>
  <c r="AB15" i="111"/>
  <c r="AB17" i="111"/>
  <c r="AB19" i="111"/>
  <c r="AB21" i="111"/>
  <c r="U17" i="111"/>
  <c r="U19" i="111"/>
  <c r="W21" i="111"/>
  <c r="AB38" i="108"/>
  <c r="AB35" i="108"/>
  <c r="X38" i="107"/>
  <c r="X35" i="107"/>
  <c r="Y35" i="107"/>
  <c r="Y38" i="107"/>
  <c r="AA37" i="107"/>
  <c r="AA41" i="107"/>
  <c r="AA34" i="107"/>
  <c r="AA40" i="107"/>
  <c r="V41" i="108"/>
  <c r="V34" i="108"/>
  <c r="V37" i="108"/>
  <c r="V40" i="108"/>
  <c r="W41" i="108"/>
  <c r="W40" i="108"/>
  <c r="W37" i="108"/>
  <c r="W34" i="108"/>
  <c r="T38" i="107"/>
  <c r="T35" i="107"/>
  <c r="X41" i="108"/>
  <c r="X34" i="108"/>
  <c r="X40" i="108"/>
  <c r="X42" i="108" s="1"/>
  <c r="X37" i="108"/>
  <c r="AC35" i="107"/>
  <c r="AC38" i="107"/>
  <c r="AE17" i="108"/>
  <c r="Z41" i="108"/>
  <c r="Z40" i="108"/>
  <c r="Z42" i="108" s="1"/>
  <c r="Z37" i="108"/>
  <c r="Z34" i="108"/>
  <c r="AA36" i="107"/>
  <c r="AA39" i="107"/>
  <c r="AE15" i="107"/>
  <c r="AE12" i="107"/>
  <c r="AF18" i="107"/>
  <c r="AF19" i="107"/>
  <c r="AF20" i="107"/>
  <c r="AE21" i="107"/>
  <c r="AF11" i="108"/>
  <c r="AF17" i="108"/>
  <c r="AF35" i="108" s="1"/>
  <c r="S42" i="110"/>
  <c r="AA10" i="111"/>
  <c r="K106" i="111"/>
  <c r="W18" i="111"/>
  <c r="Y20" i="111"/>
  <c r="Y39" i="111" s="1"/>
  <c r="X10" i="111"/>
  <c r="H106" i="111"/>
  <c r="T11" i="111"/>
  <c r="T13" i="111"/>
  <c r="AA12" i="111"/>
  <c r="AA14" i="111"/>
  <c r="Y16" i="111"/>
  <c r="Y35" i="111" s="1"/>
  <c r="AD11" i="111"/>
  <c r="W19" i="111"/>
  <c r="Y21" i="111"/>
  <c r="Y36" i="111" s="1"/>
  <c r="Z39" i="108"/>
  <c r="Z36" i="108"/>
  <c r="S37" i="107"/>
  <c r="S34" i="107"/>
  <c r="S41" i="107"/>
  <c r="S42" i="107" s="1"/>
  <c r="S40" i="107"/>
  <c r="W38" i="107"/>
  <c r="W35" i="107"/>
  <c r="T41" i="107"/>
  <c r="T34" i="107"/>
  <c r="T37" i="107"/>
  <c r="T40" i="107"/>
  <c r="AB38" i="107"/>
  <c r="AB35" i="107"/>
  <c r="V39" i="107"/>
  <c r="V36" i="107"/>
  <c r="AA41" i="108"/>
  <c r="AA34" i="108"/>
  <c r="AA37" i="108"/>
  <c r="AA40" i="108"/>
  <c r="T38" i="108"/>
  <c r="T35" i="108"/>
  <c r="X41" i="107"/>
  <c r="X37" i="107"/>
  <c r="X40" i="107"/>
  <c r="X42" i="107" s="1"/>
  <c r="X34" i="107"/>
  <c r="O47" i="111"/>
  <c r="O52" i="111"/>
  <c r="O12" i="111"/>
  <c r="P26" i="111"/>
  <c r="P46" i="111"/>
  <c r="P10" i="111"/>
  <c r="O22" i="111"/>
  <c r="AE13" i="111" s="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AE14" i="111" s="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C107" i="107"/>
  <c r="F107" i="105"/>
  <c r="E107" i="105"/>
  <c r="D107" i="105"/>
  <c r="C107" i="105"/>
  <c r="AF35" i="105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D41" i="111" l="1"/>
  <c r="AD34" i="111"/>
  <c r="AD40" i="111"/>
  <c r="AD37" i="111"/>
  <c r="AF13" i="111"/>
  <c r="AF19" i="111"/>
  <c r="W36" i="111"/>
  <c r="W39" i="111"/>
  <c r="X41" i="111"/>
  <c r="X40" i="111"/>
  <c r="X37" i="111"/>
  <c r="X34" i="111"/>
  <c r="AD38" i="111"/>
  <c r="AD35" i="111"/>
  <c r="AE41" i="108"/>
  <c r="AE40" i="108"/>
  <c r="AE34" i="108"/>
  <c r="AE37" i="108"/>
  <c r="AE37" i="107"/>
  <c r="AE40" i="107"/>
  <c r="AE41" i="107"/>
  <c r="AE42" i="107" s="1"/>
  <c r="AE34" i="107"/>
  <c r="W35" i="111"/>
  <c r="AF38" i="107"/>
  <c r="AF35" i="107"/>
  <c r="AC35" i="111"/>
  <c r="AC38" i="111"/>
  <c r="W37" i="111"/>
  <c r="W41" i="111"/>
  <c r="W42" i="111" s="1"/>
  <c r="W40" i="111"/>
  <c r="W34" i="111"/>
  <c r="X39" i="111"/>
  <c r="X36" i="111"/>
  <c r="T41" i="111"/>
  <c r="T37" i="111"/>
  <c r="T40" i="111"/>
  <c r="T42" i="111" s="1"/>
  <c r="T34" i="111"/>
  <c r="AE39" i="107"/>
  <c r="AE36" i="107"/>
  <c r="AF16" i="111"/>
  <c r="AF12" i="111"/>
  <c r="AF18" i="111"/>
  <c r="AE15" i="111"/>
  <c r="AF17" i="111"/>
  <c r="AF14" i="111"/>
  <c r="W42" i="108"/>
  <c r="AA42" i="107"/>
  <c r="AD42" i="107"/>
  <c r="X38" i="111"/>
  <c r="X35" i="111"/>
  <c r="AC39" i="111"/>
  <c r="AC36" i="111"/>
  <c r="Z42" i="107"/>
  <c r="AA39" i="111"/>
  <c r="AF41" i="107"/>
  <c r="AF34" i="107"/>
  <c r="AF40" i="107"/>
  <c r="AF37" i="107"/>
  <c r="S37" i="111"/>
  <c r="S40" i="111"/>
  <c r="S34" i="111"/>
  <c r="S41" i="111"/>
  <c r="S42" i="111" s="1"/>
  <c r="U34" i="111"/>
  <c r="U40" i="111"/>
  <c r="U37" i="111"/>
  <c r="U41" i="111"/>
  <c r="V39" i="111"/>
  <c r="V36" i="111"/>
  <c r="AE18" i="111"/>
  <c r="AE10" i="111"/>
  <c r="O106" i="111"/>
  <c r="K108" i="111" s="1"/>
  <c r="AF21" i="111"/>
  <c r="U39" i="111"/>
  <c r="U36" i="111"/>
  <c r="V41" i="111"/>
  <c r="V40" i="111"/>
  <c r="V37" i="111"/>
  <c r="V34" i="111"/>
  <c r="AE38" i="107"/>
  <c r="AE35" i="107"/>
  <c r="AD36" i="111"/>
  <c r="AF39" i="108"/>
  <c r="AF36" i="108"/>
  <c r="AE19" i="111"/>
  <c r="AF10" i="111"/>
  <c r="P106" i="111"/>
  <c r="N107" i="111" s="1"/>
  <c r="AB41" i="111"/>
  <c r="AB34" i="111"/>
  <c r="AB40" i="111"/>
  <c r="AB37" i="111"/>
  <c r="AE17" i="111"/>
  <c r="AE21" i="111"/>
  <c r="AA42" i="108"/>
  <c r="T42" i="107"/>
  <c r="Y38" i="111"/>
  <c r="V42" i="108"/>
  <c r="U35" i="111"/>
  <c r="U38" i="111"/>
  <c r="AA38" i="111"/>
  <c r="AA35" i="111"/>
  <c r="AC34" i="111"/>
  <c r="AC40" i="111"/>
  <c r="AC41" i="111"/>
  <c r="AC37" i="111"/>
  <c r="AF11" i="111"/>
  <c r="AF20" i="111"/>
  <c r="AF15" i="111"/>
  <c r="AE11" i="111"/>
  <c r="AE16" i="111"/>
  <c r="AE38" i="111" s="1"/>
  <c r="AF39" i="107"/>
  <c r="AF36" i="107"/>
  <c r="AE38" i="108"/>
  <c r="AE35" i="108"/>
  <c r="AD42" i="108"/>
  <c r="AB38" i="111"/>
  <c r="AB35" i="111"/>
  <c r="V38" i="111"/>
  <c r="V35" i="111"/>
  <c r="AA37" i="111"/>
  <c r="AA41" i="111"/>
  <c r="AA34" i="111"/>
  <c r="AA40" i="111"/>
  <c r="AE20" i="111"/>
  <c r="T38" i="111"/>
  <c r="T35" i="111"/>
  <c r="AB39" i="111"/>
  <c r="AB36" i="111"/>
  <c r="AF41" i="108"/>
  <c r="AF40" i="108"/>
  <c r="AF37" i="108"/>
  <c r="AF34" i="108"/>
  <c r="Y34" i="111"/>
  <c r="Y37" i="111"/>
  <c r="Y41" i="111"/>
  <c r="Y42" i="111" s="1"/>
  <c r="Y40" i="111"/>
  <c r="Z41" i="111"/>
  <c r="Z42" i="111" s="1"/>
  <c r="Z40" i="111"/>
  <c r="Z37" i="111"/>
  <c r="Z34" i="111"/>
  <c r="S36" i="111"/>
  <c r="S39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42" i="108" l="1"/>
  <c r="AF41" i="111"/>
  <c r="AF34" i="111"/>
  <c r="AF40" i="111"/>
  <c r="AF42" i="111" s="1"/>
  <c r="AF37" i="111"/>
  <c r="AE39" i="111"/>
  <c r="AE36" i="111"/>
  <c r="AE37" i="111"/>
  <c r="AE41" i="111"/>
  <c r="AE40" i="111"/>
  <c r="AE34" i="111"/>
  <c r="AF39" i="111"/>
  <c r="AF36" i="111"/>
  <c r="AF38" i="111"/>
  <c r="AF35" i="111"/>
  <c r="AF42" i="108"/>
  <c r="AB42" i="111"/>
  <c r="AE35" i="111"/>
  <c r="V42" i="111"/>
  <c r="AA42" i="111"/>
  <c r="U42" i="111"/>
  <c r="X42" i="111"/>
  <c r="AC42" i="111"/>
  <c r="AF42" i="107"/>
  <c r="AD42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E42" i="111" l="1"/>
</calcChain>
</file>

<file path=xl/sharedStrings.xml><?xml version="1.0" encoding="utf-8"?>
<sst xmlns="http://schemas.openxmlformats.org/spreadsheetml/2006/main" count="2336" uniqueCount="180">
  <si>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</si>
  <si>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</si>
  <si>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</si>
  <si>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</si>
  <si>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</si>
  <si>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</si>
  <si>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</si>
  <si>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</si>
  <si>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</si>
  <si>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</si>
  <si>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</si>
  <si>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</si>
  <si>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</si>
  <si>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</si>
  <si>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</si>
  <si>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</si>
  <si>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</si>
  <si>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</si>
  <si>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</si>
  <si>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</si>
  <si>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</si>
  <si>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</si>
  <si>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</si>
  <si>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</si>
  <si>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</si>
  <si>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</si>
  <si>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</si>
  <si>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</si>
  <si>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</si>
  <si>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</si>
  <si>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</si>
  <si>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</si>
  <si>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</si>
  <si>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</si>
  <si>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</si>
  <si>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</si>
  <si>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</si>
  <si>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</si>
  <si>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</si>
  <si>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</si>
  <si>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</si>
  <si>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</si>
  <si>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</si>
  <si>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</si>
  <si>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</si>
  <si>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</si>
  <si>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</si>
  <si>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</si>
  <si>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</si>
  <si>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</si>
  <si>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</si>
  <si>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</si>
  <si>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</si>
  <si>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</si>
  <si>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</si>
  <si>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</si>
  <si>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</si>
  <si>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</si>
  <si>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</si>
  <si>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</si>
  <si>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</si>
  <si>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</si>
  <si>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</si>
  <si>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</si>
  <si>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</si>
  <si>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</si>
  <si>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</si>
  <si>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</si>
  <si>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</si>
  <si>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</si>
  <si>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</si>
  <si>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</si>
  <si>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</si>
  <si>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</si>
  <si>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</si>
  <si>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</si>
  <si>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</si>
  <si>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</si>
  <si>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</si>
  <si>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</si>
  <si>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</si>
  <si>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</si>
  <si>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</si>
  <si>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</si>
  <si>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</si>
  <si>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</si>
  <si>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</si>
  <si>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</si>
  <si>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</si>
  <si>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</si>
  <si>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</si>
  <si>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</si>
  <si>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</si>
  <si>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</si>
  <si>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</si>
  <si>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</si>
  <si>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</si>
  <si>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</si>
  <si>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</si>
  <si>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</si>
  <si>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</si>
  <si>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</si>
  <si>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</si>
  <si>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</si>
  <si>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</si>
  <si>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</si>
  <si>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</si>
  <si>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</si>
  <si>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</si>
  <si>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</si>
  <si>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</si>
  <si>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</si>
  <si>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</si>
  <si>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</si>
  <si>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</si>
  <si>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</si>
  <si>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</si>
  <si>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</si>
  <si>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</si>
  <si>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</si>
  <si>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</si>
  <si>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</si>
  <si>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</si>
  <si>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</si>
  <si>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</si>
  <si>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</si>
  <si>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</si>
  <si>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</si>
  <si>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</si>
  <si>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</si>
  <si>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</si>
  <si>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</si>
  <si>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</si>
  <si>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</si>
  <si>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</si>
  <si>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</si>
  <si>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</si>
  <si>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</si>
  <si>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</si>
  <si>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</si>
  <si>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</si>
  <si>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</si>
  <si>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</si>
  <si>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</si>
  <si>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</si>
  <si>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</si>
  <si>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</si>
  <si>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</si>
  <si>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</si>
  <si>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</si>
  <si>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</si>
  <si>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</si>
  <si>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</si>
  <si>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</si>
  <si>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</si>
  <si>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</si>
  <si>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</si>
  <si>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</si>
  <si>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</si>
  <si>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</si>
  <si>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</si>
  <si>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</si>
  <si>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</si>
  <si>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KAPEEKA -NGOMA ROAD</t>
  </si>
  <si>
    <t>17.10.2019</t>
  </si>
  <si>
    <t>KAPEEKA</t>
  </si>
  <si>
    <t>NGOMA</t>
  </si>
  <si>
    <t>MIREMBE RUTH</t>
  </si>
  <si>
    <t>AMOS A</t>
  </si>
  <si>
    <t>BUTALANGU</t>
  </si>
  <si>
    <t>S</t>
  </si>
  <si>
    <t>18.10.2019</t>
  </si>
  <si>
    <t>19.10.2019</t>
  </si>
  <si>
    <t>NAKALEMA DAMALE</t>
  </si>
  <si>
    <t>20.10.2019</t>
  </si>
  <si>
    <t>21.10.2019</t>
  </si>
  <si>
    <t>ODIPO CHARLES</t>
  </si>
  <si>
    <t>22.10.2019</t>
  </si>
  <si>
    <t>23.10.2019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</si>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</sst>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2" borderId="4" xfId="0" applyFill="1" applyBorder="1"/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KAPEEKA-NGOMA'!$AE$9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KAPEEKA-NGOMA'!$AE$10:$AE$21</c:f>
              <c:numCache>
                <c:formatCode>0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12</c:v>
                </c:pt>
                <c:pt idx="3">
                  <c:v>9</c:v>
                </c:pt>
                <c:pt idx="4">
                  <c:v>10</c:v>
                </c:pt>
                <c:pt idx="5">
                  <c:v>14</c:v>
                </c:pt>
                <c:pt idx="6">
                  <c:v>10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11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'17.10 KAPEEKA-NGOMA'!$AF$9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KAPEEKA-NGOMA'!$AF$10:$AF$21</c:f>
              <c:numCache>
                <c:formatCode>0</c:formatCode>
                <c:ptCount val="12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24</c:v>
                </c:pt>
                <c:pt idx="4">
                  <c:v>26</c:v>
                </c:pt>
                <c:pt idx="5">
                  <c:v>31</c:v>
                </c:pt>
                <c:pt idx="6">
                  <c:v>27</c:v>
                </c:pt>
                <c:pt idx="7">
                  <c:v>25</c:v>
                </c:pt>
                <c:pt idx="8">
                  <c:v>29</c:v>
                </c:pt>
                <c:pt idx="9">
                  <c:v>28</c:v>
                </c:pt>
                <c:pt idx="10">
                  <c:v>27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779584"/>
        <c:axId val="215949696"/>
      </c:lineChart>
      <c:catAx>
        <c:axId val="2157795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949696"/>
        <c:crosses val="autoZero"/>
        <c:auto val="1"/>
        <c:lblAlgn val="ctr"/>
        <c:lblOffset val="100"/>
        <c:noMultiLvlLbl val="0"/>
      </c:catAx>
      <c:valAx>
        <c:axId val="215949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77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KAPEEKA-NGOMA'!$C$9:$N$9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KAPEEKA-NGOMA'!$C$59:$N$59</c:f>
              <c:numCache>
                <c:formatCode>0.0%</c:formatCode>
                <c:ptCount val="12"/>
                <c:pt idx="0">
                  <c:v>7.6923076923076927E-2</c:v>
                </c:pt>
                <c:pt idx="1">
                  <c:v>6.688963210702341E-3</c:v>
                </c:pt>
                <c:pt idx="2">
                  <c:v>8.0267558528428096E-2</c:v>
                </c:pt>
                <c:pt idx="3">
                  <c:v>5.3511705685618728E-2</c:v>
                </c:pt>
                <c:pt idx="4">
                  <c:v>0</c:v>
                </c:pt>
                <c:pt idx="5">
                  <c:v>0</c:v>
                </c:pt>
                <c:pt idx="6">
                  <c:v>0.10367892976588629</c:v>
                </c:pt>
                <c:pt idx="7">
                  <c:v>2.6755852842809364E-2</c:v>
                </c:pt>
                <c:pt idx="8">
                  <c:v>6.688963210702341E-3</c:v>
                </c:pt>
                <c:pt idx="9">
                  <c:v>0</c:v>
                </c:pt>
                <c:pt idx="10">
                  <c:v>0.63210702341137126</c:v>
                </c:pt>
                <c:pt idx="11">
                  <c:v>1.3377926421404682E-2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KAPEEKA-NGOMA'!$C$9:$N$9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KAPEEKA-NGOMA'!$C$60:$N$60</c:f>
              <c:numCache>
                <c:formatCode>0.00%</c:formatCode>
                <c:ptCount val="12"/>
                <c:pt idx="0">
                  <c:v>0.20909090909090908</c:v>
                </c:pt>
                <c:pt idx="1">
                  <c:v>1.8181818181818181E-2</c:v>
                </c:pt>
                <c:pt idx="2">
                  <c:v>0.21818181818181817</c:v>
                </c:pt>
                <c:pt idx="3">
                  <c:v>0.14545454545454545</c:v>
                </c:pt>
                <c:pt idx="4">
                  <c:v>0</c:v>
                </c:pt>
                <c:pt idx="5">
                  <c:v>0</c:v>
                </c:pt>
                <c:pt idx="6">
                  <c:v>0.2818181818181818</c:v>
                </c:pt>
                <c:pt idx="7">
                  <c:v>7.2727272727272724E-2</c:v>
                </c:pt>
                <c:pt idx="8">
                  <c:v>1.8181818181818181E-2</c:v>
                </c:pt>
                <c:pt idx="9">
                  <c:v>0</c:v>
                </c:pt>
                <c:pt idx="11">
                  <c:v>3.6363636363636362E-2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NGOMA-KAPEEKA'!$AE$9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NGOMA-KAPEEKA'!$R$10:$R$21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NGOMA-KAPEEKA'!$AE$10:$AE$21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8</c:v>
                </c:pt>
                <c:pt idx="3">
                  <c:v>7</c:v>
                </c:pt>
                <c:pt idx="4">
                  <c:v>10</c:v>
                </c:pt>
                <c:pt idx="5">
                  <c:v>11</c:v>
                </c:pt>
                <c:pt idx="6">
                  <c:v>3</c:v>
                </c:pt>
                <c:pt idx="7">
                  <c:v>8</c:v>
                </c:pt>
                <c:pt idx="8">
                  <c:v>13</c:v>
                </c:pt>
                <c:pt idx="9">
                  <c:v>20</c:v>
                </c:pt>
                <c:pt idx="10">
                  <c:v>14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'17.10 NGOMA-KAPEEKA'!$AF$9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NGOMA-KAPEEKA'!$R$10:$R$21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NGOMA-KAPEEKA'!$AF$10:$AF$21</c:f>
              <c:numCache>
                <c:formatCode>0</c:formatCode>
                <c:ptCount val="12"/>
                <c:pt idx="0">
                  <c:v>14</c:v>
                </c:pt>
                <c:pt idx="1">
                  <c:v>27</c:v>
                </c:pt>
                <c:pt idx="2">
                  <c:v>24</c:v>
                </c:pt>
                <c:pt idx="3">
                  <c:v>25</c:v>
                </c:pt>
                <c:pt idx="4">
                  <c:v>35</c:v>
                </c:pt>
                <c:pt idx="5">
                  <c:v>39</c:v>
                </c:pt>
                <c:pt idx="6">
                  <c:v>27</c:v>
                </c:pt>
                <c:pt idx="7">
                  <c:v>42</c:v>
                </c:pt>
                <c:pt idx="8">
                  <c:v>37</c:v>
                </c:pt>
                <c:pt idx="9">
                  <c:v>41</c:v>
                </c:pt>
                <c:pt idx="10">
                  <c:v>42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216"/>
        <c:axId val="79723136"/>
      </c:lineChart>
      <c:catAx>
        <c:axId val="797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723136"/>
        <c:crosses val="autoZero"/>
        <c:auto val="1"/>
        <c:lblAlgn val="ctr"/>
        <c:lblOffset val="100"/>
        <c:noMultiLvlLbl val="0"/>
      </c:catAx>
      <c:valAx>
        <c:axId val="797231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7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NGOMA-KAPEEKA'!$C$9:$N$9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NGOMA-KAPEEKA'!$C$59:$N$59</c:f>
              <c:numCache>
                <c:formatCode>0.0%</c:formatCode>
                <c:ptCount val="12"/>
                <c:pt idx="0">
                  <c:v>8.0862533692722366E-2</c:v>
                </c:pt>
                <c:pt idx="1">
                  <c:v>1.6172506738544475E-2</c:v>
                </c:pt>
                <c:pt idx="2">
                  <c:v>3.2345013477088951E-2</c:v>
                </c:pt>
                <c:pt idx="3">
                  <c:v>5.9299191374663072E-2</c:v>
                </c:pt>
                <c:pt idx="4">
                  <c:v>0</c:v>
                </c:pt>
                <c:pt idx="5">
                  <c:v>0</c:v>
                </c:pt>
                <c:pt idx="6">
                  <c:v>5.1212938005390833E-2</c:v>
                </c:pt>
                <c:pt idx="7">
                  <c:v>3.5040431266846361E-2</c:v>
                </c:pt>
                <c:pt idx="8">
                  <c:v>2.6954177897574125E-3</c:v>
                </c:pt>
                <c:pt idx="9">
                  <c:v>0</c:v>
                </c:pt>
                <c:pt idx="10">
                  <c:v>0.71159029649595684</c:v>
                </c:pt>
                <c:pt idx="11">
                  <c:v>1.078167115902965E-2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NGOMA-KAPEEKA'!$S$9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'17.10 NGOMA-KAPEEKA'!$R$10:$R$21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NGOMA-KAPEEKA'!$S$10:$S$21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13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'17.10 NGOMA-KAPEEKA'!$T$9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'17.10 NGOMA-KAPEEKA'!$R$10:$R$21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NGOMA-KAPEEKA'!$T$10:$T$21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'17.10 NGOMA-KAPEEKA'!$U$9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'17.10 NGOMA-KAPEEKA'!$U$10:$U$21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'17.10 NGOMA-KAPEEKA'!$V$9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'17.10 NGOMA-KAPEEKA'!$V$10:$V$21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'17.10 NGOMA-KAPEEKA'!$W$9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'17.10 NGOMA-KAPEEKA'!$W$10:$W$21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'17.10 NGOMA-KAPEEKA'!$X$9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'17.10 NGOMA-KAPEEKA'!$X$10:$X$21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'17.10 NGOMA-KAPEEKA'!$Y$9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NGOMA-KAPEEKA'!$Y$10:$Y$21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0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'17.10 NGOMA-KAPEEKA'!$Z$9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NGOMA-KAPEEKA'!$Z$10:$Z$21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'17.10 NGOMA-KAPEEKA'!$AA$9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NGOMA-KAPEEKA'!$AA$10:$AA$21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'17.10 NGOMA-KAPEEKA'!$AB$9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NGOMA-KAPEEKA'!$AB$10:$AB$21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'17.10 NGOMA-KAPEEKA'!$AC$9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NGOMA-KAPEEKA'!$AC$10:$AC$21</c:f>
              <c:numCache>
                <c:formatCode>0</c:formatCode>
                <c:ptCount val="12"/>
                <c:pt idx="0">
                  <c:v>9</c:v>
                </c:pt>
                <c:pt idx="1">
                  <c:v>25</c:v>
                </c:pt>
                <c:pt idx="2">
                  <c:v>16</c:v>
                </c:pt>
                <c:pt idx="3">
                  <c:v>18</c:v>
                </c:pt>
                <c:pt idx="4">
                  <c:v>25</c:v>
                </c:pt>
                <c:pt idx="5">
                  <c:v>28</c:v>
                </c:pt>
                <c:pt idx="6">
                  <c:v>24</c:v>
                </c:pt>
                <c:pt idx="7">
                  <c:v>34</c:v>
                </c:pt>
                <c:pt idx="8">
                  <c:v>24</c:v>
                </c:pt>
                <c:pt idx="9">
                  <c:v>21</c:v>
                </c:pt>
                <c:pt idx="10">
                  <c:v>28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'17.10 NGOMA-KAPEEKA'!$AD$9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NGOMA-KAPEEKA'!$AD$10:$AD$21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13632"/>
        <c:axId val="79815424"/>
      </c:lineChart>
      <c:catAx>
        <c:axId val="7981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815424"/>
        <c:crosses val="autoZero"/>
        <c:auto val="1"/>
        <c:lblAlgn val="ctr"/>
        <c:lblOffset val="100"/>
        <c:noMultiLvlLbl val="0"/>
      </c:catAx>
      <c:valAx>
        <c:axId val="7981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81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NGOMA-KAPEEKA'!$C$9:$N$9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NGOMA-KAPEEKA'!$C$60:$N$60</c:f>
              <c:numCache>
                <c:formatCode>0.00%</c:formatCode>
                <c:ptCount val="12"/>
                <c:pt idx="0">
                  <c:v>0.28037383177570091</c:v>
                </c:pt>
                <c:pt idx="1">
                  <c:v>5.6074766355140186E-2</c:v>
                </c:pt>
                <c:pt idx="2">
                  <c:v>0.11214953271028037</c:v>
                </c:pt>
                <c:pt idx="3">
                  <c:v>0.20560747663551401</c:v>
                </c:pt>
                <c:pt idx="4">
                  <c:v>0</c:v>
                </c:pt>
                <c:pt idx="5">
                  <c:v>0</c:v>
                </c:pt>
                <c:pt idx="6">
                  <c:v>0.17757009345794392</c:v>
                </c:pt>
                <c:pt idx="7">
                  <c:v>0.12149532710280374</c:v>
                </c:pt>
                <c:pt idx="8">
                  <c:v>9.3457943925233638E-3</c:v>
                </c:pt>
                <c:pt idx="9">
                  <c:v>0</c:v>
                </c:pt>
                <c:pt idx="11">
                  <c:v>3.7383177570093455E-2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KAPEEKA-NGOMA'!$AE$9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KAPEEKA-NGOMA'!$AE$10:$AE$21</c:f>
              <c:numCache>
                <c:formatCode>0</c:formatCode>
                <c:ptCount val="12"/>
                <c:pt idx="0">
                  <c:v>11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19</c:v>
                </c:pt>
                <c:pt idx="8">
                  <c:v>6</c:v>
                </c:pt>
                <c:pt idx="9">
                  <c:v>7</c:v>
                </c:pt>
                <c:pt idx="10">
                  <c:v>4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'18.10 KAPEEKA-NGOMA'!$AF$9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KAPEEKA-NGOMA'!$AF$10:$AF$21</c:f>
              <c:numCache>
                <c:formatCode>0</c:formatCode>
                <c:ptCount val="12"/>
                <c:pt idx="0">
                  <c:v>32</c:v>
                </c:pt>
                <c:pt idx="1">
                  <c:v>21</c:v>
                </c:pt>
                <c:pt idx="2">
                  <c:v>21</c:v>
                </c:pt>
                <c:pt idx="3">
                  <c:v>27</c:v>
                </c:pt>
                <c:pt idx="4">
                  <c:v>32</c:v>
                </c:pt>
                <c:pt idx="5">
                  <c:v>27</c:v>
                </c:pt>
                <c:pt idx="6">
                  <c:v>36</c:v>
                </c:pt>
                <c:pt idx="7">
                  <c:v>36</c:v>
                </c:pt>
                <c:pt idx="8">
                  <c:v>33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33440"/>
        <c:axId val="79935360"/>
      </c:lineChart>
      <c:catAx>
        <c:axId val="79933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935360"/>
        <c:crosses val="autoZero"/>
        <c:auto val="1"/>
        <c:lblAlgn val="ctr"/>
        <c:lblOffset val="100"/>
        <c:noMultiLvlLbl val="0"/>
      </c:catAx>
      <c:valAx>
        <c:axId val="7993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93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KAPEEKA-NGOMA'!$C$9:$N$9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KAPEEKA-NGOMA'!$C$59:$N$59</c:f>
              <c:numCache>
                <c:formatCode>0.0%</c:formatCode>
                <c:ptCount val="12"/>
                <c:pt idx="0">
                  <c:v>7.407407407407407E-2</c:v>
                </c:pt>
                <c:pt idx="1">
                  <c:v>1.7094017094017096E-2</c:v>
                </c:pt>
                <c:pt idx="2">
                  <c:v>2.564102564102564E-2</c:v>
                </c:pt>
                <c:pt idx="3">
                  <c:v>4.5584045584045586E-2</c:v>
                </c:pt>
                <c:pt idx="4">
                  <c:v>0</c:v>
                </c:pt>
                <c:pt idx="5">
                  <c:v>0</c:v>
                </c:pt>
                <c:pt idx="6">
                  <c:v>8.5470085470085472E-2</c:v>
                </c:pt>
                <c:pt idx="7">
                  <c:v>8.5470085470085479E-3</c:v>
                </c:pt>
                <c:pt idx="8">
                  <c:v>5.6980056980056983E-3</c:v>
                </c:pt>
                <c:pt idx="9">
                  <c:v>1.4245014245014245E-2</c:v>
                </c:pt>
                <c:pt idx="10">
                  <c:v>0.72079772079772075</c:v>
                </c:pt>
                <c:pt idx="11">
                  <c:v>2.8490028490028491E-3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KAPEEKA-NGOMA'!$S$9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KAPEEKA-NGOMA'!$S$10:$S$21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'18.10 KAPEEKA-NGOMA'!$T$9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KAPEEKA-NGOMA'!$T$10:$T$21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'18.10 KAPEEKA-NGOMA'!$U$9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'18.10 KAPEEKA-NGOMA'!$U$10:$U$21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'18.10 KAPEEKA-NGOMA'!$V$9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'18.10 KAPEEKA-NGOMA'!$V$10:$V$21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'18.10 KAPEEKA-NGOMA'!$W$9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'18.10 KAPEEKA-NGOMA'!$W$10:$W$21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'18.10 KAPEEKA-NGOMA'!$X$9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'18.10 KAPEEKA-NGOMA'!$X$10:$X$21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'18.10 KAPEEKA-NGOMA'!$Y$9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KAPEEKA-NGOMA'!$Y$10:$Y$21</c:f>
              <c:numCache>
                <c:formatCode>0</c:formatCode>
                <c:ptCount val="12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'18.10 KAPEEKA-NGOMA'!$Z$9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KAPEEKA-NGOMA'!$Z$10:$Z$21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'18.10 KAPEEKA-NGOMA'!$AA$9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KAPEEKA-NGOMA'!$AA$10:$AA$21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'18.10 KAPEEKA-NGOMA'!$AB$9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KAPEEKA-NGOMA'!$AB$10:$AB$21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'18.10 KAPEEKA-NGOMA'!$AC$9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KAPEEKA-NGOMA'!$AC$10:$AC$21</c:f>
              <c:numCache>
                <c:formatCode>0</c:formatCode>
                <c:ptCount val="12"/>
                <c:pt idx="0">
                  <c:v>21</c:v>
                </c:pt>
                <c:pt idx="1">
                  <c:v>16</c:v>
                </c:pt>
                <c:pt idx="2">
                  <c:v>16</c:v>
                </c:pt>
                <c:pt idx="3">
                  <c:v>20</c:v>
                </c:pt>
                <c:pt idx="4">
                  <c:v>26</c:v>
                </c:pt>
                <c:pt idx="5">
                  <c:v>19</c:v>
                </c:pt>
                <c:pt idx="6">
                  <c:v>26</c:v>
                </c:pt>
                <c:pt idx="7">
                  <c:v>17</c:v>
                </c:pt>
                <c:pt idx="8">
                  <c:v>27</c:v>
                </c:pt>
                <c:pt idx="9">
                  <c:v>24</c:v>
                </c:pt>
                <c:pt idx="10">
                  <c:v>24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'18.10 KAPEEKA-NGOMA'!$AD$9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KAPEEKA-NGOMA'!$AD$10:$AD$21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189312"/>
        <c:axId val="80190848"/>
      </c:lineChart>
      <c:catAx>
        <c:axId val="8018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190848"/>
        <c:crosses val="autoZero"/>
        <c:auto val="1"/>
        <c:lblAlgn val="ctr"/>
        <c:lblOffset val="100"/>
        <c:noMultiLvlLbl val="0"/>
      </c:catAx>
      <c:valAx>
        <c:axId val="8019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18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KAPEEKA-NGOMA'!$C$9:$N$9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KAPEEKA-NGOMA'!$C$60:$N$60</c:f>
              <c:numCache>
                <c:formatCode>0.00%</c:formatCode>
                <c:ptCount val="12"/>
                <c:pt idx="0">
                  <c:v>0.26530612244897961</c:v>
                </c:pt>
                <c:pt idx="1">
                  <c:v>6.1224489795918366E-2</c:v>
                </c:pt>
                <c:pt idx="2">
                  <c:v>9.1836734693877556E-2</c:v>
                </c:pt>
                <c:pt idx="3">
                  <c:v>0.16326530612244897</c:v>
                </c:pt>
                <c:pt idx="4">
                  <c:v>0</c:v>
                </c:pt>
                <c:pt idx="5">
                  <c:v>0</c:v>
                </c:pt>
                <c:pt idx="6">
                  <c:v>0.30612244897959184</c:v>
                </c:pt>
                <c:pt idx="7">
                  <c:v>3.0612244897959183E-2</c:v>
                </c:pt>
                <c:pt idx="8">
                  <c:v>2.0408163265306121E-2</c:v>
                </c:pt>
                <c:pt idx="9">
                  <c:v>5.1020408163265307E-2</c:v>
                </c:pt>
                <c:pt idx="11">
                  <c:v>1.020408163265306E-2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NGOMA KAPEEKA'!$AE$9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NGOMA 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NGOMA KAPEEKA'!$AE$10:$AE$21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  <c:pt idx="5">
                  <c:v>12</c:v>
                </c:pt>
                <c:pt idx="6">
                  <c:v>12</c:v>
                </c:pt>
                <c:pt idx="7">
                  <c:v>8</c:v>
                </c:pt>
                <c:pt idx="8">
                  <c:v>16</c:v>
                </c:pt>
                <c:pt idx="9">
                  <c:v>9</c:v>
                </c:pt>
                <c:pt idx="10">
                  <c:v>10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'18.10 NGOMA KAPEEKA'!$AF$9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NGOMA 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NGOMA KAPEEKA'!$AF$10:$AF$21</c:f>
              <c:numCache>
                <c:formatCode>0</c:formatCode>
                <c:ptCount val="12"/>
                <c:pt idx="0">
                  <c:v>16</c:v>
                </c:pt>
                <c:pt idx="1">
                  <c:v>25</c:v>
                </c:pt>
                <c:pt idx="2">
                  <c:v>21</c:v>
                </c:pt>
                <c:pt idx="3">
                  <c:v>32</c:v>
                </c:pt>
                <c:pt idx="4">
                  <c:v>29</c:v>
                </c:pt>
                <c:pt idx="5">
                  <c:v>29</c:v>
                </c:pt>
                <c:pt idx="6">
                  <c:v>38</c:v>
                </c:pt>
                <c:pt idx="7">
                  <c:v>27</c:v>
                </c:pt>
                <c:pt idx="8">
                  <c:v>42</c:v>
                </c:pt>
                <c:pt idx="9">
                  <c:v>34</c:v>
                </c:pt>
                <c:pt idx="10">
                  <c:v>30</c:v>
                </c:pt>
                <c:pt idx="11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76096"/>
        <c:axId val="80278272"/>
      </c:lineChart>
      <c:catAx>
        <c:axId val="802760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78272"/>
        <c:crosses val="autoZero"/>
        <c:auto val="1"/>
        <c:lblAlgn val="ctr"/>
        <c:lblOffset val="100"/>
        <c:noMultiLvlLbl val="0"/>
      </c:catAx>
      <c:valAx>
        <c:axId val="802782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7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NGOMA KAPEEKA'!$C$9:$N$9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NGOMA KAPEEKA'!$C$59:$N$59</c:f>
              <c:numCache>
                <c:formatCode>0.0%</c:formatCode>
                <c:ptCount val="12"/>
                <c:pt idx="0">
                  <c:v>7.18232044198895E-2</c:v>
                </c:pt>
                <c:pt idx="1">
                  <c:v>2.2099447513812154E-2</c:v>
                </c:pt>
                <c:pt idx="2">
                  <c:v>3.3149171270718231E-2</c:v>
                </c:pt>
                <c:pt idx="3">
                  <c:v>5.5248618784530384E-2</c:v>
                </c:pt>
                <c:pt idx="4">
                  <c:v>0</c:v>
                </c:pt>
                <c:pt idx="5">
                  <c:v>0</c:v>
                </c:pt>
                <c:pt idx="6">
                  <c:v>7.7348066298342538E-2</c:v>
                </c:pt>
                <c:pt idx="7">
                  <c:v>5.5248618784530384E-3</c:v>
                </c:pt>
                <c:pt idx="8">
                  <c:v>5.5248618784530384E-3</c:v>
                </c:pt>
                <c:pt idx="9">
                  <c:v>5.5248618784530384E-3</c:v>
                </c:pt>
                <c:pt idx="10">
                  <c:v>0.72099447513812154</c:v>
                </c:pt>
                <c:pt idx="11">
                  <c:v>2.7624309392265192E-3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NGOMA KAPEEKA'!$S$9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'18.10 NGOMA 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NGOMA KAPEEKA'!$S$10:$S$21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'18.10 NGOMA KAPEEKA'!$T$9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'18.10 NGOMA 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NGOMA KAPEEKA'!$T$10:$T$21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'18.10 NGOMA KAPEEKA'!$U$9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'18.10 NGOMA KAPEEKA'!$U$10:$U$21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'18.10 NGOMA KAPEEKA'!$V$9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'18.10 NGOMA KAPEEKA'!$V$10:$V$21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'18.10 NGOMA KAPEEKA'!$W$9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'18.10 NGOMA KAPEEKA'!$W$10:$W$21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'18.10 NGOMA KAPEEKA'!$X$9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'18.10 NGOMA KAPEEKA'!$X$10:$X$21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'18.10 NGOMA KAPEEKA'!$Y$9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NGOMA KAPEEKA'!$Y$10:$Y$21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'18.10 NGOMA KAPEEKA'!$Z$9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NGOMA KAPEEKA'!$Z$10:$Z$21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'18.10 NGOMA KAPEEKA'!$AA$9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NGOMA KAPEEKA'!$AA$10:$AA$21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'18.10 NGOMA KAPEEKA'!$AB$9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NGOMA KAPEEKA'!$AB$10:$AB$21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'18.10 NGOMA KAPEEKA'!$AC$9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NGOMA KAPEEKA'!$AC$10:$AC$21</c:f>
              <c:numCache>
                <c:formatCode>0</c:formatCode>
                <c:ptCount val="12"/>
                <c:pt idx="0">
                  <c:v>13</c:v>
                </c:pt>
                <c:pt idx="1">
                  <c:v>21</c:v>
                </c:pt>
                <c:pt idx="2">
                  <c:v>14</c:v>
                </c:pt>
                <c:pt idx="3">
                  <c:v>26</c:v>
                </c:pt>
                <c:pt idx="4">
                  <c:v>22</c:v>
                </c:pt>
                <c:pt idx="5">
                  <c:v>17</c:v>
                </c:pt>
                <c:pt idx="6">
                  <c:v>26</c:v>
                </c:pt>
                <c:pt idx="7">
                  <c:v>19</c:v>
                </c:pt>
                <c:pt idx="8">
                  <c:v>26</c:v>
                </c:pt>
                <c:pt idx="9">
                  <c:v>25</c:v>
                </c:pt>
                <c:pt idx="10">
                  <c:v>20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'18.10 NGOMA KAPEEKA'!$AD$9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NGOMA KAPEEKA'!$AD$10:$AD$21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60896"/>
        <c:axId val="80562432"/>
      </c:lineChart>
      <c:catAx>
        <c:axId val="8056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562432"/>
        <c:crosses val="autoZero"/>
        <c:auto val="1"/>
        <c:lblAlgn val="ctr"/>
        <c:lblOffset val="100"/>
        <c:noMultiLvlLbl val="0"/>
      </c:catAx>
      <c:valAx>
        <c:axId val="8056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56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NGOMA KAPEEKA'!$C$9:$N$9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NGOMA KAPEEKA'!$C$60:$N$60</c:f>
              <c:numCache>
                <c:formatCode>0.00%</c:formatCode>
                <c:ptCount val="12"/>
                <c:pt idx="0">
                  <c:v>0.25742574257425743</c:v>
                </c:pt>
                <c:pt idx="1">
                  <c:v>7.9207920792079209E-2</c:v>
                </c:pt>
                <c:pt idx="2">
                  <c:v>0.11881188118811881</c:v>
                </c:pt>
                <c:pt idx="3">
                  <c:v>0.19801980198019803</c:v>
                </c:pt>
                <c:pt idx="4">
                  <c:v>0</c:v>
                </c:pt>
                <c:pt idx="5">
                  <c:v>0</c:v>
                </c:pt>
                <c:pt idx="6">
                  <c:v>0.27722772277227725</c:v>
                </c:pt>
                <c:pt idx="7">
                  <c:v>1.9801980198019802E-2</c:v>
                </c:pt>
                <c:pt idx="8">
                  <c:v>1.9801980198019802E-2</c:v>
                </c:pt>
                <c:pt idx="9">
                  <c:v>1.9801980198019802E-2</c:v>
                </c:pt>
                <c:pt idx="11">
                  <c:v>9.9009900990099011E-3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KAPEEKA-NGOMA 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KAPEEKA-NGOMA 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KAPEEKA-NGOMA 24h'!$AE$10:$AE$33</c:f>
              <c:numCache>
                <c:formatCode>0</c:formatCode>
                <c:ptCount val="24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16</c:v>
                </c:pt>
                <c:pt idx="5">
                  <c:v>9</c:v>
                </c:pt>
                <c:pt idx="6">
                  <c:v>6</c:v>
                </c:pt>
                <c:pt idx="7">
                  <c:v>7</c:v>
                </c:pt>
                <c:pt idx="8">
                  <c:v>10</c:v>
                </c:pt>
                <c:pt idx="9">
                  <c:v>8</c:v>
                </c:pt>
                <c:pt idx="10">
                  <c:v>12</c:v>
                </c:pt>
                <c:pt idx="11">
                  <c:v>13</c:v>
                </c:pt>
                <c:pt idx="12">
                  <c:v>10</c:v>
                </c:pt>
                <c:pt idx="13">
                  <c:v>5</c:v>
                </c:pt>
                <c:pt idx="14">
                  <c:v>11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'19.10 KAPEEKA-NGOMA 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KAPEEKA-NGOMA 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KAPEEKA-NGOMA 24h'!$AF$10:$AF$33</c:f>
              <c:numCache>
                <c:formatCode>0</c:formatCode>
                <c:ptCount val="24"/>
                <c:pt idx="0">
                  <c:v>24</c:v>
                </c:pt>
                <c:pt idx="1">
                  <c:v>25</c:v>
                </c:pt>
                <c:pt idx="2">
                  <c:v>28</c:v>
                </c:pt>
                <c:pt idx="3">
                  <c:v>26</c:v>
                </c:pt>
                <c:pt idx="4">
                  <c:v>34</c:v>
                </c:pt>
                <c:pt idx="5">
                  <c:v>24</c:v>
                </c:pt>
                <c:pt idx="6">
                  <c:v>22</c:v>
                </c:pt>
                <c:pt idx="7">
                  <c:v>30</c:v>
                </c:pt>
                <c:pt idx="8">
                  <c:v>18</c:v>
                </c:pt>
                <c:pt idx="9">
                  <c:v>18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14</c:v>
                </c:pt>
                <c:pt idx="14">
                  <c:v>20</c:v>
                </c:pt>
                <c:pt idx="15">
                  <c:v>8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91808"/>
        <c:axId val="80802176"/>
      </c:lineChart>
      <c:catAx>
        <c:axId val="80791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802176"/>
        <c:crosses val="autoZero"/>
        <c:auto val="1"/>
        <c:lblAlgn val="ctr"/>
        <c:lblOffset val="100"/>
        <c:noMultiLvlLbl val="0"/>
      </c:catAx>
      <c:valAx>
        <c:axId val="80802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79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KAPEEKA-NGOMA 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KAPEEKA-NGOMA 24h'!$C$107:$N$107</c:f>
              <c:numCache>
                <c:formatCode>0.0%</c:formatCode>
                <c:ptCount val="12"/>
                <c:pt idx="0">
                  <c:v>0.10101010101010101</c:v>
                </c:pt>
                <c:pt idx="1">
                  <c:v>3.2828282828282832E-2</c:v>
                </c:pt>
                <c:pt idx="2">
                  <c:v>7.0707070707070704E-2</c:v>
                </c:pt>
                <c:pt idx="3">
                  <c:v>6.3131313131313135E-2</c:v>
                </c:pt>
                <c:pt idx="4">
                  <c:v>0</c:v>
                </c:pt>
                <c:pt idx="5">
                  <c:v>0</c:v>
                </c:pt>
                <c:pt idx="6">
                  <c:v>9.5959595959595953E-2</c:v>
                </c:pt>
                <c:pt idx="7">
                  <c:v>3.2828282828282832E-2</c:v>
                </c:pt>
                <c:pt idx="8">
                  <c:v>5.0505050505050509E-3</c:v>
                </c:pt>
                <c:pt idx="9">
                  <c:v>0</c:v>
                </c:pt>
                <c:pt idx="10">
                  <c:v>0.59848484848484851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KAPEEKA-NGOMA 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KAPEEKA-NGOMA 24h'!$C$108:$N$108</c:f>
              <c:numCache>
                <c:formatCode>0.00%</c:formatCode>
                <c:ptCount val="12"/>
                <c:pt idx="0">
                  <c:v>0.25157232704402516</c:v>
                </c:pt>
                <c:pt idx="1">
                  <c:v>8.1761006289308172E-2</c:v>
                </c:pt>
                <c:pt idx="2">
                  <c:v>0.1761006289308176</c:v>
                </c:pt>
                <c:pt idx="3">
                  <c:v>0.15723270440251572</c:v>
                </c:pt>
                <c:pt idx="4">
                  <c:v>0</c:v>
                </c:pt>
                <c:pt idx="5">
                  <c:v>0</c:v>
                </c:pt>
                <c:pt idx="6">
                  <c:v>0.2389937106918239</c:v>
                </c:pt>
                <c:pt idx="7">
                  <c:v>8.1761006289308172E-2</c:v>
                </c:pt>
                <c:pt idx="8">
                  <c:v>1.2578616352201259E-2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NGOMA-KAPEEKA-24h'!$AE$9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NGOMA-KAPEEKA-24h'!$R$10:$R$33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NGOMA-KAPEEKA-24h'!$AE$10:$AE$33</c:f>
              <c:numCache>
                <c:formatCode>0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17</c:v>
                </c:pt>
                <c:pt idx="6">
                  <c:v>8</c:v>
                </c:pt>
                <c:pt idx="7">
                  <c:v>8</c:v>
                </c:pt>
                <c:pt idx="8">
                  <c:v>16</c:v>
                </c:pt>
                <c:pt idx="9">
                  <c:v>13</c:v>
                </c:pt>
                <c:pt idx="10">
                  <c:v>20</c:v>
                </c:pt>
                <c:pt idx="11">
                  <c:v>23</c:v>
                </c:pt>
                <c:pt idx="12">
                  <c:v>20</c:v>
                </c:pt>
                <c:pt idx="13">
                  <c:v>10</c:v>
                </c:pt>
                <c:pt idx="14">
                  <c:v>4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'19.10 NGOMA-KAPEEKA-24h'!$AF$9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NGOMA-KAPEEKA-24h'!$R$10:$R$33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NGOMA-KAPEEKA-24h'!$AF$10:$AF$33</c:f>
              <c:numCache>
                <c:formatCode>0</c:formatCode>
                <c:ptCount val="24"/>
                <c:pt idx="0">
                  <c:v>18</c:v>
                </c:pt>
                <c:pt idx="1">
                  <c:v>21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33</c:v>
                </c:pt>
                <c:pt idx="6">
                  <c:v>26</c:v>
                </c:pt>
                <c:pt idx="7">
                  <c:v>49</c:v>
                </c:pt>
                <c:pt idx="8">
                  <c:v>45</c:v>
                </c:pt>
                <c:pt idx="9">
                  <c:v>35</c:v>
                </c:pt>
                <c:pt idx="10">
                  <c:v>28</c:v>
                </c:pt>
                <c:pt idx="11">
                  <c:v>43</c:v>
                </c:pt>
                <c:pt idx="12">
                  <c:v>35</c:v>
                </c:pt>
                <c:pt idx="13">
                  <c:v>23</c:v>
                </c:pt>
                <c:pt idx="14">
                  <c:v>12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4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19648"/>
        <c:axId val="81021568"/>
      </c:lineChart>
      <c:catAx>
        <c:axId val="810196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021568"/>
        <c:crosses val="autoZero"/>
        <c:auto val="1"/>
        <c:lblAlgn val="ctr"/>
        <c:lblOffset val="100"/>
        <c:noMultiLvlLbl val="0"/>
      </c:catAx>
      <c:valAx>
        <c:axId val="81021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01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NGOMA-KAPEEKA-24h'!$C$9:$N$9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NGOMA-KAPEEKA-24h'!$C$107:$N$107</c:f>
              <c:numCache>
                <c:formatCode>0.0%</c:formatCode>
                <c:ptCount val="12"/>
                <c:pt idx="0">
                  <c:v>8.1761006289308172E-2</c:v>
                </c:pt>
                <c:pt idx="1">
                  <c:v>2.9350104821802937E-2</c:v>
                </c:pt>
                <c:pt idx="2">
                  <c:v>6.4989517819706494E-2</c:v>
                </c:pt>
                <c:pt idx="3">
                  <c:v>5.0314465408805034E-2</c:v>
                </c:pt>
                <c:pt idx="4">
                  <c:v>2.0964360587002098E-3</c:v>
                </c:pt>
                <c:pt idx="5">
                  <c:v>4.1928721174004195E-3</c:v>
                </c:pt>
                <c:pt idx="6">
                  <c:v>0.10272536687631027</c:v>
                </c:pt>
                <c:pt idx="7">
                  <c:v>1.4675052410901468E-2</c:v>
                </c:pt>
                <c:pt idx="8">
                  <c:v>0</c:v>
                </c:pt>
                <c:pt idx="9">
                  <c:v>2.0964360587002098E-3</c:v>
                </c:pt>
                <c:pt idx="10">
                  <c:v>0.62683438155136273</c:v>
                </c:pt>
                <c:pt idx="11">
                  <c:v>2.0964360587002098E-2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NGOMA-KAPEEKA-24h'!$C$9:$N$9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NGOMA-KAPEEKA-24h'!$C$108:$N$108</c:f>
              <c:numCache>
                <c:formatCode>0.00%</c:formatCode>
                <c:ptCount val="12"/>
                <c:pt idx="0">
                  <c:v>0.21910112359550563</c:v>
                </c:pt>
                <c:pt idx="1">
                  <c:v>7.8651685393258425E-2</c:v>
                </c:pt>
                <c:pt idx="2">
                  <c:v>0.17415730337078653</c:v>
                </c:pt>
                <c:pt idx="3">
                  <c:v>0.1348314606741573</c:v>
                </c:pt>
                <c:pt idx="4">
                  <c:v>5.6179775280898875E-3</c:v>
                </c:pt>
                <c:pt idx="5">
                  <c:v>1.1235955056179775E-2</c:v>
                </c:pt>
                <c:pt idx="6">
                  <c:v>0.2752808988764045</c:v>
                </c:pt>
                <c:pt idx="7">
                  <c:v>3.9325842696629212E-2</c:v>
                </c:pt>
                <c:pt idx="8">
                  <c:v>0</c:v>
                </c:pt>
                <c:pt idx="9">
                  <c:v>5.6179775280898875E-3</c:v>
                </c:pt>
                <c:pt idx="11">
                  <c:v>5.6179775280898875E-2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KAPEEKA-NGOMA'!$AE$9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KAPEEKA-NGOMA'!$AE$10:$AE$21</c:f>
              <c:numCache>
                <c:formatCode>0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7</c:v>
                </c:pt>
                <c:pt idx="3">
                  <c:v>13</c:v>
                </c:pt>
                <c:pt idx="4">
                  <c:v>11</c:v>
                </c:pt>
                <c:pt idx="5">
                  <c:v>6</c:v>
                </c:pt>
                <c:pt idx="6">
                  <c:v>14</c:v>
                </c:pt>
                <c:pt idx="7">
                  <c:v>9</c:v>
                </c:pt>
                <c:pt idx="8">
                  <c:v>10</c:v>
                </c:pt>
                <c:pt idx="9">
                  <c:v>5</c:v>
                </c:pt>
                <c:pt idx="10">
                  <c:v>8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'20.10 KAPEEKA-NGOMA'!$AF$9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KAPEEKA-NGOMA'!$AF$10:$AF$21</c:f>
              <c:numCache>
                <c:formatCode>0</c:formatCode>
                <c:ptCount val="12"/>
                <c:pt idx="0">
                  <c:v>20</c:v>
                </c:pt>
                <c:pt idx="1">
                  <c:v>34</c:v>
                </c:pt>
                <c:pt idx="2">
                  <c:v>24</c:v>
                </c:pt>
                <c:pt idx="3">
                  <c:v>37</c:v>
                </c:pt>
                <c:pt idx="4">
                  <c:v>32</c:v>
                </c:pt>
                <c:pt idx="5">
                  <c:v>23</c:v>
                </c:pt>
                <c:pt idx="6">
                  <c:v>26</c:v>
                </c:pt>
                <c:pt idx="7">
                  <c:v>23</c:v>
                </c:pt>
                <c:pt idx="8">
                  <c:v>32</c:v>
                </c:pt>
                <c:pt idx="9">
                  <c:v>18</c:v>
                </c:pt>
                <c:pt idx="10">
                  <c:v>28</c:v>
                </c:pt>
                <c:pt idx="1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12000"/>
        <c:axId val="81314176"/>
      </c:lineChart>
      <c:catAx>
        <c:axId val="81312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314176"/>
        <c:crosses val="autoZero"/>
        <c:auto val="1"/>
        <c:lblAlgn val="ctr"/>
        <c:lblOffset val="100"/>
        <c:noMultiLvlLbl val="0"/>
      </c:catAx>
      <c:valAx>
        <c:axId val="81314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31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KAPEEKA-NGOMA'!$C$9:$N$9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KAPEEKA-NGOMA'!$C$59:$N$59</c:f>
              <c:numCache>
                <c:formatCode>0.0%</c:formatCode>
                <c:ptCount val="12"/>
                <c:pt idx="0">
                  <c:v>6.7901234567901231E-2</c:v>
                </c:pt>
                <c:pt idx="1">
                  <c:v>3.3950617283950615E-2</c:v>
                </c:pt>
                <c:pt idx="2">
                  <c:v>4.3209876543209874E-2</c:v>
                </c:pt>
                <c:pt idx="3">
                  <c:v>6.4814814814814811E-2</c:v>
                </c:pt>
                <c:pt idx="4">
                  <c:v>0</c:v>
                </c:pt>
                <c:pt idx="5">
                  <c:v>0</c:v>
                </c:pt>
                <c:pt idx="6">
                  <c:v>0.10185185185185185</c:v>
                </c:pt>
                <c:pt idx="7">
                  <c:v>3.0864197530864196E-2</c:v>
                </c:pt>
                <c:pt idx="8">
                  <c:v>6.1728395061728392E-3</c:v>
                </c:pt>
                <c:pt idx="9">
                  <c:v>0</c:v>
                </c:pt>
                <c:pt idx="10">
                  <c:v>0.65123456790123457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KAPEEKA-NGOMA'!$S$9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KAPEEKA-NGOMA'!$S$10:$S$21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'20.10 KAPEEKA-NGOMA'!$T$9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KAPEEKA-NGOMA'!$T$10:$T$21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'20.10 KAPEEKA-NGOMA'!$U$9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'20.10 KAPEEKA-NGOMA'!$U$10:$U$21</c:f>
              <c:numCache>
                <c:formatCode>0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'20.10 KAPEEKA-NGOMA'!$V$9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'20.10 KAPEEKA-NGOMA'!$V$10:$V$21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'20.10 KAPEEKA-NGOMA'!$W$9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'20.10 KAPEEKA-NGOMA'!$W$10:$W$21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'20.10 KAPEEKA-NGOMA'!$X$9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'20.10 KAPEEKA-NGOMA'!$X$10:$X$21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'20.10 KAPEEKA-NGOMA'!$Y$9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KAPEEKA-NGOMA'!$Y$10:$Y$21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5">
                  <c:v>0</c:v>
                </c:pt>
                <c:pt idx="6">
                  <c:v>6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'20.10 KAPEEKA-NGOMA'!$Z$9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KAPEEKA-NGOMA'!$Z$10:$Z$21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'20.10 KAPEEKA-NGOMA'!$AA$9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KAPEEKA-NGOMA'!$AA$10:$AA$21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'20.10 KAPEEKA-NGOMA'!$AB$9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KAPEEKA-NGOMA'!$AB$10:$AB$21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'20.10 KAPEEKA-NGOMA'!$AC$9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KAPEEKA-NGOMA'!$AC$10:$AC$21</c:f>
              <c:numCache>
                <c:formatCode>0</c:formatCode>
                <c:ptCount val="12"/>
                <c:pt idx="0">
                  <c:v>15</c:v>
                </c:pt>
                <c:pt idx="1">
                  <c:v>21</c:v>
                </c:pt>
                <c:pt idx="2">
                  <c:v>17</c:v>
                </c:pt>
                <c:pt idx="3">
                  <c:v>24</c:v>
                </c:pt>
                <c:pt idx="4">
                  <c:v>21</c:v>
                </c:pt>
                <c:pt idx="5">
                  <c:v>17</c:v>
                </c:pt>
                <c:pt idx="6">
                  <c:v>12</c:v>
                </c:pt>
                <c:pt idx="7">
                  <c:v>14</c:v>
                </c:pt>
                <c:pt idx="8">
                  <c:v>22</c:v>
                </c:pt>
                <c:pt idx="9">
                  <c:v>13</c:v>
                </c:pt>
                <c:pt idx="10">
                  <c:v>20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'20.10 KAPEEKA-NGOMA'!$AD$9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KAPEEKA-NGOMA'!$AD$10:$AD$21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81120"/>
        <c:axId val="94582656"/>
      </c:lineChart>
      <c:catAx>
        <c:axId val="9458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4582656"/>
        <c:crosses val="autoZero"/>
        <c:auto val="1"/>
        <c:lblAlgn val="ctr"/>
        <c:lblOffset val="100"/>
        <c:noMultiLvlLbl val="0"/>
      </c:catAx>
      <c:valAx>
        <c:axId val="9458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458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KAPEEKA-NGOMA'!$C$9:$N$9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KAPEEKA-NGOMA'!$C$60:$N$60</c:f>
              <c:numCache>
                <c:formatCode>0.00%</c:formatCode>
                <c:ptCount val="12"/>
                <c:pt idx="0">
                  <c:v>0.19469026548672566</c:v>
                </c:pt>
                <c:pt idx="1">
                  <c:v>9.7345132743362831E-2</c:v>
                </c:pt>
                <c:pt idx="2">
                  <c:v>0.12389380530973451</c:v>
                </c:pt>
                <c:pt idx="3">
                  <c:v>0.18584070796460178</c:v>
                </c:pt>
                <c:pt idx="4">
                  <c:v>0</c:v>
                </c:pt>
                <c:pt idx="5">
                  <c:v>0</c:v>
                </c:pt>
                <c:pt idx="6">
                  <c:v>0.29203539823008851</c:v>
                </c:pt>
                <c:pt idx="7">
                  <c:v>8.8495575221238937E-2</c:v>
                </c:pt>
                <c:pt idx="8">
                  <c:v>1.7699115044247787E-2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NGOMA-KAPEEKA'!$AE$9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NGOMA-KAPEEKA'!$R$10:$R$21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NGOMA-KAPEEKA'!$AE$10:$AE$21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9</c:v>
                </c:pt>
                <c:pt idx="4">
                  <c:v>7</c:v>
                </c:pt>
                <c:pt idx="5">
                  <c:v>10</c:v>
                </c:pt>
                <c:pt idx="6">
                  <c:v>7</c:v>
                </c:pt>
                <c:pt idx="7">
                  <c:v>14</c:v>
                </c:pt>
                <c:pt idx="8">
                  <c:v>8</c:v>
                </c:pt>
                <c:pt idx="9">
                  <c:v>13</c:v>
                </c:pt>
                <c:pt idx="10">
                  <c:v>12</c:v>
                </c:pt>
                <c:pt idx="11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'20.10 NGOMA-KAPEEKA'!$AF$9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NGOMA-KAPEEKA'!$R$10:$R$21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NGOMA-KAPEEKA'!$AF$10:$AF$21</c:f>
              <c:numCache>
                <c:formatCode>0</c:formatCode>
                <c:ptCount val="12"/>
                <c:pt idx="0">
                  <c:v>17</c:v>
                </c:pt>
                <c:pt idx="1">
                  <c:v>20</c:v>
                </c:pt>
                <c:pt idx="2">
                  <c:v>14</c:v>
                </c:pt>
                <c:pt idx="3">
                  <c:v>36</c:v>
                </c:pt>
                <c:pt idx="4">
                  <c:v>22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38</c:v>
                </c:pt>
                <c:pt idx="10">
                  <c:v>31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90496"/>
        <c:axId val="95292416"/>
      </c:lineChart>
      <c:catAx>
        <c:axId val="952904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5292416"/>
        <c:crosses val="autoZero"/>
        <c:auto val="1"/>
        <c:lblAlgn val="ctr"/>
        <c:lblOffset val="100"/>
        <c:noMultiLvlLbl val="0"/>
      </c:catAx>
      <c:valAx>
        <c:axId val="952924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529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NGOMA-KAPEEKA'!$C$9:$N$9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NGOMA-KAPEEKA'!$C$59:$N$59</c:f>
              <c:numCache>
                <c:formatCode>0.0%</c:formatCode>
                <c:ptCount val="12"/>
                <c:pt idx="0">
                  <c:v>6.5155807365439092E-2</c:v>
                </c:pt>
                <c:pt idx="1">
                  <c:v>5.9490084985835696E-2</c:v>
                </c:pt>
                <c:pt idx="2">
                  <c:v>1.9830028328611898E-2</c:v>
                </c:pt>
                <c:pt idx="3">
                  <c:v>5.0991501416430593E-2</c:v>
                </c:pt>
                <c:pt idx="4">
                  <c:v>5.6657223796033997E-3</c:v>
                </c:pt>
                <c:pt idx="5">
                  <c:v>5.6657223796033997E-3</c:v>
                </c:pt>
                <c:pt idx="6">
                  <c:v>9.0651558073654395E-2</c:v>
                </c:pt>
                <c:pt idx="7">
                  <c:v>3.1161473087818695E-2</c:v>
                </c:pt>
                <c:pt idx="8">
                  <c:v>2.8328611898016999E-3</c:v>
                </c:pt>
                <c:pt idx="9">
                  <c:v>0</c:v>
                </c:pt>
                <c:pt idx="10">
                  <c:v>0.66855524079320117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NGOMA-KAPEEKA'!$C$9:$N$9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NGOMA-KAPEEKA'!$C$60:$N$60</c:f>
              <c:numCache>
                <c:formatCode>0.00%</c:formatCode>
                <c:ptCount val="12"/>
                <c:pt idx="0">
                  <c:v>0.19658119658119658</c:v>
                </c:pt>
                <c:pt idx="1">
                  <c:v>0.17948717948717949</c:v>
                </c:pt>
                <c:pt idx="2">
                  <c:v>5.9829059829059832E-2</c:v>
                </c:pt>
                <c:pt idx="3">
                  <c:v>0.15384615384615385</c:v>
                </c:pt>
                <c:pt idx="4">
                  <c:v>1.7094017094017096E-2</c:v>
                </c:pt>
                <c:pt idx="5">
                  <c:v>1.7094017094017096E-2</c:v>
                </c:pt>
                <c:pt idx="6">
                  <c:v>0.27350427350427353</c:v>
                </c:pt>
                <c:pt idx="7">
                  <c:v>9.4017094017094016E-2</c:v>
                </c:pt>
                <c:pt idx="8">
                  <c:v>8.5470085470085479E-3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KAPEEKA-NGOMA-24h'!$AE$9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KAPEEKA-NGOMA-24h'!$R$10:$R$33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KAPEEKA-NGOMA-24h'!$AE$10:$AE$33</c:f>
              <c:numCache>
                <c:formatCode>0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7</c:v>
                </c:pt>
                <c:pt idx="5">
                  <c:v>10</c:v>
                </c:pt>
                <c:pt idx="6">
                  <c:v>5</c:v>
                </c:pt>
                <c:pt idx="7">
                  <c:v>8</c:v>
                </c:pt>
                <c:pt idx="8">
                  <c:v>4</c:v>
                </c:pt>
                <c:pt idx="9">
                  <c:v>14</c:v>
                </c:pt>
                <c:pt idx="10">
                  <c:v>12</c:v>
                </c:pt>
                <c:pt idx="11">
                  <c:v>7</c:v>
                </c:pt>
                <c:pt idx="12">
                  <c:v>12</c:v>
                </c:pt>
                <c:pt idx="13">
                  <c:v>16</c:v>
                </c:pt>
                <c:pt idx="14">
                  <c:v>29</c:v>
                </c:pt>
                <c:pt idx="15">
                  <c:v>8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3</c:v>
                </c:pt>
                <c:pt idx="22">
                  <c:v>9</c:v>
                </c:pt>
                <c:pt idx="23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'21.10 KAPEEKA-NGOMA-24h'!$AF$9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KAPEEKA-NGOMA-24h'!$R$10:$R$33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KAPEEKA-NGOMA-24h'!$AF$10:$AF$33</c:f>
              <c:numCache>
                <c:formatCode>0</c:formatCode>
                <c:ptCount val="24"/>
                <c:pt idx="0">
                  <c:v>8</c:v>
                </c:pt>
                <c:pt idx="1">
                  <c:v>14</c:v>
                </c:pt>
                <c:pt idx="2">
                  <c:v>14</c:v>
                </c:pt>
                <c:pt idx="3">
                  <c:v>22</c:v>
                </c:pt>
                <c:pt idx="4">
                  <c:v>26</c:v>
                </c:pt>
                <c:pt idx="5">
                  <c:v>40</c:v>
                </c:pt>
                <c:pt idx="6">
                  <c:v>27</c:v>
                </c:pt>
                <c:pt idx="7">
                  <c:v>35</c:v>
                </c:pt>
                <c:pt idx="8">
                  <c:v>17</c:v>
                </c:pt>
                <c:pt idx="9">
                  <c:v>36</c:v>
                </c:pt>
                <c:pt idx="10">
                  <c:v>27</c:v>
                </c:pt>
                <c:pt idx="11">
                  <c:v>27</c:v>
                </c:pt>
                <c:pt idx="12">
                  <c:v>34</c:v>
                </c:pt>
                <c:pt idx="13">
                  <c:v>26</c:v>
                </c:pt>
                <c:pt idx="14">
                  <c:v>38</c:v>
                </c:pt>
                <c:pt idx="15">
                  <c:v>13</c:v>
                </c:pt>
                <c:pt idx="16">
                  <c:v>4</c:v>
                </c:pt>
                <c:pt idx="17">
                  <c:v>4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7</c:v>
                </c:pt>
                <c:pt idx="22">
                  <c:v>17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54656"/>
        <c:axId val="95656576"/>
      </c:lineChart>
      <c:catAx>
        <c:axId val="9565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5656576"/>
        <c:crosses val="autoZero"/>
        <c:auto val="1"/>
        <c:lblAlgn val="ctr"/>
        <c:lblOffset val="100"/>
        <c:noMultiLvlLbl val="0"/>
      </c:catAx>
      <c:valAx>
        <c:axId val="95656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565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KAPEEKA-NGOMA-24h'!$C$9:$N$9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KAPEEKA-NGOMA-24h'!$C$107:$N$107</c:f>
              <c:numCache>
                <c:formatCode>0.0%</c:formatCode>
                <c:ptCount val="12"/>
                <c:pt idx="0">
                  <c:v>0.14505494505494507</c:v>
                </c:pt>
                <c:pt idx="1">
                  <c:v>1.098901098901099E-2</c:v>
                </c:pt>
                <c:pt idx="2">
                  <c:v>3.0769230769230771E-2</c:v>
                </c:pt>
                <c:pt idx="3">
                  <c:v>5.7142857142857141E-2</c:v>
                </c:pt>
                <c:pt idx="4">
                  <c:v>8.7912087912087912E-3</c:v>
                </c:pt>
                <c:pt idx="5">
                  <c:v>4.3956043956043956E-3</c:v>
                </c:pt>
                <c:pt idx="6">
                  <c:v>0.1010989010989011</c:v>
                </c:pt>
                <c:pt idx="7">
                  <c:v>3.7362637362637362E-2</c:v>
                </c:pt>
                <c:pt idx="8">
                  <c:v>1.098901098901099E-2</c:v>
                </c:pt>
                <c:pt idx="9">
                  <c:v>4.3956043956043956E-3</c:v>
                </c:pt>
                <c:pt idx="10">
                  <c:v>0.58901098901098903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KAPEEKA-NGOMA-24h'!$C$9:$N$9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KAPEEKA-NGOMA-24h'!$C$108:$N$108</c:f>
              <c:numCache>
                <c:formatCode>0.00%</c:formatCode>
                <c:ptCount val="12"/>
                <c:pt idx="0">
                  <c:v>0.35294117647058826</c:v>
                </c:pt>
                <c:pt idx="1">
                  <c:v>2.6737967914438502E-2</c:v>
                </c:pt>
                <c:pt idx="2">
                  <c:v>7.4866310160427801E-2</c:v>
                </c:pt>
                <c:pt idx="3">
                  <c:v>0.13903743315508021</c:v>
                </c:pt>
                <c:pt idx="4">
                  <c:v>2.1390374331550801E-2</c:v>
                </c:pt>
                <c:pt idx="5">
                  <c:v>1.06951871657754E-2</c:v>
                </c:pt>
                <c:pt idx="6">
                  <c:v>0.24598930481283424</c:v>
                </c:pt>
                <c:pt idx="7">
                  <c:v>9.0909090909090912E-2</c:v>
                </c:pt>
                <c:pt idx="8">
                  <c:v>2.6737967914438502E-2</c:v>
                </c:pt>
                <c:pt idx="9">
                  <c:v>1.06951871657754E-2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NGOMA KAPEEKA-24h'!$AE$9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NGOMA KAPEEKA-24h'!$R$10:$R$33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NGOMA KAPEEKA-24h'!$AE$10:$AE$33</c:f>
              <c:numCache>
                <c:formatCode>0</c:formatCode>
                <c:ptCount val="24"/>
                <c:pt idx="0">
                  <c:v>5</c:v>
                </c:pt>
                <c:pt idx="1">
                  <c:v>8</c:v>
                </c:pt>
                <c:pt idx="2">
                  <c:v>3</c:v>
                </c:pt>
                <c:pt idx="3">
                  <c:v>10</c:v>
                </c:pt>
                <c:pt idx="4">
                  <c:v>4</c:v>
                </c:pt>
                <c:pt idx="5">
                  <c:v>6</c:v>
                </c:pt>
                <c:pt idx="6">
                  <c:v>13</c:v>
                </c:pt>
                <c:pt idx="7">
                  <c:v>8</c:v>
                </c:pt>
                <c:pt idx="8">
                  <c:v>8</c:v>
                </c:pt>
                <c:pt idx="9">
                  <c:v>5</c:v>
                </c:pt>
                <c:pt idx="10">
                  <c:v>10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  <c:pt idx="14">
                  <c:v>5</c:v>
                </c:pt>
                <c:pt idx="15">
                  <c:v>3</c:v>
                </c:pt>
                <c:pt idx="16">
                  <c:v>7</c:v>
                </c:pt>
                <c:pt idx="17">
                  <c:v>4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'21.10 NGOMA KAPEEKA-24h'!$AF$9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NGOMA KAPEEKA-24h'!$R$10:$R$33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NGOMA KAPEEKA-24h'!$AF$10:$AF$33</c:f>
              <c:numCache>
                <c:formatCode>0</c:formatCode>
                <c:ptCount val="24"/>
                <c:pt idx="0">
                  <c:v>14</c:v>
                </c:pt>
                <c:pt idx="1">
                  <c:v>21</c:v>
                </c:pt>
                <c:pt idx="2">
                  <c:v>20</c:v>
                </c:pt>
                <c:pt idx="3">
                  <c:v>22</c:v>
                </c:pt>
                <c:pt idx="4">
                  <c:v>27</c:v>
                </c:pt>
                <c:pt idx="5">
                  <c:v>25</c:v>
                </c:pt>
                <c:pt idx="6">
                  <c:v>36</c:v>
                </c:pt>
                <c:pt idx="7">
                  <c:v>33</c:v>
                </c:pt>
                <c:pt idx="8">
                  <c:v>28</c:v>
                </c:pt>
                <c:pt idx="9">
                  <c:v>27</c:v>
                </c:pt>
                <c:pt idx="10">
                  <c:v>33</c:v>
                </c:pt>
                <c:pt idx="11">
                  <c:v>30</c:v>
                </c:pt>
                <c:pt idx="12">
                  <c:v>35</c:v>
                </c:pt>
                <c:pt idx="13">
                  <c:v>17</c:v>
                </c:pt>
                <c:pt idx="14">
                  <c:v>22</c:v>
                </c:pt>
                <c:pt idx="15">
                  <c:v>10</c:v>
                </c:pt>
                <c:pt idx="16">
                  <c:v>7</c:v>
                </c:pt>
                <c:pt idx="17">
                  <c:v>4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6</c:v>
                </c:pt>
                <c:pt idx="22">
                  <c:v>12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99712"/>
        <c:axId val="96273920"/>
      </c:lineChart>
      <c:catAx>
        <c:axId val="96099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273920"/>
        <c:crosses val="autoZero"/>
        <c:auto val="1"/>
        <c:lblAlgn val="ctr"/>
        <c:lblOffset val="100"/>
        <c:noMultiLvlLbl val="0"/>
      </c:catAx>
      <c:valAx>
        <c:axId val="96273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09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NGOMA KAPEEKA-24h'!$C$9:$N$9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NGOMA KAPEEKA-24h'!$C$107:$N$107</c:f>
              <c:numCache>
                <c:formatCode>0.0%</c:formatCode>
                <c:ptCount val="12"/>
                <c:pt idx="0">
                  <c:v>8.0357142857142863E-2</c:v>
                </c:pt>
                <c:pt idx="1">
                  <c:v>2.6785714285714284E-2</c:v>
                </c:pt>
                <c:pt idx="2">
                  <c:v>2.2321428571428572E-2</c:v>
                </c:pt>
                <c:pt idx="3">
                  <c:v>7.3660714285714288E-2</c:v>
                </c:pt>
                <c:pt idx="4">
                  <c:v>0</c:v>
                </c:pt>
                <c:pt idx="5">
                  <c:v>0</c:v>
                </c:pt>
                <c:pt idx="6">
                  <c:v>9.8214285714285712E-2</c:v>
                </c:pt>
                <c:pt idx="7">
                  <c:v>1.3392857142857142E-2</c:v>
                </c:pt>
                <c:pt idx="8">
                  <c:v>2.232142857142857E-3</c:v>
                </c:pt>
                <c:pt idx="9">
                  <c:v>0</c:v>
                </c:pt>
                <c:pt idx="10">
                  <c:v>0.6830357142857143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NGOMA KAPEEKA-24h'!$C$9:$N$9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NGOMA KAPEEKA-24h'!$C$108:$N$108</c:f>
              <c:numCache>
                <c:formatCode>0.00%</c:formatCode>
                <c:ptCount val="12"/>
                <c:pt idx="0">
                  <c:v>0.25352112676056338</c:v>
                </c:pt>
                <c:pt idx="1">
                  <c:v>8.4507042253521125E-2</c:v>
                </c:pt>
                <c:pt idx="2">
                  <c:v>7.0422535211267609E-2</c:v>
                </c:pt>
                <c:pt idx="3">
                  <c:v>0.23239436619718309</c:v>
                </c:pt>
                <c:pt idx="4">
                  <c:v>0</c:v>
                </c:pt>
                <c:pt idx="5">
                  <c:v>0</c:v>
                </c:pt>
                <c:pt idx="6">
                  <c:v>0.30985915492957744</c:v>
                </c:pt>
                <c:pt idx="7">
                  <c:v>4.2253521126760563E-2</c:v>
                </c:pt>
                <c:pt idx="8">
                  <c:v>7.0422535211267607E-3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KAPEEKA-NGOMA'!$AE$9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KAPEEKA-NGOMA'!$AE$10:$AE$21</c:f>
              <c:numCache>
                <c:formatCode>0</c:formatCode>
                <c:ptCount val="12"/>
                <c:pt idx="0">
                  <c:v>9</c:v>
                </c:pt>
                <c:pt idx="1">
                  <c:v>13</c:v>
                </c:pt>
                <c:pt idx="2">
                  <c:v>5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'22.10 KAPEEKA-NGOMA'!$AF$9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KAPEEKA-NGOMA'!$AF$10:$AF$21</c:f>
              <c:numCache>
                <c:formatCode>0</c:formatCode>
                <c:ptCount val="12"/>
                <c:pt idx="0">
                  <c:v>24</c:v>
                </c:pt>
                <c:pt idx="1">
                  <c:v>43</c:v>
                </c:pt>
                <c:pt idx="2">
                  <c:v>28</c:v>
                </c:pt>
                <c:pt idx="3">
                  <c:v>38</c:v>
                </c:pt>
                <c:pt idx="4">
                  <c:v>34</c:v>
                </c:pt>
                <c:pt idx="5">
                  <c:v>38</c:v>
                </c:pt>
                <c:pt idx="6">
                  <c:v>32</c:v>
                </c:pt>
                <c:pt idx="7">
                  <c:v>29</c:v>
                </c:pt>
                <c:pt idx="8">
                  <c:v>34</c:v>
                </c:pt>
                <c:pt idx="9">
                  <c:v>29</c:v>
                </c:pt>
                <c:pt idx="10">
                  <c:v>30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839168"/>
        <c:axId val="96841088"/>
      </c:lineChart>
      <c:catAx>
        <c:axId val="96839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841088"/>
        <c:crosses val="autoZero"/>
        <c:auto val="1"/>
        <c:lblAlgn val="ctr"/>
        <c:lblOffset val="100"/>
        <c:noMultiLvlLbl val="0"/>
      </c:catAx>
      <c:valAx>
        <c:axId val="968410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8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KAPEEKA-NGOMA'!$C$9:$N$9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KAPEEKA-NGOMA'!$C$59:$N$59</c:f>
              <c:numCache>
                <c:formatCode>0.0%</c:formatCode>
                <c:ptCount val="12"/>
                <c:pt idx="0">
                  <c:v>7.9787234042553196E-2</c:v>
                </c:pt>
                <c:pt idx="1">
                  <c:v>2.9255319148936171E-2</c:v>
                </c:pt>
                <c:pt idx="2">
                  <c:v>3.7234042553191488E-2</c:v>
                </c:pt>
                <c:pt idx="3">
                  <c:v>3.9893617021276598E-2</c:v>
                </c:pt>
                <c:pt idx="4">
                  <c:v>0</c:v>
                </c:pt>
                <c:pt idx="5">
                  <c:v>0</c:v>
                </c:pt>
                <c:pt idx="6">
                  <c:v>8.5106382978723402E-2</c:v>
                </c:pt>
                <c:pt idx="7">
                  <c:v>3.1914893617021274E-2</c:v>
                </c:pt>
                <c:pt idx="8">
                  <c:v>0</c:v>
                </c:pt>
                <c:pt idx="9">
                  <c:v>5.3191489361702126E-3</c:v>
                </c:pt>
                <c:pt idx="10">
                  <c:v>0.69148936170212771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KAPEEKA-NGOMA'!$S$9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KAPEEKA-NGOMA'!$S$10:$S$21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'22.10 KAPEEKA-NGOMA'!$T$9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KAPEEKA-NGOMA'!$T$10:$T$21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'22.10 KAPEEKA-NGOMA'!$U$9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'22.10 KAPEEKA-NGOMA'!$U$10:$U$21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'22.10 KAPEEKA-NGOMA'!$V$9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'22.10 KAPEEKA-NGOMA'!$V$10:$V$21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'22.10 KAPEEKA-NGOMA'!$W$9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'22.10 KAPEEKA-NGOMA'!$W$10:$W$21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'22.10 KAPEEKA-NGOMA'!$X$9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'22.10 KAPEEKA-NGOMA'!$X$10:$X$21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'22.10 KAPEEKA-NGOMA'!$Y$9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KAPEEKA-NGOMA'!$Y$10:$Y$21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'22.10 KAPEEKA-NGOMA'!$Z$9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KAPEEKA-NGOMA'!$Z$10:$Z$21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'22.10 KAPEEKA-NGOMA'!$AA$9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KAPEEKA-NGOMA'!$AA$10:$AA$21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'22.10 KAPEEKA-NGOMA'!$AB$9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KAPEEKA-NGOMA'!$AB$10:$AB$21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'22.10 KAPEEKA-NGOMA'!$AC$9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KAPEEKA-NGOMA'!$AC$10:$AC$21</c:f>
              <c:numCache>
                <c:formatCode>0</c:formatCode>
                <c:ptCount val="12"/>
                <c:pt idx="0">
                  <c:v>15</c:v>
                </c:pt>
                <c:pt idx="1">
                  <c:v>30</c:v>
                </c:pt>
                <c:pt idx="2">
                  <c:v>23</c:v>
                </c:pt>
                <c:pt idx="3">
                  <c:v>28</c:v>
                </c:pt>
                <c:pt idx="4">
                  <c:v>22</c:v>
                </c:pt>
                <c:pt idx="5">
                  <c:v>25</c:v>
                </c:pt>
                <c:pt idx="6">
                  <c:v>20</c:v>
                </c:pt>
                <c:pt idx="7">
                  <c:v>19</c:v>
                </c:pt>
                <c:pt idx="8">
                  <c:v>24</c:v>
                </c:pt>
                <c:pt idx="9">
                  <c:v>18</c:v>
                </c:pt>
                <c:pt idx="10">
                  <c:v>25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'22.10 KAPEEKA-NGOMA'!$AD$9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KAPEEKA-NGOMA'!$AD$10:$AD$21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58880"/>
        <c:axId val="97293440"/>
      </c:lineChart>
      <c:catAx>
        <c:axId val="972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293440"/>
        <c:crosses val="autoZero"/>
        <c:auto val="1"/>
        <c:lblAlgn val="ctr"/>
        <c:lblOffset val="100"/>
        <c:noMultiLvlLbl val="0"/>
      </c:catAx>
      <c:valAx>
        <c:axId val="9729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25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KAPEEKA-NGOMA'!$C$9:$N$9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KAPEEKA-NGOMA'!$C$60:$N$60</c:f>
              <c:numCache>
                <c:formatCode>0.00%</c:formatCode>
                <c:ptCount val="12"/>
                <c:pt idx="0">
                  <c:v>0.25862068965517243</c:v>
                </c:pt>
                <c:pt idx="1">
                  <c:v>9.4827586206896547E-2</c:v>
                </c:pt>
                <c:pt idx="2">
                  <c:v>0.1206896551724138</c:v>
                </c:pt>
                <c:pt idx="3">
                  <c:v>0.12931034482758622</c:v>
                </c:pt>
                <c:pt idx="4">
                  <c:v>0</c:v>
                </c:pt>
                <c:pt idx="5">
                  <c:v>0</c:v>
                </c:pt>
                <c:pt idx="6">
                  <c:v>0.27586206896551724</c:v>
                </c:pt>
                <c:pt idx="7">
                  <c:v>0.10344827586206896</c:v>
                </c:pt>
                <c:pt idx="8">
                  <c:v>0</c:v>
                </c:pt>
                <c:pt idx="9">
                  <c:v>1.7241379310344827E-2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NGOMA-KAPEERA'!$AE$9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 NGOMA-KAPEERA'!$R$10:$R$21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NGOMA-KAPEERA'!$AE$10:$AE$21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21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'22.10 NGOMA-KAPEERA'!$AF$9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 NGOMA-KAPEERA'!$R$10:$R$21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NGOMA-KAPEERA'!$AF$10:$AF$21</c:f>
              <c:numCache>
                <c:formatCode>0</c:formatCode>
                <c:ptCount val="12"/>
                <c:pt idx="0">
                  <c:v>18</c:v>
                </c:pt>
                <c:pt idx="1">
                  <c:v>24</c:v>
                </c:pt>
                <c:pt idx="2">
                  <c:v>26</c:v>
                </c:pt>
                <c:pt idx="3">
                  <c:v>20</c:v>
                </c:pt>
                <c:pt idx="4">
                  <c:v>26</c:v>
                </c:pt>
                <c:pt idx="5">
                  <c:v>37</c:v>
                </c:pt>
                <c:pt idx="6">
                  <c:v>48</c:v>
                </c:pt>
                <c:pt idx="7">
                  <c:v>31</c:v>
                </c:pt>
                <c:pt idx="8">
                  <c:v>47</c:v>
                </c:pt>
                <c:pt idx="9">
                  <c:v>37</c:v>
                </c:pt>
                <c:pt idx="10">
                  <c:v>38</c:v>
                </c:pt>
                <c:pt idx="11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81088"/>
        <c:axId val="97483008"/>
      </c:lineChart>
      <c:catAx>
        <c:axId val="97481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483008"/>
        <c:crosses val="autoZero"/>
        <c:auto val="1"/>
        <c:lblAlgn val="ctr"/>
        <c:lblOffset val="100"/>
        <c:noMultiLvlLbl val="0"/>
      </c:catAx>
      <c:valAx>
        <c:axId val="97483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48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NGOMA-KAPEERA'!$C$9:$N$9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NGOMA-KAPEERA'!$C$59:$N$59</c:f>
              <c:numCache>
                <c:formatCode>0.0%</c:formatCode>
                <c:ptCount val="12"/>
                <c:pt idx="0">
                  <c:v>7.4742268041237112E-2</c:v>
                </c:pt>
                <c:pt idx="1">
                  <c:v>2.0618556701030927E-2</c:v>
                </c:pt>
                <c:pt idx="2">
                  <c:v>2.0618556701030927E-2</c:v>
                </c:pt>
                <c:pt idx="3">
                  <c:v>4.8969072164948453E-2</c:v>
                </c:pt>
                <c:pt idx="4">
                  <c:v>0</c:v>
                </c:pt>
                <c:pt idx="5">
                  <c:v>0</c:v>
                </c:pt>
                <c:pt idx="6">
                  <c:v>9.0206185567010308E-2</c:v>
                </c:pt>
                <c:pt idx="7">
                  <c:v>4.3814432989690719E-2</c:v>
                </c:pt>
                <c:pt idx="8">
                  <c:v>2.5773195876288659E-3</c:v>
                </c:pt>
                <c:pt idx="9">
                  <c:v>2.5773195876288659E-3</c:v>
                </c:pt>
                <c:pt idx="10">
                  <c:v>0.69587628865979378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NGOMA-KAPEERA'!$S$9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'22.10 NGOMA-KAPEERA'!$R$10:$R$21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NGOMA-KAPEERA'!$S$10:$S$21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'22.10 NGOMA-KAPEERA'!$T$9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'22.10 NGOMA-KAPEERA'!$R$10:$R$21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NGOMA-KAPEERA'!$T$10:$T$21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'22.10 NGOMA-KAPEERA'!$U$9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'22.10 NGOMA-KAPEERA'!$U$10:$U$21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'22.10 NGOMA-KAPEERA'!$V$9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'22.10 NGOMA-KAPEERA'!$V$10:$V$21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'22.10 NGOMA-KAPEERA'!$W$9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'22.10 NGOMA-KAPEERA'!$W$10:$W$21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'22.10 NGOMA-KAPEERA'!$X$9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'22.10 NGOMA-KAPEERA'!$X$10:$X$21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'22.10 NGOMA-KAPEERA'!$Y$9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NGOMA-KAPEERA'!$Y$10:$Y$21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'22.10 NGOMA-KAPEERA'!$Z$9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NGOMA-KAPEERA'!$Z$10:$Z$21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9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'22.10 NGOMA-KAPEERA'!$AA$9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NGOMA-KAPEERA'!$AA$10:$AA$21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'22.10 NGOMA-KAPEERA'!$AB$9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NGOMA-KAPEERA'!$AB$10:$AB$21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'22.10 NGOMA-KAPEERA'!$AC$9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NGOMA-KAPEERA'!$AC$10:$AC$21</c:f>
              <c:numCache>
                <c:formatCode>0</c:formatCode>
                <c:ptCount val="12"/>
                <c:pt idx="0">
                  <c:v>15</c:v>
                </c:pt>
                <c:pt idx="1">
                  <c:v>19</c:v>
                </c:pt>
                <c:pt idx="2">
                  <c:v>23</c:v>
                </c:pt>
                <c:pt idx="3">
                  <c:v>15</c:v>
                </c:pt>
                <c:pt idx="4">
                  <c:v>20</c:v>
                </c:pt>
                <c:pt idx="5">
                  <c:v>29</c:v>
                </c:pt>
                <c:pt idx="6">
                  <c:v>27</c:v>
                </c:pt>
                <c:pt idx="7">
                  <c:v>20</c:v>
                </c:pt>
                <c:pt idx="8">
                  <c:v>31</c:v>
                </c:pt>
                <c:pt idx="9">
                  <c:v>27</c:v>
                </c:pt>
                <c:pt idx="10">
                  <c:v>23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'22.10 NGOMA-KAPEERA'!$AD$9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NGOMA-KAPEERA'!$AD$10:$AD$21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294208"/>
        <c:axId val="119312384"/>
      </c:lineChart>
      <c:catAx>
        <c:axId val="11929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312384"/>
        <c:crosses val="autoZero"/>
        <c:auto val="1"/>
        <c:lblAlgn val="ctr"/>
        <c:lblOffset val="100"/>
        <c:noMultiLvlLbl val="0"/>
      </c:catAx>
      <c:valAx>
        <c:axId val="11931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29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NGOMA-KAPEERA'!$C$9:$N$9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NGOMA-KAPEERA'!$C$60:$N$60</c:f>
              <c:numCache>
                <c:formatCode>0.00%</c:formatCode>
                <c:ptCount val="12"/>
                <c:pt idx="0">
                  <c:v>0.24576271186440679</c:v>
                </c:pt>
                <c:pt idx="1">
                  <c:v>6.7796610169491525E-2</c:v>
                </c:pt>
                <c:pt idx="2">
                  <c:v>6.7796610169491525E-2</c:v>
                </c:pt>
                <c:pt idx="3">
                  <c:v>0.16101694915254236</c:v>
                </c:pt>
                <c:pt idx="4">
                  <c:v>0</c:v>
                </c:pt>
                <c:pt idx="5">
                  <c:v>0</c:v>
                </c:pt>
                <c:pt idx="6">
                  <c:v>0.29661016949152541</c:v>
                </c:pt>
                <c:pt idx="7">
                  <c:v>0.1440677966101695</c:v>
                </c:pt>
                <c:pt idx="8">
                  <c:v>8.4745762711864406E-3</c:v>
                </c:pt>
                <c:pt idx="9">
                  <c:v>8.4745762711864406E-3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KAPEEKA-NGOMA'!$AE$9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KAPEEKA-NGOMA'!$AE$10:$AE$21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10</c:v>
                </c:pt>
                <c:pt idx="4">
                  <c:v>9</c:v>
                </c:pt>
                <c:pt idx="5">
                  <c:v>13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7</c:v>
                </c:pt>
                <c:pt idx="10">
                  <c:v>9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'23.10 KAPEEKA-NGOMA'!$AF$9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KAPEEKA-NGOMA'!$AF$10:$AF$21</c:f>
              <c:numCache>
                <c:formatCode>0</c:formatCode>
                <c:ptCount val="12"/>
                <c:pt idx="0">
                  <c:v>18</c:v>
                </c:pt>
                <c:pt idx="1">
                  <c:v>23</c:v>
                </c:pt>
                <c:pt idx="2">
                  <c:v>20</c:v>
                </c:pt>
                <c:pt idx="3">
                  <c:v>29</c:v>
                </c:pt>
                <c:pt idx="4">
                  <c:v>25</c:v>
                </c:pt>
                <c:pt idx="5">
                  <c:v>35</c:v>
                </c:pt>
                <c:pt idx="6">
                  <c:v>32</c:v>
                </c:pt>
                <c:pt idx="7">
                  <c:v>30</c:v>
                </c:pt>
                <c:pt idx="8">
                  <c:v>26</c:v>
                </c:pt>
                <c:pt idx="9">
                  <c:v>18</c:v>
                </c:pt>
                <c:pt idx="10">
                  <c:v>27</c:v>
                </c:pt>
                <c:pt idx="11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966720"/>
        <c:axId val="192373888"/>
      </c:lineChart>
      <c:catAx>
        <c:axId val="1839667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2373888"/>
        <c:crosses val="autoZero"/>
        <c:auto val="1"/>
        <c:lblAlgn val="ctr"/>
        <c:lblOffset val="100"/>
        <c:noMultiLvlLbl val="0"/>
      </c:catAx>
      <c:valAx>
        <c:axId val="192373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8396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KAPEEKA-NGOMA'!$C$9:$N$9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KAPEEKA-NGOMA'!$C$59:$N$59</c:f>
              <c:numCache>
                <c:formatCode>0.0%</c:formatCode>
                <c:ptCount val="12"/>
                <c:pt idx="0">
                  <c:v>4.746835443037975E-2</c:v>
                </c:pt>
                <c:pt idx="1">
                  <c:v>2.5316455696202531E-2</c:v>
                </c:pt>
                <c:pt idx="2">
                  <c:v>4.1139240506329111E-2</c:v>
                </c:pt>
                <c:pt idx="3">
                  <c:v>7.5949367088607597E-2</c:v>
                </c:pt>
                <c:pt idx="4">
                  <c:v>0</c:v>
                </c:pt>
                <c:pt idx="5">
                  <c:v>0</c:v>
                </c:pt>
                <c:pt idx="6">
                  <c:v>0.10443037974683544</c:v>
                </c:pt>
                <c:pt idx="7">
                  <c:v>2.5316455696202531E-2</c:v>
                </c:pt>
                <c:pt idx="8">
                  <c:v>0</c:v>
                </c:pt>
                <c:pt idx="9">
                  <c:v>3.1645569620253164E-3</c:v>
                </c:pt>
                <c:pt idx="10">
                  <c:v>0.67721518987341767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KAPEEKA-NGOMA'!$S$9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KAPEEKA-NGOMA'!$S$10:$S$21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'23.10 KAPEEKA-NGOMA'!$T$9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KAPEEKA-NGOMA'!$R$10:$R$21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KAPEEKA-NGOMA'!$T$10:$T$21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'23.10 KAPEEKA-NGOMA'!$U$9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KAPEEKA-NGOMA'!$U$10:$U$21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'23.10 KAPEEKA-NGOMA'!$V$9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KAPEEKA-NGOMA'!$V$10:$V$21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'23.10 KAPEEKA-NGOMA'!$W$9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KAPEEKA-NGOMA'!$W$10:$W$21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'23.10 KAPEEKA-NGOMA'!$X$9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KAPEEKA-NGOMA'!$X$10:$X$21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'23.10 KAPEEKA-NGOMA'!$Y$9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KAPEEKA-NGOMA'!$Y$10:$Y$21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'23.10 KAPEEKA-NGOMA'!$Z$9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KAPEEKA-NGOMA'!$Z$10:$Z$21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'23.10 KAPEEKA-NGOMA'!$AA$9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KAPEEKA-NGOMA'!$AA$10:$AA$21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'23.10 KAPEEKA-NGOMA'!$AB$9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KAPEEKA-NGOMA'!$AB$10:$AB$21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'23.10 KAPEEKA-NGOMA'!$AC$9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KAPEEKA-NGOMA'!$AC$10:$AC$21</c:f>
              <c:numCache>
                <c:formatCode>0</c:formatCode>
                <c:ptCount val="12"/>
                <c:pt idx="0">
                  <c:v>13</c:v>
                </c:pt>
                <c:pt idx="1">
                  <c:v>16</c:v>
                </c:pt>
                <c:pt idx="2">
                  <c:v>14</c:v>
                </c:pt>
                <c:pt idx="3">
                  <c:v>19</c:v>
                </c:pt>
                <c:pt idx="4">
                  <c:v>16</c:v>
                </c:pt>
                <c:pt idx="5">
                  <c:v>22</c:v>
                </c:pt>
                <c:pt idx="6">
                  <c:v>25</c:v>
                </c:pt>
                <c:pt idx="7">
                  <c:v>21</c:v>
                </c:pt>
                <c:pt idx="8">
                  <c:v>16</c:v>
                </c:pt>
                <c:pt idx="9">
                  <c:v>11</c:v>
                </c:pt>
                <c:pt idx="10">
                  <c:v>18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'23.10 KAPEEKA-NGOMA'!$AD$9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KAPEEKA-NGOMA'!$AD$10:$AD$21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88992"/>
        <c:axId val="193190528"/>
      </c:lineChart>
      <c:catAx>
        <c:axId val="19318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3190528"/>
        <c:crosses val="autoZero"/>
        <c:auto val="1"/>
        <c:lblAlgn val="ctr"/>
        <c:lblOffset val="100"/>
        <c:noMultiLvlLbl val="0"/>
      </c:catAx>
      <c:valAx>
        <c:axId val="19319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318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KAPEEKA-NGOMA'!$C$9:$N$9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KAPEEKA-NGOMA'!$C$60:$N$60</c:f>
              <c:numCache>
                <c:formatCode>0.00%</c:formatCode>
                <c:ptCount val="12"/>
                <c:pt idx="0">
                  <c:v>0.14705882352941177</c:v>
                </c:pt>
                <c:pt idx="1">
                  <c:v>7.8431372549019607E-2</c:v>
                </c:pt>
                <c:pt idx="2">
                  <c:v>0.12745098039215685</c:v>
                </c:pt>
                <c:pt idx="3">
                  <c:v>0.23529411764705882</c:v>
                </c:pt>
                <c:pt idx="4">
                  <c:v>0</c:v>
                </c:pt>
                <c:pt idx="5">
                  <c:v>0</c:v>
                </c:pt>
                <c:pt idx="6">
                  <c:v>0.3235294117647059</c:v>
                </c:pt>
                <c:pt idx="7">
                  <c:v>7.8431372549019607E-2</c:v>
                </c:pt>
                <c:pt idx="8">
                  <c:v>0</c:v>
                </c:pt>
                <c:pt idx="9">
                  <c:v>9.8039215686274508E-3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NGOMA-KAPEEKA'!$AE$9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NGOMA-KAPEEKA'!$R$10:$R$21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NGOMA-KAPEEKA'!$AE$10:$AE$21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7</c:v>
                </c:pt>
                <c:pt idx="5">
                  <c:v>13</c:v>
                </c:pt>
                <c:pt idx="6">
                  <c:v>3</c:v>
                </c:pt>
                <c:pt idx="7">
                  <c:v>11</c:v>
                </c:pt>
                <c:pt idx="8">
                  <c:v>13</c:v>
                </c:pt>
                <c:pt idx="9">
                  <c:v>5</c:v>
                </c:pt>
                <c:pt idx="10">
                  <c:v>8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'23.10 NGOMA-KAPEEKA'!$AF$9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NGOMA-KAPEEKA'!$R$10:$R$21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NGOMA-KAPEEKA'!$AF$10:$AF$21</c:f>
              <c:numCache>
                <c:formatCode>0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23</c:v>
                </c:pt>
                <c:pt idx="3">
                  <c:v>18</c:v>
                </c:pt>
                <c:pt idx="4">
                  <c:v>21</c:v>
                </c:pt>
                <c:pt idx="5">
                  <c:v>37</c:v>
                </c:pt>
                <c:pt idx="6">
                  <c:v>23</c:v>
                </c:pt>
                <c:pt idx="7">
                  <c:v>30</c:v>
                </c:pt>
                <c:pt idx="8">
                  <c:v>29</c:v>
                </c:pt>
                <c:pt idx="9">
                  <c:v>24</c:v>
                </c:pt>
                <c:pt idx="10">
                  <c:v>28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34720"/>
        <c:axId val="201981952"/>
      </c:lineChart>
      <c:catAx>
        <c:axId val="2019347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1981952"/>
        <c:crosses val="autoZero"/>
        <c:auto val="1"/>
        <c:lblAlgn val="ctr"/>
        <c:lblOffset val="100"/>
        <c:noMultiLvlLbl val="0"/>
      </c:catAx>
      <c:valAx>
        <c:axId val="201981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193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NGOMA-KAPEEKA'!$C$9:$N$9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NGOMA-KAPEEKA'!$C$59:$N$59</c:f>
              <c:numCache>
                <c:formatCode>0.0%</c:formatCode>
                <c:ptCount val="12"/>
                <c:pt idx="0">
                  <c:v>5.4313099041533544E-2</c:v>
                </c:pt>
                <c:pt idx="1">
                  <c:v>2.2364217252396165E-2</c:v>
                </c:pt>
                <c:pt idx="2">
                  <c:v>4.7923322683706068E-2</c:v>
                </c:pt>
                <c:pt idx="3">
                  <c:v>8.9456869009584661E-2</c:v>
                </c:pt>
                <c:pt idx="4">
                  <c:v>0</c:v>
                </c:pt>
                <c:pt idx="5">
                  <c:v>0</c:v>
                </c:pt>
                <c:pt idx="6">
                  <c:v>8.3067092651757185E-2</c:v>
                </c:pt>
                <c:pt idx="7">
                  <c:v>1.5974440894568689E-2</c:v>
                </c:pt>
                <c:pt idx="8">
                  <c:v>0</c:v>
                </c:pt>
                <c:pt idx="9">
                  <c:v>0</c:v>
                </c:pt>
                <c:pt idx="10">
                  <c:v>0.68690095846645371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NGOMA-KAPEEKA'!$S$9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NGOMA-KAPEEKA'!$R$10:$R$21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NGOMA-KAPEEKA'!$S$10:$S$21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'23.10 NGOMA-KAPEEKA'!$T$9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NGOMA-KAPEEKA'!$R$10:$R$21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NGOMA-KAPEEKA'!$T$10:$T$21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'23.10 NGOMA-KAPEEKA'!$U$9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NGOMA-KAPEEKA'!$U$10:$U$21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'23.10 NGOMA-KAPEEKA'!$V$9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NGOMA-KAPEEKA'!$V$10:$V$21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'23.10 NGOMA-KAPEEKA'!$W$9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NGOMA-KAPEEKA'!$W$10:$W$21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'23.10 NGOMA-KAPEEKA'!$X$9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NGOMA-KAPEEKA'!$X$10:$X$21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'23.10 NGOMA-KAPEEKA'!$Y$9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NGOMA-KAPEEKA'!$Y$10:$Y$21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'23.10 NGOMA-KAPEEKA'!$Z$9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NGOMA-KAPEEKA'!$Z$10:$Z$21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'23.10 NGOMA-KAPEEKA'!$AA$9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NGOMA-KAPEEKA'!$AA$10:$AA$21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'23.10 NGOMA-KAPEEKA'!$AB$9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NGOMA-KAPEEKA'!$AB$10:$AB$21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'23.10 NGOMA-KAPEEKA'!$AC$9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NGOMA-KAPEEKA'!$AC$10:$AC$21</c:f>
              <c:numCache>
                <c:formatCode>0</c:formatCode>
                <c:ptCount val="12"/>
                <c:pt idx="0">
                  <c:v>14</c:v>
                </c:pt>
                <c:pt idx="1">
                  <c:v>13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24</c:v>
                </c:pt>
                <c:pt idx="6">
                  <c:v>20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20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'23.10 NGOMA-KAPEEKA'!$AD$9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NGOMA-KAPEEKA'!$AD$10:$AD$21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09632"/>
        <c:axId val="202311168"/>
      </c:lineChart>
      <c:catAx>
        <c:axId val="20230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311168"/>
        <c:crosses val="autoZero"/>
        <c:auto val="1"/>
        <c:lblAlgn val="ctr"/>
        <c:lblOffset val="100"/>
        <c:noMultiLvlLbl val="0"/>
      </c:catAx>
      <c:valAx>
        <c:axId val="2023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30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NGOMA-KAPEEKA'!$C$9:$N$9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NGOMA-KAPEEKA'!$C$60:$N$60</c:f>
              <c:numCache>
                <c:formatCode>0.00%</c:formatCode>
                <c:ptCount val="12"/>
                <c:pt idx="0">
                  <c:v>0.17346938775510204</c:v>
                </c:pt>
                <c:pt idx="1">
                  <c:v>7.1428571428571425E-2</c:v>
                </c:pt>
                <c:pt idx="2">
                  <c:v>0.15306122448979592</c:v>
                </c:pt>
                <c:pt idx="3">
                  <c:v>0.2857142857142857</c:v>
                </c:pt>
                <c:pt idx="4">
                  <c:v>0</c:v>
                </c:pt>
                <c:pt idx="5">
                  <c:v>0</c:v>
                </c:pt>
                <c:pt idx="6">
                  <c:v>0.26530612244897961</c:v>
                </c:pt>
                <c:pt idx="7">
                  <c:v>5.1020408163265307E-2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KAPEEKA-NGOMA'!$AE$9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KAPEEKA-NGOMA'!$R$10:$R$33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KAPEEKA-NGOMA'!$AE$10:$AE$33</c:f>
              <c:numCache>
                <c:formatCode>0</c:formatCode>
                <c:ptCount val="24"/>
                <c:pt idx="0">
                  <c:v>6.5714285714285712</c:v>
                </c:pt>
                <c:pt idx="1">
                  <c:v>8.4285714285714288</c:v>
                </c:pt>
                <c:pt idx="2">
                  <c:v>7</c:v>
                </c:pt>
                <c:pt idx="3">
                  <c:v>9.5714285714285712</c:v>
                </c:pt>
                <c:pt idx="4">
                  <c:v>10.142857142857142</c:v>
                </c:pt>
                <c:pt idx="5">
                  <c:v>10.428571428571427</c:v>
                </c:pt>
                <c:pt idx="6">
                  <c:v>9.1428571428571423</c:v>
                </c:pt>
                <c:pt idx="7">
                  <c:v>10</c:v>
                </c:pt>
                <c:pt idx="8">
                  <c:v>8.5714285714285694</c:v>
                </c:pt>
                <c:pt idx="9">
                  <c:v>8.5714285714285694</c:v>
                </c:pt>
                <c:pt idx="10">
                  <c:v>8.7142857142857135</c:v>
                </c:pt>
                <c:pt idx="11">
                  <c:v>9.4285714285714288</c:v>
                </c:pt>
                <c:pt idx="12">
                  <c:v>11</c:v>
                </c:pt>
                <c:pt idx="13">
                  <c:v>10.5</c:v>
                </c:pt>
                <c:pt idx="14">
                  <c:v>20</c:v>
                </c:pt>
                <c:pt idx="15">
                  <c:v>5.5</c:v>
                </c:pt>
                <c:pt idx="16">
                  <c:v>2.5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1.5</c:v>
                </c:pt>
                <c:pt idx="22">
                  <c:v>6</c:v>
                </c:pt>
                <c:pt idx="23">
                  <c:v>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KAPEEKA-NGOMA'!$AF$9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KAPEEKA-NGOMA'!$R$10:$R$33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KAPEEKA-NGOMA'!$AF$10:$AF$33</c:f>
              <c:numCache>
                <c:formatCode>0</c:formatCode>
                <c:ptCount val="24"/>
                <c:pt idx="0">
                  <c:v>19.142857142857142</c:v>
                </c:pt>
                <c:pt idx="1">
                  <c:v>25.142857142857146</c:v>
                </c:pt>
                <c:pt idx="2">
                  <c:v>23.857142857142858</c:v>
                </c:pt>
                <c:pt idx="3">
                  <c:v>29</c:v>
                </c:pt>
                <c:pt idx="4">
                  <c:v>29.857142857142861</c:v>
                </c:pt>
                <c:pt idx="5">
                  <c:v>31.142857142857142</c:v>
                </c:pt>
                <c:pt idx="6">
                  <c:v>28.857142857142854</c:v>
                </c:pt>
                <c:pt idx="7">
                  <c:v>29.714285714285715</c:v>
                </c:pt>
                <c:pt idx="8">
                  <c:v>27</c:v>
                </c:pt>
                <c:pt idx="9">
                  <c:v>25.428571428571423</c:v>
                </c:pt>
                <c:pt idx="10">
                  <c:v>27.571428571428569</c:v>
                </c:pt>
                <c:pt idx="11">
                  <c:v>26.285714285714285</c:v>
                </c:pt>
                <c:pt idx="12">
                  <c:v>31</c:v>
                </c:pt>
                <c:pt idx="13">
                  <c:v>20</c:v>
                </c:pt>
                <c:pt idx="14">
                  <c:v>29</c:v>
                </c:pt>
                <c:pt idx="15">
                  <c:v>10.5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4.5</c:v>
                </c:pt>
                <c:pt idx="22">
                  <c:v>10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535680"/>
        <c:axId val="202537600"/>
      </c:lineChart>
      <c:catAx>
        <c:axId val="2025356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537600"/>
        <c:crosses val="autoZero"/>
        <c:auto val="1"/>
        <c:lblAlgn val="ctr"/>
        <c:lblOffset val="100"/>
        <c:noMultiLvlLbl val="0"/>
      </c:catAx>
      <c:valAx>
        <c:axId val="202537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53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585881761437956E-2"/>
          <c:y val="0.16935215265923928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KAPEEKA-NGOMA'!$C$9:$N$9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KAPEEKA-NGOMA'!$C$107:$N$107</c:f>
              <c:numCache>
                <c:formatCode>0.0%</c:formatCode>
                <c:ptCount val="12"/>
                <c:pt idx="0">
                  <c:v>0.10595502058916693</c:v>
                </c:pt>
                <c:pt idx="1">
                  <c:v>2.2489705416534687E-2</c:v>
                </c:pt>
                <c:pt idx="2">
                  <c:v>4.0703199239784611E-2</c:v>
                </c:pt>
                <c:pt idx="3">
                  <c:v>5.9550205891669303E-2</c:v>
                </c:pt>
                <c:pt idx="4">
                  <c:v>1.2670256572695595E-3</c:v>
                </c:pt>
                <c:pt idx="5">
                  <c:v>2.2172949002217291E-3</c:v>
                </c:pt>
                <c:pt idx="6">
                  <c:v>0.10310421286031039</c:v>
                </c:pt>
                <c:pt idx="7">
                  <c:v>4.2286981311371548E-2</c:v>
                </c:pt>
                <c:pt idx="8">
                  <c:v>7.2853975292999675E-3</c:v>
                </c:pt>
                <c:pt idx="9">
                  <c:v>3.9594551789673737E-3</c:v>
                </c:pt>
                <c:pt idx="10">
                  <c:v>0.6095977193538169</c:v>
                </c:pt>
                <c:pt idx="11">
                  <c:v>1.5837820715869492E-3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KAPEEKA-NGOMA'!$C$9:$N$9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KAPEEKA-NGOMA'!$C$108:$N$108</c:f>
              <c:numCache>
                <c:formatCode>0.00%</c:formatCode>
                <c:ptCount val="12"/>
                <c:pt idx="0">
                  <c:v>0.27139959432048683</c:v>
                </c:pt>
                <c:pt idx="1">
                  <c:v>5.7606490872210966E-2</c:v>
                </c:pt>
                <c:pt idx="2">
                  <c:v>0.10425963488843815</c:v>
                </c:pt>
                <c:pt idx="3">
                  <c:v>0.15253549695740365</c:v>
                </c:pt>
                <c:pt idx="4">
                  <c:v>3.2454361054766729E-3</c:v>
                </c:pt>
                <c:pt idx="5">
                  <c:v>5.6795131845841784E-3</c:v>
                </c:pt>
                <c:pt idx="6">
                  <c:v>0.26409736308316423</c:v>
                </c:pt>
                <c:pt idx="7">
                  <c:v>0.10831643002028396</c:v>
                </c:pt>
                <c:pt idx="8">
                  <c:v>1.8661257606490868E-2</c:v>
                </c:pt>
                <c:pt idx="9">
                  <c:v>1.0141987829614603E-2</c:v>
                </c:pt>
                <c:pt idx="11">
                  <c:v>4.0567951318458409E-3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NGOMA-KAPEEKA'!$AE$9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NGOMA-KAPEEKA'!$R$10:$R$33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NGOMA-KAPEEKA'!$AE$10:$AE$33</c:f>
              <c:numCache>
                <c:formatCode>0</c:formatCode>
                <c:ptCount val="24"/>
                <c:pt idx="0">
                  <c:v>4.2857142857142847</c:v>
                </c:pt>
                <c:pt idx="1">
                  <c:v>4.1428571428571423</c:v>
                </c:pt>
                <c:pt idx="2">
                  <c:v>5.8571428571428568</c:v>
                </c:pt>
                <c:pt idx="3">
                  <c:v>6.5714285714285712</c:v>
                </c:pt>
                <c:pt idx="4">
                  <c:v>6.5714285714285712</c:v>
                </c:pt>
                <c:pt idx="5">
                  <c:v>11</c:v>
                </c:pt>
                <c:pt idx="6">
                  <c:v>9.5714285714285712</c:v>
                </c:pt>
                <c:pt idx="7">
                  <c:v>9.7142857142857135</c:v>
                </c:pt>
                <c:pt idx="8">
                  <c:v>12.857142857142856</c:v>
                </c:pt>
                <c:pt idx="9">
                  <c:v>10.714285714285714</c:v>
                </c:pt>
                <c:pt idx="10">
                  <c:v>12.714285714285714</c:v>
                </c:pt>
                <c:pt idx="11">
                  <c:v>14.428571428571427</c:v>
                </c:pt>
                <c:pt idx="12">
                  <c:v>14</c:v>
                </c:pt>
                <c:pt idx="13">
                  <c:v>8.5</c:v>
                </c:pt>
                <c:pt idx="14">
                  <c:v>4.5</c:v>
                </c:pt>
                <c:pt idx="15">
                  <c:v>3.5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  <c:pt idx="19">
                  <c:v>0.5</c:v>
                </c:pt>
                <c:pt idx="20">
                  <c:v>1</c:v>
                </c:pt>
                <c:pt idx="21">
                  <c:v>2</c:v>
                </c:pt>
                <c:pt idx="22">
                  <c:v>5</c:v>
                </c:pt>
                <c:pt idx="23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NGOMA-KAPEEKA'!$AF$9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NGOMA-KAPEEKA'!$R$10:$R$33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NGOMA-KAPEEKA'!$AF$10:$AF$33</c:f>
              <c:numCache>
                <c:formatCode>0</c:formatCode>
                <c:ptCount val="24"/>
                <c:pt idx="0">
                  <c:v>16.428571428571427</c:v>
                </c:pt>
                <c:pt idx="1">
                  <c:v>22.285714285714285</c:v>
                </c:pt>
                <c:pt idx="2">
                  <c:v>21.999999999999996</c:v>
                </c:pt>
                <c:pt idx="3">
                  <c:v>27</c:v>
                </c:pt>
                <c:pt idx="4">
                  <c:v>25.714285714285715</c:v>
                </c:pt>
                <c:pt idx="5">
                  <c:v>32.857142857142854</c:v>
                </c:pt>
                <c:pt idx="6">
                  <c:v>32.285714285714285</c:v>
                </c:pt>
                <c:pt idx="7">
                  <c:v>35.285714285714285</c:v>
                </c:pt>
                <c:pt idx="8">
                  <c:v>37</c:v>
                </c:pt>
                <c:pt idx="9">
                  <c:v>33.714285714285708</c:v>
                </c:pt>
                <c:pt idx="10">
                  <c:v>32.857142857142854</c:v>
                </c:pt>
                <c:pt idx="11">
                  <c:v>38.023809523809518</c:v>
                </c:pt>
                <c:pt idx="12">
                  <c:v>35</c:v>
                </c:pt>
                <c:pt idx="13">
                  <c:v>20</c:v>
                </c:pt>
                <c:pt idx="14">
                  <c:v>17</c:v>
                </c:pt>
                <c:pt idx="15">
                  <c:v>7.5</c:v>
                </c:pt>
                <c:pt idx="16">
                  <c:v>4.5</c:v>
                </c:pt>
                <c:pt idx="17">
                  <c:v>4</c:v>
                </c:pt>
                <c:pt idx="18">
                  <c:v>1</c:v>
                </c:pt>
                <c:pt idx="19">
                  <c:v>0.5</c:v>
                </c:pt>
                <c:pt idx="20">
                  <c:v>1</c:v>
                </c:pt>
                <c:pt idx="21">
                  <c:v>4</c:v>
                </c:pt>
                <c:pt idx="22">
                  <c:v>8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78336"/>
        <c:axId val="202917376"/>
      </c:lineChart>
      <c:catAx>
        <c:axId val="2028783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917376"/>
        <c:crosses val="autoZero"/>
        <c:auto val="1"/>
        <c:lblAlgn val="ctr"/>
        <c:lblOffset val="100"/>
        <c:noMultiLvlLbl val="0"/>
      </c:catAx>
      <c:valAx>
        <c:axId val="202917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8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NGOMA-KAPEEKA'!$C$9:$N$9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NGOMA-KAPEEKA'!$C$107:$N$107</c:f>
              <c:numCache>
                <c:formatCode>0.0%</c:formatCode>
                <c:ptCount val="12"/>
                <c:pt idx="0">
                  <c:v>7.4475630762995251E-2</c:v>
                </c:pt>
                <c:pt idx="1">
                  <c:v>2.4622555476745366E-2</c:v>
                </c:pt>
                <c:pt idx="2">
                  <c:v>3.7997770797446546E-2</c:v>
                </c:pt>
                <c:pt idx="3">
                  <c:v>5.7452629445739173E-2</c:v>
                </c:pt>
                <c:pt idx="4">
                  <c:v>9.1194649913871719E-4</c:v>
                </c:pt>
                <c:pt idx="5">
                  <c:v>1.2159286655182896E-3</c:v>
                </c:pt>
                <c:pt idx="6">
                  <c:v>0.11034552639578479</c:v>
                </c:pt>
                <c:pt idx="7">
                  <c:v>2.3862600060796442E-2</c:v>
                </c:pt>
                <c:pt idx="8">
                  <c:v>2.5838484142263656E-3</c:v>
                </c:pt>
                <c:pt idx="9">
                  <c:v>1.2159286655182896E-3</c:v>
                </c:pt>
                <c:pt idx="10">
                  <c:v>0.66075590232039738</c:v>
                </c:pt>
                <c:pt idx="11">
                  <c:v>4.5597324956935864E-3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NGOMA-KAPEEKA'!$C$9:$N$9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NGOMA-KAPEEKA'!$C$108:$N$108</c:f>
              <c:numCache>
                <c:formatCode>0.00%</c:formatCode>
                <c:ptCount val="12"/>
                <c:pt idx="0">
                  <c:v>0.21953405017921152</c:v>
                </c:pt>
                <c:pt idx="1">
                  <c:v>7.2580645161290341E-2</c:v>
                </c:pt>
                <c:pt idx="2">
                  <c:v>0.11200716845878138</c:v>
                </c:pt>
                <c:pt idx="3">
                  <c:v>0.16935483870967741</c:v>
                </c:pt>
                <c:pt idx="4">
                  <c:v>2.6881720430107533E-3</c:v>
                </c:pt>
                <c:pt idx="5">
                  <c:v>3.5842293906810044E-3</c:v>
                </c:pt>
                <c:pt idx="6">
                  <c:v>0.32526881720430117</c:v>
                </c:pt>
                <c:pt idx="7">
                  <c:v>7.0340501792114735E-2</c:v>
                </c:pt>
                <c:pt idx="8">
                  <c:v>7.6164874551971342E-3</c:v>
                </c:pt>
                <c:pt idx="9">
                  <c:v>3.5842293906810044E-3</c:v>
                </c:pt>
                <c:pt idx="11">
                  <c:v>1.3440860215053767E-2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KAPEEKA-NGOMA-2Dir'!$C$9:$N$9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KAPEEKA-NGOMA-2Dir'!$C$107:$N$107</c:f>
              <c:numCache>
                <c:formatCode>0.0%</c:formatCode>
                <c:ptCount val="12"/>
                <c:pt idx="0">
                  <c:v>8.9891416752843872E-2</c:v>
                </c:pt>
                <c:pt idx="1">
                  <c:v>2.3578076525336094E-2</c:v>
                </c:pt>
                <c:pt idx="2">
                  <c:v>3.9322647362978282E-2</c:v>
                </c:pt>
                <c:pt idx="3">
                  <c:v>5.8479834539813869E-2</c:v>
                </c:pt>
                <c:pt idx="4">
                  <c:v>1.0858324715615304E-3</c:v>
                </c:pt>
                <c:pt idx="5">
                  <c:v>1.7063081695966908E-3</c:v>
                </c:pt>
                <c:pt idx="6">
                  <c:v>0.10679937952430198</c:v>
                </c:pt>
                <c:pt idx="7">
                  <c:v>3.2885211995863493E-2</c:v>
                </c:pt>
                <c:pt idx="8">
                  <c:v>4.8862461220268872E-3</c:v>
                </c:pt>
                <c:pt idx="9">
                  <c:v>2.5594622543950356E-3</c:v>
                </c:pt>
                <c:pt idx="10">
                  <c:v>0.63570320579110651</c:v>
                </c:pt>
                <c:pt idx="11">
                  <c:v>3.1023784901758008E-3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KAPEEKA-NGOMA-2Dir'!$C$9:$N$9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KAPEEKA-NGOMA-2Dir'!$C$108:$N$108</c:f>
              <c:numCache>
                <c:formatCode>0.00%</c:formatCode>
                <c:ptCount val="12"/>
                <c:pt idx="0">
                  <c:v>0.24675324675324681</c:v>
                </c:pt>
                <c:pt idx="1">
                  <c:v>6.4722163082818834E-2</c:v>
                </c:pt>
                <c:pt idx="2">
                  <c:v>0.10794123908878007</c:v>
                </c:pt>
                <c:pt idx="3">
                  <c:v>0.16052799659357039</c:v>
                </c:pt>
                <c:pt idx="4">
                  <c:v>2.9806259314456036E-3</c:v>
                </c:pt>
                <c:pt idx="5">
                  <c:v>4.6838407494145199E-3</c:v>
                </c:pt>
                <c:pt idx="6">
                  <c:v>0.29316585054289979</c:v>
                </c:pt>
                <c:pt idx="7">
                  <c:v>9.0270385352352558E-2</c:v>
                </c:pt>
                <c:pt idx="8">
                  <c:v>1.3412816691505217E-2</c:v>
                </c:pt>
                <c:pt idx="9">
                  <c:v>7.025761124121779E-3</c:v>
                </c:pt>
                <c:pt idx="11">
                  <c:v>8.5160740898445799E-3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KAPEEKA-NGOMA-2Dir'!$AE$9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KAPEEKA-NGOMA-2Dir'!$R$10:$R$33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KAPEEKA-NGOMA-2Dir'!$AE$10:$AE$33</c:f>
              <c:numCache>
                <c:formatCode>0</c:formatCode>
                <c:ptCount val="24"/>
                <c:pt idx="0">
                  <c:v>10.857142857142856</c:v>
                </c:pt>
                <c:pt idx="1">
                  <c:v>12.571428571428571</c:v>
                </c:pt>
                <c:pt idx="2">
                  <c:v>12.857142857142856</c:v>
                </c:pt>
                <c:pt idx="3">
                  <c:v>16.142857142857142</c:v>
                </c:pt>
                <c:pt idx="4">
                  <c:v>16.714285714285712</c:v>
                </c:pt>
                <c:pt idx="5">
                  <c:v>21.428571428571427</c:v>
                </c:pt>
                <c:pt idx="6">
                  <c:v>18.714285714285715</c:v>
                </c:pt>
                <c:pt idx="7">
                  <c:v>19.714285714285715</c:v>
                </c:pt>
                <c:pt idx="8">
                  <c:v>21.428571428571431</c:v>
                </c:pt>
                <c:pt idx="9">
                  <c:v>19.285714285714285</c:v>
                </c:pt>
                <c:pt idx="10">
                  <c:v>21.428571428571431</c:v>
                </c:pt>
                <c:pt idx="11">
                  <c:v>23.857142857142854</c:v>
                </c:pt>
                <c:pt idx="12">
                  <c:v>25</c:v>
                </c:pt>
                <c:pt idx="13">
                  <c:v>19</c:v>
                </c:pt>
                <c:pt idx="14">
                  <c:v>24.5</c:v>
                </c:pt>
                <c:pt idx="15">
                  <c:v>9</c:v>
                </c:pt>
                <c:pt idx="16">
                  <c:v>6.5</c:v>
                </c:pt>
                <c:pt idx="17">
                  <c:v>5</c:v>
                </c:pt>
                <c:pt idx="18">
                  <c:v>3</c:v>
                </c:pt>
                <c:pt idx="19">
                  <c:v>1.5</c:v>
                </c:pt>
                <c:pt idx="20">
                  <c:v>4</c:v>
                </c:pt>
                <c:pt idx="21">
                  <c:v>3.5</c:v>
                </c:pt>
                <c:pt idx="22">
                  <c:v>11</c:v>
                </c:pt>
                <c:pt idx="23">
                  <c:v>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F7-46D4-BDB1-708C5F8F5F14}"/>
            </c:ext>
          </c:extLst>
        </c:ser>
        <c:ser>
          <c:idx val="1"/>
          <c:order val="1"/>
          <c:tx>
            <c:strRef>
              <c:f>'Avg Week KAPEEKA-NGOMA-2Dir'!$AF$9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KAPEEKA-NGOMA-2Dir'!$R$10:$R$33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KAPEEKA-NGOMA-2Dir'!$AF$10:$AF$33</c:f>
              <c:numCache>
                <c:formatCode>0</c:formatCode>
                <c:ptCount val="24"/>
                <c:pt idx="0">
                  <c:v>35.571428571428569</c:v>
                </c:pt>
                <c:pt idx="1">
                  <c:v>47.428571428571423</c:v>
                </c:pt>
                <c:pt idx="2">
                  <c:v>45.857142857142861</c:v>
                </c:pt>
                <c:pt idx="3">
                  <c:v>55.999999999999993</c:v>
                </c:pt>
                <c:pt idx="4">
                  <c:v>55.571428571428569</c:v>
                </c:pt>
                <c:pt idx="5">
                  <c:v>64</c:v>
                </c:pt>
                <c:pt idx="6">
                  <c:v>61.142857142857146</c:v>
                </c:pt>
                <c:pt idx="7">
                  <c:v>65</c:v>
                </c:pt>
                <c:pt idx="8">
                  <c:v>64</c:v>
                </c:pt>
                <c:pt idx="9">
                  <c:v>59.142857142857139</c:v>
                </c:pt>
                <c:pt idx="10">
                  <c:v>60.428571428571431</c:v>
                </c:pt>
                <c:pt idx="11">
                  <c:v>64.30952380952381</c:v>
                </c:pt>
                <c:pt idx="12">
                  <c:v>66</c:v>
                </c:pt>
                <c:pt idx="13">
                  <c:v>40</c:v>
                </c:pt>
                <c:pt idx="14">
                  <c:v>46</c:v>
                </c:pt>
                <c:pt idx="15">
                  <c:v>18</c:v>
                </c:pt>
                <c:pt idx="16">
                  <c:v>7.5</c:v>
                </c:pt>
                <c:pt idx="17">
                  <c:v>7</c:v>
                </c:pt>
                <c:pt idx="18">
                  <c:v>3</c:v>
                </c:pt>
                <c:pt idx="19">
                  <c:v>1.5</c:v>
                </c:pt>
                <c:pt idx="20">
                  <c:v>4</c:v>
                </c:pt>
                <c:pt idx="21">
                  <c:v>8.5</c:v>
                </c:pt>
                <c:pt idx="22">
                  <c:v>18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F7-46D4-BDB1-708C5F8F5F14}"/>
            </c:ext>
          </c:extLst>
        </c:ser>
        <c:ser>
          <c:idx val="5"/>
          <c:order val="2"/>
          <c:tx>
            <c:strRef>
              <c:f>'Avg Week KAPEEKA-NGOMA-2Dir'!$AC$9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KAPEEKA-NGOMA-2Dir'!$R$10:$R$33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KAPEEKA-NGOMA-2Dir'!$AC$10:$AC$33</c:f>
              <c:numCache>
                <c:formatCode>0</c:formatCode>
                <c:ptCount val="24"/>
                <c:pt idx="0">
                  <c:v>24.714285714285715</c:v>
                </c:pt>
                <c:pt idx="1">
                  <c:v>34.857142857142861</c:v>
                </c:pt>
                <c:pt idx="2">
                  <c:v>33</c:v>
                </c:pt>
                <c:pt idx="3">
                  <c:v>39.857142857142854</c:v>
                </c:pt>
                <c:pt idx="4">
                  <c:v>38.857142857142861</c:v>
                </c:pt>
                <c:pt idx="5">
                  <c:v>42.571428571428569</c:v>
                </c:pt>
                <c:pt idx="6">
                  <c:v>42.428571428571431</c:v>
                </c:pt>
                <c:pt idx="7">
                  <c:v>45.285714285714292</c:v>
                </c:pt>
                <c:pt idx="8">
                  <c:v>42.571428571428569</c:v>
                </c:pt>
                <c:pt idx="9">
                  <c:v>39.857142857142861</c:v>
                </c:pt>
                <c:pt idx="10">
                  <c:v>39</c:v>
                </c:pt>
                <c:pt idx="11">
                  <c:v>40.452380952380949</c:v>
                </c:pt>
                <c:pt idx="12">
                  <c:v>41</c:v>
                </c:pt>
                <c:pt idx="13">
                  <c:v>21</c:v>
                </c:pt>
                <c:pt idx="14">
                  <c:v>21.5</c:v>
                </c:pt>
                <c:pt idx="15">
                  <c:v>9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7</c:v>
                </c:pt>
                <c:pt idx="23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F7-46D4-BDB1-708C5F8F5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KAPEEKA-NGOMA-2Dir'!$S$9:$AF$9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KAPEEKA-NGOMA-2Dir'!$S$41:$AF$41</c:f>
              <c:numCache>
                <c:formatCode>_(* #,##0_);_(* \(#,##0\);_(* "-"_);_(@_)</c:formatCode>
                <c:ptCount val="14"/>
                <c:pt idx="0">
                  <c:v>82.785714285714278</c:v>
                </c:pt>
                <c:pt idx="1">
                  <c:v>21.714285714285715</c:v>
                </c:pt>
                <c:pt idx="2">
                  <c:v>36.214285714285708</c:v>
                </c:pt>
                <c:pt idx="3">
                  <c:v>53.857142857142854</c:v>
                </c:pt>
                <c:pt idx="4">
                  <c:v>1</c:v>
                </c:pt>
                <c:pt idx="5">
                  <c:v>1.5714285714285714</c:v>
                </c:pt>
                <c:pt idx="6">
                  <c:v>98.357142857142847</c:v>
                </c:pt>
                <c:pt idx="7">
                  <c:v>30.285714285714285</c:v>
                </c:pt>
                <c:pt idx="8">
                  <c:v>4.5</c:v>
                </c:pt>
                <c:pt idx="9">
                  <c:v>2.3571428571428568</c:v>
                </c:pt>
                <c:pt idx="10">
                  <c:v>585.45238095238096</c:v>
                </c:pt>
                <c:pt idx="11">
                  <c:v>2.8571428571428568</c:v>
                </c:pt>
                <c:pt idx="12">
                  <c:v>335.5</c:v>
                </c:pt>
                <c:pt idx="13">
                  <c:v>920.95238095238108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5-4673-8F5F-9A527FDE0E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KAPEEKA-NGOMA-2Dir'!$S$9:$AF$9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KAPEEKA-NGOMA-2Dir'!$S$42:$AF$42</c:f>
              <c:numCache>
                <c:formatCode>0.000</c:formatCode>
                <c:ptCount val="14"/>
                <c:pt idx="0">
                  <c:v>1.6142061281337048</c:v>
                </c:pt>
                <c:pt idx="1">
                  <c:v>1.2258064516129032</c:v>
                </c:pt>
                <c:pt idx="2">
                  <c:v>1.3067010309278349</c:v>
                </c:pt>
                <c:pt idx="3">
                  <c:v>1.3512544802867383</c:v>
                </c:pt>
                <c:pt idx="4">
                  <c:v>1</c:v>
                </c:pt>
                <c:pt idx="5">
                  <c:v>2.75</c:v>
                </c:pt>
                <c:pt idx="6">
                  <c:v>1.7608695652173914</c:v>
                </c:pt>
                <c:pt idx="7">
                  <c:v>2.1200000000000006</c:v>
                </c:pt>
                <c:pt idx="8">
                  <c:v>2.25</c:v>
                </c:pt>
                <c:pt idx="9">
                  <c:v>1.2692307692307692</c:v>
                </c:pt>
                <c:pt idx="10">
                  <c:v>1.263241715900334</c:v>
                </c:pt>
                <c:pt idx="11">
                  <c:v>1</c:v>
                </c:pt>
                <c:pt idx="12">
                  <c:v>1.5604651162790695</c:v>
                </c:pt>
                <c:pt idx="13">
                  <c:v>1.3574311282681171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F-4A88-9F3E-3B25AC53BE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1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25.xml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698500</xdr:colOff>
      <xdr:row>57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279400</xdr:rowOff>
    </xdr:from>
    <xdr:to>
      <xdr:col>24</xdr:col>
      <xdr:colOff>0</xdr:colOff>
      <xdr:row>73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59</xdr:row>
      <xdr:rowOff>15876</xdr:rowOff>
    </xdr:from>
    <xdr:to>
      <xdr:col>30</xdr:col>
      <xdr:colOff>0</xdr:colOff>
      <xdr:row>73</xdr:row>
      <xdr:rowOff>15876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6349</xdr:rowOff>
    </xdr:from>
    <xdr:to>
      <xdr:col>27</xdr:col>
      <xdr:colOff>698500</xdr:colOff>
      <xdr:row>58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22</xdr:col>
      <xdr:colOff>492126</xdr:colOff>
      <xdr:row>58</xdr:row>
      <xdr:rowOff>9525</xdr:rowOff>
    </xdr:from>
    <xdr:to>
      <xdr:col>30</xdr:col>
      <xdr:colOff>63500</xdr:colOff>
      <xdr:row>73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58</xdr:row>
      <xdr:rowOff>31750</xdr:rowOff>
    </xdr:from>
    <xdr:to>
      <xdr:col>22</xdr:col>
      <xdr:colOff>492125</xdr:colOff>
      <xdr:row>73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95250</xdr:colOff>
      <xdr:row>74</xdr:row>
      <xdr:rowOff>41275</xdr:rowOff>
    </xdr:from>
    <xdr:to>
      <xdr:col>23</xdr:col>
      <xdr:colOff>682625</xdr:colOff>
      <xdr:row>89</xdr:row>
      <xdr:rowOff>79375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79375</xdr:colOff>
      <xdr:row>59</xdr:row>
      <xdr:rowOff>0</xdr:rowOff>
    </xdr:from>
    <xdr:to>
      <xdr:col>23</xdr:col>
      <xdr:colOff>635000</xdr:colOff>
      <xdr:row>74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1</xdr:rowOff>
    </xdr:from>
    <xdr:to>
      <xdr:col>27</xdr:col>
      <xdr:colOff>523875</xdr:colOff>
      <xdr:row>58</xdr:row>
      <xdr:rowOff>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650875</xdr:colOff>
      <xdr:row>59</xdr:row>
      <xdr:rowOff>1</xdr:rowOff>
    </xdr:from>
    <xdr:to>
      <xdr:col>30</xdr:col>
      <xdr:colOff>698500</xdr:colOff>
      <xdr:row>74</xdr:row>
      <xdr:rowOff>47625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666750</xdr:colOff>
      <xdr:row>74</xdr:row>
      <xdr:rowOff>47625</xdr:rowOff>
    </xdr:from>
    <xdr:to>
      <xdr:col>30</xdr:col>
      <xdr:colOff>682625</xdr:colOff>
      <xdr:row>89</xdr:row>
      <xdr:rowOff>95250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90" zoomScaleSheetLayoutView="90" workbookViewId="0">
      <selection activeCell="G5" sqref="G5:H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1" t="s">
        <v>96</v>
      </c>
      <c r="C3" s="61" t="s">
        <v>163</v>
      </c>
      <c r="D3" s="61"/>
      <c r="E3" s="61"/>
      <c r="F3" s="61"/>
      <c r="G3" s="6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164</v>
      </c>
      <c r="E5" s="3"/>
      <c r="F5" s="41" t="s">
        <v>1</v>
      </c>
      <c r="G5" s="56" t="s">
        <v>169</v>
      </c>
      <c r="H5" s="57"/>
      <c r="I5" s="14"/>
      <c r="J5" s="2" t="s">
        <v>5</v>
      </c>
      <c r="K5" s="56" t="s">
        <v>167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">
        <v>165</v>
      </c>
      <c r="E6" s="57"/>
      <c r="F6" s="2" t="s">
        <v>2</v>
      </c>
      <c r="G6" s="56" t="s">
        <v>166</v>
      </c>
      <c r="H6" s="57"/>
      <c r="J6" s="2" t="s">
        <v>21</v>
      </c>
      <c r="K6" s="56" t="s">
        <v>167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</v>
      </c>
      <c r="AD10" s="17">
        <f t="shared" si="2"/>
        <v>0</v>
      </c>
      <c r="AE10" s="31">
        <f t="shared" si="2"/>
        <v>2</v>
      </c>
      <c r="AF10" s="31">
        <f t="shared" si="2"/>
        <v>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2</v>
      </c>
      <c r="P11" s="15">
        <f t="shared" si="1"/>
        <v>2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8</v>
      </c>
      <c r="AD11" s="17">
        <f t="shared" si="3"/>
        <v>1</v>
      </c>
      <c r="AE11" s="31">
        <f t="shared" si="3"/>
        <v>8</v>
      </c>
      <c r="AF11" s="31">
        <f t="shared" si="3"/>
        <v>16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0</v>
      </c>
      <c r="P12" s="15">
        <f t="shared" si="1"/>
        <v>4</v>
      </c>
      <c r="R12" s="1" t="s">
        <v>8</v>
      </c>
      <c r="S12" s="17">
        <f t="shared" ref="S12:AF12" si="4">SUM(C18:C21)</f>
        <v>4</v>
      </c>
      <c r="T12" s="17">
        <f t="shared" si="4"/>
        <v>1</v>
      </c>
      <c r="U12" s="17">
        <f t="shared" si="4"/>
        <v>3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20</v>
      </c>
      <c r="AD12" s="17">
        <f t="shared" si="4"/>
        <v>0</v>
      </c>
      <c r="AE12" s="31">
        <f t="shared" si="4"/>
        <v>12</v>
      </c>
      <c r="AF12" s="31">
        <f t="shared" si="4"/>
        <v>32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0</v>
      </c>
      <c r="P13" s="15">
        <f t="shared" si="1"/>
        <v>2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15</v>
      </c>
      <c r="AD13" s="17">
        <f t="shared" si="5"/>
        <v>2</v>
      </c>
      <c r="AE13" s="31">
        <f t="shared" si="5"/>
        <v>9</v>
      </c>
      <c r="AF13" s="31">
        <f t="shared" si="5"/>
        <v>24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1</v>
      </c>
      <c r="O14" s="15">
        <f t="shared" si="0"/>
        <v>2</v>
      </c>
      <c r="P14" s="15">
        <f t="shared" si="1"/>
        <v>3</v>
      </c>
      <c r="R14" s="1" t="s">
        <v>10</v>
      </c>
      <c r="S14" s="17">
        <f t="shared" ref="S14:AF14" si="6">SUM(C26:C29)</f>
        <v>3</v>
      </c>
      <c r="T14" s="17">
        <f t="shared" si="6"/>
        <v>0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16</v>
      </c>
      <c r="AD14" s="17">
        <f t="shared" si="6"/>
        <v>0</v>
      </c>
      <c r="AE14" s="31">
        <f t="shared" si="6"/>
        <v>10</v>
      </c>
      <c r="AF14" s="31">
        <f t="shared" si="6"/>
        <v>26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1</v>
      </c>
      <c r="P15" s="15">
        <f t="shared" si="1"/>
        <v>3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4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4</v>
      </c>
      <c r="AA15" s="17">
        <f t="shared" si="7"/>
        <v>0</v>
      </c>
      <c r="AB15" s="17">
        <f t="shared" si="7"/>
        <v>0</v>
      </c>
      <c r="AC15" s="17">
        <f t="shared" si="7"/>
        <v>17</v>
      </c>
      <c r="AD15" s="17">
        <f t="shared" si="7"/>
        <v>0</v>
      </c>
      <c r="AE15" s="31">
        <f t="shared" si="7"/>
        <v>14</v>
      </c>
      <c r="AF15" s="31">
        <f t="shared" si="7"/>
        <v>31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4</v>
      </c>
      <c r="P16" s="15">
        <f t="shared" si="1"/>
        <v>4</v>
      </c>
      <c r="R16" s="1" t="s">
        <v>12</v>
      </c>
      <c r="S16" s="17">
        <f t="shared" ref="S16:AF16" si="8">SUM(C34:C37)</f>
        <v>5</v>
      </c>
      <c r="T16" s="17">
        <f t="shared" si="8"/>
        <v>0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17</v>
      </c>
      <c r="AD16" s="17">
        <f t="shared" si="8"/>
        <v>0</v>
      </c>
      <c r="AE16" s="31">
        <f t="shared" si="8"/>
        <v>10</v>
      </c>
      <c r="AF16" s="31">
        <f t="shared" si="8"/>
        <v>27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1</v>
      </c>
      <c r="P17" s="15">
        <f t="shared" si="1"/>
        <v>6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2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17</v>
      </c>
      <c r="AD17" s="17">
        <f t="shared" si="9"/>
        <v>1</v>
      </c>
      <c r="AE17" s="31">
        <f t="shared" si="9"/>
        <v>8</v>
      </c>
      <c r="AF17" s="31">
        <f t="shared" si="9"/>
        <v>25</v>
      </c>
    </row>
    <row r="18" spans="2:32" ht="23.1" customHeight="1" x14ac:dyDescent="0.25">
      <c r="B18" s="23" t="s">
        <v>45</v>
      </c>
      <c r="C18" s="50">
        <v>4</v>
      </c>
      <c r="D18" s="50">
        <v>1</v>
      </c>
      <c r="E18" s="50">
        <v>2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8</v>
      </c>
      <c r="P18" s="15">
        <f t="shared" si="1"/>
        <v>13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2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19</v>
      </c>
      <c r="AD18" s="17">
        <f t="shared" si="10"/>
        <v>0</v>
      </c>
      <c r="AE18" s="31">
        <f t="shared" si="10"/>
        <v>10</v>
      </c>
      <c r="AF18" s="31">
        <f t="shared" si="10"/>
        <v>29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2</v>
      </c>
      <c r="N19" s="50">
        <v>0</v>
      </c>
      <c r="O19" s="15">
        <f t="shared" si="0"/>
        <v>2</v>
      </c>
      <c r="P19" s="15">
        <f t="shared" si="1"/>
        <v>4</v>
      </c>
      <c r="R19" s="1" t="s">
        <v>15</v>
      </c>
      <c r="S19" s="17">
        <f t="shared" ref="S19:AF19" si="11">SUM(C46:C49)</f>
        <v>1</v>
      </c>
      <c r="T19" s="17">
        <f t="shared" si="11"/>
        <v>0</v>
      </c>
      <c r="U19" s="17">
        <f t="shared" si="11"/>
        <v>3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20</v>
      </c>
      <c r="AD19" s="17">
        <f t="shared" si="11"/>
        <v>0</v>
      </c>
      <c r="AE19" s="31">
        <f t="shared" si="11"/>
        <v>8</v>
      </c>
      <c r="AF19" s="31">
        <f t="shared" si="11"/>
        <v>28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1</v>
      </c>
      <c r="P20" s="15">
        <f t="shared" si="1"/>
        <v>8</v>
      </c>
      <c r="R20" s="1" t="s">
        <v>16</v>
      </c>
      <c r="S20" s="17">
        <f t="shared" ref="S20:AF20" si="12">SUM(C50:C53)</f>
        <v>3</v>
      </c>
      <c r="T20" s="17">
        <f t="shared" si="12"/>
        <v>0</v>
      </c>
      <c r="U20" s="17">
        <f t="shared" si="12"/>
        <v>2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16</v>
      </c>
      <c r="AD20" s="17">
        <f t="shared" si="12"/>
        <v>0</v>
      </c>
      <c r="AE20" s="31">
        <f t="shared" si="12"/>
        <v>11</v>
      </c>
      <c r="AF20" s="31">
        <f t="shared" si="12"/>
        <v>27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1</v>
      </c>
      <c r="P21" s="15">
        <f t="shared" si="1"/>
        <v>7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1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18</v>
      </c>
      <c r="AD21" s="17">
        <f t="shared" si="13"/>
        <v>0</v>
      </c>
      <c r="AE21" s="31">
        <f t="shared" si="13"/>
        <v>8</v>
      </c>
      <c r="AF21" s="31">
        <f t="shared" si="13"/>
        <v>26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3</v>
      </c>
      <c r="N22" s="50">
        <v>1</v>
      </c>
      <c r="O22" s="15">
        <f t="shared" si="0"/>
        <v>3</v>
      </c>
      <c r="P22" s="15">
        <f t="shared" si="1"/>
        <v>6</v>
      </c>
      <c r="R22" s="38" t="s">
        <v>90</v>
      </c>
      <c r="S22" s="39">
        <f>MAX(S10:S12)</f>
        <v>4</v>
      </c>
      <c r="T22" s="39">
        <f t="shared" ref="T22:AF22" si="14">MAX(T10:T12)</f>
        <v>1</v>
      </c>
      <c r="U22" s="39">
        <f t="shared" si="14"/>
        <v>3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20</v>
      </c>
      <c r="AD22" s="39">
        <f t="shared" si="14"/>
        <v>1</v>
      </c>
      <c r="AE22" s="40">
        <f t="shared" si="14"/>
        <v>12</v>
      </c>
      <c r="AF22" s="40">
        <f t="shared" si="14"/>
        <v>32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2</v>
      </c>
      <c r="P23" s="15">
        <f t="shared" si="1"/>
        <v>2</v>
      </c>
      <c r="R23" s="38" t="s">
        <v>91</v>
      </c>
      <c r="S23" s="39">
        <f>MAX(S13:S18)</f>
        <v>5</v>
      </c>
      <c r="T23" s="39">
        <f t="shared" ref="T23:AF23" si="15">MAX(T13:T18)</f>
        <v>0</v>
      </c>
      <c r="U23" s="39">
        <f t="shared" si="15"/>
        <v>4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4</v>
      </c>
      <c r="AA23" s="39">
        <f t="shared" si="15"/>
        <v>1</v>
      </c>
      <c r="AB23" s="39">
        <f t="shared" si="15"/>
        <v>0</v>
      </c>
      <c r="AC23" s="39">
        <f t="shared" si="15"/>
        <v>19</v>
      </c>
      <c r="AD23" s="39">
        <f t="shared" si="15"/>
        <v>2</v>
      </c>
      <c r="AE23" s="40">
        <f t="shared" si="15"/>
        <v>14</v>
      </c>
      <c r="AF23" s="40">
        <f t="shared" si="15"/>
        <v>31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1</v>
      </c>
      <c r="P24" s="15">
        <f t="shared" si="1"/>
        <v>7</v>
      </c>
      <c r="R24" s="38" t="s">
        <v>92</v>
      </c>
      <c r="S24" s="39">
        <f>MAX(S19:S21)</f>
        <v>3</v>
      </c>
      <c r="T24" s="39">
        <f t="shared" ref="T24:AF24" si="16">MAX(T19:T21)</f>
        <v>0</v>
      </c>
      <c r="U24" s="39">
        <f t="shared" si="16"/>
        <v>3</v>
      </c>
      <c r="V24" s="39">
        <f t="shared" si="16"/>
        <v>3</v>
      </c>
      <c r="W24" s="39">
        <f t="shared" si="16"/>
        <v>0</v>
      </c>
      <c r="X24" s="39">
        <f t="shared" si="16"/>
        <v>0</v>
      </c>
      <c r="Y24" s="39">
        <f t="shared" si="16"/>
        <v>3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20</v>
      </c>
      <c r="AD24" s="39">
        <f t="shared" si="16"/>
        <v>0</v>
      </c>
      <c r="AE24" s="40">
        <f t="shared" si="16"/>
        <v>11</v>
      </c>
      <c r="AF24" s="40">
        <f t="shared" si="16"/>
        <v>28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6</v>
      </c>
      <c r="N25" s="50">
        <v>1</v>
      </c>
      <c r="O25" s="15">
        <f t="shared" si="0"/>
        <v>3</v>
      </c>
      <c r="P25" s="15">
        <f t="shared" si="1"/>
        <v>9</v>
      </c>
      <c r="R25" s="37" t="s">
        <v>85</v>
      </c>
      <c r="S25" s="35">
        <f t="shared" ref="S25:AF25" si="17">SUM(S10:S12)</f>
        <v>4</v>
      </c>
      <c r="T25" s="16">
        <f t="shared" si="17"/>
        <v>2</v>
      </c>
      <c r="U25" s="16">
        <f t="shared" si="17"/>
        <v>5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9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34</v>
      </c>
      <c r="AD25" s="16">
        <f t="shared" si="17"/>
        <v>1</v>
      </c>
      <c r="AE25" s="32">
        <f t="shared" si="17"/>
        <v>22</v>
      </c>
      <c r="AF25" s="32">
        <f t="shared" si="17"/>
        <v>56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5</v>
      </c>
      <c r="P26" s="15">
        <f t="shared" si="1"/>
        <v>11</v>
      </c>
      <c r="R26" s="28" t="s">
        <v>86</v>
      </c>
      <c r="S26" s="16">
        <f t="shared" ref="S26:AF26" si="18">SUM(S13:S18)</f>
        <v>14</v>
      </c>
      <c r="T26" s="16">
        <f t="shared" si="18"/>
        <v>0</v>
      </c>
      <c r="U26" s="16">
        <f t="shared" si="18"/>
        <v>13</v>
      </c>
      <c r="V26" s="16">
        <f t="shared" si="18"/>
        <v>9</v>
      </c>
      <c r="W26" s="16">
        <f t="shared" si="18"/>
        <v>0</v>
      </c>
      <c r="X26" s="16">
        <f t="shared" si="18"/>
        <v>0</v>
      </c>
      <c r="Y26" s="16">
        <f t="shared" si="18"/>
        <v>16</v>
      </c>
      <c r="Z26" s="16">
        <f t="shared" si="18"/>
        <v>5</v>
      </c>
      <c r="AA26" s="16">
        <f t="shared" si="18"/>
        <v>1</v>
      </c>
      <c r="AB26" s="16">
        <f t="shared" si="18"/>
        <v>0</v>
      </c>
      <c r="AC26" s="16">
        <f t="shared" si="18"/>
        <v>101</v>
      </c>
      <c r="AD26" s="16">
        <f t="shared" si="18"/>
        <v>3</v>
      </c>
      <c r="AE26" s="32">
        <f t="shared" si="18"/>
        <v>61</v>
      </c>
      <c r="AF26" s="32">
        <f t="shared" si="18"/>
        <v>162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</v>
      </c>
      <c r="N27" s="50">
        <v>0</v>
      </c>
      <c r="O27" s="15">
        <f t="shared" si="0"/>
        <v>1</v>
      </c>
      <c r="P27" s="15">
        <f t="shared" si="1"/>
        <v>2</v>
      </c>
      <c r="R27" s="29" t="s">
        <v>87</v>
      </c>
      <c r="S27" s="16">
        <f t="shared" ref="S27:AF27" si="19">SUM(S19:S21)</f>
        <v>5</v>
      </c>
      <c r="T27" s="16">
        <f t="shared" si="19"/>
        <v>0</v>
      </c>
      <c r="U27" s="16">
        <f t="shared" si="19"/>
        <v>6</v>
      </c>
      <c r="V27" s="16">
        <f t="shared" si="19"/>
        <v>7</v>
      </c>
      <c r="W27" s="16">
        <f t="shared" si="19"/>
        <v>0</v>
      </c>
      <c r="X27" s="16">
        <f t="shared" si="19"/>
        <v>0</v>
      </c>
      <c r="Y27" s="16">
        <f t="shared" si="19"/>
        <v>6</v>
      </c>
      <c r="Z27" s="16">
        <f t="shared" si="19"/>
        <v>2</v>
      </c>
      <c r="AA27" s="16">
        <f t="shared" si="19"/>
        <v>1</v>
      </c>
      <c r="AB27" s="16">
        <f t="shared" si="19"/>
        <v>0</v>
      </c>
      <c r="AC27" s="16">
        <f t="shared" si="19"/>
        <v>54</v>
      </c>
      <c r="AD27" s="16">
        <f t="shared" si="19"/>
        <v>0</v>
      </c>
      <c r="AE27" s="32">
        <f t="shared" si="19"/>
        <v>27</v>
      </c>
      <c r="AF27" s="32">
        <f t="shared" si="19"/>
        <v>81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2</v>
      </c>
      <c r="P28" s="15">
        <f t="shared" si="1"/>
        <v>7</v>
      </c>
      <c r="R28" s="5" t="s">
        <v>17</v>
      </c>
      <c r="S28" s="16">
        <f t="shared" ref="S28:AF28" si="20">SUM(S10:S21)</f>
        <v>23</v>
      </c>
      <c r="T28" s="16">
        <f t="shared" si="20"/>
        <v>2</v>
      </c>
      <c r="U28" s="16">
        <f t="shared" si="20"/>
        <v>24</v>
      </c>
      <c r="V28" s="16">
        <f t="shared" si="20"/>
        <v>16</v>
      </c>
      <c r="W28" s="16">
        <f t="shared" si="20"/>
        <v>0</v>
      </c>
      <c r="X28" s="16">
        <f t="shared" si="20"/>
        <v>0</v>
      </c>
      <c r="Y28" s="16">
        <f t="shared" si="20"/>
        <v>31</v>
      </c>
      <c r="Z28" s="16">
        <f t="shared" si="20"/>
        <v>8</v>
      </c>
      <c r="AA28" s="16">
        <f t="shared" si="20"/>
        <v>2</v>
      </c>
      <c r="AB28" s="16">
        <f t="shared" si="20"/>
        <v>0</v>
      </c>
      <c r="AC28" s="16">
        <f t="shared" si="20"/>
        <v>189</v>
      </c>
      <c r="AD28" s="16">
        <f t="shared" si="20"/>
        <v>4</v>
      </c>
      <c r="AE28" s="32">
        <f t="shared" si="20"/>
        <v>110</v>
      </c>
      <c r="AF28" s="32">
        <f t="shared" si="20"/>
        <v>299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2</v>
      </c>
      <c r="P29" s="15">
        <f t="shared" si="1"/>
        <v>6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3</v>
      </c>
      <c r="K30" s="50">
        <v>0</v>
      </c>
      <c r="L30" s="50">
        <v>0</v>
      </c>
      <c r="M30" s="50">
        <v>5</v>
      </c>
      <c r="N30" s="50">
        <v>0</v>
      </c>
      <c r="O30" s="15">
        <f t="shared" si="0"/>
        <v>4</v>
      </c>
      <c r="P30" s="15">
        <f t="shared" si="1"/>
        <v>9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4</v>
      </c>
      <c r="N31" s="50">
        <v>0</v>
      </c>
      <c r="O31" s="15">
        <f t="shared" si="0"/>
        <v>3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3</v>
      </c>
      <c r="P32" s="15">
        <f t="shared" si="1"/>
        <v>5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6</v>
      </c>
      <c r="N33" s="50">
        <v>0</v>
      </c>
      <c r="O33" s="15">
        <f t="shared" si="0"/>
        <v>4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5</v>
      </c>
      <c r="N34" s="50">
        <v>0</v>
      </c>
      <c r="O34" s="15">
        <f t="shared" si="0"/>
        <v>3</v>
      </c>
      <c r="P34" s="15">
        <f t="shared" si="1"/>
        <v>8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4</v>
      </c>
      <c r="P35" s="15">
        <f t="shared" si="1"/>
        <v>8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2</v>
      </c>
      <c r="P36" s="15">
        <f t="shared" si="1"/>
        <v>5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5</v>
      </c>
      <c r="N37" s="50">
        <v>0</v>
      </c>
      <c r="O37" s="15">
        <f t="shared" si="0"/>
        <v>1</v>
      </c>
      <c r="P37" s="15">
        <f t="shared" si="1"/>
        <v>6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</v>
      </c>
      <c r="N38" s="50">
        <v>1</v>
      </c>
      <c r="O38" s="15">
        <f t="shared" si="0"/>
        <v>2</v>
      </c>
      <c r="P38" s="15">
        <f t="shared" si="1"/>
        <v>3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3</v>
      </c>
      <c r="N39" s="50">
        <v>0</v>
      </c>
      <c r="O39" s="15">
        <f t="shared" si="0"/>
        <v>2</v>
      </c>
      <c r="P39" s="15">
        <f t="shared" si="1"/>
        <v>5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2</v>
      </c>
      <c r="P40" s="15">
        <f t="shared" si="1"/>
        <v>11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4</v>
      </c>
      <c r="N41" s="50">
        <v>0</v>
      </c>
      <c r="O41" s="15">
        <f t="shared" si="0"/>
        <v>2</v>
      </c>
      <c r="P41" s="15">
        <f t="shared" si="1"/>
        <v>6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7</v>
      </c>
      <c r="N42" s="50">
        <v>0</v>
      </c>
      <c r="O42" s="15">
        <f t="shared" si="0"/>
        <v>2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2</v>
      </c>
      <c r="N43" s="50">
        <v>0</v>
      </c>
      <c r="O43" s="15">
        <f t="shared" si="0"/>
        <v>4</v>
      </c>
      <c r="P43" s="15">
        <f t="shared" si="1"/>
        <v>6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1</v>
      </c>
      <c r="L44" s="50">
        <v>0</v>
      </c>
      <c r="M44" s="50">
        <v>6</v>
      </c>
      <c r="N44" s="50">
        <v>0</v>
      </c>
      <c r="O44" s="15">
        <f t="shared" si="0"/>
        <v>2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2</v>
      </c>
      <c r="P45" s="15">
        <f t="shared" si="1"/>
        <v>6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3</v>
      </c>
      <c r="P46" s="15">
        <f t="shared" si="1"/>
        <v>6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1</v>
      </c>
      <c r="L47" s="50">
        <v>0</v>
      </c>
      <c r="M47" s="50">
        <v>6</v>
      </c>
      <c r="N47" s="50">
        <v>0</v>
      </c>
      <c r="O47" s="15">
        <f t="shared" si="0"/>
        <v>2</v>
      </c>
      <c r="P47" s="15">
        <f t="shared" si="1"/>
        <v>8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1</v>
      </c>
      <c r="P48" s="15">
        <f t="shared" si="1"/>
        <v>5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7</v>
      </c>
      <c r="N49" s="50">
        <v>0</v>
      </c>
      <c r="O49" s="15">
        <f t="shared" si="0"/>
        <v>2</v>
      </c>
      <c r="P49" s="15">
        <f t="shared" si="1"/>
        <v>9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8</v>
      </c>
      <c r="N50" s="50">
        <v>0</v>
      </c>
      <c r="O50" s="15">
        <f t="shared" si="0"/>
        <v>3</v>
      </c>
      <c r="P50" s="15">
        <f t="shared" si="1"/>
        <v>11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</v>
      </c>
      <c r="N51" s="50">
        <v>0</v>
      </c>
      <c r="O51" s="15">
        <f t="shared" si="0"/>
        <v>2</v>
      </c>
      <c r="P51" s="15">
        <f t="shared" si="1"/>
        <v>5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2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4</v>
      </c>
      <c r="N52" s="50">
        <v>0</v>
      </c>
      <c r="O52" s="15">
        <f t="shared" si="0"/>
        <v>4</v>
      </c>
      <c r="P52" s="15">
        <f t="shared" si="1"/>
        <v>8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</v>
      </c>
      <c r="N53" s="50">
        <v>0</v>
      </c>
      <c r="O53" s="15">
        <f t="shared" si="0"/>
        <v>2</v>
      </c>
      <c r="P53" s="15">
        <f t="shared" si="1"/>
        <v>3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5</v>
      </c>
      <c r="N54" s="50">
        <v>0</v>
      </c>
      <c r="O54" s="15">
        <f t="shared" si="0"/>
        <v>1</v>
      </c>
      <c r="P54" s="15">
        <f t="shared" si="1"/>
        <v>6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4</v>
      </c>
      <c r="P55" s="15">
        <f t="shared" si="1"/>
        <v>9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7</v>
      </c>
      <c r="N56" s="50">
        <v>0</v>
      </c>
      <c r="O56" s="15">
        <f t="shared" si="0"/>
        <v>2</v>
      </c>
      <c r="P56" s="15">
        <f t="shared" si="1"/>
        <v>9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</v>
      </c>
      <c r="N57" s="50">
        <v>0</v>
      </c>
      <c r="O57" s="15">
        <f t="shared" si="0"/>
        <v>1</v>
      </c>
      <c r="P57" s="15">
        <f t="shared" si="1"/>
        <v>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</v>
      </c>
      <c r="D58" s="16">
        <f t="shared" si="21"/>
        <v>2</v>
      </c>
      <c r="E58" s="16">
        <f t="shared" si="21"/>
        <v>24</v>
      </c>
      <c r="F58" s="16">
        <f t="shared" si="21"/>
        <v>16</v>
      </c>
      <c r="G58" s="16">
        <f t="shared" si="21"/>
        <v>0</v>
      </c>
      <c r="H58" s="16">
        <f t="shared" si="21"/>
        <v>0</v>
      </c>
      <c r="I58" s="16">
        <f t="shared" si="21"/>
        <v>31</v>
      </c>
      <c r="J58" s="16">
        <f t="shared" si="21"/>
        <v>8</v>
      </c>
      <c r="K58" s="16">
        <f t="shared" si="21"/>
        <v>2</v>
      </c>
      <c r="L58" s="16">
        <f t="shared" si="21"/>
        <v>0</v>
      </c>
      <c r="M58" s="16">
        <f t="shared" si="21"/>
        <v>189</v>
      </c>
      <c r="N58" s="16">
        <f t="shared" si="21"/>
        <v>4</v>
      </c>
      <c r="O58" s="16">
        <f t="shared" si="21"/>
        <v>110</v>
      </c>
      <c r="P58" s="16">
        <f t="shared" si="21"/>
        <v>299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7.6923076923076927E-2</v>
      </c>
      <c r="D59" s="43">
        <f t="shared" si="22"/>
        <v>6.688963210702341E-3</v>
      </c>
      <c r="E59" s="43">
        <f t="shared" si="22"/>
        <v>8.0267558528428096E-2</v>
      </c>
      <c r="F59" s="43">
        <f t="shared" si="22"/>
        <v>5.3511705685618728E-2</v>
      </c>
      <c r="G59" s="43">
        <f t="shared" si="22"/>
        <v>0</v>
      </c>
      <c r="H59" s="43">
        <f t="shared" si="22"/>
        <v>0</v>
      </c>
      <c r="I59" s="43">
        <f t="shared" si="22"/>
        <v>0.10367892976588629</v>
      </c>
      <c r="J59" s="43">
        <f t="shared" si="22"/>
        <v>2.6755852842809364E-2</v>
      </c>
      <c r="K59" s="43">
        <f t="shared" si="22"/>
        <v>6.688963210702341E-3</v>
      </c>
      <c r="L59" s="43">
        <f t="shared" si="22"/>
        <v>0</v>
      </c>
      <c r="M59" s="43">
        <f t="shared" si="22"/>
        <v>0.63210702341137126</v>
      </c>
      <c r="N59" s="43">
        <f t="shared" si="22"/>
        <v>1.3377926421404682E-2</v>
      </c>
      <c r="R59" s="8"/>
      <c r="T59"/>
    </row>
    <row r="60" spans="2:20" ht="23.1" customHeight="1" x14ac:dyDescent="0.25">
      <c r="B60" s="42" t="s">
        <v>94</v>
      </c>
      <c r="C60" s="44">
        <f>C58/$O$58</f>
        <v>0.20909090909090908</v>
      </c>
      <c r="D60" s="44">
        <f t="shared" ref="D60:N60" si="23">D58/$O$58</f>
        <v>1.8181818181818181E-2</v>
      </c>
      <c r="E60" s="44">
        <f t="shared" si="23"/>
        <v>0.21818181818181817</v>
      </c>
      <c r="F60" s="44">
        <f t="shared" si="23"/>
        <v>0.14545454545454545</v>
      </c>
      <c r="G60" s="44">
        <f t="shared" si="23"/>
        <v>0</v>
      </c>
      <c r="H60" s="44">
        <f t="shared" si="23"/>
        <v>0</v>
      </c>
      <c r="I60" s="44">
        <f t="shared" si="23"/>
        <v>0.2818181818181818</v>
      </c>
      <c r="J60" s="44">
        <f t="shared" si="23"/>
        <v>7.2727272727272724E-2</v>
      </c>
      <c r="K60" s="44">
        <f t="shared" si="23"/>
        <v>1.8181818181818181E-2</v>
      </c>
      <c r="L60" s="44">
        <f t="shared" si="23"/>
        <v>0</v>
      </c>
      <c r="M60" s="44"/>
      <c r="N60" s="44">
        <f t="shared" si="23"/>
        <v>3.6363636363636362E-2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topLeftCell="A19" zoomScale="80" zoomScaleSheetLayoutView="80" workbookViewId="0">
      <selection activeCell="J38" sqref="J3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'17.10 KAPEEKA-NGOMA'!C3:G3</f>
        <v>KAPEEKA -NGOMA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'17.10 KAPEEKA-NGOMA'!D5</f>
        <v>17.10.2019</v>
      </c>
      <c r="E5" s="3"/>
      <c r="F5" s="41" t="s">
        <v>1</v>
      </c>
      <c r="G5" s="56" t="s">
        <v>169</v>
      </c>
      <c r="H5" s="57"/>
      <c r="I5" s="14"/>
      <c r="J5" s="2" t="s">
        <v>5</v>
      </c>
      <c r="K5" s="56" t="s">
        <v>168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">
        <v>166</v>
      </c>
      <c r="E6" s="57"/>
      <c r="F6" s="2" t="s">
        <v>2</v>
      </c>
      <c r="G6" s="56" t="s">
        <v>165</v>
      </c>
      <c r="H6" s="57"/>
      <c r="J6" s="2" t="s">
        <v>21</v>
      </c>
      <c r="K6" s="56" t="str">
        <f>'17.10 KAPEEKA-NGOMA'!K6:L6</f>
        <v>MIREMBE RUTH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1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</v>
      </c>
      <c r="AD10" s="17">
        <f t="shared" si="2"/>
        <v>0</v>
      </c>
      <c r="AE10" s="31">
        <f t="shared" si="2"/>
        <v>5</v>
      </c>
      <c r="AF10" s="31">
        <f t="shared" si="2"/>
        <v>14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2</v>
      </c>
      <c r="P11" s="15">
        <f t="shared" si="1"/>
        <v>3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25</v>
      </c>
      <c r="AD11" s="17">
        <f t="shared" si="3"/>
        <v>0</v>
      </c>
      <c r="AE11" s="31">
        <f t="shared" si="3"/>
        <v>2</v>
      </c>
      <c r="AF11" s="31">
        <f t="shared" si="3"/>
        <v>27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0</v>
      </c>
      <c r="P12" s="15">
        <f t="shared" si="1"/>
        <v>4</v>
      </c>
      <c r="R12" s="1" t="s">
        <v>8</v>
      </c>
      <c r="S12" s="17">
        <f t="shared" ref="S12:AF12" si="4">SUM(C18:C21)</f>
        <v>1</v>
      </c>
      <c r="T12" s="17">
        <f t="shared" si="4"/>
        <v>1</v>
      </c>
      <c r="U12" s="17">
        <f t="shared" si="4"/>
        <v>1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16</v>
      </c>
      <c r="AD12" s="17">
        <f t="shared" si="4"/>
        <v>0</v>
      </c>
      <c r="AE12" s="31">
        <f t="shared" si="4"/>
        <v>8</v>
      </c>
      <c r="AF12" s="31">
        <f t="shared" si="4"/>
        <v>24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3</v>
      </c>
      <c r="P13" s="15">
        <f t="shared" si="1"/>
        <v>6</v>
      </c>
      <c r="R13" s="1" t="s">
        <v>9</v>
      </c>
      <c r="S13" s="17">
        <f t="shared" ref="S13:AF13" si="5">SUM(C22:C25)</f>
        <v>4</v>
      </c>
      <c r="T13" s="17">
        <f t="shared" si="5"/>
        <v>0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18</v>
      </c>
      <c r="AD13" s="17">
        <f t="shared" si="5"/>
        <v>1</v>
      </c>
      <c r="AE13" s="31">
        <f t="shared" si="5"/>
        <v>7</v>
      </c>
      <c r="AF13" s="31">
        <f t="shared" si="5"/>
        <v>25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0</v>
      </c>
      <c r="P14" s="15">
        <f t="shared" si="1"/>
        <v>8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2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25</v>
      </c>
      <c r="AD14" s="17">
        <f t="shared" si="6"/>
        <v>0</v>
      </c>
      <c r="AE14" s="31">
        <f t="shared" si="6"/>
        <v>10</v>
      </c>
      <c r="AF14" s="31">
        <f t="shared" si="6"/>
        <v>35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0</v>
      </c>
      <c r="P15" s="15">
        <f t="shared" si="1"/>
        <v>6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1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28</v>
      </c>
      <c r="AD15" s="17">
        <f t="shared" si="7"/>
        <v>2</v>
      </c>
      <c r="AE15" s="31">
        <f t="shared" si="7"/>
        <v>11</v>
      </c>
      <c r="AF15" s="31">
        <f t="shared" si="7"/>
        <v>39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2</v>
      </c>
      <c r="P16" s="15">
        <f t="shared" si="1"/>
        <v>9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24</v>
      </c>
      <c r="AD16" s="17">
        <f t="shared" si="8"/>
        <v>0</v>
      </c>
      <c r="AE16" s="31">
        <f t="shared" si="8"/>
        <v>3</v>
      </c>
      <c r="AF16" s="31">
        <f t="shared" si="8"/>
        <v>27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0</v>
      </c>
      <c r="P17" s="15">
        <f t="shared" si="1"/>
        <v>4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4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34</v>
      </c>
      <c r="AD17" s="17">
        <f t="shared" si="9"/>
        <v>0</v>
      </c>
      <c r="AE17" s="31">
        <f t="shared" si="9"/>
        <v>8</v>
      </c>
      <c r="AF17" s="31">
        <f t="shared" si="9"/>
        <v>42</v>
      </c>
    </row>
    <row r="18" spans="2:32" ht="23.1" customHeight="1" x14ac:dyDescent="0.25">
      <c r="B18" s="23" t="s">
        <v>45</v>
      </c>
      <c r="C18" s="50">
        <v>1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2</v>
      </c>
      <c r="P18" s="15">
        <f t="shared" si="1"/>
        <v>5</v>
      </c>
      <c r="R18" s="1" t="s">
        <v>14</v>
      </c>
      <c r="S18" s="17">
        <f t="shared" ref="S18:AF18" si="10">SUM(C42:C45)</f>
        <v>1</v>
      </c>
      <c r="T18" s="17">
        <f t="shared" si="10"/>
        <v>1</v>
      </c>
      <c r="U18" s="17">
        <f t="shared" si="10"/>
        <v>0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24</v>
      </c>
      <c r="AD18" s="17">
        <f t="shared" si="10"/>
        <v>0</v>
      </c>
      <c r="AE18" s="31">
        <f t="shared" si="10"/>
        <v>13</v>
      </c>
      <c r="AF18" s="31">
        <f t="shared" si="10"/>
        <v>37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4</v>
      </c>
      <c r="N19" s="50">
        <v>0</v>
      </c>
      <c r="O19" s="15">
        <f t="shared" si="0"/>
        <v>2</v>
      </c>
      <c r="P19" s="15">
        <f t="shared" si="1"/>
        <v>6</v>
      </c>
      <c r="R19" s="1" t="s">
        <v>15</v>
      </c>
      <c r="S19" s="17">
        <f t="shared" ref="S19:AF19" si="11">SUM(C46:C49)</f>
        <v>13</v>
      </c>
      <c r="T19" s="17">
        <f t="shared" si="11"/>
        <v>0</v>
      </c>
      <c r="U19" s="17">
        <f t="shared" si="11"/>
        <v>2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21</v>
      </c>
      <c r="AD19" s="17">
        <f t="shared" si="11"/>
        <v>1</v>
      </c>
      <c r="AE19" s="31">
        <f t="shared" si="11"/>
        <v>20</v>
      </c>
      <c r="AF19" s="31">
        <f t="shared" si="11"/>
        <v>41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2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4</v>
      </c>
      <c r="P20" s="15">
        <f t="shared" si="1"/>
        <v>12</v>
      </c>
      <c r="R20" s="1" t="s">
        <v>16</v>
      </c>
      <c r="S20" s="17">
        <f t="shared" ref="S20:AF20" si="12">SUM(C50:C53)</f>
        <v>1</v>
      </c>
      <c r="T20" s="17">
        <f t="shared" si="12"/>
        <v>4</v>
      </c>
      <c r="U20" s="17">
        <f t="shared" si="12"/>
        <v>1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28</v>
      </c>
      <c r="AD20" s="17">
        <f t="shared" si="12"/>
        <v>0</v>
      </c>
      <c r="AE20" s="31">
        <f t="shared" si="12"/>
        <v>14</v>
      </c>
      <c r="AF20" s="31">
        <f t="shared" si="12"/>
        <v>42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0</v>
      </c>
      <c r="P21" s="15">
        <f t="shared" si="1"/>
        <v>1</v>
      </c>
      <c r="R21" s="36" t="s">
        <v>20</v>
      </c>
      <c r="S21" s="34">
        <f t="shared" ref="S21:AF21" si="13">SUM(C54:C57)</f>
        <v>2</v>
      </c>
      <c r="T21" s="17">
        <f t="shared" si="13"/>
        <v>0</v>
      </c>
      <c r="U21" s="17">
        <f t="shared" si="13"/>
        <v>0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12</v>
      </c>
      <c r="AD21" s="17">
        <f t="shared" si="13"/>
        <v>0</v>
      </c>
      <c r="AE21" s="31">
        <f t="shared" si="13"/>
        <v>6</v>
      </c>
      <c r="AF21" s="31">
        <f t="shared" si="13"/>
        <v>18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</v>
      </c>
      <c r="N22" s="50">
        <v>0</v>
      </c>
      <c r="O22" s="15">
        <f t="shared" si="0"/>
        <v>3</v>
      </c>
      <c r="P22" s="15">
        <f t="shared" si="1"/>
        <v>5</v>
      </c>
      <c r="R22" s="38" t="s">
        <v>90</v>
      </c>
      <c r="S22" s="39">
        <f>MAX(S10:S12)</f>
        <v>2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25</v>
      </c>
      <c r="AD22" s="39">
        <f t="shared" si="14"/>
        <v>0</v>
      </c>
      <c r="AE22" s="40">
        <f t="shared" si="14"/>
        <v>8</v>
      </c>
      <c r="AF22" s="40">
        <f t="shared" si="14"/>
        <v>27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1</v>
      </c>
      <c r="P23" s="15">
        <f t="shared" si="1"/>
        <v>9</v>
      </c>
      <c r="R23" s="38" t="s">
        <v>91</v>
      </c>
      <c r="S23" s="39">
        <f>MAX(S13:S18)</f>
        <v>4</v>
      </c>
      <c r="T23" s="39">
        <f t="shared" ref="T23:AF23" si="15">MAX(T13:T18)</f>
        <v>1</v>
      </c>
      <c r="U23" s="39">
        <f t="shared" si="15"/>
        <v>4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8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34</v>
      </c>
      <c r="AD23" s="39">
        <f t="shared" si="15"/>
        <v>2</v>
      </c>
      <c r="AE23" s="40">
        <f t="shared" si="15"/>
        <v>13</v>
      </c>
      <c r="AF23" s="40">
        <f t="shared" si="15"/>
        <v>42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</v>
      </c>
      <c r="N24" s="50">
        <v>1</v>
      </c>
      <c r="O24" s="15">
        <f t="shared" si="0"/>
        <v>3</v>
      </c>
      <c r="P24" s="15">
        <f t="shared" si="1"/>
        <v>6</v>
      </c>
      <c r="R24" s="38" t="s">
        <v>92</v>
      </c>
      <c r="S24" s="39">
        <f>MAX(S19:S21)</f>
        <v>13</v>
      </c>
      <c r="T24" s="39">
        <f t="shared" ref="T24:AF24" si="16">MAX(T19:T21)</f>
        <v>4</v>
      </c>
      <c r="U24" s="39">
        <f t="shared" si="16"/>
        <v>2</v>
      </c>
      <c r="V24" s="39">
        <f t="shared" si="16"/>
        <v>2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2</v>
      </c>
      <c r="AA24" s="39">
        <f t="shared" si="16"/>
        <v>1</v>
      </c>
      <c r="AB24" s="39">
        <f t="shared" si="16"/>
        <v>0</v>
      </c>
      <c r="AC24" s="39">
        <f t="shared" si="16"/>
        <v>28</v>
      </c>
      <c r="AD24" s="39">
        <f t="shared" si="16"/>
        <v>1</v>
      </c>
      <c r="AE24" s="40">
        <f t="shared" si="16"/>
        <v>20</v>
      </c>
      <c r="AF24" s="40">
        <f t="shared" si="16"/>
        <v>42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0</v>
      </c>
      <c r="P25" s="15">
        <f t="shared" si="1"/>
        <v>5</v>
      </c>
      <c r="R25" s="37" t="s">
        <v>85</v>
      </c>
      <c r="S25" s="35">
        <f t="shared" ref="S25:AF25" si="17">SUM(S10:S12)</f>
        <v>3</v>
      </c>
      <c r="T25" s="16">
        <f t="shared" si="17"/>
        <v>1</v>
      </c>
      <c r="U25" s="16">
        <f t="shared" si="17"/>
        <v>2</v>
      </c>
      <c r="V25" s="16">
        <f t="shared" si="17"/>
        <v>5</v>
      </c>
      <c r="W25" s="16">
        <f t="shared" si="17"/>
        <v>0</v>
      </c>
      <c r="X25" s="16">
        <f t="shared" si="17"/>
        <v>0</v>
      </c>
      <c r="Y25" s="16">
        <f t="shared" si="17"/>
        <v>2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50</v>
      </c>
      <c r="AD25" s="16">
        <f t="shared" si="17"/>
        <v>0</v>
      </c>
      <c r="AE25" s="32">
        <f t="shared" si="17"/>
        <v>15</v>
      </c>
      <c r="AF25" s="32">
        <f t="shared" si="17"/>
        <v>65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0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4</v>
      </c>
      <c r="N26" s="50">
        <v>0</v>
      </c>
      <c r="O26" s="15">
        <f t="shared" si="0"/>
        <v>4</v>
      </c>
      <c r="P26" s="15">
        <f t="shared" si="1"/>
        <v>8</v>
      </c>
      <c r="R26" s="28" t="s">
        <v>86</v>
      </c>
      <c r="S26" s="16">
        <f t="shared" ref="S26:AF26" si="18">SUM(S13:S18)</f>
        <v>11</v>
      </c>
      <c r="T26" s="16">
        <f t="shared" si="18"/>
        <v>1</v>
      </c>
      <c r="U26" s="16">
        <f t="shared" si="18"/>
        <v>7</v>
      </c>
      <c r="V26" s="16">
        <f t="shared" si="18"/>
        <v>12</v>
      </c>
      <c r="W26" s="16">
        <f t="shared" si="18"/>
        <v>0</v>
      </c>
      <c r="X26" s="16">
        <f t="shared" si="18"/>
        <v>0</v>
      </c>
      <c r="Y26" s="16">
        <f t="shared" si="18"/>
        <v>11</v>
      </c>
      <c r="Z26" s="16">
        <f t="shared" si="18"/>
        <v>7</v>
      </c>
      <c r="AA26" s="16">
        <f t="shared" si="18"/>
        <v>0</v>
      </c>
      <c r="AB26" s="16">
        <f t="shared" si="18"/>
        <v>0</v>
      </c>
      <c r="AC26" s="16">
        <f t="shared" si="18"/>
        <v>153</v>
      </c>
      <c r="AD26" s="16">
        <f t="shared" si="18"/>
        <v>3</v>
      </c>
      <c r="AE26" s="32">
        <f t="shared" si="18"/>
        <v>52</v>
      </c>
      <c r="AF26" s="32">
        <f t="shared" si="18"/>
        <v>205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0</v>
      </c>
      <c r="P27" s="15">
        <f t="shared" si="1"/>
        <v>6</v>
      </c>
      <c r="R27" s="29" t="s">
        <v>87</v>
      </c>
      <c r="S27" s="16">
        <f t="shared" ref="S27:AF27" si="19">SUM(S19:S21)</f>
        <v>16</v>
      </c>
      <c r="T27" s="16">
        <f t="shared" si="19"/>
        <v>4</v>
      </c>
      <c r="U27" s="16">
        <f t="shared" si="19"/>
        <v>3</v>
      </c>
      <c r="V27" s="16">
        <f t="shared" si="19"/>
        <v>5</v>
      </c>
      <c r="W27" s="16">
        <f t="shared" si="19"/>
        <v>0</v>
      </c>
      <c r="X27" s="16">
        <f t="shared" si="19"/>
        <v>0</v>
      </c>
      <c r="Y27" s="16">
        <f t="shared" si="19"/>
        <v>6</v>
      </c>
      <c r="Z27" s="16">
        <f t="shared" si="19"/>
        <v>4</v>
      </c>
      <c r="AA27" s="16">
        <f t="shared" si="19"/>
        <v>1</v>
      </c>
      <c r="AB27" s="16">
        <f t="shared" si="19"/>
        <v>0</v>
      </c>
      <c r="AC27" s="16">
        <f t="shared" si="19"/>
        <v>61</v>
      </c>
      <c r="AD27" s="16">
        <f t="shared" si="19"/>
        <v>1</v>
      </c>
      <c r="AE27" s="32">
        <f t="shared" si="19"/>
        <v>40</v>
      </c>
      <c r="AF27" s="32">
        <f t="shared" si="19"/>
        <v>101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2</v>
      </c>
      <c r="F28" s="50">
        <v>1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5</v>
      </c>
      <c r="P28" s="15">
        <f t="shared" si="1"/>
        <v>11</v>
      </c>
      <c r="R28" s="5" t="s">
        <v>17</v>
      </c>
      <c r="S28" s="16">
        <f t="shared" ref="S28:AF28" si="20">SUM(S10:S21)</f>
        <v>30</v>
      </c>
      <c r="T28" s="16">
        <f t="shared" si="20"/>
        <v>6</v>
      </c>
      <c r="U28" s="16">
        <f t="shared" si="20"/>
        <v>12</v>
      </c>
      <c r="V28" s="16">
        <f t="shared" si="20"/>
        <v>22</v>
      </c>
      <c r="W28" s="16">
        <f t="shared" si="20"/>
        <v>0</v>
      </c>
      <c r="X28" s="16">
        <f t="shared" si="20"/>
        <v>0</v>
      </c>
      <c r="Y28" s="16">
        <f t="shared" si="20"/>
        <v>19</v>
      </c>
      <c r="Z28" s="16">
        <f t="shared" si="20"/>
        <v>13</v>
      </c>
      <c r="AA28" s="16">
        <f t="shared" si="20"/>
        <v>1</v>
      </c>
      <c r="AB28" s="16">
        <f t="shared" si="20"/>
        <v>0</v>
      </c>
      <c r="AC28" s="16">
        <f t="shared" si="20"/>
        <v>264</v>
      </c>
      <c r="AD28" s="16">
        <f t="shared" si="20"/>
        <v>4</v>
      </c>
      <c r="AE28" s="32">
        <f t="shared" si="20"/>
        <v>107</v>
      </c>
      <c r="AF28" s="32">
        <f t="shared" si="20"/>
        <v>371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1</v>
      </c>
      <c r="P29" s="15">
        <f t="shared" si="1"/>
        <v>10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12</v>
      </c>
      <c r="N30" s="50">
        <v>0</v>
      </c>
      <c r="O30" s="15">
        <f t="shared" si="0"/>
        <v>0</v>
      </c>
      <c r="P30" s="15">
        <f t="shared" si="1"/>
        <v>12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</v>
      </c>
      <c r="N31" s="50">
        <v>1</v>
      </c>
      <c r="O31" s="15">
        <f t="shared" si="0"/>
        <v>1</v>
      </c>
      <c r="P31" s="15">
        <f t="shared" si="1"/>
        <v>4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7</v>
      </c>
      <c r="N32" s="50">
        <v>1</v>
      </c>
      <c r="O32" s="15">
        <f t="shared" si="0"/>
        <v>5</v>
      </c>
      <c r="P32" s="15">
        <f t="shared" si="1"/>
        <v>12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2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6</v>
      </c>
      <c r="N33" s="50">
        <v>0</v>
      </c>
      <c r="O33" s="15">
        <f t="shared" si="0"/>
        <v>5</v>
      </c>
      <c r="P33" s="15">
        <f t="shared" si="1"/>
        <v>11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2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2</v>
      </c>
      <c r="P34" s="15">
        <f t="shared" si="1"/>
        <v>5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0</v>
      </c>
      <c r="P35" s="15">
        <f t="shared" si="1"/>
        <v>4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1</v>
      </c>
      <c r="P36" s="15">
        <f t="shared" si="1"/>
        <v>9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9</v>
      </c>
      <c r="N37" s="50">
        <v>0</v>
      </c>
      <c r="O37" s="15">
        <f t="shared" si="0"/>
        <v>0</v>
      </c>
      <c r="P37" s="15">
        <f t="shared" si="1"/>
        <v>9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7</v>
      </c>
      <c r="N38" s="50">
        <v>0</v>
      </c>
      <c r="O38" s="15">
        <f t="shared" si="0"/>
        <v>1</v>
      </c>
      <c r="P38" s="15">
        <f t="shared" si="1"/>
        <v>8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2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9</v>
      </c>
      <c r="N39" s="50">
        <v>0</v>
      </c>
      <c r="O39" s="15">
        <f t="shared" si="0"/>
        <v>3</v>
      </c>
      <c r="P39" s="15">
        <f t="shared" si="1"/>
        <v>12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2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3</v>
      </c>
      <c r="P40" s="15">
        <f t="shared" si="1"/>
        <v>12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1</v>
      </c>
      <c r="P41" s="15">
        <f t="shared" si="1"/>
        <v>10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1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3</v>
      </c>
      <c r="N43" s="50">
        <v>0</v>
      </c>
      <c r="O43" s="15">
        <f t="shared" si="0"/>
        <v>0</v>
      </c>
      <c r="P43" s="15">
        <f t="shared" si="1"/>
        <v>3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3</v>
      </c>
      <c r="J44" s="50">
        <v>1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5</v>
      </c>
      <c r="P44" s="15">
        <f t="shared" si="1"/>
        <v>9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4</v>
      </c>
      <c r="J45" s="50">
        <v>1</v>
      </c>
      <c r="K45" s="50">
        <v>0</v>
      </c>
      <c r="L45" s="50">
        <v>0</v>
      </c>
      <c r="M45" s="50">
        <v>9</v>
      </c>
      <c r="N45" s="50">
        <v>0</v>
      </c>
      <c r="O45" s="15">
        <f t="shared" si="0"/>
        <v>7</v>
      </c>
      <c r="P45" s="15">
        <f t="shared" si="1"/>
        <v>16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2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5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2</v>
      </c>
      <c r="P47" s="15">
        <f t="shared" si="1"/>
        <v>6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7</v>
      </c>
      <c r="N48" s="50">
        <v>0</v>
      </c>
      <c r="O48" s="15">
        <f t="shared" si="0"/>
        <v>1</v>
      </c>
      <c r="P48" s="15">
        <f t="shared" si="1"/>
        <v>8</v>
      </c>
      <c r="R48" s="8"/>
      <c r="T48"/>
    </row>
    <row r="49" spans="2:20" ht="23.1" customHeight="1" x14ac:dyDescent="0.25">
      <c r="B49" s="23" t="s">
        <v>76</v>
      </c>
      <c r="C49" s="50">
        <v>10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1</v>
      </c>
      <c r="L49" s="50">
        <v>0</v>
      </c>
      <c r="M49" s="50">
        <v>2</v>
      </c>
      <c r="N49" s="50">
        <v>1</v>
      </c>
      <c r="O49" s="15">
        <f t="shared" si="0"/>
        <v>12</v>
      </c>
      <c r="P49" s="15">
        <f t="shared" si="1"/>
        <v>14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2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6</v>
      </c>
      <c r="N50" s="50">
        <v>0</v>
      </c>
      <c r="O50" s="15">
        <f t="shared" si="0"/>
        <v>4</v>
      </c>
      <c r="P50" s="15">
        <f t="shared" si="1"/>
        <v>10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2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15</v>
      </c>
      <c r="N51" s="50">
        <v>0</v>
      </c>
      <c r="O51" s="15">
        <f t="shared" si="0"/>
        <v>3</v>
      </c>
      <c r="P51" s="15">
        <f t="shared" si="1"/>
        <v>18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4</v>
      </c>
      <c r="N52" s="50">
        <v>0</v>
      </c>
      <c r="O52" s="15">
        <f t="shared" si="0"/>
        <v>1</v>
      </c>
      <c r="P52" s="15">
        <f t="shared" si="1"/>
        <v>5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1</v>
      </c>
      <c r="E53" s="50">
        <v>1</v>
      </c>
      <c r="F53" s="50">
        <v>0</v>
      </c>
      <c r="G53" s="50">
        <v>0</v>
      </c>
      <c r="H53" s="50">
        <v>0</v>
      </c>
      <c r="I53" s="50">
        <v>3</v>
      </c>
      <c r="J53" s="50">
        <v>1</v>
      </c>
      <c r="K53" s="50">
        <v>0</v>
      </c>
      <c r="L53" s="50">
        <v>0</v>
      </c>
      <c r="M53" s="50">
        <v>3</v>
      </c>
      <c r="N53" s="50">
        <v>0</v>
      </c>
      <c r="O53" s="15">
        <f t="shared" si="0"/>
        <v>6</v>
      </c>
      <c r="P53" s="15">
        <f t="shared" si="1"/>
        <v>9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3</v>
      </c>
      <c r="N54" s="50">
        <v>0</v>
      </c>
      <c r="O54" s="15">
        <f t="shared" si="0"/>
        <v>2</v>
      </c>
      <c r="P54" s="15">
        <f t="shared" si="1"/>
        <v>5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4</v>
      </c>
      <c r="N55" s="50">
        <v>0</v>
      </c>
      <c r="O55" s="15">
        <f t="shared" si="0"/>
        <v>1</v>
      </c>
      <c r="P55" s="15">
        <f t="shared" si="1"/>
        <v>5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5</v>
      </c>
      <c r="N56" s="50">
        <v>0</v>
      </c>
      <c r="O56" s="15">
        <f t="shared" si="0"/>
        <v>1</v>
      </c>
      <c r="P56" s="15">
        <f t="shared" si="1"/>
        <v>6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 t="s">
        <v>170</v>
      </c>
      <c r="N57" s="50">
        <v>0</v>
      </c>
      <c r="O57" s="15">
        <f t="shared" si="0"/>
        <v>2</v>
      </c>
      <c r="P57" s="15">
        <f t="shared" si="1"/>
        <v>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</v>
      </c>
      <c r="D58" s="16">
        <f t="shared" si="21"/>
        <v>6</v>
      </c>
      <c r="E58" s="16">
        <f t="shared" si="21"/>
        <v>12</v>
      </c>
      <c r="F58" s="16">
        <f t="shared" si="21"/>
        <v>22</v>
      </c>
      <c r="G58" s="16">
        <f t="shared" si="21"/>
        <v>0</v>
      </c>
      <c r="H58" s="16">
        <f t="shared" si="21"/>
        <v>0</v>
      </c>
      <c r="I58" s="16">
        <f t="shared" si="21"/>
        <v>19</v>
      </c>
      <c r="J58" s="16">
        <f t="shared" si="21"/>
        <v>13</v>
      </c>
      <c r="K58" s="16">
        <f t="shared" si="21"/>
        <v>1</v>
      </c>
      <c r="L58" s="16">
        <f t="shared" si="21"/>
        <v>0</v>
      </c>
      <c r="M58" s="16">
        <f t="shared" si="21"/>
        <v>264</v>
      </c>
      <c r="N58" s="16">
        <f t="shared" si="21"/>
        <v>4</v>
      </c>
      <c r="O58" s="16">
        <f t="shared" si="21"/>
        <v>107</v>
      </c>
      <c r="P58" s="16">
        <f t="shared" si="21"/>
        <v>371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8.0862533692722366E-2</v>
      </c>
      <c r="D59" s="43">
        <f t="shared" si="22"/>
        <v>1.6172506738544475E-2</v>
      </c>
      <c r="E59" s="43">
        <f t="shared" si="22"/>
        <v>3.2345013477088951E-2</v>
      </c>
      <c r="F59" s="43">
        <f t="shared" si="22"/>
        <v>5.9299191374663072E-2</v>
      </c>
      <c r="G59" s="43">
        <f t="shared" si="22"/>
        <v>0</v>
      </c>
      <c r="H59" s="43">
        <f t="shared" si="22"/>
        <v>0</v>
      </c>
      <c r="I59" s="43">
        <f t="shared" si="22"/>
        <v>5.1212938005390833E-2</v>
      </c>
      <c r="J59" s="43">
        <f t="shared" si="22"/>
        <v>3.5040431266846361E-2</v>
      </c>
      <c r="K59" s="43">
        <f t="shared" si="22"/>
        <v>2.6954177897574125E-3</v>
      </c>
      <c r="L59" s="43">
        <f t="shared" si="22"/>
        <v>0</v>
      </c>
      <c r="M59" s="43">
        <f t="shared" si="22"/>
        <v>0.71159029649595684</v>
      </c>
      <c r="N59" s="43">
        <f t="shared" si="22"/>
        <v>1.078167115902965E-2</v>
      </c>
      <c r="R59" s="8"/>
      <c r="T59"/>
    </row>
    <row r="60" spans="2:20" ht="23.1" customHeight="1" x14ac:dyDescent="0.25">
      <c r="B60" s="42" t="s">
        <v>94</v>
      </c>
      <c r="C60" s="44">
        <f>C58/$O$58</f>
        <v>0.28037383177570091</v>
      </c>
      <c r="D60" s="44">
        <f t="shared" ref="D60:N60" si="23">D58/$O$58</f>
        <v>5.6074766355140186E-2</v>
      </c>
      <c r="E60" s="44">
        <f t="shared" si="23"/>
        <v>0.11214953271028037</v>
      </c>
      <c r="F60" s="44">
        <f t="shared" si="23"/>
        <v>0.20560747663551401</v>
      </c>
      <c r="G60" s="44">
        <f t="shared" si="23"/>
        <v>0</v>
      </c>
      <c r="H60" s="44">
        <f t="shared" si="23"/>
        <v>0</v>
      </c>
      <c r="I60" s="44">
        <f t="shared" si="23"/>
        <v>0.17757009345794392</v>
      </c>
      <c r="J60" s="44">
        <f t="shared" si="23"/>
        <v>0.12149532710280374</v>
      </c>
      <c r="K60" s="44">
        <f t="shared" si="23"/>
        <v>9.3457943925233638E-3</v>
      </c>
      <c r="L60" s="44">
        <f t="shared" si="23"/>
        <v>0</v>
      </c>
      <c r="M60" s="44"/>
      <c r="N60" s="44">
        <f t="shared" si="23"/>
        <v>3.7383177570093455E-2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topLeftCell="A10" zoomScale="70" zoomScaleSheetLayoutView="7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'17.10 KAPEEKA-NGOMA'!C3:G3</f>
        <v>KAPEEKA -NGOMA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171</v>
      </c>
      <c r="E5" s="3"/>
      <c r="F5" s="41" t="s">
        <v>1</v>
      </c>
      <c r="G5" s="56" t="str">
        <f>'17.10 KAPEEKA-NGOMA'!G5:H5</f>
        <v>BUTALANGU</v>
      </c>
      <c r="H5" s="57"/>
      <c r="I5" s="14"/>
      <c r="J5" s="2" t="s">
        <v>5</v>
      </c>
      <c r="K5" s="56" t="str">
        <f>'17.10 KAPEEKA-NGOMA'!K5:L5</f>
        <v>MIREMBE RUTH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'17.10 KAPEEKA-NGOMA'!D6:E6</f>
        <v>KAPEEKA</v>
      </c>
      <c r="E6" s="57"/>
      <c r="F6" s="2" t="s">
        <v>2</v>
      </c>
      <c r="G6" s="56" t="str">
        <f>'17.10 KAPEEKA-NGOMA'!G6:H6</f>
        <v>NGOMA</v>
      </c>
      <c r="H6" s="57"/>
      <c r="J6" s="2" t="s">
        <v>21</v>
      </c>
      <c r="K6" s="56" t="str">
        <f>'17.10 KAPEEKA-NGOMA'!K6:L6</f>
        <v>MIREMBE RUTH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4</v>
      </c>
      <c r="AC10" s="17">
        <f t="shared" si="2"/>
        <v>21</v>
      </c>
      <c r="AD10" s="17">
        <f t="shared" si="2"/>
        <v>0</v>
      </c>
      <c r="AE10" s="31">
        <f t="shared" si="2"/>
        <v>11</v>
      </c>
      <c r="AF10" s="31">
        <f t="shared" si="2"/>
        <v>32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3</v>
      </c>
      <c r="P11" s="15">
        <f t="shared" si="1"/>
        <v>8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16</v>
      </c>
      <c r="AD11" s="17">
        <f t="shared" si="3"/>
        <v>0</v>
      </c>
      <c r="AE11" s="31">
        <f t="shared" si="3"/>
        <v>5</v>
      </c>
      <c r="AF11" s="31">
        <f t="shared" si="3"/>
        <v>21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1</v>
      </c>
      <c r="P12" s="15">
        <f t="shared" si="1"/>
        <v>8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16</v>
      </c>
      <c r="AD12" s="17">
        <f t="shared" si="4"/>
        <v>0</v>
      </c>
      <c r="AE12" s="31">
        <f t="shared" si="4"/>
        <v>5</v>
      </c>
      <c r="AF12" s="31">
        <f t="shared" si="4"/>
        <v>21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4</v>
      </c>
      <c r="M13" s="50">
        <v>4</v>
      </c>
      <c r="N13" s="50">
        <v>0</v>
      </c>
      <c r="O13" s="15">
        <f t="shared" si="0"/>
        <v>5</v>
      </c>
      <c r="P13" s="15">
        <f t="shared" si="1"/>
        <v>9</v>
      </c>
      <c r="R13" s="1" t="s">
        <v>9</v>
      </c>
      <c r="S13" s="17">
        <f t="shared" ref="S13:AF13" si="5">SUM(C22:C25)</f>
        <v>1</v>
      </c>
      <c r="T13" s="17">
        <f t="shared" si="5"/>
        <v>2</v>
      </c>
      <c r="U13" s="17">
        <f t="shared" si="5"/>
        <v>1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20</v>
      </c>
      <c r="AD13" s="17">
        <f t="shared" si="5"/>
        <v>0</v>
      </c>
      <c r="AE13" s="31">
        <f t="shared" si="5"/>
        <v>7</v>
      </c>
      <c r="AF13" s="31">
        <f t="shared" si="5"/>
        <v>27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1</v>
      </c>
      <c r="L14" s="50">
        <v>0</v>
      </c>
      <c r="M14" s="50">
        <v>6</v>
      </c>
      <c r="N14" s="50">
        <v>0</v>
      </c>
      <c r="O14" s="15">
        <f t="shared" si="0"/>
        <v>2</v>
      </c>
      <c r="P14" s="15">
        <f t="shared" si="1"/>
        <v>8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0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1</v>
      </c>
      <c r="AC14" s="17">
        <f t="shared" si="6"/>
        <v>26</v>
      </c>
      <c r="AD14" s="17">
        <f t="shared" si="6"/>
        <v>0</v>
      </c>
      <c r="AE14" s="31">
        <f t="shared" si="6"/>
        <v>6</v>
      </c>
      <c r="AF14" s="31">
        <f t="shared" si="6"/>
        <v>32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1</v>
      </c>
      <c r="P15" s="15">
        <f t="shared" si="1"/>
        <v>4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0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19</v>
      </c>
      <c r="AD15" s="17">
        <f t="shared" si="7"/>
        <v>0</v>
      </c>
      <c r="AE15" s="31">
        <f t="shared" si="7"/>
        <v>8</v>
      </c>
      <c r="AF15" s="31">
        <f t="shared" si="7"/>
        <v>27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1</v>
      </c>
      <c r="P16" s="15">
        <f t="shared" si="1"/>
        <v>6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26</v>
      </c>
      <c r="AD16" s="17">
        <f t="shared" si="8"/>
        <v>0</v>
      </c>
      <c r="AE16" s="31">
        <f t="shared" si="8"/>
        <v>10</v>
      </c>
      <c r="AF16" s="31">
        <f t="shared" si="8"/>
        <v>36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1</v>
      </c>
      <c r="P17" s="15">
        <f t="shared" si="1"/>
        <v>3</v>
      </c>
      <c r="R17" s="1" t="s">
        <v>13</v>
      </c>
      <c r="S17" s="17">
        <f t="shared" ref="S17:AF17" si="9">SUM(C38:C41)</f>
        <v>11</v>
      </c>
      <c r="T17" s="17">
        <f t="shared" si="9"/>
        <v>1</v>
      </c>
      <c r="U17" s="17">
        <f t="shared" si="9"/>
        <v>1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17</v>
      </c>
      <c r="AD17" s="17">
        <f t="shared" si="9"/>
        <v>1</v>
      </c>
      <c r="AE17" s="31">
        <f t="shared" si="9"/>
        <v>19</v>
      </c>
      <c r="AF17" s="31">
        <f t="shared" si="9"/>
        <v>36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2</v>
      </c>
      <c r="P18" s="15">
        <f t="shared" si="1"/>
        <v>6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27</v>
      </c>
      <c r="AD18" s="17">
        <f t="shared" si="10"/>
        <v>0</v>
      </c>
      <c r="AE18" s="31">
        <f t="shared" si="10"/>
        <v>6</v>
      </c>
      <c r="AF18" s="31">
        <f t="shared" si="10"/>
        <v>33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2</v>
      </c>
      <c r="P19" s="15">
        <f t="shared" si="1"/>
        <v>7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1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24</v>
      </c>
      <c r="AD19" s="17">
        <f t="shared" si="11"/>
        <v>0</v>
      </c>
      <c r="AE19" s="31">
        <f t="shared" si="11"/>
        <v>7</v>
      </c>
      <c r="AF19" s="31">
        <f t="shared" si="11"/>
        <v>31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0</v>
      </c>
      <c r="P20" s="15">
        <f t="shared" si="1"/>
        <v>2</v>
      </c>
      <c r="R20" s="1" t="s">
        <v>16</v>
      </c>
      <c r="S20" s="17">
        <f t="shared" ref="S20:AF20" si="12">SUM(C50:C53)</f>
        <v>2</v>
      </c>
      <c r="T20" s="17">
        <f t="shared" si="12"/>
        <v>1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24</v>
      </c>
      <c r="AD20" s="17">
        <f t="shared" si="12"/>
        <v>0</v>
      </c>
      <c r="AE20" s="31">
        <f t="shared" si="12"/>
        <v>4</v>
      </c>
      <c r="AF20" s="31">
        <f t="shared" si="12"/>
        <v>28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1</v>
      </c>
      <c r="P21" s="15">
        <f t="shared" si="1"/>
        <v>6</v>
      </c>
      <c r="R21" s="36" t="s">
        <v>20</v>
      </c>
      <c r="S21" s="34">
        <f t="shared" ref="S21:AF21" si="13">SUM(C54:C57)</f>
        <v>4</v>
      </c>
      <c r="T21" s="17">
        <f t="shared" si="13"/>
        <v>1</v>
      </c>
      <c r="U21" s="17">
        <f t="shared" si="13"/>
        <v>0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17</v>
      </c>
      <c r="AD21" s="17">
        <f t="shared" si="13"/>
        <v>0</v>
      </c>
      <c r="AE21" s="31">
        <f t="shared" si="13"/>
        <v>10</v>
      </c>
      <c r="AF21" s="31">
        <f t="shared" si="13"/>
        <v>27</v>
      </c>
    </row>
    <row r="22" spans="2:32" ht="23.1" customHeight="1" x14ac:dyDescent="0.25">
      <c r="B22" s="23" t="s">
        <v>49</v>
      </c>
      <c r="C22" s="50">
        <v>1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2</v>
      </c>
      <c r="P22" s="15">
        <f t="shared" si="1"/>
        <v>8</v>
      </c>
      <c r="R22" s="38" t="s">
        <v>90</v>
      </c>
      <c r="S22" s="39">
        <f>MAX(S10:S12)</f>
        <v>1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6</v>
      </c>
      <c r="Z22" s="39">
        <f t="shared" si="14"/>
        <v>1</v>
      </c>
      <c r="AA22" s="39">
        <f t="shared" si="14"/>
        <v>1</v>
      </c>
      <c r="AB22" s="39">
        <f t="shared" si="14"/>
        <v>4</v>
      </c>
      <c r="AC22" s="39">
        <f t="shared" si="14"/>
        <v>21</v>
      </c>
      <c r="AD22" s="39">
        <f t="shared" si="14"/>
        <v>0</v>
      </c>
      <c r="AE22" s="40">
        <f t="shared" si="14"/>
        <v>11</v>
      </c>
      <c r="AF22" s="40">
        <f t="shared" si="14"/>
        <v>32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1</v>
      </c>
      <c r="P23" s="15">
        <f t="shared" si="1"/>
        <v>4</v>
      </c>
      <c r="R23" s="38" t="s">
        <v>91</v>
      </c>
      <c r="S23" s="39">
        <f>MAX(S13:S18)</f>
        <v>11</v>
      </c>
      <c r="T23" s="39">
        <f t="shared" ref="T23:AF23" si="15">MAX(T13:T18)</f>
        <v>2</v>
      </c>
      <c r="U23" s="39">
        <f t="shared" si="15"/>
        <v>2</v>
      </c>
      <c r="V23" s="39">
        <f t="shared" si="15"/>
        <v>2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1</v>
      </c>
      <c r="AA23" s="39">
        <f t="shared" si="15"/>
        <v>0</v>
      </c>
      <c r="AB23" s="39">
        <f t="shared" si="15"/>
        <v>1</v>
      </c>
      <c r="AC23" s="39">
        <f t="shared" si="15"/>
        <v>27</v>
      </c>
      <c r="AD23" s="39">
        <f t="shared" si="15"/>
        <v>1</v>
      </c>
      <c r="AE23" s="40">
        <f t="shared" si="15"/>
        <v>19</v>
      </c>
      <c r="AF23" s="40">
        <f t="shared" si="15"/>
        <v>36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1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4</v>
      </c>
      <c r="N24" s="50">
        <v>0</v>
      </c>
      <c r="O24" s="15">
        <f t="shared" si="0"/>
        <v>3</v>
      </c>
      <c r="P24" s="15">
        <f t="shared" si="1"/>
        <v>7</v>
      </c>
      <c r="R24" s="38" t="s">
        <v>92</v>
      </c>
      <c r="S24" s="39">
        <f>MAX(S19:S21)</f>
        <v>4</v>
      </c>
      <c r="T24" s="39">
        <f t="shared" ref="T24:AF24" si="16">MAX(T19:T21)</f>
        <v>1</v>
      </c>
      <c r="U24" s="39">
        <f t="shared" si="16"/>
        <v>1</v>
      </c>
      <c r="V24" s="39">
        <f t="shared" si="16"/>
        <v>4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0</v>
      </c>
      <c r="AA24" s="39">
        <f t="shared" si="16"/>
        <v>1</v>
      </c>
      <c r="AB24" s="39">
        <f t="shared" si="16"/>
        <v>0</v>
      </c>
      <c r="AC24" s="39">
        <f t="shared" si="16"/>
        <v>24</v>
      </c>
      <c r="AD24" s="39">
        <f t="shared" si="16"/>
        <v>0</v>
      </c>
      <c r="AE24" s="40">
        <f t="shared" si="16"/>
        <v>10</v>
      </c>
      <c r="AF24" s="40">
        <f t="shared" si="16"/>
        <v>31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7</v>
      </c>
      <c r="N25" s="50">
        <v>0</v>
      </c>
      <c r="O25" s="15">
        <f t="shared" si="0"/>
        <v>1</v>
      </c>
      <c r="P25" s="15">
        <f t="shared" si="1"/>
        <v>8</v>
      </c>
      <c r="R25" s="37" t="s">
        <v>85</v>
      </c>
      <c r="S25" s="35">
        <f t="shared" ref="S25:AF25" si="17">SUM(S10:S12)</f>
        <v>2</v>
      </c>
      <c r="T25" s="16">
        <f t="shared" si="17"/>
        <v>0</v>
      </c>
      <c r="U25" s="16">
        <f t="shared" si="17"/>
        <v>2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11</v>
      </c>
      <c r="Z25" s="16">
        <f t="shared" si="17"/>
        <v>1</v>
      </c>
      <c r="AA25" s="16">
        <f t="shared" si="17"/>
        <v>1</v>
      </c>
      <c r="AB25" s="16">
        <f t="shared" si="17"/>
        <v>4</v>
      </c>
      <c r="AC25" s="16">
        <f t="shared" si="17"/>
        <v>53</v>
      </c>
      <c r="AD25" s="16">
        <f t="shared" si="17"/>
        <v>0</v>
      </c>
      <c r="AE25" s="32">
        <f t="shared" si="17"/>
        <v>21</v>
      </c>
      <c r="AF25" s="32">
        <f t="shared" si="17"/>
        <v>74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1</v>
      </c>
      <c r="M26" s="50">
        <v>9</v>
      </c>
      <c r="N26" s="50">
        <v>0</v>
      </c>
      <c r="O26" s="15">
        <f t="shared" si="0"/>
        <v>2</v>
      </c>
      <c r="P26" s="15">
        <f t="shared" si="1"/>
        <v>11</v>
      </c>
      <c r="R26" s="28" t="s">
        <v>86</v>
      </c>
      <c r="S26" s="16">
        <f t="shared" ref="S26:AF26" si="18">SUM(S13:S18)</f>
        <v>18</v>
      </c>
      <c r="T26" s="16">
        <f t="shared" si="18"/>
        <v>3</v>
      </c>
      <c r="U26" s="16">
        <f t="shared" si="18"/>
        <v>6</v>
      </c>
      <c r="V26" s="16">
        <f t="shared" si="18"/>
        <v>9</v>
      </c>
      <c r="W26" s="16">
        <f t="shared" si="18"/>
        <v>0</v>
      </c>
      <c r="X26" s="16">
        <f t="shared" si="18"/>
        <v>0</v>
      </c>
      <c r="Y26" s="16">
        <f t="shared" si="18"/>
        <v>16</v>
      </c>
      <c r="Z26" s="16">
        <f t="shared" si="18"/>
        <v>2</v>
      </c>
      <c r="AA26" s="16">
        <f t="shared" si="18"/>
        <v>0</v>
      </c>
      <c r="AB26" s="16">
        <f t="shared" si="18"/>
        <v>1</v>
      </c>
      <c r="AC26" s="16">
        <f t="shared" si="18"/>
        <v>135</v>
      </c>
      <c r="AD26" s="16">
        <f t="shared" si="18"/>
        <v>1</v>
      </c>
      <c r="AE26" s="32">
        <f t="shared" si="18"/>
        <v>56</v>
      </c>
      <c r="AF26" s="32">
        <f t="shared" si="18"/>
        <v>191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0</v>
      </c>
      <c r="P27" s="15">
        <f t="shared" si="1"/>
        <v>6</v>
      </c>
      <c r="R27" s="29" t="s">
        <v>87</v>
      </c>
      <c r="S27" s="16">
        <f t="shared" ref="S27:AF27" si="19">SUM(S19:S21)</f>
        <v>6</v>
      </c>
      <c r="T27" s="16">
        <f t="shared" si="19"/>
        <v>3</v>
      </c>
      <c r="U27" s="16">
        <f t="shared" si="19"/>
        <v>1</v>
      </c>
      <c r="V27" s="16">
        <f t="shared" si="19"/>
        <v>7</v>
      </c>
      <c r="W27" s="16">
        <f t="shared" si="19"/>
        <v>0</v>
      </c>
      <c r="X27" s="16">
        <f t="shared" si="19"/>
        <v>0</v>
      </c>
      <c r="Y27" s="16">
        <f t="shared" si="19"/>
        <v>3</v>
      </c>
      <c r="Z27" s="16">
        <f t="shared" si="19"/>
        <v>0</v>
      </c>
      <c r="AA27" s="16">
        <f t="shared" si="19"/>
        <v>1</v>
      </c>
      <c r="AB27" s="16">
        <f t="shared" si="19"/>
        <v>0</v>
      </c>
      <c r="AC27" s="16">
        <f t="shared" si="19"/>
        <v>65</v>
      </c>
      <c r="AD27" s="16">
        <f t="shared" si="19"/>
        <v>0</v>
      </c>
      <c r="AE27" s="32">
        <f t="shared" si="19"/>
        <v>21</v>
      </c>
      <c r="AF27" s="32">
        <f t="shared" si="19"/>
        <v>86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1</v>
      </c>
      <c r="P28" s="15">
        <f t="shared" si="1"/>
        <v>5</v>
      </c>
      <c r="R28" s="5" t="s">
        <v>17</v>
      </c>
      <c r="S28" s="16">
        <f t="shared" ref="S28:AF28" si="20">SUM(S10:S21)</f>
        <v>26</v>
      </c>
      <c r="T28" s="16">
        <f t="shared" si="20"/>
        <v>6</v>
      </c>
      <c r="U28" s="16">
        <f t="shared" si="20"/>
        <v>9</v>
      </c>
      <c r="V28" s="16">
        <f t="shared" si="20"/>
        <v>16</v>
      </c>
      <c r="W28" s="16">
        <f t="shared" si="20"/>
        <v>0</v>
      </c>
      <c r="X28" s="16">
        <f t="shared" si="20"/>
        <v>0</v>
      </c>
      <c r="Y28" s="16">
        <f t="shared" si="20"/>
        <v>30</v>
      </c>
      <c r="Z28" s="16">
        <f t="shared" si="20"/>
        <v>3</v>
      </c>
      <c r="AA28" s="16">
        <f t="shared" si="20"/>
        <v>2</v>
      </c>
      <c r="AB28" s="16">
        <f t="shared" si="20"/>
        <v>5</v>
      </c>
      <c r="AC28" s="16">
        <f t="shared" si="20"/>
        <v>253</v>
      </c>
      <c r="AD28" s="16">
        <f t="shared" si="20"/>
        <v>1</v>
      </c>
      <c r="AE28" s="32">
        <f t="shared" si="20"/>
        <v>98</v>
      </c>
      <c r="AF28" s="32">
        <f t="shared" si="20"/>
        <v>351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3</v>
      </c>
      <c r="P29" s="15">
        <f t="shared" si="1"/>
        <v>10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5</v>
      </c>
      <c r="N30" s="50">
        <v>0</v>
      </c>
      <c r="O30" s="15">
        <f t="shared" si="0"/>
        <v>1</v>
      </c>
      <c r="P30" s="15">
        <f t="shared" si="1"/>
        <v>6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2</v>
      </c>
      <c r="P31" s="15">
        <f t="shared" si="1"/>
        <v>5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5</v>
      </c>
      <c r="N32" s="50">
        <v>0</v>
      </c>
      <c r="O32" s="15">
        <f t="shared" si="0"/>
        <v>2</v>
      </c>
      <c r="P32" s="15">
        <f t="shared" si="1"/>
        <v>7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6</v>
      </c>
      <c r="N33" s="50">
        <v>0</v>
      </c>
      <c r="O33" s="15">
        <f t="shared" si="0"/>
        <v>3</v>
      </c>
      <c r="P33" s="15">
        <f t="shared" si="1"/>
        <v>9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10</v>
      </c>
      <c r="N34" s="50">
        <v>0</v>
      </c>
      <c r="O34" s="15">
        <f t="shared" si="0"/>
        <v>3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9</v>
      </c>
      <c r="N35" s="50">
        <v>0</v>
      </c>
      <c r="O35" s="15">
        <f t="shared" si="0"/>
        <v>1</v>
      </c>
      <c r="P35" s="15">
        <f t="shared" si="1"/>
        <v>10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1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2</v>
      </c>
      <c r="N36" s="50">
        <v>0</v>
      </c>
      <c r="O36" s="15">
        <f t="shared" si="0"/>
        <v>4</v>
      </c>
      <c r="P36" s="15">
        <f t="shared" si="1"/>
        <v>6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5</v>
      </c>
      <c r="N37" s="50">
        <v>0</v>
      </c>
      <c r="O37" s="15">
        <f t="shared" si="0"/>
        <v>2</v>
      </c>
      <c r="P37" s="15">
        <f t="shared" si="1"/>
        <v>7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2</v>
      </c>
      <c r="P38" s="15">
        <f t="shared" si="1"/>
        <v>3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3</v>
      </c>
      <c r="P39" s="15">
        <f t="shared" si="1"/>
        <v>7</v>
      </c>
    </row>
    <row r="40" spans="2:20" ht="23.1" customHeight="1" x14ac:dyDescent="0.25">
      <c r="B40" s="24" t="s">
        <v>67</v>
      </c>
      <c r="C40" s="50">
        <v>0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7</v>
      </c>
      <c r="N40" s="50">
        <v>1</v>
      </c>
      <c r="O40" s="15">
        <f t="shared" si="0"/>
        <v>3</v>
      </c>
      <c r="P40" s="15">
        <f t="shared" si="1"/>
        <v>10</v>
      </c>
    </row>
    <row r="41" spans="2:20" ht="23.1" customHeight="1" x14ac:dyDescent="0.25">
      <c r="B41" s="23" t="s">
        <v>68</v>
      </c>
      <c r="C41" s="50">
        <v>10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11</v>
      </c>
      <c r="P41" s="15">
        <f t="shared" si="1"/>
        <v>16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4</v>
      </c>
      <c r="N42" s="50">
        <v>0</v>
      </c>
      <c r="O42" s="15">
        <f t="shared" si="0"/>
        <v>0</v>
      </c>
      <c r="P42" s="15">
        <f t="shared" si="1"/>
        <v>4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9</v>
      </c>
      <c r="N43" s="50">
        <v>0</v>
      </c>
      <c r="O43" s="15">
        <f t="shared" si="0"/>
        <v>2</v>
      </c>
      <c r="P43" s="15">
        <f t="shared" si="1"/>
        <v>11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6</v>
      </c>
      <c r="N44" s="50">
        <v>0</v>
      </c>
      <c r="O44" s="15">
        <f t="shared" si="0"/>
        <v>2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2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4</v>
      </c>
      <c r="N46" s="50">
        <v>0</v>
      </c>
      <c r="O46" s="15">
        <f t="shared" si="0"/>
        <v>0</v>
      </c>
      <c r="P46" s="15">
        <f t="shared" si="1"/>
        <v>4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1</v>
      </c>
      <c r="L47" s="50">
        <v>0</v>
      </c>
      <c r="M47" s="50">
        <v>7</v>
      </c>
      <c r="N47" s="50">
        <v>0</v>
      </c>
      <c r="O47" s="15">
        <f t="shared" si="0"/>
        <v>2</v>
      </c>
      <c r="P47" s="15">
        <f t="shared" si="1"/>
        <v>9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1</v>
      </c>
      <c r="P48" s="15">
        <f t="shared" si="1"/>
        <v>5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1</v>
      </c>
      <c r="E49" s="50">
        <v>1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9</v>
      </c>
      <c r="N49" s="50">
        <v>0</v>
      </c>
      <c r="O49" s="15">
        <f t="shared" si="0"/>
        <v>4</v>
      </c>
      <c r="P49" s="15">
        <f t="shared" si="1"/>
        <v>13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4</v>
      </c>
      <c r="N50" s="50">
        <v>0</v>
      </c>
      <c r="O50" s="15">
        <f t="shared" si="0"/>
        <v>2</v>
      </c>
      <c r="P50" s="15">
        <f t="shared" si="1"/>
        <v>6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1</v>
      </c>
      <c r="P51" s="15">
        <f t="shared" si="1"/>
        <v>6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0</v>
      </c>
      <c r="P52" s="15">
        <f t="shared" si="1"/>
        <v>8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1</v>
      </c>
      <c r="P53" s="15">
        <f t="shared" si="1"/>
        <v>8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6</v>
      </c>
      <c r="N54" s="50">
        <v>0</v>
      </c>
      <c r="O54" s="15">
        <f t="shared" si="0"/>
        <v>3</v>
      </c>
      <c r="P54" s="15">
        <f t="shared" si="1"/>
        <v>9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2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4</v>
      </c>
      <c r="N55" s="50">
        <v>0</v>
      </c>
      <c r="O55" s="15">
        <f t="shared" si="0"/>
        <v>4</v>
      </c>
      <c r="P55" s="15">
        <f t="shared" si="1"/>
        <v>8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4</v>
      </c>
      <c r="N56" s="50">
        <v>0</v>
      </c>
      <c r="O56" s="15">
        <f t="shared" si="0"/>
        <v>1</v>
      </c>
      <c r="P56" s="15">
        <f t="shared" si="1"/>
        <v>5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2</v>
      </c>
      <c r="P57" s="15">
        <f t="shared" si="1"/>
        <v>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</v>
      </c>
      <c r="D58" s="16">
        <f t="shared" si="21"/>
        <v>6</v>
      </c>
      <c r="E58" s="16">
        <f t="shared" si="21"/>
        <v>9</v>
      </c>
      <c r="F58" s="16">
        <f t="shared" si="21"/>
        <v>16</v>
      </c>
      <c r="G58" s="16">
        <f t="shared" si="21"/>
        <v>0</v>
      </c>
      <c r="H58" s="16">
        <f t="shared" si="21"/>
        <v>0</v>
      </c>
      <c r="I58" s="16">
        <f t="shared" si="21"/>
        <v>30</v>
      </c>
      <c r="J58" s="16">
        <f t="shared" si="21"/>
        <v>3</v>
      </c>
      <c r="K58" s="16">
        <f t="shared" si="21"/>
        <v>2</v>
      </c>
      <c r="L58" s="16">
        <f t="shared" si="21"/>
        <v>5</v>
      </c>
      <c r="M58" s="16">
        <f t="shared" si="21"/>
        <v>253</v>
      </c>
      <c r="N58" s="16">
        <f t="shared" si="21"/>
        <v>1</v>
      </c>
      <c r="O58" s="16">
        <f t="shared" si="21"/>
        <v>98</v>
      </c>
      <c r="P58" s="16">
        <f t="shared" si="21"/>
        <v>351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7.407407407407407E-2</v>
      </c>
      <c r="D59" s="43">
        <f t="shared" si="22"/>
        <v>1.7094017094017096E-2</v>
      </c>
      <c r="E59" s="43">
        <f t="shared" si="22"/>
        <v>2.564102564102564E-2</v>
      </c>
      <c r="F59" s="43">
        <f t="shared" si="22"/>
        <v>4.5584045584045586E-2</v>
      </c>
      <c r="G59" s="43">
        <f t="shared" si="22"/>
        <v>0</v>
      </c>
      <c r="H59" s="43">
        <f t="shared" si="22"/>
        <v>0</v>
      </c>
      <c r="I59" s="43">
        <f t="shared" si="22"/>
        <v>8.5470085470085472E-2</v>
      </c>
      <c r="J59" s="43">
        <f t="shared" si="22"/>
        <v>8.5470085470085479E-3</v>
      </c>
      <c r="K59" s="43">
        <f t="shared" si="22"/>
        <v>5.6980056980056983E-3</v>
      </c>
      <c r="L59" s="43">
        <f t="shared" si="22"/>
        <v>1.4245014245014245E-2</v>
      </c>
      <c r="M59" s="43">
        <f t="shared" si="22"/>
        <v>0.72079772079772075</v>
      </c>
      <c r="N59" s="43">
        <f t="shared" si="22"/>
        <v>2.8490028490028491E-3</v>
      </c>
      <c r="R59" s="8"/>
      <c r="T59"/>
    </row>
    <row r="60" spans="2:20" ht="23.1" customHeight="1" x14ac:dyDescent="0.25">
      <c r="B60" s="42" t="s">
        <v>94</v>
      </c>
      <c r="C60" s="44">
        <f>C58/$O$58</f>
        <v>0.26530612244897961</v>
      </c>
      <c r="D60" s="44">
        <f t="shared" ref="D60:N60" si="23">D58/$O$58</f>
        <v>6.1224489795918366E-2</v>
      </c>
      <c r="E60" s="44">
        <f t="shared" si="23"/>
        <v>9.1836734693877556E-2</v>
      </c>
      <c r="F60" s="44">
        <f t="shared" si="23"/>
        <v>0.16326530612244897</v>
      </c>
      <c r="G60" s="44">
        <f t="shared" si="23"/>
        <v>0</v>
      </c>
      <c r="H60" s="44">
        <f t="shared" si="23"/>
        <v>0</v>
      </c>
      <c r="I60" s="44">
        <f t="shared" si="23"/>
        <v>0.30612244897959184</v>
      </c>
      <c r="J60" s="44">
        <f t="shared" si="23"/>
        <v>3.0612244897959183E-2</v>
      </c>
      <c r="K60" s="44">
        <f t="shared" si="23"/>
        <v>2.0408163265306121E-2</v>
      </c>
      <c r="L60" s="44">
        <f t="shared" si="23"/>
        <v>5.1020408163265307E-2</v>
      </c>
      <c r="M60" s="44"/>
      <c r="N60" s="44">
        <f t="shared" si="23"/>
        <v>1.020408163265306E-2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zoomScale="70" zoomScaleSheetLayoutView="7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'17.10 NGOMA-KAPEEKA'!C3:G3</f>
        <v>KAPEEKA -NGOMA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'18.10 KAPEEKA-NGOMA'!D5</f>
        <v>18.10.2019</v>
      </c>
      <c r="E5" s="3"/>
      <c r="F5" s="41" t="s">
        <v>1</v>
      </c>
      <c r="G5" s="56" t="str">
        <f>'17.10 KAPEEKA-NGOMA'!G5:H5</f>
        <v>BUTALANGU</v>
      </c>
      <c r="H5" s="57"/>
      <c r="I5" s="14"/>
      <c r="J5" s="2" t="s">
        <v>5</v>
      </c>
      <c r="K5" s="56" t="s">
        <v>168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'17.10 NGOMA-KAPEEKA'!D6:E6</f>
        <v>NGOMA</v>
      </c>
      <c r="E6" s="57"/>
      <c r="F6" s="2" t="s">
        <v>2</v>
      </c>
      <c r="G6" s="56" t="str">
        <f>'17.10 NGOMA-KAPEEKA'!G6:H6</f>
        <v>KAPEEKA</v>
      </c>
      <c r="H6" s="57"/>
      <c r="J6" s="2" t="s">
        <v>21</v>
      </c>
      <c r="K6" s="56" t="str">
        <f>'17.10 KAPEEKA-NGOMA'!K6:L6</f>
        <v>MIREMBE RUTH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0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13</v>
      </c>
      <c r="AD10" s="17">
        <f t="shared" si="2"/>
        <v>0</v>
      </c>
      <c r="AE10" s="31">
        <f t="shared" si="2"/>
        <v>3</v>
      </c>
      <c r="AF10" s="31">
        <f t="shared" si="2"/>
        <v>16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0</v>
      </c>
      <c r="P11" s="15">
        <f t="shared" si="1"/>
        <v>3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21</v>
      </c>
      <c r="AD11" s="17">
        <f t="shared" si="3"/>
        <v>0</v>
      </c>
      <c r="AE11" s="31">
        <f t="shared" si="3"/>
        <v>4</v>
      </c>
      <c r="AF11" s="31">
        <f t="shared" si="3"/>
        <v>25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2</v>
      </c>
      <c r="P12" s="15">
        <f t="shared" si="1"/>
        <v>9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1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14</v>
      </c>
      <c r="AD12" s="17">
        <f t="shared" si="4"/>
        <v>0</v>
      </c>
      <c r="AE12" s="31">
        <f t="shared" si="4"/>
        <v>7</v>
      </c>
      <c r="AF12" s="31">
        <f t="shared" si="4"/>
        <v>21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0</v>
      </c>
      <c r="P13" s="15">
        <f t="shared" si="1"/>
        <v>3</v>
      </c>
      <c r="R13" s="1" t="s">
        <v>9</v>
      </c>
      <c r="S13" s="17">
        <f t="shared" ref="S13:AF13" si="5">SUM(C22:C25)</f>
        <v>4</v>
      </c>
      <c r="T13" s="17">
        <f t="shared" si="5"/>
        <v>0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26</v>
      </c>
      <c r="AD13" s="17">
        <f t="shared" si="5"/>
        <v>0</v>
      </c>
      <c r="AE13" s="31">
        <f t="shared" si="5"/>
        <v>6</v>
      </c>
      <c r="AF13" s="31">
        <f t="shared" si="5"/>
        <v>32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0</v>
      </c>
      <c r="P14" s="15">
        <f t="shared" si="1"/>
        <v>3</v>
      </c>
      <c r="R14" s="1" t="s">
        <v>10</v>
      </c>
      <c r="S14" s="17">
        <f t="shared" ref="S14:AF14" si="6">SUM(C26:C29)</f>
        <v>1</v>
      </c>
      <c r="T14" s="17">
        <f t="shared" si="6"/>
        <v>2</v>
      </c>
      <c r="U14" s="17">
        <f t="shared" si="6"/>
        <v>1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22</v>
      </c>
      <c r="AD14" s="17">
        <f t="shared" si="6"/>
        <v>0</v>
      </c>
      <c r="AE14" s="31">
        <f t="shared" si="6"/>
        <v>7</v>
      </c>
      <c r="AF14" s="31">
        <f t="shared" si="6"/>
        <v>29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1</v>
      </c>
      <c r="P15" s="15">
        <f t="shared" si="1"/>
        <v>9</v>
      </c>
      <c r="R15" s="1" t="s">
        <v>11</v>
      </c>
      <c r="S15" s="17">
        <f t="shared" ref="S15:AF15" si="7">SUM(C30:C33)</f>
        <v>4</v>
      </c>
      <c r="T15" s="17">
        <f t="shared" si="7"/>
        <v>1</v>
      </c>
      <c r="U15" s="17">
        <f t="shared" si="7"/>
        <v>2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17</v>
      </c>
      <c r="AD15" s="17">
        <f t="shared" si="7"/>
        <v>1</v>
      </c>
      <c r="AE15" s="31">
        <f t="shared" si="7"/>
        <v>12</v>
      </c>
      <c r="AF15" s="31">
        <f t="shared" si="7"/>
        <v>29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0</v>
      </c>
      <c r="P16" s="15">
        <f t="shared" si="1"/>
        <v>7</v>
      </c>
      <c r="R16" s="1" t="s">
        <v>12</v>
      </c>
      <c r="S16" s="17">
        <f t="shared" ref="S16:AF16" si="8">SUM(C34:C37)</f>
        <v>2</v>
      </c>
      <c r="T16" s="17">
        <f t="shared" si="8"/>
        <v>1</v>
      </c>
      <c r="U16" s="17">
        <f t="shared" si="8"/>
        <v>0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26</v>
      </c>
      <c r="AD16" s="17">
        <f t="shared" si="8"/>
        <v>0</v>
      </c>
      <c r="AE16" s="31">
        <f t="shared" si="8"/>
        <v>12</v>
      </c>
      <c r="AF16" s="31">
        <f t="shared" si="8"/>
        <v>38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3</v>
      </c>
      <c r="P17" s="15">
        <f t="shared" si="1"/>
        <v>6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3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19</v>
      </c>
      <c r="AD17" s="17">
        <f t="shared" si="9"/>
        <v>0</v>
      </c>
      <c r="AE17" s="31">
        <f t="shared" si="9"/>
        <v>8</v>
      </c>
      <c r="AF17" s="31">
        <f t="shared" si="9"/>
        <v>27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1</v>
      </c>
      <c r="P18" s="15">
        <f t="shared" si="1"/>
        <v>3</v>
      </c>
      <c r="R18" s="1" t="s">
        <v>14</v>
      </c>
      <c r="S18" s="17">
        <f t="shared" ref="S18:AF18" si="10">SUM(C42:C45)</f>
        <v>5</v>
      </c>
      <c r="T18" s="17">
        <f t="shared" si="10"/>
        <v>2</v>
      </c>
      <c r="U18" s="17">
        <f t="shared" si="10"/>
        <v>2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26</v>
      </c>
      <c r="AD18" s="17">
        <f t="shared" si="10"/>
        <v>0</v>
      </c>
      <c r="AE18" s="31">
        <f t="shared" si="10"/>
        <v>16</v>
      </c>
      <c r="AF18" s="31">
        <f t="shared" si="10"/>
        <v>42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4</v>
      </c>
      <c r="N19" s="50">
        <v>0</v>
      </c>
      <c r="O19" s="15">
        <f t="shared" si="0"/>
        <v>2</v>
      </c>
      <c r="P19" s="15">
        <f t="shared" si="1"/>
        <v>6</v>
      </c>
      <c r="R19" s="1" t="s">
        <v>15</v>
      </c>
      <c r="S19" s="17">
        <f t="shared" ref="S19:AF19" si="11">SUM(C46:C49)</f>
        <v>0</v>
      </c>
      <c r="T19" s="17">
        <f t="shared" si="11"/>
        <v>2</v>
      </c>
      <c r="U19" s="17">
        <f t="shared" si="11"/>
        <v>1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1</v>
      </c>
      <c r="AC19" s="17">
        <f t="shared" si="11"/>
        <v>25</v>
      </c>
      <c r="AD19" s="17">
        <f t="shared" si="11"/>
        <v>0</v>
      </c>
      <c r="AE19" s="31">
        <f t="shared" si="11"/>
        <v>9</v>
      </c>
      <c r="AF19" s="31">
        <f t="shared" si="11"/>
        <v>34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4</v>
      </c>
      <c r="N20" s="50">
        <v>0</v>
      </c>
      <c r="O20" s="15">
        <f t="shared" si="0"/>
        <v>0</v>
      </c>
      <c r="P20" s="15">
        <f t="shared" si="1"/>
        <v>4</v>
      </c>
      <c r="R20" s="1" t="s">
        <v>16</v>
      </c>
      <c r="S20" s="17">
        <f t="shared" ref="S20:AF20" si="12">SUM(C50:C53)</f>
        <v>3</v>
      </c>
      <c r="T20" s="17">
        <f t="shared" si="12"/>
        <v>0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1</v>
      </c>
      <c r="AC20" s="17">
        <f t="shared" si="12"/>
        <v>20</v>
      </c>
      <c r="AD20" s="17">
        <f t="shared" si="12"/>
        <v>0</v>
      </c>
      <c r="AE20" s="31">
        <f t="shared" si="12"/>
        <v>10</v>
      </c>
      <c r="AF20" s="31">
        <f t="shared" si="12"/>
        <v>30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4</v>
      </c>
      <c r="P21" s="15">
        <f t="shared" si="1"/>
        <v>8</v>
      </c>
      <c r="R21" s="36" t="s">
        <v>20</v>
      </c>
      <c r="S21" s="34">
        <f t="shared" ref="S21:AF21" si="13">SUM(C54:C57)</f>
        <v>2</v>
      </c>
      <c r="T21" s="17">
        <f t="shared" si="13"/>
        <v>0</v>
      </c>
      <c r="U21" s="17">
        <f t="shared" si="13"/>
        <v>1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32</v>
      </c>
      <c r="AD21" s="17">
        <f t="shared" si="13"/>
        <v>0</v>
      </c>
      <c r="AE21" s="31">
        <f t="shared" si="13"/>
        <v>7</v>
      </c>
      <c r="AF21" s="31">
        <f t="shared" si="13"/>
        <v>39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2</v>
      </c>
      <c r="P22" s="15">
        <f t="shared" si="1"/>
        <v>8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21</v>
      </c>
      <c r="AD22" s="39">
        <f t="shared" si="14"/>
        <v>0</v>
      </c>
      <c r="AE22" s="40">
        <f t="shared" si="14"/>
        <v>7</v>
      </c>
      <c r="AF22" s="40">
        <f t="shared" si="14"/>
        <v>25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1</v>
      </c>
      <c r="P23" s="15">
        <f t="shared" si="1"/>
        <v>10</v>
      </c>
      <c r="R23" s="38" t="s">
        <v>91</v>
      </c>
      <c r="S23" s="39">
        <f>MAX(S13:S18)</f>
        <v>5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26</v>
      </c>
      <c r="AD23" s="39">
        <f t="shared" si="15"/>
        <v>1</v>
      </c>
      <c r="AE23" s="40">
        <f t="shared" si="15"/>
        <v>16</v>
      </c>
      <c r="AF23" s="40">
        <f t="shared" si="15"/>
        <v>42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8</v>
      </c>
      <c r="N24" s="50">
        <v>0</v>
      </c>
      <c r="O24" s="15">
        <f t="shared" si="0"/>
        <v>0</v>
      </c>
      <c r="P24" s="15">
        <f t="shared" si="1"/>
        <v>8</v>
      </c>
      <c r="R24" s="38" t="s">
        <v>92</v>
      </c>
      <c r="S24" s="39">
        <f>MAX(S19:S21)</f>
        <v>3</v>
      </c>
      <c r="T24" s="39">
        <f t="shared" ref="T24:AF24" si="16">MAX(T19:T21)</f>
        <v>2</v>
      </c>
      <c r="U24" s="39">
        <f t="shared" si="16"/>
        <v>1</v>
      </c>
      <c r="V24" s="39">
        <f t="shared" si="16"/>
        <v>2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0</v>
      </c>
      <c r="AA24" s="39">
        <f t="shared" si="16"/>
        <v>0</v>
      </c>
      <c r="AB24" s="39">
        <f t="shared" si="16"/>
        <v>1</v>
      </c>
      <c r="AC24" s="39">
        <f t="shared" si="16"/>
        <v>32</v>
      </c>
      <c r="AD24" s="39">
        <f t="shared" si="16"/>
        <v>0</v>
      </c>
      <c r="AE24" s="40">
        <f t="shared" si="16"/>
        <v>10</v>
      </c>
      <c r="AF24" s="40">
        <f t="shared" si="16"/>
        <v>39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3</v>
      </c>
      <c r="P25" s="15">
        <f t="shared" si="1"/>
        <v>6</v>
      </c>
      <c r="R25" s="37" t="s">
        <v>85</v>
      </c>
      <c r="S25" s="35">
        <f t="shared" ref="S25:AF25" si="17">SUM(S10:S12)</f>
        <v>3</v>
      </c>
      <c r="T25" s="16">
        <f t="shared" si="17"/>
        <v>0</v>
      </c>
      <c r="U25" s="16">
        <f t="shared" si="17"/>
        <v>1</v>
      </c>
      <c r="V25" s="16">
        <f t="shared" si="17"/>
        <v>6</v>
      </c>
      <c r="W25" s="16">
        <f t="shared" si="17"/>
        <v>0</v>
      </c>
      <c r="X25" s="16">
        <f t="shared" si="17"/>
        <v>0</v>
      </c>
      <c r="Y25" s="16">
        <f t="shared" si="17"/>
        <v>3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48</v>
      </c>
      <c r="AD25" s="16">
        <f t="shared" si="17"/>
        <v>0</v>
      </c>
      <c r="AE25" s="32">
        <f t="shared" si="17"/>
        <v>14</v>
      </c>
      <c r="AF25" s="32">
        <f t="shared" si="17"/>
        <v>62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4</v>
      </c>
      <c r="N26" s="50">
        <v>0</v>
      </c>
      <c r="O26" s="15">
        <f t="shared" si="0"/>
        <v>0</v>
      </c>
      <c r="P26" s="15">
        <f t="shared" si="1"/>
        <v>4</v>
      </c>
      <c r="R26" s="28" t="s">
        <v>86</v>
      </c>
      <c r="S26" s="16">
        <f t="shared" ref="S26:AF26" si="18">SUM(S13:S18)</f>
        <v>18</v>
      </c>
      <c r="T26" s="16">
        <f t="shared" si="18"/>
        <v>6</v>
      </c>
      <c r="U26" s="16">
        <f t="shared" si="18"/>
        <v>8</v>
      </c>
      <c r="V26" s="16">
        <f t="shared" si="18"/>
        <v>10</v>
      </c>
      <c r="W26" s="16">
        <f t="shared" si="18"/>
        <v>0</v>
      </c>
      <c r="X26" s="16">
        <f t="shared" si="18"/>
        <v>0</v>
      </c>
      <c r="Y26" s="16">
        <f t="shared" si="18"/>
        <v>15</v>
      </c>
      <c r="Z26" s="16">
        <f t="shared" si="18"/>
        <v>1</v>
      </c>
      <c r="AA26" s="16">
        <f t="shared" si="18"/>
        <v>2</v>
      </c>
      <c r="AB26" s="16">
        <f t="shared" si="18"/>
        <v>0</v>
      </c>
      <c r="AC26" s="16">
        <f t="shared" si="18"/>
        <v>136</v>
      </c>
      <c r="AD26" s="16">
        <f t="shared" si="18"/>
        <v>1</v>
      </c>
      <c r="AE26" s="32">
        <f t="shared" si="18"/>
        <v>61</v>
      </c>
      <c r="AF26" s="32">
        <f t="shared" si="18"/>
        <v>197</v>
      </c>
    </row>
    <row r="27" spans="2:32" ht="23.1" customHeight="1" x14ac:dyDescent="0.25">
      <c r="B27" s="23" t="s">
        <v>54</v>
      </c>
      <c r="C27" s="50">
        <v>1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2</v>
      </c>
      <c r="P27" s="15">
        <f t="shared" si="1"/>
        <v>8</v>
      </c>
      <c r="R27" s="29" t="s">
        <v>87</v>
      </c>
      <c r="S27" s="16">
        <f t="shared" ref="S27:AF27" si="19">SUM(S19:S21)</f>
        <v>5</v>
      </c>
      <c r="T27" s="16">
        <f t="shared" si="19"/>
        <v>2</v>
      </c>
      <c r="U27" s="16">
        <f t="shared" si="19"/>
        <v>3</v>
      </c>
      <c r="V27" s="16">
        <f t="shared" si="19"/>
        <v>4</v>
      </c>
      <c r="W27" s="16">
        <f t="shared" si="19"/>
        <v>0</v>
      </c>
      <c r="X27" s="16">
        <f t="shared" si="19"/>
        <v>0</v>
      </c>
      <c r="Y27" s="16">
        <f t="shared" si="19"/>
        <v>10</v>
      </c>
      <c r="Z27" s="16">
        <f t="shared" si="19"/>
        <v>0</v>
      </c>
      <c r="AA27" s="16">
        <f t="shared" si="19"/>
        <v>0</v>
      </c>
      <c r="AB27" s="16">
        <f t="shared" si="19"/>
        <v>2</v>
      </c>
      <c r="AC27" s="16">
        <f t="shared" si="19"/>
        <v>77</v>
      </c>
      <c r="AD27" s="16">
        <f t="shared" si="19"/>
        <v>0</v>
      </c>
      <c r="AE27" s="32">
        <f t="shared" si="19"/>
        <v>26</v>
      </c>
      <c r="AF27" s="32">
        <f t="shared" si="19"/>
        <v>103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1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8</v>
      </c>
      <c r="N28" s="50">
        <v>0</v>
      </c>
      <c r="O28" s="15">
        <f t="shared" si="0"/>
        <v>4</v>
      </c>
      <c r="P28" s="15">
        <f t="shared" si="1"/>
        <v>12</v>
      </c>
      <c r="R28" s="5" t="s">
        <v>17</v>
      </c>
      <c r="S28" s="16">
        <f t="shared" ref="S28:AF28" si="20">SUM(S10:S21)</f>
        <v>26</v>
      </c>
      <c r="T28" s="16">
        <f t="shared" si="20"/>
        <v>8</v>
      </c>
      <c r="U28" s="16">
        <f t="shared" si="20"/>
        <v>12</v>
      </c>
      <c r="V28" s="16">
        <f t="shared" si="20"/>
        <v>20</v>
      </c>
      <c r="W28" s="16">
        <f t="shared" si="20"/>
        <v>0</v>
      </c>
      <c r="X28" s="16">
        <f t="shared" si="20"/>
        <v>0</v>
      </c>
      <c r="Y28" s="16">
        <f t="shared" si="20"/>
        <v>28</v>
      </c>
      <c r="Z28" s="16">
        <f t="shared" si="20"/>
        <v>2</v>
      </c>
      <c r="AA28" s="16">
        <f t="shared" si="20"/>
        <v>2</v>
      </c>
      <c r="AB28" s="16">
        <f t="shared" si="20"/>
        <v>2</v>
      </c>
      <c r="AC28" s="16">
        <f t="shared" si="20"/>
        <v>261</v>
      </c>
      <c r="AD28" s="16">
        <f t="shared" si="20"/>
        <v>1</v>
      </c>
      <c r="AE28" s="32">
        <f t="shared" si="20"/>
        <v>101</v>
      </c>
      <c r="AF28" s="32">
        <f t="shared" si="20"/>
        <v>362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1</v>
      </c>
      <c r="P29" s="15">
        <f t="shared" si="1"/>
        <v>5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6</v>
      </c>
      <c r="N30" s="50">
        <v>0</v>
      </c>
      <c r="O30" s="15">
        <f t="shared" si="0"/>
        <v>3</v>
      </c>
      <c r="P30" s="15">
        <f t="shared" si="1"/>
        <v>9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4</v>
      </c>
      <c r="N31" s="50">
        <v>0</v>
      </c>
      <c r="O31" s="15">
        <f t="shared" si="0"/>
        <v>3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1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3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4</v>
      </c>
      <c r="N33" s="50">
        <v>1</v>
      </c>
      <c r="O33" s="15">
        <f t="shared" si="0"/>
        <v>3</v>
      </c>
      <c r="P33" s="15">
        <f t="shared" si="1"/>
        <v>7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8</v>
      </c>
      <c r="N34" s="50">
        <v>0</v>
      </c>
      <c r="O34" s="15">
        <f t="shared" si="0"/>
        <v>4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1</v>
      </c>
      <c r="D35" s="50">
        <v>1</v>
      </c>
      <c r="E35" s="50">
        <v>0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1</v>
      </c>
      <c r="L35" s="50">
        <v>0</v>
      </c>
      <c r="M35" s="50">
        <v>10</v>
      </c>
      <c r="N35" s="50">
        <v>0</v>
      </c>
      <c r="O35" s="15">
        <f t="shared" si="0"/>
        <v>5</v>
      </c>
      <c r="P35" s="15">
        <f t="shared" si="1"/>
        <v>15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2</v>
      </c>
      <c r="P36" s="15">
        <f t="shared" si="1"/>
        <v>5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5</v>
      </c>
      <c r="N37" s="50">
        <v>0</v>
      </c>
      <c r="O37" s="15">
        <f t="shared" si="0"/>
        <v>1</v>
      </c>
      <c r="P37" s="15">
        <f t="shared" si="1"/>
        <v>6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2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3</v>
      </c>
      <c r="P38" s="15">
        <f t="shared" si="1"/>
        <v>9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3</v>
      </c>
      <c r="N39" s="50">
        <v>0</v>
      </c>
      <c r="O39" s="15">
        <f t="shared" si="0"/>
        <v>1</v>
      </c>
      <c r="P39" s="15">
        <f t="shared" si="1"/>
        <v>4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2</v>
      </c>
      <c r="P40" s="15">
        <f t="shared" si="1"/>
        <v>8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4</v>
      </c>
      <c r="N41" s="50">
        <v>0</v>
      </c>
      <c r="O41" s="15">
        <f t="shared" si="0"/>
        <v>2</v>
      </c>
      <c r="P41" s="15">
        <f t="shared" si="1"/>
        <v>6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3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2</v>
      </c>
      <c r="D43" s="50">
        <v>1</v>
      </c>
      <c r="E43" s="50">
        <v>1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0</v>
      </c>
      <c r="M43" s="50">
        <v>11</v>
      </c>
      <c r="N43" s="50">
        <v>0</v>
      </c>
      <c r="O43" s="15">
        <f t="shared" si="0"/>
        <v>6</v>
      </c>
      <c r="P43" s="15">
        <f t="shared" si="1"/>
        <v>17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4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5</v>
      </c>
      <c r="N45" s="50">
        <v>0</v>
      </c>
      <c r="O45" s="15">
        <f t="shared" si="0"/>
        <v>3</v>
      </c>
      <c r="P45" s="15">
        <f t="shared" si="1"/>
        <v>8</v>
      </c>
    </row>
    <row r="46" spans="2:20" ht="23.1" customHeight="1" x14ac:dyDescent="0.25">
      <c r="B46" s="24" t="s">
        <v>73</v>
      </c>
      <c r="C46" s="50">
        <v>0</v>
      </c>
      <c r="D46" s="50">
        <v>2</v>
      </c>
      <c r="E46" s="50">
        <v>1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4</v>
      </c>
      <c r="P46" s="15">
        <f t="shared" si="1"/>
        <v>10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5</v>
      </c>
      <c r="N47" s="50">
        <v>0</v>
      </c>
      <c r="O47" s="15">
        <f t="shared" si="0"/>
        <v>1</v>
      </c>
      <c r="P47" s="15">
        <f t="shared" si="1"/>
        <v>6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8</v>
      </c>
      <c r="N48" s="50">
        <v>0</v>
      </c>
      <c r="O48" s="15">
        <f t="shared" si="0"/>
        <v>1</v>
      </c>
      <c r="P48" s="15">
        <f t="shared" si="1"/>
        <v>9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1</v>
      </c>
      <c r="M49" s="50">
        <v>6</v>
      </c>
      <c r="N49" s="50">
        <v>0</v>
      </c>
      <c r="O49" s="15">
        <f t="shared" si="0"/>
        <v>3</v>
      </c>
      <c r="P49" s="15">
        <f t="shared" si="1"/>
        <v>9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3</v>
      </c>
      <c r="P50" s="15">
        <f t="shared" si="1"/>
        <v>4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2</v>
      </c>
      <c r="P51" s="15">
        <f t="shared" si="1"/>
        <v>7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1</v>
      </c>
      <c r="M52" s="50">
        <v>8</v>
      </c>
      <c r="N52" s="50">
        <v>0</v>
      </c>
      <c r="O52" s="15">
        <f t="shared" si="0"/>
        <v>4</v>
      </c>
      <c r="P52" s="15">
        <f t="shared" si="1"/>
        <v>12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1</v>
      </c>
      <c r="P53" s="15">
        <f t="shared" si="1"/>
        <v>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10</v>
      </c>
      <c r="N54" s="50">
        <v>0</v>
      </c>
      <c r="O54" s="15">
        <f t="shared" si="0"/>
        <v>2</v>
      </c>
      <c r="P54" s="15">
        <f t="shared" si="1"/>
        <v>12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1</v>
      </c>
      <c r="F55" s="50">
        <v>2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8</v>
      </c>
      <c r="N55" s="50">
        <v>0</v>
      </c>
      <c r="O55" s="15">
        <f t="shared" si="0"/>
        <v>5</v>
      </c>
      <c r="P55" s="15">
        <f t="shared" si="1"/>
        <v>13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6</v>
      </c>
      <c r="N56" s="50">
        <v>0</v>
      </c>
      <c r="O56" s="15">
        <f t="shared" si="0"/>
        <v>0</v>
      </c>
      <c r="P56" s="15">
        <f t="shared" si="1"/>
        <v>6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8</v>
      </c>
      <c r="N57" s="50">
        <v>0</v>
      </c>
      <c r="O57" s="15">
        <f t="shared" si="0"/>
        <v>0</v>
      </c>
      <c r="P57" s="15">
        <f t="shared" si="1"/>
        <v>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</v>
      </c>
      <c r="D58" s="16">
        <f t="shared" si="21"/>
        <v>8</v>
      </c>
      <c r="E58" s="16">
        <f t="shared" si="21"/>
        <v>12</v>
      </c>
      <c r="F58" s="16">
        <f t="shared" si="21"/>
        <v>20</v>
      </c>
      <c r="G58" s="16">
        <f t="shared" si="21"/>
        <v>0</v>
      </c>
      <c r="H58" s="16">
        <f t="shared" si="21"/>
        <v>0</v>
      </c>
      <c r="I58" s="16">
        <f t="shared" si="21"/>
        <v>28</v>
      </c>
      <c r="J58" s="16">
        <f t="shared" si="21"/>
        <v>2</v>
      </c>
      <c r="K58" s="16">
        <f t="shared" si="21"/>
        <v>2</v>
      </c>
      <c r="L58" s="16">
        <f t="shared" si="21"/>
        <v>2</v>
      </c>
      <c r="M58" s="16">
        <f t="shared" si="21"/>
        <v>261</v>
      </c>
      <c r="N58" s="16">
        <f t="shared" si="21"/>
        <v>1</v>
      </c>
      <c r="O58" s="16">
        <f t="shared" si="21"/>
        <v>101</v>
      </c>
      <c r="P58" s="16">
        <f t="shared" si="21"/>
        <v>362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7.18232044198895E-2</v>
      </c>
      <c r="D59" s="43">
        <f t="shared" si="22"/>
        <v>2.2099447513812154E-2</v>
      </c>
      <c r="E59" s="43">
        <f t="shared" si="22"/>
        <v>3.3149171270718231E-2</v>
      </c>
      <c r="F59" s="43">
        <f t="shared" si="22"/>
        <v>5.5248618784530384E-2</v>
      </c>
      <c r="G59" s="43">
        <f t="shared" si="22"/>
        <v>0</v>
      </c>
      <c r="H59" s="43">
        <f t="shared" si="22"/>
        <v>0</v>
      </c>
      <c r="I59" s="43">
        <f t="shared" si="22"/>
        <v>7.7348066298342538E-2</v>
      </c>
      <c r="J59" s="43">
        <f t="shared" si="22"/>
        <v>5.5248618784530384E-3</v>
      </c>
      <c r="K59" s="43">
        <f t="shared" si="22"/>
        <v>5.5248618784530384E-3</v>
      </c>
      <c r="L59" s="43">
        <f t="shared" si="22"/>
        <v>5.5248618784530384E-3</v>
      </c>
      <c r="M59" s="43">
        <f t="shared" si="22"/>
        <v>0.72099447513812154</v>
      </c>
      <c r="N59" s="43">
        <f t="shared" si="22"/>
        <v>2.7624309392265192E-3</v>
      </c>
      <c r="R59" s="8"/>
      <c r="T59"/>
    </row>
    <row r="60" spans="2:20" ht="23.1" customHeight="1" x14ac:dyDescent="0.25">
      <c r="B60" s="42" t="s">
        <v>94</v>
      </c>
      <c r="C60" s="44">
        <f>C58/$O$58</f>
        <v>0.25742574257425743</v>
      </c>
      <c r="D60" s="44">
        <f t="shared" ref="D60:N60" si="23">D58/$O$58</f>
        <v>7.9207920792079209E-2</v>
      </c>
      <c r="E60" s="44">
        <f t="shared" si="23"/>
        <v>0.11881188118811881</v>
      </c>
      <c r="F60" s="44">
        <f t="shared" si="23"/>
        <v>0.19801980198019803</v>
      </c>
      <c r="G60" s="44">
        <f t="shared" si="23"/>
        <v>0</v>
      </c>
      <c r="H60" s="44">
        <f t="shared" si="23"/>
        <v>0</v>
      </c>
      <c r="I60" s="44">
        <f t="shared" si="23"/>
        <v>0.27722772277227725</v>
      </c>
      <c r="J60" s="44">
        <f t="shared" si="23"/>
        <v>1.9801980198019802E-2</v>
      </c>
      <c r="K60" s="44">
        <f t="shared" si="23"/>
        <v>1.9801980198019802E-2</v>
      </c>
      <c r="L60" s="44">
        <f t="shared" si="23"/>
        <v>1.9801980198019802E-2</v>
      </c>
      <c r="M60" s="44"/>
      <c r="N60" s="44">
        <f t="shared" si="23"/>
        <v>9.9009900990099011E-3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249977111117893"/>
  </sheetPr>
  <dimension ref="B1:AF174"/>
  <sheetViews>
    <sheetView view="pageBreakPreview" topLeftCell="A47" zoomScale="70" zoomScaleSheetLayoutView="70" workbookViewId="0">
      <selection activeCell="E33" sqref="E33:E3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'17.10 KAPEEKA-NGOMA'!C3:G3</f>
        <v>KAPEEKA -NGOMA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172</v>
      </c>
      <c r="E5" s="3"/>
      <c r="F5" s="41" t="s">
        <v>1</v>
      </c>
      <c r="G5" s="56" t="str">
        <f>'22.10 NGOMA-KAPEERA'!G5:H5</f>
        <v>BUTALANGU</v>
      </c>
      <c r="H5" s="57"/>
      <c r="I5" s="14"/>
      <c r="J5" s="2" t="s">
        <v>5</v>
      </c>
      <c r="K5" s="56" t="str">
        <f>'22.10 NGOMA-KAPEERA'!K5:L5</f>
        <v>AMOS A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'17.10 KAPEEKA-NGOMA'!D6:E6</f>
        <v>KAPEEKA</v>
      </c>
      <c r="E6" s="57"/>
      <c r="F6" s="2" t="s">
        <v>2</v>
      </c>
      <c r="G6" s="56" t="str">
        <f>'17.10 KAPEEKA-NGOMA'!G6:H6</f>
        <v>NGOMA</v>
      </c>
      <c r="H6" s="57"/>
      <c r="J6" s="2" t="s">
        <v>21</v>
      </c>
      <c r="K6" s="56" t="str">
        <f>'22.10 NGOMA-KAPEERA'!K6:L6</f>
        <v>MIREMBE RUTH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4</v>
      </c>
      <c r="T10" s="17">
        <f t="shared" si="2"/>
        <v>2</v>
      </c>
      <c r="U10" s="17">
        <f t="shared" si="2"/>
        <v>3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13</v>
      </c>
      <c r="AD10" s="17">
        <f t="shared" si="2"/>
        <v>0</v>
      </c>
      <c r="AE10" s="31">
        <f t="shared" si="2"/>
        <v>11</v>
      </c>
      <c r="AF10" s="31">
        <f t="shared" si="2"/>
        <v>24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3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5</v>
      </c>
      <c r="P11" s="15">
        <f t="shared" si="1"/>
        <v>7</v>
      </c>
      <c r="R11" s="1" t="s">
        <v>7</v>
      </c>
      <c r="S11" s="17">
        <f t="shared" ref="S11:AF11" si="3">SUM(C14:C17)</f>
        <v>2</v>
      </c>
      <c r="T11" s="17">
        <f t="shared" si="3"/>
        <v>2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16</v>
      </c>
      <c r="AD11" s="17">
        <f t="shared" si="3"/>
        <v>0</v>
      </c>
      <c r="AE11" s="31">
        <f t="shared" si="3"/>
        <v>9</v>
      </c>
      <c r="AF11" s="31">
        <f t="shared" si="3"/>
        <v>25</v>
      </c>
    </row>
    <row r="12" spans="2:32" ht="23.1" customHeight="1" x14ac:dyDescent="0.25">
      <c r="B12" s="45" t="s">
        <v>39</v>
      </c>
      <c r="C12" s="50">
        <v>1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3</v>
      </c>
      <c r="P12" s="15">
        <f t="shared" si="1"/>
        <v>6</v>
      </c>
      <c r="R12" s="1" t="s">
        <v>8</v>
      </c>
      <c r="S12" s="17">
        <f t="shared" ref="S12:AF12" si="4">SUM(C18:C21)</f>
        <v>5</v>
      </c>
      <c r="T12" s="17">
        <f t="shared" si="4"/>
        <v>1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19</v>
      </c>
      <c r="AD12" s="17">
        <f t="shared" si="4"/>
        <v>0</v>
      </c>
      <c r="AE12" s="31">
        <f t="shared" si="4"/>
        <v>9</v>
      </c>
      <c r="AF12" s="31">
        <f t="shared" si="4"/>
        <v>28</v>
      </c>
    </row>
    <row r="13" spans="2:32" ht="23.1" customHeight="1" x14ac:dyDescent="0.25">
      <c r="B13" s="45" t="s">
        <v>40</v>
      </c>
      <c r="C13" s="50">
        <v>1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3</v>
      </c>
      <c r="P13" s="15">
        <f t="shared" si="1"/>
        <v>6</v>
      </c>
      <c r="R13" s="1" t="s">
        <v>9</v>
      </c>
      <c r="S13" s="17">
        <f t="shared" ref="S13:AF13" si="5">SUM(C22:C25)</f>
        <v>4</v>
      </c>
      <c r="T13" s="17">
        <f t="shared" si="5"/>
        <v>0</v>
      </c>
      <c r="U13" s="17">
        <f t="shared" si="5"/>
        <v>1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18</v>
      </c>
      <c r="AD13" s="17">
        <f t="shared" si="5"/>
        <v>0</v>
      </c>
      <c r="AE13" s="31">
        <f t="shared" si="5"/>
        <v>8</v>
      </c>
      <c r="AF13" s="31">
        <f t="shared" si="5"/>
        <v>26</v>
      </c>
    </row>
    <row r="14" spans="2:32" ht="23.1" customHeight="1" x14ac:dyDescent="0.25">
      <c r="B14" s="45" t="s">
        <v>41</v>
      </c>
      <c r="C14" s="50">
        <v>2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4</v>
      </c>
      <c r="P14" s="15">
        <f t="shared" si="1"/>
        <v>5</v>
      </c>
      <c r="R14" s="1" t="s">
        <v>10</v>
      </c>
      <c r="S14" s="17">
        <f t="shared" ref="S14:AF14" si="6">SUM(C26:C29)</f>
        <v>4</v>
      </c>
      <c r="T14" s="17">
        <f t="shared" si="6"/>
        <v>2</v>
      </c>
      <c r="U14" s="17">
        <f t="shared" si="6"/>
        <v>4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18</v>
      </c>
      <c r="AD14" s="17">
        <f t="shared" si="6"/>
        <v>0</v>
      </c>
      <c r="AE14" s="31">
        <f t="shared" si="6"/>
        <v>16</v>
      </c>
      <c r="AF14" s="31">
        <f t="shared" si="6"/>
        <v>34</v>
      </c>
    </row>
    <row r="15" spans="2:32" ht="23.1" customHeight="1" x14ac:dyDescent="0.25">
      <c r="B15" s="45" t="s">
        <v>42</v>
      </c>
      <c r="C15" s="50">
        <v>0</v>
      </c>
      <c r="D15" s="50">
        <v>1</v>
      </c>
      <c r="E15" s="50">
        <v>1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3</v>
      </c>
      <c r="P15" s="15">
        <f t="shared" si="1"/>
        <v>9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4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15</v>
      </c>
      <c r="AD15" s="17">
        <f t="shared" si="7"/>
        <v>0</v>
      </c>
      <c r="AE15" s="31">
        <f t="shared" si="7"/>
        <v>9</v>
      </c>
      <c r="AF15" s="31">
        <f t="shared" si="7"/>
        <v>24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0</v>
      </c>
      <c r="P16" s="15">
        <f t="shared" si="1"/>
        <v>6</v>
      </c>
      <c r="R16" s="1" t="s">
        <v>12</v>
      </c>
      <c r="S16" s="17">
        <f t="shared" ref="S16:AF16" si="8">SUM(C34:C37)</f>
        <v>2</v>
      </c>
      <c r="T16" s="17">
        <f t="shared" si="8"/>
        <v>0</v>
      </c>
      <c r="U16" s="17">
        <f t="shared" si="8"/>
        <v>0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16</v>
      </c>
      <c r="AD16" s="17">
        <f t="shared" si="8"/>
        <v>0</v>
      </c>
      <c r="AE16" s="31">
        <f t="shared" si="8"/>
        <v>6</v>
      </c>
      <c r="AF16" s="31">
        <f t="shared" si="8"/>
        <v>22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2</v>
      </c>
      <c r="P17" s="15">
        <f t="shared" si="1"/>
        <v>5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0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23</v>
      </c>
      <c r="AD17" s="17">
        <f t="shared" si="9"/>
        <v>0</v>
      </c>
      <c r="AE17" s="31">
        <f t="shared" si="9"/>
        <v>7</v>
      </c>
      <c r="AF17" s="31">
        <f t="shared" si="9"/>
        <v>30</v>
      </c>
    </row>
    <row r="18" spans="2:32" ht="23.1" customHeight="1" x14ac:dyDescent="0.25">
      <c r="B18" s="45" t="s">
        <v>45</v>
      </c>
      <c r="C18" s="50">
        <v>0</v>
      </c>
      <c r="D18" s="50">
        <v>1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2</v>
      </c>
      <c r="P18" s="15">
        <f t="shared" si="1"/>
        <v>9</v>
      </c>
      <c r="R18" s="1" t="s">
        <v>14</v>
      </c>
      <c r="S18" s="17">
        <f t="shared" ref="S18:AF18" si="10">SUM(C42:C45)</f>
        <v>2</v>
      </c>
      <c r="T18" s="17">
        <f t="shared" si="10"/>
        <v>0</v>
      </c>
      <c r="U18" s="17">
        <f t="shared" si="10"/>
        <v>2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8</v>
      </c>
      <c r="AD18" s="17">
        <f t="shared" si="10"/>
        <v>0</v>
      </c>
      <c r="AE18" s="31">
        <f t="shared" si="10"/>
        <v>10</v>
      </c>
      <c r="AF18" s="31">
        <f t="shared" si="10"/>
        <v>18</v>
      </c>
    </row>
    <row r="19" spans="2:32" ht="23.1" customHeight="1" x14ac:dyDescent="0.25">
      <c r="B19" s="45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2</v>
      </c>
      <c r="P19" s="15">
        <f t="shared" si="1"/>
        <v>8</v>
      </c>
      <c r="R19" s="1" t="s">
        <v>15</v>
      </c>
      <c r="S19" s="17">
        <f t="shared" ref="S19:AF19" si="11">SUM(C46:C49)</f>
        <v>3</v>
      </c>
      <c r="T19" s="17">
        <f t="shared" si="11"/>
        <v>0</v>
      </c>
      <c r="U19" s="17">
        <f t="shared" si="11"/>
        <v>0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10</v>
      </c>
      <c r="AD19" s="17">
        <f t="shared" si="11"/>
        <v>0</v>
      </c>
      <c r="AE19" s="31">
        <f t="shared" si="11"/>
        <v>8</v>
      </c>
      <c r="AF19" s="31">
        <f t="shared" si="11"/>
        <v>18</v>
      </c>
    </row>
    <row r="20" spans="2:32" ht="23.1" customHeight="1" x14ac:dyDescent="0.25">
      <c r="B20" s="45" t="s">
        <v>47</v>
      </c>
      <c r="C20" s="50">
        <v>3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4</v>
      </c>
      <c r="N20" s="50">
        <v>0</v>
      </c>
      <c r="O20" s="15">
        <f t="shared" si="0"/>
        <v>4</v>
      </c>
      <c r="P20" s="15">
        <f t="shared" si="1"/>
        <v>8</v>
      </c>
      <c r="R20" s="1" t="s">
        <v>16</v>
      </c>
      <c r="S20" s="17">
        <f t="shared" ref="S20:AF20" si="12">SUM(C50:C53)</f>
        <v>1</v>
      </c>
      <c r="T20" s="17">
        <f t="shared" si="12"/>
        <v>3</v>
      </c>
      <c r="U20" s="17">
        <f t="shared" si="12"/>
        <v>3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14</v>
      </c>
      <c r="AD20" s="17">
        <f t="shared" si="12"/>
        <v>0</v>
      </c>
      <c r="AE20" s="31">
        <f t="shared" si="12"/>
        <v>12</v>
      </c>
      <c r="AF20" s="31">
        <f t="shared" si="12"/>
        <v>26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</v>
      </c>
      <c r="N21" s="50">
        <v>0</v>
      </c>
      <c r="O21" s="15">
        <f t="shared" si="0"/>
        <v>1</v>
      </c>
      <c r="P21" s="15">
        <f t="shared" si="1"/>
        <v>3</v>
      </c>
      <c r="R21" s="36" t="s">
        <v>20</v>
      </c>
      <c r="S21" s="34">
        <f t="shared" ref="S21:AF21" si="13">SUM(C54:C57)</f>
        <v>3</v>
      </c>
      <c r="T21" s="17">
        <f t="shared" si="13"/>
        <v>0</v>
      </c>
      <c r="U21" s="17">
        <f t="shared" si="13"/>
        <v>6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14</v>
      </c>
      <c r="AD21" s="17">
        <f t="shared" si="13"/>
        <v>0</v>
      </c>
      <c r="AE21" s="31">
        <f t="shared" si="13"/>
        <v>13</v>
      </c>
      <c r="AF21" s="31">
        <f t="shared" si="13"/>
        <v>27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1</v>
      </c>
      <c r="P22" s="15">
        <f t="shared" si="1"/>
        <v>7</v>
      </c>
      <c r="R22" s="36" t="s">
        <v>146</v>
      </c>
      <c r="S22" s="34">
        <f>SUM(C58:C61)</f>
        <v>2</v>
      </c>
      <c r="T22" s="34">
        <f t="shared" ref="T22:AF22" si="14">SUM(D58:D61)</f>
        <v>1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4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18</v>
      </c>
      <c r="AD22" s="34">
        <f t="shared" si="14"/>
        <v>0</v>
      </c>
      <c r="AE22" s="31">
        <f t="shared" si="14"/>
        <v>10</v>
      </c>
      <c r="AF22" s="31">
        <f t="shared" si="14"/>
        <v>28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2</v>
      </c>
      <c r="N23" s="50">
        <v>0</v>
      </c>
      <c r="O23" s="15">
        <f t="shared" si="0"/>
        <v>2</v>
      </c>
      <c r="P23" s="15">
        <f t="shared" si="1"/>
        <v>4</v>
      </c>
      <c r="R23" s="36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2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9</v>
      </c>
      <c r="AD23" s="34">
        <f t="shared" si="15"/>
        <v>0</v>
      </c>
      <c r="AE23" s="31">
        <f t="shared" si="15"/>
        <v>5</v>
      </c>
      <c r="AF23" s="31">
        <f t="shared" si="15"/>
        <v>14</v>
      </c>
    </row>
    <row r="24" spans="2:32" ht="23.1" customHeight="1" x14ac:dyDescent="0.25">
      <c r="B24" s="45" t="s">
        <v>51</v>
      </c>
      <c r="C24" s="50">
        <v>1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2</v>
      </c>
      <c r="P24" s="15">
        <f t="shared" si="1"/>
        <v>8</v>
      </c>
      <c r="R24" s="36" t="s">
        <v>148</v>
      </c>
      <c r="S24" s="34">
        <f>SUM(C66:C69)</f>
        <v>1</v>
      </c>
      <c r="T24" s="34">
        <f t="shared" ref="T24:AF24" si="16">SUM(D66:D69)</f>
        <v>1</v>
      </c>
      <c r="U24" s="34">
        <f t="shared" si="16"/>
        <v>1</v>
      </c>
      <c r="V24" s="34">
        <f t="shared" si="16"/>
        <v>3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3</v>
      </c>
      <c r="AA24" s="34">
        <f t="shared" si="16"/>
        <v>0</v>
      </c>
      <c r="AB24" s="34">
        <f t="shared" si="16"/>
        <v>0</v>
      </c>
      <c r="AC24" s="34">
        <f t="shared" si="16"/>
        <v>9</v>
      </c>
      <c r="AD24" s="34">
        <f t="shared" si="16"/>
        <v>0</v>
      </c>
      <c r="AE24" s="31">
        <f t="shared" si="16"/>
        <v>11</v>
      </c>
      <c r="AF24" s="31">
        <f t="shared" si="16"/>
        <v>20</v>
      </c>
    </row>
    <row r="25" spans="2:32" ht="23.1" customHeight="1" x14ac:dyDescent="0.25">
      <c r="B25" s="45" t="s">
        <v>52</v>
      </c>
      <c r="C25" s="50">
        <v>3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4</v>
      </c>
      <c r="N25" s="50">
        <v>0</v>
      </c>
      <c r="O25" s="15">
        <f t="shared" si="0"/>
        <v>3</v>
      </c>
      <c r="P25" s="15">
        <f t="shared" si="1"/>
        <v>7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5</v>
      </c>
      <c r="AD25" s="34">
        <f t="shared" si="17"/>
        <v>0</v>
      </c>
      <c r="AE25" s="31">
        <f t="shared" si="17"/>
        <v>3</v>
      </c>
      <c r="AF25" s="31">
        <f t="shared" si="17"/>
        <v>8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2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7</v>
      </c>
      <c r="N26" s="50">
        <v>0</v>
      </c>
      <c r="O26" s="15">
        <f t="shared" si="0"/>
        <v>3</v>
      </c>
      <c r="P26" s="15">
        <f t="shared" si="1"/>
        <v>10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1</v>
      </c>
      <c r="AF26" s="31">
        <f t="shared" si="18"/>
        <v>2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3</v>
      </c>
      <c r="P27" s="15">
        <f t="shared" si="1"/>
        <v>8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</v>
      </c>
      <c r="AD27" s="34">
        <f t="shared" si="19"/>
        <v>0</v>
      </c>
      <c r="AE27" s="31">
        <f t="shared" si="19"/>
        <v>1</v>
      </c>
      <c r="AF27" s="31">
        <f t="shared" si="19"/>
        <v>2</v>
      </c>
    </row>
    <row r="28" spans="2:32" ht="23.1" customHeight="1" x14ac:dyDescent="0.25">
      <c r="B28" s="45" t="s">
        <v>55</v>
      </c>
      <c r="C28" s="50">
        <v>2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3</v>
      </c>
      <c r="N28" s="50">
        <v>0</v>
      </c>
      <c r="O28" s="15">
        <f t="shared" si="0"/>
        <v>4</v>
      </c>
      <c r="P28" s="15">
        <f t="shared" si="1"/>
        <v>7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3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3</v>
      </c>
      <c r="AF28" s="31">
        <f t="shared" si="20"/>
        <v>3</v>
      </c>
    </row>
    <row r="29" spans="2:32" ht="23.1" customHeight="1" x14ac:dyDescent="0.25">
      <c r="B29" s="45" t="s">
        <v>56</v>
      </c>
      <c r="C29" s="50">
        <v>2</v>
      </c>
      <c r="D29" s="50">
        <v>2</v>
      </c>
      <c r="E29" s="50">
        <v>0</v>
      </c>
      <c r="F29" s="50">
        <v>1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6</v>
      </c>
      <c r="P29" s="15">
        <f t="shared" si="1"/>
        <v>9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1</v>
      </c>
      <c r="AF29" s="31">
        <f t="shared" si="21"/>
        <v>1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2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</v>
      </c>
      <c r="N30" s="50">
        <v>0</v>
      </c>
      <c r="O30" s="15">
        <f t="shared" si="0"/>
        <v>2</v>
      </c>
      <c r="P30" s="15">
        <f t="shared" si="1"/>
        <v>5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2</v>
      </c>
      <c r="AF30" s="31">
        <f t="shared" si="22"/>
        <v>2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7</v>
      </c>
      <c r="N31" s="50">
        <v>0</v>
      </c>
      <c r="O31" s="15">
        <f t="shared" si="0"/>
        <v>4</v>
      </c>
      <c r="P31" s="15">
        <f t="shared" si="1"/>
        <v>11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</v>
      </c>
      <c r="AD31" s="34">
        <f t="shared" si="23"/>
        <v>0</v>
      </c>
      <c r="AE31" s="31">
        <f t="shared" si="23"/>
        <v>0</v>
      </c>
      <c r="AF31" s="31">
        <f t="shared" si="23"/>
        <v>2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1</v>
      </c>
      <c r="P32" s="15">
        <f t="shared" si="1"/>
        <v>3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3</v>
      </c>
      <c r="AF32" s="31">
        <f t="shared" si="24"/>
        <v>3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2</v>
      </c>
      <c r="P33" s="15">
        <f t="shared" si="1"/>
        <v>5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8</v>
      </c>
      <c r="AD33" s="34">
        <f t="shared" si="25"/>
        <v>0</v>
      </c>
      <c r="AE33" s="31">
        <f t="shared" si="25"/>
        <v>1</v>
      </c>
      <c r="AF33" s="31">
        <f t="shared" si="25"/>
        <v>9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6</v>
      </c>
      <c r="N34" s="50">
        <v>0</v>
      </c>
      <c r="O34" s="15">
        <f t="shared" si="0"/>
        <v>2</v>
      </c>
      <c r="P34" s="15">
        <f t="shared" si="1"/>
        <v>8</v>
      </c>
      <c r="R34" s="38" t="s">
        <v>90</v>
      </c>
      <c r="S34" s="39">
        <f t="shared" ref="S34:AF34" si="26">MAX(S10:S12)</f>
        <v>5</v>
      </c>
      <c r="T34" s="39">
        <f t="shared" si="26"/>
        <v>2</v>
      </c>
      <c r="U34" s="39">
        <f t="shared" si="26"/>
        <v>3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3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19</v>
      </c>
      <c r="AD34" s="39">
        <f t="shared" si="26"/>
        <v>0</v>
      </c>
      <c r="AE34" s="40">
        <f t="shared" si="26"/>
        <v>11</v>
      </c>
      <c r="AF34" s="40">
        <f t="shared" si="26"/>
        <v>28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2</v>
      </c>
      <c r="P35" s="15">
        <f t="shared" si="1"/>
        <v>6</v>
      </c>
      <c r="R35" s="38" t="s">
        <v>91</v>
      </c>
      <c r="S35" s="39">
        <f t="shared" ref="S35:AF35" si="27">MAX(S13:S18)</f>
        <v>4</v>
      </c>
      <c r="T35" s="39">
        <f t="shared" si="27"/>
        <v>2</v>
      </c>
      <c r="U35" s="39">
        <f t="shared" si="27"/>
        <v>4</v>
      </c>
      <c r="V35" s="39">
        <f t="shared" si="27"/>
        <v>4</v>
      </c>
      <c r="W35" s="39">
        <f t="shared" si="27"/>
        <v>0</v>
      </c>
      <c r="X35" s="39">
        <f t="shared" si="27"/>
        <v>0</v>
      </c>
      <c r="Y35" s="39">
        <f t="shared" si="27"/>
        <v>3</v>
      </c>
      <c r="Z35" s="39">
        <f t="shared" si="27"/>
        <v>1</v>
      </c>
      <c r="AA35" s="39">
        <f t="shared" si="27"/>
        <v>1</v>
      </c>
      <c r="AB35" s="39">
        <f t="shared" si="27"/>
        <v>0</v>
      </c>
      <c r="AC35" s="39">
        <f t="shared" si="27"/>
        <v>23</v>
      </c>
      <c r="AD35" s="39">
        <f t="shared" si="27"/>
        <v>0</v>
      </c>
      <c r="AE35" s="40">
        <f t="shared" si="27"/>
        <v>16</v>
      </c>
      <c r="AF35" s="40">
        <f t="shared" si="27"/>
        <v>34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5</v>
      </c>
      <c r="N36" s="50">
        <v>0</v>
      </c>
      <c r="O36" s="15">
        <f t="shared" si="0"/>
        <v>2</v>
      </c>
      <c r="P36" s="15">
        <f t="shared" si="1"/>
        <v>7</v>
      </c>
      <c r="R36" s="38" t="s">
        <v>92</v>
      </c>
      <c r="S36" s="39">
        <f t="shared" ref="S36:AF36" si="28">MAX(S19:S21)</f>
        <v>3</v>
      </c>
      <c r="T36" s="39">
        <f t="shared" si="28"/>
        <v>3</v>
      </c>
      <c r="U36" s="39">
        <f t="shared" si="28"/>
        <v>6</v>
      </c>
      <c r="V36" s="39">
        <f t="shared" si="28"/>
        <v>3</v>
      </c>
      <c r="W36" s="39">
        <f t="shared" si="28"/>
        <v>0</v>
      </c>
      <c r="X36" s="39">
        <f t="shared" si="28"/>
        <v>0</v>
      </c>
      <c r="Y36" s="39">
        <f t="shared" si="28"/>
        <v>4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14</v>
      </c>
      <c r="AD36" s="39">
        <f t="shared" si="28"/>
        <v>0</v>
      </c>
      <c r="AE36" s="40">
        <f t="shared" si="28"/>
        <v>13</v>
      </c>
      <c r="AF36" s="40">
        <f t="shared" si="28"/>
        <v>27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</v>
      </c>
      <c r="N37" s="50">
        <v>0</v>
      </c>
      <c r="O37" s="15">
        <f t="shared" si="0"/>
        <v>0</v>
      </c>
      <c r="P37" s="15">
        <f t="shared" si="1"/>
        <v>1</v>
      </c>
      <c r="R37" s="37" t="s">
        <v>85</v>
      </c>
      <c r="S37" s="35">
        <f t="shared" ref="S37:AF37" si="29">SUM(S10:S12)</f>
        <v>11</v>
      </c>
      <c r="T37" s="16">
        <f t="shared" si="29"/>
        <v>5</v>
      </c>
      <c r="U37" s="16">
        <f t="shared" si="29"/>
        <v>6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7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48</v>
      </c>
      <c r="AD37" s="16">
        <f t="shared" si="29"/>
        <v>0</v>
      </c>
      <c r="AE37" s="32">
        <f t="shared" si="29"/>
        <v>29</v>
      </c>
      <c r="AF37" s="32">
        <f t="shared" si="29"/>
        <v>77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0</v>
      </c>
      <c r="P38" s="15">
        <f t="shared" si="1"/>
        <v>6</v>
      </c>
      <c r="R38" s="28" t="s">
        <v>86</v>
      </c>
      <c r="S38" s="16">
        <f t="shared" ref="S38:AF38" si="30">SUM(S13:S18)</f>
        <v>14</v>
      </c>
      <c r="T38" s="16">
        <f t="shared" si="30"/>
        <v>2</v>
      </c>
      <c r="U38" s="16">
        <f t="shared" si="30"/>
        <v>11</v>
      </c>
      <c r="V38" s="16">
        <f t="shared" si="30"/>
        <v>13</v>
      </c>
      <c r="W38" s="16">
        <f t="shared" si="30"/>
        <v>0</v>
      </c>
      <c r="X38" s="16">
        <f t="shared" si="30"/>
        <v>0</v>
      </c>
      <c r="Y38" s="16">
        <f t="shared" si="30"/>
        <v>14</v>
      </c>
      <c r="Z38" s="16">
        <f t="shared" si="30"/>
        <v>1</v>
      </c>
      <c r="AA38" s="16">
        <f t="shared" si="30"/>
        <v>1</v>
      </c>
      <c r="AB38" s="16">
        <f t="shared" si="30"/>
        <v>0</v>
      </c>
      <c r="AC38" s="16">
        <f t="shared" si="30"/>
        <v>98</v>
      </c>
      <c r="AD38" s="16">
        <f t="shared" si="30"/>
        <v>0</v>
      </c>
      <c r="AE38" s="32">
        <f t="shared" si="30"/>
        <v>56</v>
      </c>
      <c r="AF38" s="32">
        <f t="shared" si="30"/>
        <v>154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9</v>
      </c>
      <c r="N39" s="50">
        <v>0</v>
      </c>
      <c r="O39" s="15">
        <f t="shared" si="0"/>
        <v>2</v>
      </c>
      <c r="P39" s="15">
        <f t="shared" si="1"/>
        <v>11</v>
      </c>
      <c r="R39" s="29" t="s">
        <v>87</v>
      </c>
      <c r="S39" s="16">
        <f t="shared" ref="S39:AF39" si="31">SUM(S19:S21)</f>
        <v>7</v>
      </c>
      <c r="T39" s="16">
        <f t="shared" si="31"/>
        <v>3</v>
      </c>
      <c r="U39" s="16">
        <f t="shared" si="31"/>
        <v>9</v>
      </c>
      <c r="V39" s="16">
        <f t="shared" si="31"/>
        <v>5</v>
      </c>
      <c r="W39" s="16">
        <f t="shared" si="31"/>
        <v>0</v>
      </c>
      <c r="X39" s="16">
        <f t="shared" si="31"/>
        <v>0</v>
      </c>
      <c r="Y39" s="16">
        <f t="shared" si="31"/>
        <v>8</v>
      </c>
      <c r="Z39" s="16">
        <f t="shared" si="31"/>
        <v>1</v>
      </c>
      <c r="AA39" s="16">
        <f t="shared" si="31"/>
        <v>0</v>
      </c>
      <c r="AB39" s="16">
        <f t="shared" si="31"/>
        <v>0</v>
      </c>
      <c r="AC39" s="16">
        <f t="shared" si="31"/>
        <v>38</v>
      </c>
      <c r="AD39" s="16">
        <f t="shared" si="31"/>
        <v>0</v>
      </c>
      <c r="AE39" s="32">
        <f t="shared" si="31"/>
        <v>33</v>
      </c>
      <c r="AF39" s="32">
        <f t="shared" si="31"/>
        <v>71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4</v>
      </c>
      <c r="N40" s="50">
        <v>0</v>
      </c>
      <c r="O40" s="15">
        <f t="shared" si="0"/>
        <v>3</v>
      </c>
      <c r="P40" s="15">
        <f t="shared" si="1"/>
        <v>7</v>
      </c>
      <c r="R40" s="5" t="s">
        <v>17</v>
      </c>
      <c r="S40" s="16">
        <f t="shared" ref="S40:AF40" si="32">SUM(S10:S21)</f>
        <v>32</v>
      </c>
      <c r="T40" s="16">
        <f t="shared" si="32"/>
        <v>10</v>
      </c>
      <c r="U40" s="16">
        <f t="shared" si="32"/>
        <v>26</v>
      </c>
      <c r="V40" s="16">
        <f t="shared" si="32"/>
        <v>18</v>
      </c>
      <c r="W40" s="16">
        <f t="shared" si="32"/>
        <v>0</v>
      </c>
      <c r="X40" s="16">
        <f t="shared" si="32"/>
        <v>0</v>
      </c>
      <c r="Y40" s="16">
        <f t="shared" si="32"/>
        <v>29</v>
      </c>
      <c r="Z40" s="16">
        <f t="shared" si="32"/>
        <v>2</v>
      </c>
      <c r="AA40" s="16">
        <f t="shared" si="32"/>
        <v>1</v>
      </c>
      <c r="AB40" s="16">
        <f t="shared" si="32"/>
        <v>0</v>
      </c>
      <c r="AC40" s="16">
        <f t="shared" si="32"/>
        <v>184</v>
      </c>
      <c r="AD40" s="16">
        <f t="shared" si="32"/>
        <v>0</v>
      </c>
      <c r="AE40" s="32">
        <f t="shared" si="32"/>
        <v>118</v>
      </c>
      <c r="AF40" s="32">
        <f t="shared" si="32"/>
        <v>302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4</v>
      </c>
      <c r="N41" s="50">
        <v>0</v>
      </c>
      <c r="O41" s="15">
        <f t="shared" si="0"/>
        <v>2</v>
      </c>
      <c r="P41" s="15">
        <f t="shared" si="1"/>
        <v>6</v>
      </c>
      <c r="R41" s="5" t="s">
        <v>159</v>
      </c>
      <c r="S41" s="16">
        <f>SUM(S10:S33)</f>
        <v>40</v>
      </c>
      <c r="T41" s="16">
        <f t="shared" ref="T41:AF41" si="33">SUM(T10:T33)</f>
        <v>13</v>
      </c>
      <c r="U41" s="16">
        <f t="shared" si="33"/>
        <v>28</v>
      </c>
      <c r="V41" s="16">
        <f t="shared" si="33"/>
        <v>25</v>
      </c>
      <c r="W41" s="16">
        <f t="shared" si="33"/>
        <v>0</v>
      </c>
      <c r="X41" s="16">
        <f t="shared" si="33"/>
        <v>0</v>
      </c>
      <c r="Y41" s="16">
        <f t="shared" si="33"/>
        <v>38</v>
      </c>
      <c r="Z41" s="16">
        <f t="shared" si="33"/>
        <v>13</v>
      </c>
      <c r="AA41" s="16">
        <f t="shared" si="33"/>
        <v>2</v>
      </c>
      <c r="AB41" s="16">
        <f t="shared" si="33"/>
        <v>0</v>
      </c>
      <c r="AC41" s="16">
        <f t="shared" si="33"/>
        <v>237</v>
      </c>
      <c r="AD41" s="16">
        <f t="shared" si="33"/>
        <v>0</v>
      </c>
      <c r="AE41" s="32">
        <f t="shared" si="33"/>
        <v>159</v>
      </c>
      <c r="AF41" s="32">
        <f t="shared" si="33"/>
        <v>396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1</v>
      </c>
      <c r="F42" s="50">
        <v>2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4</v>
      </c>
      <c r="N42" s="50">
        <v>0</v>
      </c>
      <c r="O42" s="15">
        <f t="shared" si="0"/>
        <v>5</v>
      </c>
      <c r="P42" s="15">
        <f t="shared" si="1"/>
        <v>9</v>
      </c>
      <c r="R42" s="5" t="s">
        <v>160</v>
      </c>
      <c r="S42" s="48">
        <f>S41/S40</f>
        <v>1.25</v>
      </c>
      <c r="T42" s="48">
        <f t="shared" ref="T42:AF42" si="34">T41/T40</f>
        <v>1.3</v>
      </c>
      <c r="U42" s="48">
        <f t="shared" si="34"/>
        <v>1.0769230769230769</v>
      </c>
      <c r="V42" s="48">
        <f t="shared" si="34"/>
        <v>1.3888888888888888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1.3103448275862069</v>
      </c>
      <c r="Z42" s="48">
        <f t="shared" si="34"/>
        <v>6.5</v>
      </c>
      <c r="AA42" s="48">
        <f t="shared" si="34"/>
        <v>2</v>
      </c>
      <c r="AB42" s="48" t="e">
        <f t="shared" si="34"/>
        <v>#DIV/0!</v>
      </c>
      <c r="AC42" s="48">
        <f t="shared" si="34"/>
        <v>1.2880434782608696</v>
      </c>
      <c r="AD42" s="48" t="e">
        <f t="shared" si="34"/>
        <v>#DIV/0!</v>
      </c>
      <c r="AE42" s="48">
        <f t="shared" si="34"/>
        <v>1.347457627118644</v>
      </c>
      <c r="AF42" s="48">
        <f t="shared" si="34"/>
        <v>1.3112582781456954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1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</v>
      </c>
      <c r="N44" s="50">
        <v>0</v>
      </c>
      <c r="O44" s="15">
        <f t="shared" si="0"/>
        <v>4</v>
      </c>
      <c r="P44" s="15">
        <f t="shared" si="1"/>
        <v>5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3</v>
      </c>
      <c r="N45" s="50">
        <v>0</v>
      </c>
      <c r="O45" s="15">
        <f t="shared" si="0"/>
        <v>1</v>
      </c>
      <c r="P45" s="15">
        <f t="shared" si="1"/>
        <v>4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2</v>
      </c>
      <c r="N46" s="50">
        <v>0</v>
      </c>
      <c r="O46" s="15">
        <f t="shared" si="0"/>
        <v>2</v>
      </c>
      <c r="P46" s="15">
        <f t="shared" si="1"/>
        <v>4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2</v>
      </c>
      <c r="N47" s="50">
        <v>0</v>
      </c>
      <c r="O47" s="15">
        <f t="shared" si="0"/>
        <v>3</v>
      </c>
      <c r="P47" s="15">
        <f t="shared" si="1"/>
        <v>5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2</v>
      </c>
      <c r="P48" s="15">
        <f t="shared" si="1"/>
        <v>5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3</v>
      </c>
      <c r="N49" s="50">
        <v>0</v>
      </c>
      <c r="O49" s="15">
        <f t="shared" si="0"/>
        <v>1</v>
      </c>
      <c r="P49" s="15">
        <f t="shared" si="1"/>
        <v>4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1</v>
      </c>
      <c r="E50" s="50">
        <v>0</v>
      </c>
      <c r="F50" s="50">
        <v>3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3</v>
      </c>
      <c r="N50" s="50">
        <v>0</v>
      </c>
      <c r="O50" s="15">
        <f t="shared" si="0"/>
        <v>5</v>
      </c>
      <c r="P50" s="15">
        <f t="shared" si="1"/>
        <v>8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2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6</v>
      </c>
      <c r="N51" s="50">
        <v>0</v>
      </c>
      <c r="O51" s="15">
        <f t="shared" si="0"/>
        <v>2</v>
      </c>
      <c r="P51" s="15">
        <f t="shared" si="1"/>
        <v>8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</v>
      </c>
      <c r="N52" s="50">
        <v>0</v>
      </c>
      <c r="O52" s="15">
        <f t="shared" si="0"/>
        <v>1</v>
      </c>
      <c r="P52" s="15">
        <f t="shared" si="1"/>
        <v>3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3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3</v>
      </c>
      <c r="N53" s="50">
        <v>0</v>
      </c>
      <c r="O53" s="15">
        <f t="shared" si="0"/>
        <v>4</v>
      </c>
      <c r="P53" s="15">
        <f t="shared" si="1"/>
        <v>7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2</v>
      </c>
      <c r="N54" s="50">
        <v>0</v>
      </c>
      <c r="O54" s="15">
        <f t="shared" si="0"/>
        <v>2</v>
      </c>
      <c r="P54" s="15">
        <f t="shared" si="1"/>
        <v>4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4</v>
      </c>
      <c r="N55" s="50">
        <v>0</v>
      </c>
      <c r="O55" s="15">
        <f t="shared" si="0"/>
        <v>4</v>
      </c>
      <c r="P55" s="15">
        <f t="shared" si="1"/>
        <v>8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1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2</v>
      </c>
      <c r="N56" s="50">
        <v>0</v>
      </c>
      <c r="O56" s="15">
        <f t="shared" si="0"/>
        <v>3</v>
      </c>
      <c r="P56" s="15">
        <f t="shared" si="1"/>
        <v>5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0</v>
      </c>
      <c r="E57" s="50">
        <v>2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4</v>
      </c>
      <c r="P57" s="15">
        <f t="shared" si="1"/>
        <v>10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1</v>
      </c>
      <c r="E58" s="50">
        <v>0</v>
      </c>
      <c r="F58" s="50">
        <v>0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8</v>
      </c>
      <c r="N58" s="50">
        <v>0</v>
      </c>
      <c r="O58" s="15">
        <f t="shared" ref="O58:O105" si="35">SUM(C58:L58,N58)</f>
        <v>3</v>
      </c>
      <c r="P58" s="15">
        <f t="shared" ref="P58:P105" si="36">SUM(C58:N58)</f>
        <v>11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1</v>
      </c>
      <c r="F59" s="50">
        <v>0</v>
      </c>
      <c r="G59" s="50">
        <v>0</v>
      </c>
      <c r="H59" s="50">
        <v>0</v>
      </c>
      <c r="I59" s="50">
        <v>1</v>
      </c>
      <c r="J59" s="50">
        <v>1</v>
      </c>
      <c r="K59" s="50">
        <v>0</v>
      </c>
      <c r="L59" s="50">
        <v>0</v>
      </c>
      <c r="M59" s="50">
        <v>3</v>
      </c>
      <c r="N59" s="50">
        <v>0</v>
      </c>
      <c r="O59" s="15">
        <f t="shared" si="35"/>
        <v>3</v>
      </c>
      <c r="P59" s="15">
        <f t="shared" si="36"/>
        <v>6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2</v>
      </c>
      <c r="J60" s="50">
        <v>0</v>
      </c>
      <c r="K60" s="50">
        <v>0</v>
      </c>
      <c r="L60" s="50">
        <v>0</v>
      </c>
      <c r="M60" s="50">
        <v>5</v>
      </c>
      <c r="N60" s="50">
        <v>0</v>
      </c>
      <c r="O60" s="15">
        <f t="shared" si="35"/>
        <v>2</v>
      </c>
      <c r="P60" s="15">
        <f t="shared" si="36"/>
        <v>7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1</v>
      </c>
      <c r="K61" s="50">
        <v>0</v>
      </c>
      <c r="L61" s="50">
        <v>0</v>
      </c>
      <c r="M61" s="50">
        <v>2</v>
      </c>
      <c r="N61" s="50">
        <v>0</v>
      </c>
      <c r="O61" s="15">
        <f t="shared" si="35"/>
        <v>2</v>
      </c>
      <c r="P61" s="15">
        <f t="shared" si="36"/>
        <v>4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5</v>
      </c>
      <c r="N62" s="50">
        <v>0</v>
      </c>
      <c r="O62" s="15">
        <f t="shared" si="35"/>
        <v>0</v>
      </c>
      <c r="P62" s="15">
        <f t="shared" si="36"/>
        <v>5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1</v>
      </c>
      <c r="E63" s="50">
        <v>0</v>
      </c>
      <c r="F63" s="50">
        <v>0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2</v>
      </c>
      <c r="N63" s="50">
        <v>0</v>
      </c>
      <c r="O63" s="15">
        <f t="shared" si="35"/>
        <v>2</v>
      </c>
      <c r="P63" s="15">
        <f t="shared" si="36"/>
        <v>4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2</v>
      </c>
      <c r="G64" s="50">
        <v>0</v>
      </c>
      <c r="H64" s="50">
        <v>0</v>
      </c>
      <c r="I64" s="50">
        <v>0</v>
      </c>
      <c r="J64" s="50">
        <v>1</v>
      </c>
      <c r="K64" s="50">
        <v>0</v>
      </c>
      <c r="L64" s="50">
        <v>0</v>
      </c>
      <c r="M64" s="50">
        <v>0</v>
      </c>
      <c r="N64" s="50">
        <v>0</v>
      </c>
      <c r="O64" s="15">
        <f t="shared" si="35"/>
        <v>3</v>
      </c>
      <c r="P64" s="15">
        <f t="shared" si="36"/>
        <v>3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2</v>
      </c>
      <c r="N65" s="50">
        <v>0</v>
      </c>
      <c r="O65" s="15">
        <f t="shared" si="35"/>
        <v>0</v>
      </c>
      <c r="P65" s="15">
        <f t="shared" si="36"/>
        <v>2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1</v>
      </c>
      <c r="E66" s="50">
        <v>0</v>
      </c>
      <c r="F66" s="50">
        <v>1</v>
      </c>
      <c r="G66" s="50">
        <v>0</v>
      </c>
      <c r="H66" s="50">
        <v>0</v>
      </c>
      <c r="I66" s="50">
        <v>0</v>
      </c>
      <c r="J66" s="50">
        <v>1</v>
      </c>
      <c r="K66" s="50">
        <v>0</v>
      </c>
      <c r="L66" s="50">
        <v>0</v>
      </c>
      <c r="M66" s="50">
        <v>3</v>
      </c>
      <c r="N66" s="50">
        <v>0</v>
      </c>
      <c r="O66" s="15">
        <f t="shared" si="35"/>
        <v>3</v>
      </c>
      <c r="P66" s="15">
        <f t="shared" si="36"/>
        <v>6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1</v>
      </c>
      <c r="G67" s="50">
        <v>0</v>
      </c>
      <c r="H67" s="50">
        <v>0</v>
      </c>
      <c r="I67" s="50">
        <v>0</v>
      </c>
      <c r="J67" s="50">
        <v>2</v>
      </c>
      <c r="K67" s="50">
        <v>0</v>
      </c>
      <c r="L67" s="50">
        <v>0</v>
      </c>
      <c r="M67" s="50">
        <v>1</v>
      </c>
      <c r="N67" s="50">
        <v>0</v>
      </c>
      <c r="O67" s="15">
        <f t="shared" si="35"/>
        <v>3</v>
      </c>
      <c r="P67" s="15">
        <f t="shared" si="36"/>
        <v>4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1</v>
      </c>
      <c r="F68" s="50">
        <v>1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35"/>
        <v>2</v>
      </c>
      <c r="P68" s="15">
        <f t="shared" si="36"/>
        <v>3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v>0</v>
      </c>
      <c r="M69" s="50">
        <v>4</v>
      </c>
      <c r="N69" s="50">
        <v>0</v>
      </c>
      <c r="O69" s="15">
        <f t="shared" si="35"/>
        <v>3</v>
      </c>
      <c r="P69" s="15">
        <f t="shared" si="36"/>
        <v>7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35"/>
        <v>0</v>
      </c>
      <c r="P70" s="15">
        <f t="shared" si="36"/>
        <v>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35"/>
        <v>0</v>
      </c>
      <c r="P71" s="15">
        <f t="shared" si="36"/>
        <v>2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2</v>
      </c>
      <c r="N72" s="50">
        <v>0</v>
      </c>
      <c r="O72" s="15">
        <f t="shared" si="35"/>
        <v>1</v>
      </c>
      <c r="P72" s="15">
        <f t="shared" si="36"/>
        <v>3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1</v>
      </c>
      <c r="L73" s="50">
        <v>0</v>
      </c>
      <c r="M73" s="50">
        <v>1</v>
      </c>
      <c r="N73" s="50">
        <v>0</v>
      </c>
      <c r="O73" s="15">
        <f t="shared" si="35"/>
        <v>2</v>
      </c>
      <c r="P73" s="15">
        <f t="shared" si="36"/>
        <v>3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si="35"/>
        <v>0</v>
      </c>
      <c r="P74" s="15">
        <f t="shared" si="36"/>
        <v>1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1</v>
      </c>
      <c r="P77" s="15">
        <f t="shared" si="36"/>
        <v>1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1</v>
      </c>
      <c r="P78" s="15">
        <f t="shared" si="36"/>
        <v>1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0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1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1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1</v>
      </c>
      <c r="P101" s="15">
        <f t="shared" si="36"/>
        <v>1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0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3</v>
      </c>
      <c r="N103" s="50">
        <v>0</v>
      </c>
      <c r="O103" s="15">
        <f t="shared" si="35"/>
        <v>0</v>
      </c>
      <c r="P103" s="15">
        <f t="shared" si="36"/>
        <v>3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4</v>
      </c>
      <c r="N104" s="50">
        <v>0</v>
      </c>
      <c r="O104" s="15">
        <f t="shared" si="35"/>
        <v>1</v>
      </c>
      <c r="P104" s="15">
        <f t="shared" si="36"/>
        <v>5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40</v>
      </c>
      <c r="D106" s="16">
        <f t="shared" ref="D106:P106" si="37">SUM(D10:D105)</f>
        <v>13</v>
      </c>
      <c r="E106" s="16">
        <f t="shared" si="37"/>
        <v>28</v>
      </c>
      <c r="F106" s="16">
        <f t="shared" si="37"/>
        <v>25</v>
      </c>
      <c r="G106" s="16">
        <f t="shared" si="37"/>
        <v>0</v>
      </c>
      <c r="H106" s="16">
        <f t="shared" si="37"/>
        <v>0</v>
      </c>
      <c r="I106" s="16">
        <f t="shared" si="37"/>
        <v>38</v>
      </c>
      <c r="J106" s="16">
        <f t="shared" si="37"/>
        <v>13</v>
      </c>
      <c r="K106" s="16">
        <f t="shared" si="37"/>
        <v>2</v>
      </c>
      <c r="L106" s="16">
        <f t="shared" si="37"/>
        <v>0</v>
      </c>
      <c r="M106" s="16">
        <f t="shared" si="37"/>
        <v>237</v>
      </c>
      <c r="N106" s="16">
        <f t="shared" si="37"/>
        <v>0</v>
      </c>
      <c r="O106" s="16">
        <f t="shared" si="37"/>
        <v>159</v>
      </c>
      <c r="P106" s="16">
        <f t="shared" si="37"/>
        <v>396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0.10101010101010101</v>
      </c>
      <c r="D107" s="43">
        <f t="shared" si="38"/>
        <v>3.2828282828282832E-2</v>
      </c>
      <c r="E107" s="43">
        <f t="shared" si="38"/>
        <v>7.0707070707070704E-2</v>
      </c>
      <c r="F107" s="43">
        <f t="shared" si="38"/>
        <v>6.3131313131313135E-2</v>
      </c>
      <c r="G107" s="43">
        <f t="shared" si="38"/>
        <v>0</v>
      </c>
      <c r="H107" s="43">
        <f t="shared" si="38"/>
        <v>0</v>
      </c>
      <c r="I107" s="43">
        <f t="shared" si="38"/>
        <v>9.5959595959595953E-2</v>
      </c>
      <c r="J107" s="43">
        <f t="shared" si="38"/>
        <v>3.2828282828282832E-2</v>
      </c>
      <c r="K107" s="43">
        <f t="shared" si="38"/>
        <v>5.0505050505050509E-3</v>
      </c>
      <c r="L107" s="43">
        <f t="shared" si="38"/>
        <v>0</v>
      </c>
      <c r="M107" s="43">
        <f t="shared" si="38"/>
        <v>0.59848484848484851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0.25157232704402516</v>
      </c>
      <c r="D108" s="44">
        <f t="shared" ref="D108:N108" si="39">D106/$O$106</f>
        <v>8.1761006289308172E-2</v>
      </c>
      <c r="E108" s="44">
        <f t="shared" si="39"/>
        <v>0.1761006289308176</v>
      </c>
      <c r="F108" s="44">
        <f t="shared" si="39"/>
        <v>0.15723270440251572</v>
      </c>
      <c r="G108" s="44">
        <f t="shared" si="39"/>
        <v>0</v>
      </c>
      <c r="H108" s="44">
        <f t="shared" si="39"/>
        <v>0</v>
      </c>
      <c r="I108" s="44">
        <f t="shared" si="39"/>
        <v>0.2389937106918239</v>
      </c>
      <c r="J108" s="44">
        <f t="shared" si="39"/>
        <v>8.1761006289308172E-2</v>
      </c>
      <c r="K108" s="44">
        <f t="shared" si="39"/>
        <v>1.2578616352201259E-2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249977111117893"/>
  </sheetPr>
  <dimension ref="B1:AF174"/>
  <sheetViews>
    <sheetView view="pageBreakPreview" topLeftCell="A43" zoomScale="70" zoomScaleSheetLayoutView="70" workbookViewId="0">
      <selection activeCell="F104" sqref="F10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'17.10 KAPEEKA-NGOMA'!C3:G3</f>
        <v>KAPEEKA -NGOMA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'19.10 KAPEEKA-NGOMA 24h'!D5</f>
        <v>19.10.2019</v>
      </c>
      <c r="E5" s="3"/>
      <c r="F5" s="41" t="s">
        <v>1</v>
      </c>
      <c r="G5" s="56" t="str">
        <f>'19.10 KAPEEKA-NGOMA 24h'!G5:H5</f>
        <v>BUTALANGU</v>
      </c>
      <c r="H5" s="57"/>
      <c r="I5" s="14"/>
      <c r="J5" s="2" t="s">
        <v>5</v>
      </c>
      <c r="K5" s="56" t="s">
        <v>173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'17.10 NGOMA-KAPEEKA'!D6:E6</f>
        <v>NGOMA</v>
      </c>
      <c r="E6" s="57"/>
      <c r="F6" s="2" t="s">
        <v>2</v>
      </c>
      <c r="G6" s="56" t="str">
        <f>'18.10 NGOMA KAPEEKA'!G6:H6</f>
        <v>KAPEEKA</v>
      </c>
      <c r="H6" s="57"/>
      <c r="J6" s="2" t="s">
        <v>21</v>
      </c>
      <c r="K6" s="56" t="str">
        <f>'19.10 KAPEEKA-NGOMA 24h'!K6:L6</f>
        <v>MIREMBE RUTH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2</v>
      </c>
      <c r="R10" s="1" t="s">
        <v>6</v>
      </c>
      <c r="S10" s="17">
        <f t="shared" ref="S10:AF10" si="2">SUM(C10:C13)</f>
        <v>1</v>
      </c>
      <c r="T10" s="17">
        <f t="shared" si="2"/>
        <v>3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11</v>
      </c>
      <c r="AD10" s="17">
        <f t="shared" si="2"/>
        <v>0</v>
      </c>
      <c r="AE10" s="31">
        <f t="shared" si="2"/>
        <v>7</v>
      </c>
      <c r="AF10" s="31">
        <f t="shared" si="2"/>
        <v>18</v>
      </c>
    </row>
    <row r="11" spans="2:32" s="6" customFormat="1" ht="23.1" customHeight="1" x14ac:dyDescent="0.25">
      <c r="B11" s="45" t="s">
        <v>38</v>
      </c>
      <c r="C11" s="50">
        <v>1</v>
      </c>
      <c r="D11" s="50">
        <v>1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3</v>
      </c>
      <c r="P11" s="15">
        <f t="shared" si="1"/>
        <v>5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19</v>
      </c>
      <c r="AD11" s="17">
        <f t="shared" si="3"/>
        <v>0</v>
      </c>
      <c r="AE11" s="31">
        <f t="shared" si="3"/>
        <v>2</v>
      </c>
      <c r="AF11" s="31">
        <f t="shared" si="3"/>
        <v>21</v>
      </c>
    </row>
    <row r="12" spans="2:32" ht="23.1" customHeight="1" x14ac:dyDescent="0.25">
      <c r="B12" s="45" t="s">
        <v>39</v>
      </c>
      <c r="C12" s="50">
        <v>0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2</v>
      </c>
      <c r="P12" s="15">
        <f t="shared" si="1"/>
        <v>5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0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21</v>
      </c>
      <c r="AD12" s="17">
        <f t="shared" si="4"/>
        <v>0</v>
      </c>
      <c r="AE12" s="31">
        <f t="shared" si="4"/>
        <v>5</v>
      </c>
      <c r="AF12" s="31">
        <f t="shared" si="4"/>
        <v>26</v>
      </c>
    </row>
    <row r="13" spans="2:32" ht="23.1" customHeight="1" x14ac:dyDescent="0.25">
      <c r="B13" s="45" t="s">
        <v>40</v>
      </c>
      <c r="C13" s="50">
        <v>0</v>
      </c>
      <c r="D13" s="50">
        <v>1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2</v>
      </c>
      <c r="P13" s="15">
        <f t="shared" si="1"/>
        <v>6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3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30</v>
      </c>
      <c r="AD13" s="17">
        <f t="shared" si="5"/>
        <v>0</v>
      </c>
      <c r="AE13" s="31">
        <f t="shared" si="5"/>
        <v>6</v>
      </c>
      <c r="AF13" s="31">
        <f t="shared" si="5"/>
        <v>36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4</v>
      </c>
      <c r="N14" s="50">
        <v>0</v>
      </c>
      <c r="O14" s="15">
        <f t="shared" si="0"/>
        <v>0</v>
      </c>
      <c r="P14" s="15">
        <f t="shared" si="1"/>
        <v>4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1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15</v>
      </c>
      <c r="AD14" s="17">
        <f t="shared" si="6"/>
        <v>0</v>
      </c>
      <c r="AE14" s="31">
        <f t="shared" si="6"/>
        <v>5</v>
      </c>
      <c r="AF14" s="31">
        <f t="shared" si="6"/>
        <v>20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0</v>
      </c>
      <c r="P15" s="15">
        <f t="shared" si="1"/>
        <v>4</v>
      </c>
      <c r="R15" s="1" t="s">
        <v>11</v>
      </c>
      <c r="S15" s="17">
        <f t="shared" ref="S15:AF15" si="7">SUM(C30:C33)</f>
        <v>3</v>
      </c>
      <c r="T15" s="17">
        <f t="shared" si="7"/>
        <v>1</v>
      </c>
      <c r="U15" s="17">
        <f t="shared" si="7"/>
        <v>1</v>
      </c>
      <c r="V15" s="17">
        <f t="shared" si="7"/>
        <v>3</v>
      </c>
      <c r="W15" s="17">
        <f t="shared" si="7"/>
        <v>0</v>
      </c>
      <c r="X15" s="17">
        <f t="shared" si="7"/>
        <v>1</v>
      </c>
      <c r="Y15" s="17">
        <f t="shared" si="7"/>
        <v>8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16</v>
      </c>
      <c r="AD15" s="17">
        <f t="shared" si="7"/>
        <v>0</v>
      </c>
      <c r="AE15" s="31">
        <f t="shared" si="7"/>
        <v>17</v>
      </c>
      <c r="AF15" s="31">
        <f t="shared" si="7"/>
        <v>33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0</v>
      </c>
      <c r="P16" s="15">
        <f t="shared" si="1"/>
        <v>6</v>
      </c>
      <c r="R16" s="1" t="s">
        <v>12</v>
      </c>
      <c r="S16" s="17">
        <f t="shared" ref="S16:AF16" si="8">SUM(C34:C37)</f>
        <v>3</v>
      </c>
      <c r="T16" s="17">
        <f t="shared" si="8"/>
        <v>0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18</v>
      </c>
      <c r="AD16" s="17">
        <f t="shared" si="8"/>
        <v>0</v>
      </c>
      <c r="AE16" s="31">
        <f t="shared" si="8"/>
        <v>8</v>
      </c>
      <c r="AF16" s="31">
        <f t="shared" si="8"/>
        <v>26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2</v>
      </c>
      <c r="P17" s="15">
        <f t="shared" si="1"/>
        <v>7</v>
      </c>
      <c r="R17" s="1" t="s">
        <v>13</v>
      </c>
      <c r="S17" s="17">
        <f t="shared" ref="S17:AF17" si="9">SUM(C38:C41)</f>
        <v>4</v>
      </c>
      <c r="T17" s="17">
        <f t="shared" si="9"/>
        <v>2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1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41</v>
      </c>
      <c r="AD17" s="17">
        <f t="shared" si="9"/>
        <v>0</v>
      </c>
      <c r="AE17" s="31">
        <f t="shared" si="9"/>
        <v>8</v>
      </c>
      <c r="AF17" s="31">
        <f t="shared" si="9"/>
        <v>49</v>
      </c>
    </row>
    <row r="18" spans="2:32" ht="23.1" customHeight="1" x14ac:dyDescent="0.25">
      <c r="B18" s="45" t="s">
        <v>45</v>
      </c>
      <c r="C18" s="50">
        <v>2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9</v>
      </c>
      <c r="N18" s="50">
        <v>0</v>
      </c>
      <c r="O18" s="15">
        <f t="shared" si="0"/>
        <v>3</v>
      </c>
      <c r="P18" s="15">
        <f t="shared" si="1"/>
        <v>12</v>
      </c>
      <c r="R18" s="1" t="s">
        <v>14</v>
      </c>
      <c r="S18" s="17">
        <f t="shared" ref="S18:AF18" si="10">SUM(C42:C45)</f>
        <v>2</v>
      </c>
      <c r="T18" s="17">
        <f t="shared" si="10"/>
        <v>5</v>
      </c>
      <c r="U18" s="17">
        <f t="shared" si="10"/>
        <v>5</v>
      </c>
      <c r="V18" s="17">
        <f t="shared" si="10"/>
        <v>0</v>
      </c>
      <c r="W18" s="17">
        <f t="shared" si="10"/>
        <v>1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29</v>
      </c>
      <c r="AD18" s="17">
        <f t="shared" si="10"/>
        <v>0</v>
      </c>
      <c r="AE18" s="31">
        <f t="shared" si="10"/>
        <v>16</v>
      </c>
      <c r="AF18" s="31">
        <f t="shared" si="10"/>
        <v>45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1</v>
      </c>
      <c r="P19" s="15">
        <f t="shared" si="1"/>
        <v>2</v>
      </c>
      <c r="R19" s="1" t="s">
        <v>15</v>
      </c>
      <c r="S19" s="17">
        <f t="shared" ref="S19:AF19" si="11">SUM(C46:C49)</f>
        <v>3</v>
      </c>
      <c r="T19" s="17">
        <f t="shared" si="11"/>
        <v>0</v>
      </c>
      <c r="U19" s="17">
        <f t="shared" si="11"/>
        <v>3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22</v>
      </c>
      <c r="AD19" s="17">
        <f t="shared" si="11"/>
        <v>0</v>
      </c>
      <c r="AE19" s="31">
        <f t="shared" si="11"/>
        <v>13</v>
      </c>
      <c r="AF19" s="31">
        <f t="shared" si="11"/>
        <v>35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10</v>
      </c>
      <c r="N20" s="50">
        <v>0</v>
      </c>
      <c r="O20" s="15">
        <f t="shared" si="0"/>
        <v>1</v>
      </c>
      <c r="P20" s="15">
        <f t="shared" si="1"/>
        <v>11</v>
      </c>
      <c r="R20" s="1" t="s">
        <v>16</v>
      </c>
      <c r="S20" s="17">
        <f t="shared" ref="S20:AF20" si="12">SUM(C50:C53)</f>
        <v>2</v>
      </c>
      <c r="T20" s="17">
        <f t="shared" si="12"/>
        <v>1</v>
      </c>
      <c r="U20" s="17">
        <f t="shared" si="12"/>
        <v>1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8</v>
      </c>
      <c r="AD20" s="17">
        <f t="shared" si="12"/>
        <v>10</v>
      </c>
      <c r="AE20" s="31">
        <f t="shared" si="12"/>
        <v>20</v>
      </c>
      <c r="AF20" s="31">
        <f t="shared" si="12"/>
        <v>28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0</v>
      </c>
      <c r="P21" s="15">
        <f t="shared" si="1"/>
        <v>1</v>
      </c>
      <c r="R21" s="36" t="s">
        <v>20</v>
      </c>
      <c r="S21" s="34">
        <f t="shared" ref="S21:AF21" si="13">SUM(C54:C57)</f>
        <v>7</v>
      </c>
      <c r="T21" s="17">
        <f t="shared" si="13"/>
        <v>1</v>
      </c>
      <c r="U21" s="17">
        <f t="shared" si="13"/>
        <v>3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20</v>
      </c>
      <c r="AD21" s="17">
        <f t="shared" si="13"/>
        <v>0</v>
      </c>
      <c r="AE21" s="31">
        <f t="shared" si="13"/>
        <v>23</v>
      </c>
      <c r="AF21" s="31">
        <f t="shared" si="13"/>
        <v>43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2</v>
      </c>
      <c r="P22" s="15">
        <f t="shared" si="1"/>
        <v>13</v>
      </c>
      <c r="R22" s="36" t="s">
        <v>146</v>
      </c>
      <c r="S22" s="34">
        <f>SUM(C58:C61)</f>
        <v>4</v>
      </c>
      <c r="T22" s="34">
        <f t="shared" ref="T22:AF22" si="14">SUM(D58:D61)</f>
        <v>0</v>
      </c>
      <c r="U22" s="34">
        <f t="shared" si="14"/>
        <v>5</v>
      </c>
      <c r="V22" s="34">
        <f t="shared" si="14"/>
        <v>2</v>
      </c>
      <c r="W22" s="34">
        <f t="shared" si="14"/>
        <v>0</v>
      </c>
      <c r="X22" s="34">
        <f t="shared" si="14"/>
        <v>0</v>
      </c>
      <c r="Y22" s="34">
        <f t="shared" si="14"/>
        <v>5</v>
      </c>
      <c r="Z22" s="34">
        <f t="shared" si="14"/>
        <v>4</v>
      </c>
      <c r="AA22" s="34">
        <f t="shared" si="14"/>
        <v>0</v>
      </c>
      <c r="AB22" s="34">
        <f t="shared" si="14"/>
        <v>0</v>
      </c>
      <c r="AC22" s="34">
        <f t="shared" si="14"/>
        <v>15</v>
      </c>
      <c r="AD22" s="34">
        <f t="shared" si="14"/>
        <v>0</v>
      </c>
      <c r="AE22" s="31">
        <f t="shared" si="14"/>
        <v>20</v>
      </c>
      <c r="AF22" s="31">
        <f t="shared" si="14"/>
        <v>35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7</v>
      </c>
      <c r="N23" s="50">
        <v>0</v>
      </c>
      <c r="O23" s="15">
        <f t="shared" si="0"/>
        <v>1</v>
      </c>
      <c r="P23" s="15">
        <f t="shared" si="1"/>
        <v>8</v>
      </c>
      <c r="R23" s="36" t="s">
        <v>147</v>
      </c>
      <c r="S23" s="34">
        <f>SUM(C62:C65)</f>
        <v>2</v>
      </c>
      <c r="T23" s="34">
        <f t="shared" ref="T23:AF23" si="15">SUM(D62:D65)</f>
        <v>1</v>
      </c>
      <c r="U23" s="34">
        <f t="shared" si="15"/>
        <v>3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13</v>
      </c>
      <c r="AD23" s="34">
        <f t="shared" si="15"/>
        <v>0</v>
      </c>
      <c r="AE23" s="31">
        <f t="shared" si="15"/>
        <v>10</v>
      </c>
      <c r="AF23" s="31">
        <f t="shared" si="15"/>
        <v>23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2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2</v>
      </c>
      <c r="P24" s="15">
        <f t="shared" si="1"/>
        <v>9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1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3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8</v>
      </c>
      <c r="AD24" s="34">
        <f t="shared" si="16"/>
        <v>0</v>
      </c>
      <c r="AE24" s="31">
        <f t="shared" si="16"/>
        <v>4</v>
      </c>
      <c r="AF24" s="31">
        <f t="shared" si="16"/>
        <v>12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1</v>
      </c>
      <c r="P25" s="15">
        <f t="shared" si="1"/>
        <v>6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</v>
      </c>
      <c r="AD25" s="34">
        <f t="shared" si="17"/>
        <v>0</v>
      </c>
      <c r="AE25" s="31">
        <f t="shared" si="17"/>
        <v>4</v>
      </c>
      <c r="AF25" s="31">
        <f t="shared" si="17"/>
        <v>5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4</v>
      </c>
      <c r="N26" s="50">
        <v>0</v>
      </c>
      <c r="O26" s="15">
        <f t="shared" si="0"/>
        <v>0</v>
      </c>
      <c r="P26" s="15">
        <f t="shared" si="1"/>
        <v>4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1</v>
      </c>
      <c r="AF26" s="31">
        <f t="shared" si="18"/>
        <v>2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3</v>
      </c>
      <c r="P27" s="15">
        <f t="shared" si="1"/>
        <v>6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2</v>
      </c>
      <c r="AF27" s="31">
        <f t="shared" si="19"/>
        <v>4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0</v>
      </c>
      <c r="P28" s="15">
        <f t="shared" si="1"/>
        <v>4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1</v>
      </c>
      <c r="AF28" s="31">
        <f t="shared" si="20"/>
        <v>1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2</v>
      </c>
      <c r="P29" s="15">
        <f t="shared" si="1"/>
        <v>6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1</v>
      </c>
      <c r="P30" s="15">
        <f t="shared" si="1"/>
        <v>5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4</v>
      </c>
      <c r="P31" s="15">
        <f t="shared" si="1"/>
        <v>7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1</v>
      </c>
      <c r="AF31" s="31">
        <f t="shared" si="23"/>
        <v>2</v>
      </c>
    </row>
    <row r="32" spans="2:32" ht="23.1" customHeight="1" x14ac:dyDescent="0.25">
      <c r="B32" s="46" t="s">
        <v>59</v>
      </c>
      <c r="C32" s="50">
        <v>0</v>
      </c>
      <c r="D32" s="50">
        <v>1</v>
      </c>
      <c r="E32" s="50">
        <v>0</v>
      </c>
      <c r="F32" s="50">
        <v>1</v>
      </c>
      <c r="G32" s="50">
        <v>0</v>
      </c>
      <c r="H32" s="50">
        <v>1</v>
      </c>
      <c r="I32" s="50">
        <v>7</v>
      </c>
      <c r="J32" s="50">
        <v>0</v>
      </c>
      <c r="K32" s="50">
        <v>0</v>
      </c>
      <c r="L32" s="50">
        <v>0</v>
      </c>
      <c r="M32" s="50">
        <v>4</v>
      </c>
      <c r="N32" s="50">
        <v>0</v>
      </c>
      <c r="O32" s="15">
        <f t="shared" si="0"/>
        <v>10</v>
      </c>
      <c r="P32" s="15">
        <f t="shared" si="1"/>
        <v>14</v>
      </c>
      <c r="R32" s="33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4</v>
      </c>
      <c r="AF32" s="31">
        <f t="shared" si="24"/>
        <v>4</v>
      </c>
    </row>
    <row r="33" spans="2:32" ht="23.1" customHeight="1" x14ac:dyDescent="0.25">
      <c r="B33" s="45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2</v>
      </c>
      <c r="P33" s="15">
        <f t="shared" si="1"/>
        <v>7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8</v>
      </c>
      <c r="AD33" s="34">
        <f t="shared" si="25"/>
        <v>0</v>
      </c>
      <c r="AE33" s="31">
        <f t="shared" si="25"/>
        <v>1</v>
      </c>
      <c r="AF33" s="31">
        <f t="shared" si="25"/>
        <v>9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2</v>
      </c>
      <c r="P34" s="15">
        <f t="shared" si="1"/>
        <v>5</v>
      </c>
      <c r="R34" s="38" t="s">
        <v>90</v>
      </c>
      <c r="S34" s="39">
        <f t="shared" ref="S34:AF34" si="26">MAX(S10:S12)</f>
        <v>2</v>
      </c>
      <c r="T34" s="39">
        <f t="shared" si="26"/>
        <v>3</v>
      </c>
      <c r="U34" s="39">
        <f t="shared" si="26"/>
        <v>1</v>
      </c>
      <c r="V34" s="39">
        <f t="shared" si="26"/>
        <v>2</v>
      </c>
      <c r="W34" s="39">
        <f t="shared" si="26"/>
        <v>0</v>
      </c>
      <c r="X34" s="39">
        <f t="shared" si="26"/>
        <v>0</v>
      </c>
      <c r="Y34" s="39">
        <f t="shared" si="26"/>
        <v>1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21</v>
      </c>
      <c r="AD34" s="39">
        <f t="shared" si="26"/>
        <v>0</v>
      </c>
      <c r="AE34" s="40">
        <f t="shared" si="26"/>
        <v>7</v>
      </c>
      <c r="AF34" s="40">
        <f t="shared" si="26"/>
        <v>26</v>
      </c>
    </row>
    <row r="35" spans="2:32" ht="23.1" customHeight="1" x14ac:dyDescent="0.25">
      <c r="B35" s="46" t="s">
        <v>62</v>
      </c>
      <c r="C35" s="50">
        <v>2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5</v>
      </c>
      <c r="P35" s="15">
        <f t="shared" si="1"/>
        <v>11</v>
      </c>
      <c r="R35" s="38" t="s">
        <v>91</v>
      </c>
      <c r="S35" s="39">
        <f t="shared" ref="S35:AF35" si="27">MAX(S13:S18)</f>
        <v>4</v>
      </c>
      <c r="T35" s="39">
        <f t="shared" si="27"/>
        <v>5</v>
      </c>
      <c r="U35" s="39">
        <f t="shared" si="27"/>
        <v>5</v>
      </c>
      <c r="V35" s="39">
        <f t="shared" si="27"/>
        <v>3</v>
      </c>
      <c r="W35" s="39">
        <f t="shared" si="27"/>
        <v>1</v>
      </c>
      <c r="X35" s="39">
        <f t="shared" si="27"/>
        <v>1</v>
      </c>
      <c r="Y35" s="39">
        <f t="shared" si="27"/>
        <v>8</v>
      </c>
      <c r="Z35" s="39">
        <f t="shared" si="27"/>
        <v>0</v>
      </c>
      <c r="AA35" s="39">
        <f t="shared" si="27"/>
        <v>0</v>
      </c>
      <c r="AB35" s="39">
        <f t="shared" si="27"/>
        <v>1</v>
      </c>
      <c r="AC35" s="39">
        <f t="shared" si="27"/>
        <v>41</v>
      </c>
      <c r="AD35" s="39">
        <f t="shared" si="27"/>
        <v>0</v>
      </c>
      <c r="AE35" s="40">
        <f t="shared" si="27"/>
        <v>17</v>
      </c>
      <c r="AF35" s="40">
        <f t="shared" si="27"/>
        <v>49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5</v>
      </c>
      <c r="N36" s="50">
        <v>0</v>
      </c>
      <c r="O36" s="15">
        <f t="shared" si="0"/>
        <v>0</v>
      </c>
      <c r="P36" s="15">
        <f t="shared" si="1"/>
        <v>5</v>
      </c>
      <c r="R36" s="38" t="s">
        <v>92</v>
      </c>
      <c r="S36" s="39">
        <f t="shared" ref="S36:AF36" si="28">MAX(S19:S21)</f>
        <v>7</v>
      </c>
      <c r="T36" s="39">
        <f t="shared" si="28"/>
        <v>1</v>
      </c>
      <c r="U36" s="39">
        <f t="shared" si="28"/>
        <v>3</v>
      </c>
      <c r="V36" s="39">
        <f t="shared" si="28"/>
        <v>4</v>
      </c>
      <c r="W36" s="39">
        <f t="shared" si="28"/>
        <v>0</v>
      </c>
      <c r="X36" s="39">
        <f t="shared" si="28"/>
        <v>0</v>
      </c>
      <c r="Y36" s="39">
        <f t="shared" si="28"/>
        <v>7</v>
      </c>
      <c r="Z36" s="39">
        <f t="shared" si="28"/>
        <v>2</v>
      </c>
      <c r="AA36" s="39">
        <f t="shared" si="28"/>
        <v>0</v>
      </c>
      <c r="AB36" s="39">
        <f t="shared" si="28"/>
        <v>0</v>
      </c>
      <c r="AC36" s="39">
        <f t="shared" si="28"/>
        <v>22</v>
      </c>
      <c r="AD36" s="39">
        <f t="shared" si="28"/>
        <v>10</v>
      </c>
      <c r="AE36" s="40">
        <f t="shared" si="28"/>
        <v>23</v>
      </c>
      <c r="AF36" s="40">
        <f t="shared" si="28"/>
        <v>43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1</v>
      </c>
      <c r="P37" s="15">
        <f t="shared" si="1"/>
        <v>5</v>
      </c>
      <c r="R37" s="37" t="s">
        <v>85</v>
      </c>
      <c r="S37" s="35">
        <f t="shared" ref="S37:AF37" si="29">SUM(S10:S12)</f>
        <v>3</v>
      </c>
      <c r="T37" s="16">
        <f t="shared" si="29"/>
        <v>3</v>
      </c>
      <c r="U37" s="16">
        <f t="shared" si="29"/>
        <v>1</v>
      </c>
      <c r="V37" s="16">
        <f t="shared" si="29"/>
        <v>5</v>
      </c>
      <c r="W37" s="16">
        <f t="shared" si="29"/>
        <v>0</v>
      </c>
      <c r="X37" s="16">
        <f t="shared" si="29"/>
        <v>0</v>
      </c>
      <c r="Y37" s="16">
        <f t="shared" si="29"/>
        <v>2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51</v>
      </c>
      <c r="AD37" s="16">
        <f t="shared" si="29"/>
        <v>0</v>
      </c>
      <c r="AE37" s="32">
        <f t="shared" si="29"/>
        <v>14</v>
      </c>
      <c r="AF37" s="32">
        <f t="shared" si="29"/>
        <v>65</v>
      </c>
    </row>
    <row r="38" spans="2:32" ht="23.1" customHeight="1" x14ac:dyDescent="0.25">
      <c r="B38" s="46" t="s">
        <v>65</v>
      </c>
      <c r="C38" s="50">
        <v>2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5</v>
      </c>
      <c r="N38" s="50">
        <v>0</v>
      </c>
      <c r="O38" s="15">
        <f t="shared" si="0"/>
        <v>2</v>
      </c>
      <c r="P38" s="15">
        <f t="shared" si="1"/>
        <v>7</v>
      </c>
      <c r="R38" s="28" t="s">
        <v>86</v>
      </c>
      <c r="S38" s="16">
        <f t="shared" ref="S38:AF38" si="30">SUM(S13:S18)</f>
        <v>16</v>
      </c>
      <c r="T38" s="16">
        <f t="shared" si="30"/>
        <v>8</v>
      </c>
      <c r="U38" s="16">
        <f t="shared" si="30"/>
        <v>13</v>
      </c>
      <c r="V38" s="16">
        <f t="shared" si="30"/>
        <v>7</v>
      </c>
      <c r="W38" s="16">
        <f t="shared" si="30"/>
        <v>1</v>
      </c>
      <c r="X38" s="16">
        <f t="shared" si="30"/>
        <v>2</v>
      </c>
      <c r="Y38" s="16">
        <f t="shared" si="30"/>
        <v>12</v>
      </c>
      <c r="Z38" s="16">
        <f t="shared" si="30"/>
        <v>0</v>
      </c>
      <c r="AA38" s="16">
        <f t="shared" si="30"/>
        <v>0</v>
      </c>
      <c r="AB38" s="16">
        <f t="shared" si="30"/>
        <v>1</v>
      </c>
      <c r="AC38" s="16">
        <f t="shared" si="30"/>
        <v>149</v>
      </c>
      <c r="AD38" s="16">
        <f t="shared" si="30"/>
        <v>0</v>
      </c>
      <c r="AE38" s="32">
        <f t="shared" si="30"/>
        <v>60</v>
      </c>
      <c r="AF38" s="32">
        <f t="shared" si="30"/>
        <v>209</v>
      </c>
    </row>
    <row r="39" spans="2:32" ht="23.1" customHeight="1" x14ac:dyDescent="0.25">
      <c r="B39" s="46" t="s">
        <v>66</v>
      </c>
      <c r="C39" s="50">
        <v>1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12</v>
      </c>
      <c r="N39" s="50">
        <v>0</v>
      </c>
      <c r="O39" s="15">
        <f t="shared" si="0"/>
        <v>2</v>
      </c>
      <c r="P39" s="15">
        <f t="shared" si="1"/>
        <v>14</v>
      </c>
      <c r="R39" s="29" t="s">
        <v>87</v>
      </c>
      <c r="S39" s="16">
        <f t="shared" ref="S39:AF39" si="31">SUM(S19:S21)</f>
        <v>12</v>
      </c>
      <c r="T39" s="16">
        <f t="shared" si="31"/>
        <v>2</v>
      </c>
      <c r="U39" s="16">
        <f t="shared" si="31"/>
        <v>7</v>
      </c>
      <c r="V39" s="16">
        <f t="shared" si="31"/>
        <v>8</v>
      </c>
      <c r="W39" s="16">
        <f t="shared" si="31"/>
        <v>0</v>
      </c>
      <c r="X39" s="16">
        <f t="shared" si="31"/>
        <v>0</v>
      </c>
      <c r="Y39" s="16">
        <f t="shared" si="31"/>
        <v>15</v>
      </c>
      <c r="Z39" s="16">
        <f t="shared" si="31"/>
        <v>2</v>
      </c>
      <c r="AA39" s="16">
        <f t="shared" si="31"/>
        <v>0</v>
      </c>
      <c r="AB39" s="16">
        <f t="shared" si="31"/>
        <v>0</v>
      </c>
      <c r="AC39" s="16">
        <f t="shared" si="31"/>
        <v>50</v>
      </c>
      <c r="AD39" s="16">
        <f t="shared" si="31"/>
        <v>10</v>
      </c>
      <c r="AE39" s="32">
        <f t="shared" si="31"/>
        <v>56</v>
      </c>
      <c r="AF39" s="32">
        <f t="shared" si="31"/>
        <v>106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1</v>
      </c>
      <c r="I40" s="50">
        <v>0</v>
      </c>
      <c r="J40" s="50">
        <v>0</v>
      </c>
      <c r="K40" s="50">
        <v>0</v>
      </c>
      <c r="L40" s="50">
        <v>0</v>
      </c>
      <c r="M40" s="50">
        <v>7</v>
      </c>
      <c r="N40" s="50">
        <v>0</v>
      </c>
      <c r="O40" s="15">
        <f t="shared" si="0"/>
        <v>2</v>
      </c>
      <c r="P40" s="15">
        <f t="shared" si="1"/>
        <v>9</v>
      </c>
      <c r="R40" s="5" t="s">
        <v>17</v>
      </c>
      <c r="S40" s="16">
        <f t="shared" ref="S40:AF40" si="32">SUM(S10:S21)</f>
        <v>31</v>
      </c>
      <c r="T40" s="16">
        <f t="shared" si="32"/>
        <v>13</v>
      </c>
      <c r="U40" s="16">
        <f t="shared" si="32"/>
        <v>21</v>
      </c>
      <c r="V40" s="16">
        <f t="shared" si="32"/>
        <v>20</v>
      </c>
      <c r="W40" s="16">
        <f t="shared" si="32"/>
        <v>1</v>
      </c>
      <c r="X40" s="16">
        <f t="shared" si="32"/>
        <v>2</v>
      </c>
      <c r="Y40" s="16">
        <f t="shared" si="32"/>
        <v>29</v>
      </c>
      <c r="Z40" s="16">
        <f t="shared" si="32"/>
        <v>2</v>
      </c>
      <c r="AA40" s="16">
        <f t="shared" si="32"/>
        <v>0</v>
      </c>
      <c r="AB40" s="16">
        <f t="shared" si="32"/>
        <v>1</v>
      </c>
      <c r="AC40" s="16">
        <f t="shared" si="32"/>
        <v>250</v>
      </c>
      <c r="AD40" s="16">
        <f t="shared" si="32"/>
        <v>10</v>
      </c>
      <c r="AE40" s="32">
        <f t="shared" si="32"/>
        <v>130</v>
      </c>
      <c r="AF40" s="32">
        <f t="shared" si="32"/>
        <v>380</v>
      </c>
    </row>
    <row r="41" spans="2:32" ht="23.1" customHeight="1" x14ac:dyDescent="0.25">
      <c r="B41" s="45" t="s">
        <v>68</v>
      </c>
      <c r="C41" s="50">
        <v>1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17</v>
      </c>
      <c r="N41" s="50">
        <v>0</v>
      </c>
      <c r="O41" s="15">
        <f t="shared" si="0"/>
        <v>2</v>
      </c>
      <c r="P41" s="15">
        <f t="shared" si="1"/>
        <v>19</v>
      </c>
      <c r="R41" s="5" t="s">
        <v>159</v>
      </c>
      <c r="S41" s="16">
        <f>SUM(S10:S33)</f>
        <v>39</v>
      </c>
      <c r="T41" s="16">
        <f t="shared" ref="T41:AF41" si="33">SUM(T10:T33)</f>
        <v>14</v>
      </c>
      <c r="U41" s="16">
        <f t="shared" si="33"/>
        <v>31</v>
      </c>
      <c r="V41" s="16">
        <f t="shared" si="33"/>
        <v>24</v>
      </c>
      <c r="W41" s="16">
        <f t="shared" si="33"/>
        <v>1</v>
      </c>
      <c r="X41" s="16">
        <f t="shared" si="33"/>
        <v>2</v>
      </c>
      <c r="Y41" s="16">
        <f t="shared" si="33"/>
        <v>49</v>
      </c>
      <c r="Z41" s="16">
        <f t="shared" si="33"/>
        <v>7</v>
      </c>
      <c r="AA41" s="16">
        <f t="shared" si="33"/>
        <v>0</v>
      </c>
      <c r="AB41" s="16">
        <f t="shared" si="33"/>
        <v>1</v>
      </c>
      <c r="AC41" s="16">
        <f t="shared" si="33"/>
        <v>299</v>
      </c>
      <c r="AD41" s="16">
        <f t="shared" si="33"/>
        <v>10</v>
      </c>
      <c r="AE41" s="32">
        <f t="shared" si="33"/>
        <v>178</v>
      </c>
      <c r="AF41" s="32">
        <f t="shared" si="33"/>
        <v>477</v>
      </c>
    </row>
    <row r="42" spans="2:32" ht="23.1" customHeight="1" x14ac:dyDescent="0.25">
      <c r="B42" s="46" t="s">
        <v>69</v>
      </c>
      <c r="C42" s="50">
        <v>1</v>
      </c>
      <c r="D42" s="50">
        <v>3</v>
      </c>
      <c r="E42" s="50">
        <v>4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13</v>
      </c>
      <c r="N42" s="50">
        <v>0</v>
      </c>
      <c r="O42" s="15">
        <f t="shared" si="0"/>
        <v>9</v>
      </c>
      <c r="P42" s="15">
        <f t="shared" si="1"/>
        <v>22</v>
      </c>
      <c r="R42" s="5" t="s">
        <v>160</v>
      </c>
      <c r="S42" s="48">
        <f>S41/S40</f>
        <v>1.2580645161290323</v>
      </c>
      <c r="T42" s="48">
        <f t="shared" ref="T42:AF42" si="34">T41/T40</f>
        <v>1.0769230769230769</v>
      </c>
      <c r="U42" s="48">
        <f t="shared" si="34"/>
        <v>1.4761904761904763</v>
      </c>
      <c r="V42" s="48">
        <f t="shared" si="34"/>
        <v>1.2</v>
      </c>
      <c r="W42" s="48">
        <f t="shared" si="34"/>
        <v>1</v>
      </c>
      <c r="X42" s="48">
        <f t="shared" si="34"/>
        <v>1</v>
      </c>
      <c r="Y42" s="48">
        <f t="shared" si="34"/>
        <v>1.6896551724137931</v>
      </c>
      <c r="Z42" s="48">
        <f t="shared" si="34"/>
        <v>3.5</v>
      </c>
      <c r="AA42" s="48" t="e">
        <f t="shared" si="34"/>
        <v>#DIV/0!</v>
      </c>
      <c r="AB42" s="48">
        <f t="shared" si="34"/>
        <v>1</v>
      </c>
      <c r="AC42" s="48">
        <f t="shared" si="34"/>
        <v>1.196</v>
      </c>
      <c r="AD42" s="48">
        <f t="shared" si="34"/>
        <v>1</v>
      </c>
      <c r="AE42" s="48">
        <f t="shared" si="34"/>
        <v>1.3692307692307693</v>
      </c>
      <c r="AF42" s="48">
        <f t="shared" si="34"/>
        <v>1.2552631578947369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1</v>
      </c>
      <c r="M43" s="50">
        <v>5</v>
      </c>
      <c r="N43" s="50">
        <v>0</v>
      </c>
      <c r="O43" s="15">
        <f t="shared" si="0"/>
        <v>1</v>
      </c>
      <c r="P43" s="15">
        <f t="shared" si="1"/>
        <v>6</v>
      </c>
    </row>
    <row r="44" spans="2:32" ht="23.1" customHeight="1" x14ac:dyDescent="0.25">
      <c r="B44" s="47" t="s">
        <v>71</v>
      </c>
      <c r="C44" s="50">
        <v>1</v>
      </c>
      <c r="D44" s="50">
        <v>2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4</v>
      </c>
      <c r="P44" s="15">
        <f t="shared" si="1"/>
        <v>12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1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3</v>
      </c>
      <c r="N45" s="50">
        <v>0</v>
      </c>
      <c r="O45" s="15">
        <f t="shared" si="0"/>
        <v>2</v>
      </c>
      <c r="P45" s="15">
        <f t="shared" si="1"/>
        <v>5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2</v>
      </c>
      <c r="F46" s="50">
        <v>1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7</v>
      </c>
      <c r="P46" s="15">
        <f t="shared" si="1"/>
        <v>16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1</v>
      </c>
      <c r="P47" s="15">
        <f t="shared" si="1"/>
        <v>2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1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4</v>
      </c>
      <c r="P48" s="15">
        <f t="shared" si="1"/>
        <v>8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8</v>
      </c>
      <c r="N49" s="50">
        <v>0</v>
      </c>
      <c r="O49" s="15">
        <f t="shared" si="0"/>
        <v>1</v>
      </c>
      <c r="P49" s="15">
        <f t="shared" si="1"/>
        <v>9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7</v>
      </c>
      <c r="N50" s="50">
        <v>0</v>
      </c>
      <c r="O50" s="15">
        <f t="shared" si="0"/>
        <v>3</v>
      </c>
      <c r="P50" s="15">
        <f t="shared" si="1"/>
        <v>10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0</v>
      </c>
      <c r="N51" s="50">
        <v>4</v>
      </c>
      <c r="O51" s="15">
        <f t="shared" si="0"/>
        <v>6</v>
      </c>
      <c r="P51" s="15">
        <f t="shared" si="1"/>
        <v>6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0</v>
      </c>
      <c r="N52" s="50">
        <v>5</v>
      </c>
      <c r="O52" s="15">
        <f t="shared" si="0"/>
        <v>7</v>
      </c>
      <c r="P52" s="15">
        <f t="shared" si="1"/>
        <v>7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1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</v>
      </c>
      <c r="N53" s="50">
        <v>1</v>
      </c>
      <c r="O53" s="15">
        <f t="shared" si="0"/>
        <v>4</v>
      </c>
      <c r="P53" s="15">
        <f t="shared" si="1"/>
        <v>5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0</v>
      </c>
      <c r="E54" s="50">
        <v>2</v>
      </c>
      <c r="F54" s="50">
        <v>0</v>
      </c>
      <c r="G54" s="50">
        <v>0</v>
      </c>
      <c r="H54" s="50">
        <v>0</v>
      </c>
      <c r="I54" s="50">
        <v>6</v>
      </c>
      <c r="J54" s="50">
        <v>1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12</v>
      </c>
      <c r="P54" s="15">
        <f t="shared" si="1"/>
        <v>19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2</v>
      </c>
      <c r="P55" s="15">
        <f t="shared" si="1"/>
        <v>7</v>
      </c>
      <c r="R55" s="8"/>
      <c r="T55"/>
    </row>
    <row r="56" spans="2:20" ht="23.1" customHeight="1" x14ac:dyDescent="0.25">
      <c r="B56" s="45" t="s">
        <v>83</v>
      </c>
      <c r="C56" s="50">
        <v>1</v>
      </c>
      <c r="D56" s="50">
        <v>0</v>
      </c>
      <c r="E56" s="50">
        <v>1</v>
      </c>
      <c r="F56" s="50">
        <v>2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5</v>
      </c>
      <c r="N56" s="50">
        <v>0</v>
      </c>
      <c r="O56" s="15">
        <f t="shared" si="0"/>
        <v>5</v>
      </c>
      <c r="P56" s="15">
        <f t="shared" si="1"/>
        <v>10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4</v>
      </c>
      <c r="P57" s="15">
        <f t="shared" si="1"/>
        <v>7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1</v>
      </c>
      <c r="F58" s="50">
        <v>1</v>
      </c>
      <c r="G58" s="50">
        <v>0</v>
      </c>
      <c r="H58" s="50">
        <v>0</v>
      </c>
      <c r="I58" s="50">
        <v>3</v>
      </c>
      <c r="J58" s="50">
        <v>0</v>
      </c>
      <c r="K58" s="50">
        <v>0</v>
      </c>
      <c r="L58" s="50">
        <v>0</v>
      </c>
      <c r="M58" s="50">
        <v>3</v>
      </c>
      <c r="N58" s="50">
        <v>0</v>
      </c>
      <c r="O58" s="15">
        <f t="shared" si="0"/>
        <v>5</v>
      </c>
      <c r="P58" s="15">
        <f t="shared" si="1"/>
        <v>8</v>
      </c>
      <c r="R58" s="8"/>
      <c r="T58"/>
    </row>
    <row r="59" spans="2:20" ht="23.1" customHeight="1" x14ac:dyDescent="0.25">
      <c r="B59" s="45" t="s">
        <v>100</v>
      </c>
      <c r="C59" s="50">
        <v>1</v>
      </c>
      <c r="D59" s="50">
        <v>0</v>
      </c>
      <c r="E59" s="50">
        <v>1</v>
      </c>
      <c r="F59" s="50">
        <v>0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5</v>
      </c>
      <c r="N59" s="50">
        <v>0</v>
      </c>
      <c r="O59" s="15">
        <f t="shared" si="0"/>
        <v>3</v>
      </c>
      <c r="P59" s="15">
        <f t="shared" si="1"/>
        <v>8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1</v>
      </c>
      <c r="J60" s="50">
        <v>3</v>
      </c>
      <c r="K60" s="50">
        <v>0</v>
      </c>
      <c r="L60" s="50">
        <v>0</v>
      </c>
      <c r="M60" s="50">
        <v>3</v>
      </c>
      <c r="N60" s="50">
        <v>0</v>
      </c>
      <c r="O60" s="15">
        <f t="shared" si="0"/>
        <v>6</v>
      </c>
      <c r="P60" s="15">
        <f t="shared" si="1"/>
        <v>9</v>
      </c>
      <c r="R60" s="8"/>
      <c r="T60"/>
    </row>
    <row r="61" spans="2:20" ht="23.1" customHeight="1" x14ac:dyDescent="0.25">
      <c r="B61" s="45" t="s">
        <v>102</v>
      </c>
      <c r="C61" s="50">
        <v>2</v>
      </c>
      <c r="D61" s="50">
        <v>0</v>
      </c>
      <c r="E61" s="50">
        <v>2</v>
      </c>
      <c r="F61" s="50">
        <v>1</v>
      </c>
      <c r="G61" s="50">
        <v>0</v>
      </c>
      <c r="H61" s="50">
        <v>0</v>
      </c>
      <c r="I61" s="50">
        <v>0</v>
      </c>
      <c r="J61" s="50">
        <v>1</v>
      </c>
      <c r="K61" s="50">
        <v>0</v>
      </c>
      <c r="L61" s="50">
        <v>0</v>
      </c>
      <c r="M61" s="50">
        <v>4</v>
      </c>
      <c r="N61" s="50">
        <v>0</v>
      </c>
      <c r="O61" s="15">
        <f t="shared" si="0"/>
        <v>6</v>
      </c>
      <c r="P61" s="15">
        <f t="shared" si="1"/>
        <v>10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1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4</v>
      </c>
      <c r="N62" s="50">
        <v>0</v>
      </c>
      <c r="O62" s="15">
        <f t="shared" si="0"/>
        <v>1</v>
      </c>
      <c r="P62" s="15">
        <f t="shared" si="1"/>
        <v>5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2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4</v>
      </c>
      <c r="N63" s="50">
        <v>0</v>
      </c>
      <c r="O63" s="15">
        <f t="shared" si="0"/>
        <v>2</v>
      </c>
      <c r="P63" s="15">
        <f t="shared" si="1"/>
        <v>6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1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2</v>
      </c>
      <c r="N64" s="50">
        <v>0</v>
      </c>
      <c r="O64" s="15">
        <f t="shared" si="0"/>
        <v>1</v>
      </c>
      <c r="P64" s="15">
        <f t="shared" si="1"/>
        <v>3</v>
      </c>
      <c r="R64" s="8"/>
      <c r="T64"/>
    </row>
    <row r="65" spans="2:20" ht="23.1" customHeight="1" x14ac:dyDescent="0.25">
      <c r="B65" s="45" t="s">
        <v>158</v>
      </c>
      <c r="C65" s="50">
        <v>2</v>
      </c>
      <c r="D65" s="50">
        <v>0</v>
      </c>
      <c r="E65" s="50">
        <v>1</v>
      </c>
      <c r="F65" s="50">
        <v>0</v>
      </c>
      <c r="G65" s="50">
        <v>0</v>
      </c>
      <c r="H65" s="50">
        <v>0</v>
      </c>
      <c r="I65" s="50">
        <v>2</v>
      </c>
      <c r="J65" s="50">
        <v>1</v>
      </c>
      <c r="K65" s="50">
        <v>0</v>
      </c>
      <c r="L65" s="50">
        <v>0</v>
      </c>
      <c r="M65" s="50">
        <v>3</v>
      </c>
      <c r="N65" s="50">
        <v>0</v>
      </c>
      <c r="O65" s="15">
        <f t="shared" si="0"/>
        <v>6</v>
      </c>
      <c r="P65" s="15">
        <f t="shared" si="1"/>
        <v>9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2</v>
      </c>
      <c r="N66" s="50">
        <v>0</v>
      </c>
      <c r="O66" s="15">
        <f t="shared" si="0"/>
        <v>0</v>
      </c>
      <c r="P66" s="15">
        <f t="shared" si="1"/>
        <v>2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0</v>
      </c>
      <c r="P67" s="15">
        <f t="shared" si="1"/>
        <v>0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1</v>
      </c>
      <c r="F68" s="50">
        <v>0</v>
      </c>
      <c r="G68" s="50">
        <v>0</v>
      </c>
      <c r="H68" s="50">
        <v>0</v>
      </c>
      <c r="I68" s="50">
        <v>2</v>
      </c>
      <c r="J68" s="50">
        <v>0</v>
      </c>
      <c r="K68" s="50">
        <v>0</v>
      </c>
      <c r="L68" s="50">
        <v>0</v>
      </c>
      <c r="M68" s="50">
        <v>2</v>
      </c>
      <c r="N68" s="50">
        <v>0</v>
      </c>
      <c r="O68" s="15">
        <f t="shared" si="0"/>
        <v>3</v>
      </c>
      <c r="P68" s="15">
        <f t="shared" si="1"/>
        <v>5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4</v>
      </c>
      <c r="N69" s="50">
        <v>0</v>
      </c>
      <c r="O69" s="15">
        <f t="shared" si="0"/>
        <v>1</v>
      </c>
      <c r="P69" s="15">
        <f t="shared" si="1"/>
        <v>5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1</v>
      </c>
      <c r="P70" s="15">
        <f t="shared" si="1"/>
        <v>1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2</v>
      </c>
      <c r="P71" s="15">
        <f t="shared" si="1"/>
        <v>2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0</v>
      </c>
      <c r="P72" s="15">
        <f t="shared" si="1"/>
        <v>0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1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1</v>
      </c>
      <c r="P78" s="15">
        <f t="shared" si="36"/>
        <v>2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1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1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1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1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2</v>
      </c>
      <c r="P100" s="15">
        <f t="shared" si="36"/>
        <v>2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0</v>
      </c>
      <c r="P102" s="15">
        <f t="shared" si="36"/>
        <v>3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4</v>
      </c>
      <c r="N103" s="50">
        <v>0</v>
      </c>
      <c r="O103" s="15">
        <f t="shared" si="35"/>
        <v>0</v>
      </c>
      <c r="P103" s="15">
        <f t="shared" si="36"/>
        <v>4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</v>
      </c>
      <c r="N104" s="50">
        <v>0</v>
      </c>
      <c r="O104" s="15">
        <f t="shared" si="35"/>
        <v>1</v>
      </c>
      <c r="P104" s="15">
        <f t="shared" si="36"/>
        <v>2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39</v>
      </c>
      <c r="D106" s="16">
        <f t="shared" ref="D106:P106" si="37">SUM(D10:D105)</f>
        <v>14</v>
      </c>
      <c r="E106" s="16">
        <f t="shared" si="37"/>
        <v>31</v>
      </c>
      <c r="F106" s="16">
        <f t="shared" si="37"/>
        <v>24</v>
      </c>
      <c r="G106" s="16">
        <f t="shared" si="37"/>
        <v>1</v>
      </c>
      <c r="H106" s="16">
        <f t="shared" si="37"/>
        <v>2</v>
      </c>
      <c r="I106" s="16">
        <f t="shared" si="37"/>
        <v>49</v>
      </c>
      <c r="J106" s="16">
        <f t="shared" si="37"/>
        <v>7</v>
      </c>
      <c r="K106" s="16">
        <f t="shared" si="37"/>
        <v>0</v>
      </c>
      <c r="L106" s="16">
        <f t="shared" si="37"/>
        <v>1</v>
      </c>
      <c r="M106" s="16">
        <f t="shared" si="37"/>
        <v>299</v>
      </c>
      <c r="N106" s="16">
        <f t="shared" si="37"/>
        <v>10</v>
      </c>
      <c r="O106" s="16">
        <f t="shared" si="37"/>
        <v>178</v>
      </c>
      <c r="P106" s="16">
        <f t="shared" si="37"/>
        <v>477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8.1761006289308172E-2</v>
      </c>
      <c r="D107" s="43">
        <f t="shared" si="38"/>
        <v>2.9350104821802937E-2</v>
      </c>
      <c r="E107" s="43">
        <f t="shared" si="38"/>
        <v>6.4989517819706494E-2</v>
      </c>
      <c r="F107" s="43">
        <f t="shared" si="38"/>
        <v>5.0314465408805034E-2</v>
      </c>
      <c r="G107" s="43">
        <f t="shared" si="38"/>
        <v>2.0964360587002098E-3</v>
      </c>
      <c r="H107" s="43">
        <f t="shared" si="38"/>
        <v>4.1928721174004195E-3</v>
      </c>
      <c r="I107" s="43">
        <f t="shared" si="38"/>
        <v>0.10272536687631027</v>
      </c>
      <c r="J107" s="43">
        <f t="shared" si="38"/>
        <v>1.4675052410901468E-2</v>
      </c>
      <c r="K107" s="43">
        <f t="shared" si="38"/>
        <v>0</v>
      </c>
      <c r="L107" s="43">
        <f t="shared" si="38"/>
        <v>2.0964360587002098E-3</v>
      </c>
      <c r="M107" s="43">
        <f t="shared" si="38"/>
        <v>0.62683438155136273</v>
      </c>
      <c r="N107" s="43">
        <f t="shared" si="38"/>
        <v>2.0964360587002098E-2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0.21910112359550563</v>
      </c>
      <c r="D108" s="44">
        <f t="shared" ref="D108:N108" si="39">D106/$O$106</f>
        <v>7.8651685393258425E-2</v>
      </c>
      <c r="E108" s="44">
        <f t="shared" si="39"/>
        <v>0.17415730337078653</v>
      </c>
      <c r="F108" s="44">
        <f t="shared" si="39"/>
        <v>0.1348314606741573</v>
      </c>
      <c r="G108" s="44">
        <f t="shared" si="39"/>
        <v>5.6179775280898875E-3</v>
      </c>
      <c r="H108" s="44">
        <f t="shared" si="39"/>
        <v>1.1235955056179775E-2</v>
      </c>
      <c r="I108" s="44">
        <f t="shared" si="39"/>
        <v>0.2752808988764045</v>
      </c>
      <c r="J108" s="44">
        <f t="shared" si="39"/>
        <v>3.9325842696629212E-2</v>
      </c>
      <c r="K108" s="44">
        <f t="shared" si="39"/>
        <v>0</v>
      </c>
      <c r="L108" s="44">
        <f t="shared" si="39"/>
        <v>5.6179775280898875E-3</v>
      </c>
      <c r="M108" s="44"/>
      <c r="N108" s="44">
        <f t="shared" si="39"/>
        <v>5.6179775280898875E-2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zoomScale="70" zoomScaleSheetLayoutView="7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'17.10 KAPEEKA-NGOMA'!C3:G3</f>
        <v>KAPEEKA -NGOMA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174</v>
      </c>
      <c r="E5" s="3"/>
      <c r="F5" s="41" t="s">
        <v>1</v>
      </c>
      <c r="G5" s="56" t="str">
        <f>'17.10 KAPEEKA-NGOMA'!G5:H5</f>
        <v>BUTALANGU</v>
      </c>
      <c r="H5" s="57"/>
      <c r="I5" s="14"/>
      <c r="J5" s="2" t="s">
        <v>5</v>
      </c>
      <c r="K5" s="56" t="str">
        <f>'17.10 KAPEEKA-NGOMA'!K5:L5</f>
        <v>MIREMBE RUTH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'17.10 KAPEEKA-NGOMA'!D6:E6</f>
        <v>KAPEEKA</v>
      </c>
      <c r="E6" s="57"/>
      <c r="F6" s="2" t="s">
        <v>2</v>
      </c>
      <c r="G6" s="56" t="str">
        <f>'17.10 KAPEEKA-NGOMA'!G6:H6</f>
        <v>NGOMA</v>
      </c>
      <c r="H6" s="57"/>
      <c r="J6" s="2" t="s">
        <v>21</v>
      </c>
      <c r="K6" s="56" t="str">
        <f>'17.10 KAPEEKA-NGOMA'!K6:L6</f>
        <v>MIREMBE RUTH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2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3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15</v>
      </c>
      <c r="AD10" s="17">
        <f t="shared" si="2"/>
        <v>0</v>
      </c>
      <c r="AE10" s="31">
        <f t="shared" si="2"/>
        <v>5</v>
      </c>
      <c r="AF10" s="31">
        <f t="shared" si="2"/>
        <v>20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1</v>
      </c>
      <c r="P11" s="15">
        <f t="shared" si="1"/>
        <v>4</v>
      </c>
      <c r="R11" s="1" t="s">
        <v>7</v>
      </c>
      <c r="S11" s="17">
        <f t="shared" ref="S11:AF11" si="3">SUM(C14:C17)</f>
        <v>1</v>
      </c>
      <c r="T11" s="17">
        <f t="shared" si="3"/>
        <v>3</v>
      </c>
      <c r="U11" s="17">
        <f t="shared" si="3"/>
        <v>6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21</v>
      </c>
      <c r="AD11" s="17">
        <f t="shared" si="3"/>
        <v>0</v>
      </c>
      <c r="AE11" s="31">
        <f t="shared" si="3"/>
        <v>13</v>
      </c>
      <c r="AF11" s="31">
        <f t="shared" si="3"/>
        <v>34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3</v>
      </c>
      <c r="P12" s="15">
        <f t="shared" si="1"/>
        <v>6</v>
      </c>
      <c r="R12" s="1" t="s">
        <v>8</v>
      </c>
      <c r="S12" s="17">
        <f t="shared" ref="S12:AF12" si="4">SUM(C18:C21)</f>
        <v>3</v>
      </c>
      <c r="T12" s="17">
        <f t="shared" si="4"/>
        <v>2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17</v>
      </c>
      <c r="AD12" s="17">
        <f t="shared" si="4"/>
        <v>0</v>
      </c>
      <c r="AE12" s="31">
        <f t="shared" si="4"/>
        <v>7</v>
      </c>
      <c r="AF12" s="31">
        <f t="shared" si="4"/>
        <v>24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0</v>
      </c>
      <c r="P13" s="15">
        <f t="shared" si="1"/>
        <v>7</v>
      </c>
      <c r="R13" s="1" t="s">
        <v>9</v>
      </c>
      <c r="S13" s="17">
        <f t="shared" ref="S13:AF13" si="5">SUM(C22:C25)</f>
        <v>5</v>
      </c>
      <c r="T13" s="17">
        <f t="shared" si="5"/>
        <v>0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24</v>
      </c>
      <c r="AD13" s="17">
        <f t="shared" si="5"/>
        <v>0</v>
      </c>
      <c r="AE13" s="31">
        <f t="shared" si="5"/>
        <v>13</v>
      </c>
      <c r="AF13" s="31">
        <f t="shared" si="5"/>
        <v>37</v>
      </c>
    </row>
    <row r="14" spans="2:32" ht="23.1" customHeight="1" x14ac:dyDescent="0.25">
      <c r="B14" s="23" t="s">
        <v>41</v>
      </c>
      <c r="C14" s="50">
        <v>0</v>
      </c>
      <c r="D14" s="50">
        <v>1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7</v>
      </c>
      <c r="N14" s="50">
        <v>0</v>
      </c>
      <c r="O14" s="15">
        <f t="shared" si="0"/>
        <v>3</v>
      </c>
      <c r="P14" s="15">
        <f t="shared" si="1"/>
        <v>10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2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21</v>
      </c>
      <c r="AD14" s="17">
        <f t="shared" si="6"/>
        <v>0</v>
      </c>
      <c r="AE14" s="31">
        <f t="shared" si="6"/>
        <v>11</v>
      </c>
      <c r="AF14" s="31">
        <f t="shared" si="6"/>
        <v>32</v>
      </c>
    </row>
    <row r="15" spans="2:32" ht="23.1" customHeight="1" x14ac:dyDescent="0.25">
      <c r="B15" s="23" t="s">
        <v>42</v>
      </c>
      <c r="C15" s="50">
        <v>0</v>
      </c>
      <c r="D15" s="50">
        <v>1</v>
      </c>
      <c r="E15" s="50">
        <v>1</v>
      </c>
      <c r="F15" s="50">
        <v>0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4</v>
      </c>
      <c r="P15" s="15">
        <f t="shared" si="1"/>
        <v>11</v>
      </c>
      <c r="R15" s="1" t="s">
        <v>11</v>
      </c>
      <c r="S15" s="17">
        <f t="shared" ref="S15:AF15" si="7">SUM(C30:C33)</f>
        <v>1</v>
      </c>
      <c r="T15" s="17">
        <f t="shared" si="7"/>
        <v>2</v>
      </c>
      <c r="U15" s="17">
        <f t="shared" si="7"/>
        <v>1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17</v>
      </c>
      <c r="AD15" s="17">
        <f t="shared" si="7"/>
        <v>0</v>
      </c>
      <c r="AE15" s="31">
        <f t="shared" si="7"/>
        <v>6</v>
      </c>
      <c r="AF15" s="31">
        <f t="shared" si="7"/>
        <v>23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2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3</v>
      </c>
      <c r="P16" s="15">
        <f t="shared" si="1"/>
        <v>6</v>
      </c>
      <c r="R16" s="1" t="s">
        <v>12</v>
      </c>
      <c r="S16" s="17">
        <f t="shared" ref="S16:AF16" si="8">SUM(C34:C37)</f>
        <v>1</v>
      </c>
      <c r="T16" s="17">
        <f t="shared" si="8"/>
        <v>1</v>
      </c>
      <c r="U16" s="17">
        <f t="shared" si="8"/>
        <v>2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12</v>
      </c>
      <c r="AD16" s="17">
        <f t="shared" si="8"/>
        <v>0</v>
      </c>
      <c r="AE16" s="31">
        <f t="shared" si="8"/>
        <v>14</v>
      </c>
      <c r="AF16" s="31">
        <f t="shared" si="8"/>
        <v>26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3</v>
      </c>
      <c r="P17" s="15">
        <f t="shared" si="1"/>
        <v>7</v>
      </c>
      <c r="R17" s="1" t="s">
        <v>13</v>
      </c>
      <c r="S17" s="17">
        <f t="shared" ref="S17:AF17" si="9">SUM(C38:C41)</f>
        <v>3</v>
      </c>
      <c r="T17" s="17">
        <f t="shared" si="9"/>
        <v>0</v>
      </c>
      <c r="U17" s="17">
        <f t="shared" si="9"/>
        <v>1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14</v>
      </c>
      <c r="AD17" s="17">
        <f t="shared" si="9"/>
        <v>0</v>
      </c>
      <c r="AE17" s="31">
        <f t="shared" si="9"/>
        <v>9</v>
      </c>
      <c r="AF17" s="31">
        <f t="shared" si="9"/>
        <v>23</v>
      </c>
    </row>
    <row r="18" spans="2:32" ht="23.1" customHeight="1" x14ac:dyDescent="0.25">
      <c r="B18" s="23" t="s">
        <v>45</v>
      </c>
      <c r="C18" s="50">
        <v>2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3</v>
      </c>
      <c r="P18" s="15">
        <f t="shared" si="1"/>
        <v>6</v>
      </c>
      <c r="R18" s="1" t="s">
        <v>14</v>
      </c>
      <c r="S18" s="17">
        <f t="shared" ref="S18:AF18" si="10">SUM(C42:C45)</f>
        <v>0</v>
      </c>
      <c r="T18" s="17">
        <f t="shared" si="10"/>
        <v>1</v>
      </c>
      <c r="U18" s="17">
        <f t="shared" si="10"/>
        <v>0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3</v>
      </c>
      <c r="AA18" s="17">
        <f t="shared" si="10"/>
        <v>1</v>
      </c>
      <c r="AB18" s="17">
        <f t="shared" si="10"/>
        <v>0</v>
      </c>
      <c r="AC18" s="17">
        <f t="shared" si="10"/>
        <v>22</v>
      </c>
      <c r="AD18" s="17">
        <f t="shared" si="10"/>
        <v>0</v>
      </c>
      <c r="AE18" s="31">
        <f t="shared" si="10"/>
        <v>10</v>
      </c>
      <c r="AF18" s="31">
        <f t="shared" si="10"/>
        <v>32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4</v>
      </c>
      <c r="N19" s="50">
        <v>0</v>
      </c>
      <c r="O19" s="15">
        <f t="shared" si="0"/>
        <v>0</v>
      </c>
      <c r="P19" s="15">
        <f t="shared" si="1"/>
        <v>4</v>
      </c>
      <c r="R19" s="1" t="s">
        <v>15</v>
      </c>
      <c r="S19" s="17">
        <f t="shared" ref="S19:AF19" si="11">SUM(C46:C49)</f>
        <v>1</v>
      </c>
      <c r="T19" s="17">
        <f t="shared" si="11"/>
        <v>0</v>
      </c>
      <c r="U19" s="17">
        <f t="shared" si="11"/>
        <v>0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13</v>
      </c>
      <c r="AD19" s="17">
        <f t="shared" si="11"/>
        <v>0</v>
      </c>
      <c r="AE19" s="31">
        <f t="shared" si="11"/>
        <v>5</v>
      </c>
      <c r="AF19" s="31">
        <f t="shared" si="11"/>
        <v>18</v>
      </c>
    </row>
    <row r="20" spans="2:32" ht="23.1" customHeight="1" x14ac:dyDescent="0.25">
      <c r="B20" s="23" t="s">
        <v>47</v>
      </c>
      <c r="C20" s="50">
        <v>1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3</v>
      </c>
      <c r="P20" s="15">
        <f t="shared" si="1"/>
        <v>8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0</v>
      </c>
      <c r="V20" s="17">
        <f t="shared" si="12"/>
        <v>4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20</v>
      </c>
      <c r="AD20" s="17">
        <f t="shared" si="12"/>
        <v>0</v>
      </c>
      <c r="AE20" s="31">
        <f t="shared" si="12"/>
        <v>8</v>
      </c>
      <c r="AF20" s="31">
        <f t="shared" si="12"/>
        <v>28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1</v>
      </c>
      <c r="P21" s="15">
        <f t="shared" si="1"/>
        <v>6</v>
      </c>
      <c r="R21" s="36" t="s">
        <v>20</v>
      </c>
      <c r="S21" s="34">
        <f t="shared" ref="S21:AF21" si="13">SUM(C54:C57)</f>
        <v>6</v>
      </c>
      <c r="T21" s="17">
        <f t="shared" si="13"/>
        <v>1</v>
      </c>
      <c r="U21" s="17">
        <f t="shared" si="13"/>
        <v>0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15</v>
      </c>
      <c r="AD21" s="17">
        <f t="shared" si="13"/>
        <v>0</v>
      </c>
      <c r="AE21" s="31">
        <f t="shared" si="13"/>
        <v>12</v>
      </c>
      <c r="AF21" s="31">
        <f t="shared" si="13"/>
        <v>27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3</v>
      </c>
      <c r="N22" s="50">
        <v>0</v>
      </c>
      <c r="O22" s="15">
        <f t="shared" si="0"/>
        <v>4</v>
      </c>
      <c r="P22" s="15">
        <f t="shared" si="1"/>
        <v>7</v>
      </c>
      <c r="R22" s="38" t="s">
        <v>90</v>
      </c>
      <c r="S22" s="39">
        <f>MAX(S10:S12)</f>
        <v>3</v>
      </c>
      <c r="T22" s="39">
        <f t="shared" ref="T22:AF22" si="14">MAX(T10:T12)</f>
        <v>3</v>
      </c>
      <c r="U22" s="39">
        <f t="shared" si="14"/>
        <v>6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0</v>
      </c>
      <c r="AA22" s="39">
        <f t="shared" si="14"/>
        <v>1</v>
      </c>
      <c r="AB22" s="39">
        <f t="shared" si="14"/>
        <v>0</v>
      </c>
      <c r="AC22" s="39">
        <f t="shared" si="14"/>
        <v>21</v>
      </c>
      <c r="AD22" s="39">
        <f t="shared" si="14"/>
        <v>0</v>
      </c>
      <c r="AE22" s="40">
        <f t="shared" si="14"/>
        <v>13</v>
      </c>
      <c r="AF22" s="40">
        <f t="shared" si="14"/>
        <v>34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7</v>
      </c>
      <c r="N23" s="50">
        <v>0</v>
      </c>
      <c r="O23" s="15">
        <f t="shared" si="0"/>
        <v>5</v>
      </c>
      <c r="P23" s="15">
        <f t="shared" si="1"/>
        <v>12</v>
      </c>
      <c r="R23" s="38" t="s">
        <v>91</v>
      </c>
      <c r="S23" s="39">
        <f>MAX(S13:S18)</f>
        <v>5</v>
      </c>
      <c r="T23" s="39">
        <f t="shared" ref="T23:AF23" si="15">MAX(T13:T18)</f>
        <v>2</v>
      </c>
      <c r="U23" s="39">
        <f t="shared" si="15"/>
        <v>2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3</v>
      </c>
      <c r="AA23" s="39">
        <f t="shared" si="15"/>
        <v>1</v>
      </c>
      <c r="AB23" s="39">
        <f t="shared" si="15"/>
        <v>0</v>
      </c>
      <c r="AC23" s="39">
        <f t="shared" si="15"/>
        <v>24</v>
      </c>
      <c r="AD23" s="39">
        <f t="shared" si="15"/>
        <v>0</v>
      </c>
      <c r="AE23" s="40">
        <f t="shared" si="15"/>
        <v>14</v>
      </c>
      <c r="AF23" s="40">
        <f t="shared" si="15"/>
        <v>37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1</v>
      </c>
      <c r="P24" s="15">
        <f t="shared" si="1"/>
        <v>8</v>
      </c>
      <c r="R24" s="38" t="s">
        <v>92</v>
      </c>
      <c r="S24" s="39">
        <f>MAX(S19:S21)</f>
        <v>6</v>
      </c>
      <c r="T24" s="39">
        <f t="shared" ref="T24:AF24" si="16">MAX(T19:T21)</f>
        <v>1</v>
      </c>
      <c r="U24" s="39">
        <f t="shared" si="16"/>
        <v>0</v>
      </c>
      <c r="V24" s="39">
        <f t="shared" si="16"/>
        <v>4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20</v>
      </c>
      <c r="AD24" s="39">
        <f t="shared" si="16"/>
        <v>0</v>
      </c>
      <c r="AE24" s="40">
        <f t="shared" si="16"/>
        <v>12</v>
      </c>
      <c r="AF24" s="40">
        <f t="shared" si="16"/>
        <v>28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7</v>
      </c>
      <c r="N25" s="50">
        <v>0</v>
      </c>
      <c r="O25" s="15">
        <f t="shared" si="0"/>
        <v>3</v>
      </c>
      <c r="P25" s="15">
        <f t="shared" si="1"/>
        <v>10</v>
      </c>
      <c r="R25" s="37" t="s">
        <v>85</v>
      </c>
      <c r="S25" s="35">
        <f t="shared" ref="S25:AF25" si="17">SUM(S10:S12)</f>
        <v>4</v>
      </c>
      <c r="T25" s="16">
        <f t="shared" si="17"/>
        <v>6</v>
      </c>
      <c r="U25" s="16">
        <f t="shared" si="17"/>
        <v>6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8</v>
      </c>
      <c r="Z25" s="16">
        <f t="shared" si="17"/>
        <v>0</v>
      </c>
      <c r="AA25" s="16">
        <f t="shared" si="17"/>
        <v>1</v>
      </c>
      <c r="AB25" s="16">
        <f t="shared" si="17"/>
        <v>0</v>
      </c>
      <c r="AC25" s="16">
        <f t="shared" si="17"/>
        <v>53</v>
      </c>
      <c r="AD25" s="16">
        <f t="shared" si="17"/>
        <v>0</v>
      </c>
      <c r="AE25" s="32">
        <f t="shared" si="17"/>
        <v>25</v>
      </c>
      <c r="AF25" s="32">
        <f t="shared" si="17"/>
        <v>78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4</v>
      </c>
      <c r="N26" s="50">
        <v>0</v>
      </c>
      <c r="O26" s="15">
        <f t="shared" si="0"/>
        <v>4</v>
      </c>
      <c r="P26" s="15">
        <f t="shared" si="1"/>
        <v>8</v>
      </c>
      <c r="R26" s="28" t="s">
        <v>86</v>
      </c>
      <c r="S26" s="16">
        <f t="shared" ref="S26:AF26" si="18">SUM(S13:S18)</f>
        <v>11</v>
      </c>
      <c r="T26" s="16">
        <f t="shared" si="18"/>
        <v>4</v>
      </c>
      <c r="U26" s="16">
        <f t="shared" si="18"/>
        <v>8</v>
      </c>
      <c r="V26" s="16">
        <f t="shared" si="18"/>
        <v>12</v>
      </c>
      <c r="W26" s="16">
        <f t="shared" si="18"/>
        <v>0</v>
      </c>
      <c r="X26" s="16">
        <f t="shared" si="18"/>
        <v>0</v>
      </c>
      <c r="Y26" s="16">
        <f t="shared" si="18"/>
        <v>20</v>
      </c>
      <c r="Z26" s="16">
        <f t="shared" si="18"/>
        <v>7</v>
      </c>
      <c r="AA26" s="16">
        <f t="shared" si="18"/>
        <v>1</v>
      </c>
      <c r="AB26" s="16">
        <f t="shared" si="18"/>
        <v>0</v>
      </c>
      <c r="AC26" s="16">
        <f t="shared" si="18"/>
        <v>110</v>
      </c>
      <c r="AD26" s="16">
        <f t="shared" si="18"/>
        <v>0</v>
      </c>
      <c r="AE26" s="32">
        <f t="shared" si="18"/>
        <v>63</v>
      </c>
      <c r="AF26" s="32">
        <f t="shared" si="18"/>
        <v>173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2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4</v>
      </c>
      <c r="P27" s="15">
        <f t="shared" si="1"/>
        <v>9</v>
      </c>
      <c r="R27" s="29" t="s">
        <v>87</v>
      </c>
      <c r="S27" s="16">
        <f t="shared" ref="S27:AF27" si="19">SUM(S19:S21)</f>
        <v>7</v>
      </c>
      <c r="T27" s="16">
        <f t="shared" si="19"/>
        <v>1</v>
      </c>
      <c r="U27" s="16">
        <f t="shared" si="19"/>
        <v>0</v>
      </c>
      <c r="V27" s="16">
        <f t="shared" si="19"/>
        <v>9</v>
      </c>
      <c r="W27" s="16">
        <f t="shared" si="19"/>
        <v>0</v>
      </c>
      <c r="X27" s="16">
        <f t="shared" si="19"/>
        <v>0</v>
      </c>
      <c r="Y27" s="16">
        <f t="shared" si="19"/>
        <v>5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48</v>
      </c>
      <c r="AD27" s="16">
        <f t="shared" si="19"/>
        <v>0</v>
      </c>
      <c r="AE27" s="32">
        <f t="shared" si="19"/>
        <v>25</v>
      </c>
      <c r="AF27" s="32">
        <f t="shared" si="19"/>
        <v>73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0</v>
      </c>
      <c r="P28" s="15">
        <f t="shared" si="1"/>
        <v>6</v>
      </c>
      <c r="R28" s="5" t="s">
        <v>17</v>
      </c>
      <c r="S28" s="16">
        <f t="shared" ref="S28:AF28" si="20">SUM(S10:S21)</f>
        <v>22</v>
      </c>
      <c r="T28" s="16">
        <f t="shared" si="20"/>
        <v>11</v>
      </c>
      <c r="U28" s="16">
        <f t="shared" si="20"/>
        <v>14</v>
      </c>
      <c r="V28" s="16">
        <f t="shared" si="20"/>
        <v>21</v>
      </c>
      <c r="W28" s="16">
        <f t="shared" si="20"/>
        <v>0</v>
      </c>
      <c r="X28" s="16">
        <f t="shared" si="20"/>
        <v>0</v>
      </c>
      <c r="Y28" s="16">
        <f t="shared" si="20"/>
        <v>33</v>
      </c>
      <c r="Z28" s="16">
        <f t="shared" si="20"/>
        <v>10</v>
      </c>
      <c r="AA28" s="16">
        <f t="shared" si="20"/>
        <v>2</v>
      </c>
      <c r="AB28" s="16">
        <f t="shared" si="20"/>
        <v>0</v>
      </c>
      <c r="AC28" s="16">
        <f t="shared" si="20"/>
        <v>211</v>
      </c>
      <c r="AD28" s="16">
        <f t="shared" si="20"/>
        <v>0</v>
      </c>
      <c r="AE28" s="32">
        <f t="shared" si="20"/>
        <v>113</v>
      </c>
      <c r="AF28" s="32">
        <f t="shared" si="20"/>
        <v>324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6</v>
      </c>
      <c r="N29" s="50">
        <v>0</v>
      </c>
      <c r="O29" s="15">
        <f t="shared" si="0"/>
        <v>3</v>
      </c>
      <c r="P29" s="15">
        <f t="shared" si="1"/>
        <v>9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2</v>
      </c>
      <c r="P30" s="15">
        <f t="shared" si="1"/>
        <v>4</v>
      </c>
    </row>
    <row r="31" spans="2:32" ht="23.1" customHeight="1" x14ac:dyDescent="0.25">
      <c r="B31" s="24" t="s">
        <v>58</v>
      </c>
      <c r="C31" s="50">
        <v>0</v>
      </c>
      <c r="D31" s="50">
        <v>2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4</v>
      </c>
      <c r="N31" s="50">
        <v>0</v>
      </c>
      <c r="O31" s="15">
        <f t="shared" si="0"/>
        <v>2</v>
      </c>
      <c r="P31" s="15">
        <f t="shared" si="1"/>
        <v>6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5</v>
      </c>
      <c r="N32" s="50">
        <v>0</v>
      </c>
      <c r="O32" s="15">
        <f t="shared" si="0"/>
        <v>1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6</v>
      </c>
      <c r="N33" s="50">
        <v>0</v>
      </c>
      <c r="O33" s="15">
        <f t="shared" si="0"/>
        <v>1</v>
      </c>
      <c r="P33" s="15">
        <f t="shared" si="1"/>
        <v>7</v>
      </c>
    </row>
    <row r="34" spans="2:20" ht="23.1" customHeight="1" x14ac:dyDescent="0.25">
      <c r="B34" s="24" t="s">
        <v>61</v>
      </c>
      <c r="C34" s="50">
        <v>1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7</v>
      </c>
      <c r="N34" s="50">
        <v>0</v>
      </c>
      <c r="O34" s="15">
        <f t="shared" si="0"/>
        <v>5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2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3</v>
      </c>
      <c r="P35" s="15">
        <f t="shared" si="1"/>
        <v>5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2</v>
      </c>
      <c r="P36" s="15">
        <f t="shared" si="1"/>
        <v>5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4</v>
      </c>
      <c r="P37" s="15">
        <f t="shared" si="1"/>
        <v>4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2</v>
      </c>
      <c r="P38" s="15">
        <f t="shared" si="1"/>
        <v>5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1</v>
      </c>
      <c r="P39" s="15">
        <f t="shared" si="1"/>
        <v>5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5</v>
      </c>
      <c r="N40" s="50">
        <v>0</v>
      </c>
      <c r="O40" s="15">
        <f t="shared" si="0"/>
        <v>1</v>
      </c>
      <c r="P40" s="15">
        <f t="shared" si="1"/>
        <v>6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2</v>
      </c>
      <c r="N41" s="50">
        <v>0</v>
      </c>
      <c r="O41" s="15">
        <f t="shared" si="0"/>
        <v>5</v>
      </c>
      <c r="P41" s="15">
        <f t="shared" si="1"/>
        <v>7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1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</v>
      </c>
      <c r="N43" s="50">
        <v>0</v>
      </c>
      <c r="O43" s="15">
        <f t="shared" si="0"/>
        <v>0</v>
      </c>
      <c r="P43" s="15">
        <f t="shared" si="1"/>
        <v>2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3</v>
      </c>
      <c r="K44" s="50">
        <v>0</v>
      </c>
      <c r="L44" s="50">
        <v>0</v>
      </c>
      <c r="M44" s="50">
        <v>7</v>
      </c>
      <c r="N44" s="50">
        <v>0</v>
      </c>
      <c r="O44" s="15">
        <f t="shared" si="0"/>
        <v>5</v>
      </c>
      <c r="P44" s="15">
        <f t="shared" si="1"/>
        <v>12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2</v>
      </c>
      <c r="J45" s="50">
        <v>0</v>
      </c>
      <c r="K45" s="50">
        <v>1</v>
      </c>
      <c r="L45" s="50">
        <v>0</v>
      </c>
      <c r="M45" s="50">
        <v>5</v>
      </c>
      <c r="N45" s="50">
        <v>0</v>
      </c>
      <c r="O45" s="15">
        <f t="shared" si="0"/>
        <v>4</v>
      </c>
      <c r="P45" s="15">
        <f t="shared" si="1"/>
        <v>9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3</v>
      </c>
      <c r="P46" s="15">
        <f t="shared" si="1"/>
        <v>6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3</v>
      </c>
      <c r="N47" s="50">
        <v>0</v>
      </c>
      <c r="O47" s="15">
        <f t="shared" si="0"/>
        <v>0</v>
      </c>
      <c r="P47" s="15">
        <f t="shared" si="1"/>
        <v>3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</v>
      </c>
      <c r="N48" s="50">
        <v>0</v>
      </c>
      <c r="O48" s="15">
        <f t="shared" si="0"/>
        <v>1</v>
      </c>
      <c r="P48" s="15">
        <f t="shared" si="1"/>
        <v>3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5</v>
      </c>
      <c r="N49" s="50">
        <v>0</v>
      </c>
      <c r="O49" s="15">
        <f t="shared" si="0"/>
        <v>1</v>
      </c>
      <c r="P49" s="15">
        <f t="shared" si="1"/>
        <v>6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2</v>
      </c>
      <c r="K50" s="50">
        <v>0</v>
      </c>
      <c r="L50" s="50">
        <v>0</v>
      </c>
      <c r="M50" s="50">
        <v>5</v>
      </c>
      <c r="N50" s="50">
        <v>0</v>
      </c>
      <c r="O50" s="15">
        <f t="shared" si="0"/>
        <v>3</v>
      </c>
      <c r="P50" s="15">
        <f t="shared" si="1"/>
        <v>8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</v>
      </c>
      <c r="N51" s="50">
        <v>0</v>
      </c>
      <c r="O51" s="15">
        <f t="shared" si="0"/>
        <v>1</v>
      </c>
      <c r="P51" s="15">
        <f t="shared" si="1"/>
        <v>4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0</v>
      </c>
      <c r="P52" s="15">
        <f t="shared" si="1"/>
        <v>8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4</v>
      </c>
      <c r="N53" s="50">
        <v>0</v>
      </c>
      <c r="O53" s="15">
        <f t="shared" si="0"/>
        <v>4</v>
      </c>
      <c r="P53" s="15">
        <f t="shared" si="1"/>
        <v>8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</v>
      </c>
      <c r="N54" s="50">
        <v>0</v>
      </c>
      <c r="O54" s="15">
        <f t="shared" si="0"/>
        <v>1</v>
      </c>
      <c r="P54" s="15">
        <f t="shared" si="1"/>
        <v>3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4</v>
      </c>
      <c r="N55" s="50">
        <v>0</v>
      </c>
      <c r="O55" s="15">
        <f t="shared" si="0"/>
        <v>8</v>
      </c>
      <c r="P55" s="15">
        <f t="shared" si="1"/>
        <v>12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1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5</v>
      </c>
      <c r="N56" s="50">
        <v>0</v>
      </c>
      <c r="O56" s="15">
        <f t="shared" si="0"/>
        <v>3</v>
      </c>
      <c r="P56" s="15">
        <f t="shared" si="1"/>
        <v>8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0</v>
      </c>
      <c r="P57" s="15">
        <f t="shared" si="1"/>
        <v>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</v>
      </c>
      <c r="D58" s="16">
        <f t="shared" si="21"/>
        <v>11</v>
      </c>
      <c r="E58" s="16">
        <f t="shared" si="21"/>
        <v>14</v>
      </c>
      <c r="F58" s="16">
        <f t="shared" si="21"/>
        <v>21</v>
      </c>
      <c r="G58" s="16">
        <f t="shared" si="21"/>
        <v>0</v>
      </c>
      <c r="H58" s="16">
        <f t="shared" si="21"/>
        <v>0</v>
      </c>
      <c r="I58" s="16">
        <f t="shared" si="21"/>
        <v>33</v>
      </c>
      <c r="J58" s="16">
        <f t="shared" si="21"/>
        <v>10</v>
      </c>
      <c r="K58" s="16">
        <f t="shared" si="21"/>
        <v>2</v>
      </c>
      <c r="L58" s="16">
        <f t="shared" si="21"/>
        <v>0</v>
      </c>
      <c r="M58" s="16">
        <f t="shared" si="21"/>
        <v>211</v>
      </c>
      <c r="N58" s="16">
        <f t="shared" si="21"/>
        <v>0</v>
      </c>
      <c r="O58" s="16">
        <f t="shared" si="21"/>
        <v>113</v>
      </c>
      <c r="P58" s="16">
        <f t="shared" si="21"/>
        <v>324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6.7901234567901231E-2</v>
      </c>
      <c r="D59" s="43">
        <f t="shared" si="22"/>
        <v>3.3950617283950615E-2</v>
      </c>
      <c r="E59" s="43">
        <f t="shared" si="22"/>
        <v>4.3209876543209874E-2</v>
      </c>
      <c r="F59" s="43">
        <f t="shared" si="22"/>
        <v>6.4814814814814811E-2</v>
      </c>
      <c r="G59" s="43">
        <f t="shared" si="22"/>
        <v>0</v>
      </c>
      <c r="H59" s="43">
        <f t="shared" si="22"/>
        <v>0</v>
      </c>
      <c r="I59" s="43">
        <f t="shared" si="22"/>
        <v>0.10185185185185185</v>
      </c>
      <c r="J59" s="43">
        <f t="shared" si="22"/>
        <v>3.0864197530864196E-2</v>
      </c>
      <c r="K59" s="43">
        <f t="shared" si="22"/>
        <v>6.1728395061728392E-3</v>
      </c>
      <c r="L59" s="43">
        <f t="shared" si="22"/>
        <v>0</v>
      </c>
      <c r="M59" s="43">
        <f t="shared" si="22"/>
        <v>0.65123456790123457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0.19469026548672566</v>
      </c>
      <c r="D60" s="44">
        <f t="shared" ref="D60:N60" si="23">D58/$O$58</f>
        <v>9.7345132743362831E-2</v>
      </c>
      <c r="E60" s="44">
        <f t="shared" si="23"/>
        <v>0.12389380530973451</v>
      </c>
      <c r="F60" s="44">
        <f t="shared" si="23"/>
        <v>0.18584070796460178</v>
      </c>
      <c r="G60" s="44">
        <f t="shared" si="23"/>
        <v>0</v>
      </c>
      <c r="H60" s="44">
        <f t="shared" si="23"/>
        <v>0</v>
      </c>
      <c r="I60" s="44">
        <f t="shared" si="23"/>
        <v>0.29203539823008851</v>
      </c>
      <c r="J60" s="44">
        <f t="shared" si="23"/>
        <v>8.8495575221238937E-2</v>
      </c>
      <c r="K60" s="44">
        <f t="shared" si="23"/>
        <v>1.7699115044247787E-2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26"/>
  <sheetViews>
    <sheetView view="pageBreakPreview" zoomScale="70" zoomScaleSheetLayoutView="7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'17.10 NGOMA-KAPEEKA'!C3:G3</f>
        <v>KAPEEKA -NGOMA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'20.10 KAPEEKA-NGOMA'!D5</f>
        <v>20.10.2019</v>
      </c>
      <c r="E5" s="3"/>
      <c r="F5" s="41" t="s">
        <v>1</v>
      </c>
      <c r="G5" s="56" t="str">
        <f>'17.10 KAPEEKA-NGOMA'!G5:H5</f>
        <v>BUTALANGU</v>
      </c>
      <c r="H5" s="57"/>
      <c r="I5" s="14"/>
      <c r="J5" s="2" t="s">
        <v>5</v>
      </c>
      <c r="K5" s="56" t="s">
        <v>168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'17.10 NGOMA-KAPEEKA'!D6:E6</f>
        <v>NGOMA</v>
      </c>
      <c r="E6" s="57"/>
      <c r="F6" s="2" t="s">
        <v>2</v>
      </c>
      <c r="G6" s="56" t="str">
        <f>'17.10 NGOMA-KAPEEKA'!G6:H6</f>
        <v>KAPEEKA</v>
      </c>
      <c r="H6" s="57"/>
      <c r="J6" s="2" t="s">
        <v>21</v>
      </c>
      <c r="K6" s="56" t="str">
        <f>'17.10 KAPEEKA-NGOMA'!K6:L6</f>
        <v>MIREMBE RUTH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14</v>
      </c>
      <c r="AD10" s="17">
        <f t="shared" si="2"/>
        <v>0</v>
      </c>
      <c r="AE10" s="31">
        <f t="shared" si="2"/>
        <v>3</v>
      </c>
      <c r="AF10" s="31">
        <f t="shared" si="2"/>
        <v>17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1</v>
      </c>
      <c r="P11" s="15">
        <f t="shared" si="1"/>
        <v>3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17</v>
      </c>
      <c r="AD11" s="17">
        <f t="shared" si="3"/>
        <v>0</v>
      </c>
      <c r="AE11" s="31">
        <f t="shared" si="3"/>
        <v>3</v>
      </c>
      <c r="AF11" s="31">
        <f t="shared" si="3"/>
        <v>20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0</v>
      </c>
      <c r="P12" s="15">
        <f t="shared" si="1"/>
        <v>5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0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7</v>
      </c>
      <c r="AD12" s="17">
        <f t="shared" si="4"/>
        <v>0</v>
      </c>
      <c r="AE12" s="31">
        <f t="shared" si="4"/>
        <v>7</v>
      </c>
      <c r="AF12" s="31">
        <f t="shared" si="4"/>
        <v>14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1</v>
      </c>
      <c r="P13" s="15">
        <f t="shared" si="1"/>
        <v>5</v>
      </c>
      <c r="R13" s="1" t="s">
        <v>9</v>
      </c>
      <c r="S13" s="17">
        <f t="shared" ref="S13:AF13" si="5">SUM(C22:C25)</f>
        <v>4</v>
      </c>
      <c r="T13" s="17">
        <f t="shared" si="5"/>
        <v>1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27</v>
      </c>
      <c r="AD13" s="17">
        <f t="shared" si="5"/>
        <v>0</v>
      </c>
      <c r="AE13" s="31">
        <f t="shared" si="5"/>
        <v>9</v>
      </c>
      <c r="AF13" s="31">
        <f t="shared" si="5"/>
        <v>36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0</v>
      </c>
      <c r="P14" s="15">
        <f t="shared" si="1"/>
        <v>3</v>
      </c>
      <c r="R14" s="1" t="s">
        <v>10</v>
      </c>
      <c r="S14" s="17">
        <f t="shared" ref="S14:AF14" si="6">SUM(C26:C29)</f>
        <v>1</v>
      </c>
      <c r="T14" s="17">
        <f t="shared" si="6"/>
        <v>2</v>
      </c>
      <c r="U14" s="17">
        <f t="shared" si="6"/>
        <v>1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15</v>
      </c>
      <c r="AD14" s="17">
        <f t="shared" si="6"/>
        <v>0</v>
      </c>
      <c r="AE14" s="31">
        <f t="shared" si="6"/>
        <v>7</v>
      </c>
      <c r="AF14" s="31">
        <f t="shared" si="6"/>
        <v>22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1</v>
      </c>
      <c r="P15" s="15">
        <f t="shared" si="1"/>
        <v>8</v>
      </c>
      <c r="R15" s="1" t="s">
        <v>11</v>
      </c>
      <c r="S15" s="17">
        <f t="shared" ref="S15:AF15" si="7">SUM(C30:C33)</f>
        <v>4</v>
      </c>
      <c r="T15" s="17">
        <f t="shared" si="7"/>
        <v>1</v>
      </c>
      <c r="U15" s="17">
        <f t="shared" si="7"/>
        <v>1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20</v>
      </c>
      <c r="AD15" s="17">
        <f t="shared" si="7"/>
        <v>0</v>
      </c>
      <c r="AE15" s="31">
        <f t="shared" si="7"/>
        <v>10</v>
      </c>
      <c r="AF15" s="31">
        <f t="shared" si="7"/>
        <v>30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1</v>
      </c>
      <c r="P16" s="15">
        <f t="shared" si="1"/>
        <v>4</v>
      </c>
      <c r="R16" s="1" t="s">
        <v>12</v>
      </c>
      <c r="S16" s="17">
        <f t="shared" ref="S16:AF16" si="8">SUM(C34:C37)</f>
        <v>2</v>
      </c>
      <c r="T16" s="17">
        <f t="shared" si="8"/>
        <v>0</v>
      </c>
      <c r="U16" s="17">
        <f t="shared" si="8"/>
        <v>0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21</v>
      </c>
      <c r="AD16" s="17">
        <f t="shared" si="8"/>
        <v>0</v>
      </c>
      <c r="AE16" s="31">
        <f t="shared" si="8"/>
        <v>7</v>
      </c>
      <c r="AF16" s="31">
        <f t="shared" si="8"/>
        <v>28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1</v>
      </c>
      <c r="P17" s="15">
        <f t="shared" si="1"/>
        <v>5</v>
      </c>
      <c r="R17" s="1" t="s">
        <v>13</v>
      </c>
      <c r="S17" s="17">
        <f t="shared" ref="S17:AF17" si="9">SUM(C38:C41)</f>
        <v>3</v>
      </c>
      <c r="T17" s="17">
        <f t="shared" si="9"/>
        <v>2</v>
      </c>
      <c r="U17" s="17">
        <f t="shared" si="9"/>
        <v>3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21</v>
      </c>
      <c r="AD17" s="17">
        <f t="shared" si="9"/>
        <v>0</v>
      </c>
      <c r="AE17" s="31">
        <f t="shared" si="9"/>
        <v>14</v>
      </c>
      <c r="AF17" s="31">
        <f t="shared" si="9"/>
        <v>35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2</v>
      </c>
      <c r="P18" s="15">
        <f t="shared" si="1"/>
        <v>4</v>
      </c>
      <c r="R18" s="1" t="s">
        <v>14</v>
      </c>
      <c r="S18" s="17">
        <f t="shared" ref="S18:AF18" si="10">SUM(C42:C45)</f>
        <v>2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23</v>
      </c>
      <c r="AD18" s="17">
        <f t="shared" si="10"/>
        <v>0</v>
      </c>
      <c r="AE18" s="31">
        <f t="shared" si="10"/>
        <v>8</v>
      </c>
      <c r="AF18" s="31">
        <f t="shared" si="10"/>
        <v>31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2</v>
      </c>
      <c r="P19" s="15">
        <f t="shared" si="1"/>
        <v>3</v>
      </c>
      <c r="R19" s="1" t="s">
        <v>15</v>
      </c>
      <c r="S19" s="17">
        <f t="shared" ref="S19:AF19" si="11">SUM(C46:C49)</f>
        <v>0</v>
      </c>
      <c r="T19" s="17">
        <f t="shared" si="11"/>
        <v>3</v>
      </c>
      <c r="U19" s="17">
        <f t="shared" si="11"/>
        <v>0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25</v>
      </c>
      <c r="AD19" s="17">
        <f t="shared" si="11"/>
        <v>0</v>
      </c>
      <c r="AE19" s="31">
        <f t="shared" si="11"/>
        <v>13</v>
      </c>
      <c r="AF19" s="31">
        <f t="shared" si="11"/>
        <v>38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2</v>
      </c>
      <c r="P20" s="15">
        <f t="shared" si="1"/>
        <v>3</v>
      </c>
      <c r="R20" s="1" t="s">
        <v>16</v>
      </c>
      <c r="S20" s="17">
        <f t="shared" ref="S20:AF20" si="12">SUM(C50:C53)</f>
        <v>3</v>
      </c>
      <c r="T20" s="17">
        <f t="shared" si="12"/>
        <v>1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19</v>
      </c>
      <c r="AD20" s="17">
        <f t="shared" si="12"/>
        <v>0</v>
      </c>
      <c r="AE20" s="31">
        <f t="shared" si="12"/>
        <v>12</v>
      </c>
      <c r="AF20" s="31">
        <f t="shared" si="12"/>
        <v>31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1</v>
      </c>
      <c r="P21" s="15">
        <f t="shared" si="1"/>
        <v>4</v>
      </c>
      <c r="R21" s="36" t="s">
        <v>20</v>
      </c>
      <c r="S21" s="34">
        <f t="shared" ref="S21:AF21" si="13">SUM(C54:C57)</f>
        <v>1</v>
      </c>
      <c r="T21" s="17">
        <f t="shared" si="13"/>
        <v>10</v>
      </c>
      <c r="U21" s="17">
        <f t="shared" si="13"/>
        <v>2</v>
      </c>
      <c r="V21" s="17">
        <f t="shared" si="13"/>
        <v>0</v>
      </c>
      <c r="W21" s="17">
        <f t="shared" si="13"/>
        <v>2</v>
      </c>
      <c r="X21" s="17">
        <f t="shared" si="13"/>
        <v>2</v>
      </c>
      <c r="Y21" s="17">
        <f t="shared" si="13"/>
        <v>3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27</v>
      </c>
      <c r="AD21" s="17">
        <f t="shared" si="13"/>
        <v>0</v>
      </c>
      <c r="AE21" s="31">
        <f t="shared" si="13"/>
        <v>24</v>
      </c>
      <c r="AF21" s="31">
        <f t="shared" si="13"/>
        <v>51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3</v>
      </c>
      <c r="N22" s="50">
        <v>0</v>
      </c>
      <c r="O22" s="15">
        <f t="shared" si="0"/>
        <v>1</v>
      </c>
      <c r="P22" s="15">
        <f t="shared" si="1"/>
        <v>4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0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17</v>
      </c>
      <c r="AD22" s="39">
        <f t="shared" si="14"/>
        <v>0</v>
      </c>
      <c r="AE22" s="40">
        <f t="shared" si="14"/>
        <v>7</v>
      </c>
      <c r="AF22" s="40">
        <f t="shared" si="14"/>
        <v>20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4</v>
      </c>
      <c r="P23" s="15">
        <f t="shared" si="1"/>
        <v>7</v>
      </c>
      <c r="R23" s="38" t="s">
        <v>91</v>
      </c>
      <c r="S23" s="39">
        <f>MAX(S13:S18)</f>
        <v>4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27</v>
      </c>
      <c r="AD23" s="39">
        <f t="shared" si="15"/>
        <v>0</v>
      </c>
      <c r="AE23" s="40">
        <f t="shared" si="15"/>
        <v>14</v>
      </c>
      <c r="AF23" s="40">
        <f t="shared" si="15"/>
        <v>36</v>
      </c>
    </row>
    <row r="24" spans="2:32" ht="23.1" customHeight="1" x14ac:dyDescent="0.25">
      <c r="B24" s="23" t="s">
        <v>51</v>
      </c>
      <c r="C24" s="50">
        <v>1</v>
      </c>
      <c r="D24" s="50">
        <v>1</v>
      </c>
      <c r="E24" s="50">
        <v>0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9</v>
      </c>
      <c r="N24" s="50">
        <v>0</v>
      </c>
      <c r="O24" s="15">
        <f t="shared" si="0"/>
        <v>4</v>
      </c>
      <c r="P24" s="15">
        <f t="shared" si="1"/>
        <v>13</v>
      </c>
      <c r="R24" s="38" t="s">
        <v>92</v>
      </c>
      <c r="S24" s="39">
        <f>MAX(S19:S21)</f>
        <v>3</v>
      </c>
      <c r="T24" s="39">
        <f t="shared" ref="T24:AF24" si="16">MAX(T19:T21)</f>
        <v>10</v>
      </c>
      <c r="U24" s="39">
        <f t="shared" si="16"/>
        <v>2</v>
      </c>
      <c r="V24" s="39">
        <f t="shared" si="16"/>
        <v>3</v>
      </c>
      <c r="W24" s="39">
        <f t="shared" si="16"/>
        <v>2</v>
      </c>
      <c r="X24" s="39">
        <f t="shared" si="16"/>
        <v>2</v>
      </c>
      <c r="Y24" s="39">
        <f t="shared" si="16"/>
        <v>7</v>
      </c>
      <c r="Z24" s="39">
        <f t="shared" si="16"/>
        <v>4</v>
      </c>
      <c r="AA24" s="39">
        <f t="shared" si="16"/>
        <v>0</v>
      </c>
      <c r="AB24" s="39">
        <f t="shared" si="16"/>
        <v>0</v>
      </c>
      <c r="AC24" s="39">
        <f t="shared" si="16"/>
        <v>27</v>
      </c>
      <c r="AD24" s="39">
        <f t="shared" si="16"/>
        <v>0</v>
      </c>
      <c r="AE24" s="40">
        <f t="shared" si="16"/>
        <v>24</v>
      </c>
      <c r="AF24" s="40">
        <f t="shared" si="16"/>
        <v>51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12</v>
      </c>
      <c r="N25" s="50">
        <v>0</v>
      </c>
      <c r="O25" s="15">
        <f t="shared" si="0"/>
        <v>0</v>
      </c>
      <c r="P25" s="15">
        <f t="shared" si="1"/>
        <v>12</v>
      </c>
      <c r="R25" s="37" t="s">
        <v>85</v>
      </c>
      <c r="S25" s="35">
        <f t="shared" ref="S25:AF25" si="17">SUM(S10:S12)</f>
        <v>3</v>
      </c>
      <c r="T25" s="16">
        <f t="shared" si="17"/>
        <v>0</v>
      </c>
      <c r="U25" s="16">
        <f t="shared" si="17"/>
        <v>0</v>
      </c>
      <c r="V25" s="16">
        <f t="shared" si="17"/>
        <v>6</v>
      </c>
      <c r="W25" s="16">
        <f t="shared" si="17"/>
        <v>0</v>
      </c>
      <c r="X25" s="16">
        <f t="shared" si="17"/>
        <v>0</v>
      </c>
      <c r="Y25" s="16">
        <f t="shared" si="17"/>
        <v>4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38</v>
      </c>
      <c r="AD25" s="16">
        <f t="shared" si="17"/>
        <v>0</v>
      </c>
      <c r="AE25" s="32">
        <f t="shared" si="17"/>
        <v>13</v>
      </c>
      <c r="AF25" s="32">
        <f t="shared" si="17"/>
        <v>51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4</v>
      </c>
      <c r="N26" s="50">
        <v>0</v>
      </c>
      <c r="O26" s="15">
        <f t="shared" si="0"/>
        <v>2</v>
      </c>
      <c r="P26" s="15">
        <f t="shared" si="1"/>
        <v>6</v>
      </c>
      <c r="R26" s="28" t="s">
        <v>86</v>
      </c>
      <c r="S26" s="16">
        <f t="shared" ref="S26:AF26" si="18">SUM(S13:S18)</f>
        <v>16</v>
      </c>
      <c r="T26" s="16">
        <f t="shared" si="18"/>
        <v>7</v>
      </c>
      <c r="U26" s="16">
        <f t="shared" si="18"/>
        <v>5</v>
      </c>
      <c r="V26" s="16">
        <f t="shared" si="18"/>
        <v>9</v>
      </c>
      <c r="W26" s="16">
        <f t="shared" si="18"/>
        <v>0</v>
      </c>
      <c r="X26" s="16">
        <f t="shared" si="18"/>
        <v>0</v>
      </c>
      <c r="Y26" s="16">
        <f t="shared" si="18"/>
        <v>12</v>
      </c>
      <c r="Z26" s="16">
        <f t="shared" si="18"/>
        <v>5</v>
      </c>
      <c r="AA26" s="16">
        <f t="shared" si="18"/>
        <v>1</v>
      </c>
      <c r="AB26" s="16">
        <f t="shared" si="18"/>
        <v>0</v>
      </c>
      <c r="AC26" s="16">
        <f t="shared" si="18"/>
        <v>127</v>
      </c>
      <c r="AD26" s="16">
        <f t="shared" si="18"/>
        <v>0</v>
      </c>
      <c r="AE26" s="32">
        <f t="shared" si="18"/>
        <v>55</v>
      </c>
      <c r="AF26" s="32">
        <f t="shared" si="18"/>
        <v>182</v>
      </c>
    </row>
    <row r="27" spans="2:32" ht="23.1" customHeight="1" x14ac:dyDescent="0.25">
      <c r="B27" s="23" t="s">
        <v>54</v>
      </c>
      <c r="C27" s="50">
        <v>0</v>
      </c>
      <c r="D27" s="50">
        <v>1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2</v>
      </c>
      <c r="P27" s="15">
        <f t="shared" si="1"/>
        <v>7</v>
      </c>
      <c r="R27" s="29" t="s">
        <v>87</v>
      </c>
      <c r="S27" s="16">
        <f t="shared" ref="S27:AF27" si="19">SUM(S19:S21)</f>
        <v>4</v>
      </c>
      <c r="T27" s="16">
        <f t="shared" si="19"/>
        <v>14</v>
      </c>
      <c r="U27" s="16">
        <f t="shared" si="19"/>
        <v>2</v>
      </c>
      <c r="V27" s="16">
        <f t="shared" si="19"/>
        <v>3</v>
      </c>
      <c r="W27" s="16">
        <f t="shared" si="19"/>
        <v>2</v>
      </c>
      <c r="X27" s="16">
        <f t="shared" si="19"/>
        <v>2</v>
      </c>
      <c r="Y27" s="16">
        <f t="shared" si="19"/>
        <v>16</v>
      </c>
      <c r="Z27" s="16">
        <f t="shared" si="19"/>
        <v>6</v>
      </c>
      <c r="AA27" s="16">
        <f t="shared" si="19"/>
        <v>0</v>
      </c>
      <c r="AB27" s="16">
        <f t="shared" si="19"/>
        <v>0</v>
      </c>
      <c r="AC27" s="16">
        <f t="shared" si="19"/>
        <v>71</v>
      </c>
      <c r="AD27" s="16">
        <f t="shared" si="19"/>
        <v>0</v>
      </c>
      <c r="AE27" s="32">
        <f t="shared" si="19"/>
        <v>49</v>
      </c>
      <c r="AF27" s="32">
        <f t="shared" si="19"/>
        <v>120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3</v>
      </c>
      <c r="N28" s="50">
        <v>0</v>
      </c>
      <c r="O28" s="15">
        <f t="shared" si="0"/>
        <v>1</v>
      </c>
      <c r="P28" s="15">
        <f t="shared" si="1"/>
        <v>4</v>
      </c>
      <c r="R28" s="5" t="s">
        <v>17</v>
      </c>
      <c r="S28" s="16">
        <f t="shared" ref="S28:AF28" si="20">SUM(S10:S21)</f>
        <v>23</v>
      </c>
      <c r="T28" s="16">
        <f t="shared" si="20"/>
        <v>21</v>
      </c>
      <c r="U28" s="16">
        <f t="shared" si="20"/>
        <v>7</v>
      </c>
      <c r="V28" s="16">
        <f t="shared" si="20"/>
        <v>18</v>
      </c>
      <c r="W28" s="16">
        <f t="shared" si="20"/>
        <v>2</v>
      </c>
      <c r="X28" s="16">
        <f t="shared" si="20"/>
        <v>2</v>
      </c>
      <c r="Y28" s="16">
        <f t="shared" si="20"/>
        <v>32</v>
      </c>
      <c r="Z28" s="16">
        <f t="shared" si="20"/>
        <v>11</v>
      </c>
      <c r="AA28" s="16">
        <f t="shared" si="20"/>
        <v>1</v>
      </c>
      <c r="AB28" s="16">
        <f t="shared" si="20"/>
        <v>0</v>
      </c>
      <c r="AC28" s="16">
        <f t="shared" si="20"/>
        <v>236</v>
      </c>
      <c r="AD28" s="16">
        <f t="shared" si="20"/>
        <v>0</v>
      </c>
      <c r="AE28" s="32">
        <f t="shared" si="20"/>
        <v>117</v>
      </c>
      <c r="AF28" s="32">
        <f t="shared" si="20"/>
        <v>353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2</v>
      </c>
      <c r="P29" s="15">
        <f t="shared" si="1"/>
        <v>5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0</v>
      </c>
      <c r="P30" s="15">
        <f t="shared" si="1"/>
        <v>4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7</v>
      </c>
      <c r="N31" s="50">
        <v>0</v>
      </c>
      <c r="O31" s="15">
        <f t="shared" si="0"/>
        <v>2</v>
      </c>
      <c r="P31" s="15">
        <f t="shared" si="1"/>
        <v>9</v>
      </c>
    </row>
    <row r="32" spans="2:32" ht="23.1" customHeight="1" x14ac:dyDescent="0.25">
      <c r="B32" s="24" t="s">
        <v>59</v>
      </c>
      <c r="C32" s="50">
        <v>1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4</v>
      </c>
      <c r="N32" s="50">
        <v>0</v>
      </c>
      <c r="O32" s="15">
        <f t="shared" si="0"/>
        <v>3</v>
      </c>
      <c r="P32" s="15">
        <f t="shared" si="1"/>
        <v>7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5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7</v>
      </c>
      <c r="N34" s="50">
        <v>0</v>
      </c>
      <c r="O34" s="15">
        <f t="shared" si="0"/>
        <v>1</v>
      </c>
      <c r="P34" s="15">
        <f t="shared" si="1"/>
        <v>8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0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4</v>
      </c>
      <c r="P35" s="15">
        <f t="shared" si="1"/>
        <v>12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</v>
      </c>
      <c r="N36" s="50">
        <v>0</v>
      </c>
      <c r="O36" s="15">
        <f t="shared" si="0"/>
        <v>0</v>
      </c>
      <c r="P36" s="15">
        <f t="shared" si="1"/>
        <v>2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2</v>
      </c>
      <c r="P37" s="15">
        <f t="shared" si="1"/>
        <v>6</v>
      </c>
    </row>
    <row r="38" spans="2:20" ht="23.1" customHeight="1" x14ac:dyDescent="0.25">
      <c r="B38" s="24" t="s">
        <v>65</v>
      </c>
      <c r="C38" s="50">
        <v>2</v>
      </c>
      <c r="D38" s="50">
        <v>1</v>
      </c>
      <c r="E38" s="50">
        <v>3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7</v>
      </c>
      <c r="N38" s="50">
        <v>0</v>
      </c>
      <c r="O38" s="15">
        <f t="shared" si="0"/>
        <v>7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0</v>
      </c>
      <c r="F39" s="50">
        <v>1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6</v>
      </c>
      <c r="N39" s="50">
        <v>0</v>
      </c>
      <c r="O39" s="15">
        <f t="shared" si="0"/>
        <v>5</v>
      </c>
      <c r="P39" s="15">
        <f t="shared" si="1"/>
        <v>11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5</v>
      </c>
      <c r="N40" s="50">
        <v>0</v>
      </c>
      <c r="O40" s="15">
        <f t="shared" si="0"/>
        <v>2</v>
      </c>
      <c r="P40" s="15">
        <f t="shared" si="1"/>
        <v>7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0</v>
      </c>
      <c r="P41" s="15">
        <f t="shared" si="1"/>
        <v>3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1</v>
      </c>
      <c r="K42" s="50">
        <v>1</v>
      </c>
      <c r="L42" s="50">
        <v>0</v>
      </c>
      <c r="M42" s="50">
        <v>8</v>
      </c>
      <c r="N42" s="50">
        <v>0</v>
      </c>
      <c r="O42" s="15">
        <f t="shared" si="0"/>
        <v>5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3</v>
      </c>
      <c r="N43" s="50">
        <v>0</v>
      </c>
      <c r="O43" s="15">
        <f t="shared" si="0"/>
        <v>1</v>
      </c>
      <c r="P43" s="15">
        <f t="shared" si="1"/>
        <v>4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1</v>
      </c>
      <c r="P44" s="15">
        <f t="shared" si="1"/>
        <v>9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1</v>
      </c>
      <c r="P45" s="15">
        <f t="shared" si="1"/>
        <v>5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2</v>
      </c>
      <c r="P46" s="15">
        <f t="shared" si="1"/>
        <v>8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3</v>
      </c>
      <c r="P47" s="15">
        <f t="shared" si="1"/>
        <v>7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2</v>
      </c>
      <c r="E48" s="50">
        <v>0</v>
      </c>
      <c r="F48" s="50">
        <v>1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9</v>
      </c>
      <c r="N48" s="50">
        <v>0</v>
      </c>
      <c r="O48" s="15">
        <f t="shared" si="0"/>
        <v>6</v>
      </c>
      <c r="P48" s="15">
        <f t="shared" si="1"/>
        <v>15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6</v>
      </c>
      <c r="N49" s="50">
        <v>0</v>
      </c>
      <c r="O49" s="15">
        <f t="shared" si="0"/>
        <v>2</v>
      </c>
      <c r="P49" s="15">
        <f t="shared" si="1"/>
        <v>8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3</v>
      </c>
      <c r="P50" s="15">
        <f t="shared" si="1"/>
        <v>4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3</v>
      </c>
      <c r="J51" s="50">
        <v>1</v>
      </c>
      <c r="K51" s="50">
        <v>0</v>
      </c>
      <c r="L51" s="50">
        <v>0</v>
      </c>
      <c r="M51" s="50">
        <v>7</v>
      </c>
      <c r="N51" s="50">
        <v>0</v>
      </c>
      <c r="O51" s="15">
        <f t="shared" si="0"/>
        <v>4</v>
      </c>
      <c r="P51" s="15">
        <f t="shared" si="1"/>
        <v>11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4</v>
      </c>
      <c r="N52" s="50">
        <v>0</v>
      </c>
      <c r="O52" s="15">
        <f t="shared" si="0"/>
        <v>3</v>
      </c>
      <c r="P52" s="15">
        <f t="shared" si="1"/>
        <v>7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2</v>
      </c>
      <c r="P53" s="15">
        <f t="shared" si="1"/>
        <v>9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12</v>
      </c>
      <c r="N54" s="50">
        <v>0</v>
      </c>
      <c r="O54" s="15">
        <f t="shared" si="0"/>
        <v>1</v>
      </c>
      <c r="P54" s="15">
        <f t="shared" si="1"/>
        <v>13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2</v>
      </c>
      <c r="N55" s="50">
        <v>0</v>
      </c>
      <c r="O55" s="15">
        <f t="shared" si="0"/>
        <v>4</v>
      </c>
      <c r="P55" s="15">
        <f t="shared" si="1"/>
        <v>6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2</v>
      </c>
      <c r="H56" s="50">
        <v>0</v>
      </c>
      <c r="I56" s="50">
        <v>0</v>
      </c>
      <c r="J56" s="50">
        <v>3</v>
      </c>
      <c r="K56" s="50">
        <v>0</v>
      </c>
      <c r="L56" s="50">
        <v>0</v>
      </c>
      <c r="M56" s="50">
        <v>7</v>
      </c>
      <c r="N56" s="50">
        <v>0</v>
      </c>
      <c r="O56" s="15">
        <f t="shared" si="0"/>
        <v>6</v>
      </c>
      <c r="P56" s="15">
        <f t="shared" si="1"/>
        <v>13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10</v>
      </c>
      <c r="E57" s="50">
        <v>1</v>
      </c>
      <c r="F57" s="50">
        <v>0</v>
      </c>
      <c r="G57" s="50">
        <v>0</v>
      </c>
      <c r="H57" s="50">
        <v>2</v>
      </c>
      <c r="I57" s="50">
        <v>0</v>
      </c>
      <c r="J57" s="50">
        <v>0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13</v>
      </c>
      <c r="P57" s="15">
        <f t="shared" si="1"/>
        <v>19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</v>
      </c>
      <c r="D58" s="16">
        <f t="shared" si="21"/>
        <v>21</v>
      </c>
      <c r="E58" s="16">
        <f t="shared" si="21"/>
        <v>7</v>
      </c>
      <c r="F58" s="16">
        <f t="shared" si="21"/>
        <v>18</v>
      </c>
      <c r="G58" s="16">
        <f t="shared" si="21"/>
        <v>2</v>
      </c>
      <c r="H58" s="16">
        <f t="shared" si="21"/>
        <v>2</v>
      </c>
      <c r="I58" s="16">
        <f t="shared" si="21"/>
        <v>32</v>
      </c>
      <c r="J58" s="16">
        <f t="shared" si="21"/>
        <v>11</v>
      </c>
      <c r="K58" s="16">
        <f t="shared" si="21"/>
        <v>1</v>
      </c>
      <c r="L58" s="16">
        <f t="shared" si="21"/>
        <v>0</v>
      </c>
      <c r="M58" s="16">
        <f t="shared" si="21"/>
        <v>236</v>
      </c>
      <c r="N58" s="16">
        <f t="shared" si="21"/>
        <v>0</v>
      </c>
      <c r="O58" s="16">
        <f t="shared" si="21"/>
        <v>117</v>
      </c>
      <c r="P58" s="16">
        <f t="shared" si="21"/>
        <v>353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6.5155807365439092E-2</v>
      </c>
      <c r="D59" s="43">
        <f t="shared" si="22"/>
        <v>5.9490084985835696E-2</v>
      </c>
      <c r="E59" s="43">
        <f t="shared" si="22"/>
        <v>1.9830028328611898E-2</v>
      </c>
      <c r="F59" s="43">
        <f t="shared" si="22"/>
        <v>5.0991501416430593E-2</v>
      </c>
      <c r="G59" s="43">
        <f t="shared" si="22"/>
        <v>5.6657223796033997E-3</v>
      </c>
      <c r="H59" s="43">
        <f t="shared" si="22"/>
        <v>5.6657223796033997E-3</v>
      </c>
      <c r="I59" s="43">
        <f t="shared" si="22"/>
        <v>9.0651558073654395E-2</v>
      </c>
      <c r="J59" s="43">
        <f t="shared" si="22"/>
        <v>3.1161473087818695E-2</v>
      </c>
      <c r="K59" s="43">
        <f t="shared" si="22"/>
        <v>2.8328611898016999E-3</v>
      </c>
      <c r="L59" s="43">
        <f t="shared" si="22"/>
        <v>0</v>
      </c>
      <c r="M59" s="43">
        <f t="shared" si="22"/>
        <v>0.66855524079320117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0.19658119658119658</v>
      </c>
      <c r="D60" s="44">
        <f t="shared" ref="D60:N60" si="23">D58/$O$58</f>
        <v>0.17948717948717949</v>
      </c>
      <c r="E60" s="44">
        <f t="shared" si="23"/>
        <v>5.9829059829059832E-2</v>
      </c>
      <c r="F60" s="44">
        <f t="shared" si="23"/>
        <v>0.15384615384615385</v>
      </c>
      <c r="G60" s="44">
        <f t="shared" si="23"/>
        <v>1.7094017094017096E-2</v>
      </c>
      <c r="H60" s="44">
        <f t="shared" si="23"/>
        <v>1.7094017094017096E-2</v>
      </c>
      <c r="I60" s="44">
        <f t="shared" si="23"/>
        <v>0.27350427350427353</v>
      </c>
      <c r="J60" s="44">
        <f t="shared" si="23"/>
        <v>9.4017094017094016E-2</v>
      </c>
      <c r="K60" s="44">
        <f t="shared" si="23"/>
        <v>8.5470085470085479E-3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B1:AF174"/>
  <sheetViews>
    <sheetView view="pageBreakPreview" topLeftCell="A46" zoomScale="80" zoomScaleSheetLayoutView="80" workbookViewId="0">
      <selection activeCell="M85" sqref="M8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'17.10 KAPEEKA-NGOMA'!C3:G3</f>
        <v>KAPEEKA -NGOMA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175</v>
      </c>
      <c r="E5" s="3"/>
      <c r="F5" s="41" t="s">
        <v>1</v>
      </c>
      <c r="G5" s="56" t="str">
        <f>'19.10 NGOMA-KAPEEKA-24h'!G5:H5</f>
        <v>BUTALANGU</v>
      </c>
      <c r="H5" s="57"/>
      <c r="I5" s="14"/>
      <c r="J5" s="2" t="s">
        <v>5</v>
      </c>
      <c r="K5" s="56" t="s">
        <v>167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'17.10 KAPEEKA-NGOMA'!D6:E6</f>
        <v>KAPEEKA</v>
      </c>
      <c r="E6" s="57"/>
      <c r="F6" s="2" t="s">
        <v>2</v>
      </c>
      <c r="G6" s="56" t="str">
        <f>'17.10 KAPEEKA-NGOMA'!G6:H6</f>
        <v>NGOMA</v>
      </c>
      <c r="H6" s="57"/>
      <c r="J6" s="2" t="s">
        <v>21</v>
      </c>
      <c r="K6" s="56" t="str">
        <f>'19.10 NGOMA-KAPEEKA-24h'!K6:L6</f>
        <v>MIREMBE RUTH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1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5</v>
      </c>
      <c r="AD10" s="17">
        <f t="shared" si="2"/>
        <v>0</v>
      </c>
      <c r="AE10" s="31">
        <f t="shared" si="2"/>
        <v>3</v>
      </c>
      <c r="AF10" s="31">
        <f t="shared" si="2"/>
        <v>8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1</v>
      </c>
      <c r="P11" s="15">
        <f t="shared" si="1"/>
        <v>1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10</v>
      </c>
      <c r="AD11" s="17">
        <f t="shared" si="3"/>
        <v>0</v>
      </c>
      <c r="AE11" s="31">
        <f t="shared" si="3"/>
        <v>4</v>
      </c>
      <c r="AF11" s="31">
        <f t="shared" si="3"/>
        <v>14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1</v>
      </c>
      <c r="P12" s="15">
        <f t="shared" si="1"/>
        <v>2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9</v>
      </c>
      <c r="AD12" s="17">
        <f t="shared" si="4"/>
        <v>0</v>
      </c>
      <c r="AE12" s="31">
        <f t="shared" si="4"/>
        <v>5</v>
      </c>
      <c r="AF12" s="31">
        <f t="shared" si="4"/>
        <v>14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0</v>
      </c>
      <c r="P13" s="15">
        <f t="shared" si="1"/>
        <v>4</v>
      </c>
      <c r="R13" s="1" t="s">
        <v>9</v>
      </c>
      <c r="S13" s="17">
        <f t="shared" ref="S13:AF13" si="5">SUM(C22:C25)</f>
        <v>3</v>
      </c>
      <c r="T13" s="17">
        <f t="shared" si="5"/>
        <v>1</v>
      </c>
      <c r="U13" s="17">
        <f t="shared" si="5"/>
        <v>2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12</v>
      </c>
      <c r="AD13" s="17">
        <f t="shared" si="5"/>
        <v>0</v>
      </c>
      <c r="AE13" s="31">
        <f t="shared" si="5"/>
        <v>10</v>
      </c>
      <c r="AF13" s="31">
        <f t="shared" si="5"/>
        <v>22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0</v>
      </c>
      <c r="P14" s="15">
        <f t="shared" si="1"/>
        <v>1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1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19</v>
      </c>
      <c r="AD14" s="17">
        <f t="shared" si="6"/>
        <v>0</v>
      </c>
      <c r="AE14" s="31">
        <f t="shared" si="6"/>
        <v>7</v>
      </c>
      <c r="AF14" s="31">
        <f t="shared" si="6"/>
        <v>26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1</v>
      </c>
      <c r="P15" s="15">
        <f t="shared" si="1"/>
        <v>3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1</v>
      </c>
      <c r="V15" s="17">
        <f t="shared" si="7"/>
        <v>2</v>
      </c>
      <c r="W15" s="17">
        <f t="shared" si="7"/>
        <v>1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30</v>
      </c>
      <c r="AD15" s="17">
        <f t="shared" si="7"/>
        <v>0</v>
      </c>
      <c r="AE15" s="31">
        <f t="shared" si="7"/>
        <v>10</v>
      </c>
      <c r="AF15" s="31">
        <f t="shared" si="7"/>
        <v>40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2</v>
      </c>
      <c r="P16" s="15">
        <f t="shared" si="1"/>
        <v>5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0</v>
      </c>
      <c r="V16" s="17">
        <f t="shared" si="8"/>
        <v>1</v>
      </c>
      <c r="W16" s="17">
        <f t="shared" si="8"/>
        <v>1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22</v>
      </c>
      <c r="AD16" s="17">
        <f t="shared" si="8"/>
        <v>0</v>
      </c>
      <c r="AE16" s="31">
        <f t="shared" si="8"/>
        <v>5</v>
      </c>
      <c r="AF16" s="31">
        <f t="shared" si="8"/>
        <v>27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1</v>
      </c>
      <c r="P17" s="15">
        <f t="shared" si="1"/>
        <v>5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1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27</v>
      </c>
      <c r="AD17" s="17">
        <f t="shared" si="9"/>
        <v>0</v>
      </c>
      <c r="AE17" s="31">
        <f t="shared" si="9"/>
        <v>8</v>
      </c>
      <c r="AF17" s="31">
        <f t="shared" si="9"/>
        <v>35</v>
      </c>
    </row>
    <row r="18" spans="2:32" ht="23.1" customHeight="1" x14ac:dyDescent="0.25">
      <c r="B18" s="45" t="s">
        <v>45</v>
      </c>
      <c r="C18" s="50">
        <v>2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2</v>
      </c>
      <c r="P18" s="15">
        <f t="shared" si="1"/>
        <v>6</v>
      </c>
      <c r="R18" s="1" t="s">
        <v>14</v>
      </c>
      <c r="S18" s="17">
        <f t="shared" ref="S18:AF18" si="10">SUM(C42:C45)</f>
        <v>2</v>
      </c>
      <c r="T18" s="17">
        <f t="shared" si="10"/>
        <v>0</v>
      </c>
      <c r="U18" s="17">
        <f t="shared" si="10"/>
        <v>0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13</v>
      </c>
      <c r="AD18" s="17">
        <f t="shared" si="10"/>
        <v>0</v>
      </c>
      <c r="AE18" s="31">
        <f t="shared" si="10"/>
        <v>4</v>
      </c>
      <c r="AF18" s="31">
        <f t="shared" si="10"/>
        <v>17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</v>
      </c>
      <c r="N19" s="50">
        <v>0</v>
      </c>
      <c r="O19" s="15">
        <f t="shared" si="0"/>
        <v>2</v>
      </c>
      <c r="P19" s="15">
        <f t="shared" si="1"/>
        <v>4</v>
      </c>
      <c r="R19" s="1" t="s">
        <v>15</v>
      </c>
      <c r="S19" s="17">
        <f t="shared" ref="S19:AF19" si="11">SUM(C46:C49)</f>
        <v>6</v>
      </c>
      <c r="T19" s="17">
        <f t="shared" si="11"/>
        <v>0</v>
      </c>
      <c r="U19" s="17">
        <f t="shared" si="11"/>
        <v>1</v>
      </c>
      <c r="V19" s="17">
        <f t="shared" si="11"/>
        <v>4</v>
      </c>
      <c r="W19" s="17">
        <f t="shared" si="11"/>
        <v>1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22</v>
      </c>
      <c r="AD19" s="17">
        <f t="shared" si="11"/>
        <v>0</v>
      </c>
      <c r="AE19" s="31">
        <f t="shared" si="11"/>
        <v>14</v>
      </c>
      <c r="AF19" s="31">
        <f t="shared" si="11"/>
        <v>36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15">
        <f t="shared" si="0"/>
        <v>0</v>
      </c>
      <c r="P20" s="15">
        <f t="shared" si="1"/>
        <v>0</v>
      </c>
      <c r="R20" s="1" t="s">
        <v>16</v>
      </c>
      <c r="S20" s="17">
        <f t="shared" ref="S20:AF20" si="12">SUM(C50:C53)</f>
        <v>4</v>
      </c>
      <c r="T20" s="17">
        <f t="shared" si="12"/>
        <v>1</v>
      </c>
      <c r="U20" s="17">
        <f t="shared" si="12"/>
        <v>2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0</v>
      </c>
      <c r="AB20" s="17">
        <f t="shared" si="12"/>
        <v>1</v>
      </c>
      <c r="AC20" s="17">
        <f t="shared" si="12"/>
        <v>15</v>
      </c>
      <c r="AD20" s="17">
        <f t="shared" si="12"/>
        <v>0</v>
      </c>
      <c r="AE20" s="31">
        <f t="shared" si="12"/>
        <v>12</v>
      </c>
      <c r="AF20" s="31">
        <f t="shared" si="12"/>
        <v>27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1</v>
      </c>
      <c r="P21" s="15">
        <f t="shared" si="1"/>
        <v>4</v>
      </c>
      <c r="R21" s="36" t="s">
        <v>20</v>
      </c>
      <c r="S21" s="34">
        <f t="shared" ref="S21:AF21" si="13">SUM(C54:C57)</f>
        <v>3</v>
      </c>
      <c r="T21" s="17">
        <f t="shared" si="13"/>
        <v>0</v>
      </c>
      <c r="U21" s="17">
        <f t="shared" si="13"/>
        <v>0</v>
      </c>
      <c r="V21" s="17">
        <f t="shared" si="13"/>
        <v>1</v>
      </c>
      <c r="W21" s="17">
        <f t="shared" si="13"/>
        <v>1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20</v>
      </c>
      <c r="AD21" s="17">
        <f t="shared" si="13"/>
        <v>0</v>
      </c>
      <c r="AE21" s="31">
        <f t="shared" si="13"/>
        <v>7</v>
      </c>
      <c r="AF21" s="31">
        <f t="shared" si="13"/>
        <v>27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2</v>
      </c>
      <c r="F22" s="50">
        <v>0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6</v>
      </c>
      <c r="P22" s="15">
        <f t="shared" si="1"/>
        <v>10</v>
      </c>
      <c r="R22" s="36" t="s">
        <v>146</v>
      </c>
      <c r="S22" s="34">
        <f>SUM(C58:C61)</f>
        <v>3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2</v>
      </c>
      <c r="W22" s="34">
        <f t="shared" si="14"/>
        <v>0</v>
      </c>
      <c r="X22" s="34">
        <f t="shared" si="14"/>
        <v>0</v>
      </c>
      <c r="Y22" s="34">
        <f t="shared" si="14"/>
        <v>3</v>
      </c>
      <c r="Z22" s="34">
        <f t="shared" si="14"/>
        <v>1</v>
      </c>
      <c r="AA22" s="34">
        <f t="shared" si="14"/>
        <v>1</v>
      </c>
      <c r="AB22" s="34">
        <f t="shared" si="14"/>
        <v>1</v>
      </c>
      <c r="AC22" s="34">
        <f t="shared" si="14"/>
        <v>22</v>
      </c>
      <c r="AD22" s="34">
        <f t="shared" si="14"/>
        <v>0</v>
      </c>
      <c r="AE22" s="31">
        <f t="shared" si="14"/>
        <v>12</v>
      </c>
      <c r="AF22" s="31">
        <f t="shared" si="14"/>
        <v>34</v>
      </c>
    </row>
    <row r="23" spans="2:32" ht="23.1" customHeight="1" x14ac:dyDescent="0.25">
      <c r="B23" s="45" t="s">
        <v>50</v>
      </c>
      <c r="C23" s="50">
        <v>2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4</v>
      </c>
      <c r="N23" s="50">
        <v>0</v>
      </c>
      <c r="O23" s="15">
        <f t="shared" si="0"/>
        <v>3</v>
      </c>
      <c r="P23" s="15">
        <f t="shared" si="1"/>
        <v>7</v>
      </c>
      <c r="R23" s="36" t="s">
        <v>147</v>
      </c>
      <c r="S23" s="34">
        <f>SUM(C62:C65)</f>
        <v>4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3</v>
      </c>
      <c r="W23" s="34">
        <f t="shared" si="15"/>
        <v>0</v>
      </c>
      <c r="X23" s="34">
        <f t="shared" si="15"/>
        <v>0</v>
      </c>
      <c r="Y23" s="34">
        <f t="shared" si="15"/>
        <v>4</v>
      </c>
      <c r="Z23" s="34">
        <f t="shared" si="15"/>
        <v>4</v>
      </c>
      <c r="AA23" s="34">
        <f t="shared" si="15"/>
        <v>0</v>
      </c>
      <c r="AB23" s="34">
        <f t="shared" si="15"/>
        <v>0</v>
      </c>
      <c r="AC23" s="34">
        <f t="shared" si="15"/>
        <v>10</v>
      </c>
      <c r="AD23" s="34">
        <f t="shared" si="15"/>
        <v>0</v>
      </c>
      <c r="AE23" s="31">
        <f t="shared" si="15"/>
        <v>16</v>
      </c>
      <c r="AF23" s="31">
        <f t="shared" si="15"/>
        <v>26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0</v>
      </c>
      <c r="P24" s="15">
        <f t="shared" si="1"/>
        <v>1</v>
      </c>
      <c r="R24" s="36" t="s">
        <v>148</v>
      </c>
      <c r="S24" s="34">
        <f>SUM(C66:C69)</f>
        <v>23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3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9</v>
      </c>
      <c r="AD24" s="34">
        <f t="shared" si="16"/>
        <v>0</v>
      </c>
      <c r="AE24" s="31">
        <f t="shared" si="16"/>
        <v>29</v>
      </c>
      <c r="AF24" s="31">
        <f t="shared" si="16"/>
        <v>38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1</v>
      </c>
      <c r="P25" s="15">
        <f t="shared" si="1"/>
        <v>4</v>
      </c>
      <c r="R25" s="36" t="s">
        <v>149</v>
      </c>
      <c r="S25" s="34">
        <f>SUM(C70:C73)</f>
        <v>0</v>
      </c>
      <c r="T25" s="34">
        <f t="shared" ref="T25:AF25" si="17">SUM(D70:D73)</f>
        <v>1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5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5</v>
      </c>
      <c r="AD25" s="34">
        <f t="shared" si="17"/>
        <v>0</v>
      </c>
      <c r="AE25" s="31">
        <f t="shared" si="17"/>
        <v>8</v>
      </c>
      <c r="AF25" s="31">
        <f t="shared" si="17"/>
        <v>13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7</v>
      </c>
      <c r="N26" s="50">
        <v>0</v>
      </c>
      <c r="O26" s="15">
        <f t="shared" si="0"/>
        <v>0</v>
      </c>
      <c r="P26" s="15">
        <f t="shared" si="1"/>
        <v>7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4</v>
      </c>
      <c r="AF26" s="31">
        <f t="shared" si="18"/>
        <v>4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3</v>
      </c>
      <c r="P27" s="15">
        <f t="shared" si="1"/>
        <v>9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3</v>
      </c>
      <c r="AA27" s="34">
        <f t="shared" si="19"/>
        <v>0</v>
      </c>
      <c r="AB27" s="34">
        <f t="shared" si="19"/>
        <v>0</v>
      </c>
      <c r="AC27" s="34">
        <f t="shared" si="19"/>
        <v>1</v>
      </c>
      <c r="AD27" s="34">
        <f t="shared" si="19"/>
        <v>0</v>
      </c>
      <c r="AE27" s="31">
        <f t="shared" si="19"/>
        <v>3</v>
      </c>
      <c r="AF27" s="31">
        <f t="shared" si="19"/>
        <v>4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4</v>
      </c>
      <c r="P28" s="15">
        <f t="shared" si="1"/>
        <v>9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1</v>
      </c>
      <c r="AF28" s="31">
        <f t="shared" si="20"/>
        <v>1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0</v>
      </c>
      <c r="P29" s="15">
        <f t="shared" si="1"/>
        <v>1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1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1</v>
      </c>
      <c r="AF29" s="31">
        <f t="shared" si="21"/>
        <v>1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1</v>
      </c>
      <c r="F30" s="50">
        <v>2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5</v>
      </c>
      <c r="P30" s="15">
        <f t="shared" si="1"/>
        <v>9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2</v>
      </c>
      <c r="Y30" s="34">
        <f t="shared" si="22"/>
        <v>0</v>
      </c>
      <c r="Z30" s="34">
        <f t="shared" si="22"/>
        <v>0</v>
      </c>
      <c r="AA30" s="34">
        <f t="shared" si="22"/>
        <v>1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4</v>
      </c>
      <c r="AF30" s="31">
        <f t="shared" si="22"/>
        <v>4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8</v>
      </c>
      <c r="N31" s="50">
        <v>0</v>
      </c>
      <c r="O31" s="15">
        <f t="shared" si="0"/>
        <v>0</v>
      </c>
      <c r="P31" s="15">
        <f t="shared" si="1"/>
        <v>8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3</v>
      </c>
      <c r="AF31" s="31">
        <f t="shared" si="23"/>
        <v>7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10</v>
      </c>
      <c r="N32" s="50">
        <v>0</v>
      </c>
      <c r="O32" s="15">
        <f t="shared" si="0"/>
        <v>3</v>
      </c>
      <c r="P32" s="15">
        <f t="shared" si="1"/>
        <v>13</v>
      </c>
      <c r="R32" s="33" t="s">
        <v>156</v>
      </c>
      <c r="S32" s="34">
        <f>SUM(C98:C101)</f>
        <v>3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4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8</v>
      </c>
      <c r="AD32" s="34">
        <f t="shared" si="24"/>
        <v>0</v>
      </c>
      <c r="AE32" s="31">
        <f t="shared" si="24"/>
        <v>9</v>
      </c>
      <c r="AF32" s="31">
        <f t="shared" si="24"/>
        <v>17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1</v>
      </c>
      <c r="H33" s="50">
        <v>0</v>
      </c>
      <c r="I33" s="50">
        <v>0</v>
      </c>
      <c r="J33" s="50">
        <v>0</v>
      </c>
      <c r="K33" s="50">
        <v>1</v>
      </c>
      <c r="L33" s="50">
        <v>0</v>
      </c>
      <c r="M33" s="50">
        <v>8</v>
      </c>
      <c r="N33" s="50">
        <v>0</v>
      </c>
      <c r="O33" s="15">
        <f t="shared" si="0"/>
        <v>2</v>
      </c>
      <c r="P33" s="15">
        <f t="shared" si="1"/>
        <v>10</v>
      </c>
      <c r="R33" s="33" t="s">
        <v>157</v>
      </c>
      <c r="S33" s="34">
        <f>SUM(C102:C105)</f>
        <v>2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2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5</v>
      </c>
      <c r="AD33" s="34">
        <f t="shared" si="25"/>
        <v>0</v>
      </c>
      <c r="AE33" s="31">
        <f t="shared" si="25"/>
        <v>8</v>
      </c>
      <c r="AF33" s="31">
        <f t="shared" si="25"/>
        <v>13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1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5</v>
      </c>
      <c r="N34" s="50">
        <v>0</v>
      </c>
      <c r="O34" s="15">
        <f t="shared" si="0"/>
        <v>2</v>
      </c>
      <c r="P34" s="15">
        <f t="shared" si="1"/>
        <v>7</v>
      </c>
      <c r="R34" s="38" t="s">
        <v>90</v>
      </c>
      <c r="S34" s="39">
        <f t="shared" ref="S34:AF34" si="26">MAX(S10:S12)</f>
        <v>2</v>
      </c>
      <c r="T34" s="39">
        <f t="shared" si="26"/>
        <v>0</v>
      </c>
      <c r="U34" s="39">
        <f t="shared" si="26"/>
        <v>2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2</v>
      </c>
      <c r="Z34" s="39">
        <f t="shared" si="26"/>
        <v>2</v>
      </c>
      <c r="AA34" s="39">
        <f t="shared" si="26"/>
        <v>0</v>
      </c>
      <c r="AB34" s="39">
        <f t="shared" si="26"/>
        <v>0</v>
      </c>
      <c r="AC34" s="39">
        <f t="shared" si="26"/>
        <v>10</v>
      </c>
      <c r="AD34" s="39">
        <f t="shared" si="26"/>
        <v>0</v>
      </c>
      <c r="AE34" s="40">
        <f t="shared" si="26"/>
        <v>5</v>
      </c>
      <c r="AF34" s="40">
        <f t="shared" si="26"/>
        <v>14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0</v>
      </c>
      <c r="P35" s="15">
        <f t="shared" si="1"/>
        <v>8</v>
      </c>
      <c r="R35" s="38" t="s">
        <v>91</v>
      </c>
      <c r="S35" s="39">
        <f t="shared" ref="S35:AF35" si="27">MAX(S13:S18)</f>
        <v>3</v>
      </c>
      <c r="T35" s="39">
        <f t="shared" si="27"/>
        <v>1</v>
      </c>
      <c r="U35" s="39">
        <f t="shared" si="27"/>
        <v>2</v>
      </c>
      <c r="V35" s="39">
        <f t="shared" si="27"/>
        <v>3</v>
      </c>
      <c r="W35" s="39">
        <f t="shared" si="27"/>
        <v>1</v>
      </c>
      <c r="X35" s="39">
        <f t="shared" si="27"/>
        <v>0</v>
      </c>
      <c r="Y35" s="39">
        <f t="shared" si="27"/>
        <v>3</v>
      </c>
      <c r="Z35" s="39">
        <f t="shared" si="27"/>
        <v>1</v>
      </c>
      <c r="AA35" s="39">
        <f t="shared" si="27"/>
        <v>1</v>
      </c>
      <c r="AB35" s="39">
        <f t="shared" si="27"/>
        <v>0</v>
      </c>
      <c r="AC35" s="39">
        <f t="shared" si="27"/>
        <v>30</v>
      </c>
      <c r="AD35" s="39">
        <f t="shared" si="27"/>
        <v>0</v>
      </c>
      <c r="AE35" s="40">
        <f t="shared" si="27"/>
        <v>10</v>
      </c>
      <c r="AF35" s="40">
        <f t="shared" si="27"/>
        <v>40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4</v>
      </c>
      <c r="N36" s="50">
        <v>0</v>
      </c>
      <c r="O36" s="15">
        <f t="shared" si="0"/>
        <v>1</v>
      </c>
      <c r="P36" s="15">
        <f t="shared" si="1"/>
        <v>5</v>
      </c>
      <c r="R36" s="38" t="s">
        <v>92</v>
      </c>
      <c r="S36" s="39">
        <f t="shared" ref="S36:AF36" si="28">MAX(S19:S21)</f>
        <v>6</v>
      </c>
      <c r="T36" s="39">
        <f t="shared" si="28"/>
        <v>1</v>
      </c>
      <c r="U36" s="39">
        <f t="shared" si="28"/>
        <v>2</v>
      </c>
      <c r="V36" s="39">
        <f t="shared" si="28"/>
        <v>4</v>
      </c>
      <c r="W36" s="39">
        <f t="shared" si="28"/>
        <v>1</v>
      </c>
      <c r="X36" s="39">
        <f t="shared" si="28"/>
        <v>0</v>
      </c>
      <c r="Y36" s="39">
        <f t="shared" si="28"/>
        <v>3</v>
      </c>
      <c r="Z36" s="39">
        <f t="shared" si="28"/>
        <v>0</v>
      </c>
      <c r="AA36" s="39">
        <f t="shared" si="28"/>
        <v>1</v>
      </c>
      <c r="AB36" s="39">
        <f t="shared" si="28"/>
        <v>1</v>
      </c>
      <c r="AC36" s="39">
        <f t="shared" si="28"/>
        <v>22</v>
      </c>
      <c r="AD36" s="39">
        <f t="shared" si="28"/>
        <v>0</v>
      </c>
      <c r="AE36" s="40">
        <f t="shared" si="28"/>
        <v>14</v>
      </c>
      <c r="AF36" s="40">
        <f t="shared" si="28"/>
        <v>36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5</v>
      </c>
      <c r="N37" s="50">
        <v>0</v>
      </c>
      <c r="O37" s="15">
        <f t="shared" si="0"/>
        <v>2</v>
      </c>
      <c r="P37" s="15">
        <f t="shared" si="1"/>
        <v>7</v>
      </c>
      <c r="R37" s="37" t="s">
        <v>85</v>
      </c>
      <c r="S37" s="35">
        <f t="shared" ref="S37:AF37" si="29">SUM(S10:S12)</f>
        <v>4</v>
      </c>
      <c r="T37" s="16">
        <f t="shared" si="29"/>
        <v>0</v>
      </c>
      <c r="U37" s="16">
        <f t="shared" si="29"/>
        <v>3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3</v>
      </c>
      <c r="Z37" s="16">
        <f t="shared" si="29"/>
        <v>2</v>
      </c>
      <c r="AA37" s="16">
        <f t="shared" si="29"/>
        <v>0</v>
      </c>
      <c r="AB37" s="16">
        <f t="shared" si="29"/>
        <v>0</v>
      </c>
      <c r="AC37" s="16">
        <f t="shared" si="29"/>
        <v>24</v>
      </c>
      <c r="AD37" s="16">
        <f t="shared" si="29"/>
        <v>0</v>
      </c>
      <c r="AE37" s="32">
        <f t="shared" si="29"/>
        <v>12</v>
      </c>
      <c r="AF37" s="32">
        <f t="shared" si="29"/>
        <v>36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4</v>
      </c>
      <c r="N38" s="50">
        <v>0</v>
      </c>
      <c r="O38" s="15">
        <f t="shared" si="0"/>
        <v>1</v>
      </c>
      <c r="P38" s="15">
        <f t="shared" si="1"/>
        <v>5</v>
      </c>
      <c r="R38" s="28" t="s">
        <v>86</v>
      </c>
      <c r="S38" s="16">
        <f t="shared" ref="S38:AF38" si="30">SUM(S13:S18)</f>
        <v>12</v>
      </c>
      <c r="T38" s="16">
        <f t="shared" si="30"/>
        <v>1</v>
      </c>
      <c r="U38" s="16">
        <f t="shared" si="30"/>
        <v>5</v>
      </c>
      <c r="V38" s="16">
        <f t="shared" si="30"/>
        <v>9</v>
      </c>
      <c r="W38" s="16">
        <f t="shared" si="30"/>
        <v>2</v>
      </c>
      <c r="X38" s="16">
        <f t="shared" si="30"/>
        <v>0</v>
      </c>
      <c r="Y38" s="16">
        <f t="shared" si="30"/>
        <v>13</v>
      </c>
      <c r="Z38" s="16">
        <f t="shared" si="30"/>
        <v>1</v>
      </c>
      <c r="AA38" s="16">
        <f t="shared" si="30"/>
        <v>1</v>
      </c>
      <c r="AB38" s="16">
        <f t="shared" si="30"/>
        <v>0</v>
      </c>
      <c r="AC38" s="16">
        <f t="shared" si="30"/>
        <v>123</v>
      </c>
      <c r="AD38" s="16">
        <f t="shared" si="30"/>
        <v>0</v>
      </c>
      <c r="AE38" s="32">
        <f t="shared" si="30"/>
        <v>44</v>
      </c>
      <c r="AF38" s="32">
        <f t="shared" si="30"/>
        <v>167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6</v>
      </c>
      <c r="N39" s="50">
        <v>0</v>
      </c>
      <c r="O39" s="15">
        <f t="shared" si="0"/>
        <v>3</v>
      </c>
      <c r="P39" s="15">
        <f t="shared" si="1"/>
        <v>9</v>
      </c>
      <c r="R39" s="29" t="s">
        <v>87</v>
      </c>
      <c r="S39" s="16">
        <f t="shared" ref="S39:AF39" si="31">SUM(S19:S21)</f>
        <v>13</v>
      </c>
      <c r="T39" s="16">
        <f t="shared" si="31"/>
        <v>1</v>
      </c>
      <c r="U39" s="16">
        <f t="shared" si="31"/>
        <v>3</v>
      </c>
      <c r="V39" s="16">
        <f t="shared" si="31"/>
        <v>6</v>
      </c>
      <c r="W39" s="16">
        <f t="shared" si="31"/>
        <v>2</v>
      </c>
      <c r="X39" s="16">
        <f t="shared" si="31"/>
        <v>0</v>
      </c>
      <c r="Y39" s="16">
        <f t="shared" si="31"/>
        <v>6</v>
      </c>
      <c r="Z39" s="16">
        <f t="shared" si="31"/>
        <v>0</v>
      </c>
      <c r="AA39" s="16">
        <f t="shared" si="31"/>
        <v>1</v>
      </c>
      <c r="AB39" s="16">
        <f t="shared" si="31"/>
        <v>1</v>
      </c>
      <c r="AC39" s="16">
        <f t="shared" si="31"/>
        <v>57</v>
      </c>
      <c r="AD39" s="16">
        <f t="shared" si="31"/>
        <v>0</v>
      </c>
      <c r="AE39" s="32">
        <f t="shared" si="31"/>
        <v>33</v>
      </c>
      <c r="AF39" s="32">
        <f t="shared" si="31"/>
        <v>90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10</v>
      </c>
      <c r="N40" s="50">
        <v>0</v>
      </c>
      <c r="O40" s="15">
        <f t="shared" si="0"/>
        <v>1</v>
      </c>
      <c r="P40" s="15">
        <f t="shared" si="1"/>
        <v>11</v>
      </c>
      <c r="R40" s="5" t="s">
        <v>17</v>
      </c>
      <c r="S40" s="16">
        <f t="shared" ref="S40:AF40" si="32">SUM(S10:S21)</f>
        <v>29</v>
      </c>
      <c r="T40" s="16">
        <f t="shared" si="32"/>
        <v>2</v>
      </c>
      <c r="U40" s="16">
        <f t="shared" si="32"/>
        <v>11</v>
      </c>
      <c r="V40" s="16">
        <f t="shared" si="32"/>
        <v>15</v>
      </c>
      <c r="W40" s="16">
        <f t="shared" si="32"/>
        <v>4</v>
      </c>
      <c r="X40" s="16">
        <f t="shared" si="32"/>
        <v>0</v>
      </c>
      <c r="Y40" s="16">
        <f t="shared" si="32"/>
        <v>22</v>
      </c>
      <c r="Z40" s="16">
        <f t="shared" si="32"/>
        <v>3</v>
      </c>
      <c r="AA40" s="16">
        <f t="shared" si="32"/>
        <v>2</v>
      </c>
      <c r="AB40" s="16">
        <f t="shared" si="32"/>
        <v>1</v>
      </c>
      <c r="AC40" s="16">
        <f t="shared" si="32"/>
        <v>204</v>
      </c>
      <c r="AD40" s="16">
        <f t="shared" si="32"/>
        <v>0</v>
      </c>
      <c r="AE40" s="32">
        <f t="shared" si="32"/>
        <v>89</v>
      </c>
      <c r="AF40" s="32">
        <f t="shared" si="32"/>
        <v>293</v>
      </c>
    </row>
    <row r="41" spans="2:32" ht="23.1" customHeight="1" x14ac:dyDescent="0.25">
      <c r="B41" s="45" t="s">
        <v>68</v>
      </c>
      <c r="C41" s="50">
        <v>2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7</v>
      </c>
      <c r="N41" s="50">
        <v>0</v>
      </c>
      <c r="O41" s="15">
        <f t="shared" si="0"/>
        <v>3</v>
      </c>
      <c r="P41" s="15">
        <f t="shared" si="1"/>
        <v>10</v>
      </c>
      <c r="R41" s="5" t="s">
        <v>159</v>
      </c>
      <c r="S41" s="16">
        <f>SUM(S10:S33)</f>
        <v>66</v>
      </c>
      <c r="T41" s="16">
        <f t="shared" ref="T41:AF41" si="33">SUM(T10:T33)</f>
        <v>5</v>
      </c>
      <c r="U41" s="16">
        <f t="shared" si="33"/>
        <v>14</v>
      </c>
      <c r="V41" s="16">
        <f t="shared" si="33"/>
        <v>26</v>
      </c>
      <c r="W41" s="16">
        <f t="shared" si="33"/>
        <v>4</v>
      </c>
      <c r="X41" s="16">
        <f t="shared" si="33"/>
        <v>2</v>
      </c>
      <c r="Y41" s="16">
        <f t="shared" si="33"/>
        <v>46</v>
      </c>
      <c r="Z41" s="16">
        <f t="shared" si="33"/>
        <v>17</v>
      </c>
      <c r="AA41" s="16">
        <f t="shared" si="33"/>
        <v>5</v>
      </c>
      <c r="AB41" s="16">
        <f t="shared" si="33"/>
        <v>2</v>
      </c>
      <c r="AC41" s="16">
        <f t="shared" si="33"/>
        <v>268</v>
      </c>
      <c r="AD41" s="16">
        <f t="shared" si="33"/>
        <v>0</v>
      </c>
      <c r="AE41" s="32">
        <f t="shared" si="33"/>
        <v>187</v>
      </c>
      <c r="AF41" s="32">
        <f t="shared" si="33"/>
        <v>455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4</v>
      </c>
      <c r="N42" s="50">
        <v>0</v>
      </c>
      <c r="O42" s="15">
        <f t="shared" si="0"/>
        <v>1</v>
      </c>
      <c r="P42" s="15">
        <f t="shared" si="1"/>
        <v>5</v>
      </c>
      <c r="R42" s="5" t="s">
        <v>160</v>
      </c>
      <c r="S42" s="48">
        <f>S41/S40</f>
        <v>2.2758620689655173</v>
      </c>
      <c r="T42" s="48">
        <f t="shared" ref="T42:AF42" si="34">T41/T40</f>
        <v>2.5</v>
      </c>
      <c r="U42" s="48">
        <f t="shared" si="34"/>
        <v>1.2727272727272727</v>
      </c>
      <c r="V42" s="48">
        <f t="shared" si="34"/>
        <v>1.7333333333333334</v>
      </c>
      <c r="W42" s="48">
        <f t="shared" si="34"/>
        <v>1</v>
      </c>
      <c r="X42" s="48" t="e">
        <f t="shared" si="34"/>
        <v>#DIV/0!</v>
      </c>
      <c r="Y42" s="48">
        <f t="shared" si="34"/>
        <v>2.0909090909090908</v>
      </c>
      <c r="Z42" s="48">
        <f t="shared" si="34"/>
        <v>5.666666666666667</v>
      </c>
      <c r="AA42" s="48">
        <f t="shared" si="34"/>
        <v>2.5</v>
      </c>
      <c r="AB42" s="48">
        <f t="shared" si="34"/>
        <v>2</v>
      </c>
      <c r="AC42" s="48">
        <f t="shared" si="34"/>
        <v>1.3137254901960784</v>
      </c>
      <c r="AD42" s="48" t="e">
        <f t="shared" si="34"/>
        <v>#DIV/0!</v>
      </c>
      <c r="AE42" s="48">
        <f t="shared" si="34"/>
        <v>2.101123595505618</v>
      </c>
      <c r="AF42" s="48">
        <f t="shared" si="34"/>
        <v>1.552901023890785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4</v>
      </c>
      <c r="N43" s="50">
        <v>0</v>
      </c>
      <c r="O43" s="15">
        <f t="shared" si="0"/>
        <v>0</v>
      </c>
      <c r="P43" s="15">
        <f t="shared" si="1"/>
        <v>4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2</v>
      </c>
      <c r="P44" s="15">
        <f t="shared" si="1"/>
        <v>6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</v>
      </c>
      <c r="N45" s="50">
        <v>0</v>
      </c>
      <c r="O45" s="15">
        <f t="shared" si="0"/>
        <v>1</v>
      </c>
      <c r="P45" s="15">
        <f t="shared" si="1"/>
        <v>2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1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2</v>
      </c>
      <c r="P46" s="15">
        <f t="shared" si="1"/>
        <v>10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5</v>
      </c>
      <c r="N47" s="50">
        <v>0</v>
      </c>
      <c r="O47" s="15">
        <f t="shared" si="0"/>
        <v>4</v>
      </c>
      <c r="P47" s="15">
        <f t="shared" si="1"/>
        <v>9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1</v>
      </c>
      <c r="F48" s="50">
        <v>4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6</v>
      </c>
      <c r="P48" s="15">
        <f t="shared" si="1"/>
        <v>9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6</v>
      </c>
      <c r="N49" s="50">
        <v>0</v>
      </c>
      <c r="O49" s="15">
        <f t="shared" si="0"/>
        <v>2</v>
      </c>
      <c r="P49" s="15">
        <f t="shared" si="1"/>
        <v>8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1</v>
      </c>
      <c r="E50" s="50">
        <v>0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5</v>
      </c>
      <c r="N50" s="50">
        <v>0</v>
      </c>
      <c r="O50" s="15">
        <f t="shared" si="0"/>
        <v>5</v>
      </c>
      <c r="P50" s="15">
        <f t="shared" si="1"/>
        <v>10</v>
      </c>
      <c r="R50" s="8"/>
      <c r="T50"/>
    </row>
    <row r="51" spans="2:20" ht="23.1" customHeight="1" x14ac:dyDescent="0.25">
      <c r="B51" s="46" t="s">
        <v>78</v>
      </c>
      <c r="C51" s="50">
        <v>2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1</v>
      </c>
      <c r="M51" s="50">
        <v>3</v>
      </c>
      <c r="N51" s="50">
        <v>0</v>
      </c>
      <c r="O51" s="15">
        <f t="shared" si="0"/>
        <v>5</v>
      </c>
      <c r="P51" s="15">
        <f t="shared" si="1"/>
        <v>8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3</v>
      </c>
      <c r="N52" s="50">
        <v>0</v>
      </c>
      <c r="O52" s="15">
        <f t="shared" si="0"/>
        <v>1</v>
      </c>
      <c r="P52" s="15">
        <f t="shared" si="1"/>
        <v>4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4</v>
      </c>
      <c r="N53" s="50">
        <v>0</v>
      </c>
      <c r="O53" s="15">
        <f t="shared" si="0"/>
        <v>1</v>
      </c>
      <c r="P53" s="15">
        <f t="shared" si="1"/>
        <v>5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3</v>
      </c>
      <c r="P54" s="15">
        <f t="shared" si="1"/>
        <v>10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1</v>
      </c>
      <c r="P55" s="15">
        <f t="shared" si="1"/>
        <v>6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1</v>
      </c>
      <c r="H56" s="50">
        <v>0</v>
      </c>
      <c r="I56" s="50">
        <v>1</v>
      </c>
      <c r="J56" s="50">
        <v>0</v>
      </c>
      <c r="K56" s="50">
        <v>1</v>
      </c>
      <c r="L56" s="50">
        <v>0</v>
      </c>
      <c r="M56" s="50">
        <v>2</v>
      </c>
      <c r="N56" s="50">
        <v>0</v>
      </c>
      <c r="O56" s="15">
        <f t="shared" si="0"/>
        <v>3</v>
      </c>
      <c r="P56" s="15">
        <f t="shared" si="1"/>
        <v>5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0</v>
      </c>
      <c r="P57" s="15">
        <f t="shared" si="1"/>
        <v>6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1</v>
      </c>
      <c r="J58" s="50">
        <v>0</v>
      </c>
      <c r="K58" s="50">
        <v>1</v>
      </c>
      <c r="L58" s="50">
        <v>0</v>
      </c>
      <c r="M58" s="50">
        <v>4</v>
      </c>
      <c r="N58" s="50">
        <v>0</v>
      </c>
      <c r="O58" s="15">
        <f t="shared" si="0"/>
        <v>4</v>
      </c>
      <c r="P58" s="15">
        <f t="shared" si="1"/>
        <v>8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1</v>
      </c>
      <c r="F59" s="50">
        <v>1</v>
      </c>
      <c r="G59" s="50">
        <v>0</v>
      </c>
      <c r="H59" s="50">
        <v>0</v>
      </c>
      <c r="I59" s="50">
        <v>2</v>
      </c>
      <c r="J59" s="50">
        <v>1</v>
      </c>
      <c r="K59" s="50">
        <v>0</v>
      </c>
      <c r="L59" s="50">
        <v>0</v>
      </c>
      <c r="M59" s="50">
        <v>4</v>
      </c>
      <c r="N59" s="50">
        <v>0</v>
      </c>
      <c r="O59" s="15">
        <f t="shared" si="0"/>
        <v>5</v>
      </c>
      <c r="P59" s="15">
        <f t="shared" si="1"/>
        <v>9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0</v>
      </c>
      <c r="E60" s="50">
        <v>0</v>
      </c>
      <c r="F60" s="50">
        <v>1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1</v>
      </c>
      <c r="M60" s="50">
        <v>6</v>
      </c>
      <c r="N60" s="50">
        <v>0</v>
      </c>
      <c r="O60" s="15">
        <f t="shared" si="0"/>
        <v>3</v>
      </c>
      <c r="P60" s="15">
        <f t="shared" si="1"/>
        <v>9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8</v>
      </c>
      <c r="N61" s="50">
        <v>0</v>
      </c>
      <c r="O61" s="15">
        <f t="shared" si="0"/>
        <v>0</v>
      </c>
      <c r="P61" s="15">
        <f t="shared" si="1"/>
        <v>8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0</v>
      </c>
      <c r="M62" s="50">
        <v>4</v>
      </c>
      <c r="N62" s="50">
        <v>0</v>
      </c>
      <c r="O62" s="15">
        <f t="shared" si="0"/>
        <v>2</v>
      </c>
      <c r="P62" s="15">
        <f t="shared" si="1"/>
        <v>6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2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3</v>
      </c>
      <c r="N63" s="50">
        <v>0</v>
      </c>
      <c r="O63" s="15">
        <f t="shared" si="0"/>
        <v>2</v>
      </c>
      <c r="P63" s="15">
        <f t="shared" si="1"/>
        <v>5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1</v>
      </c>
      <c r="J64" s="50">
        <v>1</v>
      </c>
      <c r="K64" s="50">
        <v>0</v>
      </c>
      <c r="L64" s="50">
        <v>0</v>
      </c>
      <c r="M64" s="50">
        <v>1</v>
      </c>
      <c r="N64" s="50">
        <v>0</v>
      </c>
      <c r="O64" s="15">
        <f t="shared" si="0"/>
        <v>4</v>
      </c>
      <c r="P64" s="15">
        <f t="shared" si="1"/>
        <v>5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1</v>
      </c>
      <c r="E65" s="50">
        <v>0</v>
      </c>
      <c r="F65" s="50">
        <v>1</v>
      </c>
      <c r="G65" s="50">
        <v>0</v>
      </c>
      <c r="H65" s="50">
        <v>0</v>
      </c>
      <c r="I65" s="50">
        <v>3</v>
      </c>
      <c r="J65" s="50">
        <v>2</v>
      </c>
      <c r="K65" s="50">
        <v>0</v>
      </c>
      <c r="L65" s="50">
        <v>0</v>
      </c>
      <c r="M65" s="50">
        <v>2</v>
      </c>
      <c r="N65" s="50">
        <v>0</v>
      </c>
      <c r="O65" s="15">
        <f t="shared" si="0"/>
        <v>8</v>
      </c>
      <c r="P65" s="15">
        <f t="shared" si="1"/>
        <v>10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3</v>
      </c>
      <c r="N66" s="50">
        <v>0</v>
      </c>
      <c r="O66" s="15">
        <f t="shared" si="0"/>
        <v>2</v>
      </c>
      <c r="P66" s="15">
        <f t="shared" si="1"/>
        <v>5</v>
      </c>
      <c r="R66" s="8"/>
      <c r="T66"/>
    </row>
    <row r="67" spans="2:20" ht="23.1" customHeight="1" x14ac:dyDescent="0.25">
      <c r="B67" s="45" t="s">
        <v>104</v>
      </c>
      <c r="C67" s="50">
        <v>20</v>
      </c>
      <c r="D67" s="50">
        <v>0</v>
      </c>
      <c r="E67" s="50">
        <v>0</v>
      </c>
      <c r="F67" s="50">
        <v>1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3</v>
      </c>
      <c r="N67" s="50">
        <v>0</v>
      </c>
      <c r="O67" s="15">
        <f t="shared" si="0"/>
        <v>22</v>
      </c>
      <c r="P67" s="15">
        <f t="shared" si="1"/>
        <v>25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1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0"/>
        <v>1</v>
      </c>
      <c r="P68" s="15">
        <f t="shared" si="1"/>
        <v>2</v>
      </c>
      <c r="R68" s="8"/>
      <c r="T68"/>
    </row>
    <row r="69" spans="2:20" ht="23.1" customHeight="1" x14ac:dyDescent="0.25">
      <c r="B69" s="45" t="s">
        <v>106</v>
      </c>
      <c r="C69" s="50">
        <v>2</v>
      </c>
      <c r="D69" s="50">
        <v>0</v>
      </c>
      <c r="E69" s="50">
        <v>0</v>
      </c>
      <c r="F69" s="50">
        <v>1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4</v>
      </c>
      <c r="P69" s="15">
        <f t="shared" si="1"/>
        <v>6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1</v>
      </c>
      <c r="K70" s="50">
        <v>0</v>
      </c>
      <c r="L70" s="50">
        <v>0</v>
      </c>
      <c r="M70" s="50">
        <v>2</v>
      </c>
      <c r="N70" s="50">
        <v>0</v>
      </c>
      <c r="O70" s="15">
        <f t="shared" si="0"/>
        <v>1</v>
      </c>
      <c r="P70" s="15">
        <f t="shared" si="1"/>
        <v>3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2</v>
      </c>
      <c r="J71" s="50">
        <v>1</v>
      </c>
      <c r="K71" s="50">
        <v>0</v>
      </c>
      <c r="L71" s="50">
        <v>0</v>
      </c>
      <c r="M71" s="50">
        <v>1</v>
      </c>
      <c r="N71" s="50">
        <v>0</v>
      </c>
      <c r="O71" s="15">
        <f t="shared" si="0"/>
        <v>3</v>
      </c>
      <c r="P71" s="15">
        <f t="shared" si="1"/>
        <v>4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2</v>
      </c>
      <c r="J72" s="50">
        <v>0</v>
      </c>
      <c r="K72" s="50">
        <v>0</v>
      </c>
      <c r="L72" s="50">
        <v>0</v>
      </c>
      <c r="M72" s="50">
        <v>1</v>
      </c>
      <c r="N72" s="50">
        <v>0</v>
      </c>
      <c r="O72" s="15">
        <f t="shared" si="0"/>
        <v>2</v>
      </c>
      <c r="P72" s="15">
        <f t="shared" si="1"/>
        <v>3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1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2</v>
      </c>
      <c r="P73" s="15">
        <f t="shared" si="1"/>
        <v>3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2</v>
      </c>
      <c r="P74" s="15">
        <f t="shared" ref="P74:P105" si="36">SUM(C74:N74)</f>
        <v>2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1</v>
      </c>
      <c r="P75" s="15">
        <f t="shared" si="36"/>
        <v>1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1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1</v>
      </c>
      <c r="P78" s="15">
        <f t="shared" si="36"/>
        <v>2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1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1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1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1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1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1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1</v>
      </c>
      <c r="L93" s="50">
        <v>0</v>
      </c>
      <c r="M93" s="50">
        <v>0</v>
      </c>
      <c r="N93" s="50"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2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2</v>
      </c>
      <c r="P95" s="15">
        <f t="shared" si="36"/>
        <v>3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3</v>
      </c>
      <c r="N97" s="50">
        <v>0</v>
      </c>
      <c r="O97" s="15">
        <f t="shared" si="35"/>
        <v>1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2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1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2</v>
      </c>
      <c r="P99" s="15">
        <f t="shared" si="36"/>
        <v>4</v>
      </c>
      <c r="R99" s="8"/>
      <c r="T99"/>
    </row>
    <row r="100" spans="2:20" ht="23.1" customHeight="1" x14ac:dyDescent="0.25">
      <c r="B100" s="47" t="s">
        <v>140</v>
      </c>
      <c r="C100" s="50">
        <v>2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2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4</v>
      </c>
      <c r="P100" s="15">
        <f t="shared" si="36"/>
        <v>5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4</v>
      </c>
      <c r="N101" s="50">
        <v>0</v>
      </c>
      <c r="O101" s="15">
        <f t="shared" si="35"/>
        <v>1</v>
      </c>
      <c r="P101" s="15">
        <f t="shared" si="36"/>
        <v>5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0</v>
      </c>
      <c r="E102" s="50">
        <v>0</v>
      </c>
      <c r="F102" s="50">
        <v>2</v>
      </c>
      <c r="G102" s="50">
        <v>0</v>
      </c>
      <c r="H102" s="50">
        <v>0</v>
      </c>
      <c r="I102" s="50">
        <v>0</v>
      </c>
      <c r="J102" s="50">
        <v>1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5</v>
      </c>
      <c r="P102" s="15">
        <f t="shared" si="36"/>
        <v>7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1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1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1</v>
      </c>
      <c r="E104" s="50">
        <v>0</v>
      </c>
      <c r="F104" s="50">
        <v>0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2</v>
      </c>
      <c r="N104" s="50">
        <v>0</v>
      </c>
      <c r="O104" s="15">
        <f t="shared" si="35"/>
        <v>2</v>
      </c>
      <c r="P104" s="15">
        <f t="shared" si="36"/>
        <v>4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66</v>
      </c>
      <c r="D106" s="16">
        <f t="shared" ref="D106:P106" si="37">SUM(D10:D105)</f>
        <v>5</v>
      </c>
      <c r="E106" s="16">
        <f t="shared" si="37"/>
        <v>14</v>
      </c>
      <c r="F106" s="16">
        <f t="shared" si="37"/>
        <v>26</v>
      </c>
      <c r="G106" s="16">
        <f t="shared" si="37"/>
        <v>4</v>
      </c>
      <c r="H106" s="16">
        <f t="shared" si="37"/>
        <v>2</v>
      </c>
      <c r="I106" s="16">
        <f t="shared" si="37"/>
        <v>46</v>
      </c>
      <c r="J106" s="16">
        <f t="shared" si="37"/>
        <v>17</v>
      </c>
      <c r="K106" s="16">
        <f t="shared" si="37"/>
        <v>5</v>
      </c>
      <c r="L106" s="16">
        <f t="shared" si="37"/>
        <v>2</v>
      </c>
      <c r="M106" s="16">
        <f t="shared" si="37"/>
        <v>268</v>
      </c>
      <c r="N106" s="16">
        <f t="shared" si="37"/>
        <v>0</v>
      </c>
      <c r="O106" s="16">
        <f t="shared" si="37"/>
        <v>187</v>
      </c>
      <c r="P106" s="16">
        <f t="shared" si="37"/>
        <v>455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0.14505494505494507</v>
      </c>
      <c r="D107" s="43">
        <f t="shared" si="38"/>
        <v>1.098901098901099E-2</v>
      </c>
      <c r="E107" s="43">
        <f t="shared" si="38"/>
        <v>3.0769230769230771E-2</v>
      </c>
      <c r="F107" s="43">
        <f t="shared" si="38"/>
        <v>5.7142857142857141E-2</v>
      </c>
      <c r="G107" s="43">
        <f t="shared" si="38"/>
        <v>8.7912087912087912E-3</v>
      </c>
      <c r="H107" s="43">
        <f t="shared" si="38"/>
        <v>4.3956043956043956E-3</v>
      </c>
      <c r="I107" s="43">
        <f t="shared" si="38"/>
        <v>0.1010989010989011</v>
      </c>
      <c r="J107" s="43">
        <f t="shared" si="38"/>
        <v>3.7362637362637362E-2</v>
      </c>
      <c r="K107" s="43">
        <f t="shared" si="38"/>
        <v>1.098901098901099E-2</v>
      </c>
      <c r="L107" s="43">
        <f t="shared" si="38"/>
        <v>4.3956043956043956E-3</v>
      </c>
      <c r="M107" s="43">
        <f t="shared" si="38"/>
        <v>0.58901098901098903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0.35294117647058826</v>
      </c>
      <c r="D108" s="44">
        <f t="shared" ref="D108:N108" si="39">D106/$O$106</f>
        <v>2.6737967914438502E-2</v>
      </c>
      <c r="E108" s="44">
        <f t="shared" si="39"/>
        <v>7.4866310160427801E-2</v>
      </c>
      <c r="F108" s="44">
        <f t="shared" si="39"/>
        <v>0.13903743315508021</v>
      </c>
      <c r="G108" s="44">
        <f t="shared" si="39"/>
        <v>2.1390374331550801E-2</v>
      </c>
      <c r="H108" s="44">
        <f t="shared" si="39"/>
        <v>1.06951871657754E-2</v>
      </c>
      <c r="I108" s="44">
        <f t="shared" si="39"/>
        <v>0.24598930481283424</v>
      </c>
      <c r="J108" s="44">
        <f t="shared" si="39"/>
        <v>9.0909090909090912E-2</v>
      </c>
      <c r="K108" s="44">
        <f t="shared" si="39"/>
        <v>2.6737967914438502E-2</v>
      </c>
      <c r="L108" s="44">
        <f t="shared" si="39"/>
        <v>1.06951871657754E-2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B1:AF174"/>
  <sheetViews>
    <sheetView view="pageBreakPreview" topLeftCell="A43" zoomScale="70" zoomScaleSheetLayoutView="7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'17.10 KAPEEKA-NGOMA'!C3:G3</f>
        <v>KAPEEKA -NGOMA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'21.10 KAPEEKA-NGOMA-24h'!D5</f>
        <v>21.10.2019</v>
      </c>
      <c r="E5" s="3"/>
      <c r="F5" s="41" t="s">
        <v>1</v>
      </c>
      <c r="G5" s="56" t="str">
        <f>'21.10 KAPEEKA-NGOMA-24h'!G5:H5</f>
        <v>BUTALANGU</v>
      </c>
      <c r="H5" s="57"/>
      <c r="I5" s="14"/>
      <c r="J5" s="2" t="s">
        <v>5</v>
      </c>
      <c r="K5" s="56" t="s">
        <v>176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'17.10 NGOMA-KAPEEKA'!D6:E6</f>
        <v>NGOMA</v>
      </c>
      <c r="E6" s="57"/>
      <c r="F6" s="2" t="s">
        <v>2</v>
      </c>
      <c r="G6" s="56" t="str">
        <f>'17.10 NGOMA-KAPEEKA'!G6:H6</f>
        <v>KAPEEKA</v>
      </c>
      <c r="H6" s="57"/>
      <c r="J6" s="2" t="s">
        <v>21</v>
      </c>
      <c r="K6" s="56" t="str">
        <f>'21.10 KAPEEKA-NGOMA-24h'!K6:L6</f>
        <v>MIREMBE RUTH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3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</v>
      </c>
      <c r="AD10" s="17">
        <f t="shared" si="2"/>
        <v>0</v>
      </c>
      <c r="AE10" s="31">
        <f t="shared" si="2"/>
        <v>5</v>
      </c>
      <c r="AF10" s="31">
        <f t="shared" si="2"/>
        <v>14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0</v>
      </c>
      <c r="P11" s="15">
        <f t="shared" si="1"/>
        <v>1</v>
      </c>
      <c r="R11" s="1" t="s">
        <v>7</v>
      </c>
      <c r="S11" s="17">
        <f t="shared" ref="S11:AF11" si="3">SUM(C14:C17)</f>
        <v>1</v>
      </c>
      <c r="T11" s="17">
        <f t="shared" si="3"/>
        <v>2</v>
      </c>
      <c r="U11" s="17">
        <f t="shared" si="3"/>
        <v>1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13</v>
      </c>
      <c r="AD11" s="17">
        <f t="shared" si="3"/>
        <v>0</v>
      </c>
      <c r="AE11" s="31">
        <f t="shared" si="3"/>
        <v>8</v>
      </c>
      <c r="AF11" s="31">
        <f t="shared" si="3"/>
        <v>21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2</v>
      </c>
      <c r="P12" s="15">
        <f t="shared" si="1"/>
        <v>4</v>
      </c>
      <c r="R12" s="1" t="s">
        <v>8</v>
      </c>
      <c r="S12" s="17">
        <f t="shared" ref="S12:AF12" si="4">SUM(C18:C21)</f>
        <v>1</v>
      </c>
      <c r="T12" s="17">
        <f t="shared" si="4"/>
        <v>1</v>
      </c>
      <c r="U12" s="17">
        <f t="shared" si="4"/>
        <v>0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17</v>
      </c>
      <c r="AD12" s="17">
        <f t="shared" si="4"/>
        <v>0</v>
      </c>
      <c r="AE12" s="31">
        <f t="shared" si="4"/>
        <v>3</v>
      </c>
      <c r="AF12" s="31">
        <f t="shared" si="4"/>
        <v>20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2</v>
      </c>
      <c r="P13" s="15">
        <f t="shared" si="1"/>
        <v>6</v>
      </c>
      <c r="R13" s="1" t="s">
        <v>9</v>
      </c>
      <c r="S13" s="17">
        <f t="shared" ref="S13:AF13" si="5">SUM(C22:C25)</f>
        <v>3</v>
      </c>
      <c r="T13" s="17">
        <f t="shared" si="5"/>
        <v>1</v>
      </c>
      <c r="U13" s="17">
        <f t="shared" si="5"/>
        <v>2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12</v>
      </c>
      <c r="AD13" s="17">
        <f t="shared" si="5"/>
        <v>0</v>
      </c>
      <c r="AE13" s="31">
        <f t="shared" si="5"/>
        <v>10</v>
      </c>
      <c r="AF13" s="31">
        <f t="shared" si="5"/>
        <v>22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1</v>
      </c>
      <c r="P14" s="15">
        <f t="shared" si="1"/>
        <v>2</v>
      </c>
      <c r="R14" s="1" t="s">
        <v>10</v>
      </c>
      <c r="S14" s="17">
        <f t="shared" ref="S14:AF14" si="6">SUM(C26:C29)</f>
        <v>1</v>
      </c>
      <c r="T14" s="17">
        <f t="shared" si="6"/>
        <v>1</v>
      </c>
      <c r="U14" s="17">
        <f t="shared" si="6"/>
        <v>0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23</v>
      </c>
      <c r="AD14" s="17">
        <f t="shared" si="6"/>
        <v>0</v>
      </c>
      <c r="AE14" s="31">
        <f t="shared" si="6"/>
        <v>4</v>
      </c>
      <c r="AF14" s="31">
        <f t="shared" si="6"/>
        <v>27</v>
      </c>
    </row>
    <row r="15" spans="2:32" ht="23.1" customHeight="1" x14ac:dyDescent="0.25">
      <c r="B15" s="45" t="s">
        <v>42</v>
      </c>
      <c r="C15" s="50">
        <v>0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2</v>
      </c>
      <c r="P15" s="15">
        <f t="shared" si="1"/>
        <v>4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1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19</v>
      </c>
      <c r="AD15" s="17">
        <f t="shared" si="7"/>
        <v>0</v>
      </c>
      <c r="AE15" s="31">
        <f t="shared" si="7"/>
        <v>6</v>
      </c>
      <c r="AF15" s="31">
        <f t="shared" si="7"/>
        <v>25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0</v>
      </c>
      <c r="P16" s="15">
        <f t="shared" si="1"/>
        <v>3</v>
      </c>
      <c r="R16" s="1" t="s">
        <v>12</v>
      </c>
      <c r="S16" s="17">
        <f t="shared" ref="S16:AF16" si="8">SUM(C34:C37)</f>
        <v>4</v>
      </c>
      <c r="T16" s="17">
        <f t="shared" si="8"/>
        <v>2</v>
      </c>
      <c r="U16" s="17">
        <f t="shared" si="8"/>
        <v>0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23</v>
      </c>
      <c r="AD16" s="17">
        <f t="shared" si="8"/>
        <v>0</v>
      </c>
      <c r="AE16" s="31">
        <f t="shared" si="8"/>
        <v>13</v>
      </c>
      <c r="AF16" s="31">
        <f t="shared" si="8"/>
        <v>36</v>
      </c>
    </row>
    <row r="17" spans="2:32" ht="23.1" customHeight="1" x14ac:dyDescent="0.25">
      <c r="B17" s="45" t="s">
        <v>44</v>
      </c>
      <c r="C17" s="50">
        <v>0</v>
      </c>
      <c r="D17" s="50">
        <v>1</v>
      </c>
      <c r="E17" s="50">
        <v>1</v>
      </c>
      <c r="F17" s="50">
        <v>3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7</v>
      </c>
      <c r="N17" s="50">
        <v>0</v>
      </c>
      <c r="O17" s="15">
        <f t="shared" si="0"/>
        <v>5</v>
      </c>
      <c r="P17" s="15">
        <f t="shared" si="1"/>
        <v>12</v>
      </c>
      <c r="R17" s="1" t="s">
        <v>13</v>
      </c>
      <c r="S17" s="17">
        <f t="shared" ref="S17:AF17" si="9">SUM(C38:C41)</f>
        <v>2</v>
      </c>
      <c r="T17" s="17">
        <f t="shared" si="9"/>
        <v>1</v>
      </c>
      <c r="U17" s="17">
        <f t="shared" si="9"/>
        <v>0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25</v>
      </c>
      <c r="AD17" s="17">
        <f t="shared" si="9"/>
        <v>0</v>
      </c>
      <c r="AE17" s="31">
        <f t="shared" si="9"/>
        <v>8</v>
      </c>
      <c r="AF17" s="31">
        <f t="shared" si="9"/>
        <v>33</v>
      </c>
    </row>
    <row r="18" spans="2:32" ht="23.1" customHeight="1" x14ac:dyDescent="0.25">
      <c r="B18" s="45" t="s">
        <v>45</v>
      </c>
      <c r="C18" s="50">
        <v>1</v>
      </c>
      <c r="D18" s="50">
        <v>1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3</v>
      </c>
      <c r="P18" s="15">
        <f t="shared" si="1"/>
        <v>7</v>
      </c>
      <c r="R18" s="1" t="s">
        <v>14</v>
      </c>
      <c r="S18" s="17">
        <f t="shared" ref="S18:AF18" si="10">SUM(C42:C45)</f>
        <v>5</v>
      </c>
      <c r="T18" s="17">
        <f t="shared" si="10"/>
        <v>1</v>
      </c>
      <c r="U18" s="17">
        <f t="shared" si="10"/>
        <v>0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20</v>
      </c>
      <c r="AD18" s="17">
        <f t="shared" si="10"/>
        <v>0</v>
      </c>
      <c r="AE18" s="31">
        <f t="shared" si="10"/>
        <v>8</v>
      </c>
      <c r="AF18" s="31">
        <f t="shared" si="10"/>
        <v>28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9</v>
      </c>
      <c r="N19" s="50">
        <v>0</v>
      </c>
      <c r="O19" s="15">
        <f t="shared" si="0"/>
        <v>0</v>
      </c>
      <c r="P19" s="15">
        <f t="shared" si="1"/>
        <v>9</v>
      </c>
      <c r="R19" s="1" t="s">
        <v>15</v>
      </c>
      <c r="S19" s="17">
        <f t="shared" ref="S19:AF19" si="11">SUM(C46:C49)</f>
        <v>2</v>
      </c>
      <c r="T19" s="17">
        <f t="shared" si="11"/>
        <v>0</v>
      </c>
      <c r="U19" s="17">
        <f t="shared" si="11"/>
        <v>0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22</v>
      </c>
      <c r="AD19" s="17">
        <f t="shared" si="11"/>
        <v>0</v>
      </c>
      <c r="AE19" s="31">
        <f t="shared" si="11"/>
        <v>5</v>
      </c>
      <c r="AF19" s="31">
        <f t="shared" si="11"/>
        <v>27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4</v>
      </c>
      <c r="N20" s="50">
        <v>0</v>
      </c>
      <c r="O20" s="15">
        <f t="shared" si="0"/>
        <v>0</v>
      </c>
      <c r="P20" s="15">
        <f t="shared" si="1"/>
        <v>4</v>
      </c>
      <c r="R20" s="1" t="s">
        <v>16</v>
      </c>
      <c r="S20" s="17">
        <f t="shared" ref="S20:AF20" si="12">SUM(C50:C53)</f>
        <v>2</v>
      </c>
      <c r="T20" s="17">
        <f t="shared" si="12"/>
        <v>2</v>
      </c>
      <c r="U20" s="17">
        <f t="shared" si="12"/>
        <v>2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23</v>
      </c>
      <c r="AD20" s="17">
        <f t="shared" si="12"/>
        <v>0</v>
      </c>
      <c r="AE20" s="31">
        <f t="shared" si="12"/>
        <v>10</v>
      </c>
      <c r="AF20" s="31">
        <f t="shared" si="12"/>
        <v>33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0</v>
      </c>
      <c r="P21" s="15">
        <f t="shared" si="1"/>
        <v>0</v>
      </c>
      <c r="R21" s="36" t="s">
        <v>20</v>
      </c>
      <c r="S21" s="34">
        <f t="shared" ref="S21:AF21" si="13">SUM(C54:C57)</f>
        <v>3</v>
      </c>
      <c r="T21" s="17">
        <f t="shared" si="13"/>
        <v>0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22</v>
      </c>
      <c r="AD21" s="17">
        <f t="shared" si="13"/>
        <v>0</v>
      </c>
      <c r="AE21" s="31">
        <f t="shared" si="13"/>
        <v>8</v>
      </c>
      <c r="AF21" s="31">
        <f t="shared" si="13"/>
        <v>30</v>
      </c>
    </row>
    <row r="22" spans="2:32" ht="23.1" customHeight="1" x14ac:dyDescent="0.25">
      <c r="B22" s="45" t="s">
        <v>49</v>
      </c>
      <c r="C22" s="50">
        <v>0</v>
      </c>
      <c r="D22" s="50">
        <v>1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3</v>
      </c>
      <c r="N22" s="50">
        <v>0</v>
      </c>
      <c r="O22" s="15">
        <f t="shared" si="0"/>
        <v>3</v>
      </c>
      <c r="P22" s="15">
        <f t="shared" si="1"/>
        <v>6</v>
      </c>
      <c r="R22" s="36" t="s">
        <v>146</v>
      </c>
      <c r="S22" s="34">
        <f>SUM(C58:C61)</f>
        <v>2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4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27</v>
      </c>
      <c r="AD22" s="34">
        <f t="shared" si="14"/>
        <v>0</v>
      </c>
      <c r="AE22" s="31">
        <f t="shared" si="14"/>
        <v>8</v>
      </c>
      <c r="AF22" s="31">
        <f t="shared" si="14"/>
        <v>35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1</v>
      </c>
      <c r="P23" s="15">
        <f t="shared" si="1"/>
        <v>4</v>
      </c>
      <c r="R23" s="36" t="s">
        <v>147</v>
      </c>
      <c r="S23" s="34">
        <f>SUM(C62:C65)</f>
        <v>3</v>
      </c>
      <c r="T23" s="34">
        <f t="shared" ref="T23:AF23" si="15">SUM(D62:D65)</f>
        <v>0</v>
      </c>
      <c r="U23" s="34">
        <f t="shared" si="15"/>
        <v>1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10</v>
      </c>
      <c r="AD23" s="34">
        <f t="shared" si="15"/>
        <v>0</v>
      </c>
      <c r="AE23" s="31">
        <f t="shared" si="15"/>
        <v>7</v>
      </c>
      <c r="AF23" s="31">
        <f t="shared" si="15"/>
        <v>17</v>
      </c>
    </row>
    <row r="24" spans="2:32" ht="23.1" customHeight="1" x14ac:dyDescent="0.25">
      <c r="B24" s="45" t="s">
        <v>51</v>
      </c>
      <c r="C24" s="50">
        <v>2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4</v>
      </c>
      <c r="N24" s="50">
        <v>0</v>
      </c>
      <c r="O24" s="15">
        <f t="shared" si="0"/>
        <v>3</v>
      </c>
      <c r="P24" s="15">
        <f t="shared" si="1"/>
        <v>7</v>
      </c>
      <c r="R24" s="36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4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17</v>
      </c>
      <c r="AD24" s="34">
        <f t="shared" si="16"/>
        <v>0</v>
      </c>
      <c r="AE24" s="31">
        <f t="shared" si="16"/>
        <v>5</v>
      </c>
      <c r="AF24" s="31">
        <f t="shared" si="16"/>
        <v>22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</v>
      </c>
      <c r="N25" s="50">
        <v>0</v>
      </c>
      <c r="O25" s="15">
        <f t="shared" si="0"/>
        <v>3</v>
      </c>
      <c r="P25" s="15">
        <f t="shared" si="1"/>
        <v>5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7</v>
      </c>
      <c r="AD25" s="34">
        <f t="shared" si="17"/>
        <v>0</v>
      </c>
      <c r="AE25" s="31">
        <f t="shared" si="17"/>
        <v>3</v>
      </c>
      <c r="AF25" s="31">
        <f t="shared" si="17"/>
        <v>10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9</v>
      </c>
      <c r="N26" s="50">
        <v>0</v>
      </c>
      <c r="O26" s="15">
        <f t="shared" si="0"/>
        <v>1</v>
      </c>
      <c r="P26" s="15">
        <f t="shared" si="1"/>
        <v>10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7</v>
      </c>
      <c r="AF26" s="31">
        <f t="shared" si="18"/>
        <v>7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</v>
      </c>
      <c r="N27" s="50">
        <v>0</v>
      </c>
      <c r="O27" s="15">
        <f t="shared" si="0"/>
        <v>2</v>
      </c>
      <c r="P27" s="15">
        <f t="shared" si="1"/>
        <v>3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4</v>
      </c>
      <c r="AF27" s="31">
        <f t="shared" si="19"/>
        <v>4</v>
      </c>
    </row>
    <row r="28" spans="2:32" ht="23.1" customHeight="1" x14ac:dyDescent="0.25">
      <c r="B28" s="45" t="s">
        <v>55</v>
      </c>
      <c r="C28" s="50">
        <v>0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8</v>
      </c>
      <c r="N28" s="50">
        <v>0</v>
      </c>
      <c r="O28" s="15">
        <f t="shared" si="0"/>
        <v>1</v>
      </c>
      <c r="P28" s="15">
        <f t="shared" si="1"/>
        <v>9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1</v>
      </c>
      <c r="AF28" s="31">
        <f t="shared" si="20"/>
        <v>1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0</v>
      </c>
      <c r="P29" s="15">
        <f t="shared" si="1"/>
        <v>5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1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1</v>
      </c>
      <c r="AF29" s="31">
        <f t="shared" si="21"/>
        <v>1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3</v>
      </c>
      <c r="P30" s="15">
        <f t="shared" si="1"/>
        <v>7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2</v>
      </c>
      <c r="AF30" s="31">
        <f t="shared" si="22"/>
        <v>2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4</v>
      </c>
      <c r="N31" s="50">
        <v>0</v>
      </c>
      <c r="O31" s="15">
        <f t="shared" si="0"/>
        <v>0</v>
      </c>
      <c r="P31" s="15">
        <f t="shared" si="1"/>
        <v>4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</v>
      </c>
      <c r="AD31" s="34">
        <f t="shared" si="23"/>
        <v>0</v>
      </c>
      <c r="AE31" s="31">
        <f t="shared" si="23"/>
        <v>3</v>
      </c>
      <c r="AF31" s="31">
        <f t="shared" si="23"/>
        <v>6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2</v>
      </c>
      <c r="P32" s="15">
        <f t="shared" si="1"/>
        <v>4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6</v>
      </c>
      <c r="AD32" s="34">
        <f t="shared" si="24"/>
        <v>0</v>
      </c>
      <c r="AE32" s="31">
        <f t="shared" si="24"/>
        <v>6</v>
      </c>
      <c r="AF32" s="31">
        <f t="shared" si="24"/>
        <v>12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9</v>
      </c>
      <c r="N33" s="50">
        <v>0</v>
      </c>
      <c r="O33" s="15">
        <f t="shared" si="0"/>
        <v>1</v>
      </c>
      <c r="P33" s="15">
        <f t="shared" si="1"/>
        <v>10</v>
      </c>
      <c r="R33" s="33" t="s">
        <v>157</v>
      </c>
      <c r="S33" s="34">
        <f>SUM(C102:C105)</f>
        <v>1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2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8</v>
      </c>
      <c r="AD33" s="34">
        <f t="shared" si="25"/>
        <v>0</v>
      </c>
      <c r="AE33" s="31">
        <f t="shared" si="25"/>
        <v>7</v>
      </c>
      <c r="AF33" s="31">
        <f t="shared" si="25"/>
        <v>15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8</v>
      </c>
      <c r="N34" s="50">
        <v>0</v>
      </c>
      <c r="O34" s="15">
        <f t="shared" si="0"/>
        <v>3</v>
      </c>
      <c r="P34" s="15">
        <f t="shared" si="1"/>
        <v>11</v>
      </c>
      <c r="R34" s="38" t="s">
        <v>90</v>
      </c>
      <c r="S34" s="39">
        <f t="shared" ref="S34:AF34" si="26">MAX(S10:S12)</f>
        <v>1</v>
      </c>
      <c r="T34" s="39">
        <f t="shared" si="26"/>
        <v>2</v>
      </c>
      <c r="U34" s="39">
        <f t="shared" si="26"/>
        <v>1</v>
      </c>
      <c r="V34" s="39">
        <f t="shared" si="26"/>
        <v>3</v>
      </c>
      <c r="W34" s="39">
        <f t="shared" si="26"/>
        <v>0</v>
      </c>
      <c r="X34" s="39">
        <f t="shared" si="26"/>
        <v>0</v>
      </c>
      <c r="Y34" s="39">
        <f t="shared" si="26"/>
        <v>2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17</v>
      </c>
      <c r="AD34" s="39">
        <f t="shared" si="26"/>
        <v>0</v>
      </c>
      <c r="AE34" s="40">
        <f t="shared" si="26"/>
        <v>8</v>
      </c>
      <c r="AF34" s="40">
        <f t="shared" si="26"/>
        <v>21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0</v>
      </c>
      <c r="P35" s="15">
        <f t="shared" si="1"/>
        <v>7</v>
      </c>
      <c r="R35" s="38" t="s">
        <v>91</v>
      </c>
      <c r="S35" s="39">
        <f t="shared" ref="S35:AF35" si="27">MAX(S13:S18)</f>
        <v>5</v>
      </c>
      <c r="T35" s="39">
        <f t="shared" si="27"/>
        <v>2</v>
      </c>
      <c r="U35" s="39">
        <f t="shared" si="27"/>
        <v>2</v>
      </c>
      <c r="V35" s="39">
        <f t="shared" si="27"/>
        <v>5</v>
      </c>
      <c r="W35" s="39">
        <f t="shared" si="27"/>
        <v>0</v>
      </c>
      <c r="X35" s="39">
        <f t="shared" si="27"/>
        <v>0</v>
      </c>
      <c r="Y35" s="39">
        <f t="shared" si="27"/>
        <v>1</v>
      </c>
      <c r="Z35" s="39">
        <f t="shared" si="27"/>
        <v>1</v>
      </c>
      <c r="AA35" s="39">
        <f t="shared" si="27"/>
        <v>0</v>
      </c>
      <c r="AB35" s="39">
        <f t="shared" si="27"/>
        <v>0</v>
      </c>
      <c r="AC35" s="39">
        <f t="shared" si="27"/>
        <v>25</v>
      </c>
      <c r="AD35" s="39">
        <f t="shared" si="27"/>
        <v>0</v>
      </c>
      <c r="AE35" s="40">
        <f t="shared" si="27"/>
        <v>13</v>
      </c>
      <c r="AF35" s="40">
        <f t="shared" si="27"/>
        <v>36</v>
      </c>
    </row>
    <row r="36" spans="2:32" ht="23.1" customHeight="1" x14ac:dyDescent="0.25">
      <c r="B36" s="46" t="s">
        <v>63</v>
      </c>
      <c r="C36" s="50">
        <v>2</v>
      </c>
      <c r="D36" s="50">
        <v>1</v>
      </c>
      <c r="E36" s="50">
        <v>0</v>
      </c>
      <c r="F36" s="50">
        <v>4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5</v>
      </c>
      <c r="N36" s="50">
        <v>0</v>
      </c>
      <c r="O36" s="15">
        <f t="shared" si="0"/>
        <v>8</v>
      </c>
      <c r="P36" s="15">
        <f t="shared" si="1"/>
        <v>13</v>
      </c>
      <c r="R36" s="38" t="s">
        <v>92</v>
      </c>
      <c r="S36" s="39">
        <f t="shared" ref="S36:AF36" si="28">MAX(S19:S21)</f>
        <v>3</v>
      </c>
      <c r="T36" s="39">
        <f t="shared" si="28"/>
        <v>2</v>
      </c>
      <c r="U36" s="39">
        <f t="shared" si="28"/>
        <v>2</v>
      </c>
      <c r="V36" s="39">
        <f t="shared" si="28"/>
        <v>2</v>
      </c>
      <c r="W36" s="39">
        <f t="shared" si="28"/>
        <v>0</v>
      </c>
      <c r="X36" s="39">
        <f t="shared" si="28"/>
        <v>0</v>
      </c>
      <c r="Y36" s="39">
        <f t="shared" si="28"/>
        <v>2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23</v>
      </c>
      <c r="AD36" s="39">
        <f t="shared" si="28"/>
        <v>0</v>
      </c>
      <c r="AE36" s="40">
        <f t="shared" si="28"/>
        <v>10</v>
      </c>
      <c r="AF36" s="40">
        <f t="shared" si="28"/>
        <v>33</v>
      </c>
    </row>
    <row r="37" spans="2:32" ht="23.1" customHeight="1" x14ac:dyDescent="0.25">
      <c r="B37" s="45" t="s">
        <v>64</v>
      </c>
      <c r="C37" s="50">
        <v>1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3</v>
      </c>
      <c r="N37" s="50">
        <v>0</v>
      </c>
      <c r="O37" s="15">
        <f t="shared" si="0"/>
        <v>2</v>
      </c>
      <c r="P37" s="15">
        <f t="shared" si="1"/>
        <v>5</v>
      </c>
      <c r="R37" s="37" t="s">
        <v>85</v>
      </c>
      <c r="S37" s="35">
        <f t="shared" ref="S37:AF37" si="29">SUM(S10:S12)</f>
        <v>2</v>
      </c>
      <c r="T37" s="16">
        <f t="shared" si="29"/>
        <v>3</v>
      </c>
      <c r="U37" s="16">
        <f t="shared" si="29"/>
        <v>1</v>
      </c>
      <c r="V37" s="16">
        <f t="shared" si="29"/>
        <v>7</v>
      </c>
      <c r="W37" s="16">
        <f t="shared" si="29"/>
        <v>0</v>
      </c>
      <c r="X37" s="16">
        <f t="shared" si="29"/>
        <v>0</v>
      </c>
      <c r="Y37" s="16">
        <f t="shared" si="29"/>
        <v>3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39</v>
      </c>
      <c r="AD37" s="16">
        <f t="shared" si="29"/>
        <v>0</v>
      </c>
      <c r="AE37" s="32">
        <f t="shared" si="29"/>
        <v>16</v>
      </c>
      <c r="AF37" s="32">
        <f t="shared" si="29"/>
        <v>55</v>
      </c>
    </row>
    <row r="38" spans="2:32" ht="23.1" customHeight="1" x14ac:dyDescent="0.25">
      <c r="B38" s="46" t="s">
        <v>65</v>
      </c>
      <c r="C38" s="50">
        <v>1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9</v>
      </c>
      <c r="N38" s="50">
        <v>0</v>
      </c>
      <c r="O38" s="15">
        <f t="shared" si="0"/>
        <v>3</v>
      </c>
      <c r="P38" s="15">
        <f t="shared" si="1"/>
        <v>12</v>
      </c>
      <c r="R38" s="28" t="s">
        <v>86</v>
      </c>
      <c r="S38" s="16">
        <f t="shared" ref="S38:AF38" si="30">SUM(S13:S18)</f>
        <v>17</v>
      </c>
      <c r="T38" s="16">
        <f t="shared" si="30"/>
        <v>6</v>
      </c>
      <c r="U38" s="16">
        <f t="shared" si="30"/>
        <v>3</v>
      </c>
      <c r="V38" s="16">
        <f t="shared" si="30"/>
        <v>16</v>
      </c>
      <c r="W38" s="16">
        <f t="shared" si="30"/>
        <v>0</v>
      </c>
      <c r="X38" s="16">
        <f t="shared" si="30"/>
        <v>0</v>
      </c>
      <c r="Y38" s="16">
        <f t="shared" si="30"/>
        <v>4</v>
      </c>
      <c r="Z38" s="16">
        <f t="shared" si="30"/>
        <v>3</v>
      </c>
      <c r="AA38" s="16">
        <f t="shared" si="30"/>
        <v>0</v>
      </c>
      <c r="AB38" s="16">
        <f t="shared" si="30"/>
        <v>0</v>
      </c>
      <c r="AC38" s="16">
        <f t="shared" si="30"/>
        <v>122</v>
      </c>
      <c r="AD38" s="16">
        <f t="shared" si="30"/>
        <v>0</v>
      </c>
      <c r="AE38" s="32">
        <f t="shared" si="30"/>
        <v>49</v>
      </c>
      <c r="AF38" s="32">
        <f t="shared" si="30"/>
        <v>171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5</v>
      </c>
      <c r="N39" s="50">
        <v>0</v>
      </c>
      <c r="O39" s="15">
        <f t="shared" si="0"/>
        <v>1</v>
      </c>
      <c r="P39" s="15">
        <f t="shared" si="1"/>
        <v>6</v>
      </c>
      <c r="R39" s="29" t="s">
        <v>87</v>
      </c>
      <c r="S39" s="16">
        <f t="shared" ref="S39:AF39" si="31">SUM(S19:S21)</f>
        <v>7</v>
      </c>
      <c r="T39" s="16">
        <f t="shared" si="31"/>
        <v>2</v>
      </c>
      <c r="U39" s="16">
        <f t="shared" si="31"/>
        <v>4</v>
      </c>
      <c r="V39" s="16">
        <f t="shared" si="31"/>
        <v>4</v>
      </c>
      <c r="W39" s="16">
        <f t="shared" si="31"/>
        <v>0</v>
      </c>
      <c r="X39" s="16">
        <f t="shared" si="31"/>
        <v>0</v>
      </c>
      <c r="Y39" s="16">
        <f t="shared" si="31"/>
        <v>5</v>
      </c>
      <c r="Z39" s="16">
        <f t="shared" si="31"/>
        <v>1</v>
      </c>
      <c r="AA39" s="16">
        <f t="shared" si="31"/>
        <v>0</v>
      </c>
      <c r="AB39" s="16">
        <f t="shared" si="31"/>
        <v>0</v>
      </c>
      <c r="AC39" s="16">
        <f t="shared" si="31"/>
        <v>67</v>
      </c>
      <c r="AD39" s="16">
        <f t="shared" si="31"/>
        <v>0</v>
      </c>
      <c r="AE39" s="32">
        <f t="shared" si="31"/>
        <v>23</v>
      </c>
      <c r="AF39" s="32">
        <f t="shared" si="31"/>
        <v>90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2</v>
      </c>
      <c r="P40" s="15">
        <f t="shared" si="1"/>
        <v>8</v>
      </c>
      <c r="R40" s="5" t="s">
        <v>17</v>
      </c>
      <c r="S40" s="16">
        <f t="shared" ref="S40:AF40" si="32">SUM(S10:S21)</f>
        <v>26</v>
      </c>
      <c r="T40" s="16">
        <f t="shared" si="32"/>
        <v>11</v>
      </c>
      <c r="U40" s="16">
        <f t="shared" si="32"/>
        <v>8</v>
      </c>
      <c r="V40" s="16">
        <f t="shared" si="32"/>
        <v>27</v>
      </c>
      <c r="W40" s="16">
        <f t="shared" si="32"/>
        <v>0</v>
      </c>
      <c r="X40" s="16">
        <f t="shared" si="32"/>
        <v>0</v>
      </c>
      <c r="Y40" s="16">
        <f t="shared" si="32"/>
        <v>12</v>
      </c>
      <c r="Z40" s="16">
        <f t="shared" si="32"/>
        <v>4</v>
      </c>
      <c r="AA40" s="16">
        <f t="shared" si="32"/>
        <v>0</v>
      </c>
      <c r="AB40" s="16">
        <f t="shared" si="32"/>
        <v>0</v>
      </c>
      <c r="AC40" s="16">
        <f t="shared" si="32"/>
        <v>228</v>
      </c>
      <c r="AD40" s="16">
        <f t="shared" si="32"/>
        <v>0</v>
      </c>
      <c r="AE40" s="32">
        <f t="shared" si="32"/>
        <v>88</v>
      </c>
      <c r="AF40" s="32">
        <f t="shared" si="32"/>
        <v>316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2</v>
      </c>
      <c r="P41" s="15">
        <f t="shared" si="1"/>
        <v>7</v>
      </c>
      <c r="R41" s="5" t="s">
        <v>159</v>
      </c>
      <c r="S41" s="16">
        <f>SUM(S10:S33)</f>
        <v>36</v>
      </c>
      <c r="T41" s="16">
        <f t="shared" ref="T41:AF41" si="33">SUM(T10:T33)</f>
        <v>12</v>
      </c>
      <c r="U41" s="16">
        <f t="shared" si="33"/>
        <v>10</v>
      </c>
      <c r="V41" s="16">
        <f t="shared" si="33"/>
        <v>33</v>
      </c>
      <c r="W41" s="16">
        <f t="shared" si="33"/>
        <v>0</v>
      </c>
      <c r="X41" s="16">
        <f t="shared" si="33"/>
        <v>0</v>
      </c>
      <c r="Y41" s="16">
        <f t="shared" si="33"/>
        <v>44</v>
      </c>
      <c r="Z41" s="16">
        <f t="shared" si="33"/>
        <v>6</v>
      </c>
      <c r="AA41" s="16">
        <f t="shared" si="33"/>
        <v>1</v>
      </c>
      <c r="AB41" s="16">
        <f t="shared" si="33"/>
        <v>0</v>
      </c>
      <c r="AC41" s="16">
        <f t="shared" si="33"/>
        <v>306</v>
      </c>
      <c r="AD41" s="16">
        <f t="shared" si="33"/>
        <v>0</v>
      </c>
      <c r="AE41" s="32">
        <f t="shared" si="33"/>
        <v>142</v>
      </c>
      <c r="AF41" s="32">
        <f t="shared" si="33"/>
        <v>448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9</v>
      </c>
      <c r="N42" s="50">
        <v>0</v>
      </c>
      <c r="O42" s="15">
        <f t="shared" si="0"/>
        <v>1</v>
      </c>
      <c r="P42" s="15">
        <f t="shared" si="1"/>
        <v>10</v>
      </c>
      <c r="R42" s="5" t="s">
        <v>160</v>
      </c>
      <c r="S42" s="48">
        <f>S41/S40</f>
        <v>1.3846153846153846</v>
      </c>
      <c r="T42" s="48">
        <f t="shared" ref="T42:AF42" si="34">T41/T40</f>
        <v>1.0909090909090908</v>
      </c>
      <c r="U42" s="48">
        <f t="shared" si="34"/>
        <v>1.25</v>
      </c>
      <c r="V42" s="48">
        <f t="shared" si="34"/>
        <v>1.2222222222222223</v>
      </c>
      <c r="W42" s="48" t="e">
        <f t="shared" si="34"/>
        <v>#DIV/0!</v>
      </c>
      <c r="X42" s="48" t="e">
        <f t="shared" si="34"/>
        <v>#DIV/0!</v>
      </c>
      <c r="Y42" s="48">
        <f t="shared" si="34"/>
        <v>3.6666666666666665</v>
      </c>
      <c r="Z42" s="48">
        <f t="shared" si="34"/>
        <v>1.5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1.3421052631578947</v>
      </c>
      <c r="AD42" s="48" t="e">
        <f t="shared" si="34"/>
        <v>#DIV/0!</v>
      </c>
      <c r="AE42" s="48">
        <f t="shared" si="34"/>
        <v>1.6136363636363635</v>
      </c>
      <c r="AF42" s="48">
        <f t="shared" si="34"/>
        <v>1.4177215189873418</v>
      </c>
    </row>
    <row r="43" spans="2:32" ht="23.1" customHeight="1" x14ac:dyDescent="0.25">
      <c r="B43" s="45" t="s">
        <v>70</v>
      </c>
      <c r="C43" s="50">
        <v>3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3</v>
      </c>
      <c r="N43" s="50">
        <v>0</v>
      </c>
      <c r="O43" s="15">
        <f t="shared" si="0"/>
        <v>3</v>
      </c>
      <c r="P43" s="15">
        <f t="shared" si="1"/>
        <v>6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6</v>
      </c>
      <c r="N44" s="50">
        <v>0</v>
      </c>
      <c r="O44" s="15">
        <f t="shared" si="0"/>
        <v>1</v>
      </c>
      <c r="P44" s="15">
        <f t="shared" si="1"/>
        <v>7</v>
      </c>
    </row>
    <row r="45" spans="2:32" ht="23.1" customHeight="1" x14ac:dyDescent="0.25">
      <c r="B45" s="45" t="s">
        <v>72</v>
      </c>
      <c r="C45" s="50">
        <v>0</v>
      </c>
      <c r="D45" s="50">
        <v>1</v>
      </c>
      <c r="E45" s="50">
        <v>0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2</v>
      </c>
      <c r="N45" s="50">
        <v>0</v>
      </c>
      <c r="O45" s="15">
        <f t="shared" si="0"/>
        <v>3</v>
      </c>
      <c r="P45" s="15">
        <f t="shared" si="1"/>
        <v>5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1</v>
      </c>
      <c r="P46" s="15">
        <f t="shared" si="1"/>
        <v>6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5</v>
      </c>
      <c r="N47" s="50">
        <v>0</v>
      </c>
      <c r="O47" s="15">
        <f t="shared" si="0"/>
        <v>2</v>
      </c>
      <c r="P47" s="15">
        <f t="shared" si="1"/>
        <v>7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7</v>
      </c>
      <c r="N48" s="50">
        <v>0</v>
      </c>
      <c r="O48" s="15">
        <f t="shared" si="0"/>
        <v>2</v>
      </c>
      <c r="P48" s="15">
        <f t="shared" si="1"/>
        <v>9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5</v>
      </c>
      <c r="N49" s="50">
        <v>0</v>
      </c>
      <c r="O49" s="15">
        <f t="shared" si="0"/>
        <v>0</v>
      </c>
      <c r="P49" s="15">
        <f t="shared" si="1"/>
        <v>5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5</v>
      </c>
      <c r="N50" s="50">
        <v>0</v>
      </c>
      <c r="O50" s="15">
        <f t="shared" si="0"/>
        <v>2</v>
      </c>
      <c r="P50" s="15">
        <f t="shared" si="1"/>
        <v>7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13</v>
      </c>
      <c r="N51" s="50">
        <v>0</v>
      </c>
      <c r="O51" s="15">
        <f t="shared" si="0"/>
        <v>1</v>
      </c>
      <c r="P51" s="15">
        <f t="shared" si="1"/>
        <v>14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1</v>
      </c>
      <c r="E52" s="50">
        <v>1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4</v>
      </c>
      <c r="P52" s="15">
        <f t="shared" si="1"/>
        <v>4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0</v>
      </c>
      <c r="E53" s="50">
        <v>1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5</v>
      </c>
      <c r="N53" s="50">
        <v>0</v>
      </c>
      <c r="O53" s="15">
        <f t="shared" si="0"/>
        <v>3</v>
      </c>
      <c r="P53" s="15">
        <f t="shared" si="1"/>
        <v>8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3</v>
      </c>
      <c r="P54" s="15">
        <f t="shared" si="1"/>
        <v>10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8</v>
      </c>
      <c r="N55" s="50">
        <v>0</v>
      </c>
      <c r="O55" s="15">
        <f t="shared" si="0"/>
        <v>1</v>
      </c>
      <c r="P55" s="15">
        <f t="shared" si="1"/>
        <v>9</v>
      </c>
      <c r="R55" s="8"/>
      <c r="T55"/>
    </row>
    <row r="56" spans="2:20" ht="23.1" customHeight="1" x14ac:dyDescent="0.25">
      <c r="B56" s="45" t="s">
        <v>83</v>
      </c>
      <c r="C56" s="50">
        <v>1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3</v>
      </c>
      <c r="N56" s="50">
        <v>0</v>
      </c>
      <c r="O56" s="15">
        <f t="shared" si="0"/>
        <v>2</v>
      </c>
      <c r="P56" s="15">
        <f t="shared" si="1"/>
        <v>5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2</v>
      </c>
      <c r="P57" s="15">
        <f t="shared" si="1"/>
        <v>6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3</v>
      </c>
      <c r="J58" s="50">
        <v>0</v>
      </c>
      <c r="K58" s="50">
        <v>0</v>
      </c>
      <c r="L58" s="50">
        <v>0</v>
      </c>
      <c r="M58" s="50">
        <v>7</v>
      </c>
      <c r="N58" s="50">
        <v>0</v>
      </c>
      <c r="O58" s="15">
        <f t="shared" si="0"/>
        <v>4</v>
      </c>
      <c r="P58" s="15">
        <f t="shared" si="1"/>
        <v>11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9</v>
      </c>
      <c r="N59" s="50">
        <v>0</v>
      </c>
      <c r="O59" s="15">
        <f t="shared" si="0"/>
        <v>0</v>
      </c>
      <c r="P59" s="15">
        <f t="shared" si="1"/>
        <v>9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1</v>
      </c>
      <c r="J60" s="50">
        <v>1</v>
      </c>
      <c r="K60" s="50">
        <v>0</v>
      </c>
      <c r="L60" s="50">
        <v>0</v>
      </c>
      <c r="M60" s="50">
        <v>4</v>
      </c>
      <c r="N60" s="50">
        <v>0</v>
      </c>
      <c r="O60" s="15">
        <f t="shared" si="0"/>
        <v>2</v>
      </c>
      <c r="P60" s="15">
        <f t="shared" si="1"/>
        <v>6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0</v>
      </c>
      <c r="E61" s="50">
        <v>0</v>
      </c>
      <c r="F61" s="50">
        <v>1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7</v>
      </c>
      <c r="N61" s="50">
        <v>0</v>
      </c>
      <c r="O61" s="15">
        <f t="shared" si="0"/>
        <v>2</v>
      </c>
      <c r="P61" s="15">
        <f t="shared" si="1"/>
        <v>9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0</v>
      </c>
      <c r="E62" s="50">
        <v>1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4</v>
      </c>
      <c r="N62" s="50">
        <v>0</v>
      </c>
      <c r="O62" s="15">
        <f t="shared" si="0"/>
        <v>2</v>
      </c>
      <c r="P62" s="15">
        <f t="shared" si="1"/>
        <v>6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2</v>
      </c>
      <c r="N63" s="50">
        <v>0</v>
      </c>
      <c r="O63" s="15">
        <f t="shared" si="0"/>
        <v>1</v>
      </c>
      <c r="P63" s="15">
        <f t="shared" si="1"/>
        <v>3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0</v>
      </c>
      <c r="F64" s="50">
        <v>1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2</v>
      </c>
      <c r="N64" s="50">
        <v>0</v>
      </c>
      <c r="O64" s="15">
        <f t="shared" si="0"/>
        <v>2</v>
      </c>
      <c r="P64" s="15">
        <f t="shared" si="1"/>
        <v>4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2</v>
      </c>
      <c r="N65" s="50">
        <v>0</v>
      </c>
      <c r="O65" s="15">
        <f t="shared" si="0"/>
        <v>2</v>
      </c>
      <c r="P65" s="15">
        <f t="shared" si="1"/>
        <v>4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2</v>
      </c>
      <c r="J66" s="50">
        <v>0</v>
      </c>
      <c r="K66" s="50">
        <v>0</v>
      </c>
      <c r="L66" s="50">
        <v>0</v>
      </c>
      <c r="M66" s="50">
        <v>8</v>
      </c>
      <c r="N66" s="50">
        <v>0</v>
      </c>
      <c r="O66" s="15">
        <f t="shared" si="0"/>
        <v>2</v>
      </c>
      <c r="P66" s="15">
        <f t="shared" si="1"/>
        <v>10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3</v>
      </c>
      <c r="N67" s="50">
        <v>0</v>
      </c>
      <c r="O67" s="15">
        <f t="shared" si="0"/>
        <v>0</v>
      </c>
      <c r="P67" s="15">
        <f t="shared" si="1"/>
        <v>3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2</v>
      </c>
      <c r="J68" s="50">
        <v>0</v>
      </c>
      <c r="K68" s="50">
        <v>0</v>
      </c>
      <c r="L68" s="50">
        <v>0</v>
      </c>
      <c r="M68" s="50">
        <v>4</v>
      </c>
      <c r="N68" s="50">
        <v>0</v>
      </c>
      <c r="O68" s="15">
        <f t="shared" si="0"/>
        <v>3</v>
      </c>
      <c r="P68" s="15">
        <f t="shared" si="1"/>
        <v>7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0</v>
      </c>
      <c r="P69" s="15">
        <f t="shared" si="1"/>
        <v>2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2</v>
      </c>
      <c r="N70" s="50">
        <v>0</v>
      </c>
      <c r="O70" s="15">
        <f t="shared" si="0"/>
        <v>1</v>
      </c>
      <c r="P70" s="15">
        <f t="shared" si="1"/>
        <v>3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1</v>
      </c>
      <c r="N71" s="50">
        <v>0</v>
      </c>
      <c r="O71" s="15">
        <f t="shared" si="0"/>
        <v>1</v>
      </c>
      <c r="P71" s="15">
        <f t="shared" si="1"/>
        <v>2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0"/>
        <v>0</v>
      </c>
      <c r="P72" s="15">
        <f t="shared" si="1"/>
        <v>3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1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2</v>
      </c>
      <c r="P74" s="15">
        <f t="shared" ref="P74:P105" si="36">SUM(C74:N74)</f>
        <v>2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1</v>
      </c>
      <c r="P75" s="15">
        <f t="shared" si="36"/>
        <v>1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3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3</v>
      </c>
      <c r="P77" s="15">
        <f t="shared" si="36"/>
        <v>3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1</v>
      </c>
      <c r="P78" s="15">
        <f t="shared" si="36"/>
        <v>1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1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2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2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1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1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2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1</v>
      </c>
      <c r="P94" s="15">
        <f t="shared" si="36"/>
        <v>3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2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2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0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2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0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1</v>
      </c>
      <c r="F100" s="50">
        <v>0</v>
      </c>
      <c r="G100" s="50">
        <v>0</v>
      </c>
      <c r="H100" s="50">
        <v>0</v>
      </c>
      <c r="I100" s="50">
        <v>2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3</v>
      </c>
      <c r="P100" s="15">
        <f t="shared" si="36"/>
        <v>4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3</v>
      </c>
      <c r="N101" s="50">
        <v>0</v>
      </c>
      <c r="O101" s="15">
        <f t="shared" si="35"/>
        <v>1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1</v>
      </c>
      <c r="E102" s="50">
        <v>0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3</v>
      </c>
      <c r="P102" s="15">
        <f t="shared" si="36"/>
        <v>5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1</v>
      </c>
      <c r="J103" s="50">
        <v>1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2</v>
      </c>
      <c r="P103" s="15">
        <f t="shared" si="36"/>
        <v>3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2</v>
      </c>
      <c r="N104" s="50">
        <v>0</v>
      </c>
      <c r="O104" s="15">
        <f t="shared" si="35"/>
        <v>1</v>
      </c>
      <c r="P104" s="15">
        <f t="shared" si="36"/>
        <v>3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3</v>
      </c>
      <c r="N105" s="50">
        <v>0</v>
      </c>
      <c r="O105" s="15">
        <f t="shared" si="35"/>
        <v>1</v>
      </c>
      <c r="P105" s="15">
        <f t="shared" si="36"/>
        <v>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36</v>
      </c>
      <c r="D106" s="16">
        <f t="shared" ref="D106:P106" si="37">SUM(D10:D105)</f>
        <v>12</v>
      </c>
      <c r="E106" s="16">
        <f t="shared" si="37"/>
        <v>10</v>
      </c>
      <c r="F106" s="16">
        <f t="shared" si="37"/>
        <v>33</v>
      </c>
      <c r="G106" s="16">
        <f t="shared" si="37"/>
        <v>0</v>
      </c>
      <c r="H106" s="16">
        <f t="shared" si="37"/>
        <v>0</v>
      </c>
      <c r="I106" s="16">
        <f t="shared" si="37"/>
        <v>44</v>
      </c>
      <c r="J106" s="16">
        <f t="shared" si="37"/>
        <v>6</v>
      </c>
      <c r="K106" s="16">
        <f t="shared" si="37"/>
        <v>1</v>
      </c>
      <c r="L106" s="16">
        <f t="shared" si="37"/>
        <v>0</v>
      </c>
      <c r="M106" s="16">
        <f t="shared" si="37"/>
        <v>306</v>
      </c>
      <c r="N106" s="16">
        <f t="shared" si="37"/>
        <v>0</v>
      </c>
      <c r="O106" s="16">
        <f t="shared" si="37"/>
        <v>142</v>
      </c>
      <c r="P106" s="16">
        <f t="shared" si="37"/>
        <v>448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8.0357142857142863E-2</v>
      </c>
      <c r="D107" s="43">
        <f t="shared" si="38"/>
        <v>2.6785714285714284E-2</v>
      </c>
      <c r="E107" s="43">
        <f t="shared" si="38"/>
        <v>2.2321428571428572E-2</v>
      </c>
      <c r="F107" s="43">
        <f t="shared" si="38"/>
        <v>7.3660714285714288E-2</v>
      </c>
      <c r="G107" s="43">
        <f t="shared" si="38"/>
        <v>0</v>
      </c>
      <c r="H107" s="43">
        <f t="shared" si="38"/>
        <v>0</v>
      </c>
      <c r="I107" s="43">
        <f t="shared" si="38"/>
        <v>9.8214285714285712E-2</v>
      </c>
      <c r="J107" s="43">
        <f t="shared" si="38"/>
        <v>1.3392857142857142E-2</v>
      </c>
      <c r="K107" s="43">
        <f t="shared" si="38"/>
        <v>2.232142857142857E-3</v>
      </c>
      <c r="L107" s="43">
        <f t="shared" si="38"/>
        <v>0</v>
      </c>
      <c r="M107" s="43">
        <f t="shared" si="38"/>
        <v>0.6830357142857143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0.25352112676056338</v>
      </c>
      <c r="D108" s="44">
        <f t="shared" ref="D108:N108" si="39">D106/$O$106</f>
        <v>8.4507042253521125E-2</v>
      </c>
      <c r="E108" s="44">
        <f t="shared" si="39"/>
        <v>7.0422535211267609E-2</v>
      </c>
      <c r="F108" s="44">
        <f t="shared" si="39"/>
        <v>0.23239436619718309</v>
      </c>
      <c r="G108" s="44">
        <f t="shared" si="39"/>
        <v>0</v>
      </c>
      <c r="H108" s="44">
        <f t="shared" si="39"/>
        <v>0</v>
      </c>
      <c r="I108" s="44">
        <f t="shared" si="39"/>
        <v>0.30985915492957744</v>
      </c>
      <c r="J108" s="44">
        <f t="shared" si="39"/>
        <v>4.2253521126760563E-2</v>
      </c>
      <c r="K108" s="44">
        <f t="shared" si="39"/>
        <v>7.0422535211267607E-3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topLeftCell="B1" zoomScale="80" zoomScaleSheetLayoutView="80" workbookViewId="0">
      <selection activeCell="K20" sqref="K2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'17.10 KAPEEKA-NGOMA'!C3:G3</f>
        <v>KAPEEKA -NGOMA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177</v>
      </c>
      <c r="E5" s="3"/>
      <c r="F5" s="41" t="s">
        <v>1</v>
      </c>
      <c r="G5" s="56" t="str">
        <f>'20.10 NGOMA-KAPEEKA'!G5:H5</f>
        <v>BUTALANGU</v>
      </c>
      <c r="H5" s="57"/>
      <c r="I5" s="14"/>
      <c r="J5" s="2" t="s">
        <v>5</v>
      </c>
      <c r="K5" s="56" t="s">
        <v>167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'17.10 KAPEEKA-NGOMA'!D6:E6</f>
        <v>KAPEEKA</v>
      </c>
      <c r="E6" s="57"/>
      <c r="F6" s="2" t="s">
        <v>2</v>
      </c>
      <c r="G6" s="62" t="str">
        <f>'17.10 KAPEEKA-NGOMA'!G6:H6</f>
        <v>NGOMA</v>
      </c>
      <c r="H6" s="63"/>
      <c r="J6" s="2" t="s">
        <v>21</v>
      </c>
      <c r="K6" s="56" t="str">
        <f>'20.10 NGOMA-KAPEEKA'!K6:L6</f>
        <v>MIREMBE RUTH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>
        <v>2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2</v>
      </c>
      <c r="AA10" s="17">
        <f t="shared" si="2"/>
        <v>0</v>
      </c>
      <c r="AB10" s="17">
        <f t="shared" si="2"/>
        <v>2</v>
      </c>
      <c r="AC10" s="17">
        <f t="shared" si="2"/>
        <v>15</v>
      </c>
      <c r="AD10" s="17">
        <f t="shared" si="2"/>
        <v>0</v>
      </c>
      <c r="AE10" s="31">
        <f t="shared" si="2"/>
        <v>9</v>
      </c>
      <c r="AF10" s="31">
        <f t="shared" si="2"/>
        <v>24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2</v>
      </c>
      <c r="P11" s="15">
        <f t="shared" si="1"/>
        <v>4</v>
      </c>
      <c r="R11" s="1" t="s">
        <v>7</v>
      </c>
      <c r="S11" s="17">
        <f t="shared" ref="S11:AF11" si="3">SUM(C14:C17)</f>
        <v>0</v>
      </c>
      <c r="T11" s="17">
        <f t="shared" si="3"/>
        <v>2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30</v>
      </c>
      <c r="AD11" s="17">
        <f t="shared" si="3"/>
        <v>0</v>
      </c>
      <c r="AE11" s="31">
        <f t="shared" si="3"/>
        <v>13</v>
      </c>
      <c r="AF11" s="31">
        <f t="shared" si="3"/>
        <v>43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1</v>
      </c>
      <c r="M12" s="50">
        <v>4</v>
      </c>
      <c r="N12" s="50">
        <v>0</v>
      </c>
      <c r="O12" s="15">
        <f t="shared" si="0"/>
        <v>3</v>
      </c>
      <c r="P12" s="15">
        <f t="shared" si="1"/>
        <v>7</v>
      </c>
      <c r="R12" s="1" t="s">
        <v>8</v>
      </c>
      <c r="S12" s="17">
        <f t="shared" ref="S12:AF12" si="4">SUM(C18:C21)</f>
        <v>3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23</v>
      </c>
      <c r="AD12" s="17">
        <f t="shared" si="4"/>
        <v>0</v>
      </c>
      <c r="AE12" s="31">
        <f t="shared" si="4"/>
        <v>5</v>
      </c>
      <c r="AF12" s="31">
        <f t="shared" si="4"/>
        <v>28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2</v>
      </c>
      <c r="P13" s="15">
        <f t="shared" si="1"/>
        <v>9</v>
      </c>
      <c r="R13" s="1" t="s">
        <v>9</v>
      </c>
      <c r="S13" s="17">
        <f t="shared" ref="S13:AF13" si="5">SUM(C22:C25)</f>
        <v>1</v>
      </c>
      <c r="T13" s="17">
        <f t="shared" si="5"/>
        <v>1</v>
      </c>
      <c r="U13" s="17">
        <f t="shared" si="5"/>
        <v>1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28</v>
      </c>
      <c r="AD13" s="17">
        <f t="shared" si="5"/>
        <v>0</v>
      </c>
      <c r="AE13" s="31">
        <f t="shared" si="5"/>
        <v>10</v>
      </c>
      <c r="AF13" s="31">
        <f t="shared" si="5"/>
        <v>38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2</v>
      </c>
      <c r="P14" s="15">
        <f t="shared" si="1"/>
        <v>10</v>
      </c>
      <c r="R14" s="1" t="s">
        <v>10</v>
      </c>
      <c r="S14" s="17">
        <f t="shared" ref="S14:AF14" si="6">SUM(C26:C29)</f>
        <v>4</v>
      </c>
      <c r="T14" s="17">
        <f t="shared" si="6"/>
        <v>2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22</v>
      </c>
      <c r="AD14" s="17">
        <f t="shared" si="6"/>
        <v>0</v>
      </c>
      <c r="AE14" s="31">
        <f t="shared" si="6"/>
        <v>12</v>
      </c>
      <c r="AF14" s="31">
        <f t="shared" si="6"/>
        <v>34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3</v>
      </c>
      <c r="P15" s="15">
        <f t="shared" si="1"/>
        <v>9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3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25</v>
      </c>
      <c r="AD15" s="17">
        <f t="shared" si="7"/>
        <v>0</v>
      </c>
      <c r="AE15" s="31">
        <f t="shared" si="7"/>
        <v>13</v>
      </c>
      <c r="AF15" s="31">
        <f t="shared" si="7"/>
        <v>38</v>
      </c>
    </row>
    <row r="16" spans="2:32" ht="23.1" customHeight="1" x14ac:dyDescent="0.25">
      <c r="B16" s="23" t="s">
        <v>43</v>
      </c>
      <c r="C16" s="50">
        <v>0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5</v>
      </c>
      <c r="P16" s="15">
        <f t="shared" si="1"/>
        <v>13</v>
      </c>
      <c r="R16" s="1" t="s">
        <v>12</v>
      </c>
      <c r="S16" s="17">
        <f t="shared" ref="S16:AF16" si="8">SUM(C34:C37)</f>
        <v>1</v>
      </c>
      <c r="T16" s="17">
        <f t="shared" si="8"/>
        <v>2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20</v>
      </c>
      <c r="AD16" s="17">
        <f t="shared" si="8"/>
        <v>0</v>
      </c>
      <c r="AE16" s="31">
        <f t="shared" si="8"/>
        <v>12</v>
      </c>
      <c r="AF16" s="31">
        <f t="shared" si="8"/>
        <v>32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3</v>
      </c>
      <c r="P17" s="15">
        <f t="shared" si="1"/>
        <v>11</v>
      </c>
      <c r="R17" s="1" t="s">
        <v>13</v>
      </c>
      <c r="S17" s="17">
        <f t="shared" ref="S17:AF17" si="9">SUM(C38:C41)</f>
        <v>6</v>
      </c>
      <c r="T17" s="17">
        <f t="shared" si="9"/>
        <v>0</v>
      </c>
      <c r="U17" s="17">
        <f t="shared" si="9"/>
        <v>2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19</v>
      </c>
      <c r="AD17" s="17">
        <f t="shared" si="9"/>
        <v>0</v>
      </c>
      <c r="AE17" s="31">
        <f t="shared" si="9"/>
        <v>10</v>
      </c>
      <c r="AF17" s="31">
        <f t="shared" si="9"/>
        <v>29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4</v>
      </c>
      <c r="P18" s="15">
        <f t="shared" si="1"/>
        <v>10</v>
      </c>
      <c r="R18" s="1" t="s">
        <v>14</v>
      </c>
      <c r="S18" s="17">
        <f t="shared" ref="S18:AF18" si="10">SUM(C42:C45)</f>
        <v>3</v>
      </c>
      <c r="T18" s="17">
        <f t="shared" si="10"/>
        <v>1</v>
      </c>
      <c r="U18" s="17">
        <f t="shared" si="10"/>
        <v>1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24</v>
      </c>
      <c r="AD18" s="17">
        <f t="shared" si="10"/>
        <v>0</v>
      </c>
      <c r="AE18" s="31">
        <f t="shared" si="10"/>
        <v>10</v>
      </c>
      <c r="AF18" s="31">
        <f t="shared" si="10"/>
        <v>34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0</v>
      </c>
      <c r="P19" s="15">
        <f t="shared" si="1"/>
        <v>6</v>
      </c>
      <c r="R19" s="1" t="s">
        <v>15</v>
      </c>
      <c r="S19" s="17">
        <f t="shared" ref="S19:AF19" si="11">SUM(C46:C49)</f>
        <v>4</v>
      </c>
      <c r="T19" s="17">
        <f t="shared" si="11"/>
        <v>2</v>
      </c>
      <c r="U19" s="17">
        <f t="shared" si="11"/>
        <v>1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18</v>
      </c>
      <c r="AD19" s="17">
        <f t="shared" si="11"/>
        <v>0</v>
      </c>
      <c r="AE19" s="31">
        <f t="shared" si="11"/>
        <v>11</v>
      </c>
      <c r="AF19" s="31">
        <f t="shared" si="11"/>
        <v>29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0</v>
      </c>
      <c r="P20" s="15">
        <f t="shared" si="1"/>
        <v>6</v>
      </c>
      <c r="R20" s="1" t="s">
        <v>16</v>
      </c>
      <c r="S20" s="17">
        <f t="shared" ref="S20:AF20" si="12">SUM(C50:C53)</f>
        <v>3</v>
      </c>
      <c r="T20" s="17">
        <f t="shared" si="12"/>
        <v>0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25</v>
      </c>
      <c r="AD20" s="17">
        <f t="shared" si="12"/>
        <v>0</v>
      </c>
      <c r="AE20" s="31">
        <f t="shared" si="12"/>
        <v>5</v>
      </c>
      <c r="AF20" s="31">
        <f t="shared" si="12"/>
        <v>30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1</v>
      </c>
      <c r="P21" s="15">
        <f t="shared" si="1"/>
        <v>6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0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11</v>
      </c>
      <c r="AD21" s="17">
        <f t="shared" si="13"/>
        <v>0</v>
      </c>
      <c r="AE21" s="31">
        <f t="shared" si="13"/>
        <v>6</v>
      </c>
      <c r="AF21" s="31">
        <f t="shared" si="13"/>
        <v>17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1</v>
      </c>
      <c r="P22" s="15">
        <f t="shared" si="1"/>
        <v>5</v>
      </c>
      <c r="R22" s="38" t="s">
        <v>90</v>
      </c>
      <c r="S22" s="39">
        <f>MAX(S10:S12)</f>
        <v>3</v>
      </c>
      <c r="T22" s="39">
        <f t="shared" ref="T22:AF22" si="14">MAX(T10:T12)</f>
        <v>2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8</v>
      </c>
      <c r="Z22" s="39">
        <f t="shared" si="14"/>
        <v>3</v>
      </c>
      <c r="AA22" s="39">
        <f t="shared" si="14"/>
        <v>0</v>
      </c>
      <c r="AB22" s="39">
        <f t="shared" si="14"/>
        <v>2</v>
      </c>
      <c r="AC22" s="39">
        <f t="shared" si="14"/>
        <v>30</v>
      </c>
      <c r="AD22" s="39">
        <f t="shared" si="14"/>
        <v>0</v>
      </c>
      <c r="AE22" s="40">
        <f t="shared" si="14"/>
        <v>13</v>
      </c>
      <c r="AF22" s="40">
        <f t="shared" si="14"/>
        <v>43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7</v>
      </c>
      <c r="N23" s="50">
        <v>0</v>
      </c>
      <c r="O23" s="15">
        <f t="shared" si="0"/>
        <v>3</v>
      </c>
      <c r="P23" s="15">
        <f t="shared" si="1"/>
        <v>10</v>
      </c>
      <c r="R23" s="38" t="s">
        <v>91</v>
      </c>
      <c r="S23" s="39">
        <f>MAX(S13:S18)</f>
        <v>6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3</v>
      </c>
      <c r="AA23" s="39">
        <f t="shared" si="15"/>
        <v>0</v>
      </c>
      <c r="AB23" s="39">
        <f t="shared" si="15"/>
        <v>0</v>
      </c>
      <c r="AC23" s="39">
        <f t="shared" si="15"/>
        <v>28</v>
      </c>
      <c r="AD23" s="39">
        <f t="shared" si="15"/>
        <v>0</v>
      </c>
      <c r="AE23" s="40">
        <f t="shared" si="15"/>
        <v>13</v>
      </c>
      <c r="AF23" s="40">
        <f t="shared" si="15"/>
        <v>38</v>
      </c>
    </row>
    <row r="24" spans="2:32" ht="23.1" customHeight="1" x14ac:dyDescent="0.25">
      <c r="B24" s="23" t="s">
        <v>51</v>
      </c>
      <c r="C24" s="50">
        <v>1</v>
      </c>
      <c r="D24" s="50">
        <v>1</v>
      </c>
      <c r="E24" s="50">
        <v>0</v>
      </c>
      <c r="F24" s="50">
        <v>1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5</v>
      </c>
      <c r="P24" s="15">
        <f t="shared" si="1"/>
        <v>11</v>
      </c>
      <c r="R24" s="38" t="s">
        <v>92</v>
      </c>
      <c r="S24" s="39">
        <f>MAX(S19:S21)</f>
        <v>4</v>
      </c>
      <c r="T24" s="39">
        <f t="shared" ref="T24:AF24" si="16">MAX(T19:T21)</f>
        <v>2</v>
      </c>
      <c r="U24" s="39">
        <f t="shared" si="16"/>
        <v>2</v>
      </c>
      <c r="V24" s="39">
        <f t="shared" si="16"/>
        <v>3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25</v>
      </c>
      <c r="AD24" s="39">
        <f t="shared" si="16"/>
        <v>0</v>
      </c>
      <c r="AE24" s="40">
        <f t="shared" si="16"/>
        <v>11</v>
      </c>
      <c r="AF24" s="40">
        <f t="shared" si="16"/>
        <v>30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11</v>
      </c>
      <c r="N25" s="50">
        <v>0</v>
      </c>
      <c r="O25" s="15">
        <f t="shared" si="0"/>
        <v>1</v>
      </c>
      <c r="P25" s="15">
        <f t="shared" si="1"/>
        <v>12</v>
      </c>
      <c r="R25" s="37" t="s">
        <v>85</v>
      </c>
      <c r="S25" s="35">
        <f t="shared" ref="S25:AF25" si="17">SUM(S10:S12)</f>
        <v>3</v>
      </c>
      <c r="T25" s="16">
        <f t="shared" si="17"/>
        <v>3</v>
      </c>
      <c r="U25" s="16">
        <f t="shared" si="17"/>
        <v>1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13</v>
      </c>
      <c r="Z25" s="16">
        <f t="shared" si="17"/>
        <v>5</v>
      </c>
      <c r="AA25" s="16">
        <f t="shared" si="17"/>
        <v>0</v>
      </c>
      <c r="AB25" s="16">
        <f t="shared" si="17"/>
        <v>2</v>
      </c>
      <c r="AC25" s="16">
        <f t="shared" si="17"/>
        <v>68</v>
      </c>
      <c r="AD25" s="16">
        <f t="shared" si="17"/>
        <v>0</v>
      </c>
      <c r="AE25" s="32">
        <f t="shared" si="17"/>
        <v>27</v>
      </c>
      <c r="AF25" s="32">
        <f t="shared" si="17"/>
        <v>95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3</v>
      </c>
      <c r="N26" s="50">
        <v>0</v>
      </c>
      <c r="O26" s="15">
        <f t="shared" si="0"/>
        <v>1</v>
      </c>
      <c r="P26" s="15">
        <f t="shared" si="1"/>
        <v>4</v>
      </c>
      <c r="R26" s="28" t="s">
        <v>86</v>
      </c>
      <c r="S26" s="16">
        <f t="shared" ref="S26:AF26" si="18">SUM(S13:S18)</f>
        <v>19</v>
      </c>
      <c r="T26" s="16">
        <f t="shared" si="18"/>
        <v>6</v>
      </c>
      <c r="U26" s="16">
        <f t="shared" si="18"/>
        <v>10</v>
      </c>
      <c r="V26" s="16">
        <f t="shared" si="18"/>
        <v>11</v>
      </c>
      <c r="W26" s="16">
        <f t="shared" si="18"/>
        <v>0</v>
      </c>
      <c r="X26" s="16">
        <f t="shared" si="18"/>
        <v>0</v>
      </c>
      <c r="Y26" s="16">
        <f t="shared" si="18"/>
        <v>16</v>
      </c>
      <c r="Z26" s="16">
        <f t="shared" si="18"/>
        <v>5</v>
      </c>
      <c r="AA26" s="16">
        <f t="shared" si="18"/>
        <v>0</v>
      </c>
      <c r="AB26" s="16">
        <f t="shared" si="18"/>
        <v>0</v>
      </c>
      <c r="AC26" s="16">
        <f t="shared" si="18"/>
        <v>138</v>
      </c>
      <c r="AD26" s="16">
        <f t="shared" si="18"/>
        <v>0</v>
      </c>
      <c r="AE26" s="32">
        <f t="shared" si="18"/>
        <v>67</v>
      </c>
      <c r="AF26" s="32">
        <f t="shared" si="18"/>
        <v>205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2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4</v>
      </c>
      <c r="P27" s="15">
        <f t="shared" si="1"/>
        <v>9</v>
      </c>
      <c r="R27" s="29" t="s">
        <v>87</v>
      </c>
      <c r="S27" s="16">
        <f t="shared" ref="S27:AF27" si="19">SUM(S19:S21)</f>
        <v>8</v>
      </c>
      <c r="T27" s="16">
        <f t="shared" si="19"/>
        <v>2</v>
      </c>
      <c r="U27" s="16">
        <f t="shared" si="19"/>
        <v>3</v>
      </c>
      <c r="V27" s="16">
        <f t="shared" si="19"/>
        <v>4</v>
      </c>
      <c r="W27" s="16">
        <f t="shared" si="19"/>
        <v>0</v>
      </c>
      <c r="X27" s="16">
        <f t="shared" si="19"/>
        <v>0</v>
      </c>
      <c r="Y27" s="16">
        <f t="shared" si="19"/>
        <v>3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54</v>
      </c>
      <c r="AD27" s="16">
        <f t="shared" si="19"/>
        <v>0</v>
      </c>
      <c r="AE27" s="32">
        <f t="shared" si="19"/>
        <v>22</v>
      </c>
      <c r="AF27" s="32">
        <f t="shared" si="19"/>
        <v>76</v>
      </c>
    </row>
    <row r="28" spans="2:32" ht="23.1" customHeight="1" x14ac:dyDescent="0.25">
      <c r="B28" s="23" t="s">
        <v>55</v>
      </c>
      <c r="C28" s="50">
        <v>1</v>
      </c>
      <c r="D28" s="50">
        <v>2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7</v>
      </c>
      <c r="N28" s="50">
        <v>0</v>
      </c>
      <c r="O28" s="15">
        <f t="shared" si="0"/>
        <v>5</v>
      </c>
      <c r="P28" s="15">
        <f t="shared" si="1"/>
        <v>12</v>
      </c>
      <c r="R28" s="5" t="s">
        <v>17</v>
      </c>
      <c r="S28" s="16">
        <f t="shared" ref="S28:AF28" si="20">SUM(S10:S21)</f>
        <v>30</v>
      </c>
      <c r="T28" s="16">
        <f t="shared" si="20"/>
        <v>11</v>
      </c>
      <c r="U28" s="16">
        <f t="shared" si="20"/>
        <v>14</v>
      </c>
      <c r="V28" s="16">
        <f t="shared" si="20"/>
        <v>15</v>
      </c>
      <c r="W28" s="16">
        <f t="shared" si="20"/>
        <v>0</v>
      </c>
      <c r="X28" s="16">
        <f t="shared" si="20"/>
        <v>0</v>
      </c>
      <c r="Y28" s="16">
        <f t="shared" si="20"/>
        <v>32</v>
      </c>
      <c r="Z28" s="16">
        <f t="shared" si="20"/>
        <v>12</v>
      </c>
      <c r="AA28" s="16">
        <f t="shared" si="20"/>
        <v>0</v>
      </c>
      <c r="AB28" s="16">
        <f t="shared" si="20"/>
        <v>2</v>
      </c>
      <c r="AC28" s="16">
        <f t="shared" si="20"/>
        <v>260</v>
      </c>
      <c r="AD28" s="16">
        <f t="shared" si="20"/>
        <v>0</v>
      </c>
      <c r="AE28" s="32">
        <f t="shared" si="20"/>
        <v>116</v>
      </c>
      <c r="AF28" s="32">
        <f t="shared" si="20"/>
        <v>376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2</v>
      </c>
      <c r="P29" s="15">
        <f t="shared" si="1"/>
        <v>9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10</v>
      </c>
      <c r="N30" s="50">
        <v>0</v>
      </c>
      <c r="O30" s="15">
        <f t="shared" si="0"/>
        <v>3</v>
      </c>
      <c r="P30" s="15">
        <f t="shared" si="1"/>
        <v>13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4</v>
      </c>
      <c r="N31" s="50">
        <v>0</v>
      </c>
      <c r="O31" s="15">
        <f t="shared" si="0"/>
        <v>3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4</v>
      </c>
      <c r="N32" s="50">
        <v>0</v>
      </c>
      <c r="O32" s="15">
        <f t="shared" si="0"/>
        <v>2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7</v>
      </c>
      <c r="N33" s="50">
        <v>0</v>
      </c>
      <c r="O33" s="15">
        <f t="shared" si="0"/>
        <v>5</v>
      </c>
      <c r="P33" s="15">
        <f t="shared" si="1"/>
        <v>12</v>
      </c>
    </row>
    <row r="34" spans="2:20" ht="23.1" customHeight="1" x14ac:dyDescent="0.25">
      <c r="B34" s="24" t="s">
        <v>61</v>
      </c>
      <c r="C34" s="50">
        <v>0</v>
      </c>
      <c r="D34" s="50">
        <v>2</v>
      </c>
      <c r="E34" s="50">
        <v>2</v>
      </c>
      <c r="F34" s="50">
        <v>0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6</v>
      </c>
      <c r="N34" s="50">
        <v>0</v>
      </c>
      <c r="O34" s="15">
        <f>SUM(C34:L34,N34)</f>
        <v>6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1</v>
      </c>
      <c r="P35" s="15">
        <f t="shared" si="1"/>
        <v>3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9</v>
      </c>
      <c r="N36" s="50">
        <v>0</v>
      </c>
      <c r="O36" s="15">
        <f t="shared" si="0"/>
        <v>2</v>
      </c>
      <c r="P36" s="15">
        <f t="shared" si="1"/>
        <v>11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3</v>
      </c>
      <c r="N37" s="50">
        <v>0</v>
      </c>
      <c r="O37" s="15">
        <f t="shared" si="0"/>
        <v>3</v>
      </c>
      <c r="P37" s="15">
        <f t="shared" si="1"/>
        <v>6</v>
      </c>
    </row>
    <row r="38" spans="2:20" ht="23.1" customHeight="1" x14ac:dyDescent="0.25">
      <c r="B38" s="24" t="s">
        <v>65</v>
      </c>
      <c r="C38" s="50">
        <v>3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5</v>
      </c>
      <c r="P38" s="15">
        <f t="shared" si="1"/>
        <v>8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5</v>
      </c>
      <c r="N39" s="50">
        <v>0</v>
      </c>
      <c r="O39" s="15">
        <f t="shared" si="0"/>
        <v>2</v>
      </c>
      <c r="P39" s="15">
        <f t="shared" si="1"/>
        <v>7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5</v>
      </c>
      <c r="N40" s="50">
        <v>0</v>
      </c>
      <c r="O40" s="15">
        <f t="shared" si="0"/>
        <v>2</v>
      </c>
      <c r="P40" s="15">
        <f t="shared" si="1"/>
        <v>7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1</v>
      </c>
      <c r="P41" s="15">
        <f t="shared" si="1"/>
        <v>7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2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2</v>
      </c>
      <c r="N42" s="50">
        <v>0</v>
      </c>
      <c r="O42" s="15">
        <f t="shared" si="0"/>
        <v>5</v>
      </c>
      <c r="P42" s="15">
        <f t="shared" si="1"/>
        <v>7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6</v>
      </c>
      <c r="N43" s="50">
        <v>0</v>
      </c>
      <c r="O43" s="15">
        <f t="shared" si="0"/>
        <v>2</v>
      </c>
      <c r="P43" s="15">
        <f t="shared" si="1"/>
        <v>8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2</v>
      </c>
      <c r="P44" s="15">
        <f t="shared" si="1"/>
        <v>10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1</v>
      </c>
      <c r="P45" s="15">
        <f t="shared" si="1"/>
        <v>9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4</v>
      </c>
      <c r="N46" s="50">
        <v>0</v>
      </c>
      <c r="O46" s="15">
        <f t="shared" si="0"/>
        <v>3</v>
      </c>
      <c r="P46" s="15">
        <f t="shared" si="1"/>
        <v>7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2</v>
      </c>
      <c r="K47" s="50">
        <v>0</v>
      </c>
      <c r="L47" s="50">
        <v>0</v>
      </c>
      <c r="M47" s="50">
        <v>7</v>
      </c>
      <c r="N47" s="50">
        <v>0</v>
      </c>
      <c r="O47" s="15">
        <f t="shared" si="0"/>
        <v>3</v>
      </c>
      <c r="P47" s="15">
        <f t="shared" si="1"/>
        <v>10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1</v>
      </c>
      <c r="P48" s="15">
        <f t="shared" si="1"/>
        <v>5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2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3</v>
      </c>
      <c r="N49" s="50">
        <v>0</v>
      </c>
      <c r="O49" s="15">
        <f t="shared" si="0"/>
        <v>4</v>
      </c>
      <c r="P49" s="15">
        <f t="shared" si="1"/>
        <v>7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2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5</v>
      </c>
      <c r="N50" s="50">
        <v>0</v>
      </c>
      <c r="O50" s="15">
        <f t="shared" si="0"/>
        <v>2</v>
      </c>
      <c r="P50" s="15">
        <f t="shared" si="1"/>
        <v>7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8</v>
      </c>
      <c r="N51" s="50">
        <v>0</v>
      </c>
      <c r="O51" s="15">
        <f t="shared" si="0"/>
        <v>1</v>
      </c>
      <c r="P51" s="15">
        <f t="shared" si="1"/>
        <v>9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9</v>
      </c>
      <c r="N52" s="50">
        <v>0</v>
      </c>
      <c r="O52" s="15">
        <f t="shared" si="0"/>
        <v>0</v>
      </c>
      <c r="P52" s="15">
        <f t="shared" si="1"/>
        <v>9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3</v>
      </c>
      <c r="N53" s="50">
        <v>0</v>
      </c>
      <c r="O53" s="15">
        <f t="shared" si="0"/>
        <v>2</v>
      </c>
      <c r="P53" s="15">
        <f t="shared" si="1"/>
        <v>5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</v>
      </c>
      <c r="N54" s="50">
        <v>0</v>
      </c>
      <c r="O54" s="15">
        <f t="shared" si="0"/>
        <v>2</v>
      </c>
      <c r="P54" s="15">
        <f t="shared" si="1"/>
        <v>5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4</v>
      </c>
      <c r="N55" s="50">
        <v>0</v>
      </c>
      <c r="O55" s="15">
        <f t="shared" si="0"/>
        <v>0</v>
      </c>
      <c r="P55" s="15">
        <f t="shared" si="1"/>
        <v>4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</v>
      </c>
      <c r="N56" s="50">
        <v>0</v>
      </c>
      <c r="O56" s="15">
        <f t="shared" si="0"/>
        <v>0</v>
      </c>
      <c r="P56" s="15">
        <f t="shared" si="1"/>
        <v>1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2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4</v>
      </c>
      <c r="P57" s="15">
        <f t="shared" si="1"/>
        <v>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</v>
      </c>
      <c r="D58" s="16">
        <f t="shared" si="21"/>
        <v>11</v>
      </c>
      <c r="E58" s="16">
        <f t="shared" si="21"/>
        <v>14</v>
      </c>
      <c r="F58" s="16">
        <f t="shared" si="21"/>
        <v>15</v>
      </c>
      <c r="G58" s="16">
        <f t="shared" si="21"/>
        <v>0</v>
      </c>
      <c r="H58" s="16">
        <f t="shared" si="21"/>
        <v>0</v>
      </c>
      <c r="I58" s="16">
        <f t="shared" si="21"/>
        <v>32</v>
      </c>
      <c r="J58" s="16">
        <f t="shared" si="21"/>
        <v>12</v>
      </c>
      <c r="K58" s="16">
        <f t="shared" si="21"/>
        <v>0</v>
      </c>
      <c r="L58" s="16">
        <f t="shared" si="21"/>
        <v>2</v>
      </c>
      <c r="M58" s="16">
        <f t="shared" si="21"/>
        <v>260</v>
      </c>
      <c r="N58" s="16">
        <f t="shared" si="21"/>
        <v>0</v>
      </c>
      <c r="O58" s="16">
        <f t="shared" si="21"/>
        <v>116</v>
      </c>
      <c r="P58" s="16">
        <f t="shared" si="21"/>
        <v>376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7.9787234042553196E-2</v>
      </c>
      <c r="D59" s="43">
        <f t="shared" si="22"/>
        <v>2.9255319148936171E-2</v>
      </c>
      <c r="E59" s="43">
        <f t="shared" si="22"/>
        <v>3.7234042553191488E-2</v>
      </c>
      <c r="F59" s="43">
        <f t="shared" si="22"/>
        <v>3.9893617021276598E-2</v>
      </c>
      <c r="G59" s="43">
        <f t="shared" si="22"/>
        <v>0</v>
      </c>
      <c r="H59" s="43">
        <f t="shared" si="22"/>
        <v>0</v>
      </c>
      <c r="I59" s="43">
        <f t="shared" si="22"/>
        <v>8.5106382978723402E-2</v>
      </c>
      <c r="J59" s="43">
        <f t="shared" si="22"/>
        <v>3.1914893617021274E-2</v>
      </c>
      <c r="K59" s="43">
        <f t="shared" si="22"/>
        <v>0</v>
      </c>
      <c r="L59" s="43">
        <f t="shared" si="22"/>
        <v>5.3191489361702126E-3</v>
      </c>
      <c r="M59" s="43">
        <f t="shared" si="22"/>
        <v>0.69148936170212771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0.25862068965517243</v>
      </c>
      <c r="D60" s="44">
        <f t="shared" ref="D60:N60" si="23">D58/$O$58</f>
        <v>9.4827586206896547E-2</v>
      </c>
      <c r="E60" s="44">
        <f t="shared" si="23"/>
        <v>0.1206896551724138</v>
      </c>
      <c r="F60" s="44">
        <f t="shared" si="23"/>
        <v>0.12931034482758622</v>
      </c>
      <c r="G60" s="44">
        <f t="shared" si="23"/>
        <v>0</v>
      </c>
      <c r="H60" s="44">
        <f t="shared" si="23"/>
        <v>0</v>
      </c>
      <c r="I60" s="44">
        <f t="shared" si="23"/>
        <v>0.27586206896551724</v>
      </c>
      <c r="J60" s="44">
        <f t="shared" si="23"/>
        <v>0.10344827586206896</v>
      </c>
      <c r="K60" s="44">
        <f t="shared" si="23"/>
        <v>0</v>
      </c>
      <c r="L60" s="44">
        <f t="shared" si="23"/>
        <v>1.7241379310344827E-2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zoomScale="80" zoomScaleSheetLayoutView="80" workbookViewId="0">
      <selection activeCell="L30" sqref="L3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'17.10 NGOMA-KAPEEKA'!C3:G3</f>
        <v>KAPEEKA -NGOMA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'22.10 KAPEEKA-NGOMA'!D5</f>
        <v>22.10.2019</v>
      </c>
      <c r="E5" s="3"/>
      <c r="F5" s="41" t="s">
        <v>1</v>
      </c>
      <c r="G5" s="56" t="str">
        <f>'22.10 KAPEEKA-NGOMA'!G5:H5</f>
        <v>BUTALANGU</v>
      </c>
      <c r="H5" s="57"/>
      <c r="I5" s="14"/>
      <c r="J5" s="2" t="s">
        <v>5</v>
      </c>
      <c r="K5" s="56" t="s">
        <v>168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'17.10 NGOMA-KAPEEKA'!D6:E6</f>
        <v>NGOMA</v>
      </c>
      <c r="E6" s="57"/>
      <c r="F6" s="2" t="s">
        <v>2</v>
      </c>
      <c r="G6" s="56" t="str">
        <f>'17.10 NGOMA-KAPEEKA'!G6:H6</f>
        <v>KAPEEKA</v>
      </c>
      <c r="H6" s="57"/>
      <c r="J6" s="2" t="s">
        <v>21</v>
      </c>
      <c r="K6" s="56" t="str">
        <f>'22.10 KAPEEKA-NGOMA'!K6:L6</f>
        <v>MIREMBE RUTH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0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15</v>
      </c>
      <c r="AD10" s="17">
        <f t="shared" si="2"/>
        <v>0</v>
      </c>
      <c r="AE10" s="31">
        <f t="shared" si="2"/>
        <v>3</v>
      </c>
      <c r="AF10" s="31">
        <f t="shared" si="2"/>
        <v>18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0</v>
      </c>
      <c r="P11" s="15">
        <f t="shared" si="1"/>
        <v>5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19</v>
      </c>
      <c r="AD11" s="17">
        <f t="shared" si="3"/>
        <v>0</v>
      </c>
      <c r="AE11" s="31">
        <f t="shared" si="3"/>
        <v>5</v>
      </c>
      <c r="AF11" s="31">
        <f t="shared" si="3"/>
        <v>24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0</v>
      </c>
      <c r="P12" s="15">
        <f t="shared" si="1"/>
        <v>3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0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23</v>
      </c>
      <c r="AD12" s="17">
        <f t="shared" si="4"/>
        <v>0</v>
      </c>
      <c r="AE12" s="31">
        <f t="shared" si="4"/>
        <v>3</v>
      </c>
      <c r="AF12" s="31">
        <f t="shared" si="4"/>
        <v>26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2</v>
      </c>
      <c r="P13" s="15">
        <f t="shared" si="1"/>
        <v>6</v>
      </c>
      <c r="R13" s="1" t="s">
        <v>9</v>
      </c>
      <c r="S13" s="17">
        <f t="shared" ref="S13:AF13" si="5">SUM(C22:C25)</f>
        <v>2</v>
      </c>
      <c r="T13" s="17">
        <f t="shared" si="5"/>
        <v>1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15</v>
      </c>
      <c r="AD13" s="17">
        <f t="shared" si="5"/>
        <v>0</v>
      </c>
      <c r="AE13" s="31">
        <f t="shared" si="5"/>
        <v>5</v>
      </c>
      <c r="AF13" s="31">
        <f t="shared" si="5"/>
        <v>20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0</v>
      </c>
      <c r="P14" s="15">
        <f t="shared" si="1"/>
        <v>6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0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20</v>
      </c>
      <c r="AD14" s="17">
        <f t="shared" si="6"/>
        <v>0</v>
      </c>
      <c r="AE14" s="31">
        <f t="shared" si="6"/>
        <v>6</v>
      </c>
      <c r="AF14" s="31">
        <f t="shared" si="6"/>
        <v>26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0</v>
      </c>
      <c r="P15" s="15">
        <f t="shared" si="1"/>
        <v>3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29</v>
      </c>
      <c r="AD15" s="17">
        <f t="shared" si="7"/>
        <v>0</v>
      </c>
      <c r="AE15" s="31">
        <f t="shared" si="7"/>
        <v>8</v>
      </c>
      <c r="AF15" s="31">
        <f t="shared" si="7"/>
        <v>37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3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3</v>
      </c>
      <c r="P16" s="15">
        <f t="shared" si="1"/>
        <v>6</v>
      </c>
      <c r="R16" s="1" t="s">
        <v>12</v>
      </c>
      <c r="S16" s="17">
        <f t="shared" ref="S16:AF16" si="8">SUM(C34:C37)</f>
        <v>2</v>
      </c>
      <c r="T16" s="17">
        <f t="shared" si="8"/>
        <v>1</v>
      </c>
      <c r="U16" s="17">
        <f t="shared" si="8"/>
        <v>3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9</v>
      </c>
      <c r="AA16" s="17">
        <f t="shared" si="8"/>
        <v>0</v>
      </c>
      <c r="AB16" s="17">
        <f t="shared" si="8"/>
        <v>1</v>
      </c>
      <c r="AC16" s="17">
        <f t="shared" si="8"/>
        <v>27</v>
      </c>
      <c r="AD16" s="17">
        <f t="shared" si="8"/>
        <v>0</v>
      </c>
      <c r="AE16" s="31">
        <f t="shared" si="8"/>
        <v>21</v>
      </c>
      <c r="AF16" s="31">
        <f t="shared" si="8"/>
        <v>48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7</v>
      </c>
      <c r="N17" s="50">
        <v>0</v>
      </c>
      <c r="O17" s="15">
        <f t="shared" si="0"/>
        <v>2</v>
      </c>
      <c r="P17" s="15">
        <f t="shared" si="1"/>
        <v>9</v>
      </c>
      <c r="R17" s="1" t="s">
        <v>13</v>
      </c>
      <c r="S17" s="17">
        <f t="shared" ref="S17:AF17" si="9">SUM(C38:C41)</f>
        <v>3</v>
      </c>
      <c r="T17" s="17">
        <f t="shared" si="9"/>
        <v>0</v>
      </c>
      <c r="U17" s="17">
        <f t="shared" si="9"/>
        <v>0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20</v>
      </c>
      <c r="AD17" s="17">
        <f t="shared" si="9"/>
        <v>0</v>
      </c>
      <c r="AE17" s="31">
        <f t="shared" si="9"/>
        <v>11</v>
      </c>
      <c r="AF17" s="31">
        <f t="shared" si="9"/>
        <v>31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0</v>
      </c>
      <c r="P18" s="15">
        <f t="shared" si="1"/>
        <v>4</v>
      </c>
      <c r="R18" s="1" t="s">
        <v>14</v>
      </c>
      <c r="S18" s="17">
        <f t="shared" ref="S18:AF18" si="10">SUM(C42:C45)</f>
        <v>4</v>
      </c>
      <c r="T18" s="17">
        <f t="shared" si="10"/>
        <v>1</v>
      </c>
      <c r="U18" s="17">
        <f t="shared" si="10"/>
        <v>3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31</v>
      </c>
      <c r="AD18" s="17">
        <f t="shared" si="10"/>
        <v>0</v>
      </c>
      <c r="AE18" s="31">
        <f t="shared" si="10"/>
        <v>16</v>
      </c>
      <c r="AF18" s="31">
        <f t="shared" si="10"/>
        <v>47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1</v>
      </c>
      <c r="P19" s="15">
        <f t="shared" si="1"/>
        <v>11</v>
      </c>
      <c r="R19" s="1" t="s">
        <v>15</v>
      </c>
      <c r="S19" s="17">
        <f t="shared" ref="S19:AF19" si="11">SUM(C46:C49)</f>
        <v>3</v>
      </c>
      <c r="T19" s="17">
        <f t="shared" si="11"/>
        <v>1</v>
      </c>
      <c r="U19" s="17">
        <f t="shared" si="11"/>
        <v>1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27</v>
      </c>
      <c r="AD19" s="17">
        <f t="shared" si="11"/>
        <v>0</v>
      </c>
      <c r="AE19" s="31">
        <f t="shared" si="11"/>
        <v>10</v>
      </c>
      <c r="AF19" s="31">
        <f t="shared" si="11"/>
        <v>37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2</v>
      </c>
      <c r="P20" s="15">
        <f t="shared" si="1"/>
        <v>8</v>
      </c>
      <c r="R20" s="1" t="s">
        <v>16</v>
      </c>
      <c r="S20" s="17">
        <f t="shared" ref="S20:AF20" si="12">SUM(C50:C53)</f>
        <v>5</v>
      </c>
      <c r="T20" s="17">
        <f t="shared" si="12"/>
        <v>4</v>
      </c>
      <c r="U20" s="17">
        <f t="shared" si="12"/>
        <v>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23</v>
      </c>
      <c r="AD20" s="17">
        <f t="shared" si="12"/>
        <v>0</v>
      </c>
      <c r="AE20" s="31">
        <f t="shared" si="12"/>
        <v>15</v>
      </c>
      <c r="AF20" s="31">
        <f t="shared" si="12"/>
        <v>38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0</v>
      </c>
      <c r="P21" s="15">
        <f t="shared" si="1"/>
        <v>3</v>
      </c>
      <c r="R21" s="36" t="s">
        <v>20</v>
      </c>
      <c r="S21" s="34">
        <f t="shared" ref="S21:AF21" si="13">SUM(C54:C57)</f>
        <v>3</v>
      </c>
      <c r="T21" s="17">
        <f t="shared" si="13"/>
        <v>0</v>
      </c>
      <c r="U21" s="17">
        <f t="shared" si="13"/>
        <v>1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21</v>
      </c>
      <c r="AD21" s="17">
        <f t="shared" si="13"/>
        <v>0</v>
      </c>
      <c r="AE21" s="31">
        <f t="shared" si="13"/>
        <v>15</v>
      </c>
      <c r="AF21" s="31">
        <f t="shared" si="13"/>
        <v>36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3</v>
      </c>
      <c r="P22" s="15">
        <f t="shared" si="1"/>
        <v>7</v>
      </c>
      <c r="R22" s="38" t="s">
        <v>90</v>
      </c>
      <c r="S22" s="39">
        <f>MAX(S10:S12)</f>
        <v>1</v>
      </c>
      <c r="T22" s="39">
        <f t="shared" ref="T22:AF22" si="14">MAX(T10:T12)</f>
        <v>0</v>
      </c>
      <c r="U22" s="39">
        <f t="shared" si="14"/>
        <v>0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23</v>
      </c>
      <c r="AD22" s="39">
        <f t="shared" si="14"/>
        <v>0</v>
      </c>
      <c r="AE22" s="40">
        <f t="shared" si="14"/>
        <v>5</v>
      </c>
      <c r="AF22" s="40">
        <f t="shared" si="14"/>
        <v>26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</v>
      </c>
      <c r="N23" s="50">
        <v>0</v>
      </c>
      <c r="O23" s="15">
        <f t="shared" si="0"/>
        <v>0</v>
      </c>
      <c r="P23" s="15">
        <f t="shared" si="1"/>
        <v>2</v>
      </c>
      <c r="R23" s="38" t="s">
        <v>91</v>
      </c>
      <c r="S23" s="39">
        <f>MAX(S13:S18)</f>
        <v>4</v>
      </c>
      <c r="T23" s="39">
        <f t="shared" ref="T23:AF23" si="15">MAX(T13:T18)</f>
        <v>1</v>
      </c>
      <c r="U23" s="39">
        <f t="shared" si="15"/>
        <v>3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9</v>
      </c>
      <c r="AA23" s="39">
        <f t="shared" si="15"/>
        <v>0</v>
      </c>
      <c r="AB23" s="39">
        <f t="shared" si="15"/>
        <v>1</v>
      </c>
      <c r="AC23" s="39">
        <f t="shared" si="15"/>
        <v>31</v>
      </c>
      <c r="AD23" s="39">
        <f t="shared" si="15"/>
        <v>0</v>
      </c>
      <c r="AE23" s="40">
        <f t="shared" si="15"/>
        <v>21</v>
      </c>
      <c r="AF23" s="40">
        <f t="shared" si="15"/>
        <v>48</v>
      </c>
    </row>
    <row r="24" spans="2:32" ht="23.1" customHeight="1" x14ac:dyDescent="0.25">
      <c r="B24" s="23" t="s">
        <v>51</v>
      </c>
      <c r="C24" s="50">
        <v>1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4</v>
      </c>
      <c r="N24" s="50">
        <v>0</v>
      </c>
      <c r="O24" s="15">
        <f t="shared" si="0"/>
        <v>2</v>
      </c>
      <c r="P24" s="15">
        <f t="shared" si="1"/>
        <v>6</v>
      </c>
      <c r="R24" s="38" t="s">
        <v>92</v>
      </c>
      <c r="S24" s="39">
        <f>MAX(S19:S21)</f>
        <v>5</v>
      </c>
      <c r="T24" s="39">
        <f t="shared" ref="T24:AF24" si="16">MAX(T19:T21)</f>
        <v>4</v>
      </c>
      <c r="U24" s="39">
        <f t="shared" si="16"/>
        <v>1</v>
      </c>
      <c r="V24" s="39">
        <f t="shared" si="16"/>
        <v>2</v>
      </c>
      <c r="W24" s="39">
        <f t="shared" si="16"/>
        <v>0</v>
      </c>
      <c r="X24" s="39">
        <f t="shared" si="16"/>
        <v>0</v>
      </c>
      <c r="Y24" s="39">
        <f t="shared" si="16"/>
        <v>7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27</v>
      </c>
      <c r="AD24" s="39">
        <f t="shared" si="16"/>
        <v>0</v>
      </c>
      <c r="AE24" s="40">
        <f t="shared" si="16"/>
        <v>15</v>
      </c>
      <c r="AF24" s="40">
        <f t="shared" si="16"/>
        <v>38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0</v>
      </c>
      <c r="P25" s="15">
        <f t="shared" si="1"/>
        <v>5</v>
      </c>
      <c r="R25" s="37" t="s">
        <v>85</v>
      </c>
      <c r="S25" s="35">
        <f t="shared" ref="S25:AF25" si="17">SUM(S10:S12)</f>
        <v>2</v>
      </c>
      <c r="T25" s="16">
        <f t="shared" si="17"/>
        <v>0</v>
      </c>
      <c r="U25" s="16">
        <f t="shared" si="17"/>
        <v>0</v>
      </c>
      <c r="V25" s="16">
        <f t="shared" si="17"/>
        <v>5</v>
      </c>
      <c r="W25" s="16">
        <f t="shared" si="17"/>
        <v>0</v>
      </c>
      <c r="X25" s="16">
        <f t="shared" si="17"/>
        <v>0</v>
      </c>
      <c r="Y25" s="16">
        <f t="shared" si="17"/>
        <v>3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57</v>
      </c>
      <c r="AD25" s="16">
        <f t="shared" si="17"/>
        <v>0</v>
      </c>
      <c r="AE25" s="32">
        <f t="shared" si="17"/>
        <v>11</v>
      </c>
      <c r="AF25" s="32">
        <f t="shared" si="17"/>
        <v>68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4</v>
      </c>
      <c r="N26" s="50">
        <v>0</v>
      </c>
      <c r="O26" s="15">
        <f t="shared" si="0"/>
        <v>1</v>
      </c>
      <c r="P26" s="15">
        <f t="shared" si="1"/>
        <v>5</v>
      </c>
      <c r="R26" s="28" t="s">
        <v>86</v>
      </c>
      <c r="S26" s="16">
        <f t="shared" ref="S26:AF26" si="18">SUM(S13:S18)</f>
        <v>16</v>
      </c>
      <c r="T26" s="16">
        <f t="shared" si="18"/>
        <v>3</v>
      </c>
      <c r="U26" s="16">
        <f t="shared" si="18"/>
        <v>6</v>
      </c>
      <c r="V26" s="16">
        <f t="shared" si="18"/>
        <v>10</v>
      </c>
      <c r="W26" s="16">
        <f t="shared" si="18"/>
        <v>0</v>
      </c>
      <c r="X26" s="16">
        <f t="shared" si="18"/>
        <v>0</v>
      </c>
      <c r="Y26" s="16">
        <f t="shared" si="18"/>
        <v>17</v>
      </c>
      <c r="Z26" s="16">
        <f t="shared" si="18"/>
        <v>14</v>
      </c>
      <c r="AA26" s="16">
        <f t="shared" si="18"/>
        <v>0</v>
      </c>
      <c r="AB26" s="16">
        <f t="shared" si="18"/>
        <v>1</v>
      </c>
      <c r="AC26" s="16">
        <f t="shared" si="18"/>
        <v>142</v>
      </c>
      <c r="AD26" s="16">
        <f t="shared" si="18"/>
        <v>0</v>
      </c>
      <c r="AE26" s="32">
        <f t="shared" si="18"/>
        <v>67</v>
      </c>
      <c r="AF26" s="32">
        <f t="shared" si="18"/>
        <v>209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4</v>
      </c>
      <c r="N27" s="50">
        <v>0</v>
      </c>
      <c r="O27" s="15">
        <f t="shared" si="0"/>
        <v>1</v>
      </c>
      <c r="P27" s="15">
        <f t="shared" si="1"/>
        <v>5</v>
      </c>
      <c r="R27" s="29" t="s">
        <v>87</v>
      </c>
      <c r="S27" s="16">
        <f t="shared" ref="S27:AF27" si="19">SUM(S19:S21)</f>
        <v>11</v>
      </c>
      <c r="T27" s="16">
        <f t="shared" si="19"/>
        <v>5</v>
      </c>
      <c r="U27" s="16">
        <f t="shared" si="19"/>
        <v>2</v>
      </c>
      <c r="V27" s="16">
        <f t="shared" si="19"/>
        <v>4</v>
      </c>
      <c r="W27" s="16">
        <f t="shared" si="19"/>
        <v>0</v>
      </c>
      <c r="X27" s="16">
        <f t="shared" si="19"/>
        <v>0</v>
      </c>
      <c r="Y27" s="16">
        <f t="shared" si="19"/>
        <v>15</v>
      </c>
      <c r="Z27" s="16">
        <f t="shared" si="19"/>
        <v>2</v>
      </c>
      <c r="AA27" s="16">
        <f t="shared" si="19"/>
        <v>1</v>
      </c>
      <c r="AB27" s="16">
        <f t="shared" si="19"/>
        <v>0</v>
      </c>
      <c r="AC27" s="16">
        <f t="shared" si="19"/>
        <v>71</v>
      </c>
      <c r="AD27" s="16">
        <f t="shared" si="19"/>
        <v>0</v>
      </c>
      <c r="AE27" s="32">
        <f t="shared" si="19"/>
        <v>40</v>
      </c>
      <c r="AF27" s="32">
        <f t="shared" si="19"/>
        <v>111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8</v>
      </c>
      <c r="N28" s="50">
        <v>0</v>
      </c>
      <c r="O28" s="15">
        <f t="shared" si="0"/>
        <v>1</v>
      </c>
      <c r="P28" s="15">
        <f t="shared" si="1"/>
        <v>9</v>
      </c>
      <c r="R28" s="5" t="s">
        <v>17</v>
      </c>
      <c r="S28" s="16">
        <f t="shared" ref="S28:AF28" si="20">SUM(S10:S21)</f>
        <v>29</v>
      </c>
      <c r="T28" s="16">
        <f t="shared" si="20"/>
        <v>8</v>
      </c>
      <c r="U28" s="16">
        <f t="shared" si="20"/>
        <v>8</v>
      </c>
      <c r="V28" s="16">
        <f t="shared" si="20"/>
        <v>19</v>
      </c>
      <c r="W28" s="16">
        <f t="shared" si="20"/>
        <v>0</v>
      </c>
      <c r="X28" s="16">
        <f t="shared" si="20"/>
        <v>0</v>
      </c>
      <c r="Y28" s="16">
        <f t="shared" si="20"/>
        <v>35</v>
      </c>
      <c r="Z28" s="16">
        <f t="shared" si="20"/>
        <v>17</v>
      </c>
      <c r="AA28" s="16">
        <f t="shared" si="20"/>
        <v>1</v>
      </c>
      <c r="AB28" s="16">
        <f t="shared" si="20"/>
        <v>1</v>
      </c>
      <c r="AC28" s="16">
        <f t="shared" si="20"/>
        <v>270</v>
      </c>
      <c r="AD28" s="16">
        <f t="shared" si="20"/>
        <v>0</v>
      </c>
      <c r="AE28" s="32">
        <f t="shared" si="20"/>
        <v>118</v>
      </c>
      <c r="AF28" s="32">
        <f t="shared" si="20"/>
        <v>388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3</v>
      </c>
      <c r="P29" s="15">
        <f t="shared" si="1"/>
        <v>7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8</v>
      </c>
      <c r="N30" s="50">
        <v>0</v>
      </c>
      <c r="O30" s="15">
        <f t="shared" si="0"/>
        <v>2</v>
      </c>
      <c r="P30" s="15">
        <f t="shared" si="1"/>
        <v>10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1</v>
      </c>
      <c r="P31" s="15">
        <f t="shared" si="1"/>
        <v>10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7</v>
      </c>
      <c r="N32" s="50">
        <v>0</v>
      </c>
      <c r="O32" s="15">
        <f t="shared" si="0"/>
        <v>2</v>
      </c>
      <c r="P32" s="15">
        <f t="shared" si="1"/>
        <v>9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2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3</v>
      </c>
      <c r="P33" s="15">
        <f t="shared" si="1"/>
        <v>8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1</v>
      </c>
      <c r="M34" s="50">
        <v>5</v>
      </c>
      <c r="N34" s="50">
        <v>0</v>
      </c>
      <c r="O34" s="15">
        <f t="shared" si="0"/>
        <v>3</v>
      </c>
      <c r="P34" s="15">
        <f t="shared" si="1"/>
        <v>8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3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4</v>
      </c>
      <c r="P35" s="15">
        <f t="shared" si="1"/>
        <v>12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1</v>
      </c>
      <c r="F36" s="50">
        <v>2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6</v>
      </c>
      <c r="P36" s="15">
        <f t="shared" si="1"/>
        <v>16</v>
      </c>
    </row>
    <row r="37" spans="2:20" ht="23.1" customHeight="1" x14ac:dyDescent="0.25">
      <c r="B37" s="23" t="s">
        <v>64</v>
      </c>
      <c r="C37" s="50">
        <v>0</v>
      </c>
      <c r="D37" s="50">
        <v>1</v>
      </c>
      <c r="E37" s="50">
        <v>1</v>
      </c>
      <c r="F37" s="50">
        <v>1</v>
      </c>
      <c r="G37" s="50">
        <v>0</v>
      </c>
      <c r="H37" s="50">
        <v>0</v>
      </c>
      <c r="I37" s="50">
        <v>0</v>
      </c>
      <c r="J37" s="50">
        <v>5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8</v>
      </c>
      <c r="P37" s="15">
        <f t="shared" si="1"/>
        <v>12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4</v>
      </c>
      <c r="P38" s="15">
        <f t="shared" si="1"/>
        <v>10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0</v>
      </c>
      <c r="P39" s="15">
        <f t="shared" si="1"/>
        <v>4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7</v>
      </c>
      <c r="N40" s="50">
        <v>0</v>
      </c>
      <c r="O40" s="15">
        <f t="shared" si="0"/>
        <v>3</v>
      </c>
      <c r="P40" s="15">
        <f t="shared" si="1"/>
        <v>10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4</v>
      </c>
      <c r="P41" s="15">
        <f t="shared" si="1"/>
        <v>7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3</v>
      </c>
      <c r="N42" s="50">
        <v>0</v>
      </c>
      <c r="O42" s="15">
        <f t="shared" si="0"/>
        <v>4</v>
      </c>
      <c r="P42" s="15">
        <f t="shared" si="1"/>
        <v>7</v>
      </c>
    </row>
    <row r="43" spans="2:20" ht="23.1" customHeight="1" x14ac:dyDescent="0.25">
      <c r="B43" s="23" t="s">
        <v>70</v>
      </c>
      <c r="C43" s="50">
        <v>1</v>
      </c>
      <c r="D43" s="50">
        <v>1</v>
      </c>
      <c r="E43" s="50">
        <v>1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5</v>
      </c>
      <c r="P43" s="15">
        <f t="shared" si="1"/>
        <v>15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1</v>
      </c>
      <c r="F44" s="50">
        <v>2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5</v>
      </c>
      <c r="P44" s="15">
        <f t="shared" si="1"/>
        <v>15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2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0</v>
      </c>
      <c r="P46" s="15">
        <f t="shared" si="1"/>
        <v>8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1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13</v>
      </c>
      <c r="N47" s="50">
        <v>0</v>
      </c>
      <c r="O47" s="15">
        <f t="shared" si="0"/>
        <v>6</v>
      </c>
      <c r="P47" s="15">
        <f t="shared" si="1"/>
        <v>19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2</v>
      </c>
      <c r="P48" s="15">
        <f t="shared" si="1"/>
        <v>6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2</v>
      </c>
      <c r="P49" s="15">
        <f t="shared" si="1"/>
        <v>4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3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6</v>
      </c>
      <c r="N50" s="50">
        <v>0</v>
      </c>
      <c r="O50" s="15">
        <f t="shared" si="0"/>
        <v>5</v>
      </c>
      <c r="P50" s="15">
        <f t="shared" si="1"/>
        <v>11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</v>
      </c>
      <c r="N51" s="50">
        <v>0</v>
      </c>
      <c r="O51" s="15">
        <f t="shared" si="0"/>
        <v>1</v>
      </c>
      <c r="P51" s="15">
        <f t="shared" si="1"/>
        <v>4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6</v>
      </c>
      <c r="N52" s="50">
        <v>0</v>
      </c>
      <c r="O52" s="15">
        <f t="shared" si="0"/>
        <v>4</v>
      </c>
      <c r="P52" s="15">
        <f t="shared" si="1"/>
        <v>10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1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8</v>
      </c>
      <c r="N53" s="50">
        <v>0</v>
      </c>
      <c r="O53" s="15">
        <f t="shared" si="0"/>
        <v>5</v>
      </c>
      <c r="P53" s="15">
        <f t="shared" si="1"/>
        <v>13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1</v>
      </c>
      <c r="L54" s="50">
        <v>0</v>
      </c>
      <c r="M54" s="50">
        <v>8</v>
      </c>
      <c r="N54" s="50">
        <v>0</v>
      </c>
      <c r="O54" s="15">
        <f t="shared" si="0"/>
        <v>3</v>
      </c>
      <c r="P54" s="15">
        <f t="shared" si="1"/>
        <v>11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1</v>
      </c>
      <c r="G55" s="50">
        <v>0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6</v>
      </c>
      <c r="N55" s="50">
        <v>0</v>
      </c>
      <c r="O55" s="15">
        <f t="shared" si="0"/>
        <v>5</v>
      </c>
      <c r="P55" s="15">
        <f t="shared" si="1"/>
        <v>11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3</v>
      </c>
      <c r="N56" s="50">
        <v>0</v>
      </c>
      <c r="O56" s="15">
        <f t="shared" si="0"/>
        <v>3</v>
      </c>
      <c r="P56" s="15">
        <f t="shared" si="1"/>
        <v>6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4</v>
      </c>
      <c r="P57" s="15">
        <f t="shared" si="1"/>
        <v>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29</v>
      </c>
      <c r="D58" s="16">
        <f t="shared" si="21"/>
        <v>8</v>
      </c>
      <c r="E58" s="16">
        <f t="shared" si="21"/>
        <v>8</v>
      </c>
      <c r="F58" s="16">
        <f t="shared" si="21"/>
        <v>19</v>
      </c>
      <c r="G58" s="16">
        <f t="shared" si="21"/>
        <v>0</v>
      </c>
      <c r="H58" s="16">
        <f t="shared" si="21"/>
        <v>0</v>
      </c>
      <c r="I58" s="16">
        <f t="shared" si="21"/>
        <v>35</v>
      </c>
      <c r="J58" s="16">
        <f t="shared" si="21"/>
        <v>17</v>
      </c>
      <c r="K58" s="16">
        <f t="shared" si="21"/>
        <v>1</v>
      </c>
      <c r="L58" s="16">
        <f t="shared" si="21"/>
        <v>1</v>
      </c>
      <c r="M58" s="16">
        <f t="shared" si="21"/>
        <v>270</v>
      </c>
      <c r="N58" s="16">
        <f t="shared" si="21"/>
        <v>0</v>
      </c>
      <c r="O58" s="16">
        <f t="shared" si="21"/>
        <v>118</v>
      </c>
      <c r="P58" s="16">
        <f t="shared" si="21"/>
        <v>388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7.4742268041237112E-2</v>
      </c>
      <c r="D59" s="43">
        <f t="shared" si="22"/>
        <v>2.0618556701030927E-2</v>
      </c>
      <c r="E59" s="43">
        <f t="shared" si="22"/>
        <v>2.0618556701030927E-2</v>
      </c>
      <c r="F59" s="43">
        <f t="shared" si="22"/>
        <v>4.8969072164948453E-2</v>
      </c>
      <c r="G59" s="43">
        <f t="shared" si="22"/>
        <v>0</v>
      </c>
      <c r="H59" s="43">
        <f t="shared" si="22"/>
        <v>0</v>
      </c>
      <c r="I59" s="43">
        <f t="shared" si="22"/>
        <v>9.0206185567010308E-2</v>
      </c>
      <c r="J59" s="43">
        <f t="shared" si="22"/>
        <v>4.3814432989690719E-2</v>
      </c>
      <c r="K59" s="43">
        <f t="shared" si="22"/>
        <v>2.5773195876288659E-3</v>
      </c>
      <c r="L59" s="43">
        <f t="shared" si="22"/>
        <v>2.5773195876288659E-3</v>
      </c>
      <c r="M59" s="43">
        <f t="shared" si="22"/>
        <v>0.69587628865979378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0.24576271186440679</v>
      </c>
      <c r="D60" s="44">
        <f t="shared" ref="D60:N60" si="23">D58/$O$58</f>
        <v>6.7796610169491525E-2</v>
      </c>
      <c r="E60" s="44">
        <f t="shared" si="23"/>
        <v>6.7796610169491525E-2</v>
      </c>
      <c r="F60" s="44">
        <f t="shared" si="23"/>
        <v>0.16101694915254236</v>
      </c>
      <c r="G60" s="44">
        <f t="shared" si="23"/>
        <v>0</v>
      </c>
      <c r="H60" s="44">
        <f t="shared" si="23"/>
        <v>0</v>
      </c>
      <c r="I60" s="44">
        <f t="shared" si="23"/>
        <v>0.29661016949152541</v>
      </c>
      <c r="J60" s="44">
        <f t="shared" si="23"/>
        <v>0.1440677966101695</v>
      </c>
      <c r="K60" s="44">
        <f t="shared" si="23"/>
        <v>8.4745762711864406E-3</v>
      </c>
      <c r="L60" s="44">
        <f t="shared" si="23"/>
        <v>8.4745762711864406E-3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zoomScale="80" zoomScaleSheetLayoutView="80" workbookViewId="0">
      <selection activeCell="H39" sqref="H3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'17.10 KAPEEKA-NGOMA'!C3:G3</f>
        <v>KAPEEKA -NGOMA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178</v>
      </c>
      <c r="E5" s="3"/>
      <c r="F5" s="41" t="s">
        <v>1</v>
      </c>
      <c r="G5" s="56" t="str">
        <f>'21.10 NGOMA KAPEEKA-24h'!G5:H5</f>
        <v>BUTALANGU</v>
      </c>
      <c r="H5" s="57"/>
      <c r="I5" s="14"/>
      <c r="J5" s="2" t="s">
        <v>5</v>
      </c>
      <c r="K5" s="56" t="s">
        <v>167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'17.10 KAPEEKA-NGOMA'!D6:E6</f>
        <v>KAPEEKA</v>
      </c>
      <c r="E6" s="57"/>
      <c r="F6" s="2" t="s">
        <v>2</v>
      </c>
      <c r="G6" s="56" t="str">
        <f>'17.10 KAPEEKA-NGOMA'!G6:H6</f>
        <v>NGOMA</v>
      </c>
      <c r="H6" s="57"/>
      <c r="J6" s="2" t="s">
        <v>21</v>
      </c>
      <c r="K6" s="56" t="str">
        <f>'21.10 NGOMA KAPEEKA-24h'!K6:L6</f>
        <v>MIREMBE RUTH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13</v>
      </c>
      <c r="AD10" s="17">
        <f t="shared" si="2"/>
        <v>0</v>
      </c>
      <c r="AE10" s="31">
        <f t="shared" si="2"/>
        <v>5</v>
      </c>
      <c r="AF10" s="31">
        <f t="shared" si="2"/>
        <v>18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2</v>
      </c>
      <c r="P11" s="15">
        <f t="shared" si="1"/>
        <v>5</v>
      </c>
      <c r="R11" s="1" t="s">
        <v>7</v>
      </c>
      <c r="S11" s="17">
        <f t="shared" ref="S11:AF11" si="3">SUM(C14:C17)</f>
        <v>2</v>
      </c>
      <c r="T11" s="17">
        <f t="shared" si="3"/>
        <v>2</v>
      </c>
      <c r="U11" s="17">
        <f t="shared" si="3"/>
        <v>1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16</v>
      </c>
      <c r="AD11" s="17">
        <f t="shared" si="3"/>
        <v>0</v>
      </c>
      <c r="AE11" s="31">
        <f t="shared" si="3"/>
        <v>7</v>
      </c>
      <c r="AF11" s="31">
        <f t="shared" si="3"/>
        <v>23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0</v>
      </c>
      <c r="P12" s="15">
        <f t="shared" si="1"/>
        <v>5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0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14</v>
      </c>
      <c r="AD12" s="17">
        <f t="shared" si="4"/>
        <v>0</v>
      </c>
      <c r="AE12" s="31">
        <f t="shared" si="4"/>
        <v>6</v>
      </c>
      <c r="AF12" s="31">
        <f t="shared" si="4"/>
        <v>20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0</v>
      </c>
      <c r="P13" s="15">
        <f t="shared" si="1"/>
        <v>2</v>
      </c>
      <c r="R13" s="1" t="s">
        <v>9</v>
      </c>
      <c r="S13" s="17">
        <f t="shared" ref="S13:AF13" si="5">SUM(C22:C25)</f>
        <v>2</v>
      </c>
      <c r="T13" s="17">
        <f t="shared" si="5"/>
        <v>1</v>
      </c>
      <c r="U13" s="17">
        <f t="shared" si="5"/>
        <v>2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19</v>
      </c>
      <c r="AD13" s="17">
        <f t="shared" si="5"/>
        <v>0</v>
      </c>
      <c r="AE13" s="31">
        <f t="shared" si="5"/>
        <v>10</v>
      </c>
      <c r="AF13" s="31">
        <f t="shared" si="5"/>
        <v>29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0</v>
      </c>
      <c r="P14" s="15">
        <f t="shared" si="1"/>
        <v>2</v>
      </c>
      <c r="R14" s="1" t="s">
        <v>10</v>
      </c>
      <c r="S14" s="17">
        <f t="shared" ref="S14:AF14" si="6">SUM(C26:C29)</f>
        <v>1</v>
      </c>
      <c r="T14" s="17">
        <f t="shared" si="6"/>
        <v>1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16</v>
      </c>
      <c r="AD14" s="17">
        <f t="shared" si="6"/>
        <v>0</v>
      </c>
      <c r="AE14" s="31">
        <f t="shared" si="6"/>
        <v>9</v>
      </c>
      <c r="AF14" s="31">
        <f t="shared" si="6"/>
        <v>25</v>
      </c>
    </row>
    <row r="15" spans="2:32" ht="23.1" customHeight="1" x14ac:dyDescent="0.25">
      <c r="B15" s="23" t="s">
        <v>42</v>
      </c>
      <c r="C15" s="50">
        <v>0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2</v>
      </c>
      <c r="P15" s="15">
        <f t="shared" si="1"/>
        <v>6</v>
      </c>
      <c r="R15" s="1" t="s">
        <v>11</v>
      </c>
      <c r="S15" s="17">
        <f t="shared" ref="S15:AF15" si="7">SUM(C30:C33)</f>
        <v>2</v>
      </c>
      <c r="T15" s="17">
        <f t="shared" si="7"/>
        <v>2</v>
      </c>
      <c r="U15" s="17">
        <f t="shared" si="7"/>
        <v>3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22</v>
      </c>
      <c r="AD15" s="17">
        <f t="shared" si="7"/>
        <v>0</v>
      </c>
      <c r="AE15" s="31">
        <f t="shared" si="7"/>
        <v>13</v>
      </c>
      <c r="AF15" s="31">
        <f t="shared" si="7"/>
        <v>35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1</v>
      </c>
      <c r="P16" s="15">
        <f t="shared" si="1"/>
        <v>5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2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25</v>
      </c>
      <c r="AD16" s="17">
        <f t="shared" si="8"/>
        <v>0</v>
      </c>
      <c r="AE16" s="31">
        <f t="shared" si="8"/>
        <v>7</v>
      </c>
      <c r="AF16" s="31">
        <f t="shared" si="8"/>
        <v>32</v>
      </c>
    </row>
    <row r="17" spans="2:32" ht="23.1" customHeight="1" x14ac:dyDescent="0.25">
      <c r="B17" s="23" t="s">
        <v>44</v>
      </c>
      <c r="C17" s="50">
        <v>2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6</v>
      </c>
      <c r="N17" s="50">
        <v>0</v>
      </c>
      <c r="O17" s="15">
        <f t="shared" si="0"/>
        <v>4</v>
      </c>
      <c r="P17" s="15">
        <f t="shared" si="1"/>
        <v>10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1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21</v>
      </c>
      <c r="AD17" s="17">
        <f t="shared" si="9"/>
        <v>0</v>
      </c>
      <c r="AE17" s="31">
        <f t="shared" si="9"/>
        <v>9</v>
      </c>
      <c r="AF17" s="31">
        <f t="shared" si="9"/>
        <v>30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3</v>
      </c>
      <c r="P18" s="15">
        <f t="shared" si="1"/>
        <v>5</v>
      </c>
      <c r="R18" s="1" t="s">
        <v>14</v>
      </c>
      <c r="S18" s="17">
        <f t="shared" ref="S18:AF18" si="10">SUM(C42:C45)</f>
        <v>1</v>
      </c>
      <c r="T18" s="17">
        <f t="shared" si="10"/>
        <v>1</v>
      </c>
      <c r="U18" s="17">
        <f t="shared" si="10"/>
        <v>1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16</v>
      </c>
      <c r="AD18" s="17">
        <f t="shared" si="10"/>
        <v>0</v>
      </c>
      <c r="AE18" s="31">
        <f t="shared" si="10"/>
        <v>10</v>
      </c>
      <c r="AF18" s="31">
        <f t="shared" si="10"/>
        <v>26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</v>
      </c>
      <c r="N19" s="50">
        <v>0</v>
      </c>
      <c r="O19" s="15">
        <f t="shared" si="0"/>
        <v>0</v>
      </c>
      <c r="P19" s="15">
        <f t="shared" si="1"/>
        <v>3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0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11</v>
      </c>
      <c r="AD19" s="17">
        <f t="shared" si="11"/>
        <v>0</v>
      </c>
      <c r="AE19" s="31">
        <f t="shared" si="11"/>
        <v>7</v>
      </c>
      <c r="AF19" s="31">
        <f t="shared" si="11"/>
        <v>18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1</v>
      </c>
      <c r="P20" s="15">
        <f t="shared" si="1"/>
        <v>3</v>
      </c>
      <c r="R20" s="1" t="s">
        <v>16</v>
      </c>
      <c r="S20" s="17">
        <f t="shared" ref="S20:AF20" si="12">SUM(C50:C53)</f>
        <v>1</v>
      </c>
      <c r="T20" s="17">
        <f t="shared" si="12"/>
        <v>0</v>
      </c>
      <c r="U20" s="17">
        <f t="shared" si="12"/>
        <v>1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2</v>
      </c>
      <c r="AA20" s="17">
        <f t="shared" si="12"/>
        <v>0</v>
      </c>
      <c r="AB20" s="17">
        <f t="shared" si="12"/>
        <v>1</v>
      </c>
      <c r="AC20" s="17">
        <f t="shared" si="12"/>
        <v>18</v>
      </c>
      <c r="AD20" s="17">
        <f t="shared" si="12"/>
        <v>0</v>
      </c>
      <c r="AE20" s="31">
        <f t="shared" si="12"/>
        <v>9</v>
      </c>
      <c r="AF20" s="31">
        <f t="shared" si="12"/>
        <v>27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7</v>
      </c>
      <c r="N21" s="50">
        <v>0</v>
      </c>
      <c r="O21" s="15">
        <f t="shared" si="0"/>
        <v>2</v>
      </c>
      <c r="P21" s="15">
        <f t="shared" si="1"/>
        <v>9</v>
      </c>
      <c r="R21" s="36" t="s">
        <v>20</v>
      </c>
      <c r="S21" s="34">
        <f t="shared" ref="S21:AF21" si="13">SUM(C54:C57)</f>
        <v>2</v>
      </c>
      <c r="T21" s="17">
        <f t="shared" si="13"/>
        <v>0</v>
      </c>
      <c r="U21" s="17">
        <f t="shared" si="13"/>
        <v>1</v>
      </c>
      <c r="V21" s="17">
        <f t="shared" si="13"/>
        <v>6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23</v>
      </c>
      <c r="AD21" s="17">
        <f t="shared" si="13"/>
        <v>0</v>
      </c>
      <c r="AE21" s="31">
        <f t="shared" si="13"/>
        <v>10</v>
      </c>
      <c r="AF21" s="31">
        <f t="shared" si="13"/>
        <v>33</v>
      </c>
    </row>
    <row r="22" spans="2:32" ht="23.1" customHeight="1" x14ac:dyDescent="0.25">
      <c r="B22" s="23" t="s">
        <v>49</v>
      </c>
      <c r="C22" s="50">
        <v>1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2</v>
      </c>
      <c r="P22" s="15">
        <f t="shared" si="1"/>
        <v>8</v>
      </c>
      <c r="R22" s="38" t="s">
        <v>90</v>
      </c>
      <c r="S22" s="39">
        <f>MAX(S10:S12)</f>
        <v>2</v>
      </c>
      <c r="T22" s="39">
        <f t="shared" ref="T22:AF22" si="14">MAX(T10:T12)</f>
        <v>2</v>
      </c>
      <c r="U22" s="39">
        <f t="shared" si="14"/>
        <v>1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16</v>
      </c>
      <c r="AD22" s="39">
        <f t="shared" si="14"/>
        <v>0</v>
      </c>
      <c r="AE22" s="40">
        <f t="shared" si="14"/>
        <v>7</v>
      </c>
      <c r="AF22" s="40">
        <f t="shared" si="14"/>
        <v>23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6</v>
      </c>
      <c r="N23" s="50">
        <v>0</v>
      </c>
      <c r="O23" s="15">
        <f t="shared" si="0"/>
        <v>1</v>
      </c>
      <c r="P23" s="15">
        <f t="shared" si="1"/>
        <v>7</v>
      </c>
      <c r="R23" s="38" t="s">
        <v>91</v>
      </c>
      <c r="S23" s="39">
        <f>MAX(S13:S18)</f>
        <v>2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25</v>
      </c>
      <c r="AD23" s="39">
        <f t="shared" si="15"/>
        <v>0</v>
      </c>
      <c r="AE23" s="40">
        <f t="shared" si="15"/>
        <v>13</v>
      </c>
      <c r="AF23" s="40">
        <f t="shared" si="15"/>
        <v>35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1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4</v>
      </c>
      <c r="N24" s="50">
        <v>0</v>
      </c>
      <c r="O24" s="15">
        <f t="shared" si="0"/>
        <v>4</v>
      </c>
      <c r="P24" s="15">
        <f t="shared" si="1"/>
        <v>8</v>
      </c>
      <c r="R24" s="38" t="s">
        <v>92</v>
      </c>
      <c r="S24" s="39">
        <f>MAX(S19:S21)</f>
        <v>2</v>
      </c>
      <c r="T24" s="39">
        <f t="shared" ref="T24:AF24" si="16">MAX(T19:T21)</f>
        <v>1</v>
      </c>
      <c r="U24" s="39">
        <f t="shared" si="16"/>
        <v>1</v>
      </c>
      <c r="V24" s="39">
        <f t="shared" si="16"/>
        <v>6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3</v>
      </c>
      <c r="AA24" s="39">
        <f t="shared" si="16"/>
        <v>0</v>
      </c>
      <c r="AB24" s="39">
        <f t="shared" si="16"/>
        <v>1</v>
      </c>
      <c r="AC24" s="39">
        <f t="shared" si="16"/>
        <v>23</v>
      </c>
      <c r="AD24" s="39">
        <f t="shared" si="16"/>
        <v>0</v>
      </c>
      <c r="AE24" s="40">
        <f t="shared" si="16"/>
        <v>10</v>
      </c>
      <c r="AF24" s="40">
        <f t="shared" si="16"/>
        <v>33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3</v>
      </c>
      <c r="P25" s="15">
        <f t="shared" si="1"/>
        <v>6</v>
      </c>
      <c r="R25" s="37" t="s">
        <v>85</v>
      </c>
      <c r="S25" s="35">
        <f t="shared" ref="S25:AF25" si="17">SUM(S10:S12)</f>
        <v>4</v>
      </c>
      <c r="T25" s="16">
        <f t="shared" si="17"/>
        <v>2</v>
      </c>
      <c r="U25" s="16">
        <f t="shared" si="17"/>
        <v>1</v>
      </c>
      <c r="V25" s="16">
        <f t="shared" si="17"/>
        <v>2</v>
      </c>
      <c r="W25" s="16">
        <f t="shared" si="17"/>
        <v>0</v>
      </c>
      <c r="X25" s="16">
        <f t="shared" si="17"/>
        <v>0</v>
      </c>
      <c r="Y25" s="16">
        <f t="shared" si="17"/>
        <v>8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43</v>
      </c>
      <c r="AD25" s="16">
        <f t="shared" si="17"/>
        <v>0</v>
      </c>
      <c r="AE25" s="32">
        <f t="shared" si="17"/>
        <v>18</v>
      </c>
      <c r="AF25" s="32">
        <f t="shared" si="17"/>
        <v>61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2</v>
      </c>
      <c r="P26" s="15">
        <f t="shared" si="1"/>
        <v>8</v>
      </c>
      <c r="R26" s="28" t="s">
        <v>86</v>
      </c>
      <c r="S26" s="16">
        <f t="shared" ref="S26:AF26" si="18">SUM(S13:S18)</f>
        <v>8</v>
      </c>
      <c r="T26" s="16">
        <f t="shared" si="18"/>
        <v>5</v>
      </c>
      <c r="U26" s="16">
        <f t="shared" si="18"/>
        <v>10</v>
      </c>
      <c r="V26" s="16">
        <f t="shared" si="18"/>
        <v>12</v>
      </c>
      <c r="W26" s="16">
        <f t="shared" si="18"/>
        <v>0</v>
      </c>
      <c r="X26" s="16">
        <f t="shared" si="18"/>
        <v>0</v>
      </c>
      <c r="Y26" s="16">
        <f t="shared" si="18"/>
        <v>21</v>
      </c>
      <c r="Z26" s="16">
        <f t="shared" si="18"/>
        <v>2</v>
      </c>
      <c r="AA26" s="16">
        <f t="shared" si="18"/>
        <v>0</v>
      </c>
      <c r="AB26" s="16">
        <f t="shared" si="18"/>
        <v>0</v>
      </c>
      <c r="AC26" s="16">
        <f t="shared" si="18"/>
        <v>119</v>
      </c>
      <c r="AD26" s="16">
        <f t="shared" si="18"/>
        <v>0</v>
      </c>
      <c r="AE26" s="32">
        <f t="shared" si="18"/>
        <v>58</v>
      </c>
      <c r="AF26" s="32">
        <f t="shared" si="18"/>
        <v>177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</v>
      </c>
      <c r="N27" s="50">
        <v>0</v>
      </c>
      <c r="O27" s="15">
        <f t="shared" si="0"/>
        <v>0</v>
      </c>
      <c r="P27" s="15">
        <f t="shared" si="1"/>
        <v>2</v>
      </c>
      <c r="R27" s="29" t="s">
        <v>87</v>
      </c>
      <c r="S27" s="16">
        <f t="shared" ref="S27:AF27" si="19">SUM(S19:S21)</f>
        <v>3</v>
      </c>
      <c r="T27" s="16">
        <f t="shared" si="19"/>
        <v>1</v>
      </c>
      <c r="U27" s="16">
        <f t="shared" si="19"/>
        <v>2</v>
      </c>
      <c r="V27" s="16">
        <f t="shared" si="19"/>
        <v>10</v>
      </c>
      <c r="W27" s="16">
        <f t="shared" si="19"/>
        <v>0</v>
      </c>
      <c r="X27" s="16">
        <f t="shared" si="19"/>
        <v>0</v>
      </c>
      <c r="Y27" s="16">
        <f t="shared" si="19"/>
        <v>4</v>
      </c>
      <c r="Z27" s="16">
        <f t="shared" si="19"/>
        <v>5</v>
      </c>
      <c r="AA27" s="16">
        <f t="shared" si="19"/>
        <v>0</v>
      </c>
      <c r="AB27" s="16">
        <f t="shared" si="19"/>
        <v>1</v>
      </c>
      <c r="AC27" s="16">
        <f t="shared" si="19"/>
        <v>52</v>
      </c>
      <c r="AD27" s="16">
        <f t="shared" si="19"/>
        <v>0</v>
      </c>
      <c r="AE27" s="32">
        <f t="shared" si="19"/>
        <v>26</v>
      </c>
      <c r="AF27" s="32">
        <f t="shared" si="19"/>
        <v>78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0</v>
      </c>
      <c r="M28" s="50">
        <v>1</v>
      </c>
      <c r="N28" s="50">
        <v>0</v>
      </c>
      <c r="O28" s="15">
        <f t="shared" si="0"/>
        <v>4</v>
      </c>
      <c r="P28" s="15">
        <f t="shared" si="1"/>
        <v>5</v>
      </c>
      <c r="R28" s="5" t="s">
        <v>17</v>
      </c>
      <c r="S28" s="16">
        <f t="shared" ref="S28:AF28" si="20">SUM(S10:S21)</f>
        <v>15</v>
      </c>
      <c r="T28" s="16">
        <f t="shared" si="20"/>
        <v>8</v>
      </c>
      <c r="U28" s="16">
        <f t="shared" si="20"/>
        <v>13</v>
      </c>
      <c r="V28" s="16">
        <f t="shared" si="20"/>
        <v>24</v>
      </c>
      <c r="W28" s="16">
        <f t="shared" si="20"/>
        <v>0</v>
      </c>
      <c r="X28" s="16">
        <f t="shared" si="20"/>
        <v>0</v>
      </c>
      <c r="Y28" s="16">
        <f t="shared" si="20"/>
        <v>33</v>
      </c>
      <c r="Z28" s="16">
        <f t="shared" si="20"/>
        <v>8</v>
      </c>
      <c r="AA28" s="16">
        <f t="shared" si="20"/>
        <v>0</v>
      </c>
      <c r="AB28" s="16">
        <f t="shared" si="20"/>
        <v>1</v>
      </c>
      <c r="AC28" s="16">
        <f t="shared" si="20"/>
        <v>214</v>
      </c>
      <c r="AD28" s="16">
        <f t="shared" si="20"/>
        <v>0</v>
      </c>
      <c r="AE28" s="32">
        <f t="shared" si="20"/>
        <v>102</v>
      </c>
      <c r="AF28" s="32">
        <f t="shared" si="20"/>
        <v>316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3</v>
      </c>
      <c r="P29" s="15">
        <f t="shared" si="1"/>
        <v>10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1</v>
      </c>
      <c r="E30" s="50">
        <v>2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7</v>
      </c>
      <c r="N30" s="50">
        <v>0</v>
      </c>
      <c r="O30" s="15">
        <f t="shared" si="0"/>
        <v>4</v>
      </c>
      <c r="P30" s="15">
        <f t="shared" si="1"/>
        <v>11</v>
      </c>
    </row>
    <row r="31" spans="2:32" ht="23.1" customHeight="1" x14ac:dyDescent="0.25">
      <c r="B31" s="24" t="s">
        <v>58</v>
      </c>
      <c r="C31" s="50">
        <v>0</v>
      </c>
      <c r="D31" s="50">
        <v>1</v>
      </c>
      <c r="E31" s="50">
        <v>0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5</v>
      </c>
      <c r="N31" s="50">
        <v>0</v>
      </c>
      <c r="O31" s="15">
        <f t="shared" si="0"/>
        <v>3</v>
      </c>
      <c r="P31" s="15">
        <f t="shared" si="1"/>
        <v>8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4</v>
      </c>
      <c r="N32" s="50">
        <v>0</v>
      </c>
      <c r="O32" s="15">
        <f t="shared" si="0"/>
        <v>3</v>
      </c>
      <c r="P32" s="15">
        <f t="shared" si="1"/>
        <v>7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6</v>
      </c>
      <c r="N33" s="50">
        <v>0</v>
      </c>
      <c r="O33" s="15">
        <f t="shared" si="0"/>
        <v>3</v>
      </c>
      <c r="P33" s="15">
        <f t="shared" si="1"/>
        <v>9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4</v>
      </c>
      <c r="N34" s="50">
        <v>0</v>
      </c>
      <c r="O34" s="15">
        <f t="shared" si="0"/>
        <v>0</v>
      </c>
      <c r="P34" s="15">
        <f t="shared" si="1"/>
        <v>4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1</v>
      </c>
      <c r="P35" s="15">
        <f t="shared" si="1"/>
        <v>5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2</v>
      </c>
      <c r="P36" s="15">
        <f t="shared" si="1"/>
        <v>10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3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9</v>
      </c>
      <c r="N37" s="50">
        <v>0</v>
      </c>
      <c r="O37" s="15">
        <f t="shared" si="0"/>
        <v>4</v>
      </c>
      <c r="P37" s="15">
        <f t="shared" si="1"/>
        <v>13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1</v>
      </c>
      <c r="P38" s="15">
        <f t="shared" si="1"/>
        <v>4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3</v>
      </c>
      <c r="P39" s="15">
        <f t="shared" si="1"/>
        <v>13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4</v>
      </c>
      <c r="N40" s="50">
        <v>0</v>
      </c>
      <c r="O40" s="15">
        <f t="shared" si="0"/>
        <v>1</v>
      </c>
      <c r="P40" s="15">
        <f t="shared" si="1"/>
        <v>5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4</v>
      </c>
      <c r="N41" s="50">
        <v>0</v>
      </c>
      <c r="O41" s="15">
        <f t="shared" si="0"/>
        <v>4</v>
      </c>
      <c r="P41" s="15">
        <f t="shared" si="1"/>
        <v>8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2</v>
      </c>
      <c r="N42" s="50">
        <v>0</v>
      </c>
      <c r="O42" s="15">
        <f t="shared" si="0"/>
        <v>2</v>
      </c>
      <c r="P42" s="15">
        <f t="shared" si="1"/>
        <v>4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0</v>
      </c>
      <c r="F43" s="50">
        <v>1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7</v>
      </c>
      <c r="N43" s="50">
        <v>0</v>
      </c>
      <c r="O43" s="15">
        <f t="shared" si="0"/>
        <v>4</v>
      </c>
      <c r="P43" s="15">
        <f t="shared" si="1"/>
        <v>11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3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3</v>
      </c>
      <c r="P44" s="15">
        <f t="shared" si="1"/>
        <v>7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3</v>
      </c>
      <c r="N45" s="50">
        <v>0</v>
      </c>
      <c r="O45" s="15">
        <f t="shared" si="0"/>
        <v>1</v>
      </c>
      <c r="P45" s="15">
        <f t="shared" si="1"/>
        <v>4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0</v>
      </c>
      <c r="P46" s="15">
        <f t="shared" si="1"/>
        <v>3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3</v>
      </c>
      <c r="P47" s="15">
        <f t="shared" si="1"/>
        <v>7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2</v>
      </c>
      <c r="K48" s="50">
        <v>0</v>
      </c>
      <c r="L48" s="50">
        <v>0</v>
      </c>
      <c r="M48" s="50">
        <v>2</v>
      </c>
      <c r="N48" s="50">
        <v>0</v>
      </c>
      <c r="O48" s="15">
        <f t="shared" si="0"/>
        <v>2</v>
      </c>
      <c r="P48" s="15">
        <f t="shared" si="1"/>
        <v>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2</v>
      </c>
      <c r="P49" s="15">
        <f t="shared" si="1"/>
        <v>4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6</v>
      </c>
      <c r="N50" s="50">
        <v>0</v>
      </c>
      <c r="O50" s="15">
        <f t="shared" si="0"/>
        <v>2</v>
      </c>
      <c r="P50" s="15">
        <f t="shared" si="1"/>
        <v>8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7</v>
      </c>
      <c r="N51" s="50">
        <v>0</v>
      </c>
      <c r="O51" s="15">
        <f t="shared" si="0"/>
        <v>0</v>
      </c>
      <c r="P51" s="15">
        <f t="shared" si="1"/>
        <v>7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2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2</v>
      </c>
      <c r="N52" s="50">
        <v>0</v>
      </c>
      <c r="O52" s="15">
        <f t="shared" si="0"/>
        <v>3</v>
      </c>
      <c r="P52" s="15">
        <f t="shared" si="1"/>
        <v>5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1</v>
      </c>
      <c r="M53" s="50">
        <v>3</v>
      </c>
      <c r="N53" s="50">
        <v>0</v>
      </c>
      <c r="O53" s="15">
        <f t="shared" si="0"/>
        <v>4</v>
      </c>
      <c r="P53" s="15">
        <f t="shared" si="1"/>
        <v>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2</v>
      </c>
      <c r="P54" s="15">
        <f t="shared" si="1"/>
        <v>9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4</v>
      </c>
      <c r="N55" s="50">
        <v>0</v>
      </c>
      <c r="O55" s="15">
        <f t="shared" si="0"/>
        <v>2</v>
      </c>
      <c r="P55" s="15">
        <f t="shared" si="1"/>
        <v>6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7</v>
      </c>
      <c r="N56" s="50">
        <v>0</v>
      </c>
      <c r="O56" s="15">
        <f t="shared" si="0"/>
        <v>3</v>
      </c>
      <c r="P56" s="15">
        <f t="shared" si="1"/>
        <v>10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2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5</v>
      </c>
      <c r="N57" s="50">
        <v>0</v>
      </c>
      <c r="O57" s="15">
        <f t="shared" si="0"/>
        <v>3</v>
      </c>
      <c r="P57" s="15">
        <f t="shared" si="1"/>
        <v>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</v>
      </c>
      <c r="D58" s="16">
        <f t="shared" si="21"/>
        <v>8</v>
      </c>
      <c r="E58" s="16">
        <f t="shared" si="21"/>
        <v>13</v>
      </c>
      <c r="F58" s="16">
        <f t="shared" si="21"/>
        <v>24</v>
      </c>
      <c r="G58" s="16">
        <f t="shared" si="21"/>
        <v>0</v>
      </c>
      <c r="H58" s="16">
        <f t="shared" si="21"/>
        <v>0</v>
      </c>
      <c r="I58" s="16">
        <f t="shared" si="21"/>
        <v>33</v>
      </c>
      <c r="J58" s="16">
        <f t="shared" si="21"/>
        <v>8</v>
      </c>
      <c r="K58" s="16">
        <f t="shared" si="21"/>
        <v>0</v>
      </c>
      <c r="L58" s="16">
        <f t="shared" si="21"/>
        <v>1</v>
      </c>
      <c r="M58" s="16">
        <f t="shared" si="21"/>
        <v>214</v>
      </c>
      <c r="N58" s="16">
        <f t="shared" si="21"/>
        <v>0</v>
      </c>
      <c r="O58" s="16">
        <f t="shared" si="21"/>
        <v>102</v>
      </c>
      <c r="P58" s="16">
        <f t="shared" si="21"/>
        <v>316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4.746835443037975E-2</v>
      </c>
      <c r="D59" s="43">
        <f t="shared" si="22"/>
        <v>2.5316455696202531E-2</v>
      </c>
      <c r="E59" s="43">
        <f t="shared" si="22"/>
        <v>4.1139240506329111E-2</v>
      </c>
      <c r="F59" s="43">
        <f t="shared" si="22"/>
        <v>7.5949367088607597E-2</v>
      </c>
      <c r="G59" s="43">
        <f t="shared" si="22"/>
        <v>0</v>
      </c>
      <c r="H59" s="43">
        <f t="shared" si="22"/>
        <v>0</v>
      </c>
      <c r="I59" s="43">
        <f t="shared" si="22"/>
        <v>0.10443037974683544</v>
      </c>
      <c r="J59" s="43">
        <f t="shared" si="22"/>
        <v>2.5316455696202531E-2</v>
      </c>
      <c r="K59" s="43">
        <f t="shared" si="22"/>
        <v>0</v>
      </c>
      <c r="L59" s="43">
        <f t="shared" si="22"/>
        <v>3.1645569620253164E-3</v>
      </c>
      <c r="M59" s="43">
        <f t="shared" si="22"/>
        <v>0.67721518987341767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0.14705882352941177</v>
      </c>
      <c r="D60" s="44">
        <f t="shared" ref="D60:N60" si="23">D58/$O$58</f>
        <v>7.8431372549019607E-2</v>
      </c>
      <c r="E60" s="44">
        <f t="shared" si="23"/>
        <v>0.12745098039215685</v>
      </c>
      <c r="F60" s="44">
        <f t="shared" si="23"/>
        <v>0.23529411764705882</v>
      </c>
      <c r="G60" s="44">
        <f t="shared" si="23"/>
        <v>0</v>
      </c>
      <c r="H60" s="44">
        <f t="shared" si="23"/>
        <v>0</v>
      </c>
      <c r="I60" s="44">
        <f t="shared" si="23"/>
        <v>0.3235294117647059</v>
      </c>
      <c r="J60" s="44">
        <f t="shared" si="23"/>
        <v>7.8431372549019607E-2</v>
      </c>
      <c r="K60" s="44">
        <f t="shared" si="23"/>
        <v>0</v>
      </c>
      <c r="L60" s="44">
        <f t="shared" si="23"/>
        <v>9.8039215686274508E-3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topLeftCell="S19" zoomScale="90" zoomScaleSheetLayoutView="90" workbookViewId="0">
      <selection activeCell="AI11" sqref="AI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'17.10 NGOMA-KAPEEKA'!C3:G3</f>
        <v>KAPEEKA -NGOMA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'23.10 KAPEEKA-NGOMA'!D5</f>
        <v>23.10.2019</v>
      </c>
      <c r="E5" s="3"/>
      <c r="F5" s="41" t="s">
        <v>1</v>
      </c>
      <c r="G5" s="56" t="str">
        <f>'23.10 KAPEEKA-NGOMA'!G5:H5</f>
        <v>BUTALANGU</v>
      </c>
      <c r="H5" s="57"/>
      <c r="I5" s="14"/>
      <c r="J5" s="2" t="s">
        <v>5</v>
      </c>
      <c r="K5" s="56" t="s">
        <v>168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'17.10 NGOMA-KAPEEKA'!D6:E6</f>
        <v>NGOMA</v>
      </c>
      <c r="E6" s="57"/>
      <c r="F6" s="2" t="s">
        <v>2</v>
      </c>
      <c r="G6" s="56" t="str">
        <f>'17.10 NGOMA-KAPEEKA'!G6:H6</f>
        <v>KAPEEKA</v>
      </c>
      <c r="H6" s="57"/>
      <c r="J6" s="2" t="s">
        <v>21</v>
      </c>
      <c r="K6" s="56" t="str">
        <f>'23.10 KAPEEKA-NGOMA'!K6:L6</f>
        <v>MIREMBE RUTH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14</v>
      </c>
      <c r="AD10" s="17">
        <f t="shared" si="2"/>
        <v>0</v>
      </c>
      <c r="AE10" s="31">
        <f t="shared" si="2"/>
        <v>4</v>
      </c>
      <c r="AF10" s="31">
        <f t="shared" si="2"/>
        <v>18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0</v>
      </c>
      <c r="P11" s="15">
        <f t="shared" si="1"/>
        <v>3</v>
      </c>
      <c r="R11" s="1" t="s">
        <v>7</v>
      </c>
      <c r="S11" s="17">
        <f t="shared" ref="S11:AF11" si="3">SUM(C14:C17)</f>
        <v>2</v>
      </c>
      <c r="T11" s="17">
        <f t="shared" si="3"/>
        <v>1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13</v>
      </c>
      <c r="AD11" s="17">
        <f t="shared" si="3"/>
        <v>0</v>
      </c>
      <c r="AE11" s="31">
        <f t="shared" si="3"/>
        <v>5</v>
      </c>
      <c r="AF11" s="31">
        <f t="shared" si="3"/>
        <v>18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0</v>
      </c>
      <c r="P12" s="15">
        <f t="shared" si="1"/>
        <v>6</v>
      </c>
      <c r="R12" s="1" t="s">
        <v>8</v>
      </c>
      <c r="S12" s="17">
        <f t="shared" ref="S12:AF12" si="4">SUM(C18:C21)</f>
        <v>0</v>
      </c>
      <c r="T12" s="17">
        <f t="shared" si="4"/>
        <v>1</v>
      </c>
      <c r="U12" s="17">
        <f t="shared" si="4"/>
        <v>1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15</v>
      </c>
      <c r="AD12" s="17">
        <f t="shared" si="4"/>
        <v>0</v>
      </c>
      <c r="AE12" s="31">
        <f t="shared" si="4"/>
        <v>8</v>
      </c>
      <c r="AF12" s="31">
        <f t="shared" si="4"/>
        <v>23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1</v>
      </c>
      <c r="P13" s="15">
        <f t="shared" si="1"/>
        <v>4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15</v>
      </c>
      <c r="AD13" s="17">
        <f t="shared" si="5"/>
        <v>0</v>
      </c>
      <c r="AE13" s="31">
        <f t="shared" si="5"/>
        <v>3</v>
      </c>
      <c r="AF13" s="31">
        <f t="shared" si="5"/>
        <v>18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1</v>
      </c>
      <c r="P14" s="15">
        <f t="shared" si="1"/>
        <v>4</v>
      </c>
      <c r="R14" s="1" t="s">
        <v>10</v>
      </c>
      <c r="S14" s="17">
        <f t="shared" ref="S14:AF14" si="6">SUM(C26:C29)</f>
        <v>2</v>
      </c>
      <c r="T14" s="17">
        <f t="shared" si="6"/>
        <v>1</v>
      </c>
      <c r="U14" s="17">
        <f t="shared" si="6"/>
        <v>0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14</v>
      </c>
      <c r="AD14" s="17">
        <f t="shared" si="6"/>
        <v>0</v>
      </c>
      <c r="AE14" s="31">
        <f t="shared" si="6"/>
        <v>7</v>
      </c>
      <c r="AF14" s="31">
        <f t="shared" si="6"/>
        <v>21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0</v>
      </c>
      <c r="P15" s="15">
        <f t="shared" si="1"/>
        <v>3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2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24</v>
      </c>
      <c r="AD15" s="17">
        <f t="shared" si="7"/>
        <v>0</v>
      </c>
      <c r="AE15" s="31">
        <f t="shared" si="7"/>
        <v>13</v>
      </c>
      <c r="AF15" s="31">
        <f t="shared" si="7"/>
        <v>37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1</v>
      </c>
      <c r="P16" s="15">
        <f t="shared" si="1"/>
        <v>5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20</v>
      </c>
      <c r="AD16" s="17">
        <f t="shared" si="8"/>
        <v>0</v>
      </c>
      <c r="AE16" s="31">
        <f t="shared" si="8"/>
        <v>3</v>
      </c>
      <c r="AF16" s="31">
        <f t="shared" si="8"/>
        <v>23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3</v>
      </c>
      <c r="P17" s="15">
        <f t="shared" si="1"/>
        <v>6</v>
      </c>
      <c r="R17" s="1" t="s">
        <v>13</v>
      </c>
      <c r="S17" s="17">
        <f t="shared" ref="S17:AF17" si="9">SUM(C38:C41)</f>
        <v>1</v>
      </c>
      <c r="T17" s="17">
        <f t="shared" si="9"/>
        <v>2</v>
      </c>
      <c r="U17" s="17">
        <f t="shared" si="9"/>
        <v>2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19</v>
      </c>
      <c r="AD17" s="17">
        <f t="shared" si="9"/>
        <v>0</v>
      </c>
      <c r="AE17" s="31">
        <f t="shared" si="9"/>
        <v>11</v>
      </c>
      <c r="AF17" s="31">
        <f t="shared" si="9"/>
        <v>30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2</v>
      </c>
      <c r="P18" s="15">
        <f t="shared" si="1"/>
        <v>6</v>
      </c>
      <c r="R18" s="1" t="s">
        <v>14</v>
      </c>
      <c r="S18" s="17">
        <f t="shared" ref="S18:AF18" si="10">SUM(C42:C45)</f>
        <v>2</v>
      </c>
      <c r="T18" s="17">
        <f t="shared" si="10"/>
        <v>2</v>
      </c>
      <c r="U18" s="17">
        <f t="shared" si="10"/>
        <v>2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16</v>
      </c>
      <c r="AD18" s="17">
        <f t="shared" si="10"/>
        <v>0</v>
      </c>
      <c r="AE18" s="31">
        <f t="shared" si="10"/>
        <v>13</v>
      </c>
      <c r="AF18" s="31">
        <f t="shared" si="10"/>
        <v>29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3</v>
      </c>
      <c r="P19" s="15">
        <f t="shared" si="1"/>
        <v>8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2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19</v>
      </c>
      <c r="AD19" s="17">
        <f t="shared" si="11"/>
        <v>0</v>
      </c>
      <c r="AE19" s="31">
        <f t="shared" si="11"/>
        <v>5</v>
      </c>
      <c r="AF19" s="31">
        <f t="shared" si="11"/>
        <v>24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1</v>
      </c>
      <c r="P20" s="15">
        <f t="shared" si="1"/>
        <v>4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3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20</v>
      </c>
      <c r="AD20" s="17">
        <f t="shared" si="12"/>
        <v>0</v>
      </c>
      <c r="AE20" s="31">
        <f t="shared" si="12"/>
        <v>8</v>
      </c>
      <c r="AF20" s="31">
        <f t="shared" si="12"/>
        <v>28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2</v>
      </c>
      <c r="P21" s="15">
        <f t="shared" si="1"/>
        <v>5</v>
      </c>
      <c r="R21" s="36" t="s">
        <v>20</v>
      </c>
      <c r="S21" s="34">
        <f t="shared" ref="S21:AF21" si="13">SUM(C54:C57)</f>
        <v>5</v>
      </c>
      <c r="T21" s="17">
        <f t="shared" si="13"/>
        <v>0</v>
      </c>
      <c r="U21" s="17">
        <f t="shared" si="13"/>
        <v>3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26</v>
      </c>
      <c r="AD21" s="17">
        <f t="shared" si="13"/>
        <v>0</v>
      </c>
      <c r="AE21" s="31">
        <f t="shared" si="13"/>
        <v>18</v>
      </c>
      <c r="AF21" s="31">
        <f t="shared" si="13"/>
        <v>44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0</v>
      </c>
      <c r="P22" s="15">
        <f t="shared" si="1"/>
        <v>4</v>
      </c>
      <c r="R22" s="38" t="s">
        <v>90</v>
      </c>
      <c r="S22" s="39">
        <f>MAX(S10:S12)</f>
        <v>2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15</v>
      </c>
      <c r="AD22" s="39">
        <f t="shared" si="14"/>
        <v>0</v>
      </c>
      <c r="AE22" s="40">
        <f t="shared" si="14"/>
        <v>8</v>
      </c>
      <c r="AF22" s="40">
        <f t="shared" si="14"/>
        <v>23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2</v>
      </c>
      <c r="P23" s="15">
        <f t="shared" si="1"/>
        <v>5</v>
      </c>
      <c r="R23" s="38" t="s">
        <v>91</v>
      </c>
      <c r="S23" s="39">
        <f>MAX(S13:S18)</f>
        <v>4</v>
      </c>
      <c r="T23" s="39">
        <f t="shared" ref="T23:AF23" si="15">MAX(T13:T18)</f>
        <v>2</v>
      </c>
      <c r="U23" s="39">
        <f t="shared" si="15"/>
        <v>2</v>
      </c>
      <c r="V23" s="39">
        <f t="shared" si="15"/>
        <v>5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24</v>
      </c>
      <c r="AD23" s="39">
        <f t="shared" si="15"/>
        <v>0</v>
      </c>
      <c r="AE23" s="40">
        <f t="shared" si="15"/>
        <v>13</v>
      </c>
      <c r="AF23" s="40">
        <f t="shared" si="15"/>
        <v>37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1</v>
      </c>
      <c r="P24" s="15">
        <f t="shared" si="1"/>
        <v>4</v>
      </c>
      <c r="R24" s="38" t="s">
        <v>92</v>
      </c>
      <c r="S24" s="39">
        <f>MAX(S19:S21)</f>
        <v>5</v>
      </c>
      <c r="T24" s="39">
        <f t="shared" ref="T24:AF24" si="16">MAX(T19:T21)</f>
        <v>0</v>
      </c>
      <c r="U24" s="39">
        <f t="shared" si="16"/>
        <v>3</v>
      </c>
      <c r="V24" s="39">
        <f t="shared" si="16"/>
        <v>4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26</v>
      </c>
      <c r="AD24" s="39">
        <f t="shared" si="16"/>
        <v>0</v>
      </c>
      <c r="AE24" s="40">
        <f t="shared" si="16"/>
        <v>18</v>
      </c>
      <c r="AF24" s="40">
        <f t="shared" si="16"/>
        <v>44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0</v>
      </c>
      <c r="P25" s="15">
        <f t="shared" si="1"/>
        <v>5</v>
      </c>
      <c r="R25" s="37" t="s">
        <v>85</v>
      </c>
      <c r="S25" s="35">
        <f t="shared" ref="S25:AF25" si="17">SUM(S10:S12)</f>
        <v>2</v>
      </c>
      <c r="T25" s="16">
        <f t="shared" si="17"/>
        <v>2</v>
      </c>
      <c r="U25" s="16">
        <f t="shared" si="17"/>
        <v>1</v>
      </c>
      <c r="V25" s="16">
        <f t="shared" si="17"/>
        <v>7</v>
      </c>
      <c r="W25" s="16">
        <f t="shared" si="17"/>
        <v>0</v>
      </c>
      <c r="X25" s="16">
        <f t="shared" si="17"/>
        <v>0</v>
      </c>
      <c r="Y25" s="16">
        <f t="shared" si="17"/>
        <v>5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42</v>
      </c>
      <c r="AD25" s="16">
        <f t="shared" si="17"/>
        <v>0</v>
      </c>
      <c r="AE25" s="32">
        <f t="shared" si="17"/>
        <v>17</v>
      </c>
      <c r="AF25" s="32">
        <f t="shared" si="17"/>
        <v>59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2</v>
      </c>
      <c r="P26" s="15">
        <f t="shared" si="1"/>
        <v>8</v>
      </c>
      <c r="R26" s="28" t="s">
        <v>86</v>
      </c>
      <c r="S26" s="16">
        <f t="shared" ref="S26:AF26" si="18">SUM(S13:S18)</f>
        <v>10</v>
      </c>
      <c r="T26" s="16">
        <f t="shared" si="18"/>
        <v>5</v>
      </c>
      <c r="U26" s="16">
        <f t="shared" si="18"/>
        <v>6</v>
      </c>
      <c r="V26" s="16">
        <f t="shared" si="18"/>
        <v>14</v>
      </c>
      <c r="W26" s="16">
        <f t="shared" si="18"/>
        <v>0</v>
      </c>
      <c r="X26" s="16">
        <f t="shared" si="18"/>
        <v>0</v>
      </c>
      <c r="Y26" s="16">
        <f t="shared" si="18"/>
        <v>11</v>
      </c>
      <c r="Z26" s="16">
        <f t="shared" si="18"/>
        <v>4</v>
      </c>
      <c r="AA26" s="16">
        <f t="shared" si="18"/>
        <v>0</v>
      </c>
      <c r="AB26" s="16">
        <f t="shared" si="18"/>
        <v>0</v>
      </c>
      <c r="AC26" s="16">
        <f t="shared" si="18"/>
        <v>108</v>
      </c>
      <c r="AD26" s="16">
        <f t="shared" si="18"/>
        <v>0</v>
      </c>
      <c r="AE26" s="32">
        <f t="shared" si="18"/>
        <v>50</v>
      </c>
      <c r="AF26" s="32">
        <f t="shared" si="18"/>
        <v>158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2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</v>
      </c>
      <c r="N27" s="50">
        <v>0</v>
      </c>
      <c r="O27" s="15">
        <f t="shared" si="0"/>
        <v>2</v>
      </c>
      <c r="P27" s="15">
        <f t="shared" si="1"/>
        <v>3</v>
      </c>
      <c r="R27" s="29" t="s">
        <v>87</v>
      </c>
      <c r="S27" s="16">
        <f t="shared" ref="S27:AF27" si="19">SUM(S19:S21)</f>
        <v>5</v>
      </c>
      <c r="T27" s="16">
        <f t="shared" si="19"/>
        <v>0</v>
      </c>
      <c r="U27" s="16">
        <f t="shared" si="19"/>
        <v>8</v>
      </c>
      <c r="V27" s="16">
        <f t="shared" si="19"/>
        <v>7</v>
      </c>
      <c r="W27" s="16">
        <f t="shared" si="19"/>
        <v>0</v>
      </c>
      <c r="X27" s="16">
        <f t="shared" si="19"/>
        <v>0</v>
      </c>
      <c r="Y27" s="16">
        <f t="shared" si="19"/>
        <v>10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65</v>
      </c>
      <c r="AD27" s="16">
        <f t="shared" si="19"/>
        <v>0</v>
      </c>
      <c r="AE27" s="32">
        <f t="shared" si="19"/>
        <v>31</v>
      </c>
      <c r="AF27" s="32">
        <f t="shared" si="19"/>
        <v>96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2</v>
      </c>
      <c r="P28" s="15">
        <f t="shared" si="1"/>
        <v>7</v>
      </c>
      <c r="R28" s="5" t="s">
        <v>17</v>
      </c>
      <c r="S28" s="16">
        <f t="shared" ref="S28:AF28" si="20">SUM(S10:S21)</f>
        <v>17</v>
      </c>
      <c r="T28" s="16">
        <f t="shared" si="20"/>
        <v>7</v>
      </c>
      <c r="U28" s="16">
        <f t="shared" si="20"/>
        <v>15</v>
      </c>
      <c r="V28" s="16">
        <f t="shared" si="20"/>
        <v>28</v>
      </c>
      <c r="W28" s="16">
        <f t="shared" si="20"/>
        <v>0</v>
      </c>
      <c r="X28" s="16">
        <f t="shared" si="20"/>
        <v>0</v>
      </c>
      <c r="Y28" s="16">
        <f t="shared" si="20"/>
        <v>26</v>
      </c>
      <c r="Z28" s="16">
        <f t="shared" si="20"/>
        <v>5</v>
      </c>
      <c r="AA28" s="16">
        <f t="shared" si="20"/>
        <v>0</v>
      </c>
      <c r="AB28" s="16">
        <f t="shared" si="20"/>
        <v>0</v>
      </c>
      <c r="AC28" s="16">
        <f t="shared" si="20"/>
        <v>215</v>
      </c>
      <c r="AD28" s="16">
        <f t="shared" si="20"/>
        <v>0</v>
      </c>
      <c r="AE28" s="32">
        <f t="shared" si="20"/>
        <v>98</v>
      </c>
      <c r="AF28" s="32">
        <f t="shared" si="20"/>
        <v>313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</v>
      </c>
      <c r="N29" s="50">
        <v>0</v>
      </c>
      <c r="O29" s="15">
        <f t="shared" si="0"/>
        <v>1</v>
      </c>
      <c r="P29" s="15">
        <f t="shared" si="1"/>
        <v>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2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8</v>
      </c>
      <c r="N30" s="50">
        <v>0</v>
      </c>
      <c r="O30" s="15">
        <f t="shared" si="0"/>
        <v>3</v>
      </c>
      <c r="P30" s="15">
        <f t="shared" si="1"/>
        <v>11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3</v>
      </c>
      <c r="P31" s="15">
        <f t="shared" si="1"/>
        <v>12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4</v>
      </c>
      <c r="N32" s="50">
        <v>0</v>
      </c>
      <c r="O32" s="15">
        <f t="shared" si="0"/>
        <v>3</v>
      </c>
      <c r="P32" s="15">
        <f t="shared" si="1"/>
        <v>7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4</v>
      </c>
      <c r="P33" s="15">
        <f t="shared" si="1"/>
        <v>7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4</v>
      </c>
      <c r="N34" s="50">
        <v>0</v>
      </c>
      <c r="O34" s="15">
        <f t="shared" si="0"/>
        <v>1</v>
      </c>
      <c r="P34" s="15">
        <f t="shared" si="1"/>
        <v>5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1</v>
      </c>
      <c r="P35" s="15">
        <f t="shared" si="1"/>
        <v>3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1</v>
      </c>
      <c r="P36" s="15">
        <f t="shared" si="1"/>
        <v>9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6</v>
      </c>
      <c r="N37" s="50">
        <v>0</v>
      </c>
      <c r="O37" s="15">
        <f t="shared" si="0"/>
        <v>0</v>
      </c>
      <c r="P37" s="15">
        <f t="shared" si="1"/>
        <v>6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0</v>
      </c>
      <c r="P38" s="15">
        <f t="shared" si="1"/>
        <v>1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9</v>
      </c>
      <c r="N39" s="50">
        <v>0</v>
      </c>
      <c r="O39" s="15">
        <f t="shared" si="0"/>
        <v>1</v>
      </c>
      <c r="P39" s="15">
        <f t="shared" si="1"/>
        <v>10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1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3</v>
      </c>
      <c r="P40" s="15">
        <f t="shared" si="1"/>
        <v>9</v>
      </c>
    </row>
    <row r="41" spans="2:20" ht="23.1" customHeight="1" x14ac:dyDescent="0.25">
      <c r="B41" s="23" t="s">
        <v>68</v>
      </c>
      <c r="C41" s="50">
        <v>1</v>
      </c>
      <c r="D41" s="50">
        <v>2</v>
      </c>
      <c r="E41" s="50">
        <v>1</v>
      </c>
      <c r="F41" s="50">
        <v>0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7</v>
      </c>
      <c r="P41" s="15">
        <f t="shared" si="1"/>
        <v>10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2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</v>
      </c>
      <c r="N42" s="50">
        <v>0</v>
      </c>
      <c r="O42" s="15">
        <f t="shared" si="0"/>
        <v>4</v>
      </c>
      <c r="P42" s="15">
        <f t="shared" si="1"/>
        <v>7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3</v>
      </c>
      <c r="N43" s="50">
        <v>0</v>
      </c>
      <c r="O43" s="15">
        <f t="shared" si="0"/>
        <v>0</v>
      </c>
      <c r="P43" s="15">
        <f t="shared" si="1"/>
        <v>3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6</v>
      </c>
      <c r="N44" s="50">
        <v>0</v>
      </c>
      <c r="O44" s="15">
        <f t="shared" si="0"/>
        <v>2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0</v>
      </c>
      <c r="F45" s="50">
        <v>4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7</v>
      </c>
      <c r="P45" s="15">
        <f t="shared" si="1"/>
        <v>11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4</v>
      </c>
      <c r="N46" s="50">
        <v>0</v>
      </c>
      <c r="O46" s="15">
        <f t="shared" si="0"/>
        <v>3</v>
      </c>
      <c r="P46" s="15">
        <f t="shared" si="1"/>
        <v>7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0</v>
      </c>
      <c r="P47" s="15">
        <f t="shared" si="1"/>
        <v>8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0</v>
      </c>
      <c r="P48" s="15">
        <f t="shared" si="1"/>
        <v>3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2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4</v>
      </c>
      <c r="N49" s="50">
        <v>0</v>
      </c>
      <c r="O49" s="15">
        <f t="shared" si="0"/>
        <v>2</v>
      </c>
      <c r="P49" s="15">
        <f t="shared" si="1"/>
        <v>6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2</v>
      </c>
      <c r="P50" s="15">
        <f t="shared" si="1"/>
        <v>3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6</v>
      </c>
      <c r="N51" s="50">
        <v>0</v>
      </c>
      <c r="O51" s="15">
        <f t="shared" si="0"/>
        <v>3</v>
      </c>
      <c r="P51" s="15">
        <f t="shared" si="1"/>
        <v>9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2</v>
      </c>
      <c r="P52" s="15">
        <f t="shared" si="1"/>
        <v>9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1</v>
      </c>
      <c r="P53" s="15">
        <f t="shared" si="1"/>
        <v>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3</v>
      </c>
      <c r="P54" s="15">
        <f t="shared" si="1"/>
        <v>12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4</v>
      </c>
      <c r="N55" s="50">
        <v>0</v>
      </c>
      <c r="O55" s="15">
        <f t="shared" si="0"/>
        <v>5</v>
      </c>
      <c r="P55" s="15">
        <f t="shared" si="1"/>
        <v>9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7</v>
      </c>
      <c r="N56" s="50">
        <v>0</v>
      </c>
      <c r="O56" s="15">
        <f t="shared" si="0"/>
        <v>4</v>
      </c>
      <c r="P56" s="15">
        <f t="shared" si="1"/>
        <v>11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2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6</v>
      </c>
      <c r="P57" s="15">
        <f t="shared" si="1"/>
        <v>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</v>
      </c>
      <c r="D58" s="16">
        <f t="shared" si="21"/>
        <v>7</v>
      </c>
      <c r="E58" s="16">
        <f t="shared" si="21"/>
        <v>15</v>
      </c>
      <c r="F58" s="16">
        <f t="shared" si="21"/>
        <v>28</v>
      </c>
      <c r="G58" s="16">
        <f t="shared" si="21"/>
        <v>0</v>
      </c>
      <c r="H58" s="16">
        <f t="shared" si="21"/>
        <v>0</v>
      </c>
      <c r="I58" s="16">
        <f t="shared" si="21"/>
        <v>26</v>
      </c>
      <c r="J58" s="16">
        <f t="shared" si="21"/>
        <v>5</v>
      </c>
      <c r="K58" s="16">
        <f t="shared" si="21"/>
        <v>0</v>
      </c>
      <c r="L58" s="16">
        <f t="shared" si="21"/>
        <v>0</v>
      </c>
      <c r="M58" s="16">
        <f t="shared" si="21"/>
        <v>215</v>
      </c>
      <c r="N58" s="16">
        <f t="shared" si="21"/>
        <v>0</v>
      </c>
      <c r="O58" s="16">
        <f t="shared" si="21"/>
        <v>98</v>
      </c>
      <c r="P58" s="16">
        <f t="shared" si="21"/>
        <v>313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5.4313099041533544E-2</v>
      </c>
      <c r="D59" s="43">
        <f t="shared" si="22"/>
        <v>2.2364217252396165E-2</v>
      </c>
      <c r="E59" s="43">
        <f t="shared" si="22"/>
        <v>4.7923322683706068E-2</v>
      </c>
      <c r="F59" s="43">
        <f t="shared" si="22"/>
        <v>8.9456869009584661E-2</v>
      </c>
      <c r="G59" s="43">
        <f t="shared" si="22"/>
        <v>0</v>
      </c>
      <c r="H59" s="43">
        <f t="shared" si="22"/>
        <v>0</v>
      </c>
      <c r="I59" s="43">
        <f t="shared" si="22"/>
        <v>8.3067092651757185E-2</v>
      </c>
      <c r="J59" s="43">
        <f t="shared" si="22"/>
        <v>1.5974440894568689E-2</v>
      </c>
      <c r="K59" s="43">
        <f t="shared" si="22"/>
        <v>0</v>
      </c>
      <c r="L59" s="43">
        <f t="shared" si="22"/>
        <v>0</v>
      </c>
      <c r="M59" s="43">
        <f t="shared" si="22"/>
        <v>0.68690095846645371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0.17346938775510204</v>
      </c>
      <c r="D60" s="44">
        <f t="shared" ref="D60:N60" si="23">D58/$O$58</f>
        <v>7.1428571428571425E-2</v>
      </c>
      <c r="E60" s="44">
        <f t="shared" si="23"/>
        <v>0.15306122448979592</v>
      </c>
      <c r="F60" s="44">
        <f t="shared" si="23"/>
        <v>0.2857142857142857</v>
      </c>
      <c r="G60" s="44">
        <f t="shared" si="23"/>
        <v>0</v>
      </c>
      <c r="H60" s="44">
        <f t="shared" si="23"/>
        <v>0</v>
      </c>
      <c r="I60" s="44">
        <f t="shared" si="23"/>
        <v>0.26530612244897961</v>
      </c>
      <c r="J60" s="44">
        <f t="shared" si="23"/>
        <v>5.1020408163265307E-2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L52" zoomScale="60" workbookViewId="0">
      <selection activeCell="AE53" sqref="AE5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6" t="str">
        <f>'23.10 NGOMA-KAPEEKA'!C3:G3</f>
        <v>KAPEEKA -NGOMA ROAD</v>
      </c>
      <c r="D3" s="66"/>
      <c r="E3" s="66"/>
      <c r="F3" s="66"/>
      <c r="G3" s="6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4" t="s">
        <v>162</v>
      </c>
      <c r="E5" s="65"/>
      <c r="F5" s="41" t="s">
        <v>1</v>
      </c>
      <c r="G5" s="62" t="str">
        <f>'23.10 KAPEEKA-NGOMA'!G5:H5</f>
        <v>BUTALANGU</v>
      </c>
      <c r="H5" s="63"/>
      <c r="I5" s="14"/>
      <c r="J5" s="2" t="s">
        <v>5</v>
      </c>
      <c r="K5" s="62" t="str">
        <f>'23.10 KAPEEKA-NGOMA'!K5:L5</f>
        <v>MIREMBE RUTH</v>
      </c>
      <c r="L5" s="63"/>
      <c r="M5" s="10"/>
      <c r="N5" s="10"/>
      <c r="O5" s="3"/>
      <c r="P5" s="3"/>
    </row>
    <row r="6" spans="2:32" ht="23.25" customHeight="1" x14ac:dyDescent="0.25">
      <c r="C6" s="2" t="s">
        <v>4</v>
      </c>
      <c r="D6" s="62" t="str">
        <f>'23.10 KAPEEKA-NGOMA'!D6:E6</f>
        <v>KAPEEKA</v>
      </c>
      <c r="E6" s="63"/>
      <c r="F6" s="2" t="s">
        <v>2</v>
      </c>
      <c r="G6" s="62" t="str">
        <f>'23.10 KAPEEKA-NGOMA'!G6:H6</f>
        <v>NGOMA</v>
      </c>
      <c r="H6" s="63"/>
      <c r="J6" s="2" t="s">
        <v>21</v>
      </c>
      <c r="K6" s="62" t="str">
        <f>'23.10 KAPEEKA-NGOMA'!K6:L6</f>
        <v>MIREMBE RUTH</v>
      </c>
      <c r="L6" s="6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KAPEEKA-NGOMA'!C10,'18.10 KAPEEKA-NGOMA'!C10,'20.10 KAPEEKA-NGOMA'!C10,'22.10 KAPEEKA-NGOMA'!C10,'19.10 KAPEEKA-NGOMA 24h'!C10,'21.10 KAPEEKA-NGOMA-24h'!C10,'23.10 KAPEEKA-NGOMA'!C10)</f>
        <v>0.14285714285714285</v>
      </c>
      <c r="D10" s="49">
        <f>AVERAGE('17.10 KAPEEKA-NGOMA'!D10,'18.10 KAPEEKA-NGOMA'!D10,'20.10 KAPEEKA-NGOMA'!D10,'22.10 KAPEEKA-NGOMA'!D10,'19.10 KAPEEKA-NGOMA 24h'!D10,'21.10 KAPEEKA-NGOMA-24h'!D10,'23.10 KAPEEKA-NGOMA'!D10)</f>
        <v>0.14285714285714285</v>
      </c>
      <c r="E10" s="49">
        <f>AVERAGE('17.10 KAPEEKA-NGOMA'!E10,'18.10 KAPEEKA-NGOMA'!E10,'20.10 KAPEEKA-NGOMA'!E10,'22.10 KAPEEKA-NGOMA'!E10,'19.10 KAPEEKA-NGOMA 24h'!E10,'21.10 KAPEEKA-NGOMA-24h'!E10,'23.10 KAPEEKA-NGOMA'!E10)</f>
        <v>0</v>
      </c>
      <c r="F10" s="49">
        <f>AVERAGE('17.10 KAPEEKA-NGOMA'!F10,'18.10 KAPEEKA-NGOMA'!F10,'20.10 KAPEEKA-NGOMA'!F10,'22.10 KAPEEKA-NGOMA'!F10,'19.10 KAPEEKA-NGOMA 24h'!F10,'21.10 KAPEEKA-NGOMA-24h'!F10,'23.10 KAPEEKA-NGOMA'!F10)</f>
        <v>0</v>
      </c>
      <c r="G10" s="49">
        <f>AVERAGE('17.10 KAPEEKA-NGOMA'!G10,'18.10 KAPEEKA-NGOMA'!G10,'20.10 KAPEEKA-NGOMA'!G10,'22.10 KAPEEKA-NGOMA'!G10,'19.10 KAPEEKA-NGOMA 24h'!G10,'21.10 KAPEEKA-NGOMA-24h'!G10,'23.10 KAPEEKA-NGOMA'!G10)</f>
        <v>0</v>
      </c>
      <c r="H10" s="49">
        <f>AVERAGE('17.10 KAPEEKA-NGOMA'!H10,'18.10 KAPEEKA-NGOMA'!H10,'20.10 KAPEEKA-NGOMA'!H10,'22.10 KAPEEKA-NGOMA'!H10,'19.10 KAPEEKA-NGOMA 24h'!H10,'21.10 KAPEEKA-NGOMA-24h'!H10,'23.10 KAPEEKA-NGOMA'!H10)</f>
        <v>0</v>
      </c>
      <c r="I10" s="49">
        <f>AVERAGE('17.10 KAPEEKA-NGOMA'!I10,'18.10 KAPEEKA-NGOMA'!I10,'20.10 KAPEEKA-NGOMA'!I10,'22.10 KAPEEKA-NGOMA'!I10,'19.10 KAPEEKA-NGOMA 24h'!I10,'21.10 KAPEEKA-NGOMA-24h'!I10,'23.10 KAPEEKA-NGOMA'!I10)</f>
        <v>0.5714285714285714</v>
      </c>
      <c r="J10" s="49">
        <f>AVERAGE('17.10 KAPEEKA-NGOMA'!J10,'18.10 KAPEEKA-NGOMA'!J10,'20.10 KAPEEKA-NGOMA'!J10,'22.10 KAPEEKA-NGOMA'!J10,'19.10 KAPEEKA-NGOMA 24h'!J10,'21.10 KAPEEKA-NGOMA-24h'!J10,'23.10 KAPEEKA-NGOMA'!J10)</f>
        <v>0.14285714285714285</v>
      </c>
      <c r="K10" s="49">
        <f>AVERAGE('17.10 KAPEEKA-NGOMA'!K10,'18.10 KAPEEKA-NGOMA'!K10,'20.10 KAPEEKA-NGOMA'!K10,'22.10 KAPEEKA-NGOMA'!K10,'19.10 KAPEEKA-NGOMA 24h'!K10,'21.10 KAPEEKA-NGOMA-24h'!K10,'23.10 KAPEEKA-NGOMA'!K10)</f>
        <v>0.14285714285714285</v>
      </c>
      <c r="L10" s="49">
        <f>AVERAGE('17.10 KAPEEKA-NGOMA'!L10,'18.10 KAPEEKA-NGOMA'!L10,'20.10 KAPEEKA-NGOMA'!L10,'22.10 KAPEEKA-NGOMA'!L10,'19.10 KAPEEKA-NGOMA 24h'!L10,'21.10 KAPEEKA-NGOMA-24h'!L10,'23.10 KAPEEKA-NGOMA'!L10)</f>
        <v>0.14285714285714285</v>
      </c>
      <c r="M10" s="49">
        <f>AVERAGE('17.10 KAPEEKA-NGOMA'!M10,'18.10 KAPEEKA-NGOMA'!M10,'20.10 KAPEEKA-NGOMA'!M10,'22.10 KAPEEKA-NGOMA'!M10,'19.10 KAPEEKA-NGOMA 24h'!M10,'21.10 KAPEEKA-NGOMA-24h'!M10,'23.10 KAPEEKA-NGOMA'!M10)</f>
        <v>2.4285714285714284</v>
      </c>
      <c r="N10" s="49">
        <f>AVERAGE('17.10 KAPEEKA-NGOMA'!N10,'18.10 KAPEEKA-NGOMA'!N10,'20.10 KAPEEKA-NGOMA'!N10,'22.10 KAPEEKA-NGOMA'!N10,'19.10 KAPEEKA-NGOMA 24h'!N10,'21.10 KAPEEKA-NGOMA-24h'!N10,'23.10 KAPEEKA-NGOMA'!N10)</f>
        <v>0</v>
      </c>
      <c r="O10" s="15">
        <f t="shared" ref="O10:O73" si="0">SUM(C10:L10,N10)</f>
        <v>1.2857142857142856</v>
      </c>
      <c r="P10" s="15">
        <f t="shared" ref="P10:P73" si="1">SUM(C10:N10)</f>
        <v>3.714285714285714</v>
      </c>
      <c r="R10" s="1" t="s">
        <v>6</v>
      </c>
      <c r="S10" s="17">
        <f t="shared" ref="S10:AF10" si="2">SUM(C10:C13)</f>
        <v>0.99999999999999989</v>
      </c>
      <c r="T10" s="17">
        <f t="shared" si="2"/>
        <v>0.5714285714285714</v>
      </c>
      <c r="U10" s="17">
        <f t="shared" si="2"/>
        <v>0.5714285714285714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2.8571428571428572</v>
      </c>
      <c r="Z10" s="17">
        <f t="shared" si="2"/>
        <v>0.5714285714285714</v>
      </c>
      <c r="AA10" s="17">
        <f t="shared" si="2"/>
        <v>0.14285714285714285</v>
      </c>
      <c r="AB10" s="17">
        <f t="shared" si="2"/>
        <v>0.8571428571428571</v>
      </c>
      <c r="AC10" s="17">
        <f t="shared" si="2"/>
        <v>12.571428571428573</v>
      </c>
      <c r="AD10" s="17">
        <f t="shared" si="2"/>
        <v>0</v>
      </c>
      <c r="AE10" s="31">
        <f t="shared" si="2"/>
        <v>6.5714285714285712</v>
      </c>
      <c r="AF10" s="31">
        <f t="shared" si="2"/>
        <v>19.142857142857142</v>
      </c>
    </row>
    <row r="11" spans="2:32" s="6" customFormat="1" ht="23.1" customHeight="1" x14ac:dyDescent="0.25">
      <c r="B11" s="23" t="s">
        <v>38</v>
      </c>
      <c r="C11" s="49">
        <f>AVERAGE('17.10 KAPEEKA-NGOMA'!C11,'18.10 KAPEEKA-NGOMA'!C11,'20.10 KAPEEKA-NGOMA'!C11,'22.10 KAPEEKA-NGOMA'!C11,'19.10 KAPEEKA-NGOMA 24h'!C11,'21.10 KAPEEKA-NGOMA-24h'!C11,'23.10 KAPEEKA-NGOMA'!C11)</f>
        <v>0.2857142857142857</v>
      </c>
      <c r="D11" s="49">
        <f>AVERAGE('17.10 KAPEEKA-NGOMA'!D11,'18.10 KAPEEKA-NGOMA'!D11,'20.10 KAPEEKA-NGOMA'!D11,'22.10 KAPEEKA-NGOMA'!D11,'19.10 KAPEEKA-NGOMA 24h'!D11,'21.10 KAPEEKA-NGOMA-24h'!D11,'23.10 KAPEEKA-NGOMA'!D11)</f>
        <v>0</v>
      </c>
      <c r="E11" s="49">
        <f>AVERAGE('17.10 KAPEEKA-NGOMA'!E11,'18.10 KAPEEKA-NGOMA'!E11,'20.10 KAPEEKA-NGOMA'!E11,'22.10 KAPEEKA-NGOMA'!E11,'19.10 KAPEEKA-NGOMA 24h'!E11,'21.10 KAPEEKA-NGOMA-24h'!E11,'23.10 KAPEEKA-NGOMA'!E11)</f>
        <v>0.42857142857142855</v>
      </c>
      <c r="F11" s="49">
        <f>AVERAGE('17.10 KAPEEKA-NGOMA'!F11,'18.10 KAPEEKA-NGOMA'!F11,'20.10 KAPEEKA-NGOMA'!F11,'22.10 KAPEEKA-NGOMA'!F11,'19.10 KAPEEKA-NGOMA 24h'!F11,'21.10 KAPEEKA-NGOMA-24h'!F11,'23.10 KAPEEKA-NGOMA'!F11)</f>
        <v>0</v>
      </c>
      <c r="G11" s="49">
        <f>AVERAGE('17.10 KAPEEKA-NGOMA'!G11,'18.10 KAPEEKA-NGOMA'!G11,'20.10 KAPEEKA-NGOMA'!G11,'22.10 KAPEEKA-NGOMA'!G11,'19.10 KAPEEKA-NGOMA 24h'!G11,'21.10 KAPEEKA-NGOMA-24h'!G11,'23.10 KAPEEKA-NGOMA'!G11)</f>
        <v>0</v>
      </c>
      <c r="H11" s="49">
        <f>AVERAGE('17.10 KAPEEKA-NGOMA'!H11,'18.10 KAPEEKA-NGOMA'!H11,'20.10 KAPEEKA-NGOMA'!H11,'22.10 KAPEEKA-NGOMA'!H11,'19.10 KAPEEKA-NGOMA 24h'!H11,'21.10 KAPEEKA-NGOMA-24h'!H11,'23.10 KAPEEKA-NGOMA'!H11)</f>
        <v>0</v>
      </c>
      <c r="I11" s="49">
        <f>AVERAGE('17.10 KAPEEKA-NGOMA'!I11,'18.10 KAPEEKA-NGOMA'!I11,'20.10 KAPEEKA-NGOMA'!I11,'22.10 KAPEEKA-NGOMA'!I11,'19.10 KAPEEKA-NGOMA 24h'!I11,'21.10 KAPEEKA-NGOMA-24h'!I11,'23.10 KAPEEKA-NGOMA'!I11)</f>
        <v>1.2857142857142858</v>
      </c>
      <c r="J11" s="49">
        <f>AVERAGE('17.10 KAPEEKA-NGOMA'!J11,'18.10 KAPEEKA-NGOMA'!J11,'20.10 KAPEEKA-NGOMA'!J11,'22.10 KAPEEKA-NGOMA'!J11,'19.10 KAPEEKA-NGOMA 24h'!J11,'21.10 KAPEEKA-NGOMA-24h'!J11,'23.10 KAPEEKA-NGOMA'!J11)</f>
        <v>0.2857142857142857</v>
      </c>
      <c r="K11" s="49">
        <f>AVERAGE('17.10 KAPEEKA-NGOMA'!K11,'18.10 KAPEEKA-NGOMA'!K11,'20.10 KAPEEKA-NGOMA'!K11,'22.10 KAPEEKA-NGOMA'!K11,'19.10 KAPEEKA-NGOMA 24h'!K11,'21.10 KAPEEKA-NGOMA-24h'!K11,'23.10 KAPEEKA-NGOMA'!K11)</f>
        <v>0</v>
      </c>
      <c r="L11" s="49">
        <f>AVERAGE('17.10 KAPEEKA-NGOMA'!L11,'18.10 KAPEEKA-NGOMA'!L11,'20.10 KAPEEKA-NGOMA'!L11,'22.10 KAPEEKA-NGOMA'!L11,'19.10 KAPEEKA-NGOMA 24h'!L11,'21.10 KAPEEKA-NGOMA-24h'!L11,'23.10 KAPEEKA-NGOMA'!L11)</f>
        <v>0</v>
      </c>
      <c r="M11" s="49">
        <f>AVERAGE('17.10 KAPEEKA-NGOMA'!M11,'18.10 KAPEEKA-NGOMA'!M11,'20.10 KAPEEKA-NGOMA'!M11,'22.10 KAPEEKA-NGOMA'!M11,'19.10 KAPEEKA-NGOMA 24h'!M11,'21.10 KAPEEKA-NGOMA-24h'!M11,'23.10 KAPEEKA-NGOMA'!M11)</f>
        <v>2.1428571428571428</v>
      </c>
      <c r="N11" s="49">
        <f>AVERAGE('17.10 KAPEEKA-NGOMA'!N11,'18.10 KAPEEKA-NGOMA'!N11,'20.10 KAPEEKA-NGOMA'!N11,'22.10 KAPEEKA-NGOMA'!N11,'19.10 KAPEEKA-NGOMA 24h'!N11,'21.10 KAPEEKA-NGOMA-24h'!N11,'23.10 KAPEEKA-NGOMA'!N11)</f>
        <v>0</v>
      </c>
      <c r="O11" s="15">
        <f t="shared" si="0"/>
        <v>2.2857142857142856</v>
      </c>
      <c r="P11" s="15">
        <f t="shared" si="1"/>
        <v>4.4285714285714288</v>
      </c>
      <c r="R11" s="1" t="s">
        <v>7</v>
      </c>
      <c r="S11" s="17">
        <f t="shared" ref="S11:AF11" si="3">SUM(C14:C17)</f>
        <v>0.8571428571428571</v>
      </c>
      <c r="T11" s="17">
        <f t="shared" si="3"/>
        <v>1.4285714285714284</v>
      </c>
      <c r="U11" s="17">
        <f t="shared" si="3"/>
        <v>1.9999999999999998</v>
      </c>
      <c r="V11" s="17">
        <f t="shared" si="3"/>
        <v>0.14285714285714285</v>
      </c>
      <c r="W11" s="17">
        <f t="shared" si="3"/>
        <v>0</v>
      </c>
      <c r="X11" s="17">
        <f t="shared" si="3"/>
        <v>0</v>
      </c>
      <c r="Y11" s="17">
        <f t="shared" si="3"/>
        <v>2.9999999999999996</v>
      </c>
      <c r="Z11" s="17">
        <f t="shared" si="3"/>
        <v>0.71428571428571419</v>
      </c>
      <c r="AA11" s="17">
        <f t="shared" si="3"/>
        <v>0.14285714285714285</v>
      </c>
      <c r="AB11" s="17">
        <f t="shared" si="3"/>
        <v>0</v>
      </c>
      <c r="AC11" s="17">
        <f t="shared" si="3"/>
        <v>16.714285714285715</v>
      </c>
      <c r="AD11" s="17">
        <f t="shared" si="3"/>
        <v>0.14285714285714285</v>
      </c>
      <c r="AE11" s="31">
        <f t="shared" si="3"/>
        <v>8.4285714285714288</v>
      </c>
      <c r="AF11" s="31">
        <f t="shared" si="3"/>
        <v>25.142857142857146</v>
      </c>
    </row>
    <row r="12" spans="2:32" ht="23.1" customHeight="1" x14ac:dyDescent="0.25">
      <c r="B12" s="23" t="s">
        <v>39</v>
      </c>
      <c r="C12" s="49">
        <f>AVERAGE('17.10 KAPEEKA-NGOMA'!C12,'18.10 KAPEEKA-NGOMA'!C12,'20.10 KAPEEKA-NGOMA'!C12,'22.10 KAPEEKA-NGOMA'!C12,'19.10 KAPEEKA-NGOMA 24h'!C12,'21.10 KAPEEKA-NGOMA-24h'!C12,'23.10 KAPEEKA-NGOMA'!C12)</f>
        <v>0.2857142857142857</v>
      </c>
      <c r="D12" s="49">
        <f>AVERAGE('17.10 KAPEEKA-NGOMA'!D12,'18.10 KAPEEKA-NGOMA'!D12,'20.10 KAPEEKA-NGOMA'!D12,'22.10 KAPEEKA-NGOMA'!D12,'19.10 KAPEEKA-NGOMA 24h'!D12,'21.10 KAPEEKA-NGOMA-24h'!D12,'23.10 KAPEEKA-NGOMA'!D12)</f>
        <v>0.2857142857142857</v>
      </c>
      <c r="E12" s="49">
        <f>AVERAGE('17.10 KAPEEKA-NGOMA'!E12,'18.10 KAPEEKA-NGOMA'!E12,'20.10 KAPEEKA-NGOMA'!E12,'22.10 KAPEEKA-NGOMA'!E12,'19.10 KAPEEKA-NGOMA 24h'!E12,'21.10 KAPEEKA-NGOMA-24h'!E12,'23.10 KAPEEKA-NGOMA'!E12)</f>
        <v>0.14285714285714285</v>
      </c>
      <c r="F12" s="49">
        <f>AVERAGE('17.10 KAPEEKA-NGOMA'!F12,'18.10 KAPEEKA-NGOMA'!F12,'20.10 KAPEEKA-NGOMA'!F12,'22.10 KAPEEKA-NGOMA'!F12,'19.10 KAPEEKA-NGOMA 24h'!F12,'21.10 KAPEEKA-NGOMA-24h'!F12,'23.10 KAPEEKA-NGOMA'!F12)</f>
        <v>0</v>
      </c>
      <c r="G12" s="49">
        <f>AVERAGE('17.10 KAPEEKA-NGOMA'!G12,'18.10 KAPEEKA-NGOMA'!G12,'20.10 KAPEEKA-NGOMA'!G12,'22.10 KAPEEKA-NGOMA'!G12,'19.10 KAPEEKA-NGOMA 24h'!G12,'21.10 KAPEEKA-NGOMA-24h'!G12,'23.10 KAPEEKA-NGOMA'!G12)</f>
        <v>0</v>
      </c>
      <c r="H12" s="49">
        <f>AVERAGE('17.10 KAPEEKA-NGOMA'!H12,'18.10 KAPEEKA-NGOMA'!H12,'20.10 KAPEEKA-NGOMA'!H12,'22.10 KAPEEKA-NGOMA'!H12,'19.10 KAPEEKA-NGOMA 24h'!H12,'21.10 KAPEEKA-NGOMA-24h'!H12,'23.10 KAPEEKA-NGOMA'!H12)</f>
        <v>0</v>
      </c>
      <c r="I12" s="49">
        <f>AVERAGE('17.10 KAPEEKA-NGOMA'!I12,'18.10 KAPEEKA-NGOMA'!I12,'20.10 KAPEEKA-NGOMA'!I12,'22.10 KAPEEKA-NGOMA'!I12,'19.10 KAPEEKA-NGOMA 24h'!I12,'21.10 KAPEEKA-NGOMA-24h'!I12,'23.10 KAPEEKA-NGOMA'!I12)</f>
        <v>0.5714285714285714</v>
      </c>
      <c r="J12" s="49">
        <f>AVERAGE('17.10 KAPEEKA-NGOMA'!J12,'18.10 KAPEEKA-NGOMA'!J12,'20.10 KAPEEKA-NGOMA'!J12,'22.10 KAPEEKA-NGOMA'!J12,'19.10 KAPEEKA-NGOMA 24h'!J12,'21.10 KAPEEKA-NGOMA-24h'!J12,'23.10 KAPEEKA-NGOMA'!J12)</f>
        <v>0.14285714285714285</v>
      </c>
      <c r="K12" s="49">
        <f>AVERAGE('17.10 KAPEEKA-NGOMA'!K12,'18.10 KAPEEKA-NGOMA'!K12,'20.10 KAPEEKA-NGOMA'!K12,'22.10 KAPEEKA-NGOMA'!K12,'19.10 KAPEEKA-NGOMA 24h'!K12,'21.10 KAPEEKA-NGOMA-24h'!K12,'23.10 KAPEEKA-NGOMA'!K12)</f>
        <v>0</v>
      </c>
      <c r="L12" s="49">
        <f>AVERAGE('17.10 KAPEEKA-NGOMA'!L12,'18.10 KAPEEKA-NGOMA'!L12,'20.10 KAPEEKA-NGOMA'!L12,'22.10 KAPEEKA-NGOMA'!L12,'19.10 KAPEEKA-NGOMA 24h'!L12,'21.10 KAPEEKA-NGOMA-24h'!L12,'23.10 KAPEEKA-NGOMA'!L12)</f>
        <v>0.14285714285714285</v>
      </c>
      <c r="M12" s="49">
        <f>AVERAGE('17.10 KAPEEKA-NGOMA'!M12,'18.10 KAPEEKA-NGOMA'!M12,'20.10 KAPEEKA-NGOMA'!M12,'22.10 KAPEEKA-NGOMA'!M12,'19.10 KAPEEKA-NGOMA 24h'!M12,'21.10 KAPEEKA-NGOMA-24h'!M12,'23.10 KAPEEKA-NGOMA'!M12)</f>
        <v>3.8571428571428572</v>
      </c>
      <c r="N12" s="49">
        <f>AVERAGE('17.10 KAPEEKA-NGOMA'!N12,'18.10 KAPEEKA-NGOMA'!N12,'20.10 KAPEEKA-NGOMA'!N12,'22.10 KAPEEKA-NGOMA'!N12,'19.10 KAPEEKA-NGOMA 24h'!N12,'21.10 KAPEEKA-NGOMA-24h'!N12,'23.10 KAPEEKA-NGOMA'!N12)</f>
        <v>0</v>
      </c>
      <c r="O12" s="15">
        <f t="shared" si="0"/>
        <v>1.5714285714285712</v>
      </c>
      <c r="P12" s="15">
        <f t="shared" si="1"/>
        <v>5.4285714285714288</v>
      </c>
      <c r="R12" s="1" t="s">
        <v>8</v>
      </c>
      <c r="S12" s="17">
        <f t="shared" ref="S12:AF12" si="4">SUM(C18:C21)</f>
        <v>2.7142857142857144</v>
      </c>
      <c r="T12" s="17">
        <f t="shared" si="4"/>
        <v>0.5714285714285714</v>
      </c>
      <c r="U12" s="17">
        <f t="shared" si="4"/>
        <v>0.85714285714285698</v>
      </c>
      <c r="V12" s="17">
        <f t="shared" si="4"/>
        <v>0.14285714285714285</v>
      </c>
      <c r="W12" s="17">
        <f t="shared" si="4"/>
        <v>0</v>
      </c>
      <c r="X12" s="17">
        <f t="shared" si="4"/>
        <v>0</v>
      </c>
      <c r="Y12" s="17">
        <f t="shared" si="4"/>
        <v>2.5714285714285716</v>
      </c>
      <c r="Z12" s="17">
        <f t="shared" si="4"/>
        <v>0.14285714285714285</v>
      </c>
      <c r="AA12" s="17">
        <f t="shared" si="4"/>
        <v>0</v>
      </c>
      <c r="AB12" s="17">
        <f t="shared" si="4"/>
        <v>0</v>
      </c>
      <c r="AC12" s="17">
        <f t="shared" si="4"/>
        <v>16.857142857142858</v>
      </c>
      <c r="AD12" s="17">
        <f t="shared" si="4"/>
        <v>0</v>
      </c>
      <c r="AE12" s="31">
        <f t="shared" si="4"/>
        <v>7</v>
      </c>
      <c r="AF12" s="31">
        <f t="shared" si="4"/>
        <v>23.857142857142858</v>
      </c>
    </row>
    <row r="13" spans="2:32" ht="23.1" customHeight="1" x14ac:dyDescent="0.25">
      <c r="B13" s="23" t="s">
        <v>40</v>
      </c>
      <c r="C13" s="49">
        <f>AVERAGE('17.10 KAPEEKA-NGOMA'!C13,'18.10 KAPEEKA-NGOMA'!C13,'20.10 KAPEEKA-NGOMA'!C13,'22.10 KAPEEKA-NGOMA'!C13,'19.10 KAPEEKA-NGOMA 24h'!C13,'21.10 KAPEEKA-NGOMA-24h'!C13,'23.10 KAPEEKA-NGOMA'!C13)</f>
        <v>0.2857142857142857</v>
      </c>
      <c r="D13" s="49">
        <f>AVERAGE('17.10 KAPEEKA-NGOMA'!D13,'18.10 KAPEEKA-NGOMA'!D13,'20.10 KAPEEKA-NGOMA'!D13,'22.10 KAPEEKA-NGOMA'!D13,'19.10 KAPEEKA-NGOMA 24h'!D13,'21.10 KAPEEKA-NGOMA-24h'!D13,'23.10 KAPEEKA-NGOMA'!D13)</f>
        <v>0.14285714285714285</v>
      </c>
      <c r="E13" s="49">
        <f>AVERAGE('17.10 KAPEEKA-NGOMA'!E13,'18.10 KAPEEKA-NGOMA'!E13,'20.10 KAPEEKA-NGOMA'!E13,'22.10 KAPEEKA-NGOMA'!E13,'19.10 KAPEEKA-NGOMA 24h'!E13,'21.10 KAPEEKA-NGOMA-24h'!E13,'23.10 KAPEEKA-NGOMA'!E13)</f>
        <v>0</v>
      </c>
      <c r="F13" s="49">
        <f>AVERAGE('17.10 KAPEEKA-NGOMA'!F13,'18.10 KAPEEKA-NGOMA'!F13,'20.10 KAPEEKA-NGOMA'!F13,'22.10 KAPEEKA-NGOMA'!F13,'19.10 KAPEEKA-NGOMA 24h'!F13,'21.10 KAPEEKA-NGOMA-24h'!F13,'23.10 KAPEEKA-NGOMA'!F13)</f>
        <v>0</v>
      </c>
      <c r="G13" s="49">
        <f>AVERAGE('17.10 KAPEEKA-NGOMA'!G13,'18.10 KAPEEKA-NGOMA'!G13,'20.10 KAPEEKA-NGOMA'!G13,'22.10 KAPEEKA-NGOMA'!G13,'19.10 KAPEEKA-NGOMA 24h'!G13,'21.10 KAPEEKA-NGOMA-24h'!G13,'23.10 KAPEEKA-NGOMA'!G13)</f>
        <v>0</v>
      </c>
      <c r="H13" s="49">
        <f>AVERAGE('17.10 KAPEEKA-NGOMA'!H13,'18.10 KAPEEKA-NGOMA'!H13,'20.10 KAPEEKA-NGOMA'!H13,'22.10 KAPEEKA-NGOMA'!H13,'19.10 KAPEEKA-NGOMA 24h'!H13,'21.10 KAPEEKA-NGOMA-24h'!H13,'23.10 KAPEEKA-NGOMA'!H13)</f>
        <v>0</v>
      </c>
      <c r="I13" s="49">
        <f>AVERAGE('17.10 KAPEEKA-NGOMA'!I13,'18.10 KAPEEKA-NGOMA'!I13,'20.10 KAPEEKA-NGOMA'!I13,'22.10 KAPEEKA-NGOMA'!I13,'19.10 KAPEEKA-NGOMA 24h'!I13,'21.10 KAPEEKA-NGOMA-24h'!I13,'23.10 KAPEEKA-NGOMA'!I13)</f>
        <v>0.42857142857142855</v>
      </c>
      <c r="J13" s="49">
        <f>AVERAGE('17.10 KAPEEKA-NGOMA'!J13,'18.10 KAPEEKA-NGOMA'!J13,'20.10 KAPEEKA-NGOMA'!J13,'22.10 KAPEEKA-NGOMA'!J13,'19.10 KAPEEKA-NGOMA 24h'!J13,'21.10 KAPEEKA-NGOMA-24h'!J13,'23.10 KAPEEKA-NGOMA'!J13)</f>
        <v>0</v>
      </c>
      <c r="K13" s="49">
        <f>AVERAGE('17.10 KAPEEKA-NGOMA'!K13,'18.10 KAPEEKA-NGOMA'!K13,'20.10 KAPEEKA-NGOMA'!K13,'22.10 KAPEEKA-NGOMA'!K13,'19.10 KAPEEKA-NGOMA 24h'!K13,'21.10 KAPEEKA-NGOMA-24h'!K13,'23.10 KAPEEKA-NGOMA'!K13)</f>
        <v>0</v>
      </c>
      <c r="L13" s="49">
        <f>AVERAGE('17.10 KAPEEKA-NGOMA'!L13,'18.10 KAPEEKA-NGOMA'!L13,'20.10 KAPEEKA-NGOMA'!L13,'22.10 KAPEEKA-NGOMA'!L13,'19.10 KAPEEKA-NGOMA 24h'!L13,'21.10 KAPEEKA-NGOMA-24h'!L13,'23.10 KAPEEKA-NGOMA'!L13)</f>
        <v>0.5714285714285714</v>
      </c>
      <c r="M13" s="49">
        <f>AVERAGE('17.10 KAPEEKA-NGOMA'!M13,'18.10 KAPEEKA-NGOMA'!M13,'20.10 KAPEEKA-NGOMA'!M13,'22.10 KAPEEKA-NGOMA'!M13,'19.10 KAPEEKA-NGOMA 24h'!M13,'21.10 KAPEEKA-NGOMA-24h'!M13,'23.10 KAPEEKA-NGOMA'!M13)</f>
        <v>4.1428571428571432</v>
      </c>
      <c r="N13" s="49">
        <f>AVERAGE('17.10 KAPEEKA-NGOMA'!N13,'18.10 KAPEEKA-NGOMA'!N13,'20.10 KAPEEKA-NGOMA'!N13,'22.10 KAPEEKA-NGOMA'!N13,'19.10 KAPEEKA-NGOMA 24h'!N13,'21.10 KAPEEKA-NGOMA-24h'!N13,'23.10 KAPEEKA-NGOMA'!N13)</f>
        <v>0</v>
      </c>
      <c r="O13" s="15">
        <f t="shared" si="0"/>
        <v>1.4285714285714284</v>
      </c>
      <c r="P13" s="15">
        <f t="shared" si="1"/>
        <v>5.5714285714285712</v>
      </c>
      <c r="R13" s="1" t="s">
        <v>9</v>
      </c>
      <c r="S13" s="17">
        <f t="shared" ref="S13:AF13" si="5">SUM(C22:C25)</f>
        <v>2.7142857142857144</v>
      </c>
      <c r="T13" s="17">
        <f t="shared" si="5"/>
        <v>0.71428571428571419</v>
      </c>
      <c r="U13" s="17">
        <f t="shared" si="5"/>
        <v>1.4285714285714284</v>
      </c>
      <c r="V13" s="17">
        <f t="shared" si="5"/>
        <v>0.85714285714285698</v>
      </c>
      <c r="W13" s="17">
        <f t="shared" si="5"/>
        <v>0</v>
      </c>
      <c r="X13" s="17">
        <f t="shared" si="5"/>
        <v>0</v>
      </c>
      <c r="Y13" s="17">
        <f t="shared" si="5"/>
        <v>3.1428571428571428</v>
      </c>
      <c r="Z13" s="17">
        <f t="shared" si="5"/>
        <v>0.42857142857142855</v>
      </c>
      <c r="AA13" s="17">
        <f t="shared" si="5"/>
        <v>0</v>
      </c>
      <c r="AB13" s="17">
        <f t="shared" si="5"/>
        <v>0</v>
      </c>
      <c r="AC13" s="17">
        <f t="shared" si="5"/>
        <v>19.428571428571431</v>
      </c>
      <c r="AD13" s="17">
        <f t="shared" si="5"/>
        <v>0.2857142857142857</v>
      </c>
      <c r="AE13" s="31">
        <f t="shared" si="5"/>
        <v>9.5714285714285712</v>
      </c>
      <c r="AF13" s="31">
        <f t="shared" si="5"/>
        <v>29</v>
      </c>
    </row>
    <row r="14" spans="2:32" ht="23.1" customHeight="1" x14ac:dyDescent="0.25">
      <c r="B14" s="23" t="s">
        <v>41</v>
      </c>
      <c r="C14" s="49">
        <f>AVERAGE('17.10 KAPEEKA-NGOMA'!C14,'18.10 KAPEEKA-NGOMA'!C14,'20.10 KAPEEKA-NGOMA'!C14,'22.10 KAPEEKA-NGOMA'!C14,'19.10 KAPEEKA-NGOMA 24h'!C14,'21.10 KAPEEKA-NGOMA-24h'!C14,'23.10 KAPEEKA-NGOMA'!C14)</f>
        <v>0.2857142857142857</v>
      </c>
      <c r="D14" s="49">
        <f>AVERAGE('17.10 KAPEEKA-NGOMA'!D14,'18.10 KAPEEKA-NGOMA'!D14,'20.10 KAPEEKA-NGOMA'!D14,'22.10 KAPEEKA-NGOMA'!D14,'19.10 KAPEEKA-NGOMA 24h'!D14,'21.10 KAPEEKA-NGOMA-24h'!D14,'23.10 KAPEEKA-NGOMA'!D14)</f>
        <v>0.2857142857142857</v>
      </c>
      <c r="E14" s="49">
        <f>AVERAGE('17.10 KAPEEKA-NGOMA'!E14,'18.10 KAPEEKA-NGOMA'!E14,'20.10 KAPEEKA-NGOMA'!E14,'22.10 KAPEEKA-NGOMA'!E14,'19.10 KAPEEKA-NGOMA 24h'!E14,'21.10 KAPEEKA-NGOMA-24h'!E14,'23.10 KAPEEKA-NGOMA'!E14)</f>
        <v>0.42857142857142855</v>
      </c>
      <c r="F14" s="49">
        <f>AVERAGE('17.10 KAPEEKA-NGOMA'!F14,'18.10 KAPEEKA-NGOMA'!F14,'20.10 KAPEEKA-NGOMA'!F14,'22.10 KAPEEKA-NGOMA'!F14,'19.10 KAPEEKA-NGOMA 24h'!F14,'21.10 KAPEEKA-NGOMA-24h'!F14,'23.10 KAPEEKA-NGOMA'!F14)</f>
        <v>0</v>
      </c>
      <c r="G14" s="49">
        <f>AVERAGE('17.10 KAPEEKA-NGOMA'!G14,'18.10 KAPEEKA-NGOMA'!G14,'20.10 KAPEEKA-NGOMA'!G14,'22.10 KAPEEKA-NGOMA'!G14,'19.10 KAPEEKA-NGOMA 24h'!G14,'21.10 KAPEEKA-NGOMA-24h'!G14,'23.10 KAPEEKA-NGOMA'!G14)</f>
        <v>0</v>
      </c>
      <c r="H14" s="49">
        <f>AVERAGE('17.10 KAPEEKA-NGOMA'!H14,'18.10 KAPEEKA-NGOMA'!H14,'20.10 KAPEEKA-NGOMA'!H14,'22.10 KAPEEKA-NGOMA'!H14,'19.10 KAPEEKA-NGOMA 24h'!H14,'21.10 KAPEEKA-NGOMA-24h'!H14,'23.10 KAPEEKA-NGOMA'!H14)</f>
        <v>0</v>
      </c>
      <c r="I14" s="49">
        <f>AVERAGE('17.10 KAPEEKA-NGOMA'!I14,'18.10 KAPEEKA-NGOMA'!I14,'20.10 KAPEEKA-NGOMA'!I14,'22.10 KAPEEKA-NGOMA'!I14,'19.10 KAPEEKA-NGOMA 24h'!I14,'21.10 KAPEEKA-NGOMA-24h'!I14,'23.10 KAPEEKA-NGOMA'!I14)</f>
        <v>0.42857142857142855</v>
      </c>
      <c r="J14" s="49">
        <f>AVERAGE('17.10 KAPEEKA-NGOMA'!J14,'18.10 KAPEEKA-NGOMA'!J14,'20.10 KAPEEKA-NGOMA'!J14,'22.10 KAPEEKA-NGOMA'!J14,'19.10 KAPEEKA-NGOMA 24h'!J14,'21.10 KAPEEKA-NGOMA-24h'!J14,'23.10 KAPEEKA-NGOMA'!J14)</f>
        <v>0.14285714285714285</v>
      </c>
      <c r="K14" s="49">
        <f>AVERAGE('17.10 KAPEEKA-NGOMA'!K14,'18.10 KAPEEKA-NGOMA'!K14,'20.10 KAPEEKA-NGOMA'!K14,'22.10 KAPEEKA-NGOMA'!K14,'19.10 KAPEEKA-NGOMA 24h'!K14,'21.10 KAPEEKA-NGOMA-24h'!K14,'23.10 KAPEEKA-NGOMA'!K14)</f>
        <v>0.14285714285714285</v>
      </c>
      <c r="L14" s="49">
        <f>AVERAGE('17.10 KAPEEKA-NGOMA'!L14,'18.10 KAPEEKA-NGOMA'!L14,'20.10 KAPEEKA-NGOMA'!L14,'22.10 KAPEEKA-NGOMA'!L14,'19.10 KAPEEKA-NGOMA 24h'!L14,'21.10 KAPEEKA-NGOMA-24h'!L14,'23.10 KAPEEKA-NGOMA'!L14)</f>
        <v>0</v>
      </c>
      <c r="M14" s="49">
        <f>AVERAGE('17.10 KAPEEKA-NGOMA'!M14,'18.10 KAPEEKA-NGOMA'!M14,'20.10 KAPEEKA-NGOMA'!M14,'22.10 KAPEEKA-NGOMA'!M14,'19.10 KAPEEKA-NGOMA 24h'!M14,'21.10 KAPEEKA-NGOMA-24h'!M14,'23.10 KAPEEKA-NGOMA'!M14)</f>
        <v>3.7142857142857144</v>
      </c>
      <c r="N14" s="49">
        <f>AVERAGE('17.10 KAPEEKA-NGOMA'!N14,'18.10 KAPEEKA-NGOMA'!N14,'20.10 KAPEEKA-NGOMA'!N14,'22.10 KAPEEKA-NGOMA'!N14,'19.10 KAPEEKA-NGOMA 24h'!N14,'21.10 KAPEEKA-NGOMA-24h'!N14,'23.10 KAPEEKA-NGOMA'!N14)</f>
        <v>0.14285714285714285</v>
      </c>
      <c r="O14" s="15">
        <f t="shared" si="0"/>
        <v>1.857142857142857</v>
      </c>
      <c r="P14" s="15">
        <f t="shared" si="1"/>
        <v>5.5714285714285721</v>
      </c>
      <c r="R14" s="1" t="s">
        <v>10</v>
      </c>
      <c r="S14" s="17">
        <f t="shared" ref="S14:AF14" si="6">SUM(C26:C29)</f>
        <v>2.4285714285714284</v>
      </c>
      <c r="T14" s="17">
        <f t="shared" si="6"/>
        <v>0.71428571428571419</v>
      </c>
      <c r="U14" s="17">
        <f t="shared" si="6"/>
        <v>1.5714285714285712</v>
      </c>
      <c r="V14" s="17">
        <f t="shared" si="6"/>
        <v>1.2857142857142856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0.99999999999999989</v>
      </c>
      <c r="AA14" s="17">
        <f t="shared" si="6"/>
        <v>0</v>
      </c>
      <c r="AB14" s="17">
        <f t="shared" si="6"/>
        <v>0.14285714285714285</v>
      </c>
      <c r="AC14" s="17">
        <f t="shared" si="6"/>
        <v>19.714285714285715</v>
      </c>
      <c r="AD14" s="17">
        <f t="shared" si="6"/>
        <v>0</v>
      </c>
      <c r="AE14" s="31">
        <f t="shared" si="6"/>
        <v>10.142857142857142</v>
      </c>
      <c r="AF14" s="31">
        <f t="shared" si="6"/>
        <v>29.857142857142861</v>
      </c>
    </row>
    <row r="15" spans="2:32" ht="23.1" customHeight="1" x14ac:dyDescent="0.25">
      <c r="B15" s="23" t="s">
        <v>42</v>
      </c>
      <c r="C15" s="49">
        <f>AVERAGE('17.10 KAPEEKA-NGOMA'!C15,'18.10 KAPEEKA-NGOMA'!C15,'20.10 KAPEEKA-NGOMA'!C15,'22.10 KAPEEKA-NGOMA'!C15,'19.10 KAPEEKA-NGOMA 24h'!C15,'21.10 KAPEEKA-NGOMA-24h'!C15,'23.10 KAPEEKA-NGOMA'!C15)</f>
        <v>0</v>
      </c>
      <c r="D15" s="49">
        <f>AVERAGE('17.10 KAPEEKA-NGOMA'!D15,'18.10 KAPEEKA-NGOMA'!D15,'20.10 KAPEEKA-NGOMA'!D15,'22.10 KAPEEKA-NGOMA'!D15,'19.10 KAPEEKA-NGOMA 24h'!D15,'21.10 KAPEEKA-NGOMA-24h'!D15,'23.10 KAPEEKA-NGOMA'!D15)</f>
        <v>0.42857142857142855</v>
      </c>
      <c r="E15" s="49">
        <f>AVERAGE('17.10 KAPEEKA-NGOMA'!E15,'18.10 KAPEEKA-NGOMA'!E15,'20.10 KAPEEKA-NGOMA'!E15,'22.10 KAPEEKA-NGOMA'!E15,'19.10 KAPEEKA-NGOMA 24h'!E15,'21.10 KAPEEKA-NGOMA-24h'!E15,'23.10 KAPEEKA-NGOMA'!E15)</f>
        <v>0.42857142857142855</v>
      </c>
      <c r="F15" s="49">
        <f>AVERAGE('17.10 KAPEEKA-NGOMA'!F15,'18.10 KAPEEKA-NGOMA'!F15,'20.10 KAPEEKA-NGOMA'!F15,'22.10 KAPEEKA-NGOMA'!F15,'19.10 KAPEEKA-NGOMA 24h'!F15,'21.10 KAPEEKA-NGOMA-24h'!F15,'23.10 KAPEEKA-NGOMA'!F15)</f>
        <v>0</v>
      </c>
      <c r="G15" s="49">
        <f>AVERAGE('17.10 KAPEEKA-NGOMA'!G15,'18.10 KAPEEKA-NGOMA'!G15,'20.10 KAPEEKA-NGOMA'!G15,'22.10 KAPEEKA-NGOMA'!G15,'19.10 KAPEEKA-NGOMA 24h'!G15,'21.10 KAPEEKA-NGOMA-24h'!G15,'23.10 KAPEEKA-NGOMA'!G15)</f>
        <v>0</v>
      </c>
      <c r="H15" s="49">
        <f>AVERAGE('17.10 KAPEEKA-NGOMA'!H15,'18.10 KAPEEKA-NGOMA'!H15,'20.10 KAPEEKA-NGOMA'!H15,'22.10 KAPEEKA-NGOMA'!H15,'19.10 KAPEEKA-NGOMA 24h'!H15,'21.10 KAPEEKA-NGOMA-24h'!H15,'23.10 KAPEEKA-NGOMA'!H15)</f>
        <v>0</v>
      </c>
      <c r="I15" s="49">
        <f>AVERAGE('17.10 KAPEEKA-NGOMA'!I15,'18.10 KAPEEKA-NGOMA'!I15,'20.10 KAPEEKA-NGOMA'!I15,'22.10 KAPEEKA-NGOMA'!I15,'19.10 KAPEEKA-NGOMA 24h'!I15,'21.10 KAPEEKA-NGOMA-24h'!I15,'23.10 KAPEEKA-NGOMA'!I15)</f>
        <v>1.1428571428571428</v>
      </c>
      <c r="J15" s="49">
        <f>AVERAGE('17.10 KAPEEKA-NGOMA'!J15,'18.10 KAPEEKA-NGOMA'!J15,'20.10 KAPEEKA-NGOMA'!J15,'22.10 KAPEEKA-NGOMA'!J15,'19.10 KAPEEKA-NGOMA 24h'!J15,'21.10 KAPEEKA-NGOMA-24h'!J15,'23.10 KAPEEKA-NGOMA'!J15)</f>
        <v>0.14285714285714285</v>
      </c>
      <c r="K15" s="49">
        <f>AVERAGE('17.10 KAPEEKA-NGOMA'!K15,'18.10 KAPEEKA-NGOMA'!K15,'20.10 KAPEEKA-NGOMA'!K15,'22.10 KAPEEKA-NGOMA'!K15,'19.10 KAPEEKA-NGOMA 24h'!K15,'21.10 KAPEEKA-NGOMA-24h'!K15,'23.10 KAPEEKA-NGOMA'!K15)</f>
        <v>0</v>
      </c>
      <c r="L15" s="49">
        <f>AVERAGE('17.10 KAPEEKA-NGOMA'!L15,'18.10 KAPEEKA-NGOMA'!L15,'20.10 KAPEEKA-NGOMA'!L15,'22.10 KAPEEKA-NGOMA'!L15,'19.10 KAPEEKA-NGOMA 24h'!L15,'21.10 KAPEEKA-NGOMA-24h'!L15,'23.10 KAPEEKA-NGOMA'!L15)</f>
        <v>0</v>
      </c>
      <c r="M15" s="49">
        <f>AVERAGE('17.10 KAPEEKA-NGOMA'!M15,'18.10 KAPEEKA-NGOMA'!M15,'20.10 KAPEEKA-NGOMA'!M15,'22.10 KAPEEKA-NGOMA'!M15,'19.10 KAPEEKA-NGOMA 24h'!M15,'21.10 KAPEEKA-NGOMA-24h'!M15,'23.10 KAPEEKA-NGOMA'!M15)</f>
        <v>4.2857142857142856</v>
      </c>
      <c r="N15" s="49">
        <f>AVERAGE('17.10 KAPEEKA-NGOMA'!N15,'18.10 KAPEEKA-NGOMA'!N15,'20.10 KAPEEKA-NGOMA'!N15,'22.10 KAPEEKA-NGOMA'!N15,'19.10 KAPEEKA-NGOMA 24h'!N15,'21.10 KAPEEKA-NGOMA-24h'!N15,'23.10 KAPEEKA-NGOMA'!N15)</f>
        <v>0</v>
      </c>
      <c r="O15" s="15">
        <f t="shared" si="0"/>
        <v>2.1428571428571428</v>
      </c>
      <c r="P15" s="15">
        <f t="shared" si="1"/>
        <v>6.4285714285714288</v>
      </c>
      <c r="R15" s="1" t="s">
        <v>11</v>
      </c>
      <c r="S15" s="17">
        <f t="shared" ref="S15:AF15" si="7">SUM(C30:C33)</f>
        <v>1.9999999999999998</v>
      </c>
      <c r="T15" s="17">
        <f t="shared" si="7"/>
        <v>0.5714285714285714</v>
      </c>
      <c r="U15" s="17">
        <f t="shared" si="7"/>
        <v>2.2857142857142856</v>
      </c>
      <c r="V15" s="17">
        <f t="shared" si="7"/>
        <v>1.9999999999999998</v>
      </c>
      <c r="W15" s="17">
        <f t="shared" si="7"/>
        <v>0.14285714285714285</v>
      </c>
      <c r="X15" s="17">
        <f t="shared" si="7"/>
        <v>0</v>
      </c>
      <c r="Y15" s="17">
        <f t="shared" si="7"/>
        <v>2.5714285714285712</v>
      </c>
      <c r="Z15" s="17">
        <f t="shared" si="7"/>
        <v>0.71428571428571419</v>
      </c>
      <c r="AA15" s="17">
        <f t="shared" si="7"/>
        <v>0.14285714285714285</v>
      </c>
      <c r="AB15" s="17">
        <f t="shared" si="7"/>
        <v>0</v>
      </c>
      <c r="AC15" s="17">
        <f t="shared" si="7"/>
        <v>20.714285714285715</v>
      </c>
      <c r="AD15" s="17">
        <f t="shared" si="7"/>
        <v>0</v>
      </c>
      <c r="AE15" s="31">
        <f t="shared" si="7"/>
        <v>10.428571428571427</v>
      </c>
      <c r="AF15" s="31">
        <f t="shared" si="7"/>
        <v>31.142857142857142</v>
      </c>
    </row>
    <row r="16" spans="2:32" ht="23.1" customHeight="1" x14ac:dyDescent="0.25">
      <c r="B16" s="23" t="s">
        <v>43</v>
      </c>
      <c r="C16" s="49">
        <f>AVERAGE('17.10 KAPEEKA-NGOMA'!C16,'18.10 KAPEEKA-NGOMA'!C16,'20.10 KAPEEKA-NGOMA'!C16,'22.10 KAPEEKA-NGOMA'!C16,'19.10 KAPEEKA-NGOMA 24h'!C16,'21.10 KAPEEKA-NGOMA-24h'!C16,'23.10 KAPEEKA-NGOMA'!C16)</f>
        <v>0.14285714285714285</v>
      </c>
      <c r="D16" s="49">
        <f>AVERAGE('17.10 KAPEEKA-NGOMA'!D16,'18.10 KAPEEKA-NGOMA'!D16,'20.10 KAPEEKA-NGOMA'!D16,'22.10 KAPEEKA-NGOMA'!D16,'19.10 KAPEEKA-NGOMA 24h'!D16,'21.10 KAPEEKA-NGOMA-24h'!D16,'23.10 KAPEEKA-NGOMA'!D16)</f>
        <v>0.14285714285714285</v>
      </c>
      <c r="E16" s="49">
        <f>AVERAGE('17.10 KAPEEKA-NGOMA'!E16,'18.10 KAPEEKA-NGOMA'!E16,'20.10 KAPEEKA-NGOMA'!E16,'22.10 KAPEEKA-NGOMA'!E16,'19.10 KAPEEKA-NGOMA 24h'!E16,'21.10 KAPEEKA-NGOMA-24h'!E16,'23.10 KAPEEKA-NGOMA'!E16)</f>
        <v>0.5714285714285714</v>
      </c>
      <c r="F16" s="49">
        <f>AVERAGE('17.10 KAPEEKA-NGOMA'!F16,'18.10 KAPEEKA-NGOMA'!F16,'20.10 KAPEEKA-NGOMA'!F16,'22.10 KAPEEKA-NGOMA'!F16,'19.10 KAPEEKA-NGOMA 24h'!F16,'21.10 KAPEEKA-NGOMA-24h'!F16,'23.10 KAPEEKA-NGOMA'!F16)</f>
        <v>0.14285714285714285</v>
      </c>
      <c r="G16" s="49">
        <f>AVERAGE('17.10 KAPEEKA-NGOMA'!G16,'18.10 KAPEEKA-NGOMA'!G16,'20.10 KAPEEKA-NGOMA'!G16,'22.10 KAPEEKA-NGOMA'!G16,'19.10 KAPEEKA-NGOMA 24h'!G16,'21.10 KAPEEKA-NGOMA-24h'!G16,'23.10 KAPEEKA-NGOMA'!G16)</f>
        <v>0</v>
      </c>
      <c r="H16" s="49">
        <f>AVERAGE('17.10 KAPEEKA-NGOMA'!H16,'18.10 KAPEEKA-NGOMA'!H16,'20.10 KAPEEKA-NGOMA'!H16,'22.10 KAPEEKA-NGOMA'!H16,'19.10 KAPEEKA-NGOMA 24h'!H16,'21.10 KAPEEKA-NGOMA-24h'!H16,'23.10 KAPEEKA-NGOMA'!H16)</f>
        <v>0</v>
      </c>
      <c r="I16" s="49">
        <f>AVERAGE('17.10 KAPEEKA-NGOMA'!I16,'18.10 KAPEEKA-NGOMA'!I16,'20.10 KAPEEKA-NGOMA'!I16,'22.10 KAPEEKA-NGOMA'!I16,'19.10 KAPEEKA-NGOMA 24h'!I16,'21.10 KAPEEKA-NGOMA-24h'!I16,'23.10 KAPEEKA-NGOMA'!I16)</f>
        <v>1</v>
      </c>
      <c r="J16" s="49">
        <f>AVERAGE('17.10 KAPEEKA-NGOMA'!J16,'18.10 KAPEEKA-NGOMA'!J16,'20.10 KAPEEKA-NGOMA'!J16,'22.10 KAPEEKA-NGOMA'!J16,'19.10 KAPEEKA-NGOMA 24h'!J16,'21.10 KAPEEKA-NGOMA-24h'!J16,'23.10 KAPEEKA-NGOMA'!J16)</f>
        <v>0.2857142857142857</v>
      </c>
      <c r="K16" s="49">
        <f>AVERAGE('17.10 KAPEEKA-NGOMA'!K16,'18.10 KAPEEKA-NGOMA'!K16,'20.10 KAPEEKA-NGOMA'!K16,'22.10 KAPEEKA-NGOMA'!K16,'19.10 KAPEEKA-NGOMA 24h'!K16,'21.10 KAPEEKA-NGOMA-24h'!K16,'23.10 KAPEEKA-NGOMA'!K16)</f>
        <v>0</v>
      </c>
      <c r="L16" s="49">
        <f>AVERAGE('17.10 KAPEEKA-NGOMA'!L16,'18.10 KAPEEKA-NGOMA'!L16,'20.10 KAPEEKA-NGOMA'!L16,'22.10 KAPEEKA-NGOMA'!L16,'19.10 KAPEEKA-NGOMA 24h'!L16,'21.10 KAPEEKA-NGOMA-24h'!L16,'23.10 KAPEEKA-NGOMA'!L16)</f>
        <v>0</v>
      </c>
      <c r="M16" s="49">
        <f>AVERAGE('17.10 KAPEEKA-NGOMA'!M16,'18.10 KAPEEKA-NGOMA'!M16,'20.10 KAPEEKA-NGOMA'!M16,'22.10 KAPEEKA-NGOMA'!M16,'19.10 KAPEEKA-NGOMA 24h'!M16,'21.10 KAPEEKA-NGOMA-24h'!M16,'23.10 KAPEEKA-NGOMA'!M16)</f>
        <v>4.1428571428571432</v>
      </c>
      <c r="N16" s="49">
        <f>AVERAGE('17.10 KAPEEKA-NGOMA'!N16,'18.10 KAPEEKA-NGOMA'!N16,'20.10 KAPEEKA-NGOMA'!N16,'22.10 KAPEEKA-NGOMA'!N16,'19.10 KAPEEKA-NGOMA 24h'!N16,'21.10 KAPEEKA-NGOMA-24h'!N16,'23.10 KAPEEKA-NGOMA'!N16)</f>
        <v>0</v>
      </c>
      <c r="O16" s="15">
        <f t="shared" si="0"/>
        <v>2.2857142857142856</v>
      </c>
      <c r="P16" s="15">
        <f t="shared" si="1"/>
        <v>6.4285714285714288</v>
      </c>
      <c r="R16" s="1" t="s">
        <v>12</v>
      </c>
      <c r="S16" s="17">
        <f t="shared" ref="S16:AF16" si="8">SUM(C34:C37)</f>
        <v>1.7142857142857142</v>
      </c>
      <c r="T16" s="17">
        <f t="shared" si="8"/>
        <v>0.42857142857142855</v>
      </c>
      <c r="U16" s="17">
        <f t="shared" si="8"/>
        <v>1.4285714285714284</v>
      </c>
      <c r="V16" s="17">
        <f t="shared" si="8"/>
        <v>2.1428571428571428</v>
      </c>
      <c r="W16" s="17">
        <f t="shared" si="8"/>
        <v>0.14285714285714285</v>
      </c>
      <c r="X16" s="17">
        <f t="shared" si="8"/>
        <v>0</v>
      </c>
      <c r="Y16" s="17">
        <f t="shared" si="8"/>
        <v>2.8571428571428572</v>
      </c>
      <c r="Z16" s="17">
        <f t="shared" si="8"/>
        <v>0.42857142857142855</v>
      </c>
      <c r="AA16" s="17">
        <f t="shared" si="8"/>
        <v>0</v>
      </c>
      <c r="AB16" s="17">
        <f t="shared" si="8"/>
        <v>0</v>
      </c>
      <c r="AC16" s="17">
        <f t="shared" si="8"/>
        <v>19.714285714285715</v>
      </c>
      <c r="AD16" s="17">
        <f t="shared" si="8"/>
        <v>0</v>
      </c>
      <c r="AE16" s="31">
        <f t="shared" si="8"/>
        <v>9.1428571428571423</v>
      </c>
      <c r="AF16" s="31">
        <f t="shared" si="8"/>
        <v>28.857142857142854</v>
      </c>
    </row>
    <row r="17" spans="2:32" ht="23.1" customHeight="1" x14ac:dyDescent="0.25">
      <c r="B17" s="23" t="s">
        <v>44</v>
      </c>
      <c r="C17" s="49">
        <f>AVERAGE('17.10 KAPEEKA-NGOMA'!C17,'18.10 KAPEEKA-NGOMA'!C17,'20.10 KAPEEKA-NGOMA'!C17,'22.10 KAPEEKA-NGOMA'!C17,'19.10 KAPEEKA-NGOMA 24h'!C17,'21.10 KAPEEKA-NGOMA-24h'!C17,'23.10 KAPEEKA-NGOMA'!C17)</f>
        <v>0.42857142857142855</v>
      </c>
      <c r="D17" s="49">
        <f>AVERAGE('17.10 KAPEEKA-NGOMA'!D17,'18.10 KAPEEKA-NGOMA'!D17,'20.10 KAPEEKA-NGOMA'!D17,'22.10 KAPEEKA-NGOMA'!D17,'19.10 KAPEEKA-NGOMA 24h'!D17,'21.10 KAPEEKA-NGOMA-24h'!D17,'23.10 KAPEEKA-NGOMA'!D17)</f>
        <v>0.5714285714285714</v>
      </c>
      <c r="E17" s="49">
        <f>AVERAGE('17.10 KAPEEKA-NGOMA'!E17,'18.10 KAPEEKA-NGOMA'!E17,'20.10 KAPEEKA-NGOMA'!E17,'22.10 KAPEEKA-NGOMA'!E17,'19.10 KAPEEKA-NGOMA 24h'!E17,'21.10 KAPEEKA-NGOMA-24h'!E17,'23.10 KAPEEKA-NGOMA'!E17)</f>
        <v>0.5714285714285714</v>
      </c>
      <c r="F17" s="49">
        <f>AVERAGE('17.10 KAPEEKA-NGOMA'!F17,'18.10 KAPEEKA-NGOMA'!F17,'20.10 KAPEEKA-NGOMA'!F17,'22.10 KAPEEKA-NGOMA'!F17,'19.10 KAPEEKA-NGOMA 24h'!F17,'21.10 KAPEEKA-NGOMA-24h'!F17,'23.10 KAPEEKA-NGOMA'!F17)</f>
        <v>0</v>
      </c>
      <c r="G17" s="49">
        <f>AVERAGE('17.10 KAPEEKA-NGOMA'!G17,'18.10 KAPEEKA-NGOMA'!G17,'20.10 KAPEEKA-NGOMA'!G17,'22.10 KAPEEKA-NGOMA'!G17,'19.10 KAPEEKA-NGOMA 24h'!G17,'21.10 KAPEEKA-NGOMA-24h'!G17,'23.10 KAPEEKA-NGOMA'!G17)</f>
        <v>0</v>
      </c>
      <c r="H17" s="49">
        <f>AVERAGE('17.10 KAPEEKA-NGOMA'!H17,'18.10 KAPEEKA-NGOMA'!H17,'20.10 KAPEEKA-NGOMA'!H17,'22.10 KAPEEKA-NGOMA'!H17,'19.10 KAPEEKA-NGOMA 24h'!H17,'21.10 KAPEEKA-NGOMA-24h'!H17,'23.10 KAPEEKA-NGOMA'!H17)</f>
        <v>0</v>
      </c>
      <c r="I17" s="49">
        <f>AVERAGE('17.10 KAPEEKA-NGOMA'!I17,'18.10 KAPEEKA-NGOMA'!I17,'20.10 KAPEEKA-NGOMA'!I17,'22.10 KAPEEKA-NGOMA'!I17,'19.10 KAPEEKA-NGOMA 24h'!I17,'21.10 KAPEEKA-NGOMA-24h'!I17,'23.10 KAPEEKA-NGOMA'!I17)</f>
        <v>0.42857142857142855</v>
      </c>
      <c r="J17" s="49">
        <f>AVERAGE('17.10 KAPEEKA-NGOMA'!J17,'18.10 KAPEEKA-NGOMA'!J17,'20.10 KAPEEKA-NGOMA'!J17,'22.10 KAPEEKA-NGOMA'!J17,'19.10 KAPEEKA-NGOMA 24h'!J17,'21.10 KAPEEKA-NGOMA-24h'!J17,'23.10 KAPEEKA-NGOMA'!J17)</f>
        <v>0.14285714285714285</v>
      </c>
      <c r="K17" s="49">
        <f>AVERAGE('17.10 KAPEEKA-NGOMA'!K17,'18.10 KAPEEKA-NGOMA'!K17,'20.10 KAPEEKA-NGOMA'!K17,'22.10 KAPEEKA-NGOMA'!K17,'19.10 KAPEEKA-NGOMA 24h'!K17,'21.10 KAPEEKA-NGOMA-24h'!K17,'23.10 KAPEEKA-NGOMA'!K17)</f>
        <v>0</v>
      </c>
      <c r="L17" s="49">
        <f>AVERAGE('17.10 KAPEEKA-NGOMA'!L17,'18.10 KAPEEKA-NGOMA'!L17,'20.10 KAPEEKA-NGOMA'!L17,'22.10 KAPEEKA-NGOMA'!L17,'19.10 KAPEEKA-NGOMA 24h'!L17,'21.10 KAPEEKA-NGOMA-24h'!L17,'23.10 KAPEEKA-NGOMA'!L17)</f>
        <v>0</v>
      </c>
      <c r="M17" s="49">
        <f>AVERAGE('17.10 KAPEEKA-NGOMA'!M17,'18.10 KAPEEKA-NGOMA'!M17,'20.10 KAPEEKA-NGOMA'!M17,'22.10 KAPEEKA-NGOMA'!M17,'19.10 KAPEEKA-NGOMA 24h'!M17,'21.10 KAPEEKA-NGOMA-24h'!M17,'23.10 KAPEEKA-NGOMA'!M17)</f>
        <v>4.5714285714285712</v>
      </c>
      <c r="N17" s="49">
        <f>AVERAGE('17.10 KAPEEKA-NGOMA'!N17,'18.10 KAPEEKA-NGOMA'!N17,'20.10 KAPEEKA-NGOMA'!N17,'22.10 KAPEEKA-NGOMA'!N17,'19.10 KAPEEKA-NGOMA 24h'!N17,'21.10 KAPEEKA-NGOMA-24h'!N17,'23.10 KAPEEKA-NGOMA'!N17)</f>
        <v>0</v>
      </c>
      <c r="O17" s="15">
        <f t="shared" si="0"/>
        <v>2.1428571428571428</v>
      </c>
      <c r="P17" s="15">
        <f t="shared" si="1"/>
        <v>6.7142857142857135</v>
      </c>
      <c r="R17" s="1" t="s">
        <v>13</v>
      </c>
      <c r="S17" s="17">
        <f t="shared" ref="S17:AF17" si="9">SUM(C38:C41)</f>
        <v>3.4285714285714284</v>
      </c>
      <c r="T17" s="17">
        <f t="shared" si="9"/>
        <v>0.14285714285714285</v>
      </c>
      <c r="U17" s="17">
        <f t="shared" si="9"/>
        <v>1.1428571428571428</v>
      </c>
      <c r="V17" s="17">
        <f t="shared" si="9"/>
        <v>1.857142857142857</v>
      </c>
      <c r="W17" s="17">
        <f t="shared" si="9"/>
        <v>0</v>
      </c>
      <c r="X17" s="17">
        <f t="shared" si="9"/>
        <v>0</v>
      </c>
      <c r="Y17" s="17">
        <f t="shared" si="9"/>
        <v>2.8571428571428577</v>
      </c>
      <c r="Z17" s="17">
        <f t="shared" si="9"/>
        <v>0.14285714285714285</v>
      </c>
      <c r="AA17" s="17">
        <f t="shared" si="9"/>
        <v>0.14285714285714285</v>
      </c>
      <c r="AB17" s="17">
        <f t="shared" si="9"/>
        <v>0</v>
      </c>
      <c r="AC17" s="17">
        <f t="shared" si="9"/>
        <v>19.714285714285715</v>
      </c>
      <c r="AD17" s="17">
        <f t="shared" si="9"/>
        <v>0.2857142857142857</v>
      </c>
      <c r="AE17" s="31">
        <f t="shared" si="9"/>
        <v>10</v>
      </c>
      <c r="AF17" s="31">
        <f t="shared" si="9"/>
        <v>29.714285714285715</v>
      </c>
    </row>
    <row r="18" spans="2:32" ht="23.1" customHeight="1" x14ac:dyDescent="0.25">
      <c r="B18" s="23" t="s">
        <v>45</v>
      </c>
      <c r="C18" s="49">
        <f>AVERAGE('17.10 KAPEEKA-NGOMA'!C18,'18.10 KAPEEKA-NGOMA'!C18,'20.10 KAPEEKA-NGOMA'!C18,'22.10 KAPEEKA-NGOMA'!C18,'19.10 KAPEEKA-NGOMA 24h'!C18,'21.10 KAPEEKA-NGOMA-24h'!C18,'23.10 KAPEEKA-NGOMA'!C18)</f>
        <v>1.5714285714285714</v>
      </c>
      <c r="D18" s="49">
        <f>AVERAGE('17.10 KAPEEKA-NGOMA'!D18,'18.10 KAPEEKA-NGOMA'!D18,'20.10 KAPEEKA-NGOMA'!D18,'22.10 KAPEEKA-NGOMA'!D18,'19.10 KAPEEKA-NGOMA 24h'!D18,'21.10 KAPEEKA-NGOMA-24h'!D18,'23.10 KAPEEKA-NGOMA'!D18)</f>
        <v>0.42857142857142855</v>
      </c>
      <c r="E18" s="49">
        <f>AVERAGE('17.10 KAPEEKA-NGOMA'!E18,'18.10 KAPEEKA-NGOMA'!E18,'20.10 KAPEEKA-NGOMA'!E18,'22.10 KAPEEKA-NGOMA'!E18,'19.10 KAPEEKA-NGOMA 24h'!E18,'21.10 KAPEEKA-NGOMA-24h'!E18,'23.10 KAPEEKA-NGOMA'!E18)</f>
        <v>0.5714285714285714</v>
      </c>
      <c r="F18" s="49">
        <f>AVERAGE('17.10 KAPEEKA-NGOMA'!F18,'18.10 KAPEEKA-NGOMA'!F18,'20.10 KAPEEKA-NGOMA'!F18,'22.10 KAPEEKA-NGOMA'!F18,'19.10 KAPEEKA-NGOMA 24h'!F18,'21.10 KAPEEKA-NGOMA-24h'!F18,'23.10 KAPEEKA-NGOMA'!F18)</f>
        <v>0</v>
      </c>
      <c r="G18" s="49">
        <f>AVERAGE('17.10 KAPEEKA-NGOMA'!G18,'18.10 KAPEEKA-NGOMA'!G18,'20.10 KAPEEKA-NGOMA'!G18,'22.10 KAPEEKA-NGOMA'!G18,'19.10 KAPEEKA-NGOMA 24h'!G18,'21.10 KAPEEKA-NGOMA-24h'!G18,'23.10 KAPEEKA-NGOMA'!G18)</f>
        <v>0</v>
      </c>
      <c r="H18" s="49">
        <f>AVERAGE('17.10 KAPEEKA-NGOMA'!H18,'18.10 KAPEEKA-NGOMA'!H18,'20.10 KAPEEKA-NGOMA'!H18,'22.10 KAPEEKA-NGOMA'!H18,'19.10 KAPEEKA-NGOMA 24h'!H18,'21.10 KAPEEKA-NGOMA-24h'!H18,'23.10 KAPEEKA-NGOMA'!H18)</f>
        <v>0</v>
      </c>
      <c r="I18" s="49">
        <f>AVERAGE('17.10 KAPEEKA-NGOMA'!I18,'18.10 KAPEEKA-NGOMA'!I18,'20.10 KAPEEKA-NGOMA'!I18,'22.10 KAPEEKA-NGOMA'!I18,'19.10 KAPEEKA-NGOMA 24h'!I18,'21.10 KAPEEKA-NGOMA-24h'!I18,'23.10 KAPEEKA-NGOMA'!I18)</f>
        <v>0.7142857142857143</v>
      </c>
      <c r="J18" s="49">
        <f>AVERAGE('17.10 KAPEEKA-NGOMA'!J18,'18.10 KAPEEKA-NGOMA'!J18,'20.10 KAPEEKA-NGOMA'!J18,'22.10 KAPEEKA-NGOMA'!J18,'19.10 KAPEEKA-NGOMA 24h'!J18,'21.10 KAPEEKA-NGOMA-24h'!J18,'23.10 KAPEEKA-NGOMA'!J18)</f>
        <v>0.14285714285714285</v>
      </c>
      <c r="K18" s="49">
        <f>AVERAGE('17.10 KAPEEKA-NGOMA'!K18,'18.10 KAPEEKA-NGOMA'!K18,'20.10 KAPEEKA-NGOMA'!K18,'22.10 KAPEEKA-NGOMA'!K18,'19.10 KAPEEKA-NGOMA 24h'!K18,'21.10 KAPEEKA-NGOMA-24h'!K18,'23.10 KAPEEKA-NGOMA'!K18)</f>
        <v>0</v>
      </c>
      <c r="L18" s="49">
        <f>AVERAGE('17.10 KAPEEKA-NGOMA'!L18,'18.10 KAPEEKA-NGOMA'!L18,'20.10 KAPEEKA-NGOMA'!L18,'22.10 KAPEEKA-NGOMA'!L18,'19.10 KAPEEKA-NGOMA 24h'!L18,'21.10 KAPEEKA-NGOMA-24h'!L18,'23.10 KAPEEKA-NGOMA'!L18)</f>
        <v>0</v>
      </c>
      <c r="M18" s="49">
        <f>AVERAGE('17.10 KAPEEKA-NGOMA'!M18,'18.10 KAPEEKA-NGOMA'!M18,'20.10 KAPEEKA-NGOMA'!M18,'22.10 KAPEEKA-NGOMA'!M18,'19.10 KAPEEKA-NGOMA 24h'!M18,'21.10 KAPEEKA-NGOMA-24h'!M18,'23.10 KAPEEKA-NGOMA'!M18)</f>
        <v>4.4285714285714288</v>
      </c>
      <c r="N18" s="49">
        <f>AVERAGE('17.10 KAPEEKA-NGOMA'!N18,'18.10 KAPEEKA-NGOMA'!N18,'20.10 KAPEEKA-NGOMA'!N18,'22.10 KAPEEKA-NGOMA'!N18,'19.10 KAPEEKA-NGOMA 24h'!N18,'21.10 KAPEEKA-NGOMA-24h'!N18,'23.10 KAPEEKA-NGOMA'!N18)</f>
        <v>0</v>
      </c>
      <c r="O18" s="15">
        <f t="shared" si="0"/>
        <v>3.4285714285714284</v>
      </c>
      <c r="P18" s="15">
        <f t="shared" si="1"/>
        <v>7.8571428571428577</v>
      </c>
      <c r="R18" s="1" t="s">
        <v>14</v>
      </c>
      <c r="S18" s="17">
        <f t="shared" ref="S18:AF18" si="10">SUM(C42:C45)</f>
        <v>1.4285714285714284</v>
      </c>
      <c r="T18" s="17">
        <f t="shared" si="10"/>
        <v>0.42857142857142855</v>
      </c>
      <c r="U18" s="17">
        <f t="shared" si="10"/>
        <v>1.1428571428571428</v>
      </c>
      <c r="V18" s="17">
        <f t="shared" si="10"/>
        <v>2.5714285714285712</v>
      </c>
      <c r="W18" s="17">
        <f t="shared" si="10"/>
        <v>0</v>
      </c>
      <c r="X18" s="17">
        <f t="shared" si="10"/>
        <v>0</v>
      </c>
      <c r="Y18" s="17">
        <f t="shared" si="10"/>
        <v>2.1428571428571423</v>
      </c>
      <c r="Z18" s="17">
        <f t="shared" si="10"/>
        <v>0.5714285714285714</v>
      </c>
      <c r="AA18" s="17">
        <f t="shared" si="10"/>
        <v>0.2857142857142857</v>
      </c>
      <c r="AB18" s="17">
        <f t="shared" si="10"/>
        <v>0</v>
      </c>
      <c r="AC18" s="17">
        <f t="shared" si="10"/>
        <v>18.428571428571431</v>
      </c>
      <c r="AD18" s="17">
        <f t="shared" si="10"/>
        <v>0</v>
      </c>
      <c r="AE18" s="31">
        <f t="shared" si="10"/>
        <v>8.5714285714285694</v>
      </c>
      <c r="AF18" s="31">
        <f t="shared" si="10"/>
        <v>27</v>
      </c>
    </row>
    <row r="19" spans="2:32" ht="23.1" customHeight="1" x14ac:dyDescent="0.25">
      <c r="B19" s="23" t="s">
        <v>46</v>
      </c>
      <c r="C19" s="49">
        <f>AVERAGE('17.10 KAPEEKA-NGOMA'!C19,'18.10 KAPEEKA-NGOMA'!C19,'20.10 KAPEEKA-NGOMA'!C19,'22.10 KAPEEKA-NGOMA'!C19,'19.10 KAPEEKA-NGOMA 24h'!C19,'21.10 KAPEEKA-NGOMA-24h'!C19,'23.10 KAPEEKA-NGOMA'!C19)</f>
        <v>0.2857142857142857</v>
      </c>
      <c r="D19" s="49">
        <f>AVERAGE('17.10 KAPEEKA-NGOMA'!D19,'18.10 KAPEEKA-NGOMA'!D19,'20.10 KAPEEKA-NGOMA'!D19,'22.10 KAPEEKA-NGOMA'!D19,'19.10 KAPEEKA-NGOMA 24h'!D19,'21.10 KAPEEKA-NGOMA-24h'!D19,'23.10 KAPEEKA-NGOMA'!D19)</f>
        <v>0</v>
      </c>
      <c r="E19" s="49">
        <f>AVERAGE('17.10 KAPEEKA-NGOMA'!E19,'18.10 KAPEEKA-NGOMA'!E19,'20.10 KAPEEKA-NGOMA'!E19,'22.10 KAPEEKA-NGOMA'!E19,'19.10 KAPEEKA-NGOMA 24h'!E19,'21.10 KAPEEKA-NGOMA-24h'!E19,'23.10 KAPEEKA-NGOMA'!E19)</f>
        <v>0.14285714285714285</v>
      </c>
      <c r="F19" s="49">
        <f>AVERAGE('17.10 KAPEEKA-NGOMA'!F19,'18.10 KAPEEKA-NGOMA'!F19,'20.10 KAPEEKA-NGOMA'!F19,'22.10 KAPEEKA-NGOMA'!F19,'19.10 KAPEEKA-NGOMA 24h'!F19,'21.10 KAPEEKA-NGOMA-24h'!F19,'23.10 KAPEEKA-NGOMA'!F19)</f>
        <v>0</v>
      </c>
      <c r="G19" s="49">
        <f>AVERAGE('17.10 KAPEEKA-NGOMA'!G19,'18.10 KAPEEKA-NGOMA'!G19,'20.10 KAPEEKA-NGOMA'!G19,'22.10 KAPEEKA-NGOMA'!G19,'19.10 KAPEEKA-NGOMA 24h'!G19,'21.10 KAPEEKA-NGOMA-24h'!G19,'23.10 KAPEEKA-NGOMA'!G19)</f>
        <v>0</v>
      </c>
      <c r="H19" s="49">
        <f>AVERAGE('17.10 KAPEEKA-NGOMA'!H19,'18.10 KAPEEKA-NGOMA'!H19,'20.10 KAPEEKA-NGOMA'!H19,'22.10 KAPEEKA-NGOMA'!H19,'19.10 KAPEEKA-NGOMA 24h'!H19,'21.10 KAPEEKA-NGOMA-24h'!H19,'23.10 KAPEEKA-NGOMA'!H19)</f>
        <v>0</v>
      </c>
      <c r="I19" s="49">
        <f>AVERAGE('17.10 KAPEEKA-NGOMA'!I19,'18.10 KAPEEKA-NGOMA'!I19,'20.10 KAPEEKA-NGOMA'!I19,'22.10 KAPEEKA-NGOMA'!I19,'19.10 KAPEEKA-NGOMA 24h'!I19,'21.10 KAPEEKA-NGOMA-24h'!I19,'23.10 KAPEEKA-NGOMA'!I19)</f>
        <v>0.7142857142857143</v>
      </c>
      <c r="J19" s="49">
        <f>AVERAGE('17.10 KAPEEKA-NGOMA'!J19,'18.10 KAPEEKA-NGOMA'!J19,'20.10 KAPEEKA-NGOMA'!J19,'22.10 KAPEEKA-NGOMA'!J19,'19.10 KAPEEKA-NGOMA 24h'!J19,'21.10 KAPEEKA-NGOMA-24h'!J19,'23.10 KAPEEKA-NGOMA'!J19)</f>
        <v>0</v>
      </c>
      <c r="K19" s="49">
        <f>AVERAGE('17.10 KAPEEKA-NGOMA'!K19,'18.10 KAPEEKA-NGOMA'!K19,'20.10 KAPEEKA-NGOMA'!K19,'22.10 KAPEEKA-NGOMA'!K19,'19.10 KAPEEKA-NGOMA 24h'!K19,'21.10 KAPEEKA-NGOMA-24h'!K19,'23.10 KAPEEKA-NGOMA'!K19)</f>
        <v>0</v>
      </c>
      <c r="L19" s="49">
        <f>AVERAGE('17.10 KAPEEKA-NGOMA'!L19,'18.10 KAPEEKA-NGOMA'!L19,'20.10 KAPEEKA-NGOMA'!L19,'22.10 KAPEEKA-NGOMA'!L19,'19.10 KAPEEKA-NGOMA 24h'!L19,'21.10 KAPEEKA-NGOMA-24h'!L19,'23.10 KAPEEKA-NGOMA'!L19)</f>
        <v>0</v>
      </c>
      <c r="M19" s="49">
        <f>AVERAGE('17.10 KAPEEKA-NGOMA'!M19,'18.10 KAPEEKA-NGOMA'!M19,'20.10 KAPEEKA-NGOMA'!M19,'22.10 KAPEEKA-NGOMA'!M19,'19.10 KAPEEKA-NGOMA 24h'!M19,'21.10 KAPEEKA-NGOMA-24h'!M19,'23.10 KAPEEKA-NGOMA'!M19)</f>
        <v>4</v>
      </c>
      <c r="N19" s="49">
        <f>AVERAGE('17.10 KAPEEKA-NGOMA'!N19,'18.10 KAPEEKA-NGOMA'!N19,'20.10 KAPEEKA-NGOMA'!N19,'22.10 KAPEEKA-NGOMA'!N19,'19.10 KAPEEKA-NGOMA 24h'!N19,'21.10 KAPEEKA-NGOMA-24h'!N19,'23.10 KAPEEKA-NGOMA'!N19)</f>
        <v>0</v>
      </c>
      <c r="O19" s="15">
        <f t="shared" si="0"/>
        <v>1.1428571428571428</v>
      </c>
      <c r="P19" s="15">
        <f t="shared" si="1"/>
        <v>5.1428571428571423</v>
      </c>
      <c r="R19" s="1" t="s">
        <v>15</v>
      </c>
      <c r="S19" s="17">
        <f t="shared" ref="S19:AF19" si="11">SUM(C46:C49)</f>
        <v>2.1428571428571428</v>
      </c>
      <c r="T19" s="17">
        <f t="shared" si="11"/>
        <v>0.5714285714285714</v>
      </c>
      <c r="U19" s="17">
        <f t="shared" si="11"/>
        <v>0.8571428571428571</v>
      </c>
      <c r="V19" s="17">
        <f t="shared" si="11"/>
        <v>1.857142857142857</v>
      </c>
      <c r="W19" s="17">
        <f t="shared" si="11"/>
        <v>0.14285714285714285</v>
      </c>
      <c r="X19" s="17">
        <f t="shared" si="11"/>
        <v>0</v>
      </c>
      <c r="Y19" s="17">
        <f t="shared" si="11"/>
        <v>1.714285714285714</v>
      </c>
      <c r="Z19" s="17">
        <f t="shared" si="11"/>
        <v>0.99999999999999989</v>
      </c>
      <c r="AA19" s="17">
        <f t="shared" si="11"/>
        <v>0.2857142857142857</v>
      </c>
      <c r="AB19" s="17">
        <f t="shared" si="11"/>
        <v>0</v>
      </c>
      <c r="AC19" s="17">
        <f t="shared" si="11"/>
        <v>16.857142857142854</v>
      </c>
      <c r="AD19" s="17">
        <f t="shared" si="11"/>
        <v>0</v>
      </c>
      <c r="AE19" s="31">
        <f t="shared" si="11"/>
        <v>8.5714285714285694</v>
      </c>
      <c r="AF19" s="31">
        <f t="shared" si="11"/>
        <v>25.428571428571423</v>
      </c>
    </row>
    <row r="20" spans="2:32" ht="23.1" customHeight="1" x14ac:dyDescent="0.25">
      <c r="B20" s="23" t="s">
        <v>47</v>
      </c>
      <c r="C20" s="49">
        <f>AVERAGE('17.10 KAPEEKA-NGOMA'!C20,'18.10 KAPEEKA-NGOMA'!C20,'20.10 KAPEEKA-NGOMA'!C20,'22.10 KAPEEKA-NGOMA'!C20,'19.10 KAPEEKA-NGOMA 24h'!C20,'21.10 KAPEEKA-NGOMA-24h'!C20,'23.10 KAPEEKA-NGOMA'!C20)</f>
        <v>0.5714285714285714</v>
      </c>
      <c r="D20" s="49">
        <f>AVERAGE('17.10 KAPEEKA-NGOMA'!D20,'18.10 KAPEEKA-NGOMA'!D20,'20.10 KAPEEKA-NGOMA'!D20,'22.10 KAPEEKA-NGOMA'!D20,'19.10 KAPEEKA-NGOMA 24h'!D20,'21.10 KAPEEKA-NGOMA-24h'!D20,'23.10 KAPEEKA-NGOMA'!D20)</f>
        <v>0.14285714285714285</v>
      </c>
      <c r="E20" s="49">
        <f>AVERAGE('17.10 KAPEEKA-NGOMA'!E20,'18.10 KAPEEKA-NGOMA'!E20,'20.10 KAPEEKA-NGOMA'!E20,'22.10 KAPEEKA-NGOMA'!E20,'19.10 KAPEEKA-NGOMA 24h'!E20,'21.10 KAPEEKA-NGOMA-24h'!E20,'23.10 KAPEEKA-NGOMA'!E20)</f>
        <v>0.14285714285714285</v>
      </c>
      <c r="F20" s="49">
        <f>AVERAGE('17.10 KAPEEKA-NGOMA'!F20,'18.10 KAPEEKA-NGOMA'!F20,'20.10 KAPEEKA-NGOMA'!F20,'22.10 KAPEEKA-NGOMA'!F20,'19.10 KAPEEKA-NGOMA 24h'!F20,'21.10 KAPEEKA-NGOMA-24h'!F20,'23.10 KAPEEKA-NGOMA'!F20)</f>
        <v>0</v>
      </c>
      <c r="G20" s="49">
        <f>AVERAGE('17.10 KAPEEKA-NGOMA'!G20,'18.10 KAPEEKA-NGOMA'!G20,'20.10 KAPEEKA-NGOMA'!G20,'22.10 KAPEEKA-NGOMA'!G20,'19.10 KAPEEKA-NGOMA 24h'!G20,'21.10 KAPEEKA-NGOMA-24h'!G20,'23.10 KAPEEKA-NGOMA'!G20)</f>
        <v>0</v>
      </c>
      <c r="H20" s="49">
        <f>AVERAGE('17.10 KAPEEKA-NGOMA'!H20,'18.10 KAPEEKA-NGOMA'!H20,'20.10 KAPEEKA-NGOMA'!H20,'22.10 KAPEEKA-NGOMA'!H20,'19.10 KAPEEKA-NGOMA 24h'!H20,'21.10 KAPEEKA-NGOMA-24h'!H20,'23.10 KAPEEKA-NGOMA'!H20)</f>
        <v>0</v>
      </c>
      <c r="I20" s="49">
        <f>AVERAGE('17.10 KAPEEKA-NGOMA'!I20,'18.10 KAPEEKA-NGOMA'!I20,'20.10 KAPEEKA-NGOMA'!I20,'22.10 KAPEEKA-NGOMA'!I20,'19.10 KAPEEKA-NGOMA 24h'!I20,'21.10 KAPEEKA-NGOMA-24h'!I20,'23.10 KAPEEKA-NGOMA'!I20)</f>
        <v>0.42857142857142855</v>
      </c>
      <c r="J20" s="49">
        <f>AVERAGE('17.10 KAPEEKA-NGOMA'!J20,'18.10 KAPEEKA-NGOMA'!J20,'20.10 KAPEEKA-NGOMA'!J20,'22.10 KAPEEKA-NGOMA'!J20,'19.10 KAPEEKA-NGOMA 24h'!J20,'21.10 KAPEEKA-NGOMA-24h'!J20,'23.10 KAPEEKA-NGOMA'!J20)</f>
        <v>0</v>
      </c>
      <c r="K20" s="49">
        <f>AVERAGE('17.10 KAPEEKA-NGOMA'!K20,'18.10 KAPEEKA-NGOMA'!K20,'20.10 KAPEEKA-NGOMA'!K20,'22.10 KAPEEKA-NGOMA'!K20,'19.10 KAPEEKA-NGOMA 24h'!K20,'21.10 KAPEEKA-NGOMA-24h'!K20,'23.10 KAPEEKA-NGOMA'!K20)</f>
        <v>0</v>
      </c>
      <c r="L20" s="49">
        <f>AVERAGE('17.10 KAPEEKA-NGOMA'!L20,'18.10 KAPEEKA-NGOMA'!L20,'20.10 KAPEEKA-NGOMA'!L20,'22.10 KAPEEKA-NGOMA'!L20,'19.10 KAPEEKA-NGOMA 24h'!L20,'21.10 KAPEEKA-NGOMA-24h'!L20,'23.10 KAPEEKA-NGOMA'!L20)</f>
        <v>0</v>
      </c>
      <c r="M20" s="49">
        <f>AVERAGE('17.10 KAPEEKA-NGOMA'!M20,'18.10 KAPEEKA-NGOMA'!M20,'20.10 KAPEEKA-NGOMA'!M20,'22.10 KAPEEKA-NGOMA'!M20,'19.10 KAPEEKA-NGOMA 24h'!M20,'21.10 KAPEEKA-NGOMA-24h'!M20,'23.10 KAPEEKA-NGOMA'!M20)</f>
        <v>3.7142857142857144</v>
      </c>
      <c r="N20" s="49">
        <f>AVERAGE('17.10 KAPEEKA-NGOMA'!N20,'18.10 KAPEEKA-NGOMA'!N20,'20.10 KAPEEKA-NGOMA'!N20,'22.10 KAPEEKA-NGOMA'!N20,'19.10 KAPEEKA-NGOMA 24h'!N20,'21.10 KAPEEKA-NGOMA-24h'!N20,'23.10 KAPEEKA-NGOMA'!N20)</f>
        <v>0</v>
      </c>
      <c r="O20" s="15">
        <f t="shared" si="0"/>
        <v>1.2857142857142856</v>
      </c>
      <c r="P20" s="15">
        <f t="shared" si="1"/>
        <v>5</v>
      </c>
      <c r="R20" s="1" t="s">
        <v>16</v>
      </c>
      <c r="S20" s="17">
        <f t="shared" ref="S20:AF20" si="12">SUM(C50:C53)</f>
        <v>2</v>
      </c>
      <c r="T20" s="17">
        <f t="shared" si="12"/>
        <v>0.71428571428571419</v>
      </c>
      <c r="U20" s="17">
        <f t="shared" si="12"/>
        <v>1.4285714285714284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1.5714285714285714</v>
      </c>
      <c r="Z20" s="17">
        <f t="shared" si="12"/>
        <v>0.71428571428571419</v>
      </c>
      <c r="AA20" s="17">
        <f t="shared" si="12"/>
        <v>0</v>
      </c>
      <c r="AB20" s="17">
        <f t="shared" si="12"/>
        <v>0.2857142857142857</v>
      </c>
      <c r="AC20" s="17">
        <f t="shared" si="12"/>
        <v>18.857142857142858</v>
      </c>
      <c r="AD20" s="17">
        <f t="shared" si="12"/>
        <v>0</v>
      </c>
      <c r="AE20" s="31">
        <f t="shared" si="12"/>
        <v>8.7142857142857135</v>
      </c>
      <c r="AF20" s="31">
        <f t="shared" si="12"/>
        <v>27.571428571428569</v>
      </c>
    </row>
    <row r="21" spans="2:32" ht="23.1" customHeight="1" x14ac:dyDescent="0.25">
      <c r="B21" s="23" t="s">
        <v>48</v>
      </c>
      <c r="C21" s="49">
        <f>AVERAGE('17.10 KAPEEKA-NGOMA'!C21,'18.10 KAPEEKA-NGOMA'!C21,'20.10 KAPEEKA-NGOMA'!C21,'22.10 KAPEEKA-NGOMA'!C21,'19.10 KAPEEKA-NGOMA 24h'!C21,'21.10 KAPEEKA-NGOMA-24h'!C21,'23.10 KAPEEKA-NGOMA'!C21)</f>
        <v>0.2857142857142857</v>
      </c>
      <c r="D21" s="49">
        <f>AVERAGE('17.10 KAPEEKA-NGOMA'!D21,'18.10 KAPEEKA-NGOMA'!D21,'20.10 KAPEEKA-NGOMA'!D21,'22.10 KAPEEKA-NGOMA'!D21,'19.10 KAPEEKA-NGOMA 24h'!D21,'21.10 KAPEEKA-NGOMA-24h'!D21,'23.10 KAPEEKA-NGOMA'!D21)</f>
        <v>0</v>
      </c>
      <c r="E21" s="49">
        <f>AVERAGE('17.10 KAPEEKA-NGOMA'!E21,'18.10 KAPEEKA-NGOMA'!E21,'20.10 KAPEEKA-NGOMA'!E21,'22.10 KAPEEKA-NGOMA'!E21,'19.10 KAPEEKA-NGOMA 24h'!E21,'21.10 KAPEEKA-NGOMA-24h'!E21,'23.10 KAPEEKA-NGOMA'!E21)</f>
        <v>0</v>
      </c>
      <c r="F21" s="49">
        <f>AVERAGE('17.10 KAPEEKA-NGOMA'!F21,'18.10 KAPEEKA-NGOMA'!F21,'20.10 KAPEEKA-NGOMA'!F21,'22.10 KAPEEKA-NGOMA'!F21,'19.10 KAPEEKA-NGOMA 24h'!F21,'21.10 KAPEEKA-NGOMA-24h'!F21,'23.10 KAPEEKA-NGOMA'!F21)</f>
        <v>0.14285714285714285</v>
      </c>
      <c r="G21" s="49">
        <f>AVERAGE('17.10 KAPEEKA-NGOMA'!G21,'18.10 KAPEEKA-NGOMA'!G21,'20.10 KAPEEKA-NGOMA'!G21,'22.10 KAPEEKA-NGOMA'!G21,'19.10 KAPEEKA-NGOMA 24h'!G21,'21.10 KAPEEKA-NGOMA-24h'!G21,'23.10 KAPEEKA-NGOMA'!G21)</f>
        <v>0</v>
      </c>
      <c r="H21" s="49">
        <f>AVERAGE('17.10 KAPEEKA-NGOMA'!H21,'18.10 KAPEEKA-NGOMA'!H21,'20.10 KAPEEKA-NGOMA'!H21,'22.10 KAPEEKA-NGOMA'!H21,'19.10 KAPEEKA-NGOMA 24h'!H21,'21.10 KAPEEKA-NGOMA-24h'!H21,'23.10 KAPEEKA-NGOMA'!H21)</f>
        <v>0</v>
      </c>
      <c r="I21" s="49">
        <f>AVERAGE('17.10 KAPEEKA-NGOMA'!I21,'18.10 KAPEEKA-NGOMA'!I21,'20.10 KAPEEKA-NGOMA'!I21,'22.10 KAPEEKA-NGOMA'!I21,'19.10 KAPEEKA-NGOMA 24h'!I21,'21.10 KAPEEKA-NGOMA-24h'!I21,'23.10 KAPEEKA-NGOMA'!I21)</f>
        <v>0.7142857142857143</v>
      </c>
      <c r="J21" s="49">
        <f>AVERAGE('17.10 KAPEEKA-NGOMA'!J21,'18.10 KAPEEKA-NGOMA'!J21,'20.10 KAPEEKA-NGOMA'!J21,'22.10 KAPEEKA-NGOMA'!J21,'19.10 KAPEEKA-NGOMA 24h'!J21,'21.10 KAPEEKA-NGOMA-24h'!J21,'23.10 KAPEEKA-NGOMA'!J21)</f>
        <v>0</v>
      </c>
      <c r="K21" s="49">
        <f>AVERAGE('17.10 KAPEEKA-NGOMA'!K21,'18.10 KAPEEKA-NGOMA'!K21,'20.10 KAPEEKA-NGOMA'!K21,'22.10 KAPEEKA-NGOMA'!K21,'19.10 KAPEEKA-NGOMA 24h'!K21,'21.10 KAPEEKA-NGOMA-24h'!K21,'23.10 KAPEEKA-NGOMA'!K21)</f>
        <v>0</v>
      </c>
      <c r="L21" s="49">
        <f>AVERAGE('17.10 KAPEEKA-NGOMA'!L21,'18.10 KAPEEKA-NGOMA'!L21,'20.10 KAPEEKA-NGOMA'!L21,'22.10 KAPEEKA-NGOMA'!L21,'19.10 KAPEEKA-NGOMA 24h'!L21,'21.10 KAPEEKA-NGOMA-24h'!L21,'23.10 KAPEEKA-NGOMA'!L21)</f>
        <v>0</v>
      </c>
      <c r="M21" s="49">
        <f>AVERAGE('17.10 KAPEEKA-NGOMA'!M21,'18.10 KAPEEKA-NGOMA'!M21,'20.10 KAPEEKA-NGOMA'!M21,'22.10 KAPEEKA-NGOMA'!M21,'19.10 KAPEEKA-NGOMA 24h'!M21,'21.10 KAPEEKA-NGOMA-24h'!M21,'23.10 KAPEEKA-NGOMA'!M21)</f>
        <v>4.7142857142857144</v>
      </c>
      <c r="N21" s="49">
        <f>AVERAGE('17.10 KAPEEKA-NGOMA'!N21,'18.10 KAPEEKA-NGOMA'!N21,'20.10 KAPEEKA-NGOMA'!N21,'22.10 KAPEEKA-NGOMA'!N21,'19.10 KAPEEKA-NGOMA 24h'!N21,'21.10 KAPEEKA-NGOMA-24h'!N21,'23.10 KAPEEKA-NGOMA'!N21)</f>
        <v>0</v>
      </c>
      <c r="O21" s="15">
        <f t="shared" si="0"/>
        <v>1.1428571428571428</v>
      </c>
      <c r="P21" s="15">
        <f t="shared" si="1"/>
        <v>5.8571428571428577</v>
      </c>
      <c r="R21" s="36" t="s">
        <v>20</v>
      </c>
      <c r="S21" s="34">
        <f t="shared" ref="S21:AF21" si="13">SUM(C54:C57)</f>
        <v>2.8571428571428568</v>
      </c>
      <c r="T21" s="17">
        <f t="shared" si="13"/>
        <v>0.2857142857142857</v>
      </c>
      <c r="U21" s="17">
        <f t="shared" si="13"/>
        <v>1.1428571428571428</v>
      </c>
      <c r="V21" s="17">
        <f t="shared" si="13"/>
        <v>3</v>
      </c>
      <c r="W21" s="17">
        <f t="shared" si="13"/>
        <v>0.14285714285714285</v>
      </c>
      <c r="X21" s="17">
        <f t="shared" si="13"/>
        <v>0</v>
      </c>
      <c r="Y21" s="17">
        <f t="shared" si="13"/>
        <v>1.7142857142857142</v>
      </c>
      <c r="Z21" s="17">
        <f t="shared" si="13"/>
        <v>0.14285714285714285</v>
      </c>
      <c r="AA21" s="17">
        <f t="shared" si="13"/>
        <v>0.14285714285714285</v>
      </c>
      <c r="AB21" s="17">
        <f t="shared" si="13"/>
        <v>0</v>
      </c>
      <c r="AC21" s="17">
        <f t="shared" si="13"/>
        <v>16.857142857142858</v>
      </c>
      <c r="AD21" s="17">
        <f t="shared" si="13"/>
        <v>0</v>
      </c>
      <c r="AE21" s="31">
        <f t="shared" si="13"/>
        <v>9.4285714285714288</v>
      </c>
      <c r="AF21" s="31">
        <f t="shared" si="13"/>
        <v>26.285714285714285</v>
      </c>
    </row>
    <row r="22" spans="2:32" ht="23.1" customHeight="1" x14ac:dyDescent="0.25">
      <c r="B22" s="23" t="s">
        <v>49</v>
      </c>
      <c r="C22" s="49">
        <f>AVERAGE('17.10 KAPEEKA-NGOMA'!C22,'18.10 KAPEEKA-NGOMA'!C22,'20.10 KAPEEKA-NGOMA'!C22,'22.10 KAPEEKA-NGOMA'!C22,'19.10 KAPEEKA-NGOMA 24h'!C22,'21.10 KAPEEKA-NGOMA-24h'!C22,'23.10 KAPEEKA-NGOMA'!C22)</f>
        <v>0.5714285714285714</v>
      </c>
      <c r="D22" s="49">
        <f>AVERAGE('17.10 KAPEEKA-NGOMA'!D22,'18.10 KAPEEKA-NGOMA'!D22,'20.10 KAPEEKA-NGOMA'!D22,'22.10 KAPEEKA-NGOMA'!D22,'19.10 KAPEEKA-NGOMA 24h'!D22,'21.10 KAPEEKA-NGOMA-24h'!D22,'23.10 KAPEEKA-NGOMA'!D22)</f>
        <v>0.2857142857142857</v>
      </c>
      <c r="E22" s="49">
        <f>AVERAGE('17.10 KAPEEKA-NGOMA'!E22,'18.10 KAPEEKA-NGOMA'!E22,'20.10 KAPEEKA-NGOMA'!E22,'22.10 KAPEEKA-NGOMA'!E22,'19.10 KAPEEKA-NGOMA 24h'!E22,'21.10 KAPEEKA-NGOMA-24h'!E22,'23.10 KAPEEKA-NGOMA'!E22)</f>
        <v>0.42857142857142855</v>
      </c>
      <c r="F22" s="49">
        <f>AVERAGE('17.10 KAPEEKA-NGOMA'!F22,'18.10 KAPEEKA-NGOMA'!F22,'20.10 KAPEEKA-NGOMA'!F22,'22.10 KAPEEKA-NGOMA'!F22,'19.10 KAPEEKA-NGOMA 24h'!F22,'21.10 KAPEEKA-NGOMA-24h'!F22,'23.10 KAPEEKA-NGOMA'!F22)</f>
        <v>0</v>
      </c>
      <c r="G22" s="49">
        <f>AVERAGE('17.10 KAPEEKA-NGOMA'!G22,'18.10 KAPEEKA-NGOMA'!G22,'20.10 KAPEEKA-NGOMA'!G22,'22.10 KAPEEKA-NGOMA'!G22,'19.10 KAPEEKA-NGOMA 24h'!G22,'21.10 KAPEEKA-NGOMA-24h'!G22,'23.10 KAPEEKA-NGOMA'!G22)</f>
        <v>0</v>
      </c>
      <c r="H22" s="49">
        <f>AVERAGE('17.10 KAPEEKA-NGOMA'!H22,'18.10 KAPEEKA-NGOMA'!H22,'20.10 KAPEEKA-NGOMA'!H22,'22.10 KAPEEKA-NGOMA'!H22,'19.10 KAPEEKA-NGOMA 24h'!H22,'21.10 KAPEEKA-NGOMA-24h'!H22,'23.10 KAPEEKA-NGOMA'!H22)</f>
        <v>0</v>
      </c>
      <c r="I22" s="49">
        <f>AVERAGE('17.10 KAPEEKA-NGOMA'!I22,'18.10 KAPEEKA-NGOMA'!I22,'20.10 KAPEEKA-NGOMA'!I22,'22.10 KAPEEKA-NGOMA'!I22,'19.10 KAPEEKA-NGOMA 24h'!I22,'21.10 KAPEEKA-NGOMA-24h'!I22,'23.10 KAPEEKA-NGOMA'!I22)</f>
        <v>1.1428571428571428</v>
      </c>
      <c r="J22" s="49">
        <f>AVERAGE('17.10 KAPEEKA-NGOMA'!J22,'18.10 KAPEEKA-NGOMA'!J22,'20.10 KAPEEKA-NGOMA'!J22,'22.10 KAPEEKA-NGOMA'!J22,'19.10 KAPEEKA-NGOMA 24h'!J22,'21.10 KAPEEKA-NGOMA-24h'!J22,'23.10 KAPEEKA-NGOMA'!J22)</f>
        <v>0.14285714285714285</v>
      </c>
      <c r="K22" s="49">
        <f>AVERAGE('17.10 KAPEEKA-NGOMA'!K22,'18.10 KAPEEKA-NGOMA'!K22,'20.10 KAPEEKA-NGOMA'!K22,'22.10 KAPEEKA-NGOMA'!K22,'19.10 KAPEEKA-NGOMA 24h'!K22,'21.10 KAPEEKA-NGOMA-24h'!K22,'23.10 KAPEEKA-NGOMA'!K22)</f>
        <v>0</v>
      </c>
      <c r="L22" s="49">
        <f>AVERAGE('17.10 KAPEEKA-NGOMA'!L22,'18.10 KAPEEKA-NGOMA'!L22,'20.10 KAPEEKA-NGOMA'!L22,'22.10 KAPEEKA-NGOMA'!L22,'19.10 KAPEEKA-NGOMA 24h'!L22,'21.10 KAPEEKA-NGOMA-24h'!L22,'23.10 KAPEEKA-NGOMA'!L22)</f>
        <v>0</v>
      </c>
      <c r="M22" s="49">
        <f>AVERAGE('17.10 KAPEEKA-NGOMA'!M22,'18.10 KAPEEKA-NGOMA'!M22,'20.10 KAPEEKA-NGOMA'!M22,'22.10 KAPEEKA-NGOMA'!M22,'19.10 KAPEEKA-NGOMA 24h'!M22,'21.10 KAPEEKA-NGOMA-24h'!M22,'23.10 KAPEEKA-NGOMA'!M22)</f>
        <v>4.5714285714285712</v>
      </c>
      <c r="N22" s="49">
        <f>AVERAGE('17.10 KAPEEKA-NGOMA'!N22,'18.10 KAPEEKA-NGOMA'!N22,'20.10 KAPEEKA-NGOMA'!N22,'22.10 KAPEEKA-NGOMA'!N22,'19.10 KAPEEKA-NGOMA 24h'!N22,'21.10 KAPEEKA-NGOMA-24h'!N22,'23.10 KAPEEKA-NGOMA'!N22)</f>
        <v>0.14285714285714285</v>
      </c>
      <c r="O22" s="15">
        <f t="shared" si="0"/>
        <v>2.714285714285714</v>
      </c>
      <c r="P22" s="15">
        <f t="shared" si="1"/>
        <v>7.2857142857142856</v>
      </c>
      <c r="R22" s="1" t="s">
        <v>146</v>
      </c>
      <c r="S22" s="34">
        <f>SUM(C58:C61)</f>
        <v>2.5</v>
      </c>
      <c r="T22" s="34">
        <f t="shared" ref="T22:AF22" si="14">SUM(D58:D61)</f>
        <v>0.5</v>
      </c>
      <c r="U22" s="34">
        <f t="shared" si="14"/>
        <v>1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3.5</v>
      </c>
      <c r="Z22" s="34">
        <f t="shared" si="14"/>
        <v>1.5</v>
      </c>
      <c r="AA22" s="34">
        <f t="shared" si="14"/>
        <v>0.5</v>
      </c>
      <c r="AB22" s="34">
        <f t="shared" si="14"/>
        <v>0.5</v>
      </c>
      <c r="AC22" s="34">
        <f t="shared" si="14"/>
        <v>20</v>
      </c>
      <c r="AD22" s="34">
        <f t="shared" si="14"/>
        <v>0</v>
      </c>
      <c r="AE22" s="31">
        <f t="shared" si="14"/>
        <v>11</v>
      </c>
      <c r="AF22" s="31">
        <f t="shared" si="14"/>
        <v>31</v>
      </c>
    </row>
    <row r="23" spans="2:32" ht="23.1" customHeight="1" x14ac:dyDescent="0.25">
      <c r="B23" s="23" t="s">
        <v>50</v>
      </c>
      <c r="C23" s="49">
        <f>AVERAGE('17.10 KAPEEKA-NGOMA'!C23,'18.10 KAPEEKA-NGOMA'!C23,'20.10 KAPEEKA-NGOMA'!C23,'22.10 KAPEEKA-NGOMA'!C23,'19.10 KAPEEKA-NGOMA 24h'!C23,'21.10 KAPEEKA-NGOMA-24h'!C23,'23.10 KAPEEKA-NGOMA'!C23)</f>
        <v>0.5714285714285714</v>
      </c>
      <c r="D23" s="49">
        <f>AVERAGE('17.10 KAPEEKA-NGOMA'!D23,'18.10 KAPEEKA-NGOMA'!D23,'20.10 KAPEEKA-NGOMA'!D23,'22.10 KAPEEKA-NGOMA'!D23,'19.10 KAPEEKA-NGOMA 24h'!D23,'21.10 KAPEEKA-NGOMA-24h'!D23,'23.10 KAPEEKA-NGOMA'!D23)</f>
        <v>0.14285714285714285</v>
      </c>
      <c r="E23" s="49">
        <f>AVERAGE('17.10 KAPEEKA-NGOMA'!E23,'18.10 KAPEEKA-NGOMA'!E23,'20.10 KAPEEKA-NGOMA'!E23,'22.10 KAPEEKA-NGOMA'!E23,'19.10 KAPEEKA-NGOMA 24h'!E23,'21.10 KAPEEKA-NGOMA-24h'!E23,'23.10 KAPEEKA-NGOMA'!E23)</f>
        <v>0.5714285714285714</v>
      </c>
      <c r="F23" s="49">
        <f>AVERAGE('17.10 KAPEEKA-NGOMA'!F23,'18.10 KAPEEKA-NGOMA'!F23,'20.10 KAPEEKA-NGOMA'!F23,'22.10 KAPEEKA-NGOMA'!F23,'19.10 KAPEEKA-NGOMA 24h'!F23,'21.10 KAPEEKA-NGOMA-24h'!F23,'23.10 KAPEEKA-NGOMA'!F23)</f>
        <v>0.14285714285714285</v>
      </c>
      <c r="G23" s="49">
        <f>AVERAGE('17.10 KAPEEKA-NGOMA'!G23,'18.10 KAPEEKA-NGOMA'!G23,'20.10 KAPEEKA-NGOMA'!G23,'22.10 KAPEEKA-NGOMA'!G23,'19.10 KAPEEKA-NGOMA 24h'!G23,'21.10 KAPEEKA-NGOMA-24h'!G23,'23.10 KAPEEKA-NGOMA'!G23)</f>
        <v>0</v>
      </c>
      <c r="H23" s="49">
        <f>AVERAGE('17.10 KAPEEKA-NGOMA'!H23,'18.10 KAPEEKA-NGOMA'!H23,'20.10 KAPEEKA-NGOMA'!H23,'22.10 KAPEEKA-NGOMA'!H23,'19.10 KAPEEKA-NGOMA 24h'!H23,'21.10 KAPEEKA-NGOMA-24h'!H23,'23.10 KAPEEKA-NGOMA'!H23)</f>
        <v>0</v>
      </c>
      <c r="I23" s="49">
        <f>AVERAGE('17.10 KAPEEKA-NGOMA'!I23,'18.10 KAPEEKA-NGOMA'!I23,'20.10 KAPEEKA-NGOMA'!I23,'22.10 KAPEEKA-NGOMA'!I23,'19.10 KAPEEKA-NGOMA 24h'!I23,'21.10 KAPEEKA-NGOMA-24h'!I23,'23.10 KAPEEKA-NGOMA'!I23)</f>
        <v>0.8571428571428571</v>
      </c>
      <c r="J23" s="49">
        <f>AVERAGE('17.10 KAPEEKA-NGOMA'!J23,'18.10 KAPEEKA-NGOMA'!J23,'20.10 KAPEEKA-NGOMA'!J23,'22.10 KAPEEKA-NGOMA'!J23,'19.10 KAPEEKA-NGOMA 24h'!J23,'21.10 KAPEEKA-NGOMA-24h'!J23,'23.10 KAPEEKA-NGOMA'!J23)</f>
        <v>0.14285714285714285</v>
      </c>
      <c r="K23" s="49">
        <f>AVERAGE('17.10 KAPEEKA-NGOMA'!K23,'18.10 KAPEEKA-NGOMA'!K23,'20.10 KAPEEKA-NGOMA'!K23,'22.10 KAPEEKA-NGOMA'!K23,'19.10 KAPEEKA-NGOMA 24h'!K23,'21.10 KAPEEKA-NGOMA-24h'!K23,'23.10 KAPEEKA-NGOMA'!K23)</f>
        <v>0</v>
      </c>
      <c r="L23" s="49">
        <f>AVERAGE('17.10 KAPEEKA-NGOMA'!L23,'18.10 KAPEEKA-NGOMA'!L23,'20.10 KAPEEKA-NGOMA'!L23,'22.10 KAPEEKA-NGOMA'!L23,'19.10 KAPEEKA-NGOMA 24h'!L23,'21.10 KAPEEKA-NGOMA-24h'!L23,'23.10 KAPEEKA-NGOMA'!L23)</f>
        <v>0</v>
      </c>
      <c r="M23" s="49">
        <f>AVERAGE('17.10 KAPEEKA-NGOMA'!M23,'18.10 KAPEEKA-NGOMA'!M23,'20.10 KAPEEKA-NGOMA'!M23,'22.10 KAPEEKA-NGOMA'!M23,'19.10 KAPEEKA-NGOMA 24h'!M23,'21.10 KAPEEKA-NGOMA-24h'!M23,'23.10 KAPEEKA-NGOMA'!M23)</f>
        <v>4.1428571428571432</v>
      </c>
      <c r="N23" s="49">
        <f>AVERAGE('17.10 KAPEEKA-NGOMA'!N23,'18.10 KAPEEKA-NGOMA'!N23,'20.10 KAPEEKA-NGOMA'!N23,'22.10 KAPEEKA-NGOMA'!N23,'19.10 KAPEEKA-NGOMA 24h'!N23,'21.10 KAPEEKA-NGOMA-24h'!N23,'23.10 KAPEEKA-NGOMA'!N23)</f>
        <v>0</v>
      </c>
      <c r="O23" s="15">
        <f t="shared" si="0"/>
        <v>2.4285714285714284</v>
      </c>
      <c r="P23" s="15">
        <f t="shared" si="1"/>
        <v>6.5714285714285712</v>
      </c>
      <c r="R23" s="1" t="s">
        <v>147</v>
      </c>
      <c r="S23" s="34">
        <f>SUM(C62:C65)</f>
        <v>2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2.5</v>
      </c>
      <c r="W23" s="34">
        <f t="shared" si="15"/>
        <v>0</v>
      </c>
      <c r="X23" s="34">
        <f t="shared" si="15"/>
        <v>0</v>
      </c>
      <c r="Y23" s="34">
        <f t="shared" si="15"/>
        <v>2.5</v>
      </c>
      <c r="Z23" s="34">
        <f t="shared" si="15"/>
        <v>2.5</v>
      </c>
      <c r="AA23" s="34">
        <f t="shared" si="15"/>
        <v>0</v>
      </c>
      <c r="AB23" s="34">
        <f t="shared" si="15"/>
        <v>0</v>
      </c>
      <c r="AC23" s="34">
        <f t="shared" si="15"/>
        <v>9.5</v>
      </c>
      <c r="AD23" s="34">
        <f t="shared" si="15"/>
        <v>0</v>
      </c>
      <c r="AE23" s="31">
        <f t="shared" si="15"/>
        <v>10.5</v>
      </c>
      <c r="AF23" s="31">
        <f t="shared" si="15"/>
        <v>20</v>
      </c>
    </row>
    <row r="24" spans="2:32" ht="23.1" customHeight="1" x14ac:dyDescent="0.25">
      <c r="B24" s="23" t="s">
        <v>51</v>
      </c>
      <c r="C24" s="49">
        <f>AVERAGE('17.10 KAPEEKA-NGOMA'!C24,'18.10 KAPEEKA-NGOMA'!C24,'20.10 KAPEEKA-NGOMA'!C24,'22.10 KAPEEKA-NGOMA'!C24,'19.10 KAPEEKA-NGOMA 24h'!C24,'21.10 KAPEEKA-NGOMA-24h'!C24,'23.10 KAPEEKA-NGOMA'!C24)</f>
        <v>0.7142857142857143</v>
      </c>
      <c r="D24" s="49">
        <f>AVERAGE('17.10 KAPEEKA-NGOMA'!D24,'18.10 KAPEEKA-NGOMA'!D24,'20.10 KAPEEKA-NGOMA'!D24,'22.10 KAPEEKA-NGOMA'!D24,'19.10 KAPEEKA-NGOMA 24h'!D24,'21.10 KAPEEKA-NGOMA-24h'!D24,'23.10 KAPEEKA-NGOMA'!D24)</f>
        <v>0.2857142857142857</v>
      </c>
      <c r="E24" s="49">
        <f>AVERAGE('17.10 KAPEEKA-NGOMA'!E24,'18.10 KAPEEKA-NGOMA'!E24,'20.10 KAPEEKA-NGOMA'!E24,'22.10 KAPEEKA-NGOMA'!E24,'19.10 KAPEEKA-NGOMA 24h'!E24,'21.10 KAPEEKA-NGOMA-24h'!E24,'23.10 KAPEEKA-NGOMA'!E24)</f>
        <v>0.2857142857142857</v>
      </c>
      <c r="F24" s="49">
        <f>AVERAGE('17.10 KAPEEKA-NGOMA'!F24,'18.10 KAPEEKA-NGOMA'!F24,'20.10 KAPEEKA-NGOMA'!F24,'22.10 KAPEEKA-NGOMA'!F24,'19.10 KAPEEKA-NGOMA 24h'!F24,'21.10 KAPEEKA-NGOMA-24h'!F24,'23.10 KAPEEKA-NGOMA'!F24)</f>
        <v>0.5714285714285714</v>
      </c>
      <c r="G24" s="49">
        <f>AVERAGE('17.10 KAPEEKA-NGOMA'!G24,'18.10 KAPEEKA-NGOMA'!G24,'20.10 KAPEEKA-NGOMA'!G24,'22.10 KAPEEKA-NGOMA'!G24,'19.10 KAPEEKA-NGOMA 24h'!G24,'21.10 KAPEEKA-NGOMA-24h'!G24,'23.10 KAPEEKA-NGOMA'!G24)</f>
        <v>0</v>
      </c>
      <c r="H24" s="49">
        <f>AVERAGE('17.10 KAPEEKA-NGOMA'!H24,'18.10 KAPEEKA-NGOMA'!H24,'20.10 KAPEEKA-NGOMA'!H24,'22.10 KAPEEKA-NGOMA'!H24,'19.10 KAPEEKA-NGOMA 24h'!H24,'21.10 KAPEEKA-NGOMA-24h'!H24,'23.10 KAPEEKA-NGOMA'!H24)</f>
        <v>0</v>
      </c>
      <c r="I24" s="49">
        <f>AVERAGE('17.10 KAPEEKA-NGOMA'!I24,'18.10 KAPEEKA-NGOMA'!I24,'20.10 KAPEEKA-NGOMA'!I24,'22.10 KAPEEKA-NGOMA'!I24,'19.10 KAPEEKA-NGOMA 24h'!I24,'21.10 KAPEEKA-NGOMA-24h'!I24,'23.10 KAPEEKA-NGOMA'!I24)</f>
        <v>0.42857142857142855</v>
      </c>
      <c r="J24" s="49">
        <f>AVERAGE('17.10 KAPEEKA-NGOMA'!J24,'18.10 KAPEEKA-NGOMA'!J24,'20.10 KAPEEKA-NGOMA'!J24,'22.10 KAPEEKA-NGOMA'!J24,'19.10 KAPEEKA-NGOMA 24h'!J24,'21.10 KAPEEKA-NGOMA-24h'!J24,'23.10 KAPEEKA-NGOMA'!J24)</f>
        <v>0</v>
      </c>
      <c r="K24" s="49">
        <f>AVERAGE('17.10 KAPEEKA-NGOMA'!K24,'18.10 KAPEEKA-NGOMA'!K24,'20.10 KAPEEKA-NGOMA'!K24,'22.10 KAPEEKA-NGOMA'!K24,'19.10 KAPEEKA-NGOMA 24h'!K24,'21.10 KAPEEKA-NGOMA-24h'!K24,'23.10 KAPEEKA-NGOMA'!K24)</f>
        <v>0</v>
      </c>
      <c r="L24" s="49">
        <f>AVERAGE('17.10 KAPEEKA-NGOMA'!L24,'18.10 KAPEEKA-NGOMA'!L24,'20.10 KAPEEKA-NGOMA'!L24,'22.10 KAPEEKA-NGOMA'!L24,'19.10 KAPEEKA-NGOMA 24h'!L24,'21.10 KAPEEKA-NGOMA-24h'!L24,'23.10 KAPEEKA-NGOMA'!L24)</f>
        <v>0</v>
      </c>
      <c r="M24" s="49">
        <f>AVERAGE('17.10 KAPEEKA-NGOMA'!M24,'18.10 KAPEEKA-NGOMA'!M24,'20.10 KAPEEKA-NGOMA'!M24,'22.10 KAPEEKA-NGOMA'!M24,'19.10 KAPEEKA-NGOMA 24h'!M24,'21.10 KAPEEKA-NGOMA-24h'!M24,'23.10 KAPEEKA-NGOMA'!M24)</f>
        <v>4.8571428571428568</v>
      </c>
      <c r="N24" s="49">
        <f>AVERAGE('17.10 KAPEEKA-NGOMA'!N24,'18.10 KAPEEKA-NGOMA'!N24,'20.10 KAPEEKA-NGOMA'!N24,'22.10 KAPEEKA-NGOMA'!N24,'19.10 KAPEEKA-NGOMA 24h'!N24,'21.10 KAPEEKA-NGOMA-24h'!N24,'23.10 KAPEEKA-NGOMA'!N24)</f>
        <v>0</v>
      </c>
      <c r="O24" s="15">
        <f t="shared" si="0"/>
        <v>2.2857142857142856</v>
      </c>
      <c r="P24" s="15">
        <f t="shared" si="1"/>
        <v>7.1428571428571423</v>
      </c>
      <c r="R24" s="1" t="s">
        <v>148</v>
      </c>
      <c r="S24" s="34">
        <f>SUM(C66:C69)</f>
        <v>12</v>
      </c>
      <c r="T24" s="34">
        <f t="shared" ref="T24:AF24" si="16">SUM(D66:D69)</f>
        <v>0.5</v>
      </c>
      <c r="U24" s="34">
        <f t="shared" si="16"/>
        <v>0.5</v>
      </c>
      <c r="V24" s="34">
        <f t="shared" si="16"/>
        <v>3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9</v>
      </c>
      <c r="AD24" s="34">
        <f t="shared" si="16"/>
        <v>0</v>
      </c>
      <c r="AE24" s="31">
        <f t="shared" si="16"/>
        <v>20</v>
      </c>
      <c r="AF24" s="31">
        <f t="shared" si="16"/>
        <v>29</v>
      </c>
    </row>
    <row r="25" spans="2:32" ht="23.1" customHeight="1" x14ac:dyDescent="0.25">
      <c r="B25" s="23" t="s">
        <v>52</v>
      </c>
      <c r="C25" s="49">
        <f>AVERAGE('17.10 KAPEEKA-NGOMA'!C25,'18.10 KAPEEKA-NGOMA'!C25,'20.10 KAPEEKA-NGOMA'!C25,'22.10 KAPEEKA-NGOMA'!C25,'19.10 KAPEEKA-NGOMA 24h'!C25,'21.10 KAPEEKA-NGOMA-24h'!C25,'23.10 KAPEEKA-NGOMA'!C25)</f>
        <v>0.8571428571428571</v>
      </c>
      <c r="D25" s="49">
        <f>AVERAGE('17.10 KAPEEKA-NGOMA'!D25,'18.10 KAPEEKA-NGOMA'!D25,'20.10 KAPEEKA-NGOMA'!D25,'22.10 KAPEEKA-NGOMA'!D25,'19.10 KAPEEKA-NGOMA 24h'!D25,'21.10 KAPEEKA-NGOMA-24h'!D25,'23.10 KAPEEKA-NGOMA'!D25)</f>
        <v>0</v>
      </c>
      <c r="E25" s="49">
        <f>AVERAGE('17.10 KAPEEKA-NGOMA'!E25,'18.10 KAPEEKA-NGOMA'!E25,'20.10 KAPEEKA-NGOMA'!E25,'22.10 KAPEEKA-NGOMA'!E25,'19.10 KAPEEKA-NGOMA 24h'!E25,'21.10 KAPEEKA-NGOMA-24h'!E25,'23.10 KAPEEKA-NGOMA'!E25)</f>
        <v>0.14285714285714285</v>
      </c>
      <c r="F25" s="49">
        <f>AVERAGE('17.10 KAPEEKA-NGOMA'!F25,'18.10 KAPEEKA-NGOMA'!F25,'20.10 KAPEEKA-NGOMA'!F25,'22.10 KAPEEKA-NGOMA'!F25,'19.10 KAPEEKA-NGOMA 24h'!F25,'21.10 KAPEEKA-NGOMA-24h'!F25,'23.10 KAPEEKA-NGOMA'!F25)</f>
        <v>0.14285714285714285</v>
      </c>
      <c r="G25" s="49">
        <f>AVERAGE('17.10 KAPEEKA-NGOMA'!G25,'18.10 KAPEEKA-NGOMA'!G25,'20.10 KAPEEKA-NGOMA'!G25,'22.10 KAPEEKA-NGOMA'!G25,'19.10 KAPEEKA-NGOMA 24h'!G25,'21.10 KAPEEKA-NGOMA-24h'!G25,'23.10 KAPEEKA-NGOMA'!G25)</f>
        <v>0</v>
      </c>
      <c r="H25" s="49">
        <f>AVERAGE('17.10 KAPEEKA-NGOMA'!H25,'18.10 KAPEEKA-NGOMA'!H25,'20.10 KAPEEKA-NGOMA'!H25,'22.10 KAPEEKA-NGOMA'!H25,'19.10 KAPEEKA-NGOMA 24h'!H25,'21.10 KAPEEKA-NGOMA-24h'!H25,'23.10 KAPEEKA-NGOMA'!H25)</f>
        <v>0</v>
      </c>
      <c r="I25" s="49">
        <f>AVERAGE('17.10 KAPEEKA-NGOMA'!I25,'18.10 KAPEEKA-NGOMA'!I25,'20.10 KAPEEKA-NGOMA'!I25,'22.10 KAPEEKA-NGOMA'!I25,'19.10 KAPEEKA-NGOMA 24h'!I25,'21.10 KAPEEKA-NGOMA-24h'!I25,'23.10 KAPEEKA-NGOMA'!I25)</f>
        <v>0.7142857142857143</v>
      </c>
      <c r="J25" s="49">
        <f>AVERAGE('17.10 KAPEEKA-NGOMA'!J25,'18.10 KAPEEKA-NGOMA'!J25,'20.10 KAPEEKA-NGOMA'!J25,'22.10 KAPEEKA-NGOMA'!J25,'19.10 KAPEEKA-NGOMA 24h'!J25,'21.10 KAPEEKA-NGOMA-24h'!J25,'23.10 KAPEEKA-NGOMA'!J25)</f>
        <v>0.14285714285714285</v>
      </c>
      <c r="K25" s="49">
        <f>AVERAGE('17.10 KAPEEKA-NGOMA'!K25,'18.10 KAPEEKA-NGOMA'!K25,'20.10 KAPEEKA-NGOMA'!K25,'22.10 KAPEEKA-NGOMA'!K25,'19.10 KAPEEKA-NGOMA 24h'!K25,'21.10 KAPEEKA-NGOMA-24h'!K25,'23.10 KAPEEKA-NGOMA'!K25)</f>
        <v>0</v>
      </c>
      <c r="L25" s="49">
        <f>AVERAGE('17.10 KAPEEKA-NGOMA'!L25,'18.10 KAPEEKA-NGOMA'!L25,'20.10 KAPEEKA-NGOMA'!L25,'22.10 KAPEEKA-NGOMA'!L25,'19.10 KAPEEKA-NGOMA 24h'!L25,'21.10 KAPEEKA-NGOMA-24h'!L25,'23.10 KAPEEKA-NGOMA'!L25)</f>
        <v>0</v>
      </c>
      <c r="M25" s="49">
        <f>AVERAGE('17.10 KAPEEKA-NGOMA'!M25,'18.10 KAPEEKA-NGOMA'!M25,'20.10 KAPEEKA-NGOMA'!M25,'22.10 KAPEEKA-NGOMA'!M25,'19.10 KAPEEKA-NGOMA 24h'!M25,'21.10 KAPEEKA-NGOMA-24h'!M25,'23.10 KAPEEKA-NGOMA'!M25)</f>
        <v>5.8571428571428568</v>
      </c>
      <c r="N25" s="49">
        <f>AVERAGE('17.10 KAPEEKA-NGOMA'!N25,'18.10 KAPEEKA-NGOMA'!N25,'20.10 KAPEEKA-NGOMA'!N25,'22.10 KAPEEKA-NGOMA'!N25,'19.10 KAPEEKA-NGOMA 24h'!N25,'21.10 KAPEEKA-NGOMA-24h'!N25,'23.10 KAPEEKA-NGOMA'!N25)</f>
        <v>0.14285714285714285</v>
      </c>
      <c r="O25" s="15">
        <f t="shared" si="0"/>
        <v>2.1428571428571428</v>
      </c>
      <c r="P25" s="15">
        <f t="shared" si="1"/>
        <v>8</v>
      </c>
      <c r="R25" s="1" t="s">
        <v>149</v>
      </c>
      <c r="S25" s="34">
        <f>SUM(C70:C73)</f>
        <v>0.5</v>
      </c>
      <c r="T25" s="34">
        <f t="shared" ref="T25:AF25" si="17">SUM(D70:D73)</f>
        <v>0.5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1</v>
      </c>
      <c r="AA25" s="34">
        <f t="shared" si="17"/>
        <v>0.5</v>
      </c>
      <c r="AB25" s="34">
        <f t="shared" si="17"/>
        <v>0</v>
      </c>
      <c r="AC25" s="34">
        <f t="shared" si="17"/>
        <v>5</v>
      </c>
      <c r="AD25" s="34">
        <f t="shared" si="17"/>
        <v>0</v>
      </c>
      <c r="AE25" s="31">
        <f t="shared" si="17"/>
        <v>5.5</v>
      </c>
      <c r="AF25" s="31">
        <f t="shared" si="17"/>
        <v>10.5</v>
      </c>
    </row>
    <row r="26" spans="2:32" ht="23.1" customHeight="1" x14ac:dyDescent="0.25">
      <c r="B26" s="23" t="s">
        <v>53</v>
      </c>
      <c r="C26" s="49">
        <f>AVERAGE('17.10 KAPEEKA-NGOMA'!C26,'18.10 KAPEEKA-NGOMA'!C26,'20.10 KAPEEKA-NGOMA'!C26,'22.10 KAPEEKA-NGOMA'!C26,'19.10 KAPEEKA-NGOMA 24h'!C26,'21.10 KAPEEKA-NGOMA-24h'!C26,'23.10 KAPEEKA-NGOMA'!C26)</f>
        <v>0.2857142857142857</v>
      </c>
      <c r="D26" s="49">
        <f>AVERAGE('17.10 KAPEEKA-NGOMA'!D26,'18.10 KAPEEKA-NGOMA'!D26,'20.10 KAPEEKA-NGOMA'!D26,'22.10 KAPEEKA-NGOMA'!D26,'19.10 KAPEEKA-NGOMA 24h'!D26,'21.10 KAPEEKA-NGOMA-24h'!D26,'23.10 KAPEEKA-NGOMA'!D26)</f>
        <v>0</v>
      </c>
      <c r="E26" s="49">
        <f>AVERAGE('17.10 KAPEEKA-NGOMA'!E26,'18.10 KAPEEKA-NGOMA'!E26,'20.10 KAPEEKA-NGOMA'!E26,'22.10 KAPEEKA-NGOMA'!E26,'19.10 KAPEEKA-NGOMA 24h'!E26,'21.10 KAPEEKA-NGOMA-24h'!E26,'23.10 KAPEEKA-NGOMA'!E26)</f>
        <v>0.5714285714285714</v>
      </c>
      <c r="F26" s="49">
        <f>AVERAGE('17.10 KAPEEKA-NGOMA'!F26,'18.10 KAPEEKA-NGOMA'!F26,'20.10 KAPEEKA-NGOMA'!F26,'22.10 KAPEEKA-NGOMA'!F26,'19.10 KAPEEKA-NGOMA 24h'!F26,'21.10 KAPEEKA-NGOMA-24h'!F26,'23.10 KAPEEKA-NGOMA'!F26)</f>
        <v>0.42857142857142855</v>
      </c>
      <c r="G26" s="49">
        <f>AVERAGE('17.10 KAPEEKA-NGOMA'!G26,'18.10 KAPEEKA-NGOMA'!G26,'20.10 KAPEEKA-NGOMA'!G26,'22.10 KAPEEKA-NGOMA'!G26,'19.10 KAPEEKA-NGOMA 24h'!G26,'21.10 KAPEEKA-NGOMA-24h'!G26,'23.10 KAPEEKA-NGOMA'!G26)</f>
        <v>0</v>
      </c>
      <c r="H26" s="49">
        <f>AVERAGE('17.10 KAPEEKA-NGOMA'!H26,'18.10 KAPEEKA-NGOMA'!H26,'20.10 KAPEEKA-NGOMA'!H26,'22.10 KAPEEKA-NGOMA'!H26,'19.10 KAPEEKA-NGOMA 24h'!H26,'21.10 KAPEEKA-NGOMA-24h'!H26,'23.10 KAPEEKA-NGOMA'!H26)</f>
        <v>0</v>
      </c>
      <c r="I26" s="49">
        <f>AVERAGE('17.10 KAPEEKA-NGOMA'!I26,'18.10 KAPEEKA-NGOMA'!I26,'20.10 KAPEEKA-NGOMA'!I26,'22.10 KAPEEKA-NGOMA'!I26,'19.10 KAPEEKA-NGOMA 24h'!I26,'21.10 KAPEEKA-NGOMA-24h'!I26,'23.10 KAPEEKA-NGOMA'!I26)</f>
        <v>0.7142857142857143</v>
      </c>
      <c r="J26" s="49">
        <f>AVERAGE('17.10 KAPEEKA-NGOMA'!J26,'18.10 KAPEEKA-NGOMA'!J26,'20.10 KAPEEKA-NGOMA'!J26,'22.10 KAPEEKA-NGOMA'!J26,'19.10 KAPEEKA-NGOMA 24h'!J26,'21.10 KAPEEKA-NGOMA-24h'!J26,'23.10 KAPEEKA-NGOMA'!J26)</f>
        <v>0.2857142857142857</v>
      </c>
      <c r="K26" s="49">
        <f>AVERAGE('17.10 KAPEEKA-NGOMA'!K26,'18.10 KAPEEKA-NGOMA'!K26,'20.10 KAPEEKA-NGOMA'!K26,'22.10 KAPEEKA-NGOMA'!K26,'19.10 KAPEEKA-NGOMA 24h'!K26,'21.10 KAPEEKA-NGOMA-24h'!K26,'23.10 KAPEEKA-NGOMA'!K26)</f>
        <v>0</v>
      </c>
      <c r="L26" s="49">
        <f>AVERAGE('17.10 KAPEEKA-NGOMA'!L26,'18.10 KAPEEKA-NGOMA'!L26,'20.10 KAPEEKA-NGOMA'!L26,'22.10 KAPEEKA-NGOMA'!L26,'19.10 KAPEEKA-NGOMA 24h'!L26,'21.10 KAPEEKA-NGOMA-24h'!L26,'23.10 KAPEEKA-NGOMA'!L26)</f>
        <v>0.14285714285714285</v>
      </c>
      <c r="M26" s="49">
        <f>AVERAGE('17.10 KAPEEKA-NGOMA'!M26,'18.10 KAPEEKA-NGOMA'!M26,'20.10 KAPEEKA-NGOMA'!M26,'22.10 KAPEEKA-NGOMA'!M26,'19.10 KAPEEKA-NGOMA 24h'!M26,'21.10 KAPEEKA-NGOMA-24h'!M26,'23.10 KAPEEKA-NGOMA'!M26)</f>
        <v>6</v>
      </c>
      <c r="N26" s="49">
        <f>AVERAGE('17.10 KAPEEKA-NGOMA'!N26,'18.10 KAPEEKA-NGOMA'!N26,'20.10 KAPEEKA-NGOMA'!N26,'22.10 KAPEEKA-NGOMA'!N26,'19.10 KAPEEKA-NGOMA 24h'!N26,'21.10 KAPEEKA-NGOMA-24h'!N26,'23.10 KAPEEKA-NGOMA'!N26)</f>
        <v>0</v>
      </c>
      <c r="O26" s="15">
        <f t="shared" si="0"/>
        <v>2.4285714285714284</v>
      </c>
      <c r="P26" s="15">
        <f t="shared" si="1"/>
        <v>8.4285714285714288</v>
      </c>
      <c r="R26" s="1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1.5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0.5</v>
      </c>
      <c r="AD26" s="34">
        <f t="shared" si="18"/>
        <v>0</v>
      </c>
      <c r="AE26" s="31">
        <f t="shared" si="18"/>
        <v>2.5</v>
      </c>
      <c r="AF26" s="31">
        <f t="shared" si="18"/>
        <v>3</v>
      </c>
    </row>
    <row r="27" spans="2:32" ht="23.1" customHeight="1" x14ac:dyDescent="0.25">
      <c r="B27" s="23" t="s">
        <v>54</v>
      </c>
      <c r="C27" s="49">
        <f>AVERAGE('17.10 KAPEEKA-NGOMA'!C27,'18.10 KAPEEKA-NGOMA'!C27,'20.10 KAPEEKA-NGOMA'!C27,'22.10 KAPEEKA-NGOMA'!C27,'19.10 KAPEEKA-NGOMA 24h'!C27,'21.10 KAPEEKA-NGOMA-24h'!C27,'23.10 KAPEEKA-NGOMA'!C27)</f>
        <v>0.42857142857142855</v>
      </c>
      <c r="D27" s="49">
        <f>AVERAGE('17.10 KAPEEKA-NGOMA'!D27,'18.10 KAPEEKA-NGOMA'!D27,'20.10 KAPEEKA-NGOMA'!D27,'22.10 KAPEEKA-NGOMA'!D27,'19.10 KAPEEKA-NGOMA 24h'!D27,'21.10 KAPEEKA-NGOMA-24h'!D27,'23.10 KAPEEKA-NGOMA'!D27)</f>
        <v>0</v>
      </c>
      <c r="E27" s="49">
        <f>AVERAGE('17.10 KAPEEKA-NGOMA'!E27,'18.10 KAPEEKA-NGOMA'!E27,'20.10 KAPEEKA-NGOMA'!E27,'22.10 KAPEEKA-NGOMA'!E27,'19.10 KAPEEKA-NGOMA 24h'!E27,'21.10 KAPEEKA-NGOMA-24h'!E27,'23.10 KAPEEKA-NGOMA'!E27)</f>
        <v>0.5714285714285714</v>
      </c>
      <c r="F27" s="49">
        <f>AVERAGE('17.10 KAPEEKA-NGOMA'!F27,'18.10 KAPEEKA-NGOMA'!F27,'20.10 KAPEEKA-NGOMA'!F27,'22.10 KAPEEKA-NGOMA'!F27,'19.10 KAPEEKA-NGOMA 24h'!F27,'21.10 KAPEEKA-NGOMA-24h'!F27,'23.10 KAPEEKA-NGOMA'!F27)</f>
        <v>0.2857142857142857</v>
      </c>
      <c r="G27" s="49">
        <f>AVERAGE('17.10 KAPEEKA-NGOMA'!G27,'18.10 KAPEEKA-NGOMA'!G27,'20.10 KAPEEKA-NGOMA'!G27,'22.10 KAPEEKA-NGOMA'!G27,'19.10 KAPEEKA-NGOMA 24h'!G27,'21.10 KAPEEKA-NGOMA-24h'!G27,'23.10 KAPEEKA-NGOMA'!G27)</f>
        <v>0</v>
      </c>
      <c r="H27" s="49">
        <f>AVERAGE('17.10 KAPEEKA-NGOMA'!H27,'18.10 KAPEEKA-NGOMA'!H27,'20.10 KAPEEKA-NGOMA'!H27,'22.10 KAPEEKA-NGOMA'!H27,'19.10 KAPEEKA-NGOMA 24h'!H27,'21.10 KAPEEKA-NGOMA-24h'!H27,'23.10 KAPEEKA-NGOMA'!H27)</f>
        <v>0</v>
      </c>
      <c r="I27" s="49">
        <f>AVERAGE('17.10 KAPEEKA-NGOMA'!I27,'18.10 KAPEEKA-NGOMA'!I27,'20.10 KAPEEKA-NGOMA'!I27,'22.10 KAPEEKA-NGOMA'!I27,'19.10 KAPEEKA-NGOMA 24h'!I27,'21.10 KAPEEKA-NGOMA-24h'!I27,'23.10 KAPEEKA-NGOMA'!I27)</f>
        <v>0.5714285714285714</v>
      </c>
      <c r="J27" s="49">
        <f>AVERAGE('17.10 KAPEEKA-NGOMA'!J27,'18.10 KAPEEKA-NGOMA'!J27,'20.10 KAPEEKA-NGOMA'!J27,'22.10 KAPEEKA-NGOMA'!J27,'19.10 KAPEEKA-NGOMA 24h'!J27,'21.10 KAPEEKA-NGOMA-24h'!J27,'23.10 KAPEEKA-NGOMA'!J27)</f>
        <v>0.2857142857142857</v>
      </c>
      <c r="K27" s="49">
        <f>AVERAGE('17.10 KAPEEKA-NGOMA'!K27,'18.10 KAPEEKA-NGOMA'!K27,'20.10 KAPEEKA-NGOMA'!K27,'22.10 KAPEEKA-NGOMA'!K27,'19.10 KAPEEKA-NGOMA 24h'!K27,'21.10 KAPEEKA-NGOMA-24h'!K27,'23.10 KAPEEKA-NGOMA'!K27)</f>
        <v>0</v>
      </c>
      <c r="L27" s="49">
        <f>AVERAGE('17.10 KAPEEKA-NGOMA'!L27,'18.10 KAPEEKA-NGOMA'!L27,'20.10 KAPEEKA-NGOMA'!L27,'22.10 KAPEEKA-NGOMA'!L27,'19.10 KAPEEKA-NGOMA 24h'!L27,'21.10 KAPEEKA-NGOMA-24h'!L27,'23.10 KAPEEKA-NGOMA'!L27)</f>
        <v>0</v>
      </c>
      <c r="M27" s="49">
        <f>AVERAGE('17.10 KAPEEKA-NGOMA'!M27,'18.10 KAPEEKA-NGOMA'!M27,'20.10 KAPEEKA-NGOMA'!M27,'22.10 KAPEEKA-NGOMA'!M27,'19.10 KAPEEKA-NGOMA 24h'!M27,'21.10 KAPEEKA-NGOMA-24h'!M27,'23.10 KAPEEKA-NGOMA'!M27)</f>
        <v>4.2857142857142856</v>
      </c>
      <c r="N27" s="49">
        <f>AVERAGE('17.10 KAPEEKA-NGOMA'!N27,'18.10 KAPEEKA-NGOMA'!N27,'20.10 KAPEEKA-NGOMA'!N27,'22.10 KAPEEKA-NGOMA'!N27,'19.10 KAPEEKA-NGOMA 24h'!N27,'21.10 KAPEEKA-NGOMA-24h'!N27,'23.10 KAPEEKA-NGOMA'!N27)</f>
        <v>0</v>
      </c>
      <c r="O27" s="15">
        <f t="shared" si="0"/>
        <v>2.1428571428571428</v>
      </c>
      <c r="P27" s="15">
        <f t="shared" si="1"/>
        <v>6.4285714285714288</v>
      </c>
      <c r="R27" s="1" t="s">
        <v>151</v>
      </c>
      <c r="S27" s="34">
        <f>SUM(C78:C81)</f>
        <v>0.5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1.5</v>
      </c>
      <c r="AA27" s="34">
        <f t="shared" si="19"/>
        <v>0</v>
      </c>
      <c r="AB27" s="34">
        <f t="shared" si="19"/>
        <v>0</v>
      </c>
      <c r="AC27" s="34">
        <f t="shared" si="19"/>
        <v>1</v>
      </c>
      <c r="AD27" s="34">
        <f t="shared" si="19"/>
        <v>0</v>
      </c>
      <c r="AE27" s="31">
        <f t="shared" si="19"/>
        <v>2</v>
      </c>
      <c r="AF27" s="31">
        <f t="shared" si="19"/>
        <v>3</v>
      </c>
    </row>
    <row r="28" spans="2:32" ht="23.1" customHeight="1" x14ac:dyDescent="0.25">
      <c r="B28" s="23" t="s">
        <v>55</v>
      </c>
      <c r="C28" s="49">
        <f>AVERAGE('17.10 KAPEEKA-NGOMA'!C28,'18.10 KAPEEKA-NGOMA'!C28,'20.10 KAPEEKA-NGOMA'!C28,'22.10 KAPEEKA-NGOMA'!C28,'19.10 KAPEEKA-NGOMA 24h'!C28,'21.10 KAPEEKA-NGOMA-24h'!C28,'23.10 KAPEEKA-NGOMA'!C28)</f>
        <v>0.5714285714285714</v>
      </c>
      <c r="D28" s="49">
        <f>AVERAGE('17.10 KAPEEKA-NGOMA'!D28,'18.10 KAPEEKA-NGOMA'!D28,'20.10 KAPEEKA-NGOMA'!D28,'22.10 KAPEEKA-NGOMA'!D28,'19.10 KAPEEKA-NGOMA 24h'!D28,'21.10 KAPEEKA-NGOMA-24h'!D28,'23.10 KAPEEKA-NGOMA'!D28)</f>
        <v>0.2857142857142857</v>
      </c>
      <c r="E28" s="49">
        <f>AVERAGE('17.10 KAPEEKA-NGOMA'!E28,'18.10 KAPEEKA-NGOMA'!E28,'20.10 KAPEEKA-NGOMA'!E28,'22.10 KAPEEKA-NGOMA'!E28,'19.10 KAPEEKA-NGOMA 24h'!E28,'21.10 KAPEEKA-NGOMA-24h'!E28,'23.10 KAPEEKA-NGOMA'!E28)</f>
        <v>0.2857142857142857</v>
      </c>
      <c r="F28" s="49">
        <f>AVERAGE('17.10 KAPEEKA-NGOMA'!F28,'18.10 KAPEEKA-NGOMA'!F28,'20.10 KAPEEKA-NGOMA'!F28,'22.10 KAPEEKA-NGOMA'!F28,'19.10 KAPEEKA-NGOMA 24h'!F28,'21.10 KAPEEKA-NGOMA-24h'!F28,'23.10 KAPEEKA-NGOMA'!F28)</f>
        <v>0.14285714285714285</v>
      </c>
      <c r="G28" s="49">
        <f>AVERAGE('17.10 KAPEEKA-NGOMA'!G28,'18.10 KAPEEKA-NGOMA'!G28,'20.10 KAPEEKA-NGOMA'!G28,'22.10 KAPEEKA-NGOMA'!G28,'19.10 KAPEEKA-NGOMA 24h'!G28,'21.10 KAPEEKA-NGOMA-24h'!G28,'23.10 KAPEEKA-NGOMA'!G28)</f>
        <v>0</v>
      </c>
      <c r="H28" s="49">
        <f>AVERAGE('17.10 KAPEEKA-NGOMA'!H28,'18.10 KAPEEKA-NGOMA'!H28,'20.10 KAPEEKA-NGOMA'!H28,'22.10 KAPEEKA-NGOMA'!H28,'19.10 KAPEEKA-NGOMA 24h'!H28,'21.10 KAPEEKA-NGOMA-24h'!H28,'23.10 KAPEEKA-NGOMA'!H28)</f>
        <v>0</v>
      </c>
      <c r="I28" s="49">
        <f>AVERAGE('17.10 KAPEEKA-NGOMA'!I28,'18.10 KAPEEKA-NGOMA'!I28,'20.10 KAPEEKA-NGOMA'!I28,'22.10 KAPEEKA-NGOMA'!I28,'19.10 KAPEEKA-NGOMA 24h'!I28,'21.10 KAPEEKA-NGOMA-24h'!I28,'23.10 KAPEEKA-NGOMA'!I28)</f>
        <v>1.4285714285714286</v>
      </c>
      <c r="J28" s="49">
        <f>AVERAGE('17.10 KAPEEKA-NGOMA'!J28,'18.10 KAPEEKA-NGOMA'!J28,'20.10 KAPEEKA-NGOMA'!J28,'22.10 KAPEEKA-NGOMA'!J28,'19.10 KAPEEKA-NGOMA 24h'!J28,'21.10 KAPEEKA-NGOMA-24h'!J28,'23.10 KAPEEKA-NGOMA'!J28)</f>
        <v>0.14285714285714285</v>
      </c>
      <c r="K28" s="49">
        <f>AVERAGE('17.10 KAPEEKA-NGOMA'!K28,'18.10 KAPEEKA-NGOMA'!K28,'20.10 KAPEEKA-NGOMA'!K28,'22.10 KAPEEKA-NGOMA'!K28,'19.10 KAPEEKA-NGOMA 24h'!K28,'21.10 KAPEEKA-NGOMA-24h'!K28,'23.10 KAPEEKA-NGOMA'!K28)</f>
        <v>0</v>
      </c>
      <c r="L28" s="49">
        <f>AVERAGE('17.10 KAPEEKA-NGOMA'!L28,'18.10 KAPEEKA-NGOMA'!L28,'20.10 KAPEEKA-NGOMA'!L28,'22.10 KAPEEKA-NGOMA'!L28,'19.10 KAPEEKA-NGOMA 24h'!L28,'21.10 KAPEEKA-NGOMA-24h'!L28,'23.10 KAPEEKA-NGOMA'!L28)</f>
        <v>0</v>
      </c>
      <c r="M28" s="49">
        <f>AVERAGE('17.10 KAPEEKA-NGOMA'!M28,'18.10 KAPEEKA-NGOMA'!M28,'20.10 KAPEEKA-NGOMA'!M28,'22.10 KAPEEKA-NGOMA'!M28,'19.10 KAPEEKA-NGOMA 24h'!M28,'21.10 KAPEEKA-NGOMA-24h'!M28,'23.10 KAPEEKA-NGOMA'!M28)</f>
        <v>4.4285714285714288</v>
      </c>
      <c r="N28" s="49">
        <f>AVERAGE('17.10 KAPEEKA-NGOMA'!N28,'18.10 KAPEEKA-NGOMA'!N28,'20.10 KAPEEKA-NGOMA'!N28,'22.10 KAPEEKA-NGOMA'!N28,'19.10 KAPEEKA-NGOMA 24h'!N28,'21.10 KAPEEKA-NGOMA-24h'!N28,'23.10 KAPEEKA-NGOMA'!N28)</f>
        <v>0</v>
      </c>
      <c r="O28" s="15">
        <f t="shared" si="0"/>
        <v>2.8571428571428572</v>
      </c>
      <c r="P28" s="15">
        <f t="shared" si="1"/>
        <v>7.2857142857142865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2</v>
      </c>
      <c r="AF28" s="31">
        <f t="shared" si="20"/>
        <v>2</v>
      </c>
    </row>
    <row r="29" spans="2:32" ht="23.1" customHeight="1" x14ac:dyDescent="0.25">
      <c r="B29" s="23" t="s">
        <v>56</v>
      </c>
      <c r="C29" s="49">
        <f>AVERAGE('17.10 KAPEEKA-NGOMA'!C29,'18.10 KAPEEKA-NGOMA'!C29,'20.10 KAPEEKA-NGOMA'!C29,'22.10 KAPEEKA-NGOMA'!C29,'19.10 KAPEEKA-NGOMA 24h'!C29,'21.10 KAPEEKA-NGOMA-24h'!C29,'23.10 KAPEEKA-NGOMA'!C29)</f>
        <v>1.1428571428571428</v>
      </c>
      <c r="D29" s="49">
        <f>AVERAGE('17.10 KAPEEKA-NGOMA'!D29,'18.10 KAPEEKA-NGOMA'!D29,'20.10 KAPEEKA-NGOMA'!D29,'22.10 KAPEEKA-NGOMA'!D29,'19.10 KAPEEKA-NGOMA 24h'!D29,'21.10 KAPEEKA-NGOMA-24h'!D29,'23.10 KAPEEKA-NGOMA'!D29)</f>
        <v>0.42857142857142855</v>
      </c>
      <c r="E29" s="49">
        <f>AVERAGE('17.10 KAPEEKA-NGOMA'!E29,'18.10 KAPEEKA-NGOMA'!E29,'20.10 KAPEEKA-NGOMA'!E29,'22.10 KAPEEKA-NGOMA'!E29,'19.10 KAPEEKA-NGOMA 24h'!E29,'21.10 KAPEEKA-NGOMA-24h'!E29,'23.10 KAPEEKA-NGOMA'!E29)</f>
        <v>0.14285714285714285</v>
      </c>
      <c r="F29" s="49">
        <f>AVERAGE('17.10 KAPEEKA-NGOMA'!F29,'18.10 KAPEEKA-NGOMA'!F29,'20.10 KAPEEKA-NGOMA'!F29,'22.10 KAPEEKA-NGOMA'!F29,'19.10 KAPEEKA-NGOMA 24h'!F29,'21.10 KAPEEKA-NGOMA-24h'!F29,'23.10 KAPEEKA-NGOMA'!F29)</f>
        <v>0.42857142857142855</v>
      </c>
      <c r="G29" s="49">
        <f>AVERAGE('17.10 KAPEEKA-NGOMA'!G29,'18.10 KAPEEKA-NGOMA'!G29,'20.10 KAPEEKA-NGOMA'!G29,'22.10 KAPEEKA-NGOMA'!G29,'19.10 KAPEEKA-NGOMA 24h'!G29,'21.10 KAPEEKA-NGOMA-24h'!G29,'23.10 KAPEEKA-NGOMA'!G29)</f>
        <v>0</v>
      </c>
      <c r="H29" s="49">
        <f>AVERAGE('17.10 KAPEEKA-NGOMA'!H29,'18.10 KAPEEKA-NGOMA'!H29,'20.10 KAPEEKA-NGOMA'!H29,'22.10 KAPEEKA-NGOMA'!H29,'19.10 KAPEEKA-NGOMA 24h'!H29,'21.10 KAPEEKA-NGOMA-24h'!H29,'23.10 KAPEEKA-NGOMA'!H29)</f>
        <v>0</v>
      </c>
      <c r="I29" s="49">
        <f>AVERAGE('17.10 KAPEEKA-NGOMA'!I29,'18.10 KAPEEKA-NGOMA'!I29,'20.10 KAPEEKA-NGOMA'!I29,'22.10 KAPEEKA-NGOMA'!I29,'19.10 KAPEEKA-NGOMA 24h'!I29,'21.10 KAPEEKA-NGOMA-24h'!I29,'23.10 KAPEEKA-NGOMA'!I29)</f>
        <v>0.2857142857142857</v>
      </c>
      <c r="J29" s="49">
        <f>AVERAGE('17.10 KAPEEKA-NGOMA'!J29,'18.10 KAPEEKA-NGOMA'!J29,'20.10 KAPEEKA-NGOMA'!J29,'22.10 KAPEEKA-NGOMA'!J29,'19.10 KAPEEKA-NGOMA 24h'!J29,'21.10 KAPEEKA-NGOMA-24h'!J29,'23.10 KAPEEKA-NGOMA'!J29)</f>
        <v>0.2857142857142857</v>
      </c>
      <c r="K29" s="49">
        <f>AVERAGE('17.10 KAPEEKA-NGOMA'!K29,'18.10 KAPEEKA-NGOMA'!K29,'20.10 KAPEEKA-NGOMA'!K29,'22.10 KAPEEKA-NGOMA'!K29,'19.10 KAPEEKA-NGOMA 24h'!K29,'21.10 KAPEEKA-NGOMA-24h'!K29,'23.10 KAPEEKA-NGOMA'!K29)</f>
        <v>0</v>
      </c>
      <c r="L29" s="49">
        <f>AVERAGE('17.10 KAPEEKA-NGOMA'!L29,'18.10 KAPEEKA-NGOMA'!L29,'20.10 KAPEEKA-NGOMA'!L29,'22.10 KAPEEKA-NGOMA'!L29,'19.10 KAPEEKA-NGOMA 24h'!L29,'21.10 KAPEEKA-NGOMA-24h'!L29,'23.10 KAPEEKA-NGOMA'!L29)</f>
        <v>0</v>
      </c>
      <c r="M29" s="49">
        <f>AVERAGE('17.10 KAPEEKA-NGOMA'!M29,'18.10 KAPEEKA-NGOMA'!M29,'20.10 KAPEEKA-NGOMA'!M29,'22.10 KAPEEKA-NGOMA'!M29,'19.10 KAPEEKA-NGOMA 24h'!M29,'21.10 KAPEEKA-NGOMA-24h'!M29,'23.10 KAPEEKA-NGOMA'!M29)</f>
        <v>5</v>
      </c>
      <c r="N29" s="49">
        <f>AVERAGE('17.10 KAPEEKA-NGOMA'!N29,'18.10 KAPEEKA-NGOMA'!N29,'20.10 KAPEEKA-NGOMA'!N29,'22.10 KAPEEKA-NGOMA'!N29,'19.10 KAPEEKA-NGOMA 24h'!N29,'21.10 KAPEEKA-NGOMA-24h'!N29,'23.10 KAPEEKA-NGOMA'!N29)</f>
        <v>0</v>
      </c>
      <c r="O29" s="15">
        <f t="shared" si="0"/>
        <v>2.714285714285714</v>
      </c>
      <c r="P29" s="15">
        <f t="shared" si="1"/>
        <v>7.7142857142857135</v>
      </c>
      <c r="R29" s="1" t="s">
        <v>153</v>
      </c>
      <c r="S29" s="34">
        <f>SUM(C86:C89)</f>
        <v>0.5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0.5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1</v>
      </c>
      <c r="AF29" s="31">
        <f t="shared" si="21"/>
        <v>1</v>
      </c>
    </row>
    <row r="30" spans="2:32" ht="23.1" customHeight="1" x14ac:dyDescent="0.25">
      <c r="B30" s="23" t="s">
        <v>57</v>
      </c>
      <c r="C30" s="49">
        <f>AVERAGE('17.10 KAPEEKA-NGOMA'!C30,'18.10 KAPEEKA-NGOMA'!C30,'20.10 KAPEEKA-NGOMA'!C30,'22.10 KAPEEKA-NGOMA'!C30,'19.10 KAPEEKA-NGOMA 24h'!C30,'21.10 KAPEEKA-NGOMA-24h'!C30,'23.10 KAPEEKA-NGOMA'!C30)</f>
        <v>0.2857142857142857</v>
      </c>
      <c r="D30" s="49">
        <f>AVERAGE('17.10 KAPEEKA-NGOMA'!D30,'18.10 KAPEEKA-NGOMA'!D30,'20.10 KAPEEKA-NGOMA'!D30,'22.10 KAPEEKA-NGOMA'!D30,'19.10 KAPEEKA-NGOMA 24h'!D30,'21.10 KAPEEKA-NGOMA-24h'!D30,'23.10 KAPEEKA-NGOMA'!D30)</f>
        <v>0.14285714285714285</v>
      </c>
      <c r="E30" s="49">
        <f>AVERAGE('17.10 KAPEEKA-NGOMA'!E30,'18.10 KAPEEKA-NGOMA'!E30,'20.10 KAPEEKA-NGOMA'!E30,'22.10 KAPEEKA-NGOMA'!E30,'19.10 KAPEEKA-NGOMA 24h'!E30,'21.10 KAPEEKA-NGOMA-24h'!E30,'23.10 KAPEEKA-NGOMA'!E30)</f>
        <v>1.1428571428571428</v>
      </c>
      <c r="F30" s="49">
        <f>AVERAGE('17.10 KAPEEKA-NGOMA'!F30,'18.10 KAPEEKA-NGOMA'!F30,'20.10 KAPEEKA-NGOMA'!F30,'22.10 KAPEEKA-NGOMA'!F30,'19.10 KAPEEKA-NGOMA 24h'!F30,'21.10 KAPEEKA-NGOMA-24h'!F30,'23.10 KAPEEKA-NGOMA'!F30)</f>
        <v>0.5714285714285714</v>
      </c>
      <c r="G30" s="49">
        <f>AVERAGE('17.10 KAPEEKA-NGOMA'!G30,'18.10 KAPEEKA-NGOMA'!G30,'20.10 KAPEEKA-NGOMA'!G30,'22.10 KAPEEKA-NGOMA'!G30,'19.10 KAPEEKA-NGOMA 24h'!G30,'21.10 KAPEEKA-NGOMA-24h'!G30,'23.10 KAPEEKA-NGOMA'!G30)</f>
        <v>0</v>
      </c>
      <c r="H30" s="49">
        <f>AVERAGE('17.10 KAPEEKA-NGOMA'!H30,'18.10 KAPEEKA-NGOMA'!H30,'20.10 KAPEEKA-NGOMA'!H30,'22.10 KAPEEKA-NGOMA'!H30,'19.10 KAPEEKA-NGOMA 24h'!H30,'21.10 KAPEEKA-NGOMA-24h'!H30,'23.10 KAPEEKA-NGOMA'!H30)</f>
        <v>0</v>
      </c>
      <c r="I30" s="49">
        <f>AVERAGE('17.10 KAPEEKA-NGOMA'!I30,'18.10 KAPEEKA-NGOMA'!I30,'20.10 KAPEEKA-NGOMA'!I30,'22.10 KAPEEKA-NGOMA'!I30,'19.10 KAPEEKA-NGOMA 24h'!I30,'21.10 KAPEEKA-NGOMA-24h'!I30,'23.10 KAPEEKA-NGOMA'!I30)</f>
        <v>0.42857142857142855</v>
      </c>
      <c r="J30" s="49">
        <f>AVERAGE('17.10 KAPEEKA-NGOMA'!J30,'18.10 KAPEEKA-NGOMA'!J30,'20.10 KAPEEKA-NGOMA'!J30,'22.10 KAPEEKA-NGOMA'!J30,'19.10 KAPEEKA-NGOMA 24h'!J30,'21.10 KAPEEKA-NGOMA-24h'!J30,'23.10 KAPEEKA-NGOMA'!J30)</f>
        <v>0.42857142857142855</v>
      </c>
      <c r="K30" s="49">
        <f>AVERAGE('17.10 KAPEEKA-NGOMA'!K30,'18.10 KAPEEKA-NGOMA'!K30,'20.10 KAPEEKA-NGOMA'!K30,'22.10 KAPEEKA-NGOMA'!K30,'19.10 KAPEEKA-NGOMA 24h'!K30,'21.10 KAPEEKA-NGOMA-24h'!K30,'23.10 KAPEEKA-NGOMA'!K30)</f>
        <v>0</v>
      </c>
      <c r="L30" s="49">
        <f>AVERAGE('17.10 KAPEEKA-NGOMA'!L30,'18.10 KAPEEKA-NGOMA'!L30,'20.10 KAPEEKA-NGOMA'!L30,'22.10 KAPEEKA-NGOMA'!L30,'19.10 KAPEEKA-NGOMA 24h'!L30,'21.10 KAPEEKA-NGOMA-24h'!L30,'23.10 KAPEEKA-NGOMA'!L30)</f>
        <v>0</v>
      </c>
      <c r="M30" s="49">
        <f>AVERAGE('17.10 KAPEEKA-NGOMA'!M30,'18.10 KAPEEKA-NGOMA'!M30,'20.10 KAPEEKA-NGOMA'!M30,'22.10 KAPEEKA-NGOMA'!M30,'19.10 KAPEEKA-NGOMA 24h'!M30,'21.10 KAPEEKA-NGOMA-24h'!M30,'23.10 KAPEEKA-NGOMA'!M30)</f>
        <v>5.1428571428571432</v>
      </c>
      <c r="N30" s="49">
        <f>AVERAGE('17.10 KAPEEKA-NGOMA'!N30,'18.10 KAPEEKA-NGOMA'!N30,'20.10 KAPEEKA-NGOMA'!N30,'22.10 KAPEEKA-NGOMA'!N30,'19.10 KAPEEKA-NGOMA 24h'!N30,'21.10 KAPEEKA-NGOMA-24h'!N30,'23.10 KAPEEKA-NGOMA'!N30)</f>
        <v>0</v>
      </c>
      <c r="O30" s="15">
        <f t="shared" si="0"/>
        <v>2.9999999999999996</v>
      </c>
      <c r="P30" s="15">
        <f t="shared" si="1"/>
        <v>8.1428571428571423</v>
      </c>
      <c r="R30" s="1" t="s">
        <v>154</v>
      </c>
      <c r="S30" s="34">
        <f>SUM(C90:C93)</f>
        <v>0.5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1</v>
      </c>
      <c r="Y30" s="34">
        <f t="shared" si="22"/>
        <v>0.5</v>
      </c>
      <c r="Z30" s="34">
        <f t="shared" si="22"/>
        <v>0.5</v>
      </c>
      <c r="AA30" s="34">
        <f t="shared" si="22"/>
        <v>0.5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3</v>
      </c>
      <c r="AF30" s="31">
        <f t="shared" si="22"/>
        <v>3</v>
      </c>
    </row>
    <row r="31" spans="2:32" ht="23.1" customHeight="1" x14ac:dyDescent="0.25">
      <c r="B31" s="24" t="s">
        <v>58</v>
      </c>
      <c r="C31" s="49">
        <f>AVERAGE('17.10 KAPEEKA-NGOMA'!C31,'18.10 KAPEEKA-NGOMA'!C31,'20.10 KAPEEKA-NGOMA'!C31,'22.10 KAPEEKA-NGOMA'!C31,'19.10 KAPEEKA-NGOMA 24h'!C31,'21.10 KAPEEKA-NGOMA-24h'!C31,'23.10 KAPEEKA-NGOMA'!C31)</f>
        <v>0.2857142857142857</v>
      </c>
      <c r="D31" s="49">
        <f>AVERAGE('17.10 KAPEEKA-NGOMA'!D31,'18.10 KAPEEKA-NGOMA'!D31,'20.10 KAPEEKA-NGOMA'!D31,'22.10 KAPEEKA-NGOMA'!D31,'19.10 KAPEEKA-NGOMA 24h'!D31,'21.10 KAPEEKA-NGOMA-24h'!D31,'23.10 KAPEEKA-NGOMA'!D31)</f>
        <v>0.42857142857142855</v>
      </c>
      <c r="E31" s="49">
        <f>AVERAGE('17.10 KAPEEKA-NGOMA'!E31,'18.10 KAPEEKA-NGOMA'!E31,'20.10 KAPEEKA-NGOMA'!E31,'22.10 KAPEEKA-NGOMA'!E31,'19.10 KAPEEKA-NGOMA 24h'!E31,'21.10 KAPEEKA-NGOMA-24h'!E31,'23.10 KAPEEKA-NGOMA'!E31)</f>
        <v>0.2857142857142857</v>
      </c>
      <c r="F31" s="49">
        <f>AVERAGE('17.10 KAPEEKA-NGOMA'!F31,'18.10 KAPEEKA-NGOMA'!F31,'20.10 KAPEEKA-NGOMA'!F31,'22.10 KAPEEKA-NGOMA'!F31,'19.10 KAPEEKA-NGOMA 24h'!F31,'21.10 KAPEEKA-NGOMA-24h'!F31,'23.10 KAPEEKA-NGOMA'!F31)</f>
        <v>0.7142857142857143</v>
      </c>
      <c r="G31" s="49">
        <f>AVERAGE('17.10 KAPEEKA-NGOMA'!G31,'18.10 KAPEEKA-NGOMA'!G31,'20.10 KAPEEKA-NGOMA'!G31,'22.10 KAPEEKA-NGOMA'!G31,'19.10 KAPEEKA-NGOMA 24h'!G31,'21.10 KAPEEKA-NGOMA-24h'!G31,'23.10 KAPEEKA-NGOMA'!G31)</f>
        <v>0</v>
      </c>
      <c r="H31" s="49">
        <f>AVERAGE('17.10 KAPEEKA-NGOMA'!H31,'18.10 KAPEEKA-NGOMA'!H31,'20.10 KAPEEKA-NGOMA'!H31,'22.10 KAPEEKA-NGOMA'!H31,'19.10 KAPEEKA-NGOMA 24h'!H31,'21.10 KAPEEKA-NGOMA-24h'!H31,'23.10 KAPEEKA-NGOMA'!H31)</f>
        <v>0</v>
      </c>
      <c r="I31" s="49">
        <f>AVERAGE('17.10 KAPEEKA-NGOMA'!I31,'18.10 KAPEEKA-NGOMA'!I31,'20.10 KAPEEKA-NGOMA'!I31,'22.10 KAPEEKA-NGOMA'!I31,'19.10 KAPEEKA-NGOMA 24h'!I31,'21.10 KAPEEKA-NGOMA-24h'!I31,'23.10 KAPEEKA-NGOMA'!I31)</f>
        <v>0.7142857142857143</v>
      </c>
      <c r="J31" s="49">
        <f>AVERAGE('17.10 KAPEEKA-NGOMA'!J31,'18.10 KAPEEKA-NGOMA'!J31,'20.10 KAPEEKA-NGOMA'!J31,'22.10 KAPEEKA-NGOMA'!J31,'19.10 KAPEEKA-NGOMA 24h'!J31,'21.10 KAPEEKA-NGOMA-24h'!J31,'23.10 KAPEEKA-NGOMA'!J31)</f>
        <v>0</v>
      </c>
      <c r="K31" s="49">
        <f>AVERAGE('17.10 KAPEEKA-NGOMA'!K31,'18.10 KAPEEKA-NGOMA'!K31,'20.10 KAPEEKA-NGOMA'!K31,'22.10 KAPEEKA-NGOMA'!K31,'19.10 KAPEEKA-NGOMA 24h'!K31,'21.10 KAPEEKA-NGOMA-24h'!K31,'23.10 KAPEEKA-NGOMA'!K31)</f>
        <v>0</v>
      </c>
      <c r="L31" s="49">
        <f>AVERAGE('17.10 KAPEEKA-NGOMA'!L31,'18.10 KAPEEKA-NGOMA'!L31,'20.10 KAPEEKA-NGOMA'!L31,'22.10 KAPEEKA-NGOMA'!L31,'19.10 KAPEEKA-NGOMA 24h'!L31,'21.10 KAPEEKA-NGOMA-24h'!L31,'23.10 KAPEEKA-NGOMA'!L31)</f>
        <v>0</v>
      </c>
      <c r="M31" s="49">
        <f>AVERAGE('17.10 KAPEEKA-NGOMA'!M31,'18.10 KAPEEKA-NGOMA'!M31,'20.10 KAPEEKA-NGOMA'!M31,'22.10 KAPEEKA-NGOMA'!M31,'19.10 KAPEEKA-NGOMA 24h'!M31,'21.10 KAPEEKA-NGOMA-24h'!M31,'23.10 KAPEEKA-NGOMA'!M31)</f>
        <v>5</v>
      </c>
      <c r="N31" s="49">
        <f>AVERAGE('17.10 KAPEEKA-NGOMA'!N31,'18.10 KAPEEKA-NGOMA'!N31,'20.10 KAPEEKA-NGOMA'!N31,'22.10 KAPEEKA-NGOMA'!N31,'19.10 KAPEEKA-NGOMA 24h'!N31,'21.10 KAPEEKA-NGOMA-24h'!N31,'23.10 KAPEEKA-NGOMA'!N31)</f>
        <v>0</v>
      </c>
      <c r="O31" s="15">
        <f t="shared" si="0"/>
        <v>2.4285714285714284</v>
      </c>
      <c r="P31" s="15">
        <f t="shared" si="1"/>
        <v>7.4285714285714288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</v>
      </c>
      <c r="AD31" s="34">
        <f t="shared" si="23"/>
        <v>0</v>
      </c>
      <c r="AE31" s="31">
        <f t="shared" si="23"/>
        <v>1.5</v>
      </c>
      <c r="AF31" s="31">
        <f t="shared" si="23"/>
        <v>4.5</v>
      </c>
    </row>
    <row r="32" spans="2:32" ht="23.1" customHeight="1" x14ac:dyDescent="0.25">
      <c r="B32" s="24" t="s">
        <v>59</v>
      </c>
      <c r="C32" s="49">
        <f>AVERAGE('17.10 KAPEEKA-NGOMA'!C32,'18.10 KAPEEKA-NGOMA'!C32,'20.10 KAPEEKA-NGOMA'!C32,'22.10 KAPEEKA-NGOMA'!C32,'19.10 KAPEEKA-NGOMA 24h'!C32,'21.10 KAPEEKA-NGOMA-24h'!C32,'23.10 KAPEEKA-NGOMA'!C32)</f>
        <v>0.8571428571428571</v>
      </c>
      <c r="D32" s="49">
        <f>AVERAGE('17.10 KAPEEKA-NGOMA'!D32,'18.10 KAPEEKA-NGOMA'!D32,'20.10 KAPEEKA-NGOMA'!D32,'22.10 KAPEEKA-NGOMA'!D32,'19.10 KAPEEKA-NGOMA 24h'!D32,'21.10 KAPEEKA-NGOMA-24h'!D32,'23.10 KAPEEKA-NGOMA'!D32)</f>
        <v>0</v>
      </c>
      <c r="E32" s="49">
        <f>AVERAGE('17.10 KAPEEKA-NGOMA'!E32,'18.10 KAPEEKA-NGOMA'!E32,'20.10 KAPEEKA-NGOMA'!E32,'22.10 KAPEEKA-NGOMA'!E32,'19.10 KAPEEKA-NGOMA 24h'!E32,'21.10 KAPEEKA-NGOMA-24h'!E32,'23.10 KAPEEKA-NGOMA'!E32)</f>
        <v>0.5714285714285714</v>
      </c>
      <c r="F32" s="49">
        <f>AVERAGE('17.10 KAPEEKA-NGOMA'!F32,'18.10 KAPEEKA-NGOMA'!F32,'20.10 KAPEEKA-NGOMA'!F32,'22.10 KAPEEKA-NGOMA'!F32,'19.10 KAPEEKA-NGOMA 24h'!F32,'21.10 KAPEEKA-NGOMA-24h'!F32,'23.10 KAPEEKA-NGOMA'!F32)</f>
        <v>0.14285714285714285</v>
      </c>
      <c r="G32" s="49">
        <f>AVERAGE('17.10 KAPEEKA-NGOMA'!G32,'18.10 KAPEEKA-NGOMA'!G32,'20.10 KAPEEKA-NGOMA'!G32,'22.10 KAPEEKA-NGOMA'!G32,'19.10 KAPEEKA-NGOMA 24h'!G32,'21.10 KAPEEKA-NGOMA-24h'!G32,'23.10 KAPEEKA-NGOMA'!G32)</f>
        <v>0</v>
      </c>
      <c r="H32" s="49">
        <f>AVERAGE('17.10 KAPEEKA-NGOMA'!H32,'18.10 KAPEEKA-NGOMA'!H32,'20.10 KAPEEKA-NGOMA'!H32,'22.10 KAPEEKA-NGOMA'!H32,'19.10 KAPEEKA-NGOMA 24h'!H32,'21.10 KAPEEKA-NGOMA-24h'!H32,'23.10 KAPEEKA-NGOMA'!H32)</f>
        <v>0</v>
      </c>
      <c r="I32" s="49">
        <f>AVERAGE('17.10 KAPEEKA-NGOMA'!I32,'18.10 KAPEEKA-NGOMA'!I32,'20.10 KAPEEKA-NGOMA'!I32,'22.10 KAPEEKA-NGOMA'!I32,'19.10 KAPEEKA-NGOMA 24h'!I32,'21.10 KAPEEKA-NGOMA-24h'!I32,'23.10 KAPEEKA-NGOMA'!I32)</f>
        <v>0.42857142857142855</v>
      </c>
      <c r="J32" s="49">
        <f>AVERAGE('17.10 KAPEEKA-NGOMA'!J32,'18.10 KAPEEKA-NGOMA'!J32,'20.10 KAPEEKA-NGOMA'!J32,'22.10 KAPEEKA-NGOMA'!J32,'19.10 KAPEEKA-NGOMA 24h'!J32,'21.10 KAPEEKA-NGOMA-24h'!J32,'23.10 KAPEEKA-NGOMA'!J32)</f>
        <v>0.14285714285714285</v>
      </c>
      <c r="K32" s="49">
        <f>AVERAGE('17.10 KAPEEKA-NGOMA'!K32,'18.10 KAPEEKA-NGOMA'!K32,'20.10 KAPEEKA-NGOMA'!K32,'22.10 KAPEEKA-NGOMA'!K32,'19.10 KAPEEKA-NGOMA 24h'!K32,'21.10 KAPEEKA-NGOMA-24h'!K32,'23.10 KAPEEKA-NGOMA'!K32)</f>
        <v>0</v>
      </c>
      <c r="L32" s="49">
        <f>AVERAGE('17.10 KAPEEKA-NGOMA'!L32,'18.10 KAPEEKA-NGOMA'!L32,'20.10 KAPEEKA-NGOMA'!L32,'22.10 KAPEEKA-NGOMA'!L32,'19.10 KAPEEKA-NGOMA 24h'!L32,'21.10 KAPEEKA-NGOMA-24h'!L32,'23.10 KAPEEKA-NGOMA'!L32)</f>
        <v>0</v>
      </c>
      <c r="M32" s="49">
        <f>AVERAGE('17.10 KAPEEKA-NGOMA'!M32,'18.10 KAPEEKA-NGOMA'!M32,'20.10 KAPEEKA-NGOMA'!M32,'22.10 KAPEEKA-NGOMA'!M32,'19.10 KAPEEKA-NGOMA 24h'!M32,'21.10 KAPEEKA-NGOMA-24h'!M32,'23.10 KAPEEKA-NGOMA'!M32)</f>
        <v>4.5714285714285712</v>
      </c>
      <c r="N32" s="49">
        <f>AVERAGE('17.10 KAPEEKA-NGOMA'!N32,'18.10 KAPEEKA-NGOMA'!N32,'20.10 KAPEEKA-NGOMA'!N32,'22.10 KAPEEKA-NGOMA'!N32,'19.10 KAPEEKA-NGOMA 24h'!N32,'21.10 KAPEEKA-NGOMA-24h'!N32,'23.10 KAPEEKA-NGOMA'!N32)</f>
        <v>0</v>
      </c>
      <c r="O32" s="15">
        <f t="shared" si="0"/>
        <v>2.1428571428571428</v>
      </c>
      <c r="P32" s="15">
        <f t="shared" si="1"/>
        <v>6.7142857142857135</v>
      </c>
      <c r="R32" s="1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4</v>
      </c>
      <c r="AD32" s="34">
        <f t="shared" si="24"/>
        <v>0</v>
      </c>
      <c r="AE32" s="31">
        <f t="shared" si="24"/>
        <v>6</v>
      </c>
      <c r="AF32" s="31">
        <f t="shared" si="24"/>
        <v>10</v>
      </c>
    </row>
    <row r="33" spans="2:32" ht="23.1" customHeight="1" x14ac:dyDescent="0.25">
      <c r="B33" s="23" t="s">
        <v>60</v>
      </c>
      <c r="C33" s="49">
        <f>AVERAGE('17.10 KAPEEKA-NGOMA'!C33,'18.10 KAPEEKA-NGOMA'!C33,'20.10 KAPEEKA-NGOMA'!C33,'22.10 KAPEEKA-NGOMA'!C33,'19.10 KAPEEKA-NGOMA 24h'!C33,'21.10 KAPEEKA-NGOMA-24h'!C33,'23.10 KAPEEKA-NGOMA'!C33)</f>
        <v>0.5714285714285714</v>
      </c>
      <c r="D33" s="49">
        <f>AVERAGE('17.10 KAPEEKA-NGOMA'!D33,'18.10 KAPEEKA-NGOMA'!D33,'20.10 KAPEEKA-NGOMA'!D33,'22.10 KAPEEKA-NGOMA'!D33,'19.10 KAPEEKA-NGOMA 24h'!D33,'21.10 KAPEEKA-NGOMA-24h'!D33,'23.10 KAPEEKA-NGOMA'!D33)</f>
        <v>0</v>
      </c>
      <c r="E33" s="49">
        <f>AVERAGE('17.10 KAPEEKA-NGOMA'!E33,'18.10 KAPEEKA-NGOMA'!E33,'20.10 KAPEEKA-NGOMA'!E33,'22.10 KAPEEKA-NGOMA'!E33,'19.10 KAPEEKA-NGOMA 24h'!E33,'21.10 KAPEEKA-NGOMA-24h'!E33,'23.10 KAPEEKA-NGOMA'!E33)</f>
        <v>0.2857142857142857</v>
      </c>
      <c r="F33" s="49">
        <f>AVERAGE('17.10 KAPEEKA-NGOMA'!F33,'18.10 KAPEEKA-NGOMA'!F33,'20.10 KAPEEKA-NGOMA'!F33,'22.10 KAPEEKA-NGOMA'!F33,'19.10 KAPEEKA-NGOMA 24h'!F33,'21.10 KAPEEKA-NGOMA-24h'!F33,'23.10 KAPEEKA-NGOMA'!F33)</f>
        <v>0.5714285714285714</v>
      </c>
      <c r="G33" s="49">
        <f>AVERAGE('17.10 KAPEEKA-NGOMA'!G33,'18.10 KAPEEKA-NGOMA'!G33,'20.10 KAPEEKA-NGOMA'!G33,'22.10 KAPEEKA-NGOMA'!G33,'19.10 KAPEEKA-NGOMA 24h'!G33,'21.10 KAPEEKA-NGOMA-24h'!G33,'23.10 KAPEEKA-NGOMA'!G33)</f>
        <v>0.14285714285714285</v>
      </c>
      <c r="H33" s="49">
        <f>AVERAGE('17.10 KAPEEKA-NGOMA'!H33,'18.10 KAPEEKA-NGOMA'!H33,'20.10 KAPEEKA-NGOMA'!H33,'22.10 KAPEEKA-NGOMA'!H33,'19.10 KAPEEKA-NGOMA 24h'!H33,'21.10 KAPEEKA-NGOMA-24h'!H33,'23.10 KAPEEKA-NGOMA'!H33)</f>
        <v>0</v>
      </c>
      <c r="I33" s="49">
        <f>AVERAGE('17.10 KAPEEKA-NGOMA'!I33,'18.10 KAPEEKA-NGOMA'!I33,'20.10 KAPEEKA-NGOMA'!I33,'22.10 KAPEEKA-NGOMA'!I33,'19.10 KAPEEKA-NGOMA 24h'!I33,'21.10 KAPEEKA-NGOMA-24h'!I33,'23.10 KAPEEKA-NGOMA'!I33)</f>
        <v>1</v>
      </c>
      <c r="J33" s="49">
        <f>AVERAGE('17.10 KAPEEKA-NGOMA'!J33,'18.10 KAPEEKA-NGOMA'!J33,'20.10 KAPEEKA-NGOMA'!J33,'22.10 KAPEEKA-NGOMA'!J33,'19.10 KAPEEKA-NGOMA 24h'!J33,'21.10 KAPEEKA-NGOMA-24h'!J33,'23.10 KAPEEKA-NGOMA'!J33)</f>
        <v>0.14285714285714285</v>
      </c>
      <c r="K33" s="49">
        <f>AVERAGE('17.10 KAPEEKA-NGOMA'!K33,'18.10 KAPEEKA-NGOMA'!K33,'20.10 KAPEEKA-NGOMA'!K33,'22.10 KAPEEKA-NGOMA'!K33,'19.10 KAPEEKA-NGOMA 24h'!K33,'21.10 KAPEEKA-NGOMA-24h'!K33,'23.10 KAPEEKA-NGOMA'!K33)</f>
        <v>0.14285714285714285</v>
      </c>
      <c r="L33" s="49">
        <f>AVERAGE('17.10 KAPEEKA-NGOMA'!L33,'18.10 KAPEEKA-NGOMA'!L33,'20.10 KAPEEKA-NGOMA'!L33,'22.10 KAPEEKA-NGOMA'!L33,'19.10 KAPEEKA-NGOMA 24h'!L33,'21.10 KAPEEKA-NGOMA-24h'!L33,'23.10 KAPEEKA-NGOMA'!L33)</f>
        <v>0</v>
      </c>
      <c r="M33" s="49">
        <f>AVERAGE('17.10 KAPEEKA-NGOMA'!M33,'18.10 KAPEEKA-NGOMA'!M33,'20.10 KAPEEKA-NGOMA'!M33,'22.10 KAPEEKA-NGOMA'!M33,'19.10 KAPEEKA-NGOMA 24h'!M33,'21.10 KAPEEKA-NGOMA-24h'!M33,'23.10 KAPEEKA-NGOMA'!M33)</f>
        <v>6</v>
      </c>
      <c r="N33" s="49">
        <f>AVERAGE('17.10 KAPEEKA-NGOMA'!N33,'18.10 KAPEEKA-NGOMA'!N33,'20.10 KAPEEKA-NGOMA'!N33,'22.10 KAPEEKA-NGOMA'!N33,'19.10 KAPEEKA-NGOMA 24h'!N33,'21.10 KAPEEKA-NGOMA-24h'!N33,'23.10 KAPEEKA-NGOMA'!N33)</f>
        <v>0</v>
      </c>
      <c r="O33" s="15">
        <f t="shared" si="0"/>
        <v>2.8571428571428568</v>
      </c>
      <c r="P33" s="15">
        <f t="shared" si="1"/>
        <v>8.8571428571428577</v>
      </c>
      <c r="R33" s="1" t="s">
        <v>157</v>
      </c>
      <c r="S33" s="34">
        <f>SUM(C102:C105)</f>
        <v>1</v>
      </c>
      <c r="T33" s="34">
        <f t="shared" ref="T33:AF33" si="25">SUM(D102:D105)</f>
        <v>0.5</v>
      </c>
      <c r="U33" s="34">
        <f t="shared" si="25"/>
        <v>0.5</v>
      </c>
      <c r="V33" s="34">
        <f t="shared" si="25"/>
        <v>1.5</v>
      </c>
      <c r="W33" s="34">
        <f t="shared" si="25"/>
        <v>0</v>
      </c>
      <c r="X33" s="34">
        <f t="shared" si="25"/>
        <v>0</v>
      </c>
      <c r="Y33" s="34">
        <f t="shared" si="25"/>
        <v>0.5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6.5</v>
      </c>
      <c r="AD33" s="34">
        <f t="shared" si="25"/>
        <v>0</v>
      </c>
      <c r="AE33" s="31">
        <f t="shared" si="25"/>
        <v>4.5</v>
      </c>
      <c r="AF33" s="31">
        <f t="shared" si="25"/>
        <v>11</v>
      </c>
    </row>
    <row r="34" spans="2:32" ht="23.1" customHeight="1" x14ac:dyDescent="0.25">
      <c r="B34" s="24" t="s">
        <v>61</v>
      </c>
      <c r="C34" s="49">
        <f>AVERAGE('17.10 KAPEEKA-NGOMA'!C34,'18.10 KAPEEKA-NGOMA'!C34,'20.10 KAPEEKA-NGOMA'!C34,'22.10 KAPEEKA-NGOMA'!C34,'19.10 KAPEEKA-NGOMA 24h'!C34,'21.10 KAPEEKA-NGOMA-24h'!C34,'23.10 KAPEEKA-NGOMA'!C34)</f>
        <v>0.7142857142857143</v>
      </c>
      <c r="D34" s="49">
        <f>AVERAGE('17.10 KAPEEKA-NGOMA'!D34,'18.10 KAPEEKA-NGOMA'!D34,'20.10 KAPEEKA-NGOMA'!D34,'22.10 KAPEEKA-NGOMA'!D34,'19.10 KAPEEKA-NGOMA 24h'!D34,'21.10 KAPEEKA-NGOMA-24h'!D34,'23.10 KAPEEKA-NGOMA'!D34)</f>
        <v>0.42857142857142855</v>
      </c>
      <c r="E34" s="49">
        <f>AVERAGE('17.10 KAPEEKA-NGOMA'!E34,'18.10 KAPEEKA-NGOMA'!E34,'20.10 KAPEEKA-NGOMA'!E34,'22.10 KAPEEKA-NGOMA'!E34,'19.10 KAPEEKA-NGOMA 24h'!E34,'21.10 KAPEEKA-NGOMA-24h'!E34,'23.10 KAPEEKA-NGOMA'!E34)</f>
        <v>0.42857142857142855</v>
      </c>
      <c r="F34" s="49">
        <f>AVERAGE('17.10 KAPEEKA-NGOMA'!F34,'18.10 KAPEEKA-NGOMA'!F34,'20.10 KAPEEKA-NGOMA'!F34,'22.10 KAPEEKA-NGOMA'!F34,'19.10 KAPEEKA-NGOMA 24h'!F34,'21.10 KAPEEKA-NGOMA-24h'!F34,'23.10 KAPEEKA-NGOMA'!F34)</f>
        <v>0.14285714285714285</v>
      </c>
      <c r="G34" s="49">
        <f>AVERAGE('17.10 KAPEEKA-NGOMA'!G34,'18.10 KAPEEKA-NGOMA'!G34,'20.10 KAPEEKA-NGOMA'!G34,'22.10 KAPEEKA-NGOMA'!G34,'19.10 KAPEEKA-NGOMA 24h'!G34,'21.10 KAPEEKA-NGOMA-24h'!G34,'23.10 KAPEEKA-NGOMA'!G34)</f>
        <v>0.14285714285714285</v>
      </c>
      <c r="H34" s="49">
        <f>AVERAGE('17.10 KAPEEKA-NGOMA'!H34,'18.10 KAPEEKA-NGOMA'!H34,'20.10 KAPEEKA-NGOMA'!H34,'22.10 KAPEEKA-NGOMA'!H34,'19.10 KAPEEKA-NGOMA 24h'!H34,'21.10 KAPEEKA-NGOMA-24h'!H34,'23.10 KAPEEKA-NGOMA'!H34)</f>
        <v>0</v>
      </c>
      <c r="I34" s="49">
        <f>AVERAGE('17.10 KAPEEKA-NGOMA'!I34,'18.10 KAPEEKA-NGOMA'!I34,'20.10 KAPEEKA-NGOMA'!I34,'22.10 KAPEEKA-NGOMA'!I34,'19.10 KAPEEKA-NGOMA 24h'!I34,'21.10 KAPEEKA-NGOMA-24h'!I34,'23.10 KAPEEKA-NGOMA'!I34)</f>
        <v>0.7142857142857143</v>
      </c>
      <c r="J34" s="49">
        <f>AVERAGE('17.10 KAPEEKA-NGOMA'!J34,'18.10 KAPEEKA-NGOMA'!J34,'20.10 KAPEEKA-NGOMA'!J34,'22.10 KAPEEKA-NGOMA'!J34,'19.10 KAPEEKA-NGOMA 24h'!J34,'21.10 KAPEEKA-NGOMA-24h'!J34,'23.10 KAPEEKA-NGOMA'!J34)</f>
        <v>0.42857142857142855</v>
      </c>
      <c r="K34" s="49">
        <f>AVERAGE('17.10 KAPEEKA-NGOMA'!K34,'18.10 KAPEEKA-NGOMA'!K34,'20.10 KAPEEKA-NGOMA'!K34,'22.10 KAPEEKA-NGOMA'!K34,'19.10 KAPEEKA-NGOMA 24h'!K34,'21.10 KAPEEKA-NGOMA-24h'!K34,'23.10 KAPEEKA-NGOMA'!K34)</f>
        <v>0</v>
      </c>
      <c r="L34" s="49">
        <f>AVERAGE('17.10 KAPEEKA-NGOMA'!L34,'18.10 KAPEEKA-NGOMA'!L34,'20.10 KAPEEKA-NGOMA'!L34,'22.10 KAPEEKA-NGOMA'!L34,'19.10 KAPEEKA-NGOMA 24h'!L34,'21.10 KAPEEKA-NGOMA-24h'!L34,'23.10 KAPEEKA-NGOMA'!L34)</f>
        <v>0</v>
      </c>
      <c r="M34" s="49">
        <f>AVERAGE('17.10 KAPEEKA-NGOMA'!M34,'18.10 KAPEEKA-NGOMA'!M34,'20.10 KAPEEKA-NGOMA'!M34,'22.10 KAPEEKA-NGOMA'!M34,'19.10 KAPEEKA-NGOMA 24h'!M34,'21.10 KAPEEKA-NGOMA-24h'!M34,'23.10 KAPEEKA-NGOMA'!M34)</f>
        <v>6.1428571428571432</v>
      </c>
      <c r="N34" s="49">
        <f>AVERAGE('17.10 KAPEEKA-NGOMA'!N34,'18.10 KAPEEKA-NGOMA'!N34,'20.10 KAPEEKA-NGOMA'!N34,'22.10 KAPEEKA-NGOMA'!N34,'19.10 KAPEEKA-NGOMA 24h'!N34,'21.10 KAPEEKA-NGOMA-24h'!N34,'23.10 KAPEEKA-NGOMA'!N34)</f>
        <v>0</v>
      </c>
      <c r="O34" s="15">
        <f t="shared" si="0"/>
        <v>2.9999999999999996</v>
      </c>
      <c r="P34" s="15">
        <f t="shared" si="1"/>
        <v>9.1428571428571423</v>
      </c>
      <c r="R34" s="38" t="s">
        <v>90</v>
      </c>
      <c r="S34" s="39">
        <f t="shared" ref="S34:AF34" si="26">MAX(S10:S12)</f>
        <v>2.7142857142857144</v>
      </c>
      <c r="T34" s="39">
        <f t="shared" si="26"/>
        <v>1.4285714285714284</v>
      </c>
      <c r="U34" s="39">
        <f t="shared" si="26"/>
        <v>1.9999999999999998</v>
      </c>
      <c r="V34" s="39">
        <f t="shared" si="26"/>
        <v>0.14285714285714285</v>
      </c>
      <c r="W34" s="39">
        <f t="shared" si="26"/>
        <v>0</v>
      </c>
      <c r="X34" s="39">
        <f t="shared" si="26"/>
        <v>0</v>
      </c>
      <c r="Y34" s="39">
        <f t="shared" si="26"/>
        <v>2.9999999999999996</v>
      </c>
      <c r="Z34" s="39">
        <f t="shared" si="26"/>
        <v>0.71428571428571419</v>
      </c>
      <c r="AA34" s="39">
        <f t="shared" si="26"/>
        <v>0.14285714285714285</v>
      </c>
      <c r="AB34" s="39">
        <f t="shared" si="26"/>
        <v>0.8571428571428571</v>
      </c>
      <c r="AC34" s="39">
        <f t="shared" si="26"/>
        <v>16.857142857142858</v>
      </c>
      <c r="AD34" s="39">
        <f t="shared" si="26"/>
        <v>0.14285714285714285</v>
      </c>
      <c r="AE34" s="40">
        <f t="shared" si="26"/>
        <v>8.4285714285714288</v>
      </c>
      <c r="AF34" s="40">
        <f t="shared" si="26"/>
        <v>25.142857142857146</v>
      </c>
    </row>
    <row r="35" spans="2:32" ht="23.1" customHeight="1" x14ac:dyDescent="0.25">
      <c r="B35" s="24" t="s">
        <v>62</v>
      </c>
      <c r="C35" s="49">
        <f>AVERAGE('17.10 KAPEEKA-NGOMA'!C35,'18.10 KAPEEKA-NGOMA'!C35,'20.10 KAPEEKA-NGOMA'!C35,'22.10 KAPEEKA-NGOMA'!C35,'19.10 KAPEEKA-NGOMA 24h'!C35,'21.10 KAPEEKA-NGOMA-24h'!C35,'23.10 KAPEEKA-NGOMA'!C35)</f>
        <v>0.42857142857142855</v>
      </c>
      <c r="D35" s="49">
        <f>AVERAGE('17.10 KAPEEKA-NGOMA'!D35,'18.10 KAPEEKA-NGOMA'!D35,'20.10 KAPEEKA-NGOMA'!D35,'22.10 KAPEEKA-NGOMA'!D35,'19.10 KAPEEKA-NGOMA 24h'!D35,'21.10 KAPEEKA-NGOMA-24h'!D35,'23.10 KAPEEKA-NGOMA'!D35)</f>
        <v>0</v>
      </c>
      <c r="E35" s="49">
        <f>AVERAGE('17.10 KAPEEKA-NGOMA'!E35,'18.10 KAPEEKA-NGOMA'!E35,'20.10 KAPEEKA-NGOMA'!E35,'22.10 KAPEEKA-NGOMA'!E35,'19.10 KAPEEKA-NGOMA 24h'!E35,'21.10 KAPEEKA-NGOMA-24h'!E35,'23.10 KAPEEKA-NGOMA'!E35)</f>
        <v>0.7142857142857143</v>
      </c>
      <c r="F35" s="49">
        <f>AVERAGE('17.10 KAPEEKA-NGOMA'!F35,'18.10 KAPEEKA-NGOMA'!F35,'20.10 KAPEEKA-NGOMA'!F35,'22.10 KAPEEKA-NGOMA'!F35,'19.10 KAPEEKA-NGOMA 24h'!F35,'21.10 KAPEEKA-NGOMA-24h'!F35,'23.10 KAPEEKA-NGOMA'!F35)</f>
        <v>0.2857142857142857</v>
      </c>
      <c r="G35" s="49">
        <f>AVERAGE('17.10 KAPEEKA-NGOMA'!G35,'18.10 KAPEEKA-NGOMA'!G35,'20.10 KAPEEKA-NGOMA'!G35,'22.10 KAPEEKA-NGOMA'!G35,'19.10 KAPEEKA-NGOMA 24h'!G35,'21.10 KAPEEKA-NGOMA-24h'!G35,'23.10 KAPEEKA-NGOMA'!G35)</f>
        <v>0</v>
      </c>
      <c r="H35" s="49">
        <f>AVERAGE('17.10 KAPEEKA-NGOMA'!H35,'18.10 KAPEEKA-NGOMA'!H35,'20.10 KAPEEKA-NGOMA'!H35,'22.10 KAPEEKA-NGOMA'!H35,'19.10 KAPEEKA-NGOMA 24h'!H35,'21.10 KAPEEKA-NGOMA-24h'!H35,'23.10 KAPEEKA-NGOMA'!H35)</f>
        <v>0</v>
      </c>
      <c r="I35" s="49">
        <f>AVERAGE('17.10 KAPEEKA-NGOMA'!I35,'18.10 KAPEEKA-NGOMA'!I35,'20.10 KAPEEKA-NGOMA'!I35,'22.10 KAPEEKA-NGOMA'!I35,'19.10 KAPEEKA-NGOMA 24h'!I35,'21.10 KAPEEKA-NGOMA-24h'!I35,'23.10 KAPEEKA-NGOMA'!I35)</f>
        <v>0.2857142857142857</v>
      </c>
      <c r="J35" s="49">
        <f>AVERAGE('17.10 KAPEEKA-NGOMA'!J35,'18.10 KAPEEKA-NGOMA'!J35,'20.10 KAPEEKA-NGOMA'!J35,'22.10 KAPEEKA-NGOMA'!J35,'19.10 KAPEEKA-NGOMA 24h'!J35,'21.10 KAPEEKA-NGOMA-24h'!J35,'23.10 KAPEEKA-NGOMA'!J35)</f>
        <v>0</v>
      </c>
      <c r="K35" s="49">
        <f>AVERAGE('17.10 KAPEEKA-NGOMA'!K35,'18.10 KAPEEKA-NGOMA'!K35,'20.10 KAPEEKA-NGOMA'!K35,'22.10 KAPEEKA-NGOMA'!K35,'19.10 KAPEEKA-NGOMA 24h'!K35,'21.10 KAPEEKA-NGOMA-24h'!K35,'23.10 KAPEEKA-NGOMA'!K35)</f>
        <v>0</v>
      </c>
      <c r="L35" s="49">
        <f>AVERAGE('17.10 KAPEEKA-NGOMA'!L35,'18.10 KAPEEKA-NGOMA'!L35,'20.10 KAPEEKA-NGOMA'!L35,'22.10 KAPEEKA-NGOMA'!L35,'19.10 KAPEEKA-NGOMA 24h'!L35,'21.10 KAPEEKA-NGOMA-24h'!L35,'23.10 KAPEEKA-NGOMA'!L35)</f>
        <v>0</v>
      </c>
      <c r="M35" s="49">
        <f>AVERAGE('17.10 KAPEEKA-NGOMA'!M35,'18.10 KAPEEKA-NGOMA'!M35,'20.10 KAPEEKA-NGOMA'!M35,'22.10 KAPEEKA-NGOMA'!M35,'19.10 KAPEEKA-NGOMA 24h'!M35,'21.10 KAPEEKA-NGOMA-24h'!M35,'23.10 KAPEEKA-NGOMA'!M35)</f>
        <v>4.7142857142857144</v>
      </c>
      <c r="N35" s="49">
        <f>AVERAGE('17.10 KAPEEKA-NGOMA'!N35,'18.10 KAPEEKA-NGOMA'!N35,'20.10 KAPEEKA-NGOMA'!N35,'22.10 KAPEEKA-NGOMA'!N35,'19.10 KAPEEKA-NGOMA 24h'!N35,'21.10 KAPEEKA-NGOMA-24h'!N35,'23.10 KAPEEKA-NGOMA'!N35)</f>
        <v>0</v>
      </c>
      <c r="O35" s="15">
        <f t="shared" si="0"/>
        <v>1.714285714285714</v>
      </c>
      <c r="P35" s="15">
        <f t="shared" si="1"/>
        <v>6.4285714285714288</v>
      </c>
      <c r="R35" s="38" t="s">
        <v>91</v>
      </c>
      <c r="S35" s="39">
        <f t="shared" ref="S35:AF35" si="27">MAX(S13:S18)</f>
        <v>3.4285714285714284</v>
      </c>
      <c r="T35" s="39">
        <f t="shared" si="27"/>
        <v>0.71428571428571419</v>
      </c>
      <c r="U35" s="39">
        <f t="shared" si="27"/>
        <v>2.2857142857142856</v>
      </c>
      <c r="V35" s="39">
        <f t="shared" si="27"/>
        <v>2.5714285714285712</v>
      </c>
      <c r="W35" s="39">
        <f t="shared" si="27"/>
        <v>0.14285714285714285</v>
      </c>
      <c r="X35" s="39">
        <f t="shared" si="27"/>
        <v>0</v>
      </c>
      <c r="Y35" s="39">
        <f t="shared" si="27"/>
        <v>3.1428571428571428</v>
      </c>
      <c r="Z35" s="39">
        <f t="shared" si="27"/>
        <v>0.99999999999999989</v>
      </c>
      <c r="AA35" s="39">
        <f t="shared" si="27"/>
        <v>0.2857142857142857</v>
      </c>
      <c r="AB35" s="39">
        <f t="shared" si="27"/>
        <v>0.14285714285714285</v>
      </c>
      <c r="AC35" s="39">
        <f t="shared" si="27"/>
        <v>20.714285714285715</v>
      </c>
      <c r="AD35" s="39">
        <f t="shared" si="27"/>
        <v>0.2857142857142857</v>
      </c>
      <c r="AE35" s="40">
        <f t="shared" si="27"/>
        <v>10.428571428571427</v>
      </c>
      <c r="AF35" s="40">
        <f t="shared" si="27"/>
        <v>31.142857142857142</v>
      </c>
    </row>
    <row r="36" spans="2:32" ht="23.1" customHeight="1" x14ac:dyDescent="0.25">
      <c r="B36" s="24" t="s">
        <v>63</v>
      </c>
      <c r="C36" s="49">
        <f>AVERAGE('17.10 KAPEEKA-NGOMA'!C36,'18.10 KAPEEKA-NGOMA'!C36,'20.10 KAPEEKA-NGOMA'!C36,'22.10 KAPEEKA-NGOMA'!C36,'19.10 KAPEEKA-NGOMA 24h'!C36,'21.10 KAPEEKA-NGOMA-24h'!C36,'23.10 KAPEEKA-NGOMA'!C36)</f>
        <v>0.42857142857142855</v>
      </c>
      <c r="D36" s="49">
        <f>AVERAGE('17.10 KAPEEKA-NGOMA'!D36,'18.10 KAPEEKA-NGOMA'!D36,'20.10 KAPEEKA-NGOMA'!D36,'22.10 KAPEEKA-NGOMA'!D36,'19.10 KAPEEKA-NGOMA 24h'!D36,'21.10 KAPEEKA-NGOMA-24h'!D36,'23.10 KAPEEKA-NGOMA'!D36)</f>
        <v>0</v>
      </c>
      <c r="E36" s="49">
        <f>AVERAGE('17.10 KAPEEKA-NGOMA'!E36,'18.10 KAPEEKA-NGOMA'!E36,'20.10 KAPEEKA-NGOMA'!E36,'22.10 KAPEEKA-NGOMA'!E36,'19.10 KAPEEKA-NGOMA 24h'!E36,'21.10 KAPEEKA-NGOMA-24h'!E36,'23.10 KAPEEKA-NGOMA'!E36)</f>
        <v>0.14285714285714285</v>
      </c>
      <c r="F36" s="49">
        <f>AVERAGE('17.10 KAPEEKA-NGOMA'!F36,'18.10 KAPEEKA-NGOMA'!F36,'20.10 KAPEEKA-NGOMA'!F36,'22.10 KAPEEKA-NGOMA'!F36,'19.10 KAPEEKA-NGOMA 24h'!F36,'21.10 KAPEEKA-NGOMA-24h'!F36,'23.10 KAPEEKA-NGOMA'!F36)</f>
        <v>1</v>
      </c>
      <c r="G36" s="49">
        <f>AVERAGE('17.10 KAPEEKA-NGOMA'!G36,'18.10 KAPEEKA-NGOMA'!G36,'20.10 KAPEEKA-NGOMA'!G36,'22.10 KAPEEKA-NGOMA'!G36,'19.10 KAPEEKA-NGOMA 24h'!G36,'21.10 KAPEEKA-NGOMA-24h'!G36,'23.10 KAPEEKA-NGOMA'!G36)</f>
        <v>0</v>
      </c>
      <c r="H36" s="49">
        <f>AVERAGE('17.10 KAPEEKA-NGOMA'!H36,'18.10 KAPEEKA-NGOMA'!H36,'20.10 KAPEEKA-NGOMA'!H36,'22.10 KAPEEKA-NGOMA'!H36,'19.10 KAPEEKA-NGOMA 24h'!H36,'21.10 KAPEEKA-NGOMA-24h'!H36,'23.10 KAPEEKA-NGOMA'!H36)</f>
        <v>0</v>
      </c>
      <c r="I36" s="49">
        <f>AVERAGE('17.10 KAPEEKA-NGOMA'!I36,'18.10 KAPEEKA-NGOMA'!I36,'20.10 KAPEEKA-NGOMA'!I36,'22.10 KAPEEKA-NGOMA'!I36,'19.10 KAPEEKA-NGOMA 24h'!I36,'21.10 KAPEEKA-NGOMA-24h'!I36,'23.10 KAPEEKA-NGOMA'!I36)</f>
        <v>0.5714285714285714</v>
      </c>
      <c r="J36" s="49">
        <f>AVERAGE('17.10 KAPEEKA-NGOMA'!J36,'18.10 KAPEEKA-NGOMA'!J36,'20.10 KAPEEKA-NGOMA'!J36,'22.10 KAPEEKA-NGOMA'!J36,'19.10 KAPEEKA-NGOMA 24h'!J36,'21.10 KAPEEKA-NGOMA-24h'!J36,'23.10 KAPEEKA-NGOMA'!J36)</f>
        <v>0</v>
      </c>
      <c r="K36" s="49">
        <f>AVERAGE('17.10 KAPEEKA-NGOMA'!K36,'18.10 KAPEEKA-NGOMA'!K36,'20.10 KAPEEKA-NGOMA'!K36,'22.10 KAPEEKA-NGOMA'!K36,'19.10 KAPEEKA-NGOMA 24h'!K36,'21.10 KAPEEKA-NGOMA-24h'!K36,'23.10 KAPEEKA-NGOMA'!K36)</f>
        <v>0</v>
      </c>
      <c r="L36" s="49">
        <f>AVERAGE('17.10 KAPEEKA-NGOMA'!L36,'18.10 KAPEEKA-NGOMA'!L36,'20.10 KAPEEKA-NGOMA'!L36,'22.10 KAPEEKA-NGOMA'!L36,'19.10 KAPEEKA-NGOMA 24h'!L36,'21.10 KAPEEKA-NGOMA-24h'!L36,'23.10 KAPEEKA-NGOMA'!L36)</f>
        <v>0</v>
      </c>
      <c r="M36" s="49">
        <f>AVERAGE('17.10 KAPEEKA-NGOMA'!M36,'18.10 KAPEEKA-NGOMA'!M36,'20.10 KAPEEKA-NGOMA'!M36,'22.10 KAPEEKA-NGOMA'!M36,'19.10 KAPEEKA-NGOMA 24h'!M36,'21.10 KAPEEKA-NGOMA-24h'!M36,'23.10 KAPEEKA-NGOMA'!M36)</f>
        <v>4.8571428571428568</v>
      </c>
      <c r="N36" s="49">
        <f>AVERAGE('17.10 KAPEEKA-NGOMA'!N36,'18.10 KAPEEKA-NGOMA'!N36,'20.10 KAPEEKA-NGOMA'!N36,'22.10 KAPEEKA-NGOMA'!N36,'19.10 KAPEEKA-NGOMA 24h'!N36,'21.10 KAPEEKA-NGOMA-24h'!N36,'23.10 KAPEEKA-NGOMA'!N36)</f>
        <v>0</v>
      </c>
      <c r="O36" s="15">
        <f t="shared" si="0"/>
        <v>2.1428571428571428</v>
      </c>
      <c r="P36" s="15">
        <f t="shared" si="1"/>
        <v>7</v>
      </c>
      <c r="R36" s="38" t="s">
        <v>92</v>
      </c>
      <c r="S36" s="39">
        <f t="shared" ref="S36:AF36" si="28">MAX(S19:S21)</f>
        <v>2.8571428571428568</v>
      </c>
      <c r="T36" s="39">
        <f t="shared" si="28"/>
        <v>0.71428571428571419</v>
      </c>
      <c r="U36" s="39">
        <f t="shared" si="28"/>
        <v>1.4285714285714284</v>
      </c>
      <c r="V36" s="39">
        <f t="shared" si="28"/>
        <v>3</v>
      </c>
      <c r="W36" s="39">
        <f t="shared" si="28"/>
        <v>0.14285714285714285</v>
      </c>
      <c r="X36" s="39">
        <f t="shared" si="28"/>
        <v>0</v>
      </c>
      <c r="Y36" s="39">
        <f t="shared" si="28"/>
        <v>1.7142857142857142</v>
      </c>
      <c r="Z36" s="39">
        <f t="shared" si="28"/>
        <v>0.99999999999999989</v>
      </c>
      <c r="AA36" s="39">
        <f t="shared" si="28"/>
        <v>0.2857142857142857</v>
      </c>
      <c r="AB36" s="39">
        <f t="shared" si="28"/>
        <v>0.2857142857142857</v>
      </c>
      <c r="AC36" s="39">
        <f t="shared" si="28"/>
        <v>18.857142857142858</v>
      </c>
      <c r="AD36" s="39">
        <f t="shared" si="28"/>
        <v>0</v>
      </c>
      <c r="AE36" s="40">
        <f t="shared" si="28"/>
        <v>9.4285714285714288</v>
      </c>
      <c r="AF36" s="40">
        <f t="shared" si="28"/>
        <v>27.571428571428569</v>
      </c>
    </row>
    <row r="37" spans="2:32" ht="23.1" customHeight="1" x14ac:dyDescent="0.25">
      <c r="B37" s="23" t="s">
        <v>64</v>
      </c>
      <c r="C37" s="49">
        <f>AVERAGE('17.10 KAPEEKA-NGOMA'!C37,'18.10 KAPEEKA-NGOMA'!C37,'20.10 KAPEEKA-NGOMA'!C37,'22.10 KAPEEKA-NGOMA'!C37,'19.10 KAPEEKA-NGOMA 24h'!C37,'21.10 KAPEEKA-NGOMA-24h'!C37,'23.10 KAPEEKA-NGOMA'!C37)</f>
        <v>0.14285714285714285</v>
      </c>
      <c r="D37" s="49">
        <f>AVERAGE('17.10 KAPEEKA-NGOMA'!D37,'18.10 KAPEEKA-NGOMA'!D37,'20.10 KAPEEKA-NGOMA'!D37,'22.10 KAPEEKA-NGOMA'!D37,'19.10 KAPEEKA-NGOMA 24h'!D37,'21.10 KAPEEKA-NGOMA-24h'!D37,'23.10 KAPEEKA-NGOMA'!D37)</f>
        <v>0</v>
      </c>
      <c r="E37" s="49">
        <f>AVERAGE('17.10 KAPEEKA-NGOMA'!E37,'18.10 KAPEEKA-NGOMA'!E37,'20.10 KAPEEKA-NGOMA'!E37,'22.10 KAPEEKA-NGOMA'!E37,'19.10 KAPEEKA-NGOMA 24h'!E37,'21.10 KAPEEKA-NGOMA-24h'!E37,'23.10 KAPEEKA-NGOMA'!E37)</f>
        <v>0.14285714285714285</v>
      </c>
      <c r="F37" s="49">
        <f>AVERAGE('17.10 KAPEEKA-NGOMA'!F37,'18.10 KAPEEKA-NGOMA'!F37,'20.10 KAPEEKA-NGOMA'!F37,'22.10 KAPEEKA-NGOMA'!F37,'19.10 KAPEEKA-NGOMA 24h'!F37,'21.10 KAPEEKA-NGOMA-24h'!F37,'23.10 KAPEEKA-NGOMA'!F37)</f>
        <v>0.7142857142857143</v>
      </c>
      <c r="G37" s="49">
        <f>AVERAGE('17.10 KAPEEKA-NGOMA'!G37,'18.10 KAPEEKA-NGOMA'!G37,'20.10 KAPEEKA-NGOMA'!G37,'22.10 KAPEEKA-NGOMA'!G37,'19.10 KAPEEKA-NGOMA 24h'!G37,'21.10 KAPEEKA-NGOMA-24h'!G37,'23.10 KAPEEKA-NGOMA'!G37)</f>
        <v>0</v>
      </c>
      <c r="H37" s="49">
        <f>AVERAGE('17.10 KAPEEKA-NGOMA'!H37,'18.10 KAPEEKA-NGOMA'!H37,'20.10 KAPEEKA-NGOMA'!H37,'22.10 KAPEEKA-NGOMA'!H37,'19.10 KAPEEKA-NGOMA 24h'!H37,'21.10 KAPEEKA-NGOMA-24h'!H37,'23.10 KAPEEKA-NGOMA'!H37)</f>
        <v>0</v>
      </c>
      <c r="I37" s="49">
        <f>AVERAGE('17.10 KAPEEKA-NGOMA'!I37,'18.10 KAPEEKA-NGOMA'!I37,'20.10 KAPEEKA-NGOMA'!I37,'22.10 KAPEEKA-NGOMA'!I37,'19.10 KAPEEKA-NGOMA 24h'!I37,'21.10 KAPEEKA-NGOMA-24h'!I37,'23.10 KAPEEKA-NGOMA'!I37)</f>
        <v>1.2857142857142858</v>
      </c>
      <c r="J37" s="49">
        <f>AVERAGE('17.10 KAPEEKA-NGOMA'!J37,'18.10 KAPEEKA-NGOMA'!J37,'20.10 KAPEEKA-NGOMA'!J37,'22.10 KAPEEKA-NGOMA'!J37,'19.10 KAPEEKA-NGOMA 24h'!J37,'21.10 KAPEEKA-NGOMA-24h'!J37,'23.10 KAPEEKA-NGOMA'!J37)</f>
        <v>0</v>
      </c>
      <c r="K37" s="49">
        <f>AVERAGE('17.10 KAPEEKA-NGOMA'!K37,'18.10 KAPEEKA-NGOMA'!K37,'20.10 KAPEEKA-NGOMA'!K37,'22.10 KAPEEKA-NGOMA'!K37,'19.10 KAPEEKA-NGOMA 24h'!K37,'21.10 KAPEEKA-NGOMA-24h'!K37,'23.10 KAPEEKA-NGOMA'!K37)</f>
        <v>0</v>
      </c>
      <c r="L37" s="49">
        <f>AVERAGE('17.10 KAPEEKA-NGOMA'!L37,'18.10 KAPEEKA-NGOMA'!L37,'20.10 KAPEEKA-NGOMA'!L37,'22.10 KAPEEKA-NGOMA'!L37,'19.10 KAPEEKA-NGOMA 24h'!L37,'21.10 KAPEEKA-NGOMA-24h'!L37,'23.10 KAPEEKA-NGOMA'!L37)</f>
        <v>0</v>
      </c>
      <c r="M37" s="49">
        <f>AVERAGE('17.10 KAPEEKA-NGOMA'!M37,'18.10 KAPEEKA-NGOMA'!M37,'20.10 KAPEEKA-NGOMA'!M37,'22.10 KAPEEKA-NGOMA'!M37,'19.10 KAPEEKA-NGOMA 24h'!M37,'21.10 KAPEEKA-NGOMA-24h'!M37,'23.10 KAPEEKA-NGOMA'!M37)</f>
        <v>4</v>
      </c>
      <c r="N37" s="49">
        <f>AVERAGE('17.10 KAPEEKA-NGOMA'!N37,'18.10 KAPEEKA-NGOMA'!N37,'20.10 KAPEEKA-NGOMA'!N37,'22.10 KAPEEKA-NGOMA'!N37,'19.10 KAPEEKA-NGOMA 24h'!N37,'21.10 KAPEEKA-NGOMA-24h'!N37,'23.10 KAPEEKA-NGOMA'!N37)</f>
        <v>0</v>
      </c>
      <c r="O37" s="15">
        <f t="shared" si="0"/>
        <v>2.2857142857142856</v>
      </c>
      <c r="P37" s="15">
        <f t="shared" si="1"/>
        <v>6.2857142857142856</v>
      </c>
      <c r="R37" s="37" t="s">
        <v>85</v>
      </c>
      <c r="S37" s="52">
        <f t="shared" ref="S37:AF37" si="29">SUM(S10:S12)</f>
        <v>4.5714285714285712</v>
      </c>
      <c r="T37" s="53">
        <f t="shared" si="29"/>
        <v>2.5714285714285712</v>
      </c>
      <c r="U37" s="53">
        <f t="shared" si="29"/>
        <v>3.4285714285714279</v>
      </c>
      <c r="V37" s="53">
        <f t="shared" si="29"/>
        <v>0.2857142857142857</v>
      </c>
      <c r="W37" s="53">
        <f t="shared" si="29"/>
        <v>0</v>
      </c>
      <c r="X37" s="53">
        <f t="shared" si="29"/>
        <v>0</v>
      </c>
      <c r="Y37" s="53">
        <f t="shared" si="29"/>
        <v>8.4285714285714288</v>
      </c>
      <c r="Z37" s="53">
        <f t="shared" si="29"/>
        <v>1.4285714285714284</v>
      </c>
      <c r="AA37" s="53">
        <f t="shared" si="29"/>
        <v>0.2857142857142857</v>
      </c>
      <c r="AB37" s="53">
        <f t="shared" si="29"/>
        <v>0.8571428571428571</v>
      </c>
      <c r="AC37" s="53">
        <f t="shared" si="29"/>
        <v>46.142857142857146</v>
      </c>
      <c r="AD37" s="53">
        <f t="shared" si="29"/>
        <v>0.14285714285714285</v>
      </c>
      <c r="AE37" s="54">
        <f t="shared" si="29"/>
        <v>22</v>
      </c>
      <c r="AF37" s="54">
        <f t="shared" si="29"/>
        <v>68.142857142857153</v>
      </c>
    </row>
    <row r="38" spans="2:32" ht="23.1" customHeight="1" x14ac:dyDescent="0.25">
      <c r="B38" s="24" t="s">
        <v>65</v>
      </c>
      <c r="C38" s="49">
        <f>AVERAGE('17.10 KAPEEKA-NGOMA'!C38,'18.10 KAPEEKA-NGOMA'!C38,'20.10 KAPEEKA-NGOMA'!C38,'22.10 KAPEEKA-NGOMA'!C38,'19.10 KAPEEKA-NGOMA 24h'!C38,'21.10 KAPEEKA-NGOMA-24h'!C38,'23.10 KAPEEKA-NGOMA'!C38)</f>
        <v>0.5714285714285714</v>
      </c>
      <c r="D38" s="49">
        <f>AVERAGE('17.10 KAPEEKA-NGOMA'!D38,'18.10 KAPEEKA-NGOMA'!D38,'20.10 KAPEEKA-NGOMA'!D38,'22.10 KAPEEKA-NGOMA'!D38,'19.10 KAPEEKA-NGOMA 24h'!D38,'21.10 KAPEEKA-NGOMA-24h'!D38,'23.10 KAPEEKA-NGOMA'!D38)</f>
        <v>0</v>
      </c>
      <c r="E38" s="49">
        <f>AVERAGE('17.10 KAPEEKA-NGOMA'!E38,'18.10 KAPEEKA-NGOMA'!E38,'20.10 KAPEEKA-NGOMA'!E38,'22.10 KAPEEKA-NGOMA'!E38,'19.10 KAPEEKA-NGOMA 24h'!E38,'21.10 KAPEEKA-NGOMA-24h'!E38,'23.10 KAPEEKA-NGOMA'!E38)</f>
        <v>0.14285714285714285</v>
      </c>
      <c r="F38" s="49">
        <f>AVERAGE('17.10 KAPEEKA-NGOMA'!F38,'18.10 KAPEEKA-NGOMA'!F38,'20.10 KAPEEKA-NGOMA'!F38,'22.10 KAPEEKA-NGOMA'!F38,'19.10 KAPEEKA-NGOMA 24h'!F38,'21.10 KAPEEKA-NGOMA-24h'!F38,'23.10 KAPEEKA-NGOMA'!F38)</f>
        <v>0.7142857142857143</v>
      </c>
      <c r="G38" s="49">
        <f>AVERAGE('17.10 KAPEEKA-NGOMA'!G38,'18.10 KAPEEKA-NGOMA'!G38,'20.10 KAPEEKA-NGOMA'!G38,'22.10 KAPEEKA-NGOMA'!G38,'19.10 KAPEEKA-NGOMA 24h'!G38,'21.10 KAPEEKA-NGOMA-24h'!G38,'23.10 KAPEEKA-NGOMA'!G38)</f>
        <v>0</v>
      </c>
      <c r="H38" s="49">
        <f>AVERAGE('17.10 KAPEEKA-NGOMA'!H38,'18.10 KAPEEKA-NGOMA'!H38,'20.10 KAPEEKA-NGOMA'!H38,'22.10 KAPEEKA-NGOMA'!H38,'19.10 KAPEEKA-NGOMA 24h'!H38,'21.10 KAPEEKA-NGOMA-24h'!H38,'23.10 KAPEEKA-NGOMA'!H38)</f>
        <v>0</v>
      </c>
      <c r="I38" s="49">
        <f>AVERAGE('17.10 KAPEEKA-NGOMA'!I38,'18.10 KAPEEKA-NGOMA'!I38,'20.10 KAPEEKA-NGOMA'!I38,'22.10 KAPEEKA-NGOMA'!I38,'19.10 KAPEEKA-NGOMA 24h'!I38,'21.10 KAPEEKA-NGOMA-24h'!I38,'23.10 KAPEEKA-NGOMA'!I38)</f>
        <v>0.2857142857142857</v>
      </c>
      <c r="J38" s="49">
        <f>AVERAGE('17.10 KAPEEKA-NGOMA'!J38,'18.10 KAPEEKA-NGOMA'!J38,'20.10 KAPEEKA-NGOMA'!J38,'22.10 KAPEEKA-NGOMA'!J38,'19.10 KAPEEKA-NGOMA 24h'!J38,'21.10 KAPEEKA-NGOMA-24h'!J38,'23.10 KAPEEKA-NGOMA'!J38)</f>
        <v>0</v>
      </c>
      <c r="K38" s="49">
        <f>AVERAGE('17.10 KAPEEKA-NGOMA'!K38,'18.10 KAPEEKA-NGOMA'!K38,'20.10 KAPEEKA-NGOMA'!K38,'22.10 KAPEEKA-NGOMA'!K38,'19.10 KAPEEKA-NGOMA 24h'!K38,'21.10 KAPEEKA-NGOMA-24h'!K38,'23.10 KAPEEKA-NGOMA'!K38)</f>
        <v>0</v>
      </c>
      <c r="L38" s="49">
        <f>AVERAGE('17.10 KAPEEKA-NGOMA'!L38,'18.10 KAPEEKA-NGOMA'!L38,'20.10 KAPEEKA-NGOMA'!L38,'22.10 KAPEEKA-NGOMA'!L38,'19.10 KAPEEKA-NGOMA 24h'!L38,'21.10 KAPEEKA-NGOMA-24h'!L38,'23.10 KAPEEKA-NGOMA'!L38)</f>
        <v>0</v>
      </c>
      <c r="M38" s="49">
        <f>AVERAGE('17.10 KAPEEKA-NGOMA'!M38,'18.10 KAPEEKA-NGOMA'!M38,'20.10 KAPEEKA-NGOMA'!M38,'22.10 KAPEEKA-NGOMA'!M38,'19.10 KAPEEKA-NGOMA 24h'!M38,'21.10 KAPEEKA-NGOMA-24h'!M38,'23.10 KAPEEKA-NGOMA'!M38)</f>
        <v>3</v>
      </c>
      <c r="N38" s="49">
        <f>AVERAGE('17.10 KAPEEKA-NGOMA'!N38,'18.10 KAPEEKA-NGOMA'!N38,'20.10 KAPEEKA-NGOMA'!N38,'22.10 KAPEEKA-NGOMA'!N38,'19.10 KAPEEKA-NGOMA 24h'!N38,'21.10 KAPEEKA-NGOMA-24h'!N38,'23.10 KAPEEKA-NGOMA'!N38)</f>
        <v>0.14285714285714285</v>
      </c>
      <c r="O38" s="15">
        <f t="shared" si="0"/>
        <v>1.8571428571428568</v>
      </c>
      <c r="P38" s="15">
        <f t="shared" si="1"/>
        <v>4.8571428571428568</v>
      </c>
      <c r="R38" s="28" t="s">
        <v>86</v>
      </c>
      <c r="S38" s="53">
        <f t="shared" ref="S38:AF38" si="30">SUM(S13:S18)</f>
        <v>13.714285714285714</v>
      </c>
      <c r="T38" s="53">
        <f t="shared" si="30"/>
        <v>2.9999999999999996</v>
      </c>
      <c r="U38" s="53">
        <f t="shared" si="30"/>
        <v>8.9999999999999982</v>
      </c>
      <c r="V38" s="53">
        <f t="shared" si="30"/>
        <v>10.714285714285714</v>
      </c>
      <c r="W38" s="53">
        <f t="shared" si="30"/>
        <v>0.2857142857142857</v>
      </c>
      <c r="X38" s="53">
        <f t="shared" si="30"/>
        <v>0</v>
      </c>
      <c r="Y38" s="53">
        <f t="shared" si="30"/>
        <v>16.571428571428569</v>
      </c>
      <c r="Z38" s="53">
        <f t="shared" si="30"/>
        <v>3.2857142857142847</v>
      </c>
      <c r="AA38" s="53">
        <f t="shared" si="30"/>
        <v>0.5714285714285714</v>
      </c>
      <c r="AB38" s="53">
        <f t="shared" si="30"/>
        <v>0.14285714285714285</v>
      </c>
      <c r="AC38" s="53">
        <f t="shared" si="30"/>
        <v>117.71428571428574</v>
      </c>
      <c r="AD38" s="53">
        <f t="shared" si="30"/>
        <v>0.5714285714285714</v>
      </c>
      <c r="AE38" s="54">
        <f t="shared" si="30"/>
        <v>57.857142857142854</v>
      </c>
      <c r="AF38" s="54">
        <f t="shared" si="30"/>
        <v>175.57142857142858</v>
      </c>
    </row>
    <row r="39" spans="2:32" ht="23.1" customHeight="1" x14ac:dyDescent="0.25">
      <c r="B39" s="24" t="s">
        <v>66</v>
      </c>
      <c r="C39" s="49">
        <f>AVERAGE('17.10 KAPEEKA-NGOMA'!C39,'18.10 KAPEEKA-NGOMA'!C39,'20.10 KAPEEKA-NGOMA'!C39,'22.10 KAPEEKA-NGOMA'!C39,'19.10 KAPEEKA-NGOMA 24h'!C39,'21.10 KAPEEKA-NGOMA-24h'!C39,'23.10 KAPEEKA-NGOMA'!C39)</f>
        <v>0.14285714285714285</v>
      </c>
      <c r="D39" s="49">
        <f>AVERAGE('17.10 KAPEEKA-NGOMA'!D39,'18.10 KAPEEKA-NGOMA'!D39,'20.10 KAPEEKA-NGOMA'!D39,'22.10 KAPEEKA-NGOMA'!D39,'19.10 KAPEEKA-NGOMA 24h'!D39,'21.10 KAPEEKA-NGOMA-24h'!D39,'23.10 KAPEEKA-NGOMA'!D39)</f>
        <v>0</v>
      </c>
      <c r="E39" s="49">
        <f>AVERAGE('17.10 KAPEEKA-NGOMA'!E39,'18.10 KAPEEKA-NGOMA'!E39,'20.10 KAPEEKA-NGOMA'!E39,'22.10 KAPEEKA-NGOMA'!E39,'19.10 KAPEEKA-NGOMA 24h'!E39,'21.10 KAPEEKA-NGOMA-24h'!E39,'23.10 KAPEEKA-NGOMA'!E39)</f>
        <v>0.42857142857142855</v>
      </c>
      <c r="F39" s="49">
        <f>AVERAGE('17.10 KAPEEKA-NGOMA'!F39,'18.10 KAPEEKA-NGOMA'!F39,'20.10 KAPEEKA-NGOMA'!F39,'22.10 KAPEEKA-NGOMA'!F39,'19.10 KAPEEKA-NGOMA 24h'!F39,'21.10 KAPEEKA-NGOMA-24h'!F39,'23.10 KAPEEKA-NGOMA'!F39)</f>
        <v>0.42857142857142855</v>
      </c>
      <c r="G39" s="49">
        <f>AVERAGE('17.10 KAPEEKA-NGOMA'!G39,'18.10 KAPEEKA-NGOMA'!G39,'20.10 KAPEEKA-NGOMA'!G39,'22.10 KAPEEKA-NGOMA'!G39,'19.10 KAPEEKA-NGOMA 24h'!G39,'21.10 KAPEEKA-NGOMA-24h'!G39,'23.10 KAPEEKA-NGOMA'!G39)</f>
        <v>0</v>
      </c>
      <c r="H39" s="49">
        <f>AVERAGE('17.10 KAPEEKA-NGOMA'!H39,'18.10 KAPEEKA-NGOMA'!H39,'20.10 KAPEEKA-NGOMA'!H39,'22.10 KAPEEKA-NGOMA'!H39,'19.10 KAPEEKA-NGOMA 24h'!H39,'21.10 KAPEEKA-NGOMA-24h'!H39,'23.10 KAPEEKA-NGOMA'!H39)</f>
        <v>0</v>
      </c>
      <c r="I39" s="49">
        <f>AVERAGE('17.10 KAPEEKA-NGOMA'!I39,'18.10 KAPEEKA-NGOMA'!I39,'20.10 KAPEEKA-NGOMA'!I39,'22.10 KAPEEKA-NGOMA'!I39,'19.10 KAPEEKA-NGOMA 24h'!I39,'21.10 KAPEEKA-NGOMA-24h'!I39,'23.10 KAPEEKA-NGOMA'!I39)</f>
        <v>1.2857142857142858</v>
      </c>
      <c r="J39" s="49">
        <f>AVERAGE('17.10 KAPEEKA-NGOMA'!J39,'18.10 KAPEEKA-NGOMA'!J39,'20.10 KAPEEKA-NGOMA'!J39,'22.10 KAPEEKA-NGOMA'!J39,'19.10 KAPEEKA-NGOMA 24h'!J39,'21.10 KAPEEKA-NGOMA-24h'!J39,'23.10 KAPEEKA-NGOMA'!J39)</f>
        <v>0</v>
      </c>
      <c r="K39" s="49">
        <f>AVERAGE('17.10 KAPEEKA-NGOMA'!K39,'18.10 KAPEEKA-NGOMA'!K39,'20.10 KAPEEKA-NGOMA'!K39,'22.10 KAPEEKA-NGOMA'!K39,'19.10 KAPEEKA-NGOMA 24h'!K39,'21.10 KAPEEKA-NGOMA-24h'!K39,'23.10 KAPEEKA-NGOMA'!K39)</f>
        <v>0</v>
      </c>
      <c r="L39" s="49">
        <f>AVERAGE('17.10 KAPEEKA-NGOMA'!L39,'18.10 KAPEEKA-NGOMA'!L39,'20.10 KAPEEKA-NGOMA'!L39,'22.10 KAPEEKA-NGOMA'!L39,'19.10 KAPEEKA-NGOMA 24h'!L39,'21.10 KAPEEKA-NGOMA-24h'!L39,'23.10 KAPEEKA-NGOMA'!L39)</f>
        <v>0</v>
      </c>
      <c r="M39" s="49">
        <f>AVERAGE('17.10 KAPEEKA-NGOMA'!M39,'18.10 KAPEEKA-NGOMA'!M39,'20.10 KAPEEKA-NGOMA'!M39,'22.10 KAPEEKA-NGOMA'!M39,'19.10 KAPEEKA-NGOMA 24h'!M39,'21.10 KAPEEKA-NGOMA-24h'!M39,'23.10 KAPEEKA-NGOMA'!M39)</f>
        <v>5.8571428571428568</v>
      </c>
      <c r="N39" s="49">
        <f>AVERAGE('17.10 KAPEEKA-NGOMA'!N39,'18.10 KAPEEKA-NGOMA'!N39,'20.10 KAPEEKA-NGOMA'!N39,'22.10 KAPEEKA-NGOMA'!N39,'19.10 KAPEEKA-NGOMA 24h'!N39,'21.10 KAPEEKA-NGOMA-24h'!N39,'23.10 KAPEEKA-NGOMA'!N39)</f>
        <v>0</v>
      </c>
      <c r="O39" s="15">
        <f t="shared" si="0"/>
        <v>2.2857142857142856</v>
      </c>
      <c r="P39" s="15">
        <f t="shared" si="1"/>
        <v>8.1428571428571423</v>
      </c>
      <c r="R39" s="29" t="s">
        <v>87</v>
      </c>
      <c r="S39" s="53">
        <f t="shared" ref="S39:AF39" si="31">SUM(S19:S21)</f>
        <v>6.9999999999999991</v>
      </c>
      <c r="T39" s="53">
        <f t="shared" si="31"/>
        <v>1.5714285714285712</v>
      </c>
      <c r="U39" s="53">
        <f t="shared" si="31"/>
        <v>3.4285714285714284</v>
      </c>
      <c r="V39" s="53">
        <f t="shared" si="31"/>
        <v>6.8571428571428568</v>
      </c>
      <c r="W39" s="53">
        <f t="shared" si="31"/>
        <v>0.2857142857142857</v>
      </c>
      <c r="X39" s="53">
        <f t="shared" si="31"/>
        <v>0</v>
      </c>
      <c r="Y39" s="53">
        <f t="shared" si="31"/>
        <v>5</v>
      </c>
      <c r="Z39" s="53">
        <f t="shared" si="31"/>
        <v>1.8571428571428568</v>
      </c>
      <c r="AA39" s="53">
        <f t="shared" si="31"/>
        <v>0.42857142857142855</v>
      </c>
      <c r="AB39" s="53">
        <f t="shared" si="31"/>
        <v>0.2857142857142857</v>
      </c>
      <c r="AC39" s="53">
        <f t="shared" si="31"/>
        <v>52.571428571428569</v>
      </c>
      <c r="AD39" s="53">
        <f t="shared" si="31"/>
        <v>0</v>
      </c>
      <c r="AE39" s="54">
        <f t="shared" si="31"/>
        <v>26.714285714285715</v>
      </c>
      <c r="AF39" s="54">
        <f t="shared" si="31"/>
        <v>79.285714285714278</v>
      </c>
    </row>
    <row r="40" spans="2:32" ht="23.1" customHeight="1" x14ac:dyDescent="0.25">
      <c r="B40" s="24" t="s">
        <v>67</v>
      </c>
      <c r="C40" s="49">
        <f>AVERAGE('17.10 KAPEEKA-NGOMA'!C40,'18.10 KAPEEKA-NGOMA'!C40,'20.10 KAPEEKA-NGOMA'!C40,'22.10 KAPEEKA-NGOMA'!C40,'19.10 KAPEEKA-NGOMA 24h'!C40,'21.10 KAPEEKA-NGOMA-24h'!C40,'23.10 KAPEEKA-NGOMA'!C40)</f>
        <v>0.5714285714285714</v>
      </c>
      <c r="D40" s="49">
        <f>AVERAGE('17.10 KAPEEKA-NGOMA'!D40,'18.10 KAPEEKA-NGOMA'!D40,'20.10 KAPEEKA-NGOMA'!D40,'22.10 KAPEEKA-NGOMA'!D40,'19.10 KAPEEKA-NGOMA 24h'!D40,'21.10 KAPEEKA-NGOMA-24h'!D40,'23.10 KAPEEKA-NGOMA'!D40)</f>
        <v>0.14285714285714285</v>
      </c>
      <c r="E40" s="49">
        <f>AVERAGE('17.10 KAPEEKA-NGOMA'!E40,'18.10 KAPEEKA-NGOMA'!E40,'20.10 KAPEEKA-NGOMA'!E40,'22.10 KAPEEKA-NGOMA'!E40,'19.10 KAPEEKA-NGOMA 24h'!E40,'21.10 KAPEEKA-NGOMA-24h'!E40,'23.10 KAPEEKA-NGOMA'!E40)</f>
        <v>0.2857142857142857</v>
      </c>
      <c r="F40" s="49">
        <f>AVERAGE('17.10 KAPEEKA-NGOMA'!F40,'18.10 KAPEEKA-NGOMA'!F40,'20.10 KAPEEKA-NGOMA'!F40,'22.10 KAPEEKA-NGOMA'!F40,'19.10 KAPEEKA-NGOMA 24h'!F40,'21.10 KAPEEKA-NGOMA-24h'!F40,'23.10 KAPEEKA-NGOMA'!F40)</f>
        <v>0.14285714285714285</v>
      </c>
      <c r="G40" s="49">
        <f>AVERAGE('17.10 KAPEEKA-NGOMA'!G40,'18.10 KAPEEKA-NGOMA'!G40,'20.10 KAPEEKA-NGOMA'!G40,'22.10 KAPEEKA-NGOMA'!G40,'19.10 KAPEEKA-NGOMA 24h'!G40,'21.10 KAPEEKA-NGOMA-24h'!G40,'23.10 KAPEEKA-NGOMA'!G40)</f>
        <v>0</v>
      </c>
      <c r="H40" s="49">
        <f>AVERAGE('17.10 KAPEEKA-NGOMA'!H40,'18.10 KAPEEKA-NGOMA'!H40,'20.10 KAPEEKA-NGOMA'!H40,'22.10 KAPEEKA-NGOMA'!H40,'19.10 KAPEEKA-NGOMA 24h'!H40,'21.10 KAPEEKA-NGOMA-24h'!H40,'23.10 KAPEEKA-NGOMA'!H40)</f>
        <v>0</v>
      </c>
      <c r="I40" s="49">
        <f>AVERAGE('17.10 KAPEEKA-NGOMA'!I40,'18.10 KAPEEKA-NGOMA'!I40,'20.10 KAPEEKA-NGOMA'!I40,'22.10 KAPEEKA-NGOMA'!I40,'19.10 KAPEEKA-NGOMA 24h'!I40,'21.10 KAPEEKA-NGOMA-24h'!I40,'23.10 KAPEEKA-NGOMA'!I40)</f>
        <v>0.5714285714285714</v>
      </c>
      <c r="J40" s="49">
        <f>AVERAGE('17.10 KAPEEKA-NGOMA'!J40,'18.10 KAPEEKA-NGOMA'!J40,'20.10 KAPEEKA-NGOMA'!J40,'22.10 KAPEEKA-NGOMA'!J40,'19.10 KAPEEKA-NGOMA 24h'!J40,'21.10 KAPEEKA-NGOMA-24h'!J40,'23.10 KAPEEKA-NGOMA'!J40)</f>
        <v>0</v>
      </c>
      <c r="K40" s="49">
        <f>AVERAGE('17.10 KAPEEKA-NGOMA'!K40,'18.10 KAPEEKA-NGOMA'!K40,'20.10 KAPEEKA-NGOMA'!K40,'22.10 KAPEEKA-NGOMA'!K40,'19.10 KAPEEKA-NGOMA 24h'!K40,'21.10 KAPEEKA-NGOMA-24h'!K40,'23.10 KAPEEKA-NGOMA'!K40)</f>
        <v>0</v>
      </c>
      <c r="L40" s="49">
        <f>AVERAGE('17.10 KAPEEKA-NGOMA'!L40,'18.10 KAPEEKA-NGOMA'!L40,'20.10 KAPEEKA-NGOMA'!L40,'22.10 KAPEEKA-NGOMA'!L40,'19.10 KAPEEKA-NGOMA 24h'!L40,'21.10 KAPEEKA-NGOMA-24h'!L40,'23.10 KAPEEKA-NGOMA'!L40)</f>
        <v>0</v>
      </c>
      <c r="M40" s="49">
        <f>AVERAGE('17.10 KAPEEKA-NGOMA'!M40,'18.10 KAPEEKA-NGOMA'!M40,'20.10 KAPEEKA-NGOMA'!M40,'22.10 KAPEEKA-NGOMA'!M40,'19.10 KAPEEKA-NGOMA 24h'!M40,'21.10 KAPEEKA-NGOMA-24h'!M40,'23.10 KAPEEKA-NGOMA'!M40)</f>
        <v>6.2857142857142856</v>
      </c>
      <c r="N40" s="49">
        <f>AVERAGE('17.10 KAPEEKA-NGOMA'!N40,'18.10 KAPEEKA-NGOMA'!N40,'20.10 KAPEEKA-NGOMA'!N40,'22.10 KAPEEKA-NGOMA'!N40,'19.10 KAPEEKA-NGOMA 24h'!N40,'21.10 KAPEEKA-NGOMA-24h'!N40,'23.10 KAPEEKA-NGOMA'!N40)</f>
        <v>0.14285714285714285</v>
      </c>
      <c r="O40" s="15">
        <f t="shared" si="0"/>
        <v>1.857142857142857</v>
      </c>
      <c r="P40" s="15">
        <f t="shared" si="1"/>
        <v>8.1428571428571423</v>
      </c>
      <c r="R40" s="5" t="s">
        <v>17</v>
      </c>
      <c r="S40" s="53">
        <f t="shared" ref="S40:AF40" si="32">SUM(S10:S21)</f>
        <v>25.285714285714281</v>
      </c>
      <c r="T40" s="53">
        <f t="shared" si="32"/>
        <v>7.1428571428571432</v>
      </c>
      <c r="U40" s="53">
        <f t="shared" si="32"/>
        <v>15.857142857142854</v>
      </c>
      <c r="V40" s="53">
        <f t="shared" si="32"/>
        <v>17.857142857142858</v>
      </c>
      <c r="W40" s="53">
        <f t="shared" si="32"/>
        <v>0.5714285714285714</v>
      </c>
      <c r="X40" s="53">
        <f t="shared" si="32"/>
        <v>0</v>
      </c>
      <c r="Y40" s="53">
        <f t="shared" si="32"/>
        <v>30.000000000000004</v>
      </c>
      <c r="Z40" s="53">
        <f t="shared" si="32"/>
        <v>6.5714285714285712</v>
      </c>
      <c r="AA40" s="53">
        <f t="shared" si="32"/>
        <v>1.2857142857142856</v>
      </c>
      <c r="AB40" s="53">
        <f t="shared" si="32"/>
        <v>1.2857142857142856</v>
      </c>
      <c r="AC40" s="53">
        <f t="shared" si="32"/>
        <v>216.42857142857147</v>
      </c>
      <c r="AD40" s="53">
        <f t="shared" si="32"/>
        <v>0.71428571428571419</v>
      </c>
      <c r="AE40" s="54">
        <f t="shared" si="32"/>
        <v>106.57142857142856</v>
      </c>
      <c r="AF40" s="54">
        <f t="shared" si="32"/>
        <v>323</v>
      </c>
    </row>
    <row r="41" spans="2:32" ht="23.1" customHeight="1" x14ac:dyDescent="0.25">
      <c r="B41" s="23" t="s">
        <v>68</v>
      </c>
      <c r="C41" s="49">
        <f>AVERAGE('17.10 KAPEEKA-NGOMA'!C41,'18.10 KAPEEKA-NGOMA'!C41,'20.10 KAPEEKA-NGOMA'!C41,'22.10 KAPEEKA-NGOMA'!C41,'19.10 KAPEEKA-NGOMA 24h'!C41,'21.10 KAPEEKA-NGOMA-24h'!C41,'23.10 KAPEEKA-NGOMA'!C41)</f>
        <v>2.1428571428571428</v>
      </c>
      <c r="D41" s="49">
        <f>AVERAGE('17.10 KAPEEKA-NGOMA'!D41,'18.10 KAPEEKA-NGOMA'!D41,'20.10 KAPEEKA-NGOMA'!D41,'22.10 KAPEEKA-NGOMA'!D41,'19.10 KAPEEKA-NGOMA 24h'!D41,'21.10 KAPEEKA-NGOMA-24h'!D41,'23.10 KAPEEKA-NGOMA'!D41)</f>
        <v>0</v>
      </c>
      <c r="E41" s="49">
        <f>AVERAGE('17.10 KAPEEKA-NGOMA'!E41,'18.10 KAPEEKA-NGOMA'!E41,'20.10 KAPEEKA-NGOMA'!E41,'22.10 KAPEEKA-NGOMA'!E41,'19.10 KAPEEKA-NGOMA 24h'!E41,'21.10 KAPEEKA-NGOMA-24h'!E41,'23.10 KAPEEKA-NGOMA'!E41)</f>
        <v>0.2857142857142857</v>
      </c>
      <c r="F41" s="49">
        <f>AVERAGE('17.10 KAPEEKA-NGOMA'!F41,'18.10 KAPEEKA-NGOMA'!F41,'20.10 KAPEEKA-NGOMA'!F41,'22.10 KAPEEKA-NGOMA'!F41,'19.10 KAPEEKA-NGOMA 24h'!F41,'21.10 KAPEEKA-NGOMA-24h'!F41,'23.10 KAPEEKA-NGOMA'!F41)</f>
        <v>0.5714285714285714</v>
      </c>
      <c r="G41" s="49">
        <f>AVERAGE('17.10 KAPEEKA-NGOMA'!G41,'18.10 KAPEEKA-NGOMA'!G41,'20.10 KAPEEKA-NGOMA'!G41,'22.10 KAPEEKA-NGOMA'!G41,'19.10 KAPEEKA-NGOMA 24h'!G41,'21.10 KAPEEKA-NGOMA-24h'!G41,'23.10 KAPEEKA-NGOMA'!G41)</f>
        <v>0</v>
      </c>
      <c r="H41" s="49">
        <f>AVERAGE('17.10 KAPEEKA-NGOMA'!H41,'18.10 KAPEEKA-NGOMA'!H41,'20.10 KAPEEKA-NGOMA'!H41,'22.10 KAPEEKA-NGOMA'!H41,'19.10 KAPEEKA-NGOMA 24h'!H41,'21.10 KAPEEKA-NGOMA-24h'!H41,'23.10 KAPEEKA-NGOMA'!H41)</f>
        <v>0</v>
      </c>
      <c r="I41" s="49">
        <f>AVERAGE('17.10 KAPEEKA-NGOMA'!I41,'18.10 KAPEEKA-NGOMA'!I41,'20.10 KAPEEKA-NGOMA'!I41,'22.10 KAPEEKA-NGOMA'!I41,'19.10 KAPEEKA-NGOMA 24h'!I41,'21.10 KAPEEKA-NGOMA-24h'!I41,'23.10 KAPEEKA-NGOMA'!I41)</f>
        <v>0.7142857142857143</v>
      </c>
      <c r="J41" s="49">
        <f>AVERAGE('17.10 KAPEEKA-NGOMA'!J41,'18.10 KAPEEKA-NGOMA'!J41,'20.10 KAPEEKA-NGOMA'!J41,'22.10 KAPEEKA-NGOMA'!J41,'19.10 KAPEEKA-NGOMA 24h'!J41,'21.10 KAPEEKA-NGOMA-24h'!J41,'23.10 KAPEEKA-NGOMA'!J41)</f>
        <v>0.14285714285714285</v>
      </c>
      <c r="K41" s="49">
        <f>AVERAGE('17.10 KAPEEKA-NGOMA'!K41,'18.10 KAPEEKA-NGOMA'!K41,'20.10 KAPEEKA-NGOMA'!K41,'22.10 KAPEEKA-NGOMA'!K41,'19.10 KAPEEKA-NGOMA 24h'!K41,'21.10 KAPEEKA-NGOMA-24h'!K41,'23.10 KAPEEKA-NGOMA'!K41)</f>
        <v>0.14285714285714285</v>
      </c>
      <c r="L41" s="49">
        <f>AVERAGE('17.10 KAPEEKA-NGOMA'!L41,'18.10 KAPEEKA-NGOMA'!L41,'20.10 KAPEEKA-NGOMA'!L41,'22.10 KAPEEKA-NGOMA'!L41,'19.10 KAPEEKA-NGOMA 24h'!L41,'21.10 KAPEEKA-NGOMA-24h'!L41,'23.10 KAPEEKA-NGOMA'!L41)</f>
        <v>0</v>
      </c>
      <c r="M41" s="49">
        <f>AVERAGE('17.10 KAPEEKA-NGOMA'!M41,'18.10 KAPEEKA-NGOMA'!M41,'20.10 KAPEEKA-NGOMA'!M41,'22.10 KAPEEKA-NGOMA'!M41,'19.10 KAPEEKA-NGOMA 24h'!M41,'21.10 KAPEEKA-NGOMA-24h'!M41,'23.10 KAPEEKA-NGOMA'!M41)</f>
        <v>4.5714285714285712</v>
      </c>
      <c r="N41" s="49">
        <f>AVERAGE('17.10 KAPEEKA-NGOMA'!N41,'18.10 KAPEEKA-NGOMA'!N41,'20.10 KAPEEKA-NGOMA'!N41,'22.10 KAPEEKA-NGOMA'!N41,'19.10 KAPEEKA-NGOMA 24h'!N41,'21.10 KAPEEKA-NGOMA-24h'!N41,'23.10 KAPEEKA-NGOMA'!N41)</f>
        <v>0</v>
      </c>
      <c r="O41" s="15">
        <f t="shared" si="0"/>
        <v>4</v>
      </c>
      <c r="P41" s="15">
        <f t="shared" si="1"/>
        <v>8.5714285714285712</v>
      </c>
      <c r="R41" s="5" t="s">
        <v>179</v>
      </c>
      <c r="S41" s="53">
        <f>SUM(S10:S33)</f>
        <v>47.785714285714278</v>
      </c>
      <c r="T41" s="53">
        <f t="shared" ref="T41:AD41" si="33">SUM(T10:T33)</f>
        <v>10.142857142857142</v>
      </c>
      <c r="U41" s="53">
        <f t="shared" si="33"/>
        <v>18.357142857142854</v>
      </c>
      <c r="V41" s="53">
        <f t="shared" si="33"/>
        <v>26.857142857142858</v>
      </c>
      <c r="W41" s="53">
        <f t="shared" si="33"/>
        <v>0.5714285714285714</v>
      </c>
      <c r="X41" s="53">
        <f t="shared" si="33"/>
        <v>1</v>
      </c>
      <c r="Y41" s="53">
        <f t="shared" si="33"/>
        <v>46.5</v>
      </c>
      <c r="Z41" s="53">
        <f t="shared" si="33"/>
        <v>19.071428571428569</v>
      </c>
      <c r="AA41" s="53">
        <f t="shared" si="33"/>
        <v>3.2857142857142856</v>
      </c>
      <c r="AB41" s="53">
        <f t="shared" si="33"/>
        <v>1.7857142857142856</v>
      </c>
      <c r="AC41" s="53">
        <f t="shared" si="33"/>
        <v>274.92857142857144</v>
      </c>
      <c r="AD41" s="53">
        <f t="shared" si="33"/>
        <v>0.71428571428571419</v>
      </c>
      <c r="AE41" s="54">
        <f>SUM(AE10:AE33)</f>
        <v>176.07142857142856</v>
      </c>
      <c r="AF41" s="54">
        <f>SUM(AF10:AF33)</f>
        <v>451</v>
      </c>
    </row>
    <row r="42" spans="2:32" ht="23.1" customHeight="1" x14ac:dyDescent="0.25">
      <c r="B42" s="24" t="s">
        <v>69</v>
      </c>
      <c r="C42" s="49">
        <f>AVERAGE('17.10 KAPEEKA-NGOMA'!C42,'18.10 KAPEEKA-NGOMA'!C42,'20.10 KAPEEKA-NGOMA'!C42,'22.10 KAPEEKA-NGOMA'!C42,'19.10 KAPEEKA-NGOMA 24h'!C42,'21.10 KAPEEKA-NGOMA-24h'!C42,'23.10 KAPEEKA-NGOMA'!C42)</f>
        <v>0.5714285714285714</v>
      </c>
      <c r="D42" s="49">
        <f>AVERAGE('17.10 KAPEEKA-NGOMA'!D42,'18.10 KAPEEKA-NGOMA'!D42,'20.10 KAPEEKA-NGOMA'!D42,'22.10 KAPEEKA-NGOMA'!D42,'19.10 KAPEEKA-NGOMA 24h'!D42,'21.10 KAPEEKA-NGOMA-24h'!D42,'23.10 KAPEEKA-NGOMA'!D42)</f>
        <v>0</v>
      </c>
      <c r="E42" s="49">
        <f>AVERAGE('17.10 KAPEEKA-NGOMA'!E42,'18.10 KAPEEKA-NGOMA'!E42,'20.10 KAPEEKA-NGOMA'!E42,'22.10 KAPEEKA-NGOMA'!E42,'19.10 KAPEEKA-NGOMA 24h'!E42,'21.10 KAPEEKA-NGOMA-24h'!E42,'23.10 KAPEEKA-NGOMA'!E42)</f>
        <v>0.2857142857142857</v>
      </c>
      <c r="F42" s="49">
        <f>AVERAGE('17.10 KAPEEKA-NGOMA'!F42,'18.10 KAPEEKA-NGOMA'!F42,'20.10 KAPEEKA-NGOMA'!F42,'22.10 KAPEEKA-NGOMA'!F42,'19.10 KAPEEKA-NGOMA 24h'!F42,'21.10 KAPEEKA-NGOMA-24h'!F42,'23.10 KAPEEKA-NGOMA'!F42)</f>
        <v>0.7142857142857143</v>
      </c>
      <c r="G42" s="49">
        <f>AVERAGE('17.10 KAPEEKA-NGOMA'!G42,'18.10 KAPEEKA-NGOMA'!G42,'20.10 KAPEEKA-NGOMA'!G42,'22.10 KAPEEKA-NGOMA'!G42,'19.10 KAPEEKA-NGOMA 24h'!G42,'21.10 KAPEEKA-NGOMA-24h'!G42,'23.10 KAPEEKA-NGOMA'!G42)</f>
        <v>0</v>
      </c>
      <c r="H42" s="49">
        <f>AVERAGE('17.10 KAPEEKA-NGOMA'!H42,'18.10 KAPEEKA-NGOMA'!H42,'20.10 KAPEEKA-NGOMA'!H42,'22.10 KAPEEKA-NGOMA'!H42,'19.10 KAPEEKA-NGOMA 24h'!H42,'21.10 KAPEEKA-NGOMA-24h'!H42,'23.10 KAPEEKA-NGOMA'!H42)</f>
        <v>0</v>
      </c>
      <c r="I42" s="49">
        <f>AVERAGE('17.10 KAPEEKA-NGOMA'!I42,'18.10 KAPEEKA-NGOMA'!I42,'20.10 KAPEEKA-NGOMA'!I42,'22.10 KAPEEKA-NGOMA'!I42,'19.10 KAPEEKA-NGOMA 24h'!I42,'21.10 KAPEEKA-NGOMA-24h'!I42,'23.10 KAPEEKA-NGOMA'!I42)</f>
        <v>0.5714285714285714</v>
      </c>
      <c r="J42" s="49">
        <f>AVERAGE('17.10 KAPEEKA-NGOMA'!J42,'18.10 KAPEEKA-NGOMA'!J42,'20.10 KAPEEKA-NGOMA'!J42,'22.10 KAPEEKA-NGOMA'!J42,'19.10 KAPEEKA-NGOMA 24h'!J42,'21.10 KAPEEKA-NGOMA-24h'!J42,'23.10 KAPEEKA-NGOMA'!J42)</f>
        <v>0.14285714285714285</v>
      </c>
      <c r="K42" s="49">
        <f>AVERAGE('17.10 KAPEEKA-NGOMA'!K42,'18.10 KAPEEKA-NGOMA'!K42,'20.10 KAPEEKA-NGOMA'!K42,'22.10 KAPEEKA-NGOMA'!K42,'19.10 KAPEEKA-NGOMA 24h'!K42,'21.10 KAPEEKA-NGOMA-24h'!K42,'23.10 KAPEEKA-NGOMA'!K42)</f>
        <v>0</v>
      </c>
      <c r="L42" s="49">
        <f>AVERAGE('17.10 KAPEEKA-NGOMA'!L42,'18.10 KAPEEKA-NGOMA'!L42,'20.10 KAPEEKA-NGOMA'!L42,'22.10 KAPEEKA-NGOMA'!L42,'19.10 KAPEEKA-NGOMA 24h'!L42,'21.10 KAPEEKA-NGOMA-24h'!L42,'23.10 KAPEEKA-NGOMA'!L42)</f>
        <v>0</v>
      </c>
      <c r="M42" s="49">
        <f>AVERAGE('17.10 KAPEEKA-NGOMA'!M42,'18.10 KAPEEKA-NGOMA'!M42,'20.10 KAPEEKA-NGOMA'!M42,'22.10 KAPEEKA-NGOMA'!M42,'19.10 KAPEEKA-NGOMA 24h'!M42,'21.10 KAPEEKA-NGOMA-24h'!M42,'23.10 KAPEEKA-NGOMA'!M42)</f>
        <v>4.4285714285714288</v>
      </c>
      <c r="N42" s="49">
        <f>AVERAGE('17.10 KAPEEKA-NGOMA'!N42,'18.10 KAPEEKA-NGOMA'!N42,'20.10 KAPEEKA-NGOMA'!N42,'22.10 KAPEEKA-NGOMA'!N42,'19.10 KAPEEKA-NGOMA 24h'!N42,'21.10 KAPEEKA-NGOMA-24h'!N42,'23.10 KAPEEKA-NGOMA'!N42)</f>
        <v>0</v>
      </c>
      <c r="O42" s="15">
        <f t="shared" si="0"/>
        <v>2.2857142857142856</v>
      </c>
      <c r="P42" s="15">
        <f t="shared" si="1"/>
        <v>6.7142857142857144</v>
      </c>
      <c r="R42" s="5" t="s">
        <v>160</v>
      </c>
      <c r="S42" s="48">
        <f>S41/S40</f>
        <v>1.8898305084745763</v>
      </c>
      <c r="T42" s="48">
        <f t="shared" ref="T42:AF42" si="34">T41/T40</f>
        <v>1.42</v>
      </c>
      <c r="U42" s="48">
        <f t="shared" si="34"/>
        <v>1.1576576576576576</v>
      </c>
      <c r="V42" s="48">
        <f t="shared" si="34"/>
        <v>1.504</v>
      </c>
      <c r="W42" s="48">
        <f t="shared" si="34"/>
        <v>1</v>
      </c>
      <c r="X42" s="48" t="e">
        <f t="shared" si="34"/>
        <v>#DIV/0!</v>
      </c>
      <c r="Y42" s="48">
        <f t="shared" si="34"/>
        <v>1.5499999999999998</v>
      </c>
      <c r="Z42" s="48">
        <f t="shared" si="34"/>
        <v>2.902173913043478</v>
      </c>
      <c r="AA42" s="48">
        <f t="shared" si="34"/>
        <v>2.5555555555555558</v>
      </c>
      <c r="AB42" s="48">
        <f t="shared" si="34"/>
        <v>1.3888888888888888</v>
      </c>
      <c r="AC42" s="48">
        <f t="shared" si="34"/>
        <v>1.2702970297029701</v>
      </c>
      <c r="AD42" s="48">
        <f t="shared" si="34"/>
        <v>1</v>
      </c>
      <c r="AE42" s="55">
        <f t="shared" si="34"/>
        <v>1.6521447721179625</v>
      </c>
      <c r="AF42" s="55">
        <f t="shared" si="34"/>
        <v>1.3962848297213621</v>
      </c>
    </row>
    <row r="43" spans="2:32" ht="23.1" customHeight="1" x14ac:dyDescent="0.25">
      <c r="B43" s="23" t="s">
        <v>70</v>
      </c>
      <c r="C43" s="49">
        <f>AVERAGE('17.10 KAPEEKA-NGOMA'!C43,'18.10 KAPEEKA-NGOMA'!C43,'20.10 KAPEEKA-NGOMA'!C43,'22.10 KAPEEKA-NGOMA'!C43,'19.10 KAPEEKA-NGOMA 24h'!C43,'21.10 KAPEEKA-NGOMA-24h'!C43,'23.10 KAPEEKA-NGOMA'!C43)</f>
        <v>0.14285714285714285</v>
      </c>
      <c r="D43" s="49">
        <f>AVERAGE('17.10 KAPEEKA-NGOMA'!D43,'18.10 KAPEEKA-NGOMA'!D43,'20.10 KAPEEKA-NGOMA'!D43,'22.10 KAPEEKA-NGOMA'!D43,'19.10 KAPEEKA-NGOMA 24h'!D43,'21.10 KAPEEKA-NGOMA-24h'!D43,'23.10 KAPEEKA-NGOMA'!D43)</f>
        <v>0.14285714285714285</v>
      </c>
      <c r="E43" s="49">
        <f>AVERAGE('17.10 KAPEEKA-NGOMA'!E43,'18.10 KAPEEKA-NGOMA'!E43,'20.10 KAPEEKA-NGOMA'!E43,'22.10 KAPEEKA-NGOMA'!E43,'19.10 KAPEEKA-NGOMA 24h'!E43,'21.10 KAPEEKA-NGOMA-24h'!E43,'23.10 KAPEEKA-NGOMA'!E43)</f>
        <v>0.42857142857142855</v>
      </c>
      <c r="F43" s="49">
        <f>AVERAGE('17.10 KAPEEKA-NGOMA'!F43,'18.10 KAPEEKA-NGOMA'!F43,'20.10 KAPEEKA-NGOMA'!F43,'22.10 KAPEEKA-NGOMA'!F43,'19.10 KAPEEKA-NGOMA 24h'!F43,'21.10 KAPEEKA-NGOMA-24h'!F43,'23.10 KAPEEKA-NGOMA'!F43)</f>
        <v>0.14285714285714285</v>
      </c>
      <c r="G43" s="49">
        <f>AVERAGE('17.10 KAPEEKA-NGOMA'!G43,'18.10 KAPEEKA-NGOMA'!G43,'20.10 KAPEEKA-NGOMA'!G43,'22.10 KAPEEKA-NGOMA'!G43,'19.10 KAPEEKA-NGOMA 24h'!G43,'21.10 KAPEEKA-NGOMA-24h'!G43,'23.10 KAPEEKA-NGOMA'!G43)</f>
        <v>0</v>
      </c>
      <c r="H43" s="49">
        <f>AVERAGE('17.10 KAPEEKA-NGOMA'!H43,'18.10 KAPEEKA-NGOMA'!H43,'20.10 KAPEEKA-NGOMA'!H43,'22.10 KAPEEKA-NGOMA'!H43,'19.10 KAPEEKA-NGOMA 24h'!H43,'21.10 KAPEEKA-NGOMA-24h'!H43,'23.10 KAPEEKA-NGOMA'!H43)</f>
        <v>0</v>
      </c>
      <c r="I43" s="49">
        <f>AVERAGE('17.10 KAPEEKA-NGOMA'!I43,'18.10 KAPEEKA-NGOMA'!I43,'20.10 KAPEEKA-NGOMA'!I43,'22.10 KAPEEKA-NGOMA'!I43,'19.10 KAPEEKA-NGOMA 24h'!I43,'21.10 KAPEEKA-NGOMA-24h'!I43,'23.10 KAPEEKA-NGOMA'!I43)</f>
        <v>0.8571428571428571</v>
      </c>
      <c r="J43" s="49">
        <f>AVERAGE('17.10 KAPEEKA-NGOMA'!J43,'18.10 KAPEEKA-NGOMA'!J43,'20.10 KAPEEKA-NGOMA'!J43,'22.10 KAPEEKA-NGOMA'!J43,'19.10 KAPEEKA-NGOMA 24h'!J43,'21.10 KAPEEKA-NGOMA-24h'!J43,'23.10 KAPEEKA-NGOMA'!J43)</f>
        <v>0</v>
      </c>
      <c r="K43" s="49">
        <f>AVERAGE('17.10 KAPEEKA-NGOMA'!K43,'18.10 KAPEEKA-NGOMA'!K43,'20.10 KAPEEKA-NGOMA'!K43,'22.10 KAPEEKA-NGOMA'!K43,'19.10 KAPEEKA-NGOMA 24h'!K43,'21.10 KAPEEKA-NGOMA-24h'!K43,'23.10 KAPEEKA-NGOMA'!K43)</f>
        <v>0</v>
      </c>
      <c r="L43" s="49">
        <f>AVERAGE('17.10 KAPEEKA-NGOMA'!L43,'18.10 KAPEEKA-NGOMA'!L43,'20.10 KAPEEKA-NGOMA'!L43,'22.10 KAPEEKA-NGOMA'!L43,'19.10 KAPEEKA-NGOMA 24h'!L43,'21.10 KAPEEKA-NGOMA-24h'!L43,'23.10 KAPEEKA-NGOMA'!L43)</f>
        <v>0</v>
      </c>
      <c r="M43" s="49">
        <f>AVERAGE('17.10 KAPEEKA-NGOMA'!M43,'18.10 KAPEEKA-NGOMA'!M43,'20.10 KAPEEKA-NGOMA'!M43,'22.10 KAPEEKA-NGOMA'!M43,'19.10 KAPEEKA-NGOMA 24h'!M43,'21.10 KAPEEKA-NGOMA-24h'!M43,'23.10 KAPEEKA-NGOMA'!M43)</f>
        <v>4.2857142857142856</v>
      </c>
      <c r="N43" s="49">
        <f>AVERAGE('17.10 KAPEEKA-NGOMA'!N43,'18.10 KAPEEKA-NGOMA'!N43,'20.10 KAPEEKA-NGOMA'!N43,'22.10 KAPEEKA-NGOMA'!N43,'19.10 KAPEEKA-NGOMA 24h'!N43,'21.10 KAPEEKA-NGOMA-24h'!N43,'23.10 KAPEEKA-NGOMA'!N43)</f>
        <v>0</v>
      </c>
      <c r="O43" s="15">
        <f t="shared" si="0"/>
        <v>1.714285714285714</v>
      </c>
      <c r="P43" s="15">
        <f t="shared" si="1"/>
        <v>6</v>
      </c>
    </row>
    <row r="44" spans="2:32" ht="23.1" customHeight="1" x14ac:dyDescent="0.25">
      <c r="B44" s="25" t="s">
        <v>71</v>
      </c>
      <c r="C44" s="49">
        <f>AVERAGE('17.10 KAPEEKA-NGOMA'!C44,'18.10 KAPEEKA-NGOMA'!C44,'20.10 KAPEEKA-NGOMA'!C44,'22.10 KAPEEKA-NGOMA'!C44,'19.10 KAPEEKA-NGOMA 24h'!C44,'21.10 KAPEEKA-NGOMA-24h'!C44,'23.10 KAPEEKA-NGOMA'!C44)</f>
        <v>0.42857142857142855</v>
      </c>
      <c r="D44" s="49">
        <f>AVERAGE('17.10 KAPEEKA-NGOMA'!D44,'18.10 KAPEEKA-NGOMA'!D44,'20.10 KAPEEKA-NGOMA'!D44,'22.10 KAPEEKA-NGOMA'!D44,'19.10 KAPEEKA-NGOMA 24h'!D44,'21.10 KAPEEKA-NGOMA-24h'!D44,'23.10 KAPEEKA-NGOMA'!D44)</f>
        <v>0.2857142857142857</v>
      </c>
      <c r="E44" s="49">
        <f>AVERAGE('17.10 KAPEEKA-NGOMA'!E44,'18.10 KAPEEKA-NGOMA'!E44,'20.10 KAPEEKA-NGOMA'!E44,'22.10 KAPEEKA-NGOMA'!E44,'19.10 KAPEEKA-NGOMA 24h'!E44,'21.10 KAPEEKA-NGOMA-24h'!E44,'23.10 KAPEEKA-NGOMA'!E44)</f>
        <v>0.14285714285714285</v>
      </c>
      <c r="F44" s="49">
        <f>AVERAGE('17.10 KAPEEKA-NGOMA'!F44,'18.10 KAPEEKA-NGOMA'!F44,'20.10 KAPEEKA-NGOMA'!F44,'22.10 KAPEEKA-NGOMA'!F44,'19.10 KAPEEKA-NGOMA 24h'!F44,'21.10 KAPEEKA-NGOMA-24h'!F44,'23.10 KAPEEKA-NGOMA'!F44)</f>
        <v>1.1428571428571428</v>
      </c>
      <c r="G44" s="49">
        <f>AVERAGE('17.10 KAPEEKA-NGOMA'!G44,'18.10 KAPEEKA-NGOMA'!G44,'20.10 KAPEEKA-NGOMA'!G44,'22.10 KAPEEKA-NGOMA'!G44,'19.10 KAPEEKA-NGOMA 24h'!G44,'21.10 KAPEEKA-NGOMA-24h'!G44,'23.10 KAPEEKA-NGOMA'!G44)</f>
        <v>0</v>
      </c>
      <c r="H44" s="49">
        <f>AVERAGE('17.10 KAPEEKA-NGOMA'!H44,'18.10 KAPEEKA-NGOMA'!H44,'20.10 KAPEEKA-NGOMA'!H44,'22.10 KAPEEKA-NGOMA'!H44,'19.10 KAPEEKA-NGOMA 24h'!H44,'21.10 KAPEEKA-NGOMA-24h'!H44,'23.10 KAPEEKA-NGOMA'!H44)</f>
        <v>0</v>
      </c>
      <c r="I44" s="49">
        <f>AVERAGE('17.10 KAPEEKA-NGOMA'!I44,'18.10 KAPEEKA-NGOMA'!I44,'20.10 KAPEEKA-NGOMA'!I44,'22.10 KAPEEKA-NGOMA'!I44,'19.10 KAPEEKA-NGOMA 24h'!I44,'21.10 KAPEEKA-NGOMA-24h'!I44,'23.10 KAPEEKA-NGOMA'!I44)</f>
        <v>0.2857142857142857</v>
      </c>
      <c r="J44" s="49">
        <f>AVERAGE('17.10 KAPEEKA-NGOMA'!J44,'18.10 KAPEEKA-NGOMA'!J44,'20.10 KAPEEKA-NGOMA'!J44,'22.10 KAPEEKA-NGOMA'!J44,'19.10 KAPEEKA-NGOMA 24h'!J44,'21.10 KAPEEKA-NGOMA-24h'!J44,'23.10 KAPEEKA-NGOMA'!J44)</f>
        <v>0.42857142857142855</v>
      </c>
      <c r="K44" s="49">
        <f>AVERAGE('17.10 KAPEEKA-NGOMA'!K44,'18.10 KAPEEKA-NGOMA'!K44,'20.10 KAPEEKA-NGOMA'!K44,'22.10 KAPEEKA-NGOMA'!K44,'19.10 KAPEEKA-NGOMA 24h'!K44,'21.10 KAPEEKA-NGOMA-24h'!K44,'23.10 KAPEEKA-NGOMA'!K44)</f>
        <v>0.14285714285714285</v>
      </c>
      <c r="L44" s="49">
        <f>AVERAGE('17.10 KAPEEKA-NGOMA'!L44,'18.10 KAPEEKA-NGOMA'!L44,'20.10 KAPEEKA-NGOMA'!L44,'22.10 KAPEEKA-NGOMA'!L44,'19.10 KAPEEKA-NGOMA 24h'!L44,'21.10 KAPEEKA-NGOMA-24h'!L44,'23.10 KAPEEKA-NGOMA'!L44)</f>
        <v>0</v>
      </c>
      <c r="M44" s="49">
        <f>AVERAGE('17.10 KAPEEKA-NGOMA'!M44,'18.10 KAPEEKA-NGOMA'!M44,'20.10 KAPEEKA-NGOMA'!M44,'22.10 KAPEEKA-NGOMA'!M44,'19.10 KAPEEKA-NGOMA 24h'!M44,'21.10 KAPEEKA-NGOMA-24h'!M44,'23.10 KAPEEKA-NGOMA'!M44)</f>
        <v>5.1428571428571432</v>
      </c>
      <c r="N44" s="49">
        <f>AVERAGE('17.10 KAPEEKA-NGOMA'!N44,'18.10 KAPEEKA-NGOMA'!N44,'20.10 KAPEEKA-NGOMA'!N44,'22.10 KAPEEKA-NGOMA'!N44,'19.10 KAPEEKA-NGOMA 24h'!N44,'21.10 KAPEEKA-NGOMA-24h'!N44,'23.10 KAPEEKA-NGOMA'!N44)</f>
        <v>0</v>
      </c>
      <c r="O44" s="15">
        <f t="shared" si="0"/>
        <v>2.8571428571428568</v>
      </c>
      <c r="P44" s="15">
        <f t="shared" si="1"/>
        <v>8</v>
      </c>
    </row>
    <row r="45" spans="2:32" ht="23.1" customHeight="1" x14ac:dyDescent="0.25">
      <c r="B45" s="23" t="s">
        <v>72</v>
      </c>
      <c r="C45" s="49">
        <f>AVERAGE('17.10 KAPEEKA-NGOMA'!C45,'18.10 KAPEEKA-NGOMA'!C45,'20.10 KAPEEKA-NGOMA'!C45,'22.10 KAPEEKA-NGOMA'!C45,'19.10 KAPEEKA-NGOMA 24h'!C45,'21.10 KAPEEKA-NGOMA-24h'!C45,'23.10 KAPEEKA-NGOMA'!C45)</f>
        <v>0.2857142857142857</v>
      </c>
      <c r="D45" s="49">
        <f>AVERAGE('17.10 KAPEEKA-NGOMA'!D45,'18.10 KAPEEKA-NGOMA'!D45,'20.10 KAPEEKA-NGOMA'!D45,'22.10 KAPEEKA-NGOMA'!D45,'19.10 KAPEEKA-NGOMA 24h'!D45,'21.10 KAPEEKA-NGOMA-24h'!D45,'23.10 KAPEEKA-NGOMA'!D45)</f>
        <v>0</v>
      </c>
      <c r="E45" s="49">
        <f>AVERAGE('17.10 KAPEEKA-NGOMA'!E45,'18.10 KAPEEKA-NGOMA'!E45,'20.10 KAPEEKA-NGOMA'!E45,'22.10 KAPEEKA-NGOMA'!E45,'19.10 KAPEEKA-NGOMA 24h'!E45,'21.10 KAPEEKA-NGOMA-24h'!E45,'23.10 KAPEEKA-NGOMA'!E45)</f>
        <v>0.2857142857142857</v>
      </c>
      <c r="F45" s="49">
        <f>AVERAGE('17.10 KAPEEKA-NGOMA'!F45,'18.10 KAPEEKA-NGOMA'!F45,'20.10 KAPEEKA-NGOMA'!F45,'22.10 KAPEEKA-NGOMA'!F45,'19.10 KAPEEKA-NGOMA 24h'!F45,'21.10 KAPEEKA-NGOMA-24h'!F45,'23.10 KAPEEKA-NGOMA'!F45)</f>
        <v>0.5714285714285714</v>
      </c>
      <c r="G45" s="49">
        <f>AVERAGE('17.10 KAPEEKA-NGOMA'!G45,'18.10 KAPEEKA-NGOMA'!G45,'20.10 KAPEEKA-NGOMA'!G45,'22.10 KAPEEKA-NGOMA'!G45,'19.10 KAPEEKA-NGOMA 24h'!G45,'21.10 KAPEEKA-NGOMA-24h'!G45,'23.10 KAPEEKA-NGOMA'!G45)</f>
        <v>0</v>
      </c>
      <c r="H45" s="49">
        <f>AVERAGE('17.10 KAPEEKA-NGOMA'!H45,'18.10 KAPEEKA-NGOMA'!H45,'20.10 KAPEEKA-NGOMA'!H45,'22.10 KAPEEKA-NGOMA'!H45,'19.10 KAPEEKA-NGOMA 24h'!H45,'21.10 KAPEEKA-NGOMA-24h'!H45,'23.10 KAPEEKA-NGOMA'!H45)</f>
        <v>0</v>
      </c>
      <c r="I45" s="49">
        <f>AVERAGE('17.10 KAPEEKA-NGOMA'!I45,'18.10 KAPEEKA-NGOMA'!I45,'20.10 KAPEEKA-NGOMA'!I45,'22.10 KAPEEKA-NGOMA'!I45,'19.10 KAPEEKA-NGOMA 24h'!I45,'21.10 KAPEEKA-NGOMA-24h'!I45,'23.10 KAPEEKA-NGOMA'!I45)</f>
        <v>0.42857142857142855</v>
      </c>
      <c r="J45" s="49">
        <f>AVERAGE('17.10 KAPEEKA-NGOMA'!J45,'18.10 KAPEEKA-NGOMA'!J45,'20.10 KAPEEKA-NGOMA'!J45,'22.10 KAPEEKA-NGOMA'!J45,'19.10 KAPEEKA-NGOMA 24h'!J45,'21.10 KAPEEKA-NGOMA-24h'!J45,'23.10 KAPEEKA-NGOMA'!J45)</f>
        <v>0</v>
      </c>
      <c r="K45" s="49">
        <f>AVERAGE('17.10 KAPEEKA-NGOMA'!K45,'18.10 KAPEEKA-NGOMA'!K45,'20.10 KAPEEKA-NGOMA'!K45,'22.10 KAPEEKA-NGOMA'!K45,'19.10 KAPEEKA-NGOMA 24h'!K45,'21.10 KAPEEKA-NGOMA-24h'!K45,'23.10 KAPEEKA-NGOMA'!K45)</f>
        <v>0.14285714285714285</v>
      </c>
      <c r="L45" s="49">
        <f>AVERAGE('17.10 KAPEEKA-NGOMA'!L45,'18.10 KAPEEKA-NGOMA'!L45,'20.10 KAPEEKA-NGOMA'!L45,'22.10 KAPEEKA-NGOMA'!L45,'19.10 KAPEEKA-NGOMA 24h'!L45,'21.10 KAPEEKA-NGOMA-24h'!L45,'23.10 KAPEEKA-NGOMA'!L45)</f>
        <v>0</v>
      </c>
      <c r="M45" s="49">
        <f>AVERAGE('17.10 KAPEEKA-NGOMA'!M45,'18.10 KAPEEKA-NGOMA'!M45,'20.10 KAPEEKA-NGOMA'!M45,'22.10 KAPEEKA-NGOMA'!M45,'19.10 KAPEEKA-NGOMA 24h'!M45,'21.10 KAPEEKA-NGOMA-24h'!M45,'23.10 KAPEEKA-NGOMA'!M45)</f>
        <v>4.5714285714285712</v>
      </c>
      <c r="N45" s="49">
        <f>AVERAGE('17.10 KAPEEKA-NGOMA'!N45,'18.10 KAPEEKA-NGOMA'!N45,'20.10 KAPEEKA-NGOMA'!N45,'22.10 KAPEEKA-NGOMA'!N45,'19.10 KAPEEKA-NGOMA 24h'!N45,'21.10 KAPEEKA-NGOMA-24h'!N45,'23.10 KAPEEKA-NGOMA'!N45)</f>
        <v>0</v>
      </c>
      <c r="O45" s="15">
        <f t="shared" si="0"/>
        <v>1.7142857142857142</v>
      </c>
      <c r="P45" s="15">
        <f t="shared" si="1"/>
        <v>6.2857142857142856</v>
      </c>
    </row>
    <row r="46" spans="2:32" ht="23.1" customHeight="1" x14ac:dyDescent="0.25">
      <c r="B46" s="24" t="s">
        <v>73</v>
      </c>
      <c r="C46" s="49">
        <f>AVERAGE('17.10 KAPEEKA-NGOMA'!C46,'18.10 KAPEEKA-NGOMA'!C46,'20.10 KAPEEKA-NGOMA'!C46,'22.10 KAPEEKA-NGOMA'!C46,'19.10 KAPEEKA-NGOMA 24h'!C46,'21.10 KAPEEKA-NGOMA-24h'!C46,'23.10 KAPEEKA-NGOMA'!C46)</f>
        <v>0.5714285714285714</v>
      </c>
      <c r="D46" s="49">
        <f>AVERAGE('17.10 KAPEEKA-NGOMA'!D46,'18.10 KAPEEKA-NGOMA'!D46,'20.10 KAPEEKA-NGOMA'!D46,'22.10 KAPEEKA-NGOMA'!D46,'19.10 KAPEEKA-NGOMA 24h'!D46,'21.10 KAPEEKA-NGOMA-24h'!D46,'23.10 KAPEEKA-NGOMA'!D46)</f>
        <v>0</v>
      </c>
      <c r="E46" s="49">
        <f>AVERAGE('17.10 KAPEEKA-NGOMA'!E46,'18.10 KAPEEKA-NGOMA'!E46,'20.10 KAPEEKA-NGOMA'!E46,'22.10 KAPEEKA-NGOMA'!E46,'19.10 KAPEEKA-NGOMA 24h'!E46,'21.10 KAPEEKA-NGOMA-24h'!E46,'23.10 KAPEEKA-NGOMA'!E46)</f>
        <v>0.2857142857142857</v>
      </c>
      <c r="F46" s="49">
        <f>AVERAGE('17.10 KAPEEKA-NGOMA'!F46,'18.10 KAPEEKA-NGOMA'!F46,'20.10 KAPEEKA-NGOMA'!F46,'22.10 KAPEEKA-NGOMA'!F46,'19.10 KAPEEKA-NGOMA 24h'!F46,'21.10 KAPEEKA-NGOMA-24h'!F46,'23.10 KAPEEKA-NGOMA'!F46)</f>
        <v>0.42857142857142855</v>
      </c>
      <c r="G46" s="49">
        <f>AVERAGE('17.10 KAPEEKA-NGOMA'!G46,'18.10 KAPEEKA-NGOMA'!G46,'20.10 KAPEEKA-NGOMA'!G46,'22.10 KAPEEKA-NGOMA'!G46,'19.10 KAPEEKA-NGOMA 24h'!G46,'21.10 KAPEEKA-NGOMA-24h'!G46,'23.10 KAPEEKA-NGOMA'!G46)</f>
        <v>0.14285714285714285</v>
      </c>
      <c r="H46" s="49">
        <f>AVERAGE('17.10 KAPEEKA-NGOMA'!H46,'18.10 KAPEEKA-NGOMA'!H46,'20.10 KAPEEKA-NGOMA'!H46,'22.10 KAPEEKA-NGOMA'!H46,'19.10 KAPEEKA-NGOMA 24h'!H46,'21.10 KAPEEKA-NGOMA-24h'!H46,'23.10 KAPEEKA-NGOMA'!H46)</f>
        <v>0</v>
      </c>
      <c r="I46" s="49">
        <f>AVERAGE('17.10 KAPEEKA-NGOMA'!I46,'18.10 KAPEEKA-NGOMA'!I46,'20.10 KAPEEKA-NGOMA'!I46,'22.10 KAPEEKA-NGOMA'!I46,'19.10 KAPEEKA-NGOMA 24h'!I46,'21.10 KAPEEKA-NGOMA-24h'!I46,'23.10 KAPEEKA-NGOMA'!I46)</f>
        <v>0.2857142857142857</v>
      </c>
      <c r="J46" s="49">
        <f>AVERAGE('17.10 KAPEEKA-NGOMA'!J46,'18.10 KAPEEKA-NGOMA'!J46,'20.10 KAPEEKA-NGOMA'!J46,'22.10 KAPEEKA-NGOMA'!J46,'19.10 KAPEEKA-NGOMA 24h'!J46,'21.10 KAPEEKA-NGOMA-24h'!J46,'23.10 KAPEEKA-NGOMA'!J46)</f>
        <v>0.14285714285714285</v>
      </c>
      <c r="K46" s="49">
        <f>AVERAGE('17.10 KAPEEKA-NGOMA'!K46,'18.10 KAPEEKA-NGOMA'!K46,'20.10 KAPEEKA-NGOMA'!K46,'22.10 KAPEEKA-NGOMA'!K46,'19.10 KAPEEKA-NGOMA 24h'!K46,'21.10 KAPEEKA-NGOMA-24h'!K46,'23.10 KAPEEKA-NGOMA'!K46)</f>
        <v>0</v>
      </c>
      <c r="L46" s="49">
        <f>AVERAGE('17.10 KAPEEKA-NGOMA'!L46,'18.10 KAPEEKA-NGOMA'!L46,'20.10 KAPEEKA-NGOMA'!L46,'22.10 KAPEEKA-NGOMA'!L46,'19.10 KAPEEKA-NGOMA 24h'!L46,'21.10 KAPEEKA-NGOMA-24h'!L46,'23.10 KAPEEKA-NGOMA'!L46)</f>
        <v>0</v>
      </c>
      <c r="M46" s="49">
        <f>AVERAGE('17.10 KAPEEKA-NGOMA'!M46,'18.10 KAPEEKA-NGOMA'!M46,'20.10 KAPEEKA-NGOMA'!M46,'22.10 KAPEEKA-NGOMA'!M46,'19.10 KAPEEKA-NGOMA 24h'!M46,'21.10 KAPEEKA-NGOMA-24h'!M46,'23.10 KAPEEKA-NGOMA'!M46)</f>
        <v>3.8571428571428572</v>
      </c>
      <c r="N46" s="49">
        <f>AVERAGE('17.10 KAPEEKA-NGOMA'!N46,'18.10 KAPEEKA-NGOMA'!N46,'20.10 KAPEEKA-NGOMA'!N46,'22.10 KAPEEKA-NGOMA'!N46,'19.10 KAPEEKA-NGOMA 24h'!N46,'21.10 KAPEEKA-NGOMA-24h'!N46,'23.10 KAPEEKA-NGOMA'!N46)</f>
        <v>0</v>
      </c>
      <c r="O46" s="15">
        <f t="shared" si="0"/>
        <v>1.8571428571428568</v>
      </c>
      <c r="P46" s="15">
        <f t="shared" si="1"/>
        <v>5.7142857142857135</v>
      </c>
      <c r="R46" s="8"/>
      <c r="T46"/>
    </row>
    <row r="47" spans="2:32" ht="23.1" customHeight="1" x14ac:dyDescent="0.25">
      <c r="B47" s="24" t="s">
        <v>74</v>
      </c>
      <c r="C47" s="49">
        <f>AVERAGE('17.10 KAPEEKA-NGOMA'!C47,'18.10 KAPEEKA-NGOMA'!C47,'20.10 KAPEEKA-NGOMA'!C47,'22.10 KAPEEKA-NGOMA'!C47,'19.10 KAPEEKA-NGOMA 24h'!C47,'21.10 KAPEEKA-NGOMA-24h'!C47,'23.10 KAPEEKA-NGOMA'!C47)</f>
        <v>0.7142857142857143</v>
      </c>
      <c r="D47" s="49">
        <f>AVERAGE('17.10 KAPEEKA-NGOMA'!D47,'18.10 KAPEEKA-NGOMA'!D47,'20.10 KAPEEKA-NGOMA'!D47,'22.10 KAPEEKA-NGOMA'!D47,'19.10 KAPEEKA-NGOMA 24h'!D47,'21.10 KAPEEKA-NGOMA-24h'!D47,'23.10 KAPEEKA-NGOMA'!D47)</f>
        <v>0.14285714285714285</v>
      </c>
      <c r="E47" s="49">
        <f>AVERAGE('17.10 KAPEEKA-NGOMA'!E47,'18.10 KAPEEKA-NGOMA'!E47,'20.10 KAPEEKA-NGOMA'!E47,'22.10 KAPEEKA-NGOMA'!E47,'19.10 KAPEEKA-NGOMA 24h'!E47,'21.10 KAPEEKA-NGOMA-24h'!E47,'23.10 KAPEEKA-NGOMA'!E47)</f>
        <v>0</v>
      </c>
      <c r="F47" s="49">
        <f>AVERAGE('17.10 KAPEEKA-NGOMA'!F47,'18.10 KAPEEKA-NGOMA'!F47,'20.10 KAPEEKA-NGOMA'!F47,'22.10 KAPEEKA-NGOMA'!F47,'19.10 KAPEEKA-NGOMA 24h'!F47,'21.10 KAPEEKA-NGOMA-24h'!F47,'23.10 KAPEEKA-NGOMA'!F47)</f>
        <v>0.2857142857142857</v>
      </c>
      <c r="G47" s="49">
        <f>AVERAGE('17.10 KAPEEKA-NGOMA'!G47,'18.10 KAPEEKA-NGOMA'!G47,'20.10 KAPEEKA-NGOMA'!G47,'22.10 KAPEEKA-NGOMA'!G47,'19.10 KAPEEKA-NGOMA 24h'!G47,'21.10 KAPEEKA-NGOMA-24h'!G47,'23.10 KAPEEKA-NGOMA'!G47)</f>
        <v>0</v>
      </c>
      <c r="H47" s="49">
        <f>AVERAGE('17.10 KAPEEKA-NGOMA'!H47,'18.10 KAPEEKA-NGOMA'!H47,'20.10 KAPEEKA-NGOMA'!H47,'22.10 KAPEEKA-NGOMA'!H47,'19.10 KAPEEKA-NGOMA 24h'!H47,'21.10 KAPEEKA-NGOMA-24h'!H47,'23.10 KAPEEKA-NGOMA'!H47)</f>
        <v>0</v>
      </c>
      <c r="I47" s="49">
        <f>AVERAGE('17.10 KAPEEKA-NGOMA'!I47,'18.10 KAPEEKA-NGOMA'!I47,'20.10 KAPEEKA-NGOMA'!I47,'22.10 KAPEEKA-NGOMA'!I47,'19.10 KAPEEKA-NGOMA 24h'!I47,'21.10 KAPEEKA-NGOMA-24h'!I47,'23.10 KAPEEKA-NGOMA'!I47)</f>
        <v>0.42857142857142855</v>
      </c>
      <c r="J47" s="49">
        <f>AVERAGE('17.10 KAPEEKA-NGOMA'!J47,'18.10 KAPEEKA-NGOMA'!J47,'20.10 KAPEEKA-NGOMA'!J47,'22.10 KAPEEKA-NGOMA'!J47,'19.10 KAPEEKA-NGOMA 24h'!J47,'21.10 KAPEEKA-NGOMA-24h'!J47,'23.10 KAPEEKA-NGOMA'!J47)</f>
        <v>0.5714285714285714</v>
      </c>
      <c r="K47" s="49">
        <f>AVERAGE('17.10 KAPEEKA-NGOMA'!K47,'18.10 KAPEEKA-NGOMA'!K47,'20.10 KAPEEKA-NGOMA'!K47,'22.10 KAPEEKA-NGOMA'!K47,'19.10 KAPEEKA-NGOMA 24h'!K47,'21.10 KAPEEKA-NGOMA-24h'!K47,'23.10 KAPEEKA-NGOMA'!K47)</f>
        <v>0.2857142857142857</v>
      </c>
      <c r="L47" s="49">
        <f>AVERAGE('17.10 KAPEEKA-NGOMA'!L47,'18.10 KAPEEKA-NGOMA'!L47,'20.10 KAPEEKA-NGOMA'!L47,'22.10 KAPEEKA-NGOMA'!L47,'19.10 KAPEEKA-NGOMA 24h'!L47,'21.10 KAPEEKA-NGOMA-24h'!L47,'23.10 KAPEEKA-NGOMA'!L47)</f>
        <v>0</v>
      </c>
      <c r="M47" s="49">
        <f>AVERAGE('17.10 KAPEEKA-NGOMA'!M47,'18.10 KAPEEKA-NGOMA'!M47,'20.10 KAPEEKA-NGOMA'!M47,'22.10 KAPEEKA-NGOMA'!M47,'19.10 KAPEEKA-NGOMA 24h'!M47,'21.10 KAPEEKA-NGOMA-24h'!M47,'23.10 KAPEEKA-NGOMA'!M47)</f>
        <v>4.8571428571428568</v>
      </c>
      <c r="N47" s="49">
        <f>AVERAGE('17.10 KAPEEKA-NGOMA'!N47,'18.10 KAPEEKA-NGOMA'!N47,'20.10 KAPEEKA-NGOMA'!N47,'22.10 KAPEEKA-NGOMA'!N47,'19.10 KAPEEKA-NGOMA 24h'!N47,'21.10 KAPEEKA-NGOMA-24h'!N47,'23.10 KAPEEKA-NGOMA'!N47)</f>
        <v>0</v>
      </c>
      <c r="O47" s="15">
        <f t="shared" si="0"/>
        <v>2.4285714285714284</v>
      </c>
      <c r="P47" s="15">
        <f t="shared" si="1"/>
        <v>7.2857142857142847</v>
      </c>
      <c r="R47" s="8"/>
      <c r="T47"/>
    </row>
    <row r="48" spans="2:32" ht="23.1" customHeight="1" x14ac:dyDescent="0.25">
      <c r="B48" s="24" t="s">
        <v>75</v>
      </c>
      <c r="C48" s="49">
        <f>AVERAGE('17.10 KAPEEKA-NGOMA'!C48,'18.10 KAPEEKA-NGOMA'!C48,'20.10 KAPEEKA-NGOMA'!C48,'22.10 KAPEEKA-NGOMA'!C48,'19.10 KAPEEKA-NGOMA 24h'!C48,'21.10 KAPEEKA-NGOMA-24h'!C48,'23.10 KAPEEKA-NGOMA'!C48)</f>
        <v>0.5714285714285714</v>
      </c>
      <c r="D48" s="49">
        <f>AVERAGE('17.10 KAPEEKA-NGOMA'!D48,'18.10 KAPEEKA-NGOMA'!D48,'20.10 KAPEEKA-NGOMA'!D48,'22.10 KAPEEKA-NGOMA'!D48,'19.10 KAPEEKA-NGOMA 24h'!D48,'21.10 KAPEEKA-NGOMA-24h'!D48,'23.10 KAPEEKA-NGOMA'!D48)</f>
        <v>0</v>
      </c>
      <c r="E48" s="49">
        <f>AVERAGE('17.10 KAPEEKA-NGOMA'!E48,'18.10 KAPEEKA-NGOMA'!E48,'20.10 KAPEEKA-NGOMA'!E48,'22.10 KAPEEKA-NGOMA'!E48,'19.10 KAPEEKA-NGOMA 24h'!E48,'21.10 KAPEEKA-NGOMA-24h'!E48,'23.10 KAPEEKA-NGOMA'!E48)</f>
        <v>0.2857142857142857</v>
      </c>
      <c r="F48" s="49">
        <f>AVERAGE('17.10 KAPEEKA-NGOMA'!F48,'18.10 KAPEEKA-NGOMA'!F48,'20.10 KAPEEKA-NGOMA'!F48,'22.10 KAPEEKA-NGOMA'!F48,'19.10 KAPEEKA-NGOMA 24h'!F48,'21.10 KAPEEKA-NGOMA-24h'!F48,'23.10 KAPEEKA-NGOMA'!F48)</f>
        <v>0.7142857142857143</v>
      </c>
      <c r="G48" s="49">
        <f>AVERAGE('17.10 KAPEEKA-NGOMA'!G48,'18.10 KAPEEKA-NGOMA'!G48,'20.10 KAPEEKA-NGOMA'!G48,'22.10 KAPEEKA-NGOMA'!G48,'19.10 KAPEEKA-NGOMA 24h'!G48,'21.10 KAPEEKA-NGOMA-24h'!G48,'23.10 KAPEEKA-NGOMA'!G48)</f>
        <v>0</v>
      </c>
      <c r="H48" s="49">
        <f>AVERAGE('17.10 KAPEEKA-NGOMA'!H48,'18.10 KAPEEKA-NGOMA'!H48,'20.10 KAPEEKA-NGOMA'!H48,'22.10 KAPEEKA-NGOMA'!H48,'19.10 KAPEEKA-NGOMA 24h'!H48,'21.10 KAPEEKA-NGOMA-24h'!H48,'23.10 KAPEEKA-NGOMA'!H48)</f>
        <v>0</v>
      </c>
      <c r="I48" s="49">
        <f>AVERAGE('17.10 KAPEEKA-NGOMA'!I48,'18.10 KAPEEKA-NGOMA'!I48,'20.10 KAPEEKA-NGOMA'!I48,'22.10 KAPEEKA-NGOMA'!I48,'19.10 KAPEEKA-NGOMA 24h'!I48,'21.10 KAPEEKA-NGOMA-24h'!I48,'23.10 KAPEEKA-NGOMA'!I48)</f>
        <v>0.14285714285714285</v>
      </c>
      <c r="J48" s="49">
        <f>AVERAGE('17.10 KAPEEKA-NGOMA'!J48,'18.10 KAPEEKA-NGOMA'!J48,'20.10 KAPEEKA-NGOMA'!J48,'22.10 KAPEEKA-NGOMA'!J48,'19.10 KAPEEKA-NGOMA 24h'!J48,'21.10 KAPEEKA-NGOMA-24h'!J48,'23.10 KAPEEKA-NGOMA'!J48)</f>
        <v>0.2857142857142857</v>
      </c>
      <c r="K48" s="49">
        <f>AVERAGE('17.10 KAPEEKA-NGOMA'!K48,'18.10 KAPEEKA-NGOMA'!K48,'20.10 KAPEEKA-NGOMA'!K48,'22.10 KAPEEKA-NGOMA'!K48,'19.10 KAPEEKA-NGOMA 24h'!K48,'21.10 KAPEEKA-NGOMA-24h'!K48,'23.10 KAPEEKA-NGOMA'!K48)</f>
        <v>0</v>
      </c>
      <c r="L48" s="49">
        <f>AVERAGE('17.10 KAPEEKA-NGOMA'!L48,'18.10 KAPEEKA-NGOMA'!L48,'20.10 KAPEEKA-NGOMA'!L48,'22.10 KAPEEKA-NGOMA'!L48,'19.10 KAPEEKA-NGOMA 24h'!L48,'21.10 KAPEEKA-NGOMA-24h'!L48,'23.10 KAPEEKA-NGOMA'!L48)</f>
        <v>0</v>
      </c>
      <c r="M48" s="49">
        <f>AVERAGE('17.10 KAPEEKA-NGOMA'!M48,'18.10 KAPEEKA-NGOMA'!M48,'20.10 KAPEEKA-NGOMA'!M48,'22.10 KAPEEKA-NGOMA'!M48,'19.10 KAPEEKA-NGOMA 24h'!M48,'21.10 KAPEEKA-NGOMA-24h'!M48,'23.10 KAPEEKA-NGOMA'!M48)</f>
        <v>3.1428571428571428</v>
      </c>
      <c r="N48" s="49">
        <f>AVERAGE('17.10 KAPEEKA-NGOMA'!N48,'18.10 KAPEEKA-NGOMA'!N48,'20.10 KAPEEKA-NGOMA'!N48,'22.10 KAPEEKA-NGOMA'!N48,'19.10 KAPEEKA-NGOMA 24h'!N48,'21.10 KAPEEKA-NGOMA-24h'!N48,'23.10 KAPEEKA-NGOMA'!N48)</f>
        <v>0</v>
      </c>
      <c r="O48" s="15">
        <f t="shared" si="0"/>
        <v>2</v>
      </c>
      <c r="P48" s="15">
        <f t="shared" si="1"/>
        <v>5.1428571428571423</v>
      </c>
      <c r="R48" s="8"/>
      <c r="T48"/>
    </row>
    <row r="49" spans="2:20" ht="23.1" customHeight="1" x14ac:dyDescent="0.25">
      <c r="B49" s="23" t="s">
        <v>76</v>
      </c>
      <c r="C49" s="49">
        <f>AVERAGE('17.10 KAPEEKA-NGOMA'!C49,'18.10 KAPEEKA-NGOMA'!C49,'20.10 KAPEEKA-NGOMA'!C49,'22.10 KAPEEKA-NGOMA'!C49,'19.10 KAPEEKA-NGOMA 24h'!C49,'21.10 KAPEEKA-NGOMA-24h'!C49,'23.10 KAPEEKA-NGOMA'!C49)</f>
        <v>0.2857142857142857</v>
      </c>
      <c r="D49" s="49">
        <f>AVERAGE('17.10 KAPEEKA-NGOMA'!D49,'18.10 KAPEEKA-NGOMA'!D49,'20.10 KAPEEKA-NGOMA'!D49,'22.10 KAPEEKA-NGOMA'!D49,'19.10 KAPEEKA-NGOMA 24h'!D49,'21.10 KAPEEKA-NGOMA-24h'!D49,'23.10 KAPEEKA-NGOMA'!D49)</f>
        <v>0.42857142857142855</v>
      </c>
      <c r="E49" s="49">
        <f>AVERAGE('17.10 KAPEEKA-NGOMA'!E49,'18.10 KAPEEKA-NGOMA'!E49,'20.10 KAPEEKA-NGOMA'!E49,'22.10 KAPEEKA-NGOMA'!E49,'19.10 KAPEEKA-NGOMA 24h'!E49,'21.10 KAPEEKA-NGOMA-24h'!E49,'23.10 KAPEEKA-NGOMA'!E49)</f>
        <v>0.2857142857142857</v>
      </c>
      <c r="F49" s="49">
        <f>AVERAGE('17.10 KAPEEKA-NGOMA'!F49,'18.10 KAPEEKA-NGOMA'!F49,'20.10 KAPEEKA-NGOMA'!F49,'22.10 KAPEEKA-NGOMA'!F49,'19.10 KAPEEKA-NGOMA 24h'!F49,'21.10 KAPEEKA-NGOMA-24h'!F49,'23.10 KAPEEKA-NGOMA'!F49)</f>
        <v>0.42857142857142855</v>
      </c>
      <c r="G49" s="49">
        <f>AVERAGE('17.10 KAPEEKA-NGOMA'!G49,'18.10 KAPEEKA-NGOMA'!G49,'20.10 KAPEEKA-NGOMA'!G49,'22.10 KAPEEKA-NGOMA'!G49,'19.10 KAPEEKA-NGOMA 24h'!G49,'21.10 KAPEEKA-NGOMA-24h'!G49,'23.10 KAPEEKA-NGOMA'!G49)</f>
        <v>0</v>
      </c>
      <c r="H49" s="49">
        <f>AVERAGE('17.10 KAPEEKA-NGOMA'!H49,'18.10 KAPEEKA-NGOMA'!H49,'20.10 KAPEEKA-NGOMA'!H49,'22.10 KAPEEKA-NGOMA'!H49,'19.10 KAPEEKA-NGOMA 24h'!H49,'21.10 KAPEEKA-NGOMA-24h'!H49,'23.10 KAPEEKA-NGOMA'!H49)</f>
        <v>0</v>
      </c>
      <c r="I49" s="49">
        <f>AVERAGE('17.10 KAPEEKA-NGOMA'!I49,'18.10 KAPEEKA-NGOMA'!I49,'20.10 KAPEEKA-NGOMA'!I49,'22.10 KAPEEKA-NGOMA'!I49,'19.10 KAPEEKA-NGOMA 24h'!I49,'21.10 KAPEEKA-NGOMA-24h'!I49,'23.10 KAPEEKA-NGOMA'!I49)</f>
        <v>0.8571428571428571</v>
      </c>
      <c r="J49" s="49">
        <f>AVERAGE('17.10 KAPEEKA-NGOMA'!J49,'18.10 KAPEEKA-NGOMA'!J49,'20.10 KAPEEKA-NGOMA'!J49,'22.10 KAPEEKA-NGOMA'!J49,'19.10 KAPEEKA-NGOMA 24h'!J49,'21.10 KAPEEKA-NGOMA-24h'!J49,'23.10 KAPEEKA-NGOMA'!J49)</f>
        <v>0</v>
      </c>
      <c r="K49" s="49">
        <f>AVERAGE('17.10 KAPEEKA-NGOMA'!K49,'18.10 KAPEEKA-NGOMA'!K49,'20.10 KAPEEKA-NGOMA'!K49,'22.10 KAPEEKA-NGOMA'!K49,'19.10 KAPEEKA-NGOMA 24h'!K49,'21.10 KAPEEKA-NGOMA-24h'!K49,'23.10 KAPEEKA-NGOMA'!K49)</f>
        <v>0</v>
      </c>
      <c r="L49" s="49">
        <f>AVERAGE('17.10 KAPEEKA-NGOMA'!L49,'18.10 KAPEEKA-NGOMA'!L49,'20.10 KAPEEKA-NGOMA'!L49,'22.10 KAPEEKA-NGOMA'!L49,'19.10 KAPEEKA-NGOMA 24h'!L49,'21.10 KAPEEKA-NGOMA-24h'!L49,'23.10 KAPEEKA-NGOMA'!L49)</f>
        <v>0</v>
      </c>
      <c r="M49" s="49">
        <f>AVERAGE('17.10 KAPEEKA-NGOMA'!M49,'18.10 KAPEEKA-NGOMA'!M49,'20.10 KAPEEKA-NGOMA'!M49,'22.10 KAPEEKA-NGOMA'!M49,'19.10 KAPEEKA-NGOMA 24h'!M49,'21.10 KAPEEKA-NGOMA-24h'!M49,'23.10 KAPEEKA-NGOMA'!M49)</f>
        <v>5</v>
      </c>
      <c r="N49" s="49">
        <f>AVERAGE('17.10 KAPEEKA-NGOMA'!N49,'18.10 KAPEEKA-NGOMA'!N49,'20.10 KAPEEKA-NGOMA'!N49,'22.10 KAPEEKA-NGOMA'!N49,'19.10 KAPEEKA-NGOMA 24h'!N49,'21.10 KAPEEKA-NGOMA-24h'!N49,'23.10 KAPEEKA-NGOMA'!N49)</f>
        <v>0</v>
      </c>
      <c r="O49" s="15">
        <f t="shared" si="0"/>
        <v>2.2857142857142856</v>
      </c>
      <c r="P49" s="15">
        <f t="shared" si="1"/>
        <v>7.2857142857142856</v>
      </c>
      <c r="R49" s="8"/>
      <c r="T49"/>
    </row>
    <row r="50" spans="2:20" ht="23.1" customHeight="1" x14ac:dyDescent="0.25">
      <c r="B50" s="24" t="s">
        <v>77</v>
      </c>
      <c r="C50" s="49">
        <f>AVERAGE('17.10 KAPEEKA-NGOMA'!C50,'18.10 KAPEEKA-NGOMA'!C50,'20.10 KAPEEKA-NGOMA'!C50,'22.10 KAPEEKA-NGOMA'!C50,'19.10 KAPEEKA-NGOMA 24h'!C50,'21.10 KAPEEKA-NGOMA-24h'!C50,'23.10 KAPEEKA-NGOMA'!C50)</f>
        <v>0.42857142857142855</v>
      </c>
      <c r="D50" s="49">
        <f>AVERAGE('17.10 KAPEEKA-NGOMA'!D50,'18.10 KAPEEKA-NGOMA'!D50,'20.10 KAPEEKA-NGOMA'!D50,'22.10 KAPEEKA-NGOMA'!D50,'19.10 KAPEEKA-NGOMA 24h'!D50,'21.10 KAPEEKA-NGOMA-24h'!D50,'23.10 KAPEEKA-NGOMA'!D50)</f>
        <v>0.42857142857142855</v>
      </c>
      <c r="E50" s="49">
        <f>AVERAGE('17.10 KAPEEKA-NGOMA'!E50,'18.10 KAPEEKA-NGOMA'!E50,'20.10 KAPEEKA-NGOMA'!E50,'22.10 KAPEEKA-NGOMA'!E50,'19.10 KAPEEKA-NGOMA 24h'!E50,'21.10 KAPEEKA-NGOMA-24h'!E50,'23.10 KAPEEKA-NGOMA'!E50)</f>
        <v>0.2857142857142857</v>
      </c>
      <c r="F50" s="49">
        <f>AVERAGE('17.10 KAPEEKA-NGOMA'!F50,'18.10 KAPEEKA-NGOMA'!F50,'20.10 KAPEEKA-NGOMA'!F50,'22.10 KAPEEKA-NGOMA'!F50,'19.10 KAPEEKA-NGOMA 24h'!F50,'21.10 KAPEEKA-NGOMA-24h'!F50,'23.10 KAPEEKA-NGOMA'!F50)</f>
        <v>1</v>
      </c>
      <c r="G50" s="49">
        <f>AVERAGE('17.10 KAPEEKA-NGOMA'!G50,'18.10 KAPEEKA-NGOMA'!G50,'20.10 KAPEEKA-NGOMA'!G50,'22.10 KAPEEKA-NGOMA'!G50,'19.10 KAPEEKA-NGOMA 24h'!G50,'21.10 KAPEEKA-NGOMA-24h'!G50,'23.10 KAPEEKA-NGOMA'!G50)</f>
        <v>0</v>
      </c>
      <c r="H50" s="49">
        <f>AVERAGE('17.10 KAPEEKA-NGOMA'!H50,'18.10 KAPEEKA-NGOMA'!H50,'20.10 KAPEEKA-NGOMA'!H50,'22.10 KAPEEKA-NGOMA'!H50,'19.10 KAPEEKA-NGOMA 24h'!H50,'21.10 KAPEEKA-NGOMA-24h'!H50,'23.10 KAPEEKA-NGOMA'!H50)</f>
        <v>0</v>
      </c>
      <c r="I50" s="49">
        <f>AVERAGE('17.10 KAPEEKA-NGOMA'!I50,'18.10 KAPEEKA-NGOMA'!I50,'20.10 KAPEEKA-NGOMA'!I50,'22.10 KAPEEKA-NGOMA'!I50,'19.10 KAPEEKA-NGOMA 24h'!I50,'21.10 KAPEEKA-NGOMA-24h'!I50,'23.10 KAPEEKA-NGOMA'!I50)</f>
        <v>0.42857142857142855</v>
      </c>
      <c r="J50" s="49">
        <f>AVERAGE('17.10 KAPEEKA-NGOMA'!J50,'18.10 KAPEEKA-NGOMA'!J50,'20.10 KAPEEKA-NGOMA'!J50,'22.10 KAPEEKA-NGOMA'!J50,'19.10 KAPEEKA-NGOMA 24h'!J50,'21.10 KAPEEKA-NGOMA-24h'!J50,'23.10 KAPEEKA-NGOMA'!J50)</f>
        <v>0.5714285714285714</v>
      </c>
      <c r="K50" s="49">
        <f>AVERAGE('17.10 KAPEEKA-NGOMA'!K50,'18.10 KAPEEKA-NGOMA'!K50,'20.10 KAPEEKA-NGOMA'!K50,'22.10 KAPEEKA-NGOMA'!K50,'19.10 KAPEEKA-NGOMA 24h'!K50,'21.10 KAPEEKA-NGOMA-24h'!K50,'23.10 KAPEEKA-NGOMA'!K50)</f>
        <v>0</v>
      </c>
      <c r="L50" s="49">
        <f>AVERAGE('17.10 KAPEEKA-NGOMA'!L50,'18.10 KAPEEKA-NGOMA'!L50,'20.10 KAPEEKA-NGOMA'!L50,'22.10 KAPEEKA-NGOMA'!L50,'19.10 KAPEEKA-NGOMA 24h'!L50,'21.10 KAPEEKA-NGOMA-24h'!L50,'23.10 KAPEEKA-NGOMA'!L50)</f>
        <v>0</v>
      </c>
      <c r="M50" s="49">
        <f>AVERAGE('17.10 KAPEEKA-NGOMA'!M50,'18.10 KAPEEKA-NGOMA'!M50,'20.10 KAPEEKA-NGOMA'!M50,'22.10 KAPEEKA-NGOMA'!M50,'19.10 KAPEEKA-NGOMA 24h'!M50,'21.10 KAPEEKA-NGOMA-24h'!M50,'23.10 KAPEEKA-NGOMA'!M50)</f>
        <v>5.1428571428571432</v>
      </c>
      <c r="N50" s="49">
        <f>AVERAGE('17.10 KAPEEKA-NGOMA'!N50,'18.10 KAPEEKA-NGOMA'!N50,'20.10 KAPEEKA-NGOMA'!N50,'22.10 KAPEEKA-NGOMA'!N50,'19.10 KAPEEKA-NGOMA 24h'!N50,'21.10 KAPEEKA-NGOMA-24h'!N50,'23.10 KAPEEKA-NGOMA'!N50)</f>
        <v>0</v>
      </c>
      <c r="O50" s="15">
        <f t="shared" si="0"/>
        <v>3.1428571428571423</v>
      </c>
      <c r="P50" s="15">
        <f t="shared" si="1"/>
        <v>8.2857142857142847</v>
      </c>
      <c r="R50" s="8"/>
      <c r="T50"/>
    </row>
    <row r="51" spans="2:20" ht="23.1" customHeight="1" x14ac:dyDescent="0.25">
      <c r="B51" s="24" t="s">
        <v>78</v>
      </c>
      <c r="C51" s="49">
        <f>AVERAGE('17.10 KAPEEKA-NGOMA'!C51,'18.10 KAPEEKA-NGOMA'!C51,'20.10 KAPEEKA-NGOMA'!C51,'22.10 KAPEEKA-NGOMA'!C51,'19.10 KAPEEKA-NGOMA 24h'!C51,'21.10 KAPEEKA-NGOMA-24h'!C51,'23.10 KAPEEKA-NGOMA'!C51)</f>
        <v>0.7142857142857143</v>
      </c>
      <c r="D51" s="49">
        <f>AVERAGE('17.10 KAPEEKA-NGOMA'!D51,'18.10 KAPEEKA-NGOMA'!D51,'20.10 KAPEEKA-NGOMA'!D51,'22.10 KAPEEKA-NGOMA'!D51,'19.10 KAPEEKA-NGOMA 24h'!D51,'21.10 KAPEEKA-NGOMA-24h'!D51,'23.10 KAPEEKA-NGOMA'!D51)</f>
        <v>0.2857142857142857</v>
      </c>
      <c r="E51" s="49">
        <f>AVERAGE('17.10 KAPEEKA-NGOMA'!E51,'18.10 KAPEEKA-NGOMA'!E51,'20.10 KAPEEKA-NGOMA'!E51,'22.10 KAPEEKA-NGOMA'!E51,'19.10 KAPEEKA-NGOMA 24h'!E51,'21.10 KAPEEKA-NGOMA-24h'!E51,'23.10 KAPEEKA-NGOMA'!E51)</f>
        <v>0.2857142857142857</v>
      </c>
      <c r="F51" s="49">
        <f>AVERAGE('17.10 KAPEEKA-NGOMA'!F51,'18.10 KAPEEKA-NGOMA'!F51,'20.10 KAPEEKA-NGOMA'!F51,'22.10 KAPEEKA-NGOMA'!F51,'19.10 KAPEEKA-NGOMA 24h'!F51,'21.10 KAPEEKA-NGOMA-24h'!F51,'23.10 KAPEEKA-NGOMA'!F51)</f>
        <v>0.14285714285714285</v>
      </c>
      <c r="G51" s="49">
        <f>AVERAGE('17.10 KAPEEKA-NGOMA'!G51,'18.10 KAPEEKA-NGOMA'!G51,'20.10 KAPEEKA-NGOMA'!G51,'22.10 KAPEEKA-NGOMA'!G51,'19.10 KAPEEKA-NGOMA 24h'!G51,'21.10 KAPEEKA-NGOMA-24h'!G51,'23.10 KAPEEKA-NGOMA'!G51)</f>
        <v>0</v>
      </c>
      <c r="H51" s="49">
        <f>AVERAGE('17.10 KAPEEKA-NGOMA'!H51,'18.10 KAPEEKA-NGOMA'!H51,'20.10 KAPEEKA-NGOMA'!H51,'22.10 KAPEEKA-NGOMA'!H51,'19.10 KAPEEKA-NGOMA 24h'!H51,'21.10 KAPEEKA-NGOMA-24h'!H51,'23.10 KAPEEKA-NGOMA'!H51)</f>
        <v>0</v>
      </c>
      <c r="I51" s="49">
        <f>AVERAGE('17.10 KAPEEKA-NGOMA'!I51,'18.10 KAPEEKA-NGOMA'!I51,'20.10 KAPEEKA-NGOMA'!I51,'22.10 KAPEEKA-NGOMA'!I51,'19.10 KAPEEKA-NGOMA 24h'!I51,'21.10 KAPEEKA-NGOMA-24h'!I51,'23.10 KAPEEKA-NGOMA'!I51)</f>
        <v>0.14285714285714285</v>
      </c>
      <c r="J51" s="49">
        <f>AVERAGE('17.10 KAPEEKA-NGOMA'!J51,'18.10 KAPEEKA-NGOMA'!J51,'20.10 KAPEEKA-NGOMA'!J51,'22.10 KAPEEKA-NGOMA'!J51,'19.10 KAPEEKA-NGOMA 24h'!J51,'21.10 KAPEEKA-NGOMA-24h'!J51,'23.10 KAPEEKA-NGOMA'!J51)</f>
        <v>0</v>
      </c>
      <c r="K51" s="49">
        <f>AVERAGE('17.10 KAPEEKA-NGOMA'!K51,'18.10 KAPEEKA-NGOMA'!K51,'20.10 KAPEEKA-NGOMA'!K51,'22.10 KAPEEKA-NGOMA'!K51,'19.10 KAPEEKA-NGOMA 24h'!K51,'21.10 KAPEEKA-NGOMA-24h'!K51,'23.10 KAPEEKA-NGOMA'!K51)</f>
        <v>0</v>
      </c>
      <c r="L51" s="49">
        <f>AVERAGE('17.10 KAPEEKA-NGOMA'!L51,'18.10 KAPEEKA-NGOMA'!L51,'20.10 KAPEEKA-NGOMA'!L51,'22.10 KAPEEKA-NGOMA'!L51,'19.10 KAPEEKA-NGOMA 24h'!L51,'21.10 KAPEEKA-NGOMA-24h'!L51,'23.10 KAPEEKA-NGOMA'!L51)</f>
        <v>0.14285714285714285</v>
      </c>
      <c r="M51" s="49">
        <f>AVERAGE('17.10 KAPEEKA-NGOMA'!M51,'18.10 KAPEEKA-NGOMA'!M51,'20.10 KAPEEKA-NGOMA'!M51,'22.10 KAPEEKA-NGOMA'!M51,'19.10 KAPEEKA-NGOMA 24h'!M51,'21.10 KAPEEKA-NGOMA-24h'!M51,'23.10 KAPEEKA-NGOMA'!M51)</f>
        <v>5</v>
      </c>
      <c r="N51" s="49">
        <f>AVERAGE('17.10 KAPEEKA-NGOMA'!N51,'18.10 KAPEEKA-NGOMA'!N51,'20.10 KAPEEKA-NGOMA'!N51,'22.10 KAPEEKA-NGOMA'!N51,'19.10 KAPEEKA-NGOMA 24h'!N51,'21.10 KAPEEKA-NGOMA-24h'!N51,'23.10 KAPEEKA-NGOMA'!N51)</f>
        <v>0</v>
      </c>
      <c r="O51" s="15">
        <f t="shared" si="0"/>
        <v>1.714285714285714</v>
      </c>
      <c r="P51" s="15">
        <f t="shared" si="1"/>
        <v>6.7142857142857135</v>
      </c>
      <c r="R51" s="8"/>
      <c r="T51"/>
    </row>
    <row r="52" spans="2:20" ht="23.1" customHeight="1" x14ac:dyDescent="0.25">
      <c r="B52" s="24" t="s">
        <v>79</v>
      </c>
      <c r="C52" s="49">
        <f>AVERAGE('17.10 KAPEEKA-NGOMA'!C52,'18.10 KAPEEKA-NGOMA'!C52,'20.10 KAPEEKA-NGOMA'!C52,'22.10 KAPEEKA-NGOMA'!C52,'19.10 KAPEEKA-NGOMA 24h'!C52,'21.10 KAPEEKA-NGOMA-24h'!C52,'23.10 KAPEEKA-NGOMA'!C52)</f>
        <v>0</v>
      </c>
      <c r="D52" s="49">
        <f>AVERAGE('17.10 KAPEEKA-NGOMA'!D52,'18.10 KAPEEKA-NGOMA'!D52,'20.10 KAPEEKA-NGOMA'!D52,'22.10 KAPEEKA-NGOMA'!D52,'19.10 KAPEEKA-NGOMA 24h'!D52,'21.10 KAPEEKA-NGOMA-24h'!D52,'23.10 KAPEEKA-NGOMA'!D52)</f>
        <v>0</v>
      </c>
      <c r="E52" s="49">
        <f>AVERAGE('17.10 KAPEEKA-NGOMA'!E52,'18.10 KAPEEKA-NGOMA'!E52,'20.10 KAPEEKA-NGOMA'!E52,'22.10 KAPEEKA-NGOMA'!E52,'19.10 KAPEEKA-NGOMA 24h'!E52,'21.10 KAPEEKA-NGOMA-24h'!E52,'23.10 KAPEEKA-NGOMA'!E52)</f>
        <v>0.14285714285714285</v>
      </c>
      <c r="F52" s="49">
        <f>AVERAGE('17.10 KAPEEKA-NGOMA'!F52,'18.10 KAPEEKA-NGOMA'!F52,'20.10 KAPEEKA-NGOMA'!F52,'22.10 KAPEEKA-NGOMA'!F52,'19.10 KAPEEKA-NGOMA 24h'!F52,'21.10 KAPEEKA-NGOMA-24h'!F52,'23.10 KAPEEKA-NGOMA'!F52)</f>
        <v>0.5714285714285714</v>
      </c>
      <c r="G52" s="49">
        <f>AVERAGE('17.10 KAPEEKA-NGOMA'!G52,'18.10 KAPEEKA-NGOMA'!G52,'20.10 KAPEEKA-NGOMA'!G52,'22.10 KAPEEKA-NGOMA'!G52,'19.10 KAPEEKA-NGOMA 24h'!G52,'21.10 KAPEEKA-NGOMA-24h'!G52,'23.10 KAPEEKA-NGOMA'!G52)</f>
        <v>0</v>
      </c>
      <c r="H52" s="49">
        <f>AVERAGE('17.10 KAPEEKA-NGOMA'!H52,'18.10 KAPEEKA-NGOMA'!H52,'20.10 KAPEEKA-NGOMA'!H52,'22.10 KAPEEKA-NGOMA'!H52,'19.10 KAPEEKA-NGOMA 24h'!H52,'21.10 KAPEEKA-NGOMA-24h'!H52,'23.10 KAPEEKA-NGOMA'!H52)</f>
        <v>0</v>
      </c>
      <c r="I52" s="49">
        <f>AVERAGE('17.10 KAPEEKA-NGOMA'!I52,'18.10 KAPEEKA-NGOMA'!I52,'20.10 KAPEEKA-NGOMA'!I52,'22.10 KAPEEKA-NGOMA'!I52,'19.10 KAPEEKA-NGOMA 24h'!I52,'21.10 KAPEEKA-NGOMA-24h'!I52,'23.10 KAPEEKA-NGOMA'!I52)</f>
        <v>0.42857142857142855</v>
      </c>
      <c r="J52" s="49">
        <f>AVERAGE('17.10 KAPEEKA-NGOMA'!J52,'18.10 KAPEEKA-NGOMA'!J52,'20.10 KAPEEKA-NGOMA'!J52,'22.10 KAPEEKA-NGOMA'!J52,'19.10 KAPEEKA-NGOMA 24h'!J52,'21.10 KAPEEKA-NGOMA-24h'!J52,'23.10 KAPEEKA-NGOMA'!J52)</f>
        <v>0.14285714285714285</v>
      </c>
      <c r="K52" s="49">
        <f>AVERAGE('17.10 KAPEEKA-NGOMA'!K52,'18.10 KAPEEKA-NGOMA'!K52,'20.10 KAPEEKA-NGOMA'!K52,'22.10 KAPEEKA-NGOMA'!K52,'19.10 KAPEEKA-NGOMA 24h'!K52,'21.10 KAPEEKA-NGOMA-24h'!K52,'23.10 KAPEEKA-NGOMA'!K52)</f>
        <v>0</v>
      </c>
      <c r="L52" s="49">
        <f>AVERAGE('17.10 KAPEEKA-NGOMA'!L52,'18.10 KAPEEKA-NGOMA'!L52,'20.10 KAPEEKA-NGOMA'!L52,'22.10 KAPEEKA-NGOMA'!L52,'19.10 KAPEEKA-NGOMA 24h'!L52,'21.10 KAPEEKA-NGOMA-24h'!L52,'23.10 KAPEEKA-NGOMA'!L52)</f>
        <v>0</v>
      </c>
      <c r="M52" s="49">
        <f>AVERAGE('17.10 KAPEEKA-NGOMA'!M52,'18.10 KAPEEKA-NGOMA'!M52,'20.10 KAPEEKA-NGOMA'!M52,'22.10 KAPEEKA-NGOMA'!M52,'19.10 KAPEEKA-NGOMA 24h'!M52,'21.10 KAPEEKA-NGOMA-24h'!M52,'23.10 KAPEEKA-NGOMA'!M52)</f>
        <v>5.1428571428571432</v>
      </c>
      <c r="N52" s="49">
        <f>AVERAGE('17.10 KAPEEKA-NGOMA'!N52,'18.10 KAPEEKA-NGOMA'!N52,'20.10 KAPEEKA-NGOMA'!N52,'22.10 KAPEEKA-NGOMA'!N52,'19.10 KAPEEKA-NGOMA 24h'!N52,'21.10 KAPEEKA-NGOMA-24h'!N52,'23.10 KAPEEKA-NGOMA'!N52)</f>
        <v>0</v>
      </c>
      <c r="O52" s="15">
        <f t="shared" si="0"/>
        <v>1.2857142857142856</v>
      </c>
      <c r="P52" s="15">
        <f t="shared" si="1"/>
        <v>6.4285714285714288</v>
      </c>
      <c r="R52" s="8"/>
      <c r="T52"/>
    </row>
    <row r="53" spans="2:20" ht="23.1" customHeight="1" x14ac:dyDescent="0.25">
      <c r="B53" s="23" t="s">
        <v>80</v>
      </c>
      <c r="C53" s="49">
        <f>AVERAGE('17.10 KAPEEKA-NGOMA'!C53,'18.10 KAPEEKA-NGOMA'!C53,'20.10 KAPEEKA-NGOMA'!C53,'22.10 KAPEEKA-NGOMA'!C53,'19.10 KAPEEKA-NGOMA 24h'!C53,'21.10 KAPEEKA-NGOMA-24h'!C53,'23.10 KAPEEKA-NGOMA'!C53)</f>
        <v>0.8571428571428571</v>
      </c>
      <c r="D53" s="49">
        <f>AVERAGE('17.10 KAPEEKA-NGOMA'!D53,'18.10 KAPEEKA-NGOMA'!D53,'20.10 KAPEEKA-NGOMA'!D53,'22.10 KAPEEKA-NGOMA'!D53,'19.10 KAPEEKA-NGOMA 24h'!D53,'21.10 KAPEEKA-NGOMA-24h'!D53,'23.10 KAPEEKA-NGOMA'!D53)</f>
        <v>0</v>
      </c>
      <c r="E53" s="49">
        <f>AVERAGE('17.10 KAPEEKA-NGOMA'!E53,'18.10 KAPEEKA-NGOMA'!E53,'20.10 KAPEEKA-NGOMA'!E53,'22.10 KAPEEKA-NGOMA'!E53,'19.10 KAPEEKA-NGOMA 24h'!E53,'21.10 KAPEEKA-NGOMA-24h'!E53,'23.10 KAPEEKA-NGOMA'!E53)</f>
        <v>0.7142857142857143</v>
      </c>
      <c r="F53" s="49">
        <f>AVERAGE('17.10 KAPEEKA-NGOMA'!F53,'18.10 KAPEEKA-NGOMA'!F53,'20.10 KAPEEKA-NGOMA'!F53,'22.10 KAPEEKA-NGOMA'!F53,'19.10 KAPEEKA-NGOMA 24h'!F53,'21.10 KAPEEKA-NGOMA-24h'!F53,'23.10 KAPEEKA-NGOMA'!F53)</f>
        <v>0.2857142857142857</v>
      </c>
      <c r="G53" s="49">
        <f>AVERAGE('17.10 KAPEEKA-NGOMA'!G53,'18.10 KAPEEKA-NGOMA'!G53,'20.10 KAPEEKA-NGOMA'!G53,'22.10 KAPEEKA-NGOMA'!G53,'19.10 KAPEEKA-NGOMA 24h'!G53,'21.10 KAPEEKA-NGOMA-24h'!G53,'23.10 KAPEEKA-NGOMA'!G53)</f>
        <v>0</v>
      </c>
      <c r="H53" s="49">
        <f>AVERAGE('17.10 KAPEEKA-NGOMA'!H53,'18.10 KAPEEKA-NGOMA'!H53,'20.10 KAPEEKA-NGOMA'!H53,'22.10 KAPEEKA-NGOMA'!H53,'19.10 KAPEEKA-NGOMA 24h'!H53,'21.10 KAPEEKA-NGOMA-24h'!H53,'23.10 KAPEEKA-NGOMA'!H53)</f>
        <v>0</v>
      </c>
      <c r="I53" s="49">
        <f>AVERAGE('17.10 KAPEEKA-NGOMA'!I53,'18.10 KAPEEKA-NGOMA'!I53,'20.10 KAPEEKA-NGOMA'!I53,'22.10 KAPEEKA-NGOMA'!I53,'19.10 KAPEEKA-NGOMA 24h'!I53,'21.10 KAPEEKA-NGOMA-24h'!I53,'23.10 KAPEEKA-NGOMA'!I53)</f>
        <v>0.5714285714285714</v>
      </c>
      <c r="J53" s="49">
        <f>AVERAGE('17.10 KAPEEKA-NGOMA'!J53,'18.10 KAPEEKA-NGOMA'!J53,'20.10 KAPEEKA-NGOMA'!J53,'22.10 KAPEEKA-NGOMA'!J53,'19.10 KAPEEKA-NGOMA 24h'!J53,'21.10 KAPEEKA-NGOMA-24h'!J53,'23.10 KAPEEKA-NGOMA'!J53)</f>
        <v>0</v>
      </c>
      <c r="K53" s="49">
        <f>AVERAGE('17.10 KAPEEKA-NGOMA'!K53,'18.10 KAPEEKA-NGOMA'!K53,'20.10 KAPEEKA-NGOMA'!K53,'22.10 KAPEEKA-NGOMA'!K53,'19.10 KAPEEKA-NGOMA 24h'!K53,'21.10 KAPEEKA-NGOMA-24h'!K53,'23.10 KAPEEKA-NGOMA'!K53)</f>
        <v>0</v>
      </c>
      <c r="L53" s="49">
        <f>AVERAGE('17.10 KAPEEKA-NGOMA'!L53,'18.10 KAPEEKA-NGOMA'!L53,'20.10 KAPEEKA-NGOMA'!L53,'22.10 KAPEEKA-NGOMA'!L53,'19.10 KAPEEKA-NGOMA 24h'!L53,'21.10 KAPEEKA-NGOMA-24h'!L53,'23.10 KAPEEKA-NGOMA'!L53)</f>
        <v>0.14285714285714285</v>
      </c>
      <c r="M53" s="49">
        <f>AVERAGE('17.10 KAPEEKA-NGOMA'!M53,'18.10 KAPEEKA-NGOMA'!M53,'20.10 KAPEEKA-NGOMA'!M53,'22.10 KAPEEKA-NGOMA'!M53,'19.10 KAPEEKA-NGOMA 24h'!M53,'21.10 KAPEEKA-NGOMA-24h'!M53,'23.10 KAPEEKA-NGOMA'!M53)</f>
        <v>3.5714285714285716</v>
      </c>
      <c r="N53" s="49">
        <f>AVERAGE('17.10 KAPEEKA-NGOMA'!N53,'18.10 KAPEEKA-NGOMA'!N53,'20.10 KAPEEKA-NGOMA'!N53,'22.10 KAPEEKA-NGOMA'!N53,'19.10 KAPEEKA-NGOMA 24h'!N53,'21.10 KAPEEKA-NGOMA-24h'!N53,'23.10 KAPEEKA-NGOMA'!N53)</f>
        <v>0</v>
      </c>
      <c r="O53" s="15">
        <f t="shared" si="0"/>
        <v>2.5714285714285716</v>
      </c>
      <c r="P53" s="15">
        <f t="shared" si="1"/>
        <v>6.1428571428571432</v>
      </c>
      <c r="R53" s="8"/>
      <c r="T53"/>
    </row>
    <row r="54" spans="2:20" ht="23.1" customHeight="1" x14ac:dyDescent="0.25">
      <c r="B54" s="23" t="s">
        <v>81</v>
      </c>
      <c r="C54" s="49">
        <f>AVERAGE('17.10 KAPEEKA-NGOMA'!C54,'18.10 KAPEEKA-NGOMA'!C54,'20.10 KAPEEKA-NGOMA'!C54,'22.10 KAPEEKA-NGOMA'!C54,'19.10 KAPEEKA-NGOMA 24h'!C54,'21.10 KAPEEKA-NGOMA-24h'!C54,'23.10 KAPEEKA-NGOMA'!C54)</f>
        <v>0.7142857142857143</v>
      </c>
      <c r="D54" s="49">
        <f>AVERAGE('17.10 KAPEEKA-NGOMA'!D54,'18.10 KAPEEKA-NGOMA'!D54,'20.10 KAPEEKA-NGOMA'!D54,'22.10 KAPEEKA-NGOMA'!D54,'19.10 KAPEEKA-NGOMA 24h'!D54,'21.10 KAPEEKA-NGOMA-24h'!D54,'23.10 KAPEEKA-NGOMA'!D54)</f>
        <v>0</v>
      </c>
      <c r="E54" s="49">
        <f>AVERAGE('17.10 KAPEEKA-NGOMA'!E54,'18.10 KAPEEKA-NGOMA'!E54,'20.10 KAPEEKA-NGOMA'!E54,'22.10 KAPEEKA-NGOMA'!E54,'19.10 KAPEEKA-NGOMA 24h'!E54,'21.10 KAPEEKA-NGOMA-24h'!E54,'23.10 KAPEEKA-NGOMA'!E54)</f>
        <v>0.2857142857142857</v>
      </c>
      <c r="F54" s="49">
        <f>AVERAGE('17.10 KAPEEKA-NGOMA'!F54,'18.10 KAPEEKA-NGOMA'!F54,'20.10 KAPEEKA-NGOMA'!F54,'22.10 KAPEEKA-NGOMA'!F54,'19.10 KAPEEKA-NGOMA 24h'!F54,'21.10 KAPEEKA-NGOMA-24h'!F54,'23.10 KAPEEKA-NGOMA'!F54)</f>
        <v>0.7142857142857143</v>
      </c>
      <c r="G54" s="49">
        <f>AVERAGE('17.10 KAPEEKA-NGOMA'!G54,'18.10 KAPEEKA-NGOMA'!G54,'20.10 KAPEEKA-NGOMA'!G54,'22.10 KAPEEKA-NGOMA'!G54,'19.10 KAPEEKA-NGOMA 24h'!G54,'21.10 KAPEEKA-NGOMA-24h'!G54,'23.10 KAPEEKA-NGOMA'!G54)</f>
        <v>0</v>
      </c>
      <c r="H54" s="49">
        <f>AVERAGE('17.10 KAPEEKA-NGOMA'!H54,'18.10 KAPEEKA-NGOMA'!H54,'20.10 KAPEEKA-NGOMA'!H54,'22.10 KAPEEKA-NGOMA'!H54,'19.10 KAPEEKA-NGOMA 24h'!H54,'21.10 KAPEEKA-NGOMA-24h'!H54,'23.10 KAPEEKA-NGOMA'!H54)</f>
        <v>0</v>
      </c>
      <c r="I54" s="49">
        <f>AVERAGE('17.10 KAPEEKA-NGOMA'!I54,'18.10 KAPEEKA-NGOMA'!I54,'20.10 KAPEEKA-NGOMA'!I54,'22.10 KAPEEKA-NGOMA'!I54,'19.10 KAPEEKA-NGOMA 24h'!I54,'21.10 KAPEEKA-NGOMA-24h'!I54,'23.10 KAPEEKA-NGOMA'!I54)</f>
        <v>0.2857142857142857</v>
      </c>
      <c r="J54" s="49">
        <f>AVERAGE('17.10 KAPEEKA-NGOMA'!J54,'18.10 KAPEEKA-NGOMA'!J54,'20.10 KAPEEKA-NGOMA'!J54,'22.10 KAPEEKA-NGOMA'!J54,'19.10 KAPEEKA-NGOMA 24h'!J54,'21.10 KAPEEKA-NGOMA-24h'!J54,'23.10 KAPEEKA-NGOMA'!J54)</f>
        <v>0</v>
      </c>
      <c r="K54" s="49">
        <f>AVERAGE('17.10 KAPEEKA-NGOMA'!K54,'18.10 KAPEEKA-NGOMA'!K54,'20.10 KAPEEKA-NGOMA'!K54,'22.10 KAPEEKA-NGOMA'!K54,'19.10 KAPEEKA-NGOMA 24h'!K54,'21.10 KAPEEKA-NGOMA-24h'!K54,'23.10 KAPEEKA-NGOMA'!K54)</f>
        <v>0</v>
      </c>
      <c r="L54" s="49">
        <f>AVERAGE('17.10 KAPEEKA-NGOMA'!L54,'18.10 KAPEEKA-NGOMA'!L54,'20.10 KAPEEKA-NGOMA'!L54,'22.10 KAPEEKA-NGOMA'!L54,'19.10 KAPEEKA-NGOMA 24h'!L54,'21.10 KAPEEKA-NGOMA-24h'!L54,'23.10 KAPEEKA-NGOMA'!L54)</f>
        <v>0</v>
      </c>
      <c r="M54" s="49">
        <f>AVERAGE('17.10 KAPEEKA-NGOMA'!M54,'18.10 KAPEEKA-NGOMA'!M54,'20.10 KAPEEKA-NGOMA'!M54,'22.10 KAPEEKA-NGOMA'!M54,'19.10 KAPEEKA-NGOMA 24h'!M54,'21.10 KAPEEKA-NGOMA-24h'!M54,'23.10 KAPEEKA-NGOMA'!M54)</f>
        <v>4.5714285714285712</v>
      </c>
      <c r="N54" s="49">
        <f>AVERAGE('17.10 KAPEEKA-NGOMA'!N54,'18.10 KAPEEKA-NGOMA'!N54,'20.10 KAPEEKA-NGOMA'!N54,'22.10 KAPEEKA-NGOMA'!N54,'19.10 KAPEEKA-NGOMA 24h'!N54,'21.10 KAPEEKA-NGOMA-24h'!N54,'23.10 KAPEEKA-NGOMA'!N54)</f>
        <v>0</v>
      </c>
      <c r="O54" s="15">
        <f t="shared" si="0"/>
        <v>2</v>
      </c>
      <c r="P54" s="15">
        <f t="shared" si="1"/>
        <v>6.5714285714285712</v>
      </c>
      <c r="R54" s="8"/>
      <c r="T54"/>
    </row>
    <row r="55" spans="2:20" ht="23.1" customHeight="1" x14ac:dyDescent="0.25">
      <c r="B55" s="23" t="s">
        <v>82</v>
      </c>
      <c r="C55" s="49">
        <f>AVERAGE('17.10 KAPEEKA-NGOMA'!C55,'18.10 KAPEEKA-NGOMA'!C55,'20.10 KAPEEKA-NGOMA'!C55,'22.10 KAPEEKA-NGOMA'!C55,'19.10 KAPEEKA-NGOMA 24h'!C55,'21.10 KAPEEKA-NGOMA-24h'!C55,'23.10 KAPEEKA-NGOMA'!C55)</f>
        <v>1.5714285714285714</v>
      </c>
      <c r="D55" s="49">
        <f>AVERAGE('17.10 KAPEEKA-NGOMA'!D55,'18.10 KAPEEKA-NGOMA'!D55,'20.10 KAPEEKA-NGOMA'!D55,'22.10 KAPEEKA-NGOMA'!D55,'19.10 KAPEEKA-NGOMA 24h'!D55,'21.10 KAPEEKA-NGOMA-24h'!D55,'23.10 KAPEEKA-NGOMA'!D55)</f>
        <v>0</v>
      </c>
      <c r="E55" s="49">
        <f>AVERAGE('17.10 KAPEEKA-NGOMA'!E55,'18.10 KAPEEKA-NGOMA'!E55,'20.10 KAPEEKA-NGOMA'!E55,'22.10 KAPEEKA-NGOMA'!E55,'19.10 KAPEEKA-NGOMA 24h'!E55,'21.10 KAPEEKA-NGOMA-24h'!E55,'23.10 KAPEEKA-NGOMA'!E55)</f>
        <v>0.42857142857142855</v>
      </c>
      <c r="F55" s="49">
        <f>AVERAGE('17.10 KAPEEKA-NGOMA'!F55,'18.10 KAPEEKA-NGOMA'!F55,'20.10 KAPEEKA-NGOMA'!F55,'22.10 KAPEEKA-NGOMA'!F55,'19.10 KAPEEKA-NGOMA 24h'!F55,'21.10 KAPEEKA-NGOMA-24h'!F55,'23.10 KAPEEKA-NGOMA'!F55)</f>
        <v>0.7142857142857143</v>
      </c>
      <c r="G55" s="49">
        <f>AVERAGE('17.10 KAPEEKA-NGOMA'!G55,'18.10 KAPEEKA-NGOMA'!G55,'20.10 KAPEEKA-NGOMA'!G55,'22.10 KAPEEKA-NGOMA'!G55,'19.10 KAPEEKA-NGOMA 24h'!G55,'21.10 KAPEEKA-NGOMA-24h'!G55,'23.10 KAPEEKA-NGOMA'!G55)</f>
        <v>0</v>
      </c>
      <c r="H55" s="49">
        <f>AVERAGE('17.10 KAPEEKA-NGOMA'!H55,'18.10 KAPEEKA-NGOMA'!H55,'20.10 KAPEEKA-NGOMA'!H55,'22.10 KAPEEKA-NGOMA'!H55,'19.10 KAPEEKA-NGOMA 24h'!H55,'21.10 KAPEEKA-NGOMA-24h'!H55,'23.10 KAPEEKA-NGOMA'!H55)</f>
        <v>0</v>
      </c>
      <c r="I55" s="49">
        <f>AVERAGE('17.10 KAPEEKA-NGOMA'!I55,'18.10 KAPEEKA-NGOMA'!I55,'20.10 KAPEEKA-NGOMA'!I55,'22.10 KAPEEKA-NGOMA'!I55,'19.10 KAPEEKA-NGOMA 24h'!I55,'21.10 KAPEEKA-NGOMA-24h'!I55,'23.10 KAPEEKA-NGOMA'!I55)</f>
        <v>0.5714285714285714</v>
      </c>
      <c r="J55" s="49">
        <f>AVERAGE('17.10 KAPEEKA-NGOMA'!J55,'18.10 KAPEEKA-NGOMA'!J55,'20.10 KAPEEKA-NGOMA'!J55,'22.10 KAPEEKA-NGOMA'!J55,'19.10 KAPEEKA-NGOMA 24h'!J55,'21.10 KAPEEKA-NGOMA-24h'!J55,'23.10 KAPEEKA-NGOMA'!J55)</f>
        <v>0</v>
      </c>
      <c r="K55" s="49">
        <f>AVERAGE('17.10 KAPEEKA-NGOMA'!K55,'18.10 KAPEEKA-NGOMA'!K55,'20.10 KAPEEKA-NGOMA'!K55,'22.10 KAPEEKA-NGOMA'!K55,'19.10 KAPEEKA-NGOMA 24h'!K55,'21.10 KAPEEKA-NGOMA-24h'!K55,'23.10 KAPEEKA-NGOMA'!K55)</f>
        <v>0</v>
      </c>
      <c r="L55" s="49">
        <f>AVERAGE('17.10 KAPEEKA-NGOMA'!L55,'18.10 KAPEEKA-NGOMA'!L55,'20.10 KAPEEKA-NGOMA'!L55,'22.10 KAPEEKA-NGOMA'!L55,'19.10 KAPEEKA-NGOMA 24h'!L55,'21.10 KAPEEKA-NGOMA-24h'!L55,'23.10 KAPEEKA-NGOMA'!L55)</f>
        <v>0</v>
      </c>
      <c r="M55" s="49">
        <f>AVERAGE('17.10 KAPEEKA-NGOMA'!M55,'18.10 KAPEEKA-NGOMA'!M55,'20.10 KAPEEKA-NGOMA'!M55,'22.10 KAPEEKA-NGOMA'!M55,'19.10 KAPEEKA-NGOMA 24h'!M55,'21.10 KAPEEKA-NGOMA-24h'!M55,'23.10 KAPEEKA-NGOMA'!M55)</f>
        <v>4.2857142857142856</v>
      </c>
      <c r="N55" s="49">
        <f>AVERAGE('17.10 KAPEEKA-NGOMA'!N55,'18.10 KAPEEKA-NGOMA'!N55,'20.10 KAPEEKA-NGOMA'!N55,'22.10 KAPEEKA-NGOMA'!N55,'19.10 KAPEEKA-NGOMA 24h'!N55,'21.10 KAPEEKA-NGOMA-24h'!N55,'23.10 KAPEEKA-NGOMA'!N55)</f>
        <v>0</v>
      </c>
      <c r="O55" s="15">
        <f t="shared" si="0"/>
        <v>3.2857142857142856</v>
      </c>
      <c r="P55" s="15">
        <f t="shared" si="1"/>
        <v>7.5714285714285712</v>
      </c>
      <c r="R55" s="8"/>
      <c r="T55"/>
    </row>
    <row r="56" spans="2:20" ht="23.1" customHeight="1" x14ac:dyDescent="0.25">
      <c r="B56" s="23" t="s">
        <v>83</v>
      </c>
      <c r="C56" s="49">
        <f>AVERAGE('17.10 KAPEEKA-NGOMA'!C56,'18.10 KAPEEKA-NGOMA'!C56,'20.10 KAPEEKA-NGOMA'!C56,'22.10 KAPEEKA-NGOMA'!C56,'19.10 KAPEEKA-NGOMA 24h'!C56,'21.10 KAPEEKA-NGOMA-24h'!C56,'23.10 KAPEEKA-NGOMA'!C56)</f>
        <v>0.2857142857142857</v>
      </c>
      <c r="D56" s="49">
        <f>AVERAGE('17.10 KAPEEKA-NGOMA'!D56,'18.10 KAPEEKA-NGOMA'!D56,'20.10 KAPEEKA-NGOMA'!D56,'22.10 KAPEEKA-NGOMA'!D56,'19.10 KAPEEKA-NGOMA 24h'!D56,'21.10 KAPEEKA-NGOMA-24h'!D56,'23.10 KAPEEKA-NGOMA'!D56)</f>
        <v>0.14285714285714285</v>
      </c>
      <c r="E56" s="49">
        <f>AVERAGE('17.10 KAPEEKA-NGOMA'!E56,'18.10 KAPEEKA-NGOMA'!E56,'20.10 KAPEEKA-NGOMA'!E56,'22.10 KAPEEKA-NGOMA'!E56,'19.10 KAPEEKA-NGOMA 24h'!E56,'21.10 KAPEEKA-NGOMA-24h'!E56,'23.10 KAPEEKA-NGOMA'!E56)</f>
        <v>0.14285714285714285</v>
      </c>
      <c r="F56" s="49">
        <f>AVERAGE('17.10 KAPEEKA-NGOMA'!F56,'18.10 KAPEEKA-NGOMA'!F56,'20.10 KAPEEKA-NGOMA'!F56,'22.10 KAPEEKA-NGOMA'!F56,'19.10 KAPEEKA-NGOMA 24h'!F56,'21.10 KAPEEKA-NGOMA-24h'!F56,'23.10 KAPEEKA-NGOMA'!F56)</f>
        <v>0.8571428571428571</v>
      </c>
      <c r="G56" s="49">
        <f>AVERAGE('17.10 KAPEEKA-NGOMA'!G56,'18.10 KAPEEKA-NGOMA'!G56,'20.10 KAPEEKA-NGOMA'!G56,'22.10 KAPEEKA-NGOMA'!G56,'19.10 KAPEEKA-NGOMA 24h'!G56,'21.10 KAPEEKA-NGOMA-24h'!G56,'23.10 KAPEEKA-NGOMA'!G56)</f>
        <v>0.14285714285714285</v>
      </c>
      <c r="H56" s="49">
        <f>AVERAGE('17.10 KAPEEKA-NGOMA'!H56,'18.10 KAPEEKA-NGOMA'!H56,'20.10 KAPEEKA-NGOMA'!H56,'22.10 KAPEEKA-NGOMA'!H56,'19.10 KAPEEKA-NGOMA 24h'!H56,'21.10 KAPEEKA-NGOMA-24h'!H56,'23.10 KAPEEKA-NGOMA'!H56)</f>
        <v>0</v>
      </c>
      <c r="I56" s="49">
        <f>AVERAGE('17.10 KAPEEKA-NGOMA'!I56,'18.10 KAPEEKA-NGOMA'!I56,'20.10 KAPEEKA-NGOMA'!I56,'22.10 KAPEEKA-NGOMA'!I56,'19.10 KAPEEKA-NGOMA 24h'!I56,'21.10 KAPEEKA-NGOMA-24h'!I56,'23.10 KAPEEKA-NGOMA'!I56)</f>
        <v>0.42857142857142855</v>
      </c>
      <c r="J56" s="49">
        <f>AVERAGE('17.10 KAPEEKA-NGOMA'!J56,'18.10 KAPEEKA-NGOMA'!J56,'20.10 KAPEEKA-NGOMA'!J56,'22.10 KAPEEKA-NGOMA'!J56,'19.10 KAPEEKA-NGOMA 24h'!J56,'21.10 KAPEEKA-NGOMA-24h'!J56,'23.10 KAPEEKA-NGOMA'!J56)</f>
        <v>0</v>
      </c>
      <c r="K56" s="49">
        <f>AVERAGE('17.10 KAPEEKA-NGOMA'!K56,'18.10 KAPEEKA-NGOMA'!K56,'20.10 KAPEEKA-NGOMA'!K56,'22.10 KAPEEKA-NGOMA'!K56,'19.10 KAPEEKA-NGOMA 24h'!K56,'21.10 KAPEEKA-NGOMA-24h'!K56,'23.10 KAPEEKA-NGOMA'!K56)</f>
        <v>0.14285714285714285</v>
      </c>
      <c r="L56" s="49">
        <f>AVERAGE('17.10 KAPEEKA-NGOMA'!L56,'18.10 KAPEEKA-NGOMA'!L56,'20.10 KAPEEKA-NGOMA'!L56,'22.10 KAPEEKA-NGOMA'!L56,'19.10 KAPEEKA-NGOMA 24h'!L56,'21.10 KAPEEKA-NGOMA-24h'!L56,'23.10 KAPEEKA-NGOMA'!L56)</f>
        <v>0</v>
      </c>
      <c r="M56" s="49">
        <f>AVERAGE('17.10 KAPEEKA-NGOMA'!M56,'18.10 KAPEEKA-NGOMA'!M56,'20.10 KAPEEKA-NGOMA'!M56,'22.10 KAPEEKA-NGOMA'!M56,'19.10 KAPEEKA-NGOMA 24h'!M56,'21.10 KAPEEKA-NGOMA-24h'!M56,'23.10 KAPEEKA-NGOMA'!M56)</f>
        <v>4</v>
      </c>
      <c r="N56" s="49">
        <f>AVERAGE('17.10 KAPEEKA-NGOMA'!N56,'18.10 KAPEEKA-NGOMA'!N56,'20.10 KAPEEKA-NGOMA'!N56,'22.10 KAPEEKA-NGOMA'!N56,'19.10 KAPEEKA-NGOMA 24h'!N56,'21.10 KAPEEKA-NGOMA-24h'!N56,'23.10 KAPEEKA-NGOMA'!N56)</f>
        <v>0</v>
      </c>
      <c r="O56" s="15">
        <f t="shared" si="0"/>
        <v>2.1428571428571428</v>
      </c>
      <c r="P56" s="15">
        <f t="shared" si="1"/>
        <v>6.1428571428571423</v>
      </c>
      <c r="R56" s="8"/>
      <c r="T56"/>
    </row>
    <row r="57" spans="2:20" ht="23.1" customHeight="1" x14ac:dyDescent="0.25">
      <c r="B57" s="23" t="s">
        <v>84</v>
      </c>
      <c r="C57" s="49">
        <f>AVERAGE('17.10 KAPEEKA-NGOMA'!C57,'18.10 KAPEEKA-NGOMA'!C57,'20.10 KAPEEKA-NGOMA'!C57,'22.10 KAPEEKA-NGOMA'!C57,'19.10 KAPEEKA-NGOMA 24h'!C57,'21.10 KAPEEKA-NGOMA-24h'!C57,'23.10 KAPEEKA-NGOMA'!C57)</f>
        <v>0.2857142857142857</v>
      </c>
      <c r="D57" s="49">
        <f>AVERAGE('17.10 KAPEEKA-NGOMA'!D57,'18.10 KAPEEKA-NGOMA'!D57,'20.10 KAPEEKA-NGOMA'!D57,'22.10 KAPEEKA-NGOMA'!D57,'19.10 KAPEEKA-NGOMA 24h'!D57,'21.10 KAPEEKA-NGOMA-24h'!D57,'23.10 KAPEEKA-NGOMA'!D57)</f>
        <v>0.14285714285714285</v>
      </c>
      <c r="E57" s="49">
        <f>AVERAGE('17.10 KAPEEKA-NGOMA'!E57,'18.10 KAPEEKA-NGOMA'!E57,'20.10 KAPEEKA-NGOMA'!E57,'22.10 KAPEEKA-NGOMA'!E57,'19.10 KAPEEKA-NGOMA 24h'!E57,'21.10 KAPEEKA-NGOMA-24h'!E57,'23.10 KAPEEKA-NGOMA'!E57)</f>
        <v>0.2857142857142857</v>
      </c>
      <c r="F57" s="49">
        <f>AVERAGE('17.10 KAPEEKA-NGOMA'!F57,'18.10 KAPEEKA-NGOMA'!F57,'20.10 KAPEEKA-NGOMA'!F57,'22.10 KAPEEKA-NGOMA'!F57,'19.10 KAPEEKA-NGOMA 24h'!F57,'21.10 KAPEEKA-NGOMA-24h'!F57,'23.10 KAPEEKA-NGOMA'!F57)</f>
        <v>0.7142857142857143</v>
      </c>
      <c r="G57" s="49">
        <f>AVERAGE('17.10 KAPEEKA-NGOMA'!G57,'18.10 KAPEEKA-NGOMA'!G57,'20.10 KAPEEKA-NGOMA'!G57,'22.10 KAPEEKA-NGOMA'!G57,'19.10 KAPEEKA-NGOMA 24h'!G57,'21.10 KAPEEKA-NGOMA-24h'!G57,'23.10 KAPEEKA-NGOMA'!G57)</f>
        <v>0</v>
      </c>
      <c r="H57" s="49">
        <f>AVERAGE('17.10 KAPEEKA-NGOMA'!H57,'18.10 KAPEEKA-NGOMA'!H57,'20.10 KAPEEKA-NGOMA'!H57,'22.10 KAPEEKA-NGOMA'!H57,'19.10 KAPEEKA-NGOMA 24h'!H57,'21.10 KAPEEKA-NGOMA-24h'!H57,'23.10 KAPEEKA-NGOMA'!H57)</f>
        <v>0</v>
      </c>
      <c r="I57" s="49">
        <f>AVERAGE('17.10 KAPEEKA-NGOMA'!I57,'18.10 KAPEEKA-NGOMA'!I57,'20.10 KAPEEKA-NGOMA'!I57,'22.10 KAPEEKA-NGOMA'!I57,'19.10 KAPEEKA-NGOMA 24h'!I57,'21.10 KAPEEKA-NGOMA-24h'!I57,'23.10 KAPEEKA-NGOMA'!I57)</f>
        <v>0.42857142857142855</v>
      </c>
      <c r="J57" s="49">
        <f>AVERAGE('17.10 KAPEEKA-NGOMA'!J57,'18.10 KAPEEKA-NGOMA'!J57,'20.10 KAPEEKA-NGOMA'!J57,'22.10 KAPEEKA-NGOMA'!J57,'19.10 KAPEEKA-NGOMA 24h'!J57,'21.10 KAPEEKA-NGOMA-24h'!J57,'23.10 KAPEEKA-NGOMA'!J57)</f>
        <v>0.14285714285714285</v>
      </c>
      <c r="K57" s="49">
        <f>AVERAGE('17.10 KAPEEKA-NGOMA'!K57,'18.10 KAPEEKA-NGOMA'!K57,'20.10 KAPEEKA-NGOMA'!K57,'22.10 KAPEEKA-NGOMA'!K57,'19.10 KAPEEKA-NGOMA 24h'!K57,'21.10 KAPEEKA-NGOMA-24h'!K57,'23.10 KAPEEKA-NGOMA'!K57)</f>
        <v>0</v>
      </c>
      <c r="L57" s="49">
        <f>AVERAGE('17.10 KAPEEKA-NGOMA'!L57,'18.10 KAPEEKA-NGOMA'!L57,'20.10 KAPEEKA-NGOMA'!L57,'22.10 KAPEEKA-NGOMA'!L57,'19.10 KAPEEKA-NGOMA 24h'!L57,'21.10 KAPEEKA-NGOMA-24h'!L57,'23.10 KAPEEKA-NGOMA'!L57)</f>
        <v>0</v>
      </c>
      <c r="M57" s="49">
        <f>AVERAGE('17.10 KAPEEKA-NGOMA'!M57,'18.10 KAPEEKA-NGOMA'!M57,'20.10 KAPEEKA-NGOMA'!M57,'22.10 KAPEEKA-NGOMA'!M57,'19.10 KAPEEKA-NGOMA 24h'!M57,'21.10 KAPEEKA-NGOMA-24h'!M57,'23.10 KAPEEKA-NGOMA'!M57)</f>
        <v>4</v>
      </c>
      <c r="N57" s="49">
        <f>AVERAGE('17.10 KAPEEKA-NGOMA'!N57,'18.10 KAPEEKA-NGOMA'!N57,'20.10 KAPEEKA-NGOMA'!N57,'22.10 KAPEEKA-NGOMA'!N57,'19.10 KAPEEKA-NGOMA 24h'!N57,'21.10 KAPEEKA-NGOMA-24h'!N57,'23.10 KAPEEKA-NGOMA'!N57)</f>
        <v>0</v>
      </c>
      <c r="O57" s="15">
        <f t="shared" si="0"/>
        <v>1.9999999999999998</v>
      </c>
      <c r="P57" s="15">
        <f t="shared" si="1"/>
        <v>6</v>
      </c>
      <c r="R57" s="8"/>
      <c r="T57"/>
    </row>
    <row r="58" spans="2:20" ht="23.1" customHeight="1" x14ac:dyDescent="0.25">
      <c r="B58" s="23" t="s">
        <v>99</v>
      </c>
      <c r="C58" s="49">
        <f>AVERAGE('19.10 KAPEEKA-NGOMA 24h'!C58,'21.10 KAPEEKA-NGOMA-24h'!C58)</f>
        <v>1.5</v>
      </c>
      <c r="D58" s="49">
        <f>AVERAGE('19.10 KAPEEKA-NGOMA 24h'!D58,'21.10 KAPEEKA-NGOMA-24h'!D58)</f>
        <v>0.5</v>
      </c>
      <c r="E58" s="49">
        <f>AVERAGE('19.10 KAPEEKA-NGOMA 24h'!E58,'21.10 KAPEEKA-NGOMA-24h'!E58)</f>
        <v>0</v>
      </c>
      <c r="F58" s="49">
        <f>AVERAGE('19.10 KAPEEKA-NGOMA 24h'!F58,'21.10 KAPEEKA-NGOMA-24h'!F58)</f>
        <v>0</v>
      </c>
      <c r="G58" s="49">
        <f>AVERAGE('19.10 KAPEEKA-NGOMA 24h'!G58,'21.10 KAPEEKA-NGOMA-24h'!G58)</f>
        <v>0</v>
      </c>
      <c r="H58" s="49">
        <f>AVERAGE('19.10 KAPEEKA-NGOMA 24h'!H58,'21.10 KAPEEKA-NGOMA-24h'!H58)</f>
        <v>0</v>
      </c>
      <c r="I58" s="49">
        <f>AVERAGE('19.10 KAPEEKA-NGOMA 24h'!I58,'21.10 KAPEEKA-NGOMA-24h'!I58)</f>
        <v>1</v>
      </c>
      <c r="J58" s="49">
        <f>AVERAGE('19.10 KAPEEKA-NGOMA 24h'!J58,'21.10 KAPEEKA-NGOMA-24h'!J58)</f>
        <v>0</v>
      </c>
      <c r="K58" s="49">
        <f>AVERAGE('19.10 KAPEEKA-NGOMA 24h'!K58,'21.10 KAPEEKA-NGOMA-24h'!K58)</f>
        <v>0.5</v>
      </c>
      <c r="L58" s="49">
        <f>AVERAGE('19.10 KAPEEKA-NGOMA 24h'!L58,'21.10 KAPEEKA-NGOMA-24h'!L58)</f>
        <v>0</v>
      </c>
      <c r="M58" s="49">
        <f>AVERAGE('19.10 KAPEEKA-NGOMA 24h'!M58,'21.10 KAPEEKA-NGOMA-24h'!M58)</f>
        <v>6</v>
      </c>
      <c r="N58" s="49">
        <f>AVERAGE('19.10 KAPEEKA-NGOMA 24h'!N58,'21.10 KAPEEKA-NGOMA-24h'!N58)</f>
        <v>0</v>
      </c>
      <c r="O58" s="15">
        <f t="shared" si="0"/>
        <v>3.5</v>
      </c>
      <c r="P58" s="15">
        <f t="shared" si="1"/>
        <v>9.5</v>
      </c>
      <c r="R58" s="8"/>
      <c r="T58"/>
    </row>
    <row r="59" spans="2:20" ht="23.1" customHeight="1" x14ac:dyDescent="0.25">
      <c r="B59" s="23" t="s">
        <v>100</v>
      </c>
      <c r="C59" s="49">
        <f>AVERAGE('19.10 KAPEEKA-NGOMA 24h'!C59,'21.10 KAPEEKA-NGOMA-24h'!C59)</f>
        <v>0</v>
      </c>
      <c r="D59" s="49">
        <f>AVERAGE('19.10 KAPEEKA-NGOMA 24h'!D59,'21.10 KAPEEKA-NGOMA-24h'!D59)</f>
        <v>0</v>
      </c>
      <c r="E59" s="49">
        <f>AVERAGE('19.10 KAPEEKA-NGOMA 24h'!E59,'21.10 KAPEEKA-NGOMA-24h'!E59)</f>
        <v>1</v>
      </c>
      <c r="F59" s="49">
        <f>AVERAGE('19.10 KAPEEKA-NGOMA 24h'!F59,'21.10 KAPEEKA-NGOMA-24h'!F59)</f>
        <v>0.5</v>
      </c>
      <c r="G59" s="49">
        <f>AVERAGE('19.10 KAPEEKA-NGOMA 24h'!G59,'21.10 KAPEEKA-NGOMA-24h'!G59)</f>
        <v>0</v>
      </c>
      <c r="H59" s="49">
        <f>AVERAGE('19.10 KAPEEKA-NGOMA 24h'!H59,'21.10 KAPEEKA-NGOMA-24h'!H59)</f>
        <v>0</v>
      </c>
      <c r="I59" s="49">
        <f>AVERAGE('19.10 KAPEEKA-NGOMA 24h'!I59,'21.10 KAPEEKA-NGOMA-24h'!I59)</f>
        <v>1.5</v>
      </c>
      <c r="J59" s="49">
        <f>AVERAGE('19.10 KAPEEKA-NGOMA 24h'!J59,'21.10 KAPEEKA-NGOMA-24h'!J59)</f>
        <v>1</v>
      </c>
      <c r="K59" s="49">
        <f>AVERAGE('19.10 KAPEEKA-NGOMA 24h'!K59,'21.10 KAPEEKA-NGOMA-24h'!K59)</f>
        <v>0</v>
      </c>
      <c r="L59" s="49">
        <f>AVERAGE('19.10 KAPEEKA-NGOMA 24h'!L59,'21.10 KAPEEKA-NGOMA-24h'!L59)</f>
        <v>0</v>
      </c>
      <c r="M59" s="49">
        <f>AVERAGE('19.10 KAPEEKA-NGOMA 24h'!M59,'21.10 KAPEEKA-NGOMA-24h'!M59)</f>
        <v>3.5</v>
      </c>
      <c r="N59" s="49">
        <f>AVERAGE('19.10 KAPEEKA-NGOMA 24h'!N59,'21.10 KAPEEKA-NGOMA-24h'!N59)</f>
        <v>0</v>
      </c>
      <c r="O59" s="15">
        <f t="shared" si="0"/>
        <v>4</v>
      </c>
      <c r="P59" s="15">
        <f t="shared" si="1"/>
        <v>7.5</v>
      </c>
      <c r="R59" s="8"/>
      <c r="T59"/>
    </row>
    <row r="60" spans="2:20" ht="23.1" customHeight="1" x14ac:dyDescent="0.25">
      <c r="B60" s="23" t="s">
        <v>101</v>
      </c>
      <c r="C60" s="49">
        <f>AVERAGE('19.10 KAPEEKA-NGOMA 24h'!C60,'21.10 KAPEEKA-NGOMA-24h'!C60)</f>
        <v>0.5</v>
      </c>
      <c r="D60" s="49">
        <f>AVERAGE('19.10 KAPEEKA-NGOMA 24h'!D60,'21.10 KAPEEKA-NGOMA-24h'!D60)</f>
        <v>0</v>
      </c>
      <c r="E60" s="49">
        <f>AVERAGE('19.10 KAPEEKA-NGOMA 24h'!E60,'21.10 KAPEEKA-NGOMA-24h'!E60)</f>
        <v>0</v>
      </c>
      <c r="F60" s="49">
        <f>AVERAGE('19.10 KAPEEKA-NGOMA 24h'!F60,'21.10 KAPEEKA-NGOMA-24h'!F60)</f>
        <v>0.5</v>
      </c>
      <c r="G60" s="49">
        <f>AVERAGE('19.10 KAPEEKA-NGOMA 24h'!G60,'21.10 KAPEEKA-NGOMA-24h'!G60)</f>
        <v>0</v>
      </c>
      <c r="H60" s="49">
        <f>AVERAGE('19.10 KAPEEKA-NGOMA 24h'!H60,'21.10 KAPEEKA-NGOMA-24h'!H60)</f>
        <v>0</v>
      </c>
      <c r="I60" s="49">
        <f>AVERAGE('19.10 KAPEEKA-NGOMA 24h'!I60,'21.10 KAPEEKA-NGOMA-24h'!I60)</f>
        <v>1</v>
      </c>
      <c r="J60" s="49">
        <f>AVERAGE('19.10 KAPEEKA-NGOMA 24h'!J60,'21.10 KAPEEKA-NGOMA-24h'!J60)</f>
        <v>0</v>
      </c>
      <c r="K60" s="49">
        <f>AVERAGE('19.10 KAPEEKA-NGOMA 24h'!K60,'21.10 KAPEEKA-NGOMA-24h'!K60)</f>
        <v>0</v>
      </c>
      <c r="L60" s="49">
        <f>AVERAGE('19.10 KAPEEKA-NGOMA 24h'!L60,'21.10 KAPEEKA-NGOMA-24h'!L60)</f>
        <v>0.5</v>
      </c>
      <c r="M60" s="49">
        <f>AVERAGE('19.10 KAPEEKA-NGOMA 24h'!M60,'21.10 KAPEEKA-NGOMA-24h'!M60)</f>
        <v>5.5</v>
      </c>
      <c r="N60" s="49">
        <f>AVERAGE('19.10 KAPEEKA-NGOMA 24h'!N60,'21.10 KAPEEKA-NGOMA-24h'!N60)</f>
        <v>0</v>
      </c>
      <c r="O60" s="15">
        <f t="shared" si="0"/>
        <v>2.5</v>
      </c>
      <c r="P60" s="15">
        <f t="shared" si="1"/>
        <v>8</v>
      </c>
      <c r="R60" s="8"/>
      <c r="T60"/>
    </row>
    <row r="61" spans="2:20" ht="23.1" customHeight="1" x14ac:dyDescent="0.25">
      <c r="B61" s="23" t="s">
        <v>102</v>
      </c>
      <c r="C61" s="49">
        <f>AVERAGE('19.10 KAPEEKA-NGOMA 24h'!C61,'21.10 KAPEEKA-NGOMA-24h'!C61)</f>
        <v>0.5</v>
      </c>
      <c r="D61" s="49">
        <f>AVERAGE('19.10 KAPEEKA-NGOMA 24h'!D61,'21.10 KAPEEKA-NGOMA-24h'!D61)</f>
        <v>0</v>
      </c>
      <c r="E61" s="49">
        <f>AVERAGE('19.10 KAPEEKA-NGOMA 24h'!E61,'21.10 KAPEEKA-NGOMA-24h'!E61)</f>
        <v>0</v>
      </c>
      <c r="F61" s="49">
        <f>AVERAGE('19.10 KAPEEKA-NGOMA 24h'!F61,'21.10 KAPEEKA-NGOMA-24h'!F61)</f>
        <v>0</v>
      </c>
      <c r="G61" s="49">
        <f>AVERAGE('19.10 KAPEEKA-NGOMA 24h'!G61,'21.10 KAPEEKA-NGOMA-24h'!G61)</f>
        <v>0</v>
      </c>
      <c r="H61" s="49">
        <f>AVERAGE('19.10 KAPEEKA-NGOMA 24h'!H61,'21.10 KAPEEKA-NGOMA-24h'!H61)</f>
        <v>0</v>
      </c>
      <c r="I61" s="49">
        <f>AVERAGE('19.10 KAPEEKA-NGOMA 24h'!I61,'21.10 KAPEEKA-NGOMA-24h'!I61)</f>
        <v>0</v>
      </c>
      <c r="J61" s="49">
        <f>AVERAGE('19.10 KAPEEKA-NGOMA 24h'!J61,'21.10 KAPEEKA-NGOMA-24h'!J61)</f>
        <v>0.5</v>
      </c>
      <c r="K61" s="49">
        <f>AVERAGE('19.10 KAPEEKA-NGOMA 24h'!K61,'21.10 KAPEEKA-NGOMA-24h'!K61)</f>
        <v>0</v>
      </c>
      <c r="L61" s="49">
        <f>AVERAGE('19.10 KAPEEKA-NGOMA 24h'!L61,'21.10 KAPEEKA-NGOMA-24h'!L61)</f>
        <v>0</v>
      </c>
      <c r="M61" s="49">
        <f>AVERAGE('19.10 KAPEEKA-NGOMA 24h'!M61,'21.10 KAPEEKA-NGOMA-24h'!M61)</f>
        <v>5</v>
      </c>
      <c r="N61" s="49">
        <f>AVERAGE('19.10 KAPEEKA-NGOMA 24h'!N61,'21.10 KAPEEKA-NGOMA-24h'!N61)</f>
        <v>0</v>
      </c>
      <c r="O61" s="15">
        <f t="shared" si="0"/>
        <v>1</v>
      </c>
      <c r="P61" s="15">
        <f t="shared" si="1"/>
        <v>6</v>
      </c>
      <c r="R61" s="8"/>
      <c r="T61"/>
    </row>
    <row r="62" spans="2:20" ht="23.1" customHeight="1" x14ac:dyDescent="0.25">
      <c r="B62" s="23" t="s">
        <v>107</v>
      </c>
      <c r="C62" s="49">
        <f>AVERAGE('19.10 KAPEEKA-NGOMA 24h'!C62,'21.10 KAPEEKA-NGOMA-24h'!C62)</f>
        <v>0.5</v>
      </c>
      <c r="D62" s="49">
        <f>AVERAGE('19.10 KAPEEKA-NGOMA 24h'!D62,'21.10 KAPEEKA-NGOMA-24h'!D62)</f>
        <v>0</v>
      </c>
      <c r="E62" s="49">
        <f>AVERAGE('19.10 KAPEEKA-NGOMA 24h'!E62,'21.10 KAPEEKA-NGOMA-24h'!E62)</f>
        <v>0</v>
      </c>
      <c r="F62" s="49">
        <f>AVERAGE('19.10 KAPEEKA-NGOMA 24h'!F62,'21.10 KAPEEKA-NGOMA-24h'!F62)</f>
        <v>0</v>
      </c>
      <c r="G62" s="49">
        <f>AVERAGE('19.10 KAPEEKA-NGOMA 24h'!G62,'21.10 KAPEEKA-NGOMA-24h'!G62)</f>
        <v>0</v>
      </c>
      <c r="H62" s="49">
        <f>AVERAGE('19.10 KAPEEKA-NGOMA 24h'!H62,'21.10 KAPEEKA-NGOMA-24h'!H62)</f>
        <v>0</v>
      </c>
      <c r="I62" s="49">
        <f>AVERAGE('19.10 KAPEEKA-NGOMA 24h'!I62,'21.10 KAPEEKA-NGOMA-24h'!I62)</f>
        <v>0</v>
      </c>
      <c r="J62" s="49">
        <f>AVERAGE('19.10 KAPEEKA-NGOMA 24h'!J62,'21.10 KAPEEKA-NGOMA-24h'!J62)</f>
        <v>0.5</v>
      </c>
      <c r="K62" s="49">
        <f>AVERAGE('19.10 KAPEEKA-NGOMA 24h'!K62,'21.10 KAPEEKA-NGOMA-24h'!K62)</f>
        <v>0</v>
      </c>
      <c r="L62" s="49">
        <f>AVERAGE('19.10 KAPEEKA-NGOMA 24h'!L62,'21.10 KAPEEKA-NGOMA-24h'!L62)</f>
        <v>0</v>
      </c>
      <c r="M62" s="49">
        <f>AVERAGE('19.10 KAPEEKA-NGOMA 24h'!M62,'21.10 KAPEEKA-NGOMA-24h'!M62)</f>
        <v>4.5</v>
      </c>
      <c r="N62" s="49">
        <f>AVERAGE('19.10 KAPEEKA-NGOMA 24h'!N62,'21.10 KAPEEKA-NGOMA-24h'!N62)</f>
        <v>0</v>
      </c>
      <c r="O62" s="15">
        <f t="shared" si="0"/>
        <v>1</v>
      </c>
      <c r="P62" s="15">
        <f t="shared" si="1"/>
        <v>5.5</v>
      </c>
      <c r="R62" s="8"/>
      <c r="T62"/>
    </row>
    <row r="63" spans="2:20" ht="23.1" customHeight="1" x14ac:dyDescent="0.25">
      <c r="B63" s="23" t="s">
        <v>108</v>
      </c>
      <c r="C63" s="49">
        <f>AVERAGE('19.10 KAPEEKA-NGOMA 24h'!C63,'21.10 KAPEEKA-NGOMA-24h'!C63)</f>
        <v>0</v>
      </c>
      <c r="D63" s="49">
        <f>AVERAGE('19.10 KAPEEKA-NGOMA 24h'!D63,'21.10 KAPEEKA-NGOMA-24h'!D63)</f>
        <v>0.5</v>
      </c>
      <c r="E63" s="49">
        <f>AVERAGE('19.10 KAPEEKA-NGOMA 24h'!E63,'21.10 KAPEEKA-NGOMA-24h'!E63)</f>
        <v>0</v>
      </c>
      <c r="F63" s="49">
        <f>AVERAGE('19.10 KAPEEKA-NGOMA 24h'!F63,'21.10 KAPEEKA-NGOMA-24h'!F63)</f>
        <v>1</v>
      </c>
      <c r="G63" s="49">
        <f>AVERAGE('19.10 KAPEEKA-NGOMA 24h'!G63,'21.10 KAPEEKA-NGOMA-24h'!G63)</f>
        <v>0</v>
      </c>
      <c r="H63" s="49">
        <f>AVERAGE('19.10 KAPEEKA-NGOMA 24h'!H63,'21.10 KAPEEKA-NGOMA-24h'!H63)</f>
        <v>0</v>
      </c>
      <c r="I63" s="49">
        <f>AVERAGE('19.10 KAPEEKA-NGOMA 24h'!I63,'21.10 KAPEEKA-NGOMA-24h'!I63)</f>
        <v>0.5</v>
      </c>
      <c r="J63" s="49">
        <f>AVERAGE('19.10 KAPEEKA-NGOMA 24h'!J63,'21.10 KAPEEKA-NGOMA-24h'!J63)</f>
        <v>0</v>
      </c>
      <c r="K63" s="49">
        <f>AVERAGE('19.10 KAPEEKA-NGOMA 24h'!K63,'21.10 KAPEEKA-NGOMA-24h'!K63)</f>
        <v>0</v>
      </c>
      <c r="L63" s="49">
        <f>AVERAGE('19.10 KAPEEKA-NGOMA 24h'!L63,'21.10 KAPEEKA-NGOMA-24h'!L63)</f>
        <v>0</v>
      </c>
      <c r="M63" s="49">
        <f>AVERAGE('19.10 KAPEEKA-NGOMA 24h'!M63,'21.10 KAPEEKA-NGOMA-24h'!M63)</f>
        <v>2.5</v>
      </c>
      <c r="N63" s="49">
        <f>AVERAGE('19.10 KAPEEKA-NGOMA 24h'!N63,'21.10 KAPEEKA-NGOMA-24h'!N63)</f>
        <v>0</v>
      </c>
      <c r="O63" s="15">
        <f t="shared" si="0"/>
        <v>2</v>
      </c>
      <c r="P63" s="15">
        <f t="shared" si="1"/>
        <v>4.5</v>
      </c>
      <c r="R63" s="8"/>
      <c r="T63"/>
    </row>
    <row r="64" spans="2:20" ht="23.1" customHeight="1" x14ac:dyDescent="0.25">
      <c r="B64" s="23" t="s">
        <v>109</v>
      </c>
      <c r="C64" s="49">
        <f>AVERAGE('19.10 KAPEEKA-NGOMA 24h'!C64,'21.10 KAPEEKA-NGOMA-24h'!C64)</f>
        <v>1</v>
      </c>
      <c r="D64" s="49">
        <f>AVERAGE('19.10 KAPEEKA-NGOMA 24h'!D64,'21.10 KAPEEKA-NGOMA-24h'!D64)</f>
        <v>0</v>
      </c>
      <c r="E64" s="49">
        <f>AVERAGE('19.10 KAPEEKA-NGOMA 24h'!E64,'21.10 KAPEEKA-NGOMA-24h'!E64)</f>
        <v>0</v>
      </c>
      <c r="F64" s="49">
        <f>AVERAGE('19.10 KAPEEKA-NGOMA 24h'!F64,'21.10 KAPEEKA-NGOMA-24h'!F64)</f>
        <v>1</v>
      </c>
      <c r="G64" s="49">
        <f>AVERAGE('19.10 KAPEEKA-NGOMA 24h'!G64,'21.10 KAPEEKA-NGOMA-24h'!G64)</f>
        <v>0</v>
      </c>
      <c r="H64" s="49">
        <f>AVERAGE('19.10 KAPEEKA-NGOMA 24h'!H64,'21.10 KAPEEKA-NGOMA-24h'!H64)</f>
        <v>0</v>
      </c>
      <c r="I64" s="49">
        <f>AVERAGE('19.10 KAPEEKA-NGOMA 24h'!I64,'21.10 KAPEEKA-NGOMA-24h'!I64)</f>
        <v>0.5</v>
      </c>
      <c r="J64" s="49">
        <f>AVERAGE('19.10 KAPEEKA-NGOMA 24h'!J64,'21.10 KAPEEKA-NGOMA-24h'!J64)</f>
        <v>1</v>
      </c>
      <c r="K64" s="49">
        <f>AVERAGE('19.10 KAPEEKA-NGOMA 24h'!K64,'21.10 KAPEEKA-NGOMA-24h'!K64)</f>
        <v>0</v>
      </c>
      <c r="L64" s="49">
        <f>AVERAGE('19.10 KAPEEKA-NGOMA 24h'!L64,'21.10 KAPEEKA-NGOMA-24h'!L64)</f>
        <v>0</v>
      </c>
      <c r="M64" s="49">
        <f>AVERAGE('19.10 KAPEEKA-NGOMA 24h'!M64,'21.10 KAPEEKA-NGOMA-24h'!M64)</f>
        <v>0.5</v>
      </c>
      <c r="N64" s="49">
        <f>AVERAGE('19.10 KAPEEKA-NGOMA 24h'!N64,'21.10 KAPEEKA-NGOMA-24h'!N64)</f>
        <v>0</v>
      </c>
      <c r="O64" s="15">
        <f t="shared" si="0"/>
        <v>3.5</v>
      </c>
      <c r="P64" s="15">
        <f t="shared" si="1"/>
        <v>4</v>
      </c>
      <c r="R64" s="8"/>
      <c r="T64"/>
    </row>
    <row r="65" spans="2:20" ht="23.1" customHeight="1" x14ac:dyDescent="0.25">
      <c r="B65" s="23" t="s">
        <v>158</v>
      </c>
      <c r="C65" s="49">
        <f>AVERAGE('19.10 KAPEEKA-NGOMA 24h'!C65,'21.10 KAPEEKA-NGOMA-24h'!C65)</f>
        <v>0.5</v>
      </c>
      <c r="D65" s="49">
        <f>AVERAGE('19.10 KAPEEKA-NGOMA 24h'!D65,'21.10 KAPEEKA-NGOMA-24h'!D65)</f>
        <v>0.5</v>
      </c>
      <c r="E65" s="49">
        <f>AVERAGE('19.10 KAPEEKA-NGOMA 24h'!E65,'21.10 KAPEEKA-NGOMA-24h'!E65)</f>
        <v>0</v>
      </c>
      <c r="F65" s="49">
        <f>AVERAGE('19.10 KAPEEKA-NGOMA 24h'!F65,'21.10 KAPEEKA-NGOMA-24h'!F65)</f>
        <v>0.5</v>
      </c>
      <c r="G65" s="49">
        <f>AVERAGE('19.10 KAPEEKA-NGOMA 24h'!G65,'21.10 KAPEEKA-NGOMA-24h'!G65)</f>
        <v>0</v>
      </c>
      <c r="H65" s="49">
        <f>AVERAGE('19.10 KAPEEKA-NGOMA 24h'!H65,'21.10 KAPEEKA-NGOMA-24h'!H65)</f>
        <v>0</v>
      </c>
      <c r="I65" s="49">
        <f>AVERAGE('19.10 KAPEEKA-NGOMA 24h'!I65,'21.10 KAPEEKA-NGOMA-24h'!I65)</f>
        <v>1.5</v>
      </c>
      <c r="J65" s="49">
        <f>AVERAGE('19.10 KAPEEKA-NGOMA 24h'!J65,'21.10 KAPEEKA-NGOMA-24h'!J65)</f>
        <v>1</v>
      </c>
      <c r="K65" s="49">
        <f>AVERAGE('19.10 KAPEEKA-NGOMA 24h'!K65,'21.10 KAPEEKA-NGOMA-24h'!K65)</f>
        <v>0</v>
      </c>
      <c r="L65" s="49">
        <f>AVERAGE('19.10 KAPEEKA-NGOMA 24h'!L65,'21.10 KAPEEKA-NGOMA-24h'!L65)</f>
        <v>0</v>
      </c>
      <c r="M65" s="49">
        <f>AVERAGE('19.10 KAPEEKA-NGOMA 24h'!M65,'21.10 KAPEEKA-NGOMA-24h'!M65)</f>
        <v>2</v>
      </c>
      <c r="N65" s="49">
        <f>AVERAGE('19.10 KAPEEKA-NGOMA 24h'!N65,'21.10 KAPEEKA-NGOMA-24h'!N65)</f>
        <v>0</v>
      </c>
      <c r="O65" s="15">
        <f t="shared" si="0"/>
        <v>4</v>
      </c>
      <c r="P65" s="15">
        <f t="shared" si="1"/>
        <v>6</v>
      </c>
      <c r="R65" s="8"/>
      <c r="T65"/>
    </row>
    <row r="66" spans="2:20" ht="23.1" customHeight="1" x14ac:dyDescent="0.25">
      <c r="B66" s="23" t="s">
        <v>103</v>
      </c>
      <c r="C66" s="49">
        <f>AVERAGE('19.10 KAPEEKA-NGOMA 24h'!C66,'21.10 KAPEEKA-NGOMA-24h'!C66)</f>
        <v>0.5</v>
      </c>
      <c r="D66" s="49">
        <f>AVERAGE('19.10 KAPEEKA-NGOMA 24h'!D66,'21.10 KAPEEKA-NGOMA-24h'!D66)</f>
        <v>0.5</v>
      </c>
      <c r="E66" s="49">
        <f>AVERAGE('19.10 KAPEEKA-NGOMA 24h'!E66,'21.10 KAPEEKA-NGOMA-24h'!E66)</f>
        <v>0</v>
      </c>
      <c r="F66" s="49">
        <f>AVERAGE('19.10 KAPEEKA-NGOMA 24h'!F66,'21.10 KAPEEKA-NGOMA-24h'!F66)</f>
        <v>0.5</v>
      </c>
      <c r="G66" s="49">
        <f>AVERAGE('19.10 KAPEEKA-NGOMA 24h'!G66,'21.10 KAPEEKA-NGOMA-24h'!G66)</f>
        <v>0</v>
      </c>
      <c r="H66" s="49">
        <f>AVERAGE('19.10 KAPEEKA-NGOMA 24h'!H66,'21.10 KAPEEKA-NGOMA-24h'!H66)</f>
        <v>0</v>
      </c>
      <c r="I66" s="49">
        <f>AVERAGE('19.10 KAPEEKA-NGOMA 24h'!I66,'21.10 KAPEEKA-NGOMA-24h'!I66)</f>
        <v>0.5</v>
      </c>
      <c r="J66" s="49">
        <f>AVERAGE('19.10 KAPEEKA-NGOMA 24h'!J66,'21.10 KAPEEKA-NGOMA-24h'!J66)</f>
        <v>0.5</v>
      </c>
      <c r="K66" s="49">
        <f>AVERAGE('19.10 KAPEEKA-NGOMA 24h'!K66,'21.10 KAPEEKA-NGOMA-24h'!K66)</f>
        <v>0</v>
      </c>
      <c r="L66" s="49">
        <f>AVERAGE('19.10 KAPEEKA-NGOMA 24h'!L66,'21.10 KAPEEKA-NGOMA-24h'!L66)</f>
        <v>0</v>
      </c>
      <c r="M66" s="49">
        <f>AVERAGE('19.10 KAPEEKA-NGOMA 24h'!M66,'21.10 KAPEEKA-NGOMA-24h'!M66)</f>
        <v>3</v>
      </c>
      <c r="N66" s="49">
        <f>AVERAGE('19.10 KAPEEKA-NGOMA 24h'!N66,'21.10 KAPEEKA-NGOMA-24h'!N66)</f>
        <v>0</v>
      </c>
      <c r="O66" s="15">
        <f t="shared" si="0"/>
        <v>2.5</v>
      </c>
      <c r="P66" s="15">
        <f t="shared" si="1"/>
        <v>5.5</v>
      </c>
      <c r="R66" s="8"/>
      <c r="T66"/>
    </row>
    <row r="67" spans="2:20" ht="23.1" customHeight="1" x14ac:dyDescent="0.25">
      <c r="B67" s="23" t="s">
        <v>104</v>
      </c>
      <c r="C67" s="49">
        <f>AVERAGE('19.10 KAPEEKA-NGOMA 24h'!C67,'21.10 KAPEEKA-NGOMA-24h'!C67)</f>
        <v>10</v>
      </c>
      <c r="D67" s="49">
        <f>AVERAGE('19.10 KAPEEKA-NGOMA 24h'!D67,'21.10 KAPEEKA-NGOMA-24h'!D67)</f>
        <v>0</v>
      </c>
      <c r="E67" s="49">
        <f>AVERAGE('19.10 KAPEEKA-NGOMA 24h'!E67,'21.10 KAPEEKA-NGOMA-24h'!E67)</f>
        <v>0</v>
      </c>
      <c r="F67" s="49">
        <f>AVERAGE('19.10 KAPEEKA-NGOMA 24h'!F67,'21.10 KAPEEKA-NGOMA-24h'!F67)</f>
        <v>1</v>
      </c>
      <c r="G67" s="49">
        <f>AVERAGE('19.10 KAPEEKA-NGOMA 24h'!G67,'21.10 KAPEEKA-NGOMA-24h'!G67)</f>
        <v>0</v>
      </c>
      <c r="H67" s="49">
        <f>AVERAGE('19.10 KAPEEKA-NGOMA 24h'!H67,'21.10 KAPEEKA-NGOMA-24h'!H67)</f>
        <v>0</v>
      </c>
      <c r="I67" s="49">
        <f>AVERAGE('19.10 KAPEEKA-NGOMA 24h'!I67,'21.10 KAPEEKA-NGOMA-24h'!I67)</f>
        <v>0.5</v>
      </c>
      <c r="J67" s="49">
        <f>AVERAGE('19.10 KAPEEKA-NGOMA 24h'!J67,'21.10 KAPEEKA-NGOMA-24h'!J67)</f>
        <v>1</v>
      </c>
      <c r="K67" s="49">
        <f>AVERAGE('19.10 KAPEEKA-NGOMA 24h'!K67,'21.10 KAPEEKA-NGOMA-24h'!K67)</f>
        <v>0</v>
      </c>
      <c r="L67" s="49">
        <f>AVERAGE('19.10 KAPEEKA-NGOMA 24h'!L67,'21.10 KAPEEKA-NGOMA-24h'!L67)</f>
        <v>0</v>
      </c>
      <c r="M67" s="49">
        <f>AVERAGE('19.10 KAPEEKA-NGOMA 24h'!M67,'21.10 KAPEEKA-NGOMA-24h'!M67)</f>
        <v>2</v>
      </c>
      <c r="N67" s="49">
        <f>AVERAGE('19.10 KAPEEKA-NGOMA 24h'!N67,'21.10 KAPEEKA-NGOMA-24h'!N67)</f>
        <v>0</v>
      </c>
      <c r="O67" s="15">
        <f t="shared" si="0"/>
        <v>12.5</v>
      </c>
      <c r="P67" s="15">
        <f t="shared" si="1"/>
        <v>14.5</v>
      </c>
      <c r="R67" s="8"/>
      <c r="T67"/>
    </row>
    <row r="68" spans="2:20" ht="23.1" customHeight="1" x14ac:dyDescent="0.25">
      <c r="B68" s="23" t="s">
        <v>105</v>
      </c>
      <c r="C68" s="49">
        <f>AVERAGE('19.10 KAPEEKA-NGOMA 24h'!C68,'21.10 KAPEEKA-NGOMA-24h'!C68)</f>
        <v>0</v>
      </c>
      <c r="D68" s="49">
        <f>AVERAGE('19.10 KAPEEKA-NGOMA 24h'!D68,'21.10 KAPEEKA-NGOMA-24h'!D68)</f>
        <v>0</v>
      </c>
      <c r="E68" s="49">
        <f>AVERAGE('19.10 KAPEEKA-NGOMA 24h'!E68,'21.10 KAPEEKA-NGOMA-24h'!E68)</f>
        <v>0.5</v>
      </c>
      <c r="F68" s="49">
        <f>AVERAGE('19.10 KAPEEKA-NGOMA 24h'!F68,'21.10 KAPEEKA-NGOMA-24h'!F68)</f>
        <v>1</v>
      </c>
      <c r="G68" s="49">
        <f>AVERAGE('19.10 KAPEEKA-NGOMA 24h'!G68,'21.10 KAPEEKA-NGOMA-24h'!G68)</f>
        <v>0</v>
      </c>
      <c r="H68" s="49">
        <f>AVERAGE('19.10 KAPEEKA-NGOMA 24h'!H68,'21.10 KAPEEKA-NGOMA-24h'!H68)</f>
        <v>0</v>
      </c>
      <c r="I68" s="49">
        <f>AVERAGE('19.10 KAPEEKA-NGOMA 24h'!I68,'21.10 KAPEEKA-NGOMA-24h'!I68)</f>
        <v>0</v>
      </c>
      <c r="J68" s="49">
        <f>AVERAGE('19.10 KAPEEKA-NGOMA 24h'!J68,'21.10 KAPEEKA-NGOMA-24h'!J68)</f>
        <v>0</v>
      </c>
      <c r="K68" s="49">
        <f>AVERAGE('19.10 KAPEEKA-NGOMA 24h'!K68,'21.10 KAPEEKA-NGOMA-24h'!K68)</f>
        <v>0</v>
      </c>
      <c r="L68" s="49">
        <f>AVERAGE('19.10 KAPEEKA-NGOMA 24h'!L68,'21.10 KAPEEKA-NGOMA-24h'!L68)</f>
        <v>0</v>
      </c>
      <c r="M68" s="49">
        <f>AVERAGE('19.10 KAPEEKA-NGOMA 24h'!M68,'21.10 KAPEEKA-NGOMA-24h'!M68)</f>
        <v>1</v>
      </c>
      <c r="N68" s="49">
        <f>AVERAGE('19.10 KAPEEKA-NGOMA 24h'!N68,'21.10 KAPEEKA-NGOMA-24h'!N68)</f>
        <v>0</v>
      </c>
      <c r="O68" s="15">
        <f t="shared" si="0"/>
        <v>1.5</v>
      </c>
      <c r="P68" s="15">
        <f t="shared" si="1"/>
        <v>2.5</v>
      </c>
      <c r="R68" s="8"/>
      <c r="T68"/>
    </row>
    <row r="69" spans="2:20" ht="23.1" customHeight="1" x14ac:dyDescent="0.25">
      <c r="B69" s="23" t="s">
        <v>106</v>
      </c>
      <c r="C69" s="49">
        <f>AVERAGE('19.10 KAPEEKA-NGOMA 24h'!C69,'21.10 KAPEEKA-NGOMA-24h'!C69)</f>
        <v>1.5</v>
      </c>
      <c r="D69" s="49">
        <f>AVERAGE('19.10 KAPEEKA-NGOMA 24h'!D69,'21.10 KAPEEKA-NGOMA-24h'!D69)</f>
        <v>0</v>
      </c>
      <c r="E69" s="49">
        <f>AVERAGE('19.10 KAPEEKA-NGOMA 24h'!E69,'21.10 KAPEEKA-NGOMA-24h'!E69)</f>
        <v>0</v>
      </c>
      <c r="F69" s="49">
        <f>AVERAGE('19.10 KAPEEKA-NGOMA 24h'!F69,'21.10 KAPEEKA-NGOMA-24h'!F69)</f>
        <v>0.5</v>
      </c>
      <c r="G69" s="49">
        <f>AVERAGE('19.10 KAPEEKA-NGOMA 24h'!G69,'21.10 KAPEEKA-NGOMA-24h'!G69)</f>
        <v>0</v>
      </c>
      <c r="H69" s="49">
        <f>AVERAGE('19.10 KAPEEKA-NGOMA 24h'!H69,'21.10 KAPEEKA-NGOMA-24h'!H69)</f>
        <v>0</v>
      </c>
      <c r="I69" s="49">
        <f>AVERAGE('19.10 KAPEEKA-NGOMA 24h'!I69,'21.10 KAPEEKA-NGOMA-24h'!I69)</f>
        <v>1</v>
      </c>
      <c r="J69" s="49">
        <f>AVERAGE('19.10 KAPEEKA-NGOMA 24h'!J69,'21.10 KAPEEKA-NGOMA-24h'!J69)</f>
        <v>0.5</v>
      </c>
      <c r="K69" s="49">
        <f>AVERAGE('19.10 KAPEEKA-NGOMA 24h'!K69,'21.10 KAPEEKA-NGOMA-24h'!K69)</f>
        <v>0</v>
      </c>
      <c r="L69" s="49">
        <f>AVERAGE('19.10 KAPEEKA-NGOMA 24h'!L69,'21.10 KAPEEKA-NGOMA-24h'!L69)</f>
        <v>0</v>
      </c>
      <c r="M69" s="49">
        <f>AVERAGE('19.10 KAPEEKA-NGOMA 24h'!M69,'21.10 KAPEEKA-NGOMA-24h'!M69)</f>
        <v>3</v>
      </c>
      <c r="N69" s="49">
        <f>AVERAGE('19.10 KAPEEKA-NGOMA 24h'!N69,'21.10 KAPEEKA-NGOMA-24h'!N69)</f>
        <v>0</v>
      </c>
      <c r="O69" s="15">
        <f t="shared" si="0"/>
        <v>3.5</v>
      </c>
      <c r="P69" s="15">
        <f t="shared" si="1"/>
        <v>6.5</v>
      </c>
      <c r="R69" s="8"/>
      <c r="T69"/>
    </row>
    <row r="70" spans="2:20" ht="23.1" customHeight="1" x14ac:dyDescent="0.25">
      <c r="B70" s="23" t="s">
        <v>110</v>
      </c>
      <c r="C70" s="49">
        <f>AVERAGE('19.10 KAPEEKA-NGOMA 24h'!C70,'21.10 KAPEEKA-NGOMA-24h'!C70)</f>
        <v>0</v>
      </c>
      <c r="D70" s="49">
        <f>AVERAGE('19.10 KAPEEKA-NGOMA 24h'!D70,'21.10 KAPEEKA-NGOMA-24h'!D70)</f>
        <v>0</v>
      </c>
      <c r="E70" s="49">
        <f>AVERAGE('19.10 KAPEEKA-NGOMA 24h'!E70,'21.10 KAPEEKA-NGOMA-24h'!E70)</f>
        <v>0</v>
      </c>
      <c r="F70" s="49">
        <f>AVERAGE('19.10 KAPEEKA-NGOMA 24h'!F70,'21.10 KAPEEKA-NGOMA-24h'!F70)</f>
        <v>0</v>
      </c>
      <c r="G70" s="49">
        <f>AVERAGE('19.10 KAPEEKA-NGOMA 24h'!G70,'21.10 KAPEEKA-NGOMA-24h'!G70)</f>
        <v>0</v>
      </c>
      <c r="H70" s="49">
        <f>AVERAGE('19.10 KAPEEKA-NGOMA 24h'!H70,'21.10 KAPEEKA-NGOMA-24h'!H70)</f>
        <v>0</v>
      </c>
      <c r="I70" s="49">
        <f>AVERAGE('19.10 KAPEEKA-NGOMA 24h'!I70,'21.10 KAPEEKA-NGOMA-24h'!I70)</f>
        <v>0</v>
      </c>
      <c r="J70" s="49">
        <f>AVERAGE('19.10 KAPEEKA-NGOMA 24h'!J70,'21.10 KAPEEKA-NGOMA-24h'!J70)</f>
        <v>0.5</v>
      </c>
      <c r="K70" s="49">
        <f>AVERAGE('19.10 KAPEEKA-NGOMA 24h'!K70,'21.10 KAPEEKA-NGOMA-24h'!K70)</f>
        <v>0</v>
      </c>
      <c r="L70" s="49">
        <f>AVERAGE('19.10 KAPEEKA-NGOMA 24h'!L70,'21.10 KAPEEKA-NGOMA-24h'!L70)</f>
        <v>0</v>
      </c>
      <c r="M70" s="49">
        <f>AVERAGE('19.10 KAPEEKA-NGOMA 24h'!M70,'21.10 KAPEEKA-NGOMA-24h'!M70)</f>
        <v>1</v>
      </c>
      <c r="N70" s="49">
        <f>AVERAGE('19.10 KAPEEKA-NGOMA 24h'!N70,'21.10 KAPEEKA-NGOMA-24h'!N70)</f>
        <v>0</v>
      </c>
      <c r="O70" s="15">
        <f t="shared" si="0"/>
        <v>0.5</v>
      </c>
      <c r="P70" s="15">
        <f t="shared" si="1"/>
        <v>1.5</v>
      </c>
      <c r="R70" s="8"/>
      <c r="T70"/>
    </row>
    <row r="71" spans="2:20" ht="23.1" customHeight="1" x14ac:dyDescent="0.25">
      <c r="B71" s="23" t="s">
        <v>111</v>
      </c>
      <c r="C71" s="49">
        <f>AVERAGE('19.10 KAPEEKA-NGOMA 24h'!C71,'21.10 KAPEEKA-NGOMA-24h'!C71)</f>
        <v>0</v>
      </c>
      <c r="D71" s="49">
        <f>AVERAGE('19.10 KAPEEKA-NGOMA 24h'!D71,'21.10 KAPEEKA-NGOMA-24h'!D71)</f>
        <v>0</v>
      </c>
      <c r="E71" s="49">
        <f>AVERAGE('19.10 KAPEEKA-NGOMA 24h'!E71,'21.10 KAPEEKA-NGOMA-24h'!E71)</f>
        <v>0</v>
      </c>
      <c r="F71" s="49">
        <f>AVERAGE('19.10 KAPEEKA-NGOMA 24h'!F71,'21.10 KAPEEKA-NGOMA-24h'!F71)</f>
        <v>0</v>
      </c>
      <c r="G71" s="49">
        <f>AVERAGE('19.10 KAPEEKA-NGOMA 24h'!G71,'21.10 KAPEEKA-NGOMA-24h'!G71)</f>
        <v>0</v>
      </c>
      <c r="H71" s="49">
        <f>AVERAGE('19.10 KAPEEKA-NGOMA 24h'!H71,'21.10 KAPEEKA-NGOMA-24h'!H71)</f>
        <v>0</v>
      </c>
      <c r="I71" s="49">
        <f>AVERAGE('19.10 KAPEEKA-NGOMA 24h'!I71,'21.10 KAPEEKA-NGOMA-24h'!I71)</f>
        <v>1</v>
      </c>
      <c r="J71" s="49">
        <f>AVERAGE('19.10 KAPEEKA-NGOMA 24h'!J71,'21.10 KAPEEKA-NGOMA-24h'!J71)</f>
        <v>0.5</v>
      </c>
      <c r="K71" s="49">
        <f>AVERAGE('19.10 KAPEEKA-NGOMA 24h'!K71,'21.10 KAPEEKA-NGOMA-24h'!K71)</f>
        <v>0</v>
      </c>
      <c r="L71" s="49">
        <f>AVERAGE('19.10 KAPEEKA-NGOMA 24h'!L71,'21.10 KAPEEKA-NGOMA-24h'!L71)</f>
        <v>0</v>
      </c>
      <c r="M71" s="49">
        <f>AVERAGE('19.10 KAPEEKA-NGOMA 24h'!M71,'21.10 KAPEEKA-NGOMA-24h'!M71)</f>
        <v>1.5</v>
      </c>
      <c r="N71" s="49">
        <f>AVERAGE('19.10 KAPEEKA-NGOMA 24h'!N71,'21.10 KAPEEKA-NGOMA-24h'!N71)</f>
        <v>0</v>
      </c>
      <c r="O71" s="15">
        <f t="shared" si="0"/>
        <v>1.5</v>
      </c>
      <c r="P71" s="15">
        <f t="shared" si="1"/>
        <v>3</v>
      </c>
      <c r="R71" s="8"/>
      <c r="T71"/>
    </row>
    <row r="72" spans="2:20" ht="23.1" customHeight="1" x14ac:dyDescent="0.25">
      <c r="B72" s="23" t="s">
        <v>112</v>
      </c>
      <c r="C72" s="49">
        <f>AVERAGE('19.10 KAPEEKA-NGOMA 24h'!C72,'21.10 KAPEEKA-NGOMA-24h'!C72)</f>
        <v>0</v>
      </c>
      <c r="D72" s="49">
        <f>AVERAGE('19.10 KAPEEKA-NGOMA 24h'!D72,'21.10 KAPEEKA-NGOMA-24h'!D72)</f>
        <v>0</v>
      </c>
      <c r="E72" s="49">
        <f>AVERAGE('19.10 KAPEEKA-NGOMA 24h'!E72,'21.10 KAPEEKA-NGOMA-24h'!E72)</f>
        <v>0</v>
      </c>
      <c r="F72" s="49">
        <f>AVERAGE('19.10 KAPEEKA-NGOMA 24h'!F72,'21.10 KAPEEKA-NGOMA-24h'!F72)</f>
        <v>0</v>
      </c>
      <c r="G72" s="49">
        <f>AVERAGE('19.10 KAPEEKA-NGOMA 24h'!G72,'21.10 KAPEEKA-NGOMA-24h'!G72)</f>
        <v>0</v>
      </c>
      <c r="H72" s="49">
        <f>AVERAGE('19.10 KAPEEKA-NGOMA 24h'!H72,'21.10 KAPEEKA-NGOMA-24h'!H72)</f>
        <v>0</v>
      </c>
      <c r="I72" s="49">
        <f>AVERAGE('19.10 KAPEEKA-NGOMA 24h'!I72,'21.10 KAPEEKA-NGOMA-24h'!I72)</f>
        <v>1.5</v>
      </c>
      <c r="J72" s="49">
        <f>AVERAGE('19.10 KAPEEKA-NGOMA 24h'!J72,'21.10 KAPEEKA-NGOMA-24h'!J72)</f>
        <v>0</v>
      </c>
      <c r="K72" s="49">
        <f>AVERAGE('19.10 KAPEEKA-NGOMA 24h'!K72,'21.10 KAPEEKA-NGOMA-24h'!K72)</f>
        <v>0</v>
      </c>
      <c r="L72" s="49">
        <f>AVERAGE('19.10 KAPEEKA-NGOMA 24h'!L72,'21.10 KAPEEKA-NGOMA-24h'!L72)</f>
        <v>0</v>
      </c>
      <c r="M72" s="49">
        <f>AVERAGE('19.10 KAPEEKA-NGOMA 24h'!M72,'21.10 KAPEEKA-NGOMA-24h'!M72)</f>
        <v>1.5</v>
      </c>
      <c r="N72" s="49">
        <f>AVERAGE('19.10 KAPEEKA-NGOMA 24h'!N72,'21.10 KAPEEKA-NGOMA-24h'!N72)</f>
        <v>0</v>
      </c>
      <c r="O72" s="15">
        <f t="shared" si="0"/>
        <v>1.5</v>
      </c>
      <c r="P72" s="15">
        <f t="shared" si="1"/>
        <v>3</v>
      </c>
      <c r="R72" s="8"/>
      <c r="T72"/>
    </row>
    <row r="73" spans="2:20" ht="23.1" customHeight="1" x14ac:dyDescent="0.25">
      <c r="B73" s="23" t="s">
        <v>113</v>
      </c>
      <c r="C73" s="49">
        <f>AVERAGE('19.10 KAPEEKA-NGOMA 24h'!C73,'21.10 KAPEEKA-NGOMA-24h'!C73)</f>
        <v>0.5</v>
      </c>
      <c r="D73" s="49">
        <f>AVERAGE('19.10 KAPEEKA-NGOMA 24h'!D73,'21.10 KAPEEKA-NGOMA-24h'!D73)</f>
        <v>0.5</v>
      </c>
      <c r="E73" s="49">
        <f>AVERAGE('19.10 KAPEEKA-NGOMA 24h'!E73,'21.10 KAPEEKA-NGOMA-24h'!E73)</f>
        <v>0</v>
      </c>
      <c r="F73" s="49">
        <f>AVERAGE('19.10 KAPEEKA-NGOMA 24h'!F73,'21.10 KAPEEKA-NGOMA-24h'!F73)</f>
        <v>0</v>
      </c>
      <c r="G73" s="49">
        <f>AVERAGE('19.10 KAPEEKA-NGOMA 24h'!G73,'21.10 KAPEEKA-NGOMA-24h'!G73)</f>
        <v>0</v>
      </c>
      <c r="H73" s="49">
        <f>AVERAGE('19.10 KAPEEKA-NGOMA 24h'!H73,'21.10 KAPEEKA-NGOMA-24h'!H73)</f>
        <v>0</v>
      </c>
      <c r="I73" s="49">
        <f>AVERAGE('19.10 KAPEEKA-NGOMA 24h'!I73,'21.10 KAPEEKA-NGOMA-24h'!I73)</f>
        <v>0.5</v>
      </c>
      <c r="J73" s="49">
        <f>AVERAGE('19.10 KAPEEKA-NGOMA 24h'!J73,'21.10 KAPEEKA-NGOMA-24h'!J73)</f>
        <v>0</v>
      </c>
      <c r="K73" s="49">
        <f>AVERAGE('19.10 KAPEEKA-NGOMA 24h'!K73,'21.10 KAPEEKA-NGOMA-24h'!K73)</f>
        <v>0.5</v>
      </c>
      <c r="L73" s="49">
        <f>AVERAGE('19.10 KAPEEKA-NGOMA 24h'!L73,'21.10 KAPEEKA-NGOMA-24h'!L73)</f>
        <v>0</v>
      </c>
      <c r="M73" s="49">
        <f>AVERAGE('19.10 KAPEEKA-NGOMA 24h'!M73,'21.10 KAPEEKA-NGOMA-24h'!M73)</f>
        <v>1</v>
      </c>
      <c r="N73" s="49">
        <f>AVERAGE('19.10 KAPEEKA-NGOMA 24h'!N73,'21.10 KAPEEKA-NGOMA-24h'!N73)</f>
        <v>0</v>
      </c>
      <c r="O73" s="15">
        <f t="shared" si="0"/>
        <v>2</v>
      </c>
      <c r="P73" s="15">
        <f t="shared" si="1"/>
        <v>3</v>
      </c>
      <c r="R73" s="8"/>
      <c r="T73"/>
    </row>
    <row r="74" spans="2:20" ht="23.1" customHeight="1" x14ac:dyDescent="0.25">
      <c r="B74" s="23" t="s">
        <v>114</v>
      </c>
      <c r="C74" s="49">
        <f>AVERAGE('19.10 KAPEEKA-NGOMA 24h'!C74,'21.10 KAPEEKA-NGOMA-24h'!C74)</f>
        <v>0.5</v>
      </c>
      <c r="D74" s="49">
        <f>AVERAGE('19.10 KAPEEKA-NGOMA 24h'!D74,'21.10 KAPEEKA-NGOMA-24h'!D74)</f>
        <v>0</v>
      </c>
      <c r="E74" s="49">
        <f>AVERAGE('19.10 KAPEEKA-NGOMA 24h'!E74,'21.10 KAPEEKA-NGOMA-24h'!E74)</f>
        <v>0</v>
      </c>
      <c r="F74" s="49">
        <f>AVERAGE('19.10 KAPEEKA-NGOMA 24h'!F74,'21.10 KAPEEKA-NGOMA-24h'!F74)</f>
        <v>0</v>
      </c>
      <c r="G74" s="49">
        <f>AVERAGE('19.10 KAPEEKA-NGOMA 24h'!G74,'21.10 KAPEEKA-NGOMA-24h'!G74)</f>
        <v>0</v>
      </c>
      <c r="H74" s="49">
        <f>AVERAGE('19.10 KAPEEKA-NGOMA 24h'!H74,'21.10 KAPEEKA-NGOMA-24h'!H74)</f>
        <v>0</v>
      </c>
      <c r="I74" s="49">
        <f>AVERAGE('19.10 KAPEEKA-NGOMA 24h'!I74,'21.10 KAPEEKA-NGOMA-24h'!I74)</f>
        <v>0.5</v>
      </c>
      <c r="J74" s="49">
        <f>AVERAGE('19.10 KAPEEKA-NGOMA 24h'!J74,'21.10 KAPEEKA-NGOMA-24h'!J74)</f>
        <v>0</v>
      </c>
      <c r="K74" s="49">
        <f>AVERAGE('19.10 KAPEEKA-NGOMA 24h'!K74,'21.10 KAPEEKA-NGOMA-24h'!K74)</f>
        <v>0</v>
      </c>
      <c r="L74" s="49">
        <f>AVERAGE('19.10 KAPEEKA-NGOMA 24h'!L74,'21.10 KAPEEKA-NGOMA-24h'!L74)</f>
        <v>0</v>
      </c>
      <c r="M74" s="49">
        <f>AVERAGE('19.10 KAPEEKA-NGOMA 24h'!M74,'21.10 KAPEEKA-NGOMA-24h'!M74)</f>
        <v>0.5</v>
      </c>
      <c r="N74" s="49">
        <f>AVERAGE('19.10 KAPEEKA-NGOMA 24h'!N74,'21.10 KAPEEKA-NGOMA-24h'!N74)</f>
        <v>0</v>
      </c>
      <c r="O74" s="15">
        <f t="shared" ref="O74:O105" si="35">SUM(C74:L74,N74)</f>
        <v>1</v>
      </c>
      <c r="P74" s="15">
        <f t="shared" ref="P74:P105" si="36">SUM(C74:N74)</f>
        <v>1.5</v>
      </c>
      <c r="R74" s="8"/>
      <c r="T74"/>
    </row>
    <row r="75" spans="2:20" ht="23.1" customHeight="1" x14ac:dyDescent="0.25">
      <c r="B75" s="23" t="s">
        <v>115</v>
      </c>
      <c r="C75" s="49">
        <f>AVERAGE('19.10 KAPEEKA-NGOMA 24h'!C75,'21.10 KAPEEKA-NGOMA-24h'!C75)</f>
        <v>0</v>
      </c>
      <c r="D75" s="49">
        <f>AVERAGE('19.10 KAPEEKA-NGOMA 24h'!D75,'21.10 KAPEEKA-NGOMA-24h'!D75)</f>
        <v>0</v>
      </c>
      <c r="E75" s="49">
        <f>AVERAGE('19.10 KAPEEKA-NGOMA 24h'!E75,'21.10 KAPEEKA-NGOMA-24h'!E75)</f>
        <v>0</v>
      </c>
      <c r="F75" s="49">
        <f>AVERAGE('19.10 KAPEEKA-NGOMA 24h'!F75,'21.10 KAPEEKA-NGOMA-24h'!F75)</f>
        <v>0</v>
      </c>
      <c r="G75" s="49">
        <f>AVERAGE('19.10 KAPEEKA-NGOMA 24h'!G75,'21.10 KAPEEKA-NGOMA-24h'!G75)</f>
        <v>0</v>
      </c>
      <c r="H75" s="49">
        <f>AVERAGE('19.10 KAPEEKA-NGOMA 24h'!H75,'21.10 KAPEEKA-NGOMA-24h'!H75)</f>
        <v>0</v>
      </c>
      <c r="I75" s="49">
        <f>AVERAGE('19.10 KAPEEKA-NGOMA 24h'!I75,'21.10 KAPEEKA-NGOMA-24h'!I75)</f>
        <v>0.5</v>
      </c>
      <c r="J75" s="49">
        <f>AVERAGE('19.10 KAPEEKA-NGOMA 24h'!J75,'21.10 KAPEEKA-NGOMA-24h'!J75)</f>
        <v>0</v>
      </c>
      <c r="K75" s="49">
        <f>AVERAGE('19.10 KAPEEKA-NGOMA 24h'!K75,'21.10 KAPEEKA-NGOMA-24h'!K75)</f>
        <v>0</v>
      </c>
      <c r="L75" s="49">
        <f>AVERAGE('19.10 KAPEEKA-NGOMA 24h'!L75,'21.10 KAPEEKA-NGOMA-24h'!L75)</f>
        <v>0</v>
      </c>
      <c r="M75" s="49">
        <f>AVERAGE('19.10 KAPEEKA-NGOMA 24h'!M75,'21.10 KAPEEKA-NGOMA-24h'!M75)</f>
        <v>0</v>
      </c>
      <c r="N75" s="49">
        <f>AVERAGE('19.10 KAPEEKA-NGOMA 24h'!N75,'21.10 KAPEEKA-NGOMA-24h'!N75)</f>
        <v>0</v>
      </c>
      <c r="O75" s="15">
        <f t="shared" si="35"/>
        <v>0.5</v>
      </c>
      <c r="P75" s="15">
        <f t="shared" si="36"/>
        <v>0.5</v>
      </c>
      <c r="R75" s="8"/>
      <c r="T75"/>
    </row>
    <row r="76" spans="2:20" ht="23.1" customHeight="1" x14ac:dyDescent="0.25">
      <c r="B76" s="23" t="s">
        <v>116</v>
      </c>
      <c r="C76" s="49">
        <f>AVERAGE('19.10 KAPEEKA-NGOMA 24h'!C76,'21.10 KAPEEKA-NGOMA-24h'!C76)</f>
        <v>0</v>
      </c>
      <c r="D76" s="49">
        <f>AVERAGE('19.10 KAPEEKA-NGOMA 24h'!D76,'21.10 KAPEEKA-NGOMA-24h'!D76)</f>
        <v>0</v>
      </c>
      <c r="E76" s="49">
        <f>AVERAGE('19.10 KAPEEKA-NGOMA 24h'!E76,'21.10 KAPEEKA-NGOMA-24h'!E76)</f>
        <v>0</v>
      </c>
      <c r="F76" s="49">
        <f>AVERAGE('19.10 KAPEEKA-NGOMA 24h'!F76,'21.10 KAPEEKA-NGOMA-24h'!F76)</f>
        <v>0</v>
      </c>
      <c r="G76" s="49">
        <f>AVERAGE('19.10 KAPEEKA-NGOMA 24h'!G76,'21.10 KAPEEKA-NGOMA-24h'!G76)</f>
        <v>0</v>
      </c>
      <c r="H76" s="49">
        <f>AVERAGE('19.10 KAPEEKA-NGOMA 24h'!H76,'21.10 KAPEEKA-NGOMA-24h'!H76)</f>
        <v>0</v>
      </c>
      <c r="I76" s="49">
        <f>AVERAGE('19.10 KAPEEKA-NGOMA 24h'!I76,'21.10 KAPEEKA-NGOMA-24h'!I76)</f>
        <v>0.5</v>
      </c>
      <c r="J76" s="49">
        <f>AVERAGE('19.10 KAPEEKA-NGOMA 24h'!J76,'21.10 KAPEEKA-NGOMA-24h'!J76)</f>
        <v>0</v>
      </c>
      <c r="K76" s="49">
        <f>AVERAGE('19.10 KAPEEKA-NGOMA 24h'!K76,'21.10 KAPEEKA-NGOMA-24h'!K76)</f>
        <v>0</v>
      </c>
      <c r="L76" s="49">
        <f>AVERAGE('19.10 KAPEEKA-NGOMA 24h'!L76,'21.10 KAPEEKA-NGOMA-24h'!L76)</f>
        <v>0</v>
      </c>
      <c r="M76" s="49">
        <f>AVERAGE('19.10 KAPEEKA-NGOMA 24h'!M76,'21.10 KAPEEKA-NGOMA-24h'!M76)</f>
        <v>0</v>
      </c>
      <c r="N76" s="49">
        <f>AVERAGE('19.10 KAPEEKA-NGOMA 24h'!N76,'21.10 KAPEEKA-NGOMA-24h'!N76)</f>
        <v>0</v>
      </c>
      <c r="O76" s="15">
        <f t="shared" si="35"/>
        <v>0.5</v>
      </c>
      <c r="P76" s="15">
        <f t="shared" si="36"/>
        <v>0.5</v>
      </c>
      <c r="R76" s="8"/>
      <c r="T76"/>
    </row>
    <row r="77" spans="2:20" ht="23.1" customHeight="1" x14ac:dyDescent="0.25">
      <c r="B77" s="23" t="s">
        <v>117</v>
      </c>
      <c r="C77" s="49">
        <f>AVERAGE('19.10 KAPEEKA-NGOMA 24h'!C77,'21.10 KAPEEKA-NGOMA-24h'!C77)</f>
        <v>0.5</v>
      </c>
      <c r="D77" s="49">
        <f>AVERAGE('19.10 KAPEEKA-NGOMA 24h'!D77,'21.10 KAPEEKA-NGOMA-24h'!D77)</f>
        <v>0</v>
      </c>
      <c r="E77" s="49">
        <f>AVERAGE('19.10 KAPEEKA-NGOMA 24h'!E77,'21.10 KAPEEKA-NGOMA-24h'!E77)</f>
        <v>0</v>
      </c>
      <c r="F77" s="49">
        <f>AVERAGE('19.10 KAPEEKA-NGOMA 24h'!F77,'21.10 KAPEEKA-NGOMA-24h'!F77)</f>
        <v>0</v>
      </c>
      <c r="G77" s="49">
        <f>AVERAGE('19.10 KAPEEKA-NGOMA 24h'!G77,'21.10 KAPEEKA-NGOMA-24h'!G77)</f>
        <v>0</v>
      </c>
      <c r="H77" s="49">
        <f>AVERAGE('19.10 KAPEEKA-NGOMA 24h'!H77,'21.10 KAPEEKA-NGOMA-24h'!H77)</f>
        <v>0</v>
      </c>
      <c r="I77" s="49">
        <f>AVERAGE('19.10 KAPEEKA-NGOMA 24h'!I77,'21.10 KAPEEKA-NGOMA-24h'!I77)</f>
        <v>0</v>
      </c>
      <c r="J77" s="49">
        <f>AVERAGE('19.10 KAPEEKA-NGOMA 24h'!J77,'21.10 KAPEEKA-NGOMA-24h'!J77)</f>
        <v>0</v>
      </c>
      <c r="K77" s="49">
        <f>AVERAGE('19.10 KAPEEKA-NGOMA 24h'!K77,'21.10 KAPEEKA-NGOMA-24h'!K77)</f>
        <v>0</v>
      </c>
      <c r="L77" s="49">
        <f>AVERAGE('19.10 KAPEEKA-NGOMA 24h'!L77,'21.10 KAPEEKA-NGOMA-24h'!L77)</f>
        <v>0</v>
      </c>
      <c r="M77" s="49">
        <f>AVERAGE('19.10 KAPEEKA-NGOMA 24h'!M77,'21.10 KAPEEKA-NGOMA-24h'!M77)</f>
        <v>0</v>
      </c>
      <c r="N77" s="49">
        <f>AVERAGE('19.10 KAPEEKA-NGOMA 24h'!N77,'21.10 KAPEEKA-NGOMA-24h'!N77)</f>
        <v>0</v>
      </c>
      <c r="O77" s="15">
        <f t="shared" si="35"/>
        <v>0.5</v>
      </c>
      <c r="P77" s="15">
        <f t="shared" si="36"/>
        <v>0.5</v>
      </c>
      <c r="R77" s="8"/>
      <c r="T77"/>
    </row>
    <row r="78" spans="2:20" ht="23.1" customHeight="1" x14ac:dyDescent="0.25">
      <c r="B78" s="24" t="s">
        <v>118</v>
      </c>
      <c r="C78" s="49">
        <f>AVERAGE('19.10 KAPEEKA-NGOMA 24h'!C78,'21.10 KAPEEKA-NGOMA-24h'!C78)</f>
        <v>0.5</v>
      </c>
      <c r="D78" s="49">
        <f>AVERAGE('19.10 KAPEEKA-NGOMA 24h'!D78,'21.10 KAPEEKA-NGOMA-24h'!D78)</f>
        <v>0</v>
      </c>
      <c r="E78" s="49">
        <f>AVERAGE('19.10 KAPEEKA-NGOMA 24h'!E78,'21.10 KAPEEKA-NGOMA-24h'!E78)</f>
        <v>0</v>
      </c>
      <c r="F78" s="49">
        <f>AVERAGE('19.10 KAPEEKA-NGOMA 24h'!F78,'21.10 KAPEEKA-NGOMA-24h'!F78)</f>
        <v>0</v>
      </c>
      <c r="G78" s="49">
        <f>AVERAGE('19.10 KAPEEKA-NGOMA 24h'!G78,'21.10 KAPEEKA-NGOMA-24h'!G78)</f>
        <v>0</v>
      </c>
      <c r="H78" s="49">
        <f>AVERAGE('19.10 KAPEEKA-NGOMA 24h'!H78,'21.10 KAPEEKA-NGOMA-24h'!H78)</f>
        <v>0</v>
      </c>
      <c r="I78" s="49">
        <f>AVERAGE('19.10 KAPEEKA-NGOMA 24h'!I78,'21.10 KAPEEKA-NGOMA-24h'!I78)</f>
        <v>0</v>
      </c>
      <c r="J78" s="49">
        <f>AVERAGE('19.10 KAPEEKA-NGOMA 24h'!J78,'21.10 KAPEEKA-NGOMA-24h'!J78)</f>
        <v>0.5</v>
      </c>
      <c r="K78" s="49">
        <f>AVERAGE('19.10 KAPEEKA-NGOMA 24h'!K78,'21.10 KAPEEKA-NGOMA-24h'!K78)</f>
        <v>0</v>
      </c>
      <c r="L78" s="49">
        <f>AVERAGE('19.10 KAPEEKA-NGOMA 24h'!L78,'21.10 KAPEEKA-NGOMA-24h'!L78)</f>
        <v>0</v>
      </c>
      <c r="M78" s="49">
        <f>AVERAGE('19.10 KAPEEKA-NGOMA 24h'!M78,'21.10 KAPEEKA-NGOMA-24h'!M78)</f>
        <v>0.5</v>
      </c>
      <c r="N78" s="49">
        <f>AVERAGE('19.10 KAPEEKA-NGOMA 24h'!N78,'21.10 KAPEEKA-NGOMA-24h'!N78)</f>
        <v>0</v>
      </c>
      <c r="O78" s="15">
        <f t="shared" si="35"/>
        <v>1</v>
      </c>
      <c r="P78" s="15">
        <f t="shared" si="36"/>
        <v>1.5</v>
      </c>
      <c r="R78" s="8"/>
      <c r="T78"/>
    </row>
    <row r="79" spans="2:20" ht="23.1" customHeight="1" x14ac:dyDescent="0.25">
      <c r="B79" s="23" t="s">
        <v>119</v>
      </c>
      <c r="C79" s="49">
        <f>AVERAGE('19.10 KAPEEKA-NGOMA 24h'!C79,'21.10 KAPEEKA-NGOMA-24h'!C79)</f>
        <v>0</v>
      </c>
      <c r="D79" s="49">
        <f>AVERAGE('19.10 KAPEEKA-NGOMA 24h'!D79,'21.10 KAPEEKA-NGOMA-24h'!D79)</f>
        <v>0</v>
      </c>
      <c r="E79" s="49">
        <f>AVERAGE('19.10 KAPEEKA-NGOMA 24h'!E79,'21.10 KAPEEKA-NGOMA-24h'!E79)</f>
        <v>0</v>
      </c>
      <c r="F79" s="49">
        <f>AVERAGE('19.10 KAPEEKA-NGOMA 24h'!F79,'21.10 KAPEEKA-NGOMA-24h'!F79)</f>
        <v>0</v>
      </c>
      <c r="G79" s="49">
        <f>AVERAGE('19.10 KAPEEKA-NGOMA 24h'!G79,'21.10 KAPEEKA-NGOMA-24h'!G79)</f>
        <v>0</v>
      </c>
      <c r="H79" s="49">
        <f>AVERAGE('19.10 KAPEEKA-NGOMA 24h'!H79,'21.10 KAPEEKA-NGOMA-24h'!H79)</f>
        <v>0</v>
      </c>
      <c r="I79" s="49">
        <f>AVERAGE('19.10 KAPEEKA-NGOMA 24h'!I79,'21.10 KAPEEKA-NGOMA-24h'!I79)</f>
        <v>0</v>
      </c>
      <c r="J79" s="49">
        <f>AVERAGE('19.10 KAPEEKA-NGOMA 24h'!J79,'21.10 KAPEEKA-NGOMA-24h'!J79)</f>
        <v>0.5</v>
      </c>
      <c r="K79" s="49">
        <f>AVERAGE('19.10 KAPEEKA-NGOMA 24h'!K79,'21.10 KAPEEKA-NGOMA-24h'!K79)</f>
        <v>0</v>
      </c>
      <c r="L79" s="49">
        <f>AVERAGE('19.10 KAPEEKA-NGOMA 24h'!L79,'21.10 KAPEEKA-NGOMA-24h'!L79)</f>
        <v>0</v>
      </c>
      <c r="M79" s="49">
        <f>AVERAGE('19.10 KAPEEKA-NGOMA 24h'!M79,'21.10 KAPEEKA-NGOMA-24h'!M79)</f>
        <v>0.5</v>
      </c>
      <c r="N79" s="49">
        <f>AVERAGE('19.10 KAPEEKA-NGOMA 24h'!N79,'21.10 KAPEEKA-NGOMA-24h'!N79)</f>
        <v>0</v>
      </c>
      <c r="O79" s="15">
        <f t="shared" si="35"/>
        <v>0.5</v>
      </c>
      <c r="P79" s="15">
        <f t="shared" si="36"/>
        <v>1</v>
      </c>
      <c r="R79" s="8"/>
      <c r="T79"/>
    </row>
    <row r="80" spans="2:20" ht="23.1" customHeight="1" x14ac:dyDescent="0.25">
      <c r="B80" s="25" t="s">
        <v>120</v>
      </c>
      <c r="C80" s="49">
        <f>AVERAGE('19.10 KAPEEKA-NGOMA 24h'!C80,'21.10 KAPEEKA-NGOMA-24h'!C80)</f>
        <v>0</v>
      </c>
      <c r="D80" s="49">
        <f>AVERAGE('19.10 KAPEEKA-NGOMA 24h'!D80,'21.10 KAPEEKA-NGOMA-24h'!D80)</f>
        <v>0</v>
      </c>
      <c r="E80" s="49">
        <f>AVERAGE('19.10 KAPEEKA-NGOMA 24h'!E80,'21.10 KAPEEKA-NGOMA-24h'!E80)</f>
        <v>0</v>
      </c>
      <c r="F80" s="49">
        <f>AVERAGE('19.10 KAPEEKA-NGOMA 24h'!F80,'21.10 KAPEEKA-NGOMA-24h'!F80)</f>
        <v>0</v>
      </c>
      <c r="G80" s="49">
        <f>AVERAGE('19.10 KAPEEKA-NGOMA 24h'!G80,'21.10 KAPEEKA-NGOMA-24h'!G80)</f>
        <v>0</v>
      </c>
      <c r="H80" s="49">
        <f>AVERAGE('19.10 KAPEEKA-NGOMA 24h'!H80,'21.10 KAPEEKA-NGOMA-24h'!H80)</f>
        <v>0</v>
      </c>
      <c r="I80" s="49">
        <f>AVERAGE('19.10 KAPEEKA-NGOMA 24h'!I80,'21.10 KAPEEKA-NGOMA-24h'!I80)</f>
        <v>0</v>
      </c>
      <c r="J80" s="49">
        <f>AVERAGE('19.10 KAPEEKA-NGOMA 24h'!J80,'21.10 KAPEEKA-NGOMA-24h'!J80)</f>
        <v>0.5</v>
      </c>
      <c r="K80" s="49">
        <f>AVERAGE('19.10 KAPEEKA-NGOMA 24h'!K80,'21.10 KAPEEKA-NGOMA-24h'!K80)</f>
        <v>0</v>
      </c>
      <c r="L80" s="49">
        <f>AVERAGE('19.10 KAPEEKA-NGOMA 24h'!L80,'21.10 KAPEEKA-NGOMA-24h'!L80)</f>
        <v>0</v>
      </c>
      <c r="M80" s="49">
        <f>AVERAGE('19.10 KAPEEKA-NGOMA 24h'!M80,'21.10 KAPEEKA-NGOMA-24h'!M80)</f>
        <v>0</v>
      </c>
      <c r="N80" s="49">
        <f>AVERAGE('19.10 KAPEEKA-NGOMA 24h'!N80,'21.10 KAPEEKA-NGOMA-24h'!N80)</f>
        <v>0</v>
      </c>
      <c r="O80" s="15">
        <f t="shared" si="35"/>
        <v>0.5</v>
      </c>
      <c r="P80" s="15">
        <f t="shared" si="36"/>
        <v>0.5</v>
      </c>
      <c r="R80" s="8"/>
      <c r="T80"/>
    </row>
    <row r="81" spans="2:20" ht="23.1" customHeight="1" x14ac:dyDescent="0.25">
      <c r="B81" s="23" t="s">
        <v>121</v>
      </c>
      <c r="C81" s="49">
        <f>AVERAGE('19.10 KAPEEKA-NGOMA 24h'!C81,'21.10 KAPEEKA-NGOMA-24h'!C81)</f>
        <v>0</v>
      </c>
      <c r="D81" s="49">
        <f>AVERAGE('19.10 KAPEEKA-NGOMA 24h'!D81,'21.10 KAPEEKA-NGOMA-24h'!D81)</f>
        <v>0</v>
      </c>
      <c r="E81" s="49">
        <f>AVERAGE('19.10 KAPEEKA-NGOMA 24h'!E81,'21.10 KAPEEKA-NGOMA-24h'!E81)</f>
        <v>0</v>
      </c>
      <c r="F81" s="49">
        <f>AVERAGE('19.10 KAPEEKA-NGOMA 24h'!F81,'21.10 KAPEEKA-NGOMA-24h'!F81)</f>
        <v>0</v>
      </c>
      <c r="G81" s="49">
        <f>AVERAGE('19.10 KAPEEKA-NGOMA 24h'!G81,'21.10 KAPEEKA-NGOMA-24h'!G81)</f>
        <v>0</v>
      </c>
      <c r="H81" s="49">
        <f>AVERAGE('19.10 KAPEEKA-NGOMA 24h'!H81,'21.10 KAPEEKA-NGOMA-24h'!H81)</f>
        <v>0</v>
      </c>
      <c r="I81" s="49">
        <f>AVERAGE('19.10 KAPEEKA-NGOMA 24h'!I81,'21.10 KAPEEKA-NGOMA-24h'!I81)</f>
        <v>0</v>
      </c>
      <c r="J81" s="49">
        <f>AVERAGE('19.10 KAPEEKA-NGOMA 24h'!J81,'21.10 KAPEEKA-NGOMA-24h'!J81)</f>
        <v>0</v>
      </c>
      <c r="K81" s="49">
        <f>AVERAGE('19.10 KAPEEKA-NGOMA 24h'!K81,'21.10 KAPEEKA-NGOMA-24h'!K81)</f>
        <v>0</v>
      </c>
      <c r="L81" s="49">
        <f>AVERAGE('19.10 KAPEEKA-NGOMA 24h'!L81,'21.10 KAPEEKA-NGOMA-24h'!L81)</f>
        <v>0</v>
      </c>
      <c r="M81" s="49">
        <f>AVERAGE('19.10 KAPEEKA-NGOMA 24h'!M81,'21.10 KAPEEKA-NGOMA-24h'!M81)</f>
        <v>0</v>
      </c>
      <c r="N81" s="49">
        <f>AVERAGE('19.10 KAPEEKA-NGOMA 24h'!N81,'21.10 KAPEEKA-NGOMA-24h'!N81)</f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24" t="s">
        <v>122</v>
      </c>
      <c r="C82" s="49">
        <f>AVERAGE('19.10 KAPEEKA-NGOMA 24h'!C82,'21.10 KAPEEKA-NGOMA-24h'!C82)</f>
        <v>0</v>
      </c>
      <c r="D82" s="49">
        <f>AVERAGE('19.10 KAPEEKA-NGOMA 24h'!D82,'21.10 KAPEEKA-NGOMA-24h'!D82)</f>
        <v>0</v>
      </c>
      <c r="E82" s="49">
        <f>AVERAGE('19.10 KAPEEKA-NGOMA 24h'!E82,'21.10 KAPEEKA-NGOMA-24h'!E82)</f>
        <v>0</v>
      </c>
      <c r="F82" s="49">
        <f>AVERAGE('19.10 KAPEEKA-NGOMA 24h'!F82,'21.10 KAPEEKA-NGOMA-24h'!F82)</f>
        <v>0</v>
      </c>
      <c r="G82" s="49">
        <f>AVERAGE('19.10 KAPEEKA-NGOMA 24h'!G82,'21.10 KAPEEKA-NGOMA-24h'!G82)</f>
        <v>0</v>
      </c>
      <c r="H82" s="49">
        <f>AVERAGE('19.10 KAPEEKA-NGOMA 24h'!H82,'21.10 KAPEEKA-NGOMA-24h'!H82)</f>
        <v>0</v>
      </c>
      <c r="I82" s="49">
        <f>AVERAGE('19.10 KAPEEKA-NGOMA 24h'!I82,'21.10 KAPEEKA-NGOMA-24h'!I82)</f>
        <v>0</v>
      </c>
      <c r="J82" s="49">
        <f>AVERAGE('19.10 KAPEEKA-NGOMA 24h'!J82,'21.10 KAPEEKA-NGOMA-24h'!J82)</f>
        <v>0</v>
      </c>
      <c r="K82" s="49">
        <f>AVERAGE('19.10 KAPEEKA-NGOMA 24h'!K82,'21.10 KAPEEKA-NGOMA-24h'!K82)</f>
        <v>0</v>
      </c>
      <c r="L82" s="49">
        <f>AVERAGE('19.10 KAPEEKA-NGOMA 24h'!L82,'21.10 KAPEEKA-NGOMA-24h'!L82)</f>
        <v>0</v>
      </c>
      <c r="M82" s="49">
        <f>AVERAGE('19.10 KAPEEKA-NGOMA 24h'!M82,'21.10 KAPEEKA-NGOMA-24h'!M82)</f>
        <v>0</v>
      </c>
      <c r="N82" s="49">
        <f>AVERAGE('19.10 KAPEEKA-NGOMA 24h'!N82,'21.10 KAPEEKA-NGOMA-24h'!N82)</f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23" t="s">
        <v>123</v>
      </c>
      <c r="C83" s="49">
        <f>AVERAGE('19.10 KAPEEKA-NGOMA 24h'!C83,'21.10 KAPEEKA-NGOMA-24h'!C83)</f>
        <v>0</v>
      </c>
      <c r="D83" s="49">
        <f>AVERAGE('19.10 KAPEEKA-NGOMA 24h'!D83,'21.10 KAPEEKA-NGOMA-24h'!D83)</f>
        <v>0</v>
      </c>
      <c r="E83" s="49">
        <f>AVERAGE('19.10 KAPEEKA-NGOMA 24h'!E83,'21.10 KAPEEKA-NGOMA-24h'!E83)</f>
        <v>0</v>
      </c>
      <c r="F83" s="49">
        <f>AVERAGE('19.10 KAPEEKA-NGOMA 24h'!F83,'21.10 KAPEEKA-NGOMA-24h'!F83)</f>
        <v>0</v>
      </c>
      <c r="G83" s="49">
        <f>AVERAGE('19.10 KAPEEKA-NGOMA 24h'!G83,'21.10 KAPEEKA-NGOMA-24h'!G83)</f>
        <v>0</v>
      </c>
      <c r="H83" s="49">
        <f>AVERAGE('19.10 KAPEEKA-NGOMA 24h'!H83,'21.10 KAPEEKA-NGOMA-24h'!H83)</f>
        <v>0</v>
      </c>
      <c r="I83" s="49">
        <f>AVERAGE('19.10 KAPEEKA-NGOMA 24h'!I83,'21.10 KAPEEKA-NGOMA-24h'!I83)</f>
        <v>0</v>
      </c>
      <c r="J83" s="49">
        <f>AVERAGE('19.10 KAPEEKA-NGOMA 24h'!J83,'21.10 KAPEEKA-NGOMA-24h'!J83)</f>
        <v>0.5</v>
      </c>
      <c r="K83" s="49">
        <f>AVERAGE('19.10 KAPEEKA-NGOMA 24h'!K83,'21.10 KAPEEKA-NGOMA-24h'!K83)</f>
        <v>0</v>
      </c>
      <c r="L83" s="49">
        <f>AVERAGE('19.10 KAPEEKA-NGOMA 24h'!L83,'21.10 KAPEEKA-NGOMA-24h'!L83)</f>
        <v>0</v>
      </c>
      <c r="M83" s="49">
        <f>AVERAGE('19.10 KAPEEKA-NGOMA 24h'!M83,'21.10 KAPEEKA-NGOMA-24h'!M83)</f>
        <v>0</v>
      </c>
      <c r="N83" s="49">
        <f>AVERAGE('19.10 KAPEEKA-NGOMA 24h'!N83,'21.10 KAPEEKA-NGOMA-24h'!N83)</f>
        <v>0</v>
      </c>
      <c r="O83" s="15">
        <f t="shared" si="35"/>
        <v>0.5</v>
      </c>
      <c r="P83" s="15">
        <f t="shared" si="36"/>
        <v>0.5</v>
      </c>
      <c r="R83" s="8"/>
      <c r="T83"/>
    </row>
    <row r="84" spans="2:20" ht="23.1" customHeight="1" x14ac:dyDescent="0.25">
      <c r="B84" s="25" t="s">
        <v>124</v>
      </c>
      <c r="C84" s="49">
        <f>AVERAGE('19.10 KAPEEKA-NGOMA 24h'!C84,'21.10 KAPEEKA-NGOMA-24h'!C84)</f>
        <v>0</v>
      </c>
      <c r="D84" s="49">
        <f>AVERAGE('19.10 KAPEEKA-NGOMA 24h'!D84,'21.10 KAPEEKA-NGOMA-24h'!D84)</f>
        <v>0</v>
      </c>
      <c r="E84" s="49">
        <f>AVERAGE('19.10 KAPEEKA-NGOMA 24h'!E84,'21.10 KAPEEKA-NGOMA-24h'!E84)</f>
        <v>0</v>
      </c>
      <c r="F84" s="49">
        <f>AVERAGE('19.10 KAPEEKA-NGOMA 24h'!F84,'21.10 KAPEEKA-NGOMA-24h'!F84)</f>
        <v>0</v>
      </c>
      <c r="G84" s="49">
        <f>AVERAGE('19.10 KAPEEKA-NGOMA 24h'!G84,'21.10 KAPEEKA-NGOMA-24h'!G84)</f>
        <v>0</v>
      </c>
      <c r="H84" s="49">
        <f>AVERAGE('19.10 KAPEEKA-NGOMA 24h'!H84,'21.10 KAPEEKA-NGOMA-24h'!H84)</f>
        <v>0</v>
      </c>
      <c r="I84" s="49">
        <f>AVERAGE('19.10 KAPEEKA-NGOMA 24h'!I84,'21.10 KAPEEKA-NGOMA-24h'!I84)</f>
        <v>0</v>
      </c>
      <c r="J84" s="49">
        <f>AVERAGE('19.10 KAPEEKA-NGOMA 24h'!J84,'21.10 KAPEEKA-NGOMA-24h'!J84)</f>
        <v>0.5</v>
      </c>
      <c r="K84" s="49">
        <f>AVERAGE('19.10 KAPEEKA-NGOMA 24h'!K84,'21.10 KAPEEKA-NGOMA-24h'!K84)</f>
        <v>0</v>
      </c>
      <c r="L84" s="49">
        <f>AVERAGE('19.10 KAPEEKA-NGOMA 24h'!L84,'21.10 KAPEEKA-NGOMA-24h'!L84)</f>
        <v>0</v>
      </c>
      <c r="M84" s="49">
        <f>AVERAGE('19.10 KAPEEKA-NGOMA 24h'!M84,'21.10 KAPEEKA-NGOMA-24h'!M84)</f>
        <v>0</v>
      </c>
      <c r="N84" s="49">
        <f>AVERAGE('19.10 KAPEEKA-NGOMA 24h'!N84,'21.10 KAPEEKA-NGOMA-24h'!N84)</f>
        <v>0</v>
      </c>
      <c r="O84" s="15">
        <f t="shared" si="35"/>
        <v>0.5</v>
      </c>
      <c r="P84" s="15">
        <f t="shared" si="36"/>
        <v>0.5</v>
      </c>
      <c r="R84" s="8"/>
      <c r="T84"/>
    </row>
    <row r="85" spans="2:20" ht="23.1" customHeight="1" x14ac:dyDescent="0.25">
      <c r="B85" s="23" t="s">
        <v>125</v>
      </c>
      <c r="C85" s="49">
        <f>AVERAGE('19.10 KAPEEKA-NGOMA 24h'!C85,'21.10 KAPEEKA-NGOMA-24h'!C85)</f>
        <v>0</v>
      </c>
      <c r="D85" s="49">
        <f>AVERAGE('19.10 KAPEEKA-NGOMA 24h'!D85,'21.10 KAPEEKA-NGOMA-24h'!D85)</f>
        <v>0</v>
      </c>
      <c r="E85" s="49">
        <f>AVERAGE('19.10 KAPEEKA-NGOMA 24h'!E85,'21.10 KAPEEKA-NGOMA-24h'!E85)</f>
        <v>0</v>
      </c>
      <c r="F85" s="49">
        <f>AVERAGE('19.10 KAPEEKA-NGOMA 24h'!F85,'21.10 KAPEEKA-NGOMA-24h'!F85)</f>
        <v>0</v>
      </c>
      <c r="G85" s="49">
        <f>AVERAGE('19.10 KAPEEKA-NGOMA 24h'!G85,'21.10 KAPEEKA-NGOMA-24h'!G85)</f>
        <v>0</v>
      </c>
      <c r="H85" s="49">
        <f>AVERAGE('19.10 KAPEEKA-NGOMA 24h'!H85,'21.10 KAPEEKA-NGOMA-24h'!H85)</f>
        <v>0</v>
      </c>
      <c r="I85" s="49">
        <f>AVERAGE('19.10 KAPEEKA-NGOMA 24h'!I85,'21.10 KAPEEKA-NGOMA-24h'!I85)</f>
        <v>0</v>
      </c>
      <c r="J85" s="49">
        <f>AVERAGE('19.10 KAPEEKA-NGOMA 24h'!J85,'21.10 KAPEEKA-NGOMA-24h'!J85)</f>
        <v>1</v>
      </c>
      <c r="K85" s="49">
        <f>AVERAGE('19.10 KAPEEKA-NGOMA 24h'!K85,'21.10 KAPEEKA-NGOMA-24h'!K85)</f>
        <v>0</v>
      </c>
      <c r="L85" s="49">
        <f>AVERAGE('19.10 KAPEEKA-NGOMA 24h'!L85,'21.10 KAPEEKA-NGOMA-24h'!L85)</f>
        <v>0</v>
      </c>
      <c r="M85" s="49">
        <f>AVERAGE('19.10 KAPEEKA-NGOMA 24h'!M85,'21.10 KAPEEKA-NGOMA-24h'!M85)</f>
        <v>0</v>
      </c>
      <c r="N85" s="49">
        <f>AVERAGE('19.10 KAPEEKA-NGOMA 24h'!N85,'21.10 KAPEEKA-NGOMA-24h'!N85)</f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24" t="s">
        <v>126</v>
      </c>
      <c r="C86" s="49">
        <f>AVERAGE('19.10 KAPEEKA-NGOMA 24h'!C86,'21.10 KAPEEKA-NGOMA-24h'!C86)</f>
        <v>0</v>
      </c>
      <c r="D86" s="49">
        <f>AVERAGE('19.10 KAPEEKA-NGOMA 24h'!D86,'21.10 KAPEEKA-NGOMA-24h'!D86)</f>
        <v>0</v>
      </c>
      <c r="E86" s="49">
        <f>AVERAGE('19.10 KAPEEKA-NGOMA 24h'!E86,'21.10 KAPEEKA-NGOMA-24h'!E86)</f>
        <v>0</v>
      </c>
      <c r="F86" s="49">
        <f>AVERAGE('19.10 KAPEEKA-NGOMA 24h'!F86,'21.10 KAPEEKA-NGOMA-24h'!F86)</f>
        <v>0</v>
      </c>
      <c r="G86" s="49">
        <f>AVERAGE('19.10 KAPEEKA-NGOMA 24h'!G86,'21.10 KAPEEKA-NGOMA-24h'!G86)</f>
        <v>0</v>
      </c>
      <c r="H86" s="49">
        <f>AVERAGE('19.10 KAPEEKA-NGOMA 24h'!H86,'21.10 KAPEEKA-NGOMA-24h'!H86)</f>
        <v>0</v>
      </c>
      <c r="I86" s="49">
        <f>AVERAGE('19.10 KAPEEKA-NGOMA 24h'!I86,'21.10 KAPEEKA-NGOMA-24h'!I86)</f>
        <v>0</v>
      </c>
      <c r="J86" s="49">
        <f>AVERAGE('19.10 KAPEEKA-NGOMA 24h'!J86,'21.10 KAPEEKA-NGOMA-24h'!J86)</f>
        <v>0</v>
      </c>
      <c r="K86" s="49">
        <f>AVERAGE('19.10 KAPEEKA-NGOMA 24h'!K86,'21.10 KAPEEKA-NGOMA-24h'!K86)</f>
        <v>0</v>
      </c>
      <c r="L86" s="49">
        <f>AVERAGE('19.10 KAPEEKA-NGOMA 24h'!L86,'21.10 KAPEEKA-NGOMA-24h'!L86)</f>
        <v>0</v>
      </c>
      <c r="M86" s="49">
        <f>AVERAGE('19.10 KAPEEKA-NGOMA 24h'!M86,'21.10 KAPEEKA-NGOMA-24h'!M86)</f>
        <v>0</v>
      </c>
      <c r="N86" s="49">
        <f>AVERAGE('19.10 KAPEEKA-NGOMA 24h'!N86,'21.10 KAPEEKA-NGOMA-24h'!N86)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49">
        <f>AVERAGE('19.10 KAPEEKA-NGOMA 24h'!C87,'21.10 KAPEEKA-NGOMA-24h'!C87)</f>
        <v>0.5</v>
      </c>
      <c r="D87" s="49">
        <f>AVERAGE('19.10 KAPEEKA-NGOMA 24h'!D87,'21.10 KAPEEKA-NGOMA-24h'!D87)</f>
        <v>0</v>
      </c>
      <c r="E87" s="49">
        <f>AVERAGE('19.10 KAPEEKA-NGOMA 24h'!E87,'21.10 KAPEEKA-NGOMA-24h'!E87)</f>
        <v>0</v>
      </c>
      <c r="F87" s="49">
        <f>AVERAGE('19.10 KAPEEKA-NGOMA 24h'!F87,'21.10 KAPEEKA-NGOMA-24h'!F87)</f>
        <v>0</v>
      </c>
      <c r="G87" s="49">
        <f>AVERAGE('19.10 KAPEEKA-NGOMA 24h'!G87,'21.10 KAPEEKA-NGOMA-24h'!G87)</f>
        <v>0</v>
      </c>
      <c r="H87" s="49">
        <f>AVERAGE('19.10 KAPEEKA-NGOMA 24h'!H87,'21.10 KAPEEKA-NGOMA-24h'!H87)</f>
        <v>0</v>
      </c>
      <c r="I87" s="49">
        <f>AVERAGE('19.10 KAPEEKA-NGOMA 24h'!I87,'21.10 KAPEEKA-NGOMA-24h'!I87)</f>
        <v>0</v>
      </c>
      <c r="J87" s="49">
        <f>AVERAGE('19.10 KAPEEKA-NGOMA 24h'!J87,'21.10 KAPEEKA-NGOMA-24h'!J87)</f>
        <v>0</v>
      </c>
      <c r="K87" s="49">
        <f>AVERAGE('19.10 KAPEEKA-NGOMA 24h'!K87,'21.10 KAPEEKA-NGOMA-24h'!K87)</f>
        <v>0</v>
      </c>
      <c r="L87" s="49">
        <f>AVERAGE('19.10 KAPEEKA-NGOMA 24h'!L87,'21.10 KAPEEKA-NGOMA-24h'!L87)</f>
        <v>0</v>
      </c>
      <c r="M87" s="49">
        <f>AVERAGE('19.10 KAPEEKA-NGOMA 24h'!M87,'21.10 KAPEEKA-NGOMA-24h'!M87)</f>
        <v>0</v>
      </c>
      <c r="N87" s="49">
        <f>AVERAGE('19.10 KAPEEKA-NGOMA 24h'!N87,'21.10 KAPEEKA-NGOMA-24h'!N87)</f>
        <v>0</v>
      </c>
      <c r="O87" s="15">
        <f t="shared" si="35"/>
        <v>0.5</v>
      </c>
      <c r="P87" s="15">
        <f t="shared" si="36"/>
        <v>0.5</v>
      </c>
      <c r="R87" s="8"/>
      <c r="T87"/>
    </row>
    <row r="88" spans="2:20" ht="23.1" customHeight="1" x14ac:dyDescent="0.25">
      <c r="B88" s="25" t="s">
        <v>128</v>
      </c>
      <c r="C88" s="49">
        <f>AVERAGE('19.10 KAPEEKA-NGOMA 24h'!C88,'21.10 KAPEEKA-NGOMA-24h'!C88)</f>
        <v>0</v>
      </c>
      <c r="D88" s="49">
        <f>AVERAGE('19.10 KAPEEKA-NGOMA 24h'!D88,'21.10 KAPEEKA-NGOMA-24h'!D88)</f>
        <v>0</v>
      </c>
      <c r="E88" s="49">
        <f>AVERAGE('19.10 KAPEEKA-NGOMA 24h'!E88,'21.10 KAPEEKA-NGOMA-24h'!E88)</f>
        <v>0</v>
      </c>
      <c r="F88" s="49">
        <f>AVERAGE('19.10 KAPEEKA-NGOMA 24h'!F88,'21.10 KAPEEKA-NGOMA-24h'!F88)</f>
        <v>0</v>
      </c>
      <c r="G88" s="49">
        <f>AVERAGE('19.10 KAPEEKA-NGOMA 24h'!G88,'21.10 KAPEEKA-NGOMA-24h'!G88)</f>
        <v>0</v>
      </c>
      <c r="H88" s="49">
        <f>AVERAGE('19.10 KAPEEKA-NGOMA 24h'!H88,'21.10 KAPEEKA-NGOMA-24h'!H88)</f>
        <v>0</v>
      </c>
      <c r="I88" s="49">
        <f>AVERAGE('19.10 KAPEEKA-NGOMA 24h'!I88,'21.10 KAPEEKA-NGOMA-24h'!I88)</f>
        <v>0</v>
      </c>
      <c r="J88" s="49">
        <f>AVERAGE('19.10 KAPEEKA-NGOMA 24h'!J88,'21.10 KAPEEKA-NGOMA-24h'!J88)</f>
        <v>0</v>
      </c>
      <c r="K88" s="49">
        <f>AVERAGE('19.10 KAPEEKA-NGOMA 24h'!K88,'21.10 KAPEEKA-NGOMA-24h'!K88)</f>
        <v>0</v>
      </c>
      <c r="L88" s="49">
        <f>AVERAGE('19.10 KAPEEKA-NGOMA 24h'!L88,'21.10 KAPEEKA-NGOMA-24h'!L88)</f>
        <v>0</v>
      </c>
      <c r="M88" s="49">
        <f>AVERAGE('19.10 KAPEEKA-NGOMA 24h'!M88,'21.10 KAPEEKA-NGOMA-24h'!M88)</f>
        <v>0</v>
      </c>
      <c r="N88" s="49">
        <f>AVERAGE('19.10 KAPEEKA-NGOMA 24h'!N88,'21.10 KAPEEKA-NGOMA-24h'!N88)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AVERAGE('19.10 KAPEEKA-NGOMA 24h'!C89,'21.10 KAPEEKA-NGOMA-24h'!C89)</f>
        <v>0</v>
      </c>
      <c r="D89" s="49">
        <f>AVERAGE('19.10 KAPEEKA-NGOMA 24h'!D89,'21.10 KAPEEKA-NGOMA-24h'!D89)</f>
        <v>0</v>
      </c>
      <c r="E89" s="49">
        <f>AVERAGE('19.10 KAPEEKA-NGOMA 24h'!E89,'21.10 KAPEEKA-NGOMA-24h'!E89)</f>
        <v>0</v>
      </c>
      <c r="F89" s="49">
        <f>AVERAGE('19.10 KAPEEKA-NGOMA 24h'!F89,'21.10 KAPEEKA-NGOMA-24h'!F89)</f>
        <v>0</v>
      </c>
      <c r="G89" s="49">
        <f>AVERAGE('19.10 KAPEEKA-NGOMA 24h'!G89,'21.10 KAPEEKA-NGOMA-24h'!G89)</f>
        <v>0</v>
      </c>
      <c r="H89" s="49">
        <f>AVERAGE('19.10 KAPEEKA-NGOMA 24h'!H89,'21.10 KAPEEKA-NGOMA-24h'!H89)</f>
        <v>0</v>
      </c>
      <c r="I89" s="49">
        <f>AVERAGE('19.10 KAPEEKA-NGOMA 24h'!I89,'21.10 KAPEEKA-NGOMA-24h'!I89)</f>
        <v>0</v>
      </c>
      <c r="J89" s="49">
        <f>AVERAGE('19.10 KAPEEKA-NGOMA 24h'!J89,'21.10 KAPEEKA-NGOMA-24h'!J89)</f>
        <v>0</v>
      </c>
      <c r="K89" s="49">
        <f>AVERAGE('19.10 KAPEEKA-NGOMA 24h'!K89,'21.10 KAPEEKA-NGOMA-24h'!K89)</f>
        <v>0.5</v>
      </c>
      <c r="L89" s="49">
        <f>AVERAGE('19.10 KAPEEKA-NGOMA 24h'!L89,'21.10 KAPEEKA-NGOMA-24h'!L89)</f>
        <v>0</v>
      </c>
      <c r="M89" s="49">
        <f>AVERAGE('19.10 KAPEEKA-NGOMA 24h'!M89,'21.10 KAPEEKA-NGOMA-24h'!M89)</f>
        <v>0</v>
      </c>
      <c r="N89" s="49">
        <f>AVERAGE('19.10 KAPEEKA-NGOMA 24h'!N89,'21.10 KAPEEKA-NGOMA-24h'!N89)</f>
        <v>0</v>
      </c>
      <c r="O89" s="15">
        <f t="shared" si="35"/>
        <v>0.5</v>
      </c>
      <c r="P89" s="15">
        <f t="shared" si="36"/>
        <v>0.5</v>
      </c>
      <c r="R89" s="8"/>
      <c r="T89"/>
    </row>
    <row r="90" spans="2:20" ht="23.1" customHeight="1" x14ac:dyDescent="0.25">
      <c r="B90" s="24" t="s">
        <v>130</v>
      </c>
      <c r="C90" s="49">
        <f>AVERAGE('19.10 KAPEEKA-NGOMA 24h'!C90,'21.10 KAPEEKA-NGOMA-24h'!C90)</f>
        <v>0</v>
      </c>
      <c r="D90" s="49">
        <f>AVERAGE('19.10 KAPEEKA-NGOMA 24h'!D90,'21.10 KAPEEKA-NGOMA-24h'!D90)</f>
        <v>0</v>
      </c>
      <c r="E90" s="49">
        <f>AVERAGE('19.10 KAPEEKA-NGOMA 24h'!E90,'21.10 KAPEEKA-NGOMA-24h'!E90)</f>
        <v>0</v>
      </c>
      <c r="F90" s="49">
        <f>AVERAGE('19.10 KAPEEKA-NGOMA 24h'!F90,'21.10 KAPEEKA-NGOMA-24h'!F90)</f>
        <v>0</v>
      </c>
      <c r="G90" s="49">
        <f>AVERAGE('19.10 KAPEEKA-NGOMA 24h'!G90,'21.10 KAPEEKA-NGOMA-24h'!G90)</f>
        <v>0</v>
      </c>
      <c r="H90" s="49">
        <f>AVERAGE('19.10 KAPEEKA-NGOMA 24h'!H90,'21.10 KAPEEKA-NGOMA-24h'!H90)</f>
        <v>0</v>
      </c>
      <c r="I90" s="49">
        <f>AVERAGE('19.10 KAPEEKA-NGOMA 24h'!I90,'21.10 KAPEEKA-NGOMA-24h'!I90)</f>
        <v>0</v>
      </c>
      <c r="J90" s="49">
        <f>AVERAGE('19.10 KAPEEKA-NGOMA 24h'!J90,'21.10 KAPEEKA-NGOMA-24h'!J90)</f>
        <v>0</v>
      </c>
      <c r="K90" s="49">
        <f>AVERAGE('19.10 KAPEEKA-NGOMA 24h'!K90,'21.10 KAPEEKA-NGOMA-24h'!K90)</f>
        <v>0</v>
      </c>
      <c r="L90" s="49">
        <f>AVERAGE('19.10 KAPEEKA-NGOMA 24h'!L90,'21.10 KAPEEKA-NGOMA-24h'!L90)</f>
        <v>0</v>
      </c>
      <c r="M90" s="49">
        <f>AVERAGE('19.10 KAPEEKA-NGOMA 24h'!M90,'21.10 KAPEEKA-NGOMA-24h'!M90)</f>
        <v>0</v>
      </c>
      <c r="N90" s="49">
        <f>AVERAGE('19.10 KAPEEKA-NGOMA 24h'!N90,'21.10 KAPEEKA-NGOMA-24h'!N90)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AVERAGE('19.10 KAPEEKA-NGOMA 24h'!C91,'21.10 KAPEEKA-NGOMA-24h'!C91)</f>
        <v>0</v>
      </c>
      <c r="D91" s="49">
        <f>AVERAGE('19.10 KAPEEKA-NGOMA 24h'!D91,'21.10 KAPEEKA-NGOMA-24h'!D91)</f>
        <v>0</v>
      </c>
      <c r="E91" s="49">
        <f>AVERAGE('19.10 KAPEEKA-NGOMA 24h'!E91,'21.10 KAPEEKA-NGOMA-24h'!E91)</f>
        <v>0</v>
      </c>
      <c r="F91" s="49">
        <f>AVERAGE('19.10 KAPEEKA-NGOMA 24h'!F91,'21.10 KAPEEKA-NGOMA-24h'!F91)</f>
        <v>0</v>
      </c>
      <c r="G91" s="49">
        <f>AVERAGE('19.10 KAPEEKA-NGOMA 24h'!G91,'21.10 KAPEEKA-NGOMA-24h'!G91)</f>
        <v>0</v>
      </c>
      <c r="H91" s="49">
        <f>AVERAGE('19.10 KAPEEKA-NGOMA 24h'!H91,'21.10 KAPEEKA-NGOMA-24h'!H91)</f>
        <v>0.5</v>
      </c>
      <c r="I91" s="49">
        <f>AVERAGE('19.10 KAPEEKA-NGOMA 24h'!I91,'21.10 KAPEEKA-NGOMA-24h'!I91)</f>
        <v>0</v>
      </c>
      <c r="J91" s="49">
        <f>AVERAGE('19.10 KAPEEKA-NGOMA 24h'!J91,'21.10 KAPEEKA-NGOMA-24h'!J91)</f>
        <v>0</v>
      </c>
      <c r="K91" s="49">
        <f>AVERAGE('19.10 KAPEEKA-NGOMA 24h'!K91,'21.10 KAPEEKA-NGOMA-24h'!K91)</f>
        <v>0</v>
      </c>
      <c r="L91" s="49">
        <f>AVERAGE('19.10 KAPEEKA-NGOMA 24h'!L91,'21.10 KAPEEKA-NGOMA-24h'!L91)</f>
        <v>0</v>
      </c>
      <c r="M91" s="49">
        <f>AVERAGE('19.10 KAPEEKA-NGOMA 24h'!M91,'21.10 KAPEEKA-NGOMA-24h'!M91)</f>
        <v>0</v>
      </c>
      <c r="N91" s="49">
        <f>AVERAGE('19.10 KAPEEKA-NGOMA 24h'!N91,'21.10 KAPEEKA-NGOMA-24h'!N91)</f>
        <v>0</v>
      </c>
      <c r="O91" s="15">
        <f t="shared" si="35"/>
        <v>0.5</v>
      </c>
      <c r="P91" s="15">
        <f t="shared" si="36"/>
        <v>0.5</v>
      </c>
      <c r="R91" s="8"/>
      <c r="T91"/>
    </row>
    <row r="92" spans="2:20" ht="23.1" customHeight="1" x14ac:dyDescent="0.25">
      <c r="B92" s="25" t="s">
        <v>132</v>
      </c>
      <c r="C92" s="49">
        <f>AVERAGE('19.10 KAPEEKA-NGOMA 24h'!C92,'21.10 KAPEEKA-NGOMA-24h'!C92)</f>
        <v>0</v>
      </c>
      <c r="D92" s="49">
        <f>AVERAGE('19.10 KAPEEKA-NGOMA 24h'!D92,'21.10 KAPEEKA-NGOMA-24h'!D92)</f>
        <v>0</v>
      </c>
      <c r="E92" s="49">
        <f>AVERAGE('19.10 KAPEEKA-NGOMA 24h'!E92,'21.10 KAPEEKA-NGOMA-24h'!E92)</f>
        <v>0</v>
      </c>
      <c r="F92" s="49">
        <f>AVERAGE('19.10 KAPEEKA-NGOMA 24h'!F92,'21.10 KAPEEKA-NGOMA-24h'!F92)</f>
        <v>0</v>
      </c>
      <c r="G92" s="49">
        <f>AVERAGE('19.10 KAPEEKA-NGOMA 24h'!G92,'21.10 KAPEEKA-NGOMA-24h'!G92)</f>
        <v>0</v>
      </c>
      <c r="H92" s="49">
        <f>AVERAGE('19.10 KAPEEKA-NGOMA 24h'!H92,'21.10 KAPEEKA-NGOMA-24h'!H92)</f>
        <v>0.5</v>
      </c>
      <c r="I92" s="49">
        <f>AVERAGE('19.10 KAPEEKA-NGOMA 24h'!I92,'21.10 KAPEEKA-NGOMA-24h'!I92)</f>
        <v>0</v>
      </c>
      <c r="J92" s="49">
        <f>AVERAGE('19.10 KAPEEKA-NGOMA 24h'!J92,'21.10 KAPEEKA-NGOMA-24h'!J92)</f>
        <v>0.5</v>
      </c>
      <c r="K92" s="49">
        <f>AVERAGE('19.10 KAPEEKA-NGOMA 24h'!K92,'21.10 KAPEEKA-NGOMA-24h'!K92)</f>
        <v>0</v>
      </c>
      <c r="L92" s="49">
        <f>AVERAGE('19.10 KAPEEKA-NGOMA 24h'!L92,'21.10 KAPEEKA-NGOMA-24h'!L92)</f>
        <v>0</v>
      </c>
      <c r="M92" s="49">
        <f>AVERAGE('19.10 KAPEEKA-NGOMA 24h'!M92,'21.10 KAPEEKA-NGOMA-24h'!M92)</f>
        <v>0</v>
      </c>
      <c r="N92" s="49">
        <f>AVERAGE('19.10 KAPEEKA-NGOMA 24h'!N92,'21.10 KAPEEKA-NGOMA-24h'!N92)</f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AVERAGE('19.10 KAPEEKA-NGOMA 24h'!C93,'21.10 KAPEEKA-NGOMA-24h'!C93)</f>
        <v>0.5</v>
      </c>
      <c r="D93" s="49">
        <f>AVERAGE('19.10 KAPEEKA-NGOMA 24h'!D93,'21.10 KAPEEKA-NGOMA-24h'!D93)</f>
        <v>0</v>
      </c>
      <c r="E93" s="49">
        <f>AVERAGE('19.10 KAPEEKA-NGOMA 24h'!E93,'21.10 KAPEEKA-NGOMA-24h'!E93)</f>
        <v>0</v>
      </c>
      <c r="F93" s="49">
        <f>AVERAGE('19.10 KAPEEKA-NGOMA 24h'!F93,'21.10 KAPEEKA-NGOMA-24h'!F93)</f>
        <v>0</v>
      </c>
      <c r="G93" s="49">
        <f>AVERAGE('19.10 KAPEEKA-NGOMA 24h'!G93,'21.10 KAPEEKA-NGOMA-24h'!G93)</f>
        <v>0</v>
      </c>
      <c r="H93" s="49">
        <f>AVERAGE('19.10 KAPEEKA-NGOMA 24h'!H93,'21.10 KAPEEKA-NGOMA-24h'!H93)</f>
        <v>0</v>
      </c>
      <c r="I93" s="49">
        <f>AVERAGE('19.10 KAPEEKA-NGOMA 24h'!I93,'21.10 KAPEEKA-NGOMA-24h'!I93)</f>
        <v>0.5</v>
      </c>
      <c r="J93" s="49">
        <f>AVERAGE('19.10 KAPEEKA-NGOMA 24h'!J93,'21.10 KAPEEKA-NGOMA-24h'!J93)</f>
        <v>0</v>
      </c>
      <c r="K93" s="49">
        <f>AVERAGE('19.10 KAPEEKA-NGOMA 24h'!K93,'21.10 KAPEEKA-NGOMA-24h'!K93)</f>
        <v>0.5</v>
      </c>
      <c r="L93" s="49">
        <f>AVERAGE('19.10 KAPEEKA-NGOMA 24h'!L93,'21.10 KAPEEKA-NGOMA-24h'!L93)</f>
        <v>0</v>
      </c>
      <c r="M93" s="49">
        <f>AVERAGE('19.10 KAPEEKA-NGOMA 24h'!M93,'21.10 KAPEEKA-NGOMA-24h'!M93)</f>
        <v>0</v>
      </c>
      <c r="N93" s="49">
        <f>AVERAGE('19.10 KAPEEKA-NGOMA 24h'!N93,'21.10 KAPEEKA-NGOMA-24h'!N93)</f>
        <v>0</v>
      </c>
      <c r="O93" s="15">
        <f t="shared" si="35"/>
        <v>1.5</v>
      </c>
      <c r="P93" s="15">
        <f t="shared" si="36"/>
        <v>1.5</v>
      </c>
      <c r="R93" s="8"/>
      <c r="T93"/>
    </row>
    <row r="94" spans="2:20" ht="23.1" customHeight="1" x14ac:dyDescent="0.25">
      <c r="B94" s="24" t="s">
        <v>134</v>
      </c>
      <c r="C94" s="49">
        <f>AVERAGE('19.10 KAPEEKA-NGOMA 24h'!C94,'21.10 KAPEEKA-NGOMA-24h'!C94)</f>
        <v>0</v>
      </c>
      <c r="D94" s="49">
        <f>AVERAGE('19.10 KAPEEKA-NGOMA 24h'!D94,'21.10 KAPEEKA-NGOMA-24h'!D94)</f>
        <v>0</v>
      </c>
      <c r="E94" s="49">
        <f>AVERAGE('19.10 KAPEEKA-NGOMA 24h'!E94,'21.10 KAPEEKA-NGOMA-24h'!E94)</f>
        <v>0</v>
      </c>
      <c r="F94" s="49">
        <f>AVERAGE('19.10 KAPEEKA-NGOMA 24h'!F94,'21.10 KAPEEKA-NGOMA-24h'!F94)</f>
        <v>0</v>
      </c>
      <c r="G94" s="49">
        <f>AVERAGE('19.10 KAPEEKA-NGOMA 24h'!G94,'21.10 KAPEEKA-NGOMA-24h'!G94)</f>
        <v>0</v>
      </c>
      <c r="H94" s="49">
        <f>AVERAGE('19.10 KAPEEKA-NGOMA 24h'!H94,'21.10 KAPEEKA-NGOMA-24h'!H94)</f>
        <v>0</v>
      </c>
      <c r="I94" s="49">
        <f>AVERAGE('19.10 KAPEEKA-NGOMA 24h'!I94,'21.10 KAPEEKA-NGOMA-24h'!I94)</f>
        <v>0</v>
      </c>
      <c r="J94" s="49">
        <f>AVERAGE('19.10 KAPEEKA-NGOMA 24h'!J94,'21.10 KAPEEKA-NGOMA-24h'!J94)</f>
        <v>0</v>
      </c>
      <c r="K94" s="49">
        <f>AVERAGE('19.10 KAPEEKA-NGOMA 24h'!K94,'21.10 KAPEEKA-NGOMA-24h'!K94)</f>
        <v>0</v>
      </c>
      <c r="L94" s="49">
        <f>AVERAGE('19.10 KAPEEKA-NGOMA 24h'!L94,'21.10 KAPEEKA-NGOMA-24h'!L94)</f>
        <v>0</v>
      </c>
      <c r="M94" s="49">
        <f>AVERAGE('19.10 KAPEEKA-NGOMA 24h'!M94,'21.10 KAPEEKA-NGOMA-24h'!M94)</f>
        <v>1</v>
      </c>
      <c r="N94" s="49">
        <f>AVERAGE('19.10 KAPEEKA-NGOMA 24h'!N94,'21.10 KAPEEKA-NGOMA-24h'!N94)</f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23" t="s">
        <v>135</v>
      </c>
      <c r="C95" s="49">
        <f>AVERAGE('19.10 KAPEEKA-NGOMA 24h'!C95,'21.10 KAPEEKA-NGOMA-24h'!C95)</f>
        <v>0</v>
      </c>
      <c r="D95" s="49">
        <f>AVERAGE('19.10 KAPEEKA-NGOMA 24h'!D95,'21.10 KAPEEKA-NGOMA-24h'!D95)</f>
        <v>0</v>
      </c>
      <c r="E95" s="49">
        <f>AVERAGE('19.10 KAPEEKA-NGOMA 24h'!E95,'21.10 KAPEEKA-NGOMA-24h'!E95)</f>
        <v>0</v>
      </c>
      <c r="F95" s="49">
        <f>AVERAGE('19.10 KAPEEKA-NGOMA 24h'!F95,'21.10 KAPEEKA-NGOMA-24h'!F95)</f>
        <v>0</v>
      </c>
      <c r="G95" s="49">
        <f>AVERAGE('19.10 KAPEEKA-NGOMA 24h'!G95,'21.10 KAPEEKA-NGOMA-24h'!G95)</f>
        <v>0</v>
      </c>
      <c r="H95" s="49">
        <f>AVERAGE('19.10 KAPEEKA-NGOMA 24h'!H95,'21.10 KAPEEKA-NGOMA-24h'!H95)</f>
        <v>0</v>
      </c>
      <c r="I95" s="49">
        <f>AVERAGE('19.10 KAPEEKA-NGOMA 24h'!I95,'21.10 KAPEEKA-NGOMA-24h'!I95)</f>
        <v>1</v>
      </c>
      <c r="J95" s="49">
        <f>AVERAGE('19.10 KAPEEKA-NGOMA 24h'!J95,'21.10 KAPEEKA-NGOMA-24h'!J95)</f>
        <v>0</v>
      </c>
      <c r="K95" s="49">
        <f>AVERAGE('19.10 KAPEEKA-NGOMA 24h'!K95,'21.10 KAPEEKA-NGOMA-24h'!K95)</f>
        <v>0</v>
      </c>
      <c r="L95" s="49">
        <f>AVERAGE('19.10 KAPEEKA-NGOMA 24h'!L95,'21.10 KAPEEKA-NGOMA-24h'!L95)</f>
        <v>0</v>
      </c>
      <c r="M95" s="49">
        <f>AVERAGE('19.10 KAPEEKA-NGOMA 24h'!M95,'21.10 KAPEEKA-NGOMA-24h'!M95)</f>
        <v>0.5</v>
      </c>
      <c r="N95" s="49">
        <f>AVERAGE('19.10 KAPEEKA-NGOMA 24h'!N95,'21.10 KAPEEKA-NGOMA-24h'!N95)</f>
        <v>0</v>
      </c>
      <c r="O95" s="15">
        <f t="shared" si="35"/>
        <v>1</v>
      </c>
      <c r="P95" s="15">
        <f t="shared" si="36"/>
        <v>1.5</v>
      </c>
      <c r="R95" s="8"/>
      <c r="T95"/>
    </row>
    <row r="96" spans="2:20" ht="23.1" customHeight="1" x14ac:dyDescent="0.25">
      <c r="B96" s="25" t="s">
        <v>136</v>
      </c>
      <c r="C96" s="49">
        <f>AVERAGE('19.10 KAPEEKA-NGOMA 24h'!C96,'21.10 KAPEEKA-NGOMA-24h'!C96)</f>
        <v>0</v>
      </c>
      <c r="D96" s="49">
        <f>AVERAGE('19.10 KAPEEKA-NGOMA 24h'!D96,'21.10 KAPEEKA-NGOMA-24h'!D96)</f>
        <v>0</v>
      </c>
      <c r="E96" s="49">
        <f>AVERAGE('19.10 KAPEEKA-NGOMA 24h'!E96,'21.10 KAPEEKA-NGOMA-24h'!E96)</f>
        <v>0</v>
      </c>
      <c r="F96" s="49">
        <f>AVERAGE('19.10 KAPEEKA-NGOMA 24h'!F96,'21.10 KAPEEKA-NGOMA-24h'!F96)</f>
        <v>0</v>
      </c>
      <c r="G96" s="49">
        <f>AVERAGE('19.10 KAPEEKA-NGOMA 24h'!G96,'21.10 KAPEEKA-NGOMA-24h'!G96)</f>
        <v>0</v>
      </c>
      <c r="H96" s="49">
        <f>AVERAGE('19.10 KAPEEKA-NGOMA 24h'!H96,'21.10 KAPEEKA-NGOMA-24h'!H96)</f>
        <v>0</v>
      </c>
      <c r="I96" s="49">
        <f>AVERAGE('19.10 KAPEEKA-NGOMA 24h'!I96,'21.10 KAPEEKA-NGOMA-24h'!I96)</f>
        <v>0</v>
      </c>
      <c r="J96" s="49">
        <f>AVERAGE('19.10 KAPEEKA-NGOMA 24h'!J96,'21.10 KAPEEKA-NGOMA-24h'!J96)</f>
        <v>0</v>
      </c>
      <c r="K96" s="49">
        <f>AVERAGE('19.10 KAPEEKA-NGOMA 24h'!K96,'21.10 KAPEEKA-NGOMA-24h'!K96)</f>
        <v>0</v>
      </c>
      <c r="L96" s="49">
        <f>AVERAGE('19.10 KAPEEKA-NGOMA 24h'!L96,'21.10 KAPEEKA-NGOMA-24h'!L96)</f>
        <v>0</v>
      </c>
      <c r="M96" s="49">
        <f>AVERAGE('19.10 KAPEEKA-NGOMA 24h'!M96,'21.10 KAPEEKA-NGOMA-24h'!M96)</f>
        <v>0</v>
      </c>
      <c r="N96" s="49">
        <f>AVERAGE('19.10 KAPEEKA-NGOMA 24h'!N96,'21.10 KAPEEKA-NGOMA-24h'!N96)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49">
        <f>AVERAGE('19.10 KAPEEKA-NGOMA 24h'!C97,'21.10 KAPEEKA-NGOMA-24h'!C97)</f>
        <v>0</v>
      </c>
      <c r="D97" s="49">
        <f>AVERAGE('19.10 KAPEEKA-NGOMA 24h'!D97,'21.10 KAPEEKA-NGOMA-24h'!D97)</f>
        <v>0</v>
      </c>
      <c r="E97" s="49">
        <f>AVERAGE('19.10 KAPEEKA-NGOMA 24h'!E97,'21.10 KAPEEKA-NGOMA-24h'!E97)</f>
        <v>0.5</v>
      </c>
      <c r="F97" s="49">
        <f>AVERAGE('19.10 KAPEEKA-NGOMA 24h'!F97,'21.10 KAPEEKA-NGOMA-24h'!F97)</f>
        <v>0</v>
      </c>
      <c r="G97" s="49">
        <f>AVERAGE('19.10 KAPEEKA-NGOMA 24h'!G97,'21.10 KAPEEKA-NGOMA-24h'!G97)</f>
        <v>0</v>
      </c>
      <c r="H97" s="49">
        <f>AVERAGE('19.10 KAPEEKA-NGOMA 24h'!H97,'21.10 KAPEEKA-NGOMA-24h'!H97)</f>
        <v>0</v>
      </c>
      <c r="I97" s="49">
        <f>AVERAGE('19.10 KAPEEKA-NGOMA 24h'!I97,'21.10 KAPEEKA-NGOMA-24h'!I97)</f>
        <v>0</v>
      </c>
      <c r="J97" s="49">
        <f>AVERAGE('19.10 KAPEEKA-NGOMA 24h'!J97,'21.10 KAPEEKA-NGOMA-24h'!J97)</f>
        <v>0</v>
      </c>
      <c r="K97" s="49">
        <f>AVERAGE('19.10 KAPEEKA-NGOMA 24h'!K97,'21.10 KAPEEKA-NGOMA-24h'!K97)</f>
        <v>0</v>
      </c>
      <c r="L97" s="49">
        <f>AVERAGE('19.10 KAPEEKA-NGOMA 24h'!L97,'21.10 KAPEEKA-NGOMA-24h'!L97)</f>
        <v>0</v>
      </c>
      <c r="M97" s="49">
        <f>AVERAGE('19.10 KAPEEKA-NGOMA 24h'!M97,'21.10 KAPEEKA-NGOMA-24h'!M97)</f>
        <v>1.5</v>
      </c>
      <c r="N97" s="49">
        <f>AVERAGE('19.10 KAPEEKA-NGOMA 24h'!N97,'21.10 KAPEEKA-NGOMA-24h'!N97)</f>
        <v>0</v>
      </c>
      <c r="O97" s="15">
        <f t="shared" si="35"/>
        <v>0.5</v>
      </c>
      <c r="P97" s="15">
        <f t="shared" si="36"/>
        <v>2</v>
      </c>
      <c r="R97" s="8"/>
      <c r="T97"/>
    </row>
    <row r="98" spans="2:20" ht="23.1" customHeight="1" x14ac:dyDescent="0.25">
      <c r="B98" s="24" t="s">
        <v>138</v>
      </c>
      <c r="C98" s="49">
        <f>AVERAGE('19.10 KAPEEKA-NGOMA 24h'!C98,'21.10 KAPEEKA-NGOMA-24h'!C98)</f>
        <v>1</v>
      </c>
      <c r="D98" s="49">
        <f>AVERAGE('19.10 KAPEEKA-NGOMA 24h'!D98,'21.10 KAPEEKA-NGOMA-24h'!D98)</f>
        <v>0</v>
      </c>
      <c r="E98" s="49">
        <f>AVERAGE('19.10 KAPEEKA-NGOMA 24h'!E98,'21.10 KAPEEKA-NGOMA-24h'!E98)</f>
        <v>0</v>
      </c>
      <c r="F98" s="49">
        <f>AVERAGE('19.10 KAPEEKA-NGOMA 24h'!F98,'21.10 KAPEEKA-NGOMA-24h'!F98)</f>
        <v>0</v>
      </c>
      <c r="G98" s="49">
        <f>AVERAGE('19.10 KAPEEKA-NGOMA 24h'!G98,'21.10 KAPEEKA-NGOMA-24h'!G98)</f>
        <v>0</v>
      </c>
      <c r="H98" s="49">
        <f>AVERAGE('19.10 KAPEEKA-NGOMA 24h'!H98,'21.10 KAPEEKA-NGOMA-24h'!H98)</f>
        <v>0</v>
      </c>
      <c r="I98" s="49">
        <f>AVERAGE('19.10 KAPEEKA-NGOMA 24h'!I98,'21.10 KAPEEKA-NGOMA-24h'!I98)</f>
        <v>0.5</v>
      </c>
      <c r="J98" s="49">
        <f>AVERAGE('19.10 KAPEEKA-NGOMA 24h'!J98,'21.10 KAPEEKA-NGOMA-24h'!J98)</f>
        <v>0</v>
      </c>
      <c r="K98" s="49">
        <f>AVERAGE('19.10 KAPEEKA-NGOMA 24h'!K98,'21.10 KAPEEKA-NGOMA-24h'!K98)</f>
        <v>0</v>
      </c>
      <c r="L98" s="49">
        <f>AVERAGE('19.10 KAPEEKA-NGOMA 24h'!L98,'21.10 KAPEEKA-NGOMA-24h'!L98)</f>
        <v>0</v>
      </c>
      <c r="M98" s="49">
        <f>AVERAGE('19.10 KAPEEKA-NGOMA 24h'!M98,'21.10 KAPEEKA-NGOMA-24h'!M98)</f>
        <v>0.5</v>
      </c>
      <c r="N98" s="49">
        <f>AVERAGE('19.10 KAPEEKA-NGOMA 24h'!N98,'21.10 KAPEEKA-NGOMA-24h'!N98)</f>
        <v>0</v>
      </c>
      <c r="O98" s="15">
        <f t="shared" si="35"/>
        <v>1.5</v>
      </c>
      <c r="P98" s="15">
        <f t="shared" si="36"/>
        <v>2</v>
      </c>
      <c r="R98" s="8"/>
      <c r="T98"/>
    </row>
    <row r="99" spans="2:20" ht="23.1" customHeight="1" x14ac:dyDescent="0.25">
      <c r="B99" s="23" t="s">
        <v>139</v>
      </c>
      <c r="C99" s="49">
        <f>AVERAGE('19.10 KAPEEKA-NGOMA 24h'!C99,'21.10 KAPEEKA-NGOMA-24h'!C99)</f>
        <v>0</v>
      </c>
      <c r="D99" s="49">
        <f>AVERAGE('19.10 KAPEEKA-NGOMA 24h'!D99,'21.10 KAPEEKA-NGOMA-24h'!D99)</f>
        <v>0</v>
      </c>
      <c r="E99" s="49">
        <f>AVERAGE('19.10 KAPEEKA-NGOMA 24h'!E99,'21.10 KAPEEKA-NGOMA-24h'!E99)</f>
        <v>0</v>
      </c>
      <c r="F99" s="49">
        <f>AVERAGE('19.10 KAPEEKA-NGOMA 24h'!F99,'21.10 KAPEEKA-NGOMA-24h'!F99)</f>
        <v>1</v>
      </c>
      <c r="G99" s="49">
        <f>AVERAGE('19.10 KAPEEKA-NGOMA 24h'!G99,'21.10 KAPEEKA-NGOMA-24h'!G99)</f>
        <v>0</v>
      </c>
      <c r="H99" s="49">
        <f>AVERAGE('19.10 KAPEEKA-NGOMA 24h'!H99,'21.10 KAPEEKA-NGOMA-24h'!H99)</f>
        <v>0</v>
      </c>
      <c r="I99" s="49">
        <f>AVERAGE('19.10 KAPEEKA-NGOMA 24h'!I99,'21.10 KAPEEKA-NGOMA-24h'!I99)</f>
        <v>0</v>
      </c>
      <c r="J99" s="49">
        <f>AVERAGE('19.10 KAPEEKA-NGOMA 24h'!J99,'21.10 KAPEEKA-NGOMA-24h'!J99)</f>
        <v>0.5</v>
      </c>
      <c r="K99" s="49">
        <f>AVERAGE('19.10 KAPEEKA-NGOMA 24h'!K99,'21.10 KAPEEKA-NGOMA-24h'!K99)</f>
        <v>0</v>
      </c>
      <c r="L99" s="49">
        <f>AVERAGE('19.10 KAPEEKA-NGOMA 24h'!L99,'21.10 KAPEEKA-NGOMA-24h'!L99)</f>
        <v>0</v>
      </c>
      <c r="M99" s="49">
        <f>AVERAGE('19.10 KAPEEKA-NGOMA 24h'!M99,'21.10 KAPEEKA-NGOMA-24h'!M99)</f>
        <v>1</v>
      </c>
      <c r="N99" s="49">
        <f>AVERAGE('19.10 KAPEEKA-NGOMA 24h'!N99,'21.10 KAPEEKA-NGOMA-24h'!N99)</f>
        <v>0</v>
      </c>
      <c r="O99" s="15">
        <f t="shared" si="35"/>
        <v>1.5</v>
      </c>
      <c r="P99" s="15">
        <f t="shared" si="36"/>
        <v>2.5</v>
      </c>
      <c r="R99" s="8"/>
      <c r="T99"/>
    </row>
    <row r="100" spans="2:20" ht="23.1" customHeight="1" x14ac:dyDescent="0.25">
      <c r="B100" s="25" t="s">
        <v>140</v>
      </c>
      <c r="C100" s="49">
        <f>AVERAGE('19.10 KAPEEKA-NGOMA 24h'!C100,'21.10 KAPEEKA-NGOMA-24h'!C100)</f>
        <v>1</v>
      </c>
      <c r="D100" s="49">
        <f>AVERAGE('19.10 KAPEEKA-NGOMA 24h'!D100,'21.10 KAPEEKA-NGOMA-24h'!D100)</f>
        <v>0</v>
      </c>
      <c r="E100" s="49">
        <f>AVERAGE('19.10 KAPEEKA-NGOMA 24h'!E100,'21.10 KAPEEKA-NGOMA-24h'!E100)</f>
        <v>0</v>
      </c>
      <c r="F100" s="49">
        <f>AVERAGE('19.10 KAPEEKA-NGOMA 24h'!F100,'21.10 KAPEEKA-NGOMA-24h'!F100)</f>
        <v>0</v>
      </c>
      <c r="G100" s="49">
        <f>AVERAGE('19.10 KAPEEKA-NGOMA 24h'!G100,'21.10 KAPEEKA-NGOMA-24h'!G100)</f>
        <v>0</v>
      </c>
      <c r="H100" s="49">
        <f>AVERAGE('19.10 KAPEEKA-NGOMA 24h'!H100,'21.10 KAPEEKA-NGOMA-24h'!H100)</f>
        <v>0</v>
      </c>
      <c r="I100" s="49">
        <f>AVERAGE('19.10 KAPEEKA-NGOMA 24h'!I100,'21.10 KAPEEKA-NGOMA-24h'!I100)</f>
        <v>1</v>
      </c>
      <c r="J100" s="49">
        <f>AVERAGE('19.10 KAPEEKA-NGOMA 24h'!J100,'21.10 KAPEEKA-NGOMA-24h'!J100)</f>
        <v>0</v>
      </c>
      <c r="K100" s="49">
        <f>AVERAGE('19.10 KAPEEKA-NGOMA 24h'!K100,'21.10 KAPEEKA-NGOMA-24h'!K100)</f>
        <v>0</v>
      </c>
      <c r="L100" s="49">
        <f>AVERAGE('19.10 KAPEEKA-NGOMA 24h'!L100,'21.10 KAPEEKA-NGOMA-24h'!L100)</f>
        <v>0</v>
      </c>
      <c r="M100" s="49">
        <f>AVERAGE('19.10 KAPEEKA-NGOMA 24h'!M100,'21.10 KAPEEKA-NGOMA-24h'!M100)</f>
        <v>0.5</v>
      </c>
      <c r="N100" s="49">
        <f>AVERAGE('19.10 KAPEEKA-NGOMA 24h'!N100,'21.10 KAPEEKA-NGOMA-24h'!N100)</f>
        <v>0</v>
      </c>
      <c r="O100" s="15">
        <f t="shared" si="35"/>
        <v>2</v>
      </c>
      <c r="P100" s="15">
        <f t="shared" si="36"/>
        <v>2.5</v>
      </c>
      <c r="R100" s="8"/>
      <c r="T100"/>
    </row>
    <row r="101" spans="2:20" ht="23.1" customHeight="1" x14ac:dyDescent="0.25">
      <c r="B101" s="23" t="s">
        <v>141</v>
      </c>
      <c r="C101" s="49">
        <f>AVERAGE('19.10 KAPEEKA-NGOMA 24h'!C101,'21.10 KAPEEKA-NGOMA-24h'!C101)</f>
        <v>0</v>
      </c>
      <c r="D101" s="49">
        <f>AVERAGE('19.10 KAPEEKA-NGOMA 24h'!D101,'21.10 KAPEEKA-NGOMA-24h'!D101)</f>
        <v>0</v>
      </c>
      <c r="E101" s="49">
        <f>AVERAGE('19.10 KAPEEKA-NGOMA 24h'!E101,'21.10 KAPEEKA-NGOMA-24h'!E101)</f>
        <v>0</v>
      </c>
      <c r="F101" s="49">
        <f>AVERAGE('19.10 KAPEEKA-NGOMA 24h'!F101,'21.10 KAPEEKA-NGOMA-24h'!F101)</f>
        <v>0</v>
      </c>
      <c r="G101" s="49">
        <f>AVERAGE('19.10 KAPEEKA-NGOMA 24h'!G101,'21.10 KAPEEKA-NGOMA-24h'!G101)</f>
        <v>0</v>
      </c>
      <c r="H101" s="49">
        <f>AVERAGE('19.10 KAPEEKA-NGOMA 24h'!H101,'21.10 KAPEEKA-NGOMA-24h'!H101)</f>
        <v>0</v>
      </c>
      <c r="I101" s="49">
        <f>AVERAGE('19.10 KAPEEKA-NGOMA 24h'!I101,'21.10 KAPEEKA-NGOMA-24h'!I101)</f>
        <v>0.5</v>
      </c>
      <c r="J101" s="49">
        <f>AVERAGE('19.10 KAPEEKA-NGOMA 24h'!J101,'21.10 KAPEEKA-NGOMA-24h'!J101)</f>
        <v>0.5</v>
      </c>
      <c r="K101" s="49">
        <f>AVERAGE('19.10 KAPEEKA-NGOMA 24h'!K101,'21.10 KAPEEKA-NGOMA-24h'!K101)</f>
        <v>0</v>
      </c>
      <c r="L101" s="49">
        <f>AVERAGE('19.10 KAPEEKA-NGOMA 24h'!L101,'21.10 KAPEEKA-NGOMA-24h'!L101)</f>
        <v>0</v>
      </c>
      <c r="M101" s="49">
        <f>AVERAGE('19.10 KAPEEKA-NGOMA 24h'!M101,'21.10 KAPEEKA-NGOMA-24h'!M101)</f>
        <v>2</v>
      </c>
      <c r="N101" s="49">
        <f>AVERAGE('19.10 KAPEEKA-NGOMA 24h'!N101,'21.10 KAPEEKA-NGOMA-24h'!N101)</f>
        <v>0</v>
      </c>
      <c r="O101" s="15">
        <f t="shared" si="35"/>
        <v>1</v>
      </c>
      <c r="P101" s="15">
        <f t="shared" si="36"/>
        <v>3</v>
      </c>
      <c r="R101" s="8"/>
      <c r="T101"/>
    </row>
    <row r="102" spans="2:20" ht="23.1" customHeight="1" x14ac:dyDescent="0.25">
      <c r="B102" s="24" t="s">
        <v>142</v>
      </c>
      <c r="C102" s="49">
        <f>AVERAGE('19.10 KAPEEKA-NGOMA 24h'!C102,'21.10 KAPEEKA-NGOMA-24h'!C102)</f>
        <v>1</v>
      </c>
      <c r="D102" s="49">
        <f>AVERAGE('19.10 KAPEEKA-NGOMA 24h'!D102,'21.10 KAPEEKA-NGOMA-24h'!D102)</f>
        <v>0</v>
      </c>
      <c r="E102" s="49">
        <f>AVERAGE('19.10 KAPEEKA-NGOMA 24h'!E102,'21.10 KAPEEKA-NGOMA-24h'!E102)</f>
        <v>0</v>
      </c>
      <c r="F102" s="49">
        <f>AVERAGE('19.10 KAPEEKA-NGOMA 24h'!F102,'21.10 KAPEEKA-NGOMA-24h'!F102)</f>
        <v>1</v>
      </c>
      <c r="G102" s="49">
        <f>AVERAGE('19.10 KAPEEKA-NGOMA 24h'!G102,'21.10 KAPEEKA-NGOMA-24h'!G102)</f>
        <v>0</v>
      </c>
      <c r="H102" s="49">
        <f>AVERAGE('19.10 KAPEEKA-NGOMA 24h'!H102,'21.10 KAPEEKA-NGOMA-24h'!H102)</f>
        <v>0</v>
      </c>
      <c r="I102" s="49">
        <f>AVERAGE('19.10 KAPEEKA-NGOMA 24h'!I102,'21.10 KAPEEKA-NGOMA-24h'!I102)</f>
        <v>0</v>
      </c>
      <c r="J102" s="49">
        <f>AVERAGE('19.10 KAPEEKA-NGOMA 24h'!J102,'21.10 KAPEEKA-NGOMA-24h'!J102)</f>
        <v>0.5</v>
      </c>
      <c r="K102" s="49">
        <f>AVERAGE('19.10 KAPEEKA-NGOMA 24h'!K102,'21.10 KAPEEKA-NGOMA-24h'!K102)</f>
        <v>0</v>
      </c>
      <c r="L102" s="49">
        <f>AVERAGE('19.10 KAPEEKA-NGOMA 24h'!L102,'21.10 KAPEEKA-NGOMA-24h'!L102)</f>
        <v>0</v>
      </c>
      <c r="M102" s="49">
        <f>AVERAGE('19.10 KAPEEKA-NGOMA 24h'!M102,'21.10 KAPEEKA-NGOMA-24h'!M102)</f>
        <v>1.5</v>
      </c>
      <c r="N102" s="49">
        <f>AVERAGE('19.10 KAPEEKA-NGOMA 24h'!N102,'21.10 KAPEEKA-NGOMA-24h'!N102)</f>
        <v>0</v>
      </c>
      <c r="O102" s="15">
        <f t="shared" si="35"/>
        <v>2.5</v>
      </c>
      <c r="P102" s="15">
        <f t="shared" si="36"/>
        <v>4</v>
      </c>
      <c r="R102" s="8"/>
      <c r="T102"/>
    </row>
    <row r="103" spans="2:20" ht="23.1" customHeight="1" x14ac:dyDescent="0.25">
      <c r="B103" s="23" t="s">
        <v>143</v>
      </c>
      <c r="C103" s="49">
        <f>AVERAGE('19.10 KAPEEKA-NGOMA 24h'!C103,'21.10 KAPEEKA-NGOMA-24h'!C103)</f>
        <v>0</v>
      </c>
      <c r="D103" s="49">
        <f>AVERAGE('19.10 KAPEEKA-NGOMA 24h'!D103,'21.10 KAPEEKA-NGOMA-24h'!D103)</f>
        <v>0</v>
      </c>
      <c r="E103" s="49">
        <f>AVERAGE('19.10 KAPEEKA-NGOMA 24h'!E103,'21.10 KAPEEKA-NGOMA-24h'!E103)</f>
        <v>0.5</v>
      </c>
      <c r="F103" s="49">
        <f>AVERAGE('19.10 KAPEEKA-NGOMA 24h'!F103,'21.10 KAPEEKA-NGOMA-24h'!F103)</f>
        <v>0</v>
      </c>
      <c r="G103" s="49">
        <f>AVERAGE('19.10 KAPEEKA-NGOMA 24h'!G103,'21.10 KAPEEKA-NGOMA-24h'!G103)</f>
        <v>0</v>
      </c>
      <c r="H103" s="49">
        <f>AVERAGE('19.10 KAPEEKA-NGOMA 24h'!H103,'21.10 KAPEEKA-NGOMA-24h'!H103)</f>
        <v>0</v>
      </c>
      <c r="I103" s="49">
        <f>AVERAGE('19.10 KAPEEKA-NGOMA 24h'!I103,'21.10 KAPEEKA-NGOMA-24h'!I103)</f>
        <v>0</v>
      </c>
      <c r="J103" s="49">
        <f>AVERAGE('19.10 KAPEEKA-NGOMA 24h'!J103,'21.10 KAPEEKA-NGOMA-24h'!J103)</f>
        <v>0</v>
      </c>
      <c r="K103" s="49">
        <f>AVERAGE('19.10 KAPEEKA-NGOMA 24h'!K103,'21.10 KAPEEKA-NGOMA-24h'!K103)</f>
        <v>0</v>
      </c>
      <c r="L103" s="49">
        <f>AVERAGE('19.10 KAPEEKA-NGOMA 24h'!L103,'21.10 KAPEEKA-NGOMA-24h'!L103)</f>
        <v>0</v>
      </c>
      <c r="M103" s="49">
        <f>AVERAGE('19.10 KAPEEKA-NGOMA 24h'!M103,'21.10 KAPEEKA-NGOMA-24h'!M103)</f>
        <v>2</v>
      </c>
      <c r="N103" s="49">
        <f>AVERAGE('19.10 KAPEEKA-NGOMA 24h'!N103,'21.10 KAPEEKA-NGOMA-24h'!N103)</f>
        <v>0</v>
      </c>
      <c r="O103" s="15">
        <f t="shared" si="35"/>
        <v>0.5</v>
      </c>
      <c r="P103" s="15">
        <f t="shared" si="36"/>
        <v>2.5</v>
      </c>
      <c r="R103" s="8"/>
      <c r="T103"/>
    </row>
    <row r="104" spans="2:20" ht="23.1" customHeight="1" x14ac:dyDescent="0.25">
      <c r="B104" s="25" t="s">
        <v>144</v>
      </c>
      <c r="C104" s="49">
        <f>AVERAGE('19.10 KAPEEKA-NGOMA 24h'!C104,'21.10 KAPEEKA-NGOMA-24h'!C104)</f>
        <v>0</v>
      </c>
      <c r="D104" s="49">
        <f>AVERAGE('19.10 KAPEEKA-NGOMA 24h'!D104,'21.10 KAPEEKA-NGOMA-24h'!D104)</f>
        <v>0.5</v>
      </c>
      <c r="E104" s="49">
        <f>AVERAGE('19.10 KAPEEKA-NGOMA 24h'!E104,'21.10 KAPEEKA-NGOMA-24h'!E104)</f>
        <v>0</v>
      </c>
      <c r="F104" s="49">
        <f>AVERAGE('19.10 KAPEEKA-NGOMA 24h'!F104,'21.10 KAPEEKA-NGOMA-24h'!F104)</f>
        <v>0.5</v>
      </c>
      <c r="G104" s="49">
        <f>AVERAGE('19.10 KAPEEKA-NGOMA 24h'!G104,'21.10 KAPEEKA-NGOMA-24h'!G104)</f>
        <v>0</v>
      </c>
      <c r="H104" s="49">
        <f>AVERAGE('19.10 KAPEEKA-NGOMA 24h'!H104,'21.10 KAPEEKA-NGOMA-24h'!H104)</f>
        <v>0</v>
      </c>
      <c r="I104" s="49">
        <f>AVERAGE('19.10 KAPEEKA-NGOMA 24h'!I104,'21.10 KAPEEKA-NGOMA-24h'!I104)</f>
        <v>0.5</v>
      </c>
      <c r="J104" s="49">
        <f>AVERAGE('19.10 KAPEEKA-NGOMA 24h'!J104,'21.10 KAPEEKA-NGOMA-24h'!J104)</f>
        <v>0</v>
      </c>
      <c r="K104" s="49">
        <f>AVERAGE('19.10 KAPEEKA-NGOMA 24h'!K104,'21.10 KAPEEKA-NGOMA-24h'!K104)</f>
        <v>0</v>
      </c>
      <c r="L104" s="49">
        <f>AVERAGE('19.10 KAPEEKA-NGOMA 24h'!L104,'21.10 KAPEEKA-NGOMA-24h'!L104)</f>
        <v>0</v>
      </c>
      <c r="M104" s="49">
        <f>AVERAGE('19.10 KAPEEKA-NGOMA 24h'!M104,'21.10 KAPEEKA-NGOMA-24h'!M104)</f>
        <v>3</v>
      </c>
      <c r="N104" s="49">
        <f>AVERAGE('19.10 KAPEEKA-NGOMA 24h'!N104,'21.10 KAPEEKA-NGOMA-24h'!N104)</f>
        <v>0</v>
      </c>
      <c r="O104" s="15">
        <f t="shared" si="35"/>
        <v>1.5</v>
      </c>
      <c r="P104" s="15">
        <f t="shared" si="36"/>
        <v>4.5</v>
      </c>
      <c r="R104" s="8"/>
      <c r="T104"/>
    </row>
    <row r="105" spans="2:20" ht="23.1" customHeight="1" x14ac:dyDescent="0.25">
      <c r="B105" s="23" t="s">
        <v>145</v>
      </c>
      <c r="C105" s="49">
        <f>AVERAGE('19.10 KAPEEKA-NGOMA 24h'!C105,'21.10 KAPEEKA-NGOMA-24h'!C105)</f>
        <v>0</v>
      </c>
      <c r="D105" s="49">
        <f>AVERAGE('19.10 KAPEEKA-NGOMA 24h'!D105,'21.10 KAPEEKA-NGOMA-24h'!D105)</f>
        <v>0</v>
      </c>
      <c r="E105" s="49">
        <f>AVERAGE('19.10 KAPEEKA-NGOMA 24h'!E105,'21.10 KAPEEKA-NGOMA-24h'!E105)</f>
        <v>0</v>
      </c>
      <c r="F105" s="49">
        <f>AVERAGE('19.10 KAPEEKA-NGOMA 24h'!F105,'21.10 KAPEEKA-NGOMA-24h'!F105)</f>
        <v>0</v>
      </c>
      <c r="G105" s="49">
        <f>AVERAGE('19.10 KAPEEKA-NGOMA 24h'!G105,'21.10 KAPEEKA-NGOMA-24h'!G105)</f>
        <v>0</v>
      </c>
      <c r="H105" s="49">
        <f>AVERAGE('19.10 KAPEEKA-NGOMA 24h'!H105,'21.10 KAPEEKA-NGOMA-24h'!H105)</f>
        <v>0</v>
      </c>
      <c r="I105" s="49">
        <f>AVERAGE('19.10 KAPEEKA-NGOMA 24h'!I105,'21.10 KAPEEKA-NGOMA-24h'!I105)</f>
        <v>0</v>
      </c>
      <c r="J105" s="49">
        <f>AVERAGE('19.10 KAPEEKA-NGOMA 24h'!J105,'21.10 KAPEEKA-NGOMA-24h'!J105)</f>
        <v>0</v>
      </c>
      <c r="K105" s="49">
        <f>AVERAGE('19.10 KAPEEKA-NGOMA 24h'!K105,'21.10 KAPEEKA-NGOMA-24h'!K105)</f>
        <v>0</v>
      </c>
      <c r="L105" s="49">
        <f>AVERAGE('19.10 KAPEEKA-NGOMA 24h'!L105,'21.10 KAPEEKA-NGOMA-24h'!L105)</f>
        <v>0</v>
      </c>
      <c r="M105" s="49">
        <f>AVERAGE('19.10 KAPEEKA-NGOMA 24h'!M105,'21.10 KAPEEKA-NGOMA-24h'!M105)</f>
        <v>0</v>
      </c>
      <c r="N105" s="49">
        <f>AVERAGE('19.10 KAPEEKA-NGOMA 24h'!N105,'21.10 KAPEEKA-NGOMA-24h'!N105)</f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47.785714285714292</v>
      </c>
      <c r="D106" s="16">
        <f t="shared" ref="D106:P106" si="37">SUM(D10:D105)</f>
        <v>10.142857142857146</v>
      </c>
      <c r="E106" s="16">
        <f t="shared" si="37"/>
        <v>18.357142857142861</v>
      </c>
      <c r="F106" s="16">
        <f t="shared" si="37"/>
        <v>26.857142857142858</v>
      </c>
      <c r="G106" s="16">
        <f t="shared" si="37"/>
        <v>0.5714285714285714</v>
      </c>
      <c r="H106" s="16">
        <f t="shared" si="37"/>
        <v>1</v>
      </c>
      <c r="I106" s="16">
        <f t="shared" si="37"/>
        <v>46.499999999999993</v>
      </c>
      <c r="J106" s="16">
        <f t="shared" si="37"/>
        <v>19.071428571428569</v>
      </c>
      <c r="K106" s="16">
        <f t="shared" si="37"/>
        <v>3.2857142857142856</v>
      </c>
      <c r="L106" s="16">
        <f t="shared" si="37"/>
        <v>1.7857142857142856</v>
      </c>
      <c r="M106" s="16">
        <f t="shared" si="37"/>
        <v>274.92857142857144</v>
      </c>
      <c r="N106" s="16">
        <f t="shared" si="37"/>
        <v>0.71428571428571419</v>
      </c>
      <c r="O106" s="16">
        <f t="shared" si="37"/>
        <v>176.07142857142858</v>
      </c>
      <c r="P106" s="16">
        <f t="shared" si="37"/>
        <v>451.00000000000006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0.10595502058916693</v>
      </c>
      <c r="D107" s="43">
        <f t="shared" si="38"/>
        <v>2.2489705416534687E-2</v>
      </c>
      <c r="E107" s="43">
        <f t="shared" si="38"/>
        <v>4.0703199239784611E-2</v>
      </c>
      <c r="F107" s="43">
        <f t="shared" si="38"/>
        <v>5.9550205891669303E-2</v>
      </c>
      <c r="G107" s="43">
        <f t="shared" si="38"/>
        <v>1.2670256572695595E-3</v>
      </c>
      <c r="H107" s="43">
        <f t="shared" si="38"/>
        <v>2.2172949002217291E-3</v>
      </c>
      <c r="I107" s="43">
        <f t="shared" si="38"/>
        <v>0.10310421286031039</v>
      </c>
      <c r="J107" s="43">
        <f t="shared" si="38"/>
        <v>4.2286981311371548E-2</v>
      </c>
      <c r="K107" s="43">
        <f t="shared" si="38"/>
        <v>7.2853975292999675E-3</v>
      </c>
      <c r="L107" s="43">
        <f t="shared" si="38"/>
        <v>3.9594551789673737E-3</v>
      </c>
      <c r="M107" s="43">
        <f t="shared" si="38"/>
        <v>0.6095977193538169</v>
      </c>
      <c r="N107" s="43">
        <f t="shared" si="38"/>
        <v>1.5837820715869492E-3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0.27139959432048683</v>
      </c>
      <c r="D108" s="44">
        <f t="shared" ref="D108:N108" si="39">D106/$O$106</f>
        <v>5.7606490872210966E-2</v>
      </c>
      <c r="E108" s="44">
        <f t="shared" si="39"/>
        <v>0.10425963488843815</v>
      </c>
      <c r="F108" s="44">
        <f t="shared" si="39"/>
        <v>0.15253549695740365</v>
      </c>
      <c r="G108" s="44">
        <f t="shared" si="39"/>
        <v>3.2454361054766729E-3</v>
      </c>
      <c r="H108" s="44">
        <f t="shared" si="39"/>
        <v>5.6795131845841784E-3</v>
      </c>
      <c r="I108" s="44">
        <f t="shared" si="39"/>
        <v>0.26409736308316423</v>
      </c>
      <c r="J108" s="44">
        <f t="shared" si="39"/>
        <v>0.10831643002028396</v>
      </c>
      <c r="K108" s="44">
        <f t="shared" si="39"/>
        <v>1.8661257606490868E-2</v>
      </c>
      <c r="L108" s="44">
        <f t="shared" si="39"/>
        <v>1.0141987829614603E-2</v>
      </c>
      <c r="M108" s="44"/>
      <c r="N108" s="44">
        <f t="shared" si="39"/>
        <v>4.0567951318458409E-3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L58" zoomScale="60" workbookViewId="0">
      <selection activeCell="AC75" sqref="AC7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6" t="str">
        <f>'23.10 NGOMA-KAPEEKA'!C3:G3</f>
        <v>KAPEEKA -NGOMA ROAD</v>
      </c>
      <c r="D3" s="66"/>
      <c r="E3" s="66"/>
      <c r="F3" s="66"/>
      <c r="G3" s="6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4" t="s">
        <v>162</v>
      </c>
      <c r="E5" s="65"/>
      <c r="F5" s="41" t="s">
        <v>1</v>
      </c>
      <c r="G5" s="62" t="str">
        <f>'23.10 NGOMA-KAPEEKA'!G5:H5</f>
        <v>BUTALANGU</v>
      </c>
      <c r="H5" s="63"/>
      <c r="I5" s="14"/>
      <c r="J5" s="2" t="s">
        <v>5</v>
      </c>
      <c r="K5" s="62" t="str">
        <f>'23.10 NGOMA-KAPEEKA'!K5:L5</f>
        <v>AMOS A</v>
      </c>
      <c r="L5" s="63"/>
      <c r="M5" s="10"/>
      <c r="N5" s="10"/>
      <c r="O5" s="3"/>
      <c r="P5" s="3"/>
    </row>
    <row r="6" spans="2:32" ht="23.25" customHeight="1" x14ac:dyDescent="0.25">
      <c r="C6" s="2" t="s">
        <v>4</v>
      </c>
      <c r="D6" s="62" t="str">
        <f>'23.10 NGOMA-KAPEEKA'!D6:E6</f>
        <v>NGOMA</v>
      </c>
      <c r="E6" s="63"/>
      <c r="F6" s="2" t="s">
        <v>2</v>
      </c>
      <c r="G6" s="62" t="str">
        <f>'23.10 NGOMA-KAPEEKA'!G6:H6</f>
        <v>KAPEEKA</v>
      </c>
      <c r="H6" s="63"/>
      <c r="J6" s="2" t="s">
        <v>21</v>
      </c>
      <c r="K6" s="62" t="str">
        <f>'23.10 NGOMA-KAPEEKA'!K6:L6</f>
        <v>MIREMBE RUTH</v>
      </c>
      <c r="L6" s="6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NGOMA-KAPEEKA'!C10,'18.10 NGOMA KAPEEKA'!C10,'20.10 NGOMA-KAPEEKA'!C10,'22.10 NGOMA-KAPEERA'!C10,'19.10 NGOMA-KAPEEKA-24h'!C10,'21.10 NGOMA KAPEEKA-24h'!C10,'23.10 NGOMA-KAPEEKA'!C10)</f>
        <v>0</v>
      </c>
      <c r="D10" s="49">
        <f>AVERAGE('17.10 NGOMA-KAPEEKA'!D10,'18.10 NGOMA KAPEEKA'!D10,'20.10 NGOMA-KAPEEKA'!D10,'22.10 NGOMA-KAPEERA'!D10,'19.10 NGOMA-KAPEEKA-24h'!D10,'21.10 NGOMA KAPEEKA-24h'!D10,'23.10 NGOMA-KAPEEKA'!D10)</f>
        <v>0</v>
      </c>
      <c r="E10" s="49">
        <f>AVERAGE('17.10 NGOMA-KAPEEKA'!E10,'18.10 NGOMA KAPEEKA'!E10,'20.10 NGOMA-KAPEEKA'!E10,'22.10 NGOMA-KAPEERA'!E10,'19.10 NGOMA-KAPEEKA-24h'!E10,'21.10 NGOMA KAPEEKA-24h'!E10,'23.10 NGOMA-KAPEEKA'!E10)</f>
        <v>0</v>
      </c>
      <c r="F10" s="49">
        <f>AVERAGE('17.10 NGOMA-KAPEEKA'!F10,'18.10 NGOMA KAPEEKA'!F10,'20.10 NGOMA-KAPEEKA'!F10,'22.10 NGOMA-KAPEERA'!F10,'19.10 NGOMA-KAPEEKA-24h'!F10,'21.10 NGOMA KAPEEKA-24h'!F10,'23.10 NGOMA-KAPEEKA'!F10)</f>
        <v>0.7142857142857143</v>
      </c>
      <c r="G10" s="49">
        <f>AVERAGE('17.10 NGOMA-KAPEEKA'!G10,'18.10 NGOMA KAPEEKA'!G10,'20.10 NGOMA-KAPEEKA'!G10,'22.10 NGOMA-KAPEERA'!G10,'19.10 NGOMA-KAPEEKA-24h'!G10,'21.10 NGOMA KAPEEKA-24h'!G10,'23.10 NGOMA-KAPEEKA'!G10)</f>
        <v>0</v>
      </c>
      <c r="H10" s="49">
        <f>AVERAGE('17.10 NGOMA-KAPEEKA'!H10,'18.10 NGOMA KAPEEKA'!H10,'20.10 NGOMA-KAPEEKA'!H10,'22.10 NGOMA-KAPEERA'!H10,'19.10 NGOMA-KAPEEKA-24h'!H10,'21.10 NGOMA KAPEEKA-24h'!H10,'23.10 NGOMA-KAPEEKA'!H10)</f>
        <v>0</v>
      </c>
      <c r="I10" s="49">
        <f>AVERAGE('17.10 NGOMA-KAPEEKA'!I10,'18.10 NGOMA KAPEEKA'!I10,'20.10 NGOMA-KAPEEKA'!I10,'22.10 NGOMA-KAPEERA'!I10,'19.10 NGOMA-KAPEEKA-24h'!I10,'21.10 NGOMA KAPEEKA-24h'!I10,'23.10 NGOMA-KAPEEKA'!I10)</f>
        <v>0.2857142857142857</v>
      </c>
      <c r="J10" s="49">
        <f>AVERAGE('17.10 NGOMA-KAPEEKA'!J10,'18.10 NGOMA KAPEEKA'!J10,'20.10 NGOMA-KAPEEKA'!J10,'22.10 NGOMA-KAPEERA'!J10,'19.10 NGOMA-KAPEEKA-24h'!J10,'21.10 NGOMA KAPEEKA-24h'!J10,'23.10 NGOMA-KAPEEKA'!J10)</f>
        <v>0</v>
      </c>
      <c r="K10" s="49">
        <f>AVERAGE('17.10 NGOMA-KAPEEKA'!K10,'18.10 NGOMA KAPEEKA'!K10,'20.10 NGOMA-KAPEEKA'!K10,'22.10 NGOMA-KAPEERA'!K10,'19.10 NGOMA-KAPEEKA-24h'!K10,'21.10 NGOMA KAPEEKA-24h'!K10,'23.10 NGOMA-KAPEEKA'!K10)</f>
        <v>0</v>
      </c>
      <c r="L10" s="49">
        <f>AVERAGE('17.10 NGOMA-KAPEEKA'!L10,'18.10 NGOMA KAPEEKA'!L10,'20.10 NGOMA-KAPEEKA'!L10,'22.10 NGOMA-KAPEERA'!L10,'19.10 NGOMA-KAPEEKA-24h'!L10,'21.10 NGOMA KAPEEKA-24h'!L10,'23.10 NGOMA-KAPEEKA'!L10)</f>
        <v>0</v>
      </c>
      <c r="M10" s="49">
        <f>AVERAGE('17.10 NGOMA-KAPEEKA'!M10,'18.10 NGOMA KAPEEKA'!M10,'20.10 NGOMA-KAPEEKA'!M10,'22.10 NGOMA-KAPEERA'!M10,'19.10 NGOMA-KAPEEKA-24h'!M10,'21.10 NGOMA KAPEEKA-24h'!M10,'23.10 NGOMA-KAPEEKA'!M10)</f>
        <v>1.8571428571428572</v>
      </c>
      <c r="N10" s="49">
        <f>AVERAGE('17.10 NGOMA-KAPEEKA'!N10,'18.10 NGOMA KAPEEKA'!N10,'20.10 NGOMA-KAPEEKA'!N10,'22.10 NGOMA-KAPEERA'!N10,'19.10 NGOMA-KAPEEKA-24h'!N10,'21.10 NGOMA KAPEEKA-24h'!N10,'23.10 NGOMA-KAPEEKA'!N10)</f>
        <v>0</v>
      </c>
      <c r="O10" s="15">
        <f t="shared" ref="O10:O73" si="0">SUM(C10:L10,N10)</f>
        <v>1</v>
      </c>
      <c r="P10" s="15">
        <f t="shared" ref="P10:P73" si="1">SUM(C10:N10)</f>
        <v>2.8571428571428572</v>
      </c>
      <c r="R10" s="1" t="s">
        <v>6</v>
      </c>
      <c r="S10" s="17">
        <f t="shared" ref="S10:AF10" si="2">SUM(C10:C13)</f>
        <v>0.71428571428571419</v>
      </c>
      <c r="T10" s="17">
        <f t="shared" si="2"/>
        <v>0.42857142857142855</v>
      </c>
      <c r="U10" s="17">
        <f t="shared" si="2"/>
        <v>0.2857142857142857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0.85714285714285698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12.142857142857142</v>
      </c>
      <c r="AD10" s="17">
        <f t="shared" si="2"/>
        <v>0</v>
      </c>
      <c r="AE10" s="31">
        <f t="shared" si="2"/>
        <v>4.2857142857142847</v>
      </c>
      <c r="AF10" s="31">
        <f t="shared" si="2"/>
        <v>16.428571428571427</v>
      </c>
    </row>
    <row r="11" spans="2:32" s="6" customFormat="1" ht="23.1" customHeight="1" x14ac:dyDescent="0.25">
      <c r="B11" s="23" t="s">
        <v>38</v>
      </c>
      <c r="C11" s="49">
        <f>AVERAGE('17.10 NGOMA-KAPEEKA'!C11,'18.10 NGOMA KAPEEKA'!C11,'20.10 NGOMA-KAPEEKA'!C11,'22.10 NGOMA-KAPEERA'!C11,'19.10 NGOMA-KAPEEKA-24h'!C11,'21.10 NGOMA KAPEEKA-24h'!C11,'23.10 NGOMA-KAPEEKA'!C11)</f>
        <v>0.2857142857142857</v>
      </c>
      <c r="D11" s="49">
        <f>AVERAGE('17.10 NGOMA-KAPEEKA'!D11,'18.10 NGOMA KAPEEKA'!D11,'20.10 NGOMA-KAPEEKA'!D11,'22.10 NGOMA-KAPEERA'!D11,'19.10 NGOMA-KAPEEKA-24h'!D11,'21.10 NGOMA KAPEEKA-24h'!D11,'23.10 NGOMA-KAPEEKA'!D11)</f>
        <v>0.14285714285714285</v>
      </c>
      <c r="E11" s="49">
        <f>AVERAGE('17.10 NGOMA-KAPEEKA'!E11,'18.10 NGOMA KAPEEKA'!E11,'20.10 NGOMA-KAPEEKA'!E11,'22.10 NGOMA-KAPEERA'!E11,'19.10 NGOMA-KAPEEKA-24h'!E11,'21.10 NGOMA KAPEEKA-24h'!E11,'23.10 NGOMA-KAPEEKA'!E11)</f>
        <v>0.14285714285714285</v>
      </c>
      <c r="F11" s="49">
        <f>AVERAGE('17.10 NGOMA-KAPEEKA'!F11,'18.10 NGOMA KAPEEKA'!F11,'20.10 NGOMA-KAPEEKA'!F11,'22.10 NGOMA-KAPEERA'!F11,'19.10 NGOMA-KAPEEKA-24h'!F11,'21.10 NGOMA KAPEEKA-24h'!F11,'23.10 NGOMA-KAPEEKA'!F11)</f>
        <v>0.14285714285714285</v>
      </c>
      <c r="G11" s="49">
        <f>AVERAGE('17.10 NGOMA-KAPEEKA'!G11,'18.10 NGOMA KAPEEKA'!G11,'20.10 NGOMA-KAPEEKA'!G11,'22.10 NGOMA-KAPEERA'!G11,'19.10 NGOMA-KAPEEKA-24h'!G11,'21.10 NGOMA KAPEEKA-24h'!G11,'23.10 NGOMA-KAPEEKA'!G11)</f>
        <v>0</v>
      </c>
      <c r="H11" s="49">
        <f>AVERAGE('17.10 NGOMA-KAPEEKA'!H11,'18.10 NGOMA KAPEEKA'!H11,'20.10 NGOMA-KAPEEKA'!H11,'22.10 NGOMA-KAPEERA'!H11,'19.10 NGOMA-KAPEEKA-24h'!H11,'21.10 NGOMA KAPEEKA-24h'!H11,'23.10 NGOMA-KAPEEKA'!H11)</f>
        <v>0</v>
      </c>
      <c r="I11" s="49">
        <f>AVERAGE('17.10 NGOMA-KAPEEKA'!I11,'18.10 NGOMA KAPEEKA'!I11,'20.10 NGOMA-KAPEEKA'!I11,'22.10 NGOMA-KAPEERA'!I11,'19.10 NGOMA-KAPEEKA-24h'!I11,'21.10 NGOMA KAPEEKA-24h'!I11,'23.10 NGOMA-KAPEEKA'!I11)</f>
        <v>0.14285714285714285</v>
      </c>
      <c r="J11" s="49">
        <f>AVERAGE('17.10 NGOMA-KAPEEKA'!J11,'18.10 NGOMA KAPEEKA'!J11,'20.10 NGOMA-KAPEEKA'!J11,'22.10 NGOMA-KAPEERA'!J11,'19.10 NGOMA-KAPEEKA-24h'!J11,'21.10 NGOMA KAPEEKA-24h'!J11,'23.10 NGOMA-KAPEEKA'!J11)</f>
        <v>0</v>
      </c>
      <c r="K11" s="49">
        <f>AVERAGE('17.10 NGOMA-KAPEEKA'!K11,'18.10 NGOMA KAPEEKA'!K11,'20.10 NGOMA-KAPEEKA'!K11,'22.10 NGOMA-KAPEERA'!K11,'19.10 NGOMA-KAPEEKA-24h'!K11,'21.10 NGOMA KAPEEKA-24h'!K11,'23.10 NGOMA-KAPEEKA'!K11)</f>
        <v>0</v>
      </c>
      <c r="L11" s="49">
        <f>AVERAGE('17.10 NGOMA-KAPEEKA'!L11,'18.10 NGOMA KAPEEKA'!L11,'20.10 NGOMA-KAPEEKA'!L11,'22.10 NGOMA-KAPEERA'!L11,'19.10 NGOMA-KAPEEKA-24h'!L11,'21.10 NGOMA KAPEEKA-24h'!L11,'23.10 NGOMA-KAPEEKA'!L11)</f>
        <v>0</v>
      </c>
      <c r="M11" s="49">
        <f>AVERAGE('17.10 NGOMA-KAPEEKA'!M11,'18.10 NGOMA KAPEEKA'!M11,'20.10 NGOMA-KAPEEKA'!M11,'22.10 NGOMA-KAPEERA'!M11,'19.10 NGOMA-KAPEEKA-24h'!M11,'21.10 NGOMA KAPEEKA-24h'!M11,'23.10 NGOMA-KAPEEKA'!M11)</f>
        <v>2.4285714285714284</v>
      </c>
      <c r="N11" s="49">
        <f>AVERAGE('17.10 NGOMA-KAPEEKA'!N11,'18.10 NGOMA KAPEEKA'!N11,'20.10 NGOMA-KAPEEKA'!N11,'22.10 NGOMA-KAPEERA'!N11,'19.10 NGOMA-KAPEEKA-24h'!N11,'21.10 NGOMA KAPEEKA-24h'!N11,'23.10 NGOMA-KAPEEKA'!N11)</f>
        <v>0</v>
      </c>
      <c r="O11" s="15">
        <f t="shared" si="0"/>
        <v>0.85714285714285698</v>
      </c>
      <c r="P11" s="15">
        <f t="shared" si="1"/>
        <v>3.2857142857142856</v>
      </c>
      <c r="R11" s="1" t="s">
        <v>7</v>
      </c>
      <c r="S11" s="17">
        <f t="shared" ref="S11:AF11" si="3">SUM(C14:C17)</f>
        <v>0.71428571428571419</v>
      </c>
      <c r="T11" s="17">
        <f t="shared" si="3"/>
        <v>0.42857142857142855</v>
      </c>
      <c r="U11" s="17">
        <f t="shared" si="3"/>
        <v>0.14285714285714285</v>
      </c>
      <c r="V11" s="17">
        <f t="shared" si="3"/>
        <v>1.7142857142857144</v>
      </c>
      <c r="W11" s="17">
        <f t="shared" si="3"/>
        <v>0</v>
      </c>
      <c r="X11" s="17">
        <f t="shared" si="3"/>
        <v>0</v>
      </c>
      <c r="Y11" s="17">
        <f t="shared" si="3"/>
        <v>0.8571428571428571</v>
      </c>
      <c r="Z11" s="17">
        <f t="shared" si="3"/>
        <v>0.2857142857142857</v>
      </c>
      <c r="AA11" s="17">
        <f t="shared" si="3"/>
        <v>0</v>
      </c>
      <c r="AB11" s="17">
        <f t="shared" si="3"/>
        <v>0</v>
      </c>
      <c r="AC11" s="17">
        <f t="shared" si="3"/>
        <v>18.142857142857146</v>
      </c>
      <c r="AD11" s="17">
        <f t="shared" si="3"/>
        <v>0</v>
      </c>
      <c r="AE11" s="31">
        <f t="shared" si="3"/>
        <v>4.1428571428571423</v>
      </c>
      <c r="AF11" s="31">
        <f t="shared" si="3"/>
        <v>22.285714285714285</v>
      </c>
    </row>
    <row r="12" spans="2:32" ht="23.1" customHeight="1" x14ac:dyDescent="0.25">
      <c r="B12" s="23" t="s">
        <v>39</v>
      </c>
      <c r="C12" s="49">
        <f>AVERAGE('17.10 NGOMA-KAPEEKA'!C12,'18.10 NGOMA KAPEEKA'!C12,'20.10 NGOMA-KAPEEKA'!C12,'22.10 NGOMA-KAPEERA'!C12,'19.10 NGOMA-KAPEEKA-24h'!C12,'21.10 NGOMA KAPEEKA-24h'!C12,'23.10 NGOMA-KAPEEKA'!C12)</f>
        <v>0.14285714285714285</v>
      </c>
      <c r="D12" s="49">
        <f>AVERAGE('17.10 NGOMA-KAPEEKA'!D12,'18.10 NGOMA KAPEEKA'!D12,'20.10 NGOMA-KAPEEKA'!D12,'22.10 NGOMA-KAPEERA'!D12,'19.10 NGOMA-KAPEEKA-24h'!D12,'21.10 NGOMA KAPEEKA-24h'!D12,'23.10 NGOMA-KAPEEKA'!D12)</f>
        <v>0.14285714285714285</v>
      </c>
      <c r="E12" s="49">
        <f>AVERAGE('17.10 NGOMA-KAPEEKA'!E12,'18.10 NGOMA KAPEEKA'!E12,'20.10 NGOMA-KAPEEKA'!E12,'22.10 NGOMA-KAPEERA'!E12,'19.10 NGOMA-KAPEEKA-24h'!E12,'21.10 NGOMA KAPEEKA-24h'!E12,'23.10 NGOMA-KAPEEKA'!E12)</f>
        <v>0</v>
      </c>
      <c r="F12" s="49">
        <f>AVERAGE('17.10 NGOMA-KAPEEKA'!F12,'18.10 NGOMA KAPEEKA'!F12,'20.10 NGOMA-KAPEEKA'!F12,'22.10 NGOMA-KAPEERA'!F12,'19.10 NGOMA-KAPEEKA-24h'!F12,'21.10 NGOMA KAPEEKA-24h'!F12,'23.10 NGOMA-KAPEEKA'!F12)</f>
        <v>0.2857142857142857</v>
      </c>
      <c r="G12" s="49">
        <f>AVERAGE('17.10 NGOMA-KAPEEKA'!G12,'18.10 NGOMA KAPEEKA'!G12,'20.10 NGOMA-KAPEEKA'!G12,'22.10 NGOMA-KAPEERA'!G12,'19.10 NGOMA-KAPEEKA-24h'!G12,'21.10 NGOMA KAPEEKA-24h'!G12,'23.10 NGOMA-KAPEEKA'!G12)</f>
        <v>0</v>
      </c>
      <c r="H12" s="49">
        <f>AVERAGE('17.10 NGOMA-KAPEEKA'!H12,'18.10 NGOMA KAPEEKA'!H12,'20.10 NGOMA-KAPEEKA'!H12,'22.10 NGOMA-KAPEERA'!H12,'19.10 NGOMA-KAPEEKA-24h'!H12,'21.10 NGOMA KAPEEKA-24h'!H12,'23.10 NGOMA-KAPEEKA'!H12)</f>
        <v>0</v>
      </c>
      <c r="I12" s="49">
        <f>AVERAGE('17.10 NGOMA-KAPEEKA'!I12,'18.10 NGOMA KAPEEKA'!I12,'20.10 NGOMA-KAPEEKA'!I12,'22.10 NGOMA-KAPEERA'!I12,'19.10 NGOMA-KAPEEKA-24h'!I12,'21.10 NGOMA KAPEEKA-24h'!I12,'23.10 NGOMA-KAPEEKA'!I12)</f>
        <v>0.2857142857142857</v>
      </c>
      <c r="J12" s="49">
        <f>AVERAGE('17.10 NGOMA-KAPEEKA'!J12,'18.10 NGOMA KAPEEKA'!J12,'20.10 NGOMA-KAPEEKA'!J12,'22.10 NGOMA-KAPEERA'!J12,'19.10 NGOMA-KAPEEKA-24h'!J12,'21.10 NGOMA KAPEEKA-24h'!J12,'23.10 NGOMA-KAPEEKA'!J12)</f>
        <v>0</v>
      </c>
      <c r="K12" s="49">
        <f>AVERAGE('17.10 NGOMA-KAPEEKA'!K12,'18.10 NGOMA KAPEEKA'!K12,'20.10 NGOMA-KAPEEKA'!K12,'22.10 NGOMA-KAPEERA'!K12,'19.10 NGOMA-KAPEEKA-24h'!K12,'21.10 NGOMA KAPEEKA-24h'!K12,'23.10 NGOMA-KAPEEKA'!K12)</f>
        <v>0</v>
      </c>
      <c r="L12" s="49">
        <f>AVERAGE('17.10 NGOMA-KAPEEKA'!L12,'18.10 NGOMA KAPEEKA'!L12,'20.10 NGOMA-KAPEEKA'!L12,'22.10 NGOMA-KAPEERA'!L12,'19.10 NGOMA-KAPEEKA-24h'!L12,'21.10 NGOMA KAPEEKA-24h'!L12,'23.10 NGOMA-KAPEEKA'!L12)</f>
        <v>0</v>
      </c>
      <c r="M12" s="49">
        <f>AVERAGE('17.10 NGOMA-KAPEEKA'!M12,'18.10 NGOMA KAPEEKA'!M12,'20.10 NGOMA-KAPEEKA'!M12,'22.10 NGOMA-KAPEERA'!M12,'19.10 NGOMA-KAPEEKA-24h'!M12,'21.10 NGOMA KAPEEKA-24h'!M12,'23.10 NGOMA-KAPEEKA'!M12)</f>
        <v>4.2857142857142856</v>
      </c>
      <c r="N12" s="49">
        <f>AVERAGE('17.10 NGOMA-KAPEEKA'!N12,'18.10 NGOMA KAPEEKA'!N12,'20.10 NGOMA-KAPEEKA'!N12,'22.10 NGOMA-KAPEERA'!N12,'19.10 NGOMA-KAPEEKA-24h'!N12,'21.10 NGOMA KAPEEKA-24h'!N12,'23.10 NGOMA-KAPEEKA'!N12)</f>
        <v>0</v>
      </c>
      <c r="O12" s="15">
        <f t="shared" si="0"/>
        <v>0.8571428571428571</v>
      </c>
      <c r="P12" s="15">
        <f t="shared" si="1"/>
        <v>5.1428571428571423</v>
      </c>
      <c r="R12" s="1" t="s">
        <v>8</v>
      </c>
      <c r="S12" s="17">
        <f t="shared" ref="S12:AF12" si="4">SUM(C18:C21)</f>
        <v>1.1428571428571428</v>
      </c>
      <c r="T12" s="17">
        <f t="shared" si="4"/>
        <v>0.42857142857142855</v>
      </c>
      <c r="U12" s="17">
        <f t="shared" si="4"/>
        <v>0.42857142857142855</v>
      </c>
      <c r="V12" s="17">
        <f t="shared" si="4"/>
        <v>2.1428571428571428</v>
      </c>
      <c r="W12" s="17">
        <f t="shared" si="4"/>
        <v>0</v>
      </c>
      <c r="X12" s="17">
        <f t="shared" si="4"/>
        <v>0</v>
      </c>
      <c r="Y12" s="17">
        <f t="shared" si="4"/>
        <v>1.4285714285714284</v>
      </c>
      <c r="Z12" s="17">
        <f t="shared" si="4"/>
        <v>0.2857142857142857</v>
      </c>
      <c r="AA12" s="17">
        <f t="shared" si="4"/>
        <v>0</v>
      </c>
      <c r="AB12" s="17">
        <f t="shared" si="4"/>
        <v>0</v>
      </c>
      <c r="AC12" s="17">
        <f t="shared" si="4"/>
        <v>16.142857142857142</v>
      </c>
      <c r="AD12" s="17">
        <f t="shared" si="4"/>
        <v>0</v>
      </c>
      <c r="AE12" s="31">
        <f t="shared" si="4"/>
        <v>5.8571428571428568</v>
      </c>
      <c r="AF12" s="31">
        <f t="shared" si="4"/>
        <v>21.999999999999996</v>
      </c>
    </row>
    <row r="13" spans="2:32" ht="23.1" customHeight="1" x14ac:dyDescent="0.25">
      <c r="B13" s="23" t="s">
        <v>40</v>
      </c>
      <c r="C13" s="49">
        <f>AVERAGE('17.10 NGOMA-KAPEEKA'!C13,'18.10 NGOMA KAPEEKA'!C13,'20.10 NGOMA-KAPEEKA'!C13,'22.10 NGOMA-KAPEERA'!C13,'19.10 NGOMA-KAPEEKA-24h'!C13,'21.10 NGOMA KAPEEKA-24h'!C13,'23.10 NGOMA-KAPEEKA'!C13)</f>
        <v>0.2857142857142857</v>
      </c>
      <c r="D13" s="49">
        <f>AVERAGE('17.10 NGOMA-KAPEEKA'!D13,'18.10 NGOMA KAPEEKA'!D13,'20.10 NGOMA-KAPEEKA'!D13,'22.10 NGOMA-KAPEERA'!D13,'19.10 NGOMA-KAPEEKA-24h'!D13,'21.10 NGOMA KAPEEKA-24h'!D13,'23.10 NGOMA-KAPEEKA'!D13)</f>
        <v>0.14285714285714285</v>
      </c>
      <c r="E13" s="49">
        <f>AVERAGE('17.10 NGOMA-KAPEEKA'!E13,'18.10 NGOMA KAPEEKA'!E13,'20.10 NGOMA-KAPEEKA'!E13,'22.10 NGOMA-KAPEERA'!E13,'19.10 NGOMA-KAPEEKA-24h'!E13,'21.10 NGOMA KAPEEKA-24h'!E13,'23.10 NGOMA-KAPEEKA'!E13)</f>
        <v>0.14285714285714285</v>
      </c>
      <c r="F13" s="49">
        <f>AVERAGE('17.10 NGOMA-KAPEEKA'!F13,'18.10 NGOMA KAPEEKA'!F13,'20.10 NGOMA-KAPEEKA'!F13,'22.10 NGOMA-KAPEERA'!F13,'19.10 NGOMA-KAPEEKA-24h'!F13,'21.10 NGOMA KAPEEKA-24h'!F13,'23.10 NGOMA-KAPEEKA'!F13)</f>
        <v>0.8571428571428571</v>
      </c>
      <c r="G13" s="49">
        <f>AVERAGE('17.10 NGOMA-KAPEEKA'!G13,'18.10 NGOMA KAPEEKA'!G13,'20.10 NGOMA-KAPEEKA'!G13,'22.10 NGOMA-KAPEERA'!G13,'19.10 NGOMA-KAPEEKA-24h'!G13,'21.10 NGOMA KAPEEKA-24h'!G13,'23.10 NGOMA-KAPEEKA'!G13)</f>
        <v>0</v>
      </c>
      <c r="H13" s="49">
        <f>AVERAGE('17.10 NGOMA-KAPEEKA'!H13,'18.10 NGOMA KAPEEKA'!H13,'20.10 NGOMA-KAPEEKA'!H13,'22.10 NGOMA-KAPEERA'!H13,'19.10 NGOMA-KAPEEKA-24h'!H13,'21.10 NGOMA KAPEEKA-24h'!H13,'23.10 NGOMA-KAPEEKA'!H13)</f>
        <v>0</v>
      </c>
      <c r="I13" s="49">
        <f>AVERAGE('17.10 NGOMA-KAPEEKA'!I13,'18.10 NGOMA KAPEEKA'!I13,'20.10 NGOMA-KAPEEKA'!I13,'22.10 NGOMA-KAPEERA'!I13,'19.10 NGOMA-KAPEEKA-24h'!I13,'21.10 NGOMA KAPEEKA-24h'!I13,'23.10 NGOMA-KAPEEKA'!I13)</f>
        <v>0.14285714285714285</v>
      </c>
      <c r="J13" s="49">
        <f>AVERAGE('17.10 NGOMA-KAPEEKA'!J13,'18.10 NGOMA KAPEEKA'!J13,'20.10 NGOMA-KAPEEKA'!J13,'22.10 NGOMA-KAPEERA'!J13,'19.10 NGOMA-KAPEEKA-24h'!J13,'21.10 NGOMA KAPEEKA-24h'!J13,'23.10 NGOMA-KAPEEKA'!J13)</f>
        <v>0</v>
      </c>
      <c r="K13" s="49">
        <f>AVERAGE('17.10 NGOMA-KAPEEKA'!K13,'18.10 NGOMA KAPEEKA'!K13,'20.10 NGOMA-KAPEEKA'!K13,'22.10 NGOMA-KAPEERA'!K13,'19.10 NGOMA-KAPEEKA-24h'!K13,'21.10 NGOMA KAPEEKA-24h'!K13,'23.10 NGOMA-KAPEEKA'!K13)</f>
        <v>0</v>
      </c>
      <c r="L13" s="49">
        <f>AVERAGE('17.10 NGOMA-KAPEEKA'!L13,'18.10 NGOMA KAPEEKA'!L13,'20.10 NGOMA-KAPEEKA'!L13,'22.10 NGOMA-KAPEERA'!L13,'19.10 NGOMA-KAPEEKA-24h'!L13,'21.10 NGOMA KAPEEKA-24h'!L13,'23.10 NGOMA-KAPEEKA'!L13)</f>
        <v>0</v>
      </c>
      <c r="M13" s="49">
        <f>AVERAGE('17.10 NGOMA-KAPEEKA'!M13,'18.10 NGOMA KAPEEKA'!M13,'20.10 NGOMA-KAPEEKA'!M13,'22.10 NGOMA-KAPEERA'!M13,'19.10 NGOMA-KAPEEKA-24h'!M13,'21.10 NGOMA KAPEEKA-24h'!M13,'23.10 NGOMA-KAPEEKA'!M13)</f>
        <v>3.5714285714285716</v>
      </c>
      <c r="N13" s="49">
        <f>AVERAGE('17.10 NGOMA-KAPEEKA'!N13,'18.10 NGOMA KAPEEKA'!N13,'20.10 NGOMA-KAPEEKA'!N13,'22.10 NGOMA-KAPEERA'!N13,'19.10 NGOMA-KAPEEKA-24h'!N13,'21.10 NGOMA KAPEEKA-24h'!N13,'23.10 NGOMA-KAPEEKA'!N13)</f>
        <v>0</v>
      </c>
      <c r="O13" s="15">
        <f t="shared" si="0"/>
        <v>1.5714285714285712</v>
      </c>
      <c r="P13" s="15">
        <f t="shared" si="1"/>
        <v>5.1428571428571423</v>
      </c>
      <c r="R13" s="1" t="s">
        <v>9</v>
      </c>
      <c r="S13" s="17">
        <f t="shared" ref="S13:AF13" si="5">SUM(C22:C25)</f>
        <v>2.8571428571428568</v>
      </c>
      <c r="T13" s="17">
        <f t="shared" si="5"/>
        <v>0.42857142857142855</v>
      </c>
      <c r="U13" s="17">
        <f t="shared" si="5"/>
        <v>0.71428571428571419</v>
      </c>
      <c r="V13" s="17">
        <f t="shared" si="5"/>
        <v>1.2857142857142856</v>
      </c>
      <c r="W13" s="17">
        <f t="shared" si="5"/>
        <v>0</v>
      </c>
      <c r="X13" s="17">
        <f t="shared" si="5"/>
        <v>0</v>
      </c>
      <c r="Y13" s="17">
        <f t="shared" si="5"/>
        <v>1.1428571428571428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20.428571428571431</v>
      </c>
      <c r="AD13" s="17">
        <f t="shared" si="5"/>
        <v>0.14285714285714285</v>
      </c>
      <c r="AE13" s="31">
        <f t="shared" si="5"/>
        <v>6.5714285714285712</v>
      </c>
      <c r="AF13" s="31">
        <f t="shared" si="5"/>
        <v>27</v>
      </c>
    </row>
    <row r="14" spans="2:32" ht="23.1" customHeight="1" x14ac:dyDescent="0.25">
      <c r="B14" s="23" t="s">
        <v>41</v>
      </c>
      <c r="C14" s="49">
        <f>AVERAGE('17.10 NGOMA-KAPEEKA'!C14,'18.10 NGOMA KAPEEKA'!C14,'20.10 NGOMA-KAPEEKA'!C14,'22.10 NGOMA-KAPEERA'!C14,'19.10 NGOMA-KAPEEKA-24h'!C14,'21.10 NGOMA KAPEEKA-24h'!C14,'23.10 NGOMA-KAPEEKA'!C14)</f>
        <v>0.14285714285714285</v>
      </c>
      <c r="D14" s="49">
        <f>AVERAGE('17.10 NGOMA-KAPEEKA'!D14,'18.10 NGOMA KAPEEKA'!D14,'20.10 NGOMA-KAPEEKA'!D14,'22.10 NGOMA-KAPEERA'!D14,'19.10 NGOMA-KAPEEKA-24h'!D14,'21.10 NGOMA KAPEEKA-24h'!D14,'23.10 NGOMA-KAPEEKA'!D14)</f>
        <v>0</v>
      </c>
      <c r="E14" s="49">
        <f>AVERAGE('17.10 NGOMA-KAPEEKA'!E14,'18.10 NGOMA KAPEEKA'!E14,'20.10 NGOMA-KAPEEKA'!E14,'22.10 NGOMA-KAPEERA'!E14,'19.10 NGOMA-KAPEEKA-24h'!E14,'21.10 NGOMA KAPEEKA-24h'!E14,'23.10 NGOMA-KAPEEKA'!E14)</f>
        <v>0</v>
      </c>
      <c r="F14" s="49">
        <f>AVERAGE('17.10 NGOMA-KAPEEKA'!F14,'18.10 NGOMA KAPEEKA'!F14,'20.10 NGOMA-KAPEEKA'!F14,'22.10 NGOMA-KAPEERA'!F14,'19.10 NGOMA-KAPEEKA-24h'!F14,'21.10 NGOMA KAPEEKA-24h'!F14,'23.10 NGOMA-KAPEEKA'!F14)</f>
        <v>0</v>
      </c>
      <c r="G14" s="49">
        <f>AVERAGE('17.10 NGOMA-KAPEEKA'!G14,'18.10 NGOMA KAPEEKA'!G14,'20.10 NGOMA-KAPEEKA'!G14,'22.10 NGOMA-KAPEERA'!G14,'19.10 NGOMA-KAPEEKA-24h'!G14,'21.10 NGOMA KAPEEKA-24h'!G14,'23.10 NGOMA-KAPEEKA'!G14)</f>
        <v>0</v>
      </c>
      <c r="H14" s="49">
        <f>AVERAGE('17.10 NGOMA-KAPEEKA'!H14,'18.10 NGOMA KAPEEKA'!H14,'20.10 NGOMA-KAPEEKA'!H14,'22.10 NGOMA-KAPEERA'!H14,'19.10 NGOMA-KAPEEKA-24h'!H14,'21.10 NGOMA KAPEEKA-24h'!H14,'23.10 NGOMA-KAPEEKA'!H14)</f>
        <v>0</v>
      </c>
      <c r="I14" s="49">
        <f>AVERAGE('17.10 NGOMA-KAPEEKA'!I14,'18.10 NGOMA KAPEEKA'!I14,'20.10 NGOMA-KAPEEKA'!I14,'22.10 NGOMA-KAPEERA'!I14,'19.10 NGOMA-KAPEEKA-24h'!I14,'21.10 NGOMA KAPEEKA-24h'!I14,'23.10 NGOMA-KAPEEKA'!I14)</f>
        <v>0.14285714285714285</v>
      </c>
      <c r="J14" s="49">
        <f>AVERAGE('17.10 NGOMA-KAPEEKA'!J14,'18.10 NGOMA KAPEEKA'!J14,'20.10 NGOMA-KAPEEKA'!J14,'22.10 NGOMA-KAPEERA'!J14,'19.10 NGOMA-KAPEEKA-24h'!J14,'21.10 NGOMA KAPEEKA-24h'!J14,'23.10 NGOMA-KAPEEKA'!J14)</f>
        <v>0</v>
      </c>
      <c r="K14" s="49">
        <f>AVERAGE('17.10 NGOMA-KAPEEKA'!K14,'18.10 NGOMA KAPEEKA'!K14,'20.10 NGOMA-KAPEEKA'!K14,'22.10 NGOMA-KAPEERA'!K14,'19.10 NGOMA-KAPEEKA-24h'!K14,'21.10 NGOMA KAPEEKA-24h'!K14,'23.10 NGOMA-KAPEEKA'!K14)</f>
        <v>0</v>
      </c>
      <c r="L14" s="49">
        <f>AVERAGE('17.10 NGOMA-KAPEEKA'!L14,'18.10 NGOMA KAPEEKA'!L14,'20.10 NGOMA-KAPEEKA'!L14,'22.10 NGOMA-KAPEERA'!L14,'19.10 NGOMA-KAPEEKA-24h'!L14,'21.10 NGOMA KAPEEKA-24h'!L14,'23.10 NGOMA-KAPEEKA'!L14)</f>
        <v>0</v>
      </c>
      <c r="M14" s="49">
        <f>AVERAGE('17.10 NGOMA-KAPEEKA'!M14,'18.10 NGOMA KAPEEKA'!M14,'20.10 NGOMA-KAPEEKA'!M14,'22.10 NGOMA-KAPEERA'!M14,'19.10 NGOMA-KAPEEKA-24h'!M14,'21.10 NGOMA KAPEEKA-24h'!M14,'23.10 NGOMA-KAPEEKA'!M14)</f>
        <v>4</v>
      </c>
      <c r="N14" s="49">
        <f>AVERAGE('17.10 NGOMA-KAPEEKA'!N14,'18.10 NGOMA KAPEEKA'!N14,'20.10 NGOMA-KAPEEKA'!N14,'22.10 NGOMA-KAPEERA'!N14,'19.10 NGOMA-KAPEEKA-24h'!N14,'21.10 NGOMA KAPEEKA-24h'!N14,'23.10 NGOMA-KAPEEKA'!N14)</f>
        <v>0</v>
      </c>
      <c r="O14" s="15">
        <f t="shared" si="0"/>
        <v>0.2857142857142857</v>
      </c>
      <c r="P14" s="15">
        <f t="shared" si="1"/>
        <v>4.2857142857142856</v>
      </c>
      <c r="R14" s="1" t="s">
        <v>10</v>
      </c>
      <c r="S14" s="17">
        <f t="shared" ref="S14:AF14" si="6">SUM(C26:C29)</f>
        <v>1.5714285714285712</v>
      </c>
      <c r="T14" s="17">
        <f t="shared" si="6"/>
        <v>0.85714285714285698</v>
      </c>
      <c r="U14" s="17">
        <f t="shared" si="6"/>
        <v>0.71428571428571419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0.8571428571428571</v>
      </c>
      <c r="Z14" s="17">
        <f t="shared" si="6"/>
        <v>0.5714285714285714</v>
      </c>
      <c r="AA14" s="17">
        <f t="shared" si="6"/>
        <v>0</v>
      </c>
      <c r="AB14" s="17">
        <f t="shared" si="6"/>
        <v>0</v>
      </c>
      <c r="AC14" s="17">
        <f t="shared" si="6"/>
        <v>19.142857142857146</v>
      </c>
      <c r="AD14" s="17">
        <f t="shared" si="6"/>
        <v>0</v>
      </c>
      <c r="AE14" s="31">
        <f t="shared" si="6"/>
        <v>6.5714285714285712</v>
      </c>
      <c r="AF14" s="31">
        <f t="shared" si="6"/>
        <v>25.714285714285715</v>
      </c>
    </row>
    <row r="15" spans="2:32" ht="23.1" customHeight="1" x14ac:dyDescent="0.25">
      <c r="B15" s="23" t="s">
        <v>42</v>
      </c>
      <c r="C15" s="49">
        <f>AVERAGE('17.10 NGOMA-KAPEEKA'!C15,'18.10 NGOMA KAPEEKA'!C15,'20.10 NGOMA-KAPEEKA'!C15,'22.10 NGOMA-KAPEERA'!C15,'19.10 NGOMA-KAPEEKA-24h'!C15,'21.10 NGOMA KAPEEKA-24h'!C15,'23.10 NGOMA-KAPEEKA'!C15)</f>
        <v>0.14285714285714285</v>
      </c>
      <c r="D15" s="49">
        <f>AVERAGE('17.10 NGOMA-KAPEEKA'!D15,'18.10 NGOMA KAPEEKA'!D15,'20.10 NGOMA-KAPEEKA'!D15,'22.10 NGOMA-KAPEERA'!D15,'19.10 NGOMA-KAPEEKA-24h'!D15,'21.10 NGOMA KAPEEKA-24h'!D15,'23.10 NGOMA-KAPEEKA'!D15)</f>
        <v>0.14285714285714285</v>
      </c>
      <c r="E15" s="49">
        <f>AVERAGE('17.10 NGOMA-KAPEEKA'!E15,'18.10 NGOMA KAPEEKA'!E15,'20.10 NGOMA-KAPEEKA'!E15,'22.10 NGOMA-KAPEERA'!E15,'19.10 NGOMA-KAPEEKA-24h'!E15,'21.10 NGOMA KAPEEKA-24h'!E15,'23.10 NGOMA-KAPEEKA'!E15)</f>
        <v>0</v>
      </c>
      <c r="F15" s="49">
        <f>AVERAGE('17.10 NGOMA-KAPEEKA'!F15,'18.10 NGOMA KAPEEKA'!F15,'20.10 NGOMA-KAPEEKA'!F15,'22.10 NGOMA-KAPEERA'!F15,'19.10 NGOMA-KAPEEKA-24h'!F15,'21.10 NGOMA KAPEEKA-24h'!F15,'23.10 NGOMA-KAPEEKA'!F15)</f>
        <v>0</v>
      </c>
      <c r="G15" s="49">
        <f>AVERAGE('17.10 NGOMA-KAPEEKA'!G15,'18.10 NGOMA KAPEEKA'!G15,'20.10 NGOMA-KAPEEKA'!G15,'22.10 NGOMA-KAPEERA'!G15,'19.10 NGOMA-KAPEEKA-24h'!G15,'21.10 NGOMA KAPEEKA-24h'!G15,'23.10 NGOMA-KAPEEKA'!G15)</f>
        <v>0</v>
      </c>
      <c r="H15" s="49">
        <f>AVERAGE('17.10 NGOMA-KAPEEKA'!H15,'18.10 NGOMA KAPEEKA'!H15,'20.10 NGOMA-KAPEEKA'!H15,'22.10 NGOMA-KAPEERA'!H15,'19.10 NGOMA-KAPEEKA-24h'!H15,'21.10 NGOMA KAPEEKA-24h'!H15,'23.10 NGOMA-KAPEEKA'!H15)</f>
        <v>0</v>
      </c>
      <c r="I15" s="49">
        <f>AVERAGE('17.10 NGOMA-KAPEEKA'!I15,'18.10 NGOMA KAPEEKA'!I15,'20.10 NGOMA-KAPEEKA'!I15,'22.10 NGOMA-KAPEERA'!I15,'19.10 NGOMA-KAPEEKA-24h'!I15,'21.10 NGOMA KAPEEKA-24h'!I15,'23.10 NGOMA-KAPEEKA'!I15)</f>
        <v>0.2857142857142857</v>
      </c>
      <c r="J15" s="49">
        <f>AVERAGE('17.10 NGOMA-KAPEEKA'!J15,'18.10 NGOMA KAPEEKA'!J15,'20.10 NGOMA-KAPEEKA'!J15,'22.10 NGOMA-KAPEERA'!J15,'19.10 NGOMA-KAPEEKA-24h'!J15,'21.10 NGOMA KAPEEKA-24h'!J15,'23.10 NGOMA-KAPEEKA'!J15)</f>
        <v>0</v>
      </c>
      <c r="K15" s="49">
        <f>AVERAGE('17.10 NGOMA-KAPEEKA'!K15,'18.10 NGOMA KAPEEKA'!K15,'20.10 NGOMA-KAPEEKA'!K15,'22.10 NGOMA-KAPEERA'!K15,'19.10 NGOMA-KAPEEKA-24h'!K15,'21.10 NGOMA KAPEEKA-24h'!K15,'23.10 NGOMA-KAPEEKA'!K15)</f>
        <v>0</v>
      </c>
      <c r="L15" s="49">
        <f>AVERAGE('17.10 NGOMA-KAPEEKA'!L15,'18.10 NGOMA KAPEEKA'!L15,'20.10 NGOMA-KAPEEKA'!L15,'22.10 NGOMA-KAPEERA'!L15,'19.10 NGOMA-KAPEEKA-24h'!L15,'21.10 NGOMA KAPEEKA-24h'!L15,'23.10 NGOMA-KAPEEKA'!L15)</f>
        <v>0</v>
      </c>
      <c r="M15" s="49">
        <f>AVERAGE('17.10 NGOMA-KAPEEKA'!M15,'18.10 NGOMA KAPEEKA'!M15,'20.10 NGOMA-KAPEEKA'!M15,'22.10 NGOMA-KAPEERA'!M15,'19.10 NGOMA-KAPEEKA-24h'!M15,'21.10 NGOMA KAPEEKA-24h'!M15,'23.10 NGOMA-KAPEEKA'!M15)</f>
        <v>4.7142857142857144</v>
      </c>
      <c r="N15" s="49">
        <f>AVERAGE('17.10 NGOMA-KAPEEKA'!N15,'18.10 NGOMA KAPEEKA'!N15,'20.10 NGOMA-KAPEEKA'!N15,'22.10 NGOMA-KAPEERA'!N15,'19.10 NGOMA-KAPEEKA-24h'!N15,'21.10 NGOMA KAPEEKA-24h'!N15,'23.10 NGOMA-KAPEEKA'!N15)</f>
        <v>0</v>
      </c>
      <c r="O15" s="15">
        <f t="shared" si="0"/>
        <v>0.5714285714285714</v>
      </c>
      <c r="P15" s="15">
        <f t="shared" si="1"/>
        <v>5.2857142857142856</v>
      </c>
      <c r="R15" s="1" t="s">
        <v>11</v>
      </c>
      <c r="S15" s="17">
        <f t="shared" ref="S15:AF15" si="7">SUM(C30:C33)</f>
        <v>3.1428571428571428</v>
      </c>
      <c r="T15" s="17">
        <f t="shared" si="7"/>
        <v>0.42857142857142855</v>
      </c>
      <c r="U15" s="17">
        <f t="shared" si="7"/>
        <v>1.1428571428571428</v>
      </c>
      <c r="V15" s="17">
        <f t="shared" si="7"/>
        <v>2</v>
      </c>
      <c r="W15" s="17">
        <f t="shared" si="7"/>
        <v>0</v>
      </c>
      <c r="X15" s="17">
        <f t="shared" si="7"/>
        <v>0.14285714285714285</v>
      </c>
      <c r="Y15" s="17">
        <f t="shared" si="7"/>
        <v>2.7142857142857144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21.857142857142854</v>
      </c>
      <c r="AD15" s="17">
        <f t="shared" si="7"/>
        <v>0.42857142857142855</v>
      </c>
      <c r="AE15" s="31">
        <f t="shared" si="7"/>
        <v>11</v>
      </c>
      <c r="AF15" s="31">
        <f t="shared" si="7"/>
        <v>32.857142857142854</v>
      </c>
    </row>
    <row r="16" spans="2:32" ht="23.1" customHeight="1" x14ac:dyDescent="0.25">
      <c r="B16" s="23" t="s">
        <v>43</v>
      </c>
      <c r="C16" s="49">
        <f>AVERAGE('17.10 NGOMA-KAPEEKA'!C16,'18.10 NGOMA KAPEEKA'!C16,'20.10 NGOMA-KAPEEKA'!C16,'22.10 NGOMA-KAPEERA'!C16,'19.10 NGOMA-KAPEEKA-24h'!C16,'21.10 NGOMA KAPEEKA-24h'!C16,'23.10 NGOMA-KAPEEKA'!C16)</f>
        <v>0.14285714285714285</v>
      </c>
      <c r="D16" s="49">
        <f>AVERAGE('17.10 NGOMA-KAPEEKA'!D16,'18.10 NGOMA KAPEEKA'!D16,'20.10 NGOMA-KAPEEKA'!D16,'22.10 NGOMA-KAPEERA'!D16,'19.10 NGOMA-KAPEEKA-24h'!D16,'21.10 NGOMA KAPEEKA-24h'!D16,'23.10 NGOMA-KAPEEKA'!D16)</f>
        <v>0</v>
      </c>
      <c r="E16" s="49">
        <f>AVERAGE('17.10 NGOMA-KAPEEKA'!E16,'18.10 NGOMA KAPEEKA'!E16,'20.10 NGOMA-KAPEEKA'!E16,'22.10 NGOMA-KAPEERA'!E16,'19.10 NGOMA-KAPEEKA-24h'!E16,'21.10 NGOMA KAPEEKA-24h'!E16,'23.10 NGOMA-KAPEEKA'!E16)</f>
        <v>0</v>
      </c>
      <c r="F16" s="49">
        <f>AVERAGE('17.10 NGOMA-KAPEEKA'!F16,'18.10 NGOMA KAPEEKA'!F16,'20.10 NGOMA-KAPEEKA'!F16,'22.10 NGOMA-KAPEERA'!F16,'19.10 NGOMA-KAPEEKA-24h'!F16,'21.10 NGOMA KAPEEKA-24h'!F16,'23.10 NGOMA-KAPEEKA'!F16)</f>
        <v>0.7142857142857143</v>
      </c>
      <c r="G16" s="49">
        <f>AVERAGE('17.10 NGOMA-KAPEEKA'!G16,'18.10 NGOMA KAPEEKA'!G16,'20.10 NGOMA-KAPEEKA'!G16,'22.10 NGOMA-KAPEERA'!G16,'19.10 NGOMA-KAPEEKA-24h'!G16,'21.10 NGOMA KAPEEKA-24h'!G16,'23.10 NGOMA-KAPEEKA'!G16)</f>
        <v>0</v>
      </c>
      <c r="H16" s="49">
        <f>AVERAGE('17.10 NGOMA-KAPEEKA'!H16,'18.10 NGOMA KAPEEKA'!H16,'20.10 NGOMA-KAPEEKA'!H16,'22.10 NGOMA-KAPEERA'!H16,'19.10 NGOMA-KAPEEKA-24h'!H16,'21.10 NGOMA KAPEEKA-24h'!H16,'23.10 NGOMA-KAPEEKA'!H16)</f>
        <v>0</v>
      </c>
      <c r="I16" s="49">
        <f>AVERAGE('17.10 NGOMA-KAPEEKA'!I16,'18.10 NGOMA KAPEEKA'!I16,'20.10 NGOMA-KAPEEKA'!I16,'22.10 NGOMA-KAPEERA'!I16,'19.10 NGOMA-KAPEEKA-24h'!I16,'21.10 NGOMA KAPEEKA-24h'!I16,'23.10 NGOMA-KAPEEKA'!I16)</f>
        <v>0.14285714285714285</v>
      </c>
      <c r="J16" s="49">
        <f>AVERAGE('17.10 NGOMA-KAPEEKA'!J16,'18.10 NGOMA KAPEEKA'!J16,'20.10 NGOMA-KAPEEKA'!J16,'22.10 NGOMA-KAPEERA'!J16,'19.10 NGOMA-KAPEEKA-24h'!J16,'21.10 NGOMA KAPEEKA-24h'!J16,'23.10 NGOMA-KAPEEKA'!J16)</f>
        <v>0</v>
      </c>
      <c r="K16" s="49">
        <f>AVERAGE('17.10 NGOMA-KAPEEKA'!K16,'18.10 NGOMA KAPEEKA'!K16,'20.10 NGOMA-KAPEEKA'!K16,'22.10 NGOMA-KAPEERA'!K16,'19.10 NGOMA-KAPEEKA-24h'!K16,'21.10 NGOMA KAPEEKA-24h'!K16,'23.10 NGOMA-KAPEEKA'!K16)</f>
        <v>0</v>
      </c>
      <c r="L16" s="49">
        <f>AVERAGE('17.10 NGOMA-KAPEEKA'!L16,'18.10 NGOMA KAPEEKA'!L16,'20.10 NGOMA-KAPEEKA'!L16,'22.10 NGOMA-KAPEERA'!L16,'19.10 NGOMA-KAPEEKA-24h'!L16,'21.10 NGOMA KAPEEKA-24h'!L16,'23.10 NGOMA-KAPEEKA'!L16)</f>
        <v>0</v>
      </c>
      <c r="M16" s="49">
        <f>AVERAGE('17.10 NGOMA-KAPEEKA'!M16,'18.10 NGOMA KAPEEKA'!M16,'20.10 NGOMA-KAPEEKA'!M16,'22.10 NGOMA-KAPEERA'!M16,'19.10 NGOMA-KAPEEKA-24h'!M16,'21.10 NGOMA KAPEEKA-24h'!M16,'23.10 NGOMA-KAPEEKA'!M16)</f>
        <v>4.7142857142857144</v>
      </c>
      <c r="N16" s="49">
        <f>AVERAGE('17.10 NGOMA-KAPEEKA'!N16,'18.10 NGOMA KAPEEKA'!N16,'20.10 NGOMA-KAPEEKA'!N16,'22.10 NGOMA-KAPEERA'!N16,'19.10 NGOMA-KAPEEKA-24h'!N16,'21.10 NGOMA KAPEEKA-24h'!N16,'23.10 NGOMA-KAPEEKA'!N16)</f>
        <v>0</v>
      </c>
      <c r="O16" s="15">
        <f t="shared" si="0"/>
        <v>1</v>
      </c>
      <c r="P16" s="15">
        <f t="shared" si="1"/>
        <v>5.7142857142857144</v>
      </c>
      <c r="R16" s="1" t="s">
        <v>12</v>
      </c>
      <c r="S16" s="17">
        <f t="shared" ref="S16:AF16" si="8">SUM(C34:C37)</f>
        <v>1.857142857142857</v>
      </c>
      <c r="T16" s="17">
        <f t="shared" si="8"/>
        <v>0.5714285714285714</v>
      </c>
      <c r="U16" s="17">
        <f t="shared" si="8"/>
        <v>0.71428571428571419</v>
      </c>
      <c r="V16" s="17">
        <f t="shared" si="8"/>
        <v>2.5714285714285712</v>
      </c>
      <c r="W16" s="17">
        <f t="shared" si="8"/>
        <v>0</v>
      </c>
      <c r="X16" s="17">
        <f t="shared" si="8"/>
        <v>0</v>
      </c>
      <c r="Y16" s="17">
        <f t="shared" si="8"/>
        <v>1.4285714285714284</v>
      </c>
      <c r="Z16" s="17">
        <f t="shared" si="8"/>
        <v>2.1428571428571428</v>
      </c>
      <c r="AA16" s="17">
        <f t="shared" si="8"/>
        <v>0.14285714285714285</v>
      </c>
      <c r="AB16" s="17">
        <f t="shared" si="8"/>
        <v>0.14285714285714285</v>
      </c>
      <c r="AC16" s="17">
        <f t="shared" si="8"/>
        <v>22.714285714285715</v>
      </c>
      <c r="AD16" s="17">
        <f t="shared" si="8"/>
        <v>0</v>
      </c>
      <c r="AE16" s="31">
        <f t="shared" si="8"/>
        <v>9.5714285714285712</v>
      </c>
      <c r="AF16" s="31">
        <f t="shared" si="8"/>
        <v>32.285714285714285</v>
      </c>
    </row>
    <row r="17" spans="2:32" ht="23.1" customHeight="1" x14ac:dyDescent="0.25">
      <c r="B17" s="23" t="s">
        <v>44</v>
      </c>
      <c r="C17" s="49">
        <f>AVERAGE('17.10 NGOMA-KAPEEKA'!C17,'18.10 NGOMA KAPEEKA'!C17,'20.10 NGOMA-KAPEEKA'!C17,'22.10 NGOMA-KAPEERA'!C17,'19.10 NGOMA-KAPEEKA-24h'!C17,'21.10 NGOMA KAPEEKA-24h'!C17,'23.10 NGOMA-KAPEEKA'!C17)</f>
        <v>0.2857142857142857</v>
      </c>
      <c r="D17" s="49">
        <f>AVERAGE('17.10 NGOMA-KAPEEKA'!D17,'18.10 NGOMA KAPEEKA'!D17,'20.10 NGOMA-KAPEEKA'!D17,'22.10 NGOMA-KAPEERA'!D17,'19.10 NGOMA-KAPEEKA-24h'!D17,'21.10 NGOMA KAPEEKA-24h'!D17,'23.10 NGOMA-KAPEEKA'!D17)</f>
        <v>0.2857142857142857</v>
      </c>
      <c r="E17" s="49">
        <f>AVERAGE('17.10 NGOMA-KAPEEKA'!E17,'18.10 NGOMA KAPEEKA'!E17,'20.10 NGOMA-KAPEEKA'!E17,'22.10 NGOMA-KAPEERA'!E17,'19.10 NGOMA-KAPEEKA-24h'!E17,'21.10 NGOMA KAPEEKA-24h'!E17,'23.10 NGOMA-KAPEEKA'!E17)</f>
        <v>0.14285714285714285</v>
      </c>
      <c r="F17" s="49">
        <f>AVERAGE('17.10 NGOMA-KAPEEKA'!F17,'18.10 NGOMA KAPEEKA'!F17,'20.10 NGOMA-KAPEEKA'!F17,'22.10 NGOMA-KAPEERA'!F17,'19.10 NGOMA-KAPEEKA-24h'!F17,'21.10 NGOMA KAPEEKA-24h'!F17,'23.10 NGOMA-KAPEEKA'!F17)</f>
        <v>1</v>
      </c>
      <c r="G17" s="49">
        <f>AVERAGE('17.10 NGOMA-KAPEEKA'!G17,'18.10 NGOMA KAPEEKA'!G17,'20.10 NGOMA-KAPEEKA'!G17,'22.10 NGOMA-KAPEERA'!G17,'19.10 NGOMA-KAPEEKA-24h'!G17,'21.10 NGOMA KAPEEKA-24h'!G17,'23.10 NGOMA-KAPEEKA'!G17)</f>
        <v>0</v>
      </c>
      <c r="H17" s="49">
        <f>AVERAGE('17.10 NGOMA-KAPEEKA'!H17,'18.10 NGOMA KAPEEKA'!H17,'20.10 NGOMA-KAPEEKA'!H17,'22.10 NGOMA-KAPEERA'!H17,'19.10 NGOMA-KAPEEKA-24h'!H17,'21.10 NGOMA KAPEEKA-24h'!H17,'23.10 NGOMA-KAPEEKA'!H17)</f>
        <v>0</v>
      </c>
      <c r="I17" s="49">
        <f>AVERAGE('17.10 NGOMA-KAPEEKA'!I17,'18.10 NGOMA KAPEEKA'!I17,'20.10 NGOMA-KAPEEKA'!I17,'22.10 NGOMA-KAPEERA'!I17,'19.10 NGOMA-KAPEEKA-24h'!I17,'21.10 NGOMA KAPEEKA-24h'!I17,'23.10 NGOMA-KAPEEKA'!I17)</f>
        <v>0.2857142857142857</v>
      </c>
      <c r="J17" s="49">
        <f>AVERAGE('17.10 NGOMA-KAPEEKA'!J17,'18.10 NGOMA KAPEEKA'!J17,'20.10 NGOMA-KAPEEKA'!J17,'22.10 NGOMA-KAPEERA'!J17,'19.10 NGOMA-KAPEEKA-24h'!J17,'21.10 NGOMA KAPEEKA-24h'!J17,'23.10 NGOMA-KAPEEKA'!J17)</f>
        <v>0.2857142857142857</v>
      </c>
      <c r="K17" s="49">
        <f>AVERAGE('17.10 NGOMA-KAPEEKA'!K17,'18.10 NGOMA KAPEEKA'!K17,'20.10 NGOMA-KAPEEKA'!K17,'22.10 NGOMA-KAPEERA'!K17,'19.10 NGOMA-KAPEEKA-24h'!K17,'21.10 NGOMA KAPEEKA-24h'!K17,'23.10 NGOMA-KAPEEKA'!K17)</f>
        <v>0</v>
      </c>
      <c r="L17" s="49">
        <f>AVERAGE('17.10 NGOMA-KAPEEKA'!L17,'18.10 NGOMA KAPEEKA'!L17,'20.10 NGOMA-KAPEEKA'!L17,'22.10 NGOMA-KAPEERA'!L17,'19.10 NGOMA-KAPEEKA-24h'!L17,'21.10 NGOMA KAPEEKA-24h'!L17,'23.10 NGOMA-KAPEEKA'!L17)</f>
        <v>0</v>
      </c>
      <c r="M17" s="49">
        <f>AVERAGE('17.10 NGOMA-KAPEEKA'!M17,'18.10 NGOMA KAPEEKA'!M17,'20.10 NGOMA-KAPEEKA'!M17,'22.10 NGOMA-KAPEERA'!M17,'19.10 NGOMA-KAPEEKA-24h'!M17,'21.10 NGOMA KAPEEKA-24h'!M17,'23.10 NGOMA-KAPEEKA'!M17)</f>
        <v>4.7142857142857144</v>
      </c>
      <c r="N17" s="49">
        <f>AVERAGE('17.10 NGOMA-KAPEEKA'!N17,'18.10 NGOMA KAPEEKA'!N17,'20.10 NGOMA-KAPEEKA'!N17,'22.10 NGOMA-KAPEERA'!N17,'19.10 NGOMA-KAPEEKA-24h'!N17,'21.10 NGOMA KAPEEKA-24h'!N17,'23.10 NGOMA-KAPEEKA'!N17)</f>
        <v>0</v>
      </c>
      <c r="O17" s="15">
        <f t="shared" si="0"/>
        <v>2.2857142857142856</v>
      </c>
      <c r="P17" s="15">
        <f t="shared" si="1"/>
        <v>7</v>
      </c>
      <c r="R17" s="1" t="s">
        <v>13</v>
      </c>
      <c r="S17" s="17">
        <f t="shared" ref="S17:AF17" si="9">SUM(C38:C41)</f>
        <v>2.4285714285714284</v>
      </c>
      <c r="T17" s="17">
        <f t="shared" si="9"/>
        <v>1</v>
      </c>
      <c r="U17" s="17">
        <f t="shared" si="9"/>
        <v>1.8571428571428572</v>
      </c>
      <c r="V17" s="17">
        <f t="shared" si="9"/>
        <v>1.5714285714285712</v>
      </c>
      <c r="W17" s="17">
        <f t="shared" si="9"/>
        <v>0</v>
      </c>
      <c r="X17" s="17">
        <f t="shared" si="9"/>
        <v>0.14285714285714285</v>
      </c>
      <c r="Y17" s="17">
        <f t="shared" si="9"/>
        <v>2</v>
      </c>
      <c r="Z17" s="17">
        <f t="shared" si="9"/>
        <v>0.71428571428571419</v>
      </c>
      <c r="AA17" s="17">
        <f t="shared" si="9"/>
        <v>0</v>
      </c>
      <c r="AB17" s="17">
        <f t="shared" si="9"/>
        <v>0</v>
      </c>
      <c r="AC17" s="17">
        <f t="shared" si="9"/>
        <v>25.571428571428569</v>
      </c>
      <c r="AD17" s="17">
        <f t="shared" si="9"/>
        <v>0</v>
      </c>
      <c r="AE17" s="31">
        <f t="shared" si="9"/>
        <v>9.7142857142857135</v>
      </c>
      <c r="AF17" s="31">
        <f t="shared" si="9"/>
        <v>35.285714285714285</v>
      </c>
    </row>
    <row r="18" spans="2:32" ht="23.1" customHeight="1" x14ac:dyDescent="0.25">
      <c r="B18" s="23" t="s">
        <v>45</v>
      </c>
      <c r="C18" s="49">
        <f>AVERAGE('17.10 NGOMA-KAPEEKA'!C18,'18.10 NGOMA KAPEEKA'!C18,'20.10 NGOMA-KAPEEKA'!C18,'22.10 NGOMA-KAPEERA'!C18,'19.10 NGOMA-KAPEEKA-24h'!C18,'21.10 NGOMA KAPEEKA-24h'!C18,'23.10 NGOMA-KAPEEKA'!C18)</f>
        <v>0.5714285714285714</v>
      </c>
      <c r="D18" s="49">
        <f>AVERAGE('17.10 NGOMA-KAPEEKA'!D18,'18.10 NGOMA KAPEEKA'!D18,'20.10 NGOMA-KAPEEKA'!D18,'22.10 NGOMA-KAPEERA'!D18,'19.10 NGOMA-KAPEEKA-24h'!D18,'21.10 NGOMA KAPEEKA-24h'!D18,'23.10 NGOMA-KAPEEKA'!D18)</f>
        <v>0.2857142857142857</v>
      </c>
      <c r="E18" s="49">
        <f>AVERAGE('17.10 NGOMA-KAPEEKA'!E18,'18.10 NGOMA KAPEEKA'!E18,'20.10 NGOMA-KAPEEKA'!E18,'22.10 NGOMA-KAPEERA'!E18,'19.10 NGOMA-KAPEEKA-24h'!E18,'21.10 NGOMA KAPEEKA-24h'!E18,'23.10 NGOMA-KAPEEKA'!E18)</f>
        <v>0</v>
      </c>
      <c r="F18" s="49">
        <f>AVERAGE('17.10 NGOMA-KAPEEKA'!F18,'18.10 NGOMA KAPEEKA'!F18,'20.10 NGOMA-KAPEEKA'!F18,'22.10 NGOMA-KAPEERA'!F18,'19.10 NGOMA-KAPEEKA-24h'!F18,'21.10 NGOMA KAPEEKA-24h'!F18,'23.10 NGOMA-KAPEEKA'!F18)</f>
        <v>0.42857142857142855</v>
      </c>
      <c r="G18" s="49">
        <f>AVERAGE('17.10 NGOMA-KAPEEKA'!G18,'18.10 NGOMA KAPEEKA'!G18,'20.10 NGOMA-KAPEEKA'!G18,'22.10 NGOMA-KAPEERA'!G18,'19.10 NGOMA-KAPEEKA-24h'!G18,'21.10 NGOMA KAPEEKA-24h'!G18,'23.10 NGOMA-KAPEEKA'!G18)</f>
        <v>0</v>
      </c>
      <c r="H18" s="49">
        <f>AVERAGE('17.10 NGOMA-KAPEEKA'!H18,'18.10 NGOMA KAPEEKA'!H18,'20.10 NGOMA-KAPEEKA'!H18,'22.10 NGOMA-KAPEERA'!H18,'19.10 NGOMA-KAPEEKA-24h'!H18,'21.10 NGOMA KAPEEKA-24h'!H18,'23.10 NGOMA-KAPEEKA'!H18)</f>
        <v>0</v>
      </c>
      <c r="I18" s="49">
        <f>AVERAGE('17.10 NGOMA-KAPEEKA'!I18,'18.10 NGOMA KAPEEKA'!I18,'20.10 NGOMA-KAPEEKA'!I18,'22.10 NGOMA-KAPEERA'!I18,'19.10 NGOMA-KAPEEKA-24h'!I18,'21.10 NGOMA KAPEEKA-24h'!I18,'23.10 NGOMA-KAPEEKA'!I18)</f>
        <v>0.5714285714285714</v>
      </c>
      <c r="J18" s="49">
        <f>AVERAGE('17.10 NGOMA-KAPEEKA'!J18,'18.10 NGOMA KAPEEKA'!J18,'20.10 NGOMA-KAPEEKA'!J18,'22.10 NGOMA-KAPEERA'!J18,'19.10 NGOMA-KAPEEKA-24h'!J18,'21.10 NGOMA KAPEEKA-24h'!J18,'23.10 NGOMA-KAPEEKA'!J18)</f>
        <v>0</v>
      </c>
      <c r="K18" s="49">
        <f>AVERAGE('17.10 NGOMA-KAPEEKA'!K18,'18.10 NGOMA KAPEEKA'!K18,'20.10 NGOMA-KAPEEKA'!K18,'22.10 NGOMA-KAPEERA'!K18,'19.10 NGOMA-KAPEEKA-24h'!K18,'21.10 NGOMA KAPEEKA-24h'!K18,'23.10 NGOMA-KAPEEKA'!K18)</f>
        <v>0</v>
      </c>
      <c r="L18" s="49">
        <f>AVERAGE('17.10 NGOMA-KAPEEKA'!L18,'18.10 NGOMA KAPEEKA'!L18,'20.10 NGOMA-KAPEEKA'!L18,'22.10 NGOMA-KAPEERA'!L18,'19.10 NGOMA-KAPEEKA-24h'!L18,'21.10 NGOMA KAPEEKA-24h'!L18,'23.10 NGOMA-KAPEEKA'!L18)</f>
        <v>0</v>
      </c>
      <c r="M18" s="49">
        <f>AVERAGE('17.10 NGOMA-KAPEEKA'!M18,'18.10 NGOMA KAPEEKA'!M18,'20.10 NGOMA-KAPEEKA'!M18,'22.10 NGOMA-KAPEERA'!M18,'19.10 NGOMA-KAPEEKA-24h'!M18,'21.10 NGOMA KAPEEKA-24h'!M18,'23.10 NGOMA-KAPEEKA'!M18)</f>
        <v>4</v>
      </c>
      <c r="N18" s="49">
        <f>AVERAGE('17.10 NGOMA-KAPEEKA'!N18,'18.10 NGOMA KAPEEKA'!N18,'20.10 NGOMA-KAPEEKA'!N18,'22.10 NGOMA-KAPEERA'!N18,'19.10 NGOMA-KAPEEKA-24h'!N18,'21.10 NGOMA KAPEEKA-24h'!N18,'23.10 NGOMA-KAPEEKA'!N18)</f>
        <v>0</v>
      </c>
      <c r="O18" s="15">
        <f t="shared" si="0"/>
        <v>1.857142857142857</v>
      </c>
      <c r="P18" s="15">
        <f t="shared" si="1"/>
        <v>5.8571428571428568</v>
      </c>
      <c r="R18" s="1" t="s">
        <v>14</v>
      </c>
      <c r="S18" s="17">
        <f t="shared" ref="S18:AF18" si="10">SUM(C42:C45)</f>
        <v>3</v>
      </c>
      <c r="T18" s="17">
        <f t="shared" si="10"/>
        <v>1.857142857142857</v>
      </c>
      <c r="U18" s="17">
        <f t="shared" si="10"/>
        <v>1.7142857142857142</v>
      </c>
      <c r="V18" s="17">
        <f t="shared" si="10"/>
        <v>1.7142857142857142</v>
      </c>
      <c r="W18" s="17">
        <f t="shared" si="10"/>
        <v>0.14285714285714285</v>
      </c>
      <c r="X18" s="17">
        <f t="shared" si="10"/>
        <v>0</v>
      </c>
      <c r="Y18" s="17">
        <f t="shared" si="10"/>
        <v>3.5714285714285712</v>
      </c>
      <c r="Z18" s="17">
        <f t="shared" si="10"/>
        <v>0.42857142857142855</v>
      </c>
      <c r="AA18" s="17">
        <f t="shared" si="10"/>
        <v>0.2857142857142857</v>
      </c>
      <c r="AB18" s="17">
        <f t="shared" si="10"/>
        <v>0.14285714285714285</v>
      </c>
      <c r="AC18" s="17">
        <f t="shared" si="10"/>
        <v>24.142857142857146</v>
      </c>
      <c r="AD18" s="17">
        <f t="shared" si="10"/>
        <v>0</v>
      </c>
      <c r="AE18" s="31">
        <f t="shared" si="10"/>
        <v>12.857142857142856</v>
      </c>
      <c r="AF18" s="31">
        <f t="shared" si="10"/>
        <v>37</v>
      </c>
    </row>
    <row r="19" spans="2:32" ht="23.1" customHeight="1" x14ac:dyDescent="0.25">
      <c r="B19" s="23" t="s">
        <v>46</v>
      </c>
      <c r="C19" s="49">
        <f>AVERAGE('17.10 NGOMA-KAPEEKA'!C19,'18.10 NGOMA KAPEEKA'!C19,'20.10 NGOMA-KAPEEKA'!C19,'22.10 NGOMA-KAPEERA'!C19,'19.10 NGOMA-KAPEEKA-24h'!C19,'21.10 NGOMA KAPEEKA-24h'!C19,'23.10 NGOMA-KAPEEKA'!C19)</f>
        <v>0</v>
      </c>
      <c r="D19" s="49">
        <f>AVERAGE('17.10 NGOMA-KAPEEKA'!D19,'18.10 NGOMA KAPEEKA'!D19,'20.10 NGOMA-KAPEEKA'!D19,'22.10 NGOMA-KAPEERA'!D19,'19.10 NGOMA-KAPEEKA-24h'!D19,'21.10 NGOMA KAPEEKA-24h'!D19,'23.10 NGOMA-KAPEEKA'!D19)</f>
        <v>0.14285714285714285</v>
      </c>
      <c r="E19" s="49">
        <f>AVERAGE('17.10 NGOMA-KAPEEKA'!E19,'18.10 NGOMA KAPEEKA'!E19,'20.10 NGOMA-KAPEEKA'!E19,'22.10 NGOMA-KAPEERA'!E19,'19.10 NGOMA-KAPEEKA-24h'!E19,'21.10 NGOMA KAPEEKA-24h'!E19,'23.10 NGOMA-KAPEEKA'!E19)</f>
        <v>0.42857142857142855</v>
      </c>
      <c r="F19" s="49">
        <f>AVERAGE('17.10 NGOMA-KAPEEKA'!F19,'18.10 NGOMA KAPEEKA'!F19,'20.10 NGOMA-KAPEEKA'!F19,'22.10 NGOMA-KAPEERA'!F19,'19.10 NGOMA-KAPEEKA-24h'!F19,'21.10 NGOMA KAPEEKA-24h'!F19,'23.10 NGOMA-KAPEEKA'!F19)</f>
        <v>0.5714285714285714</v>
      </c>
      <c r="G19" s="49">
        <f>AVERAGE('17.10 NGOMA-KAPEEKA'!G19,'18.10 NGOMA KAPEEKA'!G19,'20.10 NGOMA-KAPEEKA'!G19,'22.10 NGOMA-KAPEERA'!G19,'19.10 NGOMA-KAPEEKA-24h'!G19,'21.10 NGOMA KAPEEKA-24h'!G19,'23.10 NGOMA-KAPEEKA'!G19)</f>
        <v>0</v>
      </c>
      <c r="H19" s="49">
        <f>AVERAGE('17.10 NGOMA-KAPEEKA'!H19,'18.10 NGOMA KAPEEKA'!H19,'20.10 NGOMA-KAPEEKA'!H19,'22.10 NGOMA-KAPEERA'!H19,'19.10 NGOMA-KAPEEKA-24h'!H19,'21.10 NGOMA KAPEEKA-24h'!H19,'23.10 NGOMA-KAPEEKA'!H19)</f>
        <v>0</v>
      </c>
      <c r="I19" s="49">
        <f>AVERAGE('17.10 NGOMA-KAPEEKA'!I19,'18.10 NGOMA KAPEEKA'!I19,'20.10 NGOMA-KAPEEKA'!I19,'22.10 NGOMA-KAPEERA'!I19,'19.10 NGOMA-KAPEEKA-24h'!I19,'21.10 NGOMA KAPEEKA-24h'!I19,'23.10 NGOMA-KAPEEKA'!I19)</f>
        <v>0.42857142857142855</v>
      </c>
      <c r="J19" s="49">
        <f>AVERAGE('17.10 NGOMA-KAPEEKA'!J19,'18.10 NGOMA KAPEEKA'!J19,'20.10 NGOMA-KAPEEKA'!J19,'22.10 NGOMA-KAPEERA'!J19,'19.10 NGOMA-KAPEEKA-24h'!J19,'21.10 NGOMA KAPEEKA-24h'!J19,'23.10 NGOMA-KAPEEKA'!J19)</f>
        <v>0</v>
      </c>
      <c r="K19" s="49">
        <f>AVERAGE('17.10 NGOMA-KAPEEKA'!K19,'18.10 NGOMA KAPEEKA'!K19,'20.10 NGOMA-KAPEEKA'!K19,'22.10 NGOMA-KAPEERA'!K19,'19.10 NGOMA-KAPEEKA-24h'!K19,'21.10 NGOMA KAPEEKA-24h'!K19,'23.10 NGOMA-KAPEEKA'!K19)</f>
        <v>0</v>
      </c>
      <c r="L19" s="49">
        <f>AVERAGE('17.10 NGOMA-KAPEEKA'!L19,'18.10 NGOMA KAPEEKA'!L19,'20.10 NGOMA-KAPEEKA'!L19,'22.10 NGOMA-KAPEERA'!L19,'19.10 NGOMA-KAPEEKA-24h'!L19,'21.10 NGOMA KAPEEKA-24h'!L19,'23.10 NGOMA-KAPEEKA'!L19)</f>
        <v>0</v>
      </c>
      <c r="M19" s="49">
        <f>AVERAGE('17.10 NGOMA-KAPEEKA'!M19,'18.10 NGOMA KAPEEKA'!M19,'20.10 NGOMA-KAPEEKA'!M19,'22.10 NGOMA-KAPEERA'!M19,'19.10 NGOMA-KAPEEKA-24h'!M19,'21.10 NGOMA KAPEEKA-24h'!M19,'23.10 NGOMA-KAPEEKA'!M19)</f>
        <v>4.8571428571428568</v>
      </c>
      <c r="N19" s="49">
        <f>AVERAGE('17.10 NGOMA-KAPEEKA'!N19,'18.10 NGOMA KAPEEKA'!N19,'20.10 NGOMA-KAPEEKA'!N19,'22.10 NGOMA-KAPEERA'!N19,'19.10 NGOMA-KAPEEKA-24h'!N19,'21.10 NGOMA KAPEEKA-24h'!N19,'23.10 NGOMA-KAPEEKA'!N19)</f>
        <v>0</v>
      </c>
      <c r="O19" s="15">
        <f t="shared" si="0"/>
        <v>1.5714285714285714</v>
      </c>
      <c r="P19" s="15">
        <f t="shared" si="1"/>
        <v>6.4285714285714279</v>
      </c>
      <c r="R19" s="1" t="s">
        <v>15</v>
      </c>
      <c r="S19" s="17">
        <f t="shared" ref="S19:AF19" si="11">SUM(C46:C49)</f>
        <v>3</v>
      </c>
      <c r="T19" s="17">
        <f t="shared" si="11"/>
        <v>0.85714285714285698</v>
      </c>
      <c r="U19" s="17">
        <f t="shared" si="11"/>
        <v>1.2857142857142856</v>
      </c>
      <c r="V19" s="17">
        <f t="shared" si="11"/>
        <v>2.1428571428571428</v>
      </c>
      <c r="W19" s="17">
        <f t="shared" si="11"/>
        <v>0</v>
      </c>
      <c r="X19" s="17">
        <f t="shared" si="11"/>
        <v>0</v>
      </c>
      <c r="Y19" s="17">
        <f t="shared" si="11"/>
        <v>2.8571428571428568</v>
      </c>
      <c r="Z19" s="17">
        <f t="shared" si="11"/>
        <v>0.14285714285714285</v>
      </c>
      <c r="AA19" s="17">
        <f t="shared" si="11"/>
        <v>0.14285714285714285</v>
      </c>
      <c r="AB19" s="17">
        <f t="shared" si="11"/>
        <v>0.14285714285714285</v>
      </c>
      <c r="AC19" s="17">
        <f t="shared" si="11"/>
        <v>23</v>
      </c>
      <c r="AD19" s="17">
        <f t="shared" si="11"/>
        <v>0.14285714285714285</v>
      </c>
      <c r="AE19" s="31">
        <f t="shared" si="11"/>
        <v>10.714285714285714</v>
      </c>
      <c r="AF19" s="31">
        <f t="shared" si="11"/>
        <v>33.714285714285708</v>
      </c>
    </row>
    <row r="20" spans="2:32" ht="23.1" customHeight="1" x14ac:dyDescent="0.25">
      <c r="B20" s="23" t="s">
        <v>47</v>
      </c>
      <c r="C20" s="49">
        <f>AVERAGE('17.10 NGOMA-KAPEEKA'!C20,'18.10 NGOMA KAPEEKA'!C20,'20.10 NGOMA-KAPEEKA'!C20,'22.10 NGOMA-KAPEERA'!C20,'19.10 NGOMA-KAPEEKA-24h'!C20,'21.10 NGOMA KAPEEKA-24h'!C20,'23.10 NGOMA-KAPEEKA'!C20)</f>
        <v>0.2857142857142857</v>
      </c>
      <c r="D20" s="49">
        <f>AVERAGE('17.10 NGOMA-KAPEEKA'!D20,'18.10 NGOMA KAPEEKA'!D20,'20.10 NGOMA-KAPEEKA'!D20,'22.10 NGOMA-KAPEERA'!D20,'19.10 NGOMA-KAPEEKA-24h'!D20,'21.10 NGOMA KAPEEKA-24h'!D20,'23.10 NGOMA-KAPEEKA'!D20)</f>
        <v>0</v>
      </c>
      <c r="E20" s="49">
        <f>AVERAGE('17.10 NGOMA-KAPEEKA'!E20,'18.10 NGOMA KAPEEKA'!E20,'20.10 NGOMA-KAPEEKA'!E20,'22.10 NGOMA-KAPEERA'!E20,'19.10 NGOMA-KAPEEKA-24h'!E20,'21.10 NGOMA KAPEEKA-24h'!E20,'23.10 NGOMA-KAPEEKA'!E20)</f>
        <v>0</v>
      </c>
      <c r="F20" s="49">
        <f>AVERAGE('17.10 NGOMA-KAPEEKA'!F20,'18.10 NGOMA KAPEEKA'!F20,'20.10 NGOMA-KAPEEKA'!F20,'22.10 NGOMA-KAPEERA'!F20,'19.10 NGOMA-KAPEEKA-24h'!F20,'21.10 NGOMA KAPEEKA-24h'!F20,'23.10 NGOMA-KAPEEKA'!F20)</f>
        <v>0.5714285714285714</v>
      </c>
      <c r="G20" s="49">
        <f>AVERAGE('17.10 NGOMA-KAPEEKA'!G20,'18.10 NGOMA KAPEEKA'!G20,'20.10 NGOMA-KAPEEKA'!G20,'22.10 NGOMA-KAPEERA'!G20,'19.10 NGOMA-KAPEEKA-24h'!G20,'21.10 NGOMA KAPEEKA-24h'!G20,'23.10 NGOMA-KAPEEKA'!G20)</f>
        <v>0</v>
      </c>
      <c r="H20" s="49">
        <f>AVERAGE('17.10 NGOMA-KAPEEKA'!H20,'18.10 NGOMA KAPEEKA'!H20,'20.10 NGOMA-KAPEEKA'!H20,'22.10 NGOMA-KAPEERA'!H20,'19.10 NGOMA-KAPEEKA-24h'!H20,'21.10 NGOMA KAPEEKA-24h'!H20,'23.10 NGOMA-KAPEEKA'!H20)</f>
        <v>0</v>
      </c>
      <c r="I20" s="49">
        <f>AVERAGE('17.10 NGOMA-KAPEEKA'!I20,'18.10 NGOMA KAPEEKA'!I20,'20.10 NGOMA-KAPEEKA'!I20,'22.10 NGOMA-KAPEERA'!I20,'19.10 NGOMA-KAPEEKA-24h'!I20,'21.10 NGOMA KAPEEKA-24h'!I20,'23.10 NGOMA-KAPEEKA'!I20)</f>
        <v>0.2857142857142857</v>
      </c>
      <c r="J20" s="49">
        <f>AVERAGE('17.10 NGOMA-KAPEEKA'!J20,'18.10 NGOMA KAPEEKA'!J20,'20.10 NGOMA-KAPEEKA'!J20,'22.10 NGOMA-KAPEERA'!J20,'19.10 NGOMA-KAPEEKA-24h'!J20,'21.10 NGOMA KAPEEKA-24h'!J20,'23.10 NGOMA-KAPEEKA'!J20)</f>
        <v>0.2857142857142857</v>
      </c>
      <c r="K20" s="49">
        <f>AVERAGE('17.10 NGOMA-KAPEEKA'!K20,'18.10 NGOMA KAPEEKA'!K20,'20.10 NGOMA-KAPEEKA'!K20,'22.10 NGOMA-KAPEERA'!K20,'19.10 NGOMA-KAPEEKA-24h'!K20,'21.10 NGOMA KAPEEKA-24h'!K20,'23.10 NGOMA-KAPEEKA'!K20)</f>
        <v>0</v>
      </c>
      <c r="L20" s="49">
        <f>AVERAGE('17.10 NGOMA-KAPEEKA'!L20,'18.10 NGOMA KAPEEKA'!L20,'20.10 NGOMA-KAPEEKA'!L20,'22.10 NGOMA-KAPEERA'!L20,'19.10 NGOMA-KAPEEKA-24h'!L20,'21.10 NGOMA KAPEEKA-24h'!L20,'23.10 NGOMA-KAPEEKA'!L20)</f>
        <v>0</v>
      </c>
      <c r="M20" s="49">
        <f>AVERAGE('17.10 NGOMA-KAPEEKA'!M20,'18.10 NGOMA KAPEEKA'!M20,'20.10 NGOMA-KAPEEKA'!M20,'22.10 NGOMA-KAPEERA'!M20,'19.10 NGOMA-KAPEEKA-24h'!M20,'21.10 NGOMA KAPEEKA-24h'!M20,'23.10 NGOMA-KAPEEKA'!M20)</f>
        <v>5.1428571428571432</v>
      </c>
      <c r="N20" s="49">
        <f>AVERAGE('17.10 NGOMA-KAPEEKA'!N20,'18.10 NGOMA KAPEEKA'!N20,'20.10 NGOMA-KAPEEKA'!N20,'22.10 NGOMA-KAPEERA'!N20,'19.10 NGOMA-KAPEEKA-24h'!N20,'21.10 NGOMA KAPEEKA-24h'!N20,'23.10 NGOMA-KAPEEKA'!N20)</f>
        <v>0</v>
      </c>
      <c r="O20" s="15">
        <f t="shared" si="0"/>
        <v>1.4285714285714284</v>
      </c>
      <c r="P20" s="15">
        <f t="shared" si="1"/>
        <v>6.5714285714285712</v>
      </c>
      <c r="R20" s="1" t="s">
        <v>16</v>
      </c>
      <c r="S20" s="17">
        <f t="shared" ref="S20:AF20" si="12">SUM(C50:C53)</f>
        <v>2.2857142857142856</v>
      </c>
      <c r="T20" s="17">
        <f t="shared" si="12"/>
        <v>1.7142857142857142</v>
      </c>
      <c r="U20" s="17">
        <f t="shared" si="12"/>
        <v>1.1428571428571428</v>
      </c>
      <c r="V20" s="17">
        <f t="shared" si="12"/>
        <v>1.1428571428571428</v>
      </c>
      <c r="W20" s="17">
        <f t="shared" si="12"/>
        <v>0</v>
      </c>
      <c r="X20" s="17">
        <f t="shared" si="12"/>
        <v>0</v>
      </c>
      <c r="Y20" s="17">
        <f t="shared" si="12"/>
        <v>4.2857142857142856</v>
      </c>
      <c r="Z20" s="17">
        <f t="shared" si="12"/>
        <v>0.5714285714285714</v>
      </c>
      <c r="AA20" s="17">
        <f t="shared" si="12"/>
        <v>0</v>
      </c>
      <c r="AB20" s="17">
        <f t="shared" si="12"/>
        <v>0.14285714285714285</v>
      </c>
      <c r="AC20" s="17">
        <f t="shared" si="12"/>
        <v>20.142857142857142</v>
      </c>
      <c r="AD20" s="17">
        <f t="shared" si="12"/>
        <v>1.4285714285714284</v>
      </c>
      <c r="AE20" s="31">
        <f t="shared" si="12"/>
        <v>12.714285714285714</v>
      </c>
      <c r="AF20" s="31">
        <f t="shared" si="12"/>
        <v>32.857142857142854</v>
      </c>
    </row>
    <row r="21" spans="2:32" ht="23.1" customHeight="1" x14ac:dyDescent="0.25">
      <c r="B21" s="23" t="s">
        <v>48</v>
      </c>
      <c r="C21" s="49">
        <f>AVERAGE('17.10 NGOMA-KAPEEKA'!C21,'18.10 NGOMA KAPEEKA'!C21,'20.10 NGOMA-KAPEEKA'!C21,'22.10 NGOMA-KAPEERA'!C21,'19.10 NGOMA-KAPEEKA-24h'!C21,'21.10 NGOMA KAPEEKA-24h'!C21,'23.10 NGOMA-KAPEEKA'!C21)</f>
        <v>0.2857142857142857</v>
      </c>
      <c r="D21" s="49">
        <f>AVERAGE('17.10 NGOMA-KAPEEKA'!D21,'18.10 NGOMA KAPEEKA'!D21,'20.10 NGOMA-KAPEEKA'!D21,'22.10 NGOMA-KAPEERA'!D21,'19.10 NGOMA-KAPEEKA-24h'!D21,'21.10 NGOMA KAPEEKA-24h'!D21,'23.10 NGOMA-KAPEEKA'!D21)</f>
        <v>0</v>
      </c>
      <c r="E21" s="49">
        <f>AVERAGE('17.10 NGOMA-KAPEEKA'!E21,'18.10 NGOMA KAPEEKA'!E21,'20.10 NGOMA-KAPEEKA'!E21,'22.10 NGOMA-KAPEERA'!E21,'19.10 NGOMA-KAPEEKA-24h'!E21,'21.10 NGOMA KAPEEKA-24h'!E21,'23.10 NGOMA-KAPEEKA'!E21)</f>
        <v>0</v>
      </c>
      <c r="F21" s="49">
        <f>AVERAGE('17.10 NGOMA-KAPEEKA'!F21,'18.10 NGOMA KAPEEKA'!F21,'20.10 NGOMA-KAPEEKA'!F21,'22.10 NGOMA-KAPEERA'!F21,'19.10 NGOMA-KAPEEKA-24h'!F21,'21.10 NGOMA KAPEEKA-24h'!F21,'23.10 NGOMA-KAPEEKA'!F21)</f>
        <v>0.5714285714285714</v>
      </c>
      <c r="G21" s="49">
        <f>AVERAGE('17.10 NGOMA-KAPEEKA'!G21,'18.10 NGOMA KAPEEKA'!G21,'20.10 NGOMA-KAPEEKA'!G21,'22.10 NGOMA-KAPEERA'!G21,'19.10 NGOMA-KAPEEKA-24h'!G21,'21.10 NGOMA KAPEEKA-24h'!G21,'23.10 NGOMA-KAPEEKA'!G21)</f>
        <v>0</v>
      </c>
      <c r="H21" s="49">
        <f>AVERAGE('17.10 NGOMA-KAPEEKA'!H21,'18.10 NGOMA KAPEEKA'!H21,'20.10 NGOMA-KAPEEKA'!H21,'22.10 NGOMA-KAPEERA'!H21,'19.10 NGOMA-KAPEEKA-24h'!H21,'21.10 NGOMA KAPEEKA-24h'!H21,'23.10 NGOMA-KAPEEKA'!H21)</f>
        <v>0</v>
      </c>
      <c r="I21" s="49">
        <f>AVERAGE('17.10 NGOMA-KAPEEKA'!I21,'18.10 NGOMA KAPEEKA'!I21,'20.10 NGOMA-KAPEEKA'!I21,'22.10 NGOMA-KAPEERA'!I21,'19.10 NGOMA-KAPEEKA-24h'!I21,'21.10 NGOMA KAPEEKA-24h'!I21,'23.10 NGOMA-KAPEEKA'!I21)</f>
        <v>0.14285714285714285</v>
      </c>
      <c r="J21" s="49">
        <f>AVERAGE('17.10 NGOMA-KAPEEKA'!J21,'18.10 NGOMA KAPEEKA'!J21,'20.10 NGOMA-KAPEEKA'!J21,'22.10 NGOMA-KAPEERA'!J21,'19.10 NGOMA-KAPEEKA-24h'!J21,'21.10 NGOMA KAPEEKA-24h'!J21,'23.10 NGOMA-KAPEEKA'!J21)</f>
        <v>0</v>
      </c>
      <c r="K21" s="49">
        <f>AVERAGE('17.10 NGOMA-KAPEEKA'!K21,'18.10 NGOMA KAPEEKA'!K21,'20.10 NGOMA-KAPEEKA'!K21,'22.10 NGOMA-KAPEERA'!K21,'19.10 NGOMA-KAPEEKA-24h'!K21,'21.10 NGOMA KAPEEKA-24h'!K21,'23.10 NGOMA-KAPEEKA'!K21)</f>
        <v>0</v>
      </c>
      <c r="L21" s="49">
        <f>AVERAGE('17.10 NGOMA-KAPEEKA'!L21,'18.10 NGOMA KAPEEKA'!L21,'20.10 NGOMA-KAPEEKA'!L21,'22.10 NGOMA-KAPEERA'!L21,'19.10 NGOMA-KAPEEKA-24h'!L21,'21.10 NGOMA KAPEEKA-24h'!L21,'23.10 NGOMA-KAPEEKA'!L21)</f>
        <v>0</v>
      </c>
      <c r="M21" s="49">
        <f>AVERAGE('17.10 NGOMA-KAPEEKA'!M21,'18.10 NGOMA KAPEEKA'!M21,'20.10 NGOMA-KAPEEKA'!M21,'22.10 NGOMA-KAPEERA'!M21,'19.10 NGOMA-KAPEEKA-24h'!M21,'21.10 NGOMA KAPEEKA-24h'!M21,'23.10 NGOMA-KAPEEKA'!M21)</f>
        <v>2.1428571428571428</v>
      </c>
      <c r="N21" s="49">
        <f>AVERAGE('17.10 NGOMA-KAPEEKA'!N21,'18.10 NGOMA KAPEEKA'!N21,'20.10 NGOMA-KAPEEKA'!N21,'22.10 NGOMA-KAPEERA'!N21,'19.10 NGOMA-KAPEEKA-24h'!N21,'21.10 NGOMA KAPEEKA-24h'!N21,'23.10 NGOMA-KAPEEKA'!N21)</f>
        <v>0</v>
      </c>
      <c r="O21" s="15">
        <f t="shared" si="0"/>
        <v>1</v>
      </c>
      <c r="P21" s="15">
        <f t="shared" si="1"/>
        <v>3.1428571428571428</v>
      </c>
      <c r="R21" s="36" t="s">
        <v>20</v>
      </c>
      <c r="S21" s="34">
        <f t="shared" ref="S21:AF21" si="13">SUM(C54:C57)</f>
        <v>3.2857142857142856</v>
      </c>
      <c r="T21" s="17">
        <f t="shared" si="13"/>
        <v>1.5714285714285714</v>
      </c>
      <c r="U21" s="17">
        <f t="shared" si="13"/>
        <v>1.714285714285714</v>
      </c>
      <c r="V21" s="17">
        <f t="shared" si="13"/>
        <v>1.7142857142857142</v>
      </c>
      <c r="W21" s="17">
        <f t="shared" si="13"/>
        <v>0.2857142857142857</v>
      </c>
      <c r="X21" s="17">
        <f t="shared" si="13"/>
        <v>0.2857142857142857</v>
      </c>
      <c r="Y21" s="17">
        <f t="shared" si="13"/>
        <v>3.8571428571428568</v>
      </c>
      <c r="Z21" s="17">
        <f t="shared" si="13"/>
        <v>1.5714285714285712</v>
      </c>
      <c r="AA21" s="17">
        <f t="shared" si="13"/>
        <v>0.14285714285714285</v>
      </c>
      <c r="AB21" s="17">
        <f t="shared" si="13"/>
        <v>0</v>
      </c>
      <c r="AC21" s="17">
        <f t="shared" si="13"/>
        <v>23.595238095238095</v>
      </c>
      <c r="AD21" s="17">
        <f t="shared" si="13"/>
        <v>0</v>
      </c>
      <c r="AE21" s="31">
        <f t="shared" si="13"/>
        <v>14.428571428571427</v>
      </c>
      <c r="AF21" s="31">
        <f t="shared" si="13"/>
        <v>38.023809523809518</v>
      </c>
    </row>
    <row r="22" spans="2:32" ht="23.1" customHeight="1" x14ac:dyDescent="0.25">
      <c r="B22" s="23" t="s">
        <v>49</v>
      </c>
      <c r="C22" s="49">
        <f>AVERAGE('17.10 NGOMA-KAPEEKA'!C22,'18.10 NGOMA KAPEEKA'!C22,'20.10 NGOMA-KAPEEKA'!C22,'22.10 NGOMA-KAPEERA'!C22,'19.10 NGOMA-KAPEEKA-24h'!C22,'21.10 NGOMA KAPEEKA-24h'!C22,'23.10 NGOMA-KAPEEKA'!C22)</f>
        <v>0.8571428571428571</v>
      </c>
      <c r="D22" s="49">
        <f>AVERAGE('17.10 NGOMA-KAPEEKA'!D22,'18.10 NGOMA KAPEEKA'!D22,'20.10 NGOMA-KAPEEKA'!D22,'22.10 NGOMA-KAPEERA'!D22,'19.10 NGOMA-KAPEEKA-24h'!D22,'21.10 NGOMA KAPEEKA-24h'!D22,'23.10 NGOMA-KAPEEKA'!D22)</f>
        <v>0.14285714285714285</v>
      </c>
      <c r="E22" s="49">
        <f>AVERAGE('17.10 NGOMA-KAPEEKA'!E22,'18.10 NGOMA KAPEEKA'!E22,'20.10 NGOMA-KAPEEKA'!E22,'22.10 NGOMA-KAPEERA'!E22,'19.10 NGOMA-KAPEEKA-24h'!E22,'21.10 NGOMA KAPEEKA-24h'!E22,'23.10 NGOMA-KAPEEKA'!E22)</f>
        <v>0.2857142857142857</v>
      </c>
      <c r="F22" s="49">
        <f>AVERAGE('17.10 NGOMA-KAPEEKA'!F22,'18.10 NGOMA KAPEEKA'!F22,'20.10 NGOMA-KAPEEKA'!F22,'22.10 NGOMA-KAPEERA'!F22,'19.10 NGOMA-KAPEEKA-24h'!F22,'21.10 NGOMA KAPEEKA-24h'!F22,'23.10 NGOMA-KAPEEKA'!F22)</f>
        <v>0.42857142857142855</v>
      </c>
      <c r="G22" s="49">
        <f>AVERAGE('17.10 NGOMA-KAPEEKA'!G22,'18.10 NGOMA KAPEEKA'!G22,'20.10 NGOMA-KAPEEKA'!G22,'22.10 NGOMA-KAPEERA'!G22,'19.10 NGOMA-KAPEEKA-24h'!G22,'21.10 NGOMA KAPEEKA-24h'!G22,'23.10 NGOMA-KAPEEKA'!G22)</f>
        <v>0</v>
      </c>
      <c r="H22" s="49">
        <f>AVERAGE('17.10 NGOMA-KAPEEKA'!H22,'18.10 NGOMA KAPEEKA'!H22,'20.10 NGOMA-KAPEEKA'!H22,'22.10 NGOMA-KAPEERA'!H22,'19.10 NGOMA-KAPEEKA-24h'!H22,'21.10 NGOMA KAPEEKA-24h'!H22,'23.10 NGOMA-KAPEEKA'!H22)</f>
        <v>0</v>
      </c>
      <c r="I22" s="49">
        <f>AVERAGE('17.10 NGOMA-KAPEEKA'!I22,'18.10 NGOMA KAPEEKA'!I22,'20.10 NGOMA-KAPEEKA'!I22,'22.10 NGOMA-KAPEERA'!I22,'19.10 NGOMA-KAPEEKA-24h'!I22,'21.10 NGOMA KAPEEKA-24h'!I22,'23.10 NGOMA-KAPEEKA'!I22)</f>
        <v>0.2857142857142857</v>
      </c>
      <c r="J22" s="49">
        <f>AVERAGE('17.10 NGOMA-KAPEEKA'!J22,'18.10 NGOMA KAPEEKA'!J22,'20.10 NGOMA-KAPEEKA'!J22,'22.10 NGOMA-KAPEERA'!J22,'19.10 NGOMA-KAPEEKA-24h'!J22,'21.10 NGOMA KAPEEKA-24h'!J22,'23.10 NGOMA-KAPEEKA'!J22)</f>
        <v>0</v>
      </c>
      <c r="K22" s="49">
        <f>AVERAGE('17.10 NGOMA-KAPEEKA'!K22,'18.10 NGOMA KAPEEKA'!K22,'20.10 NGOMA-KAPEEKA'!K22,'22.10 NGOMA-KAPEERA'!K22,'19.10 NGOMA-KAPEEKA-24h'!K22,'21.10 NGOMA KAPEEKA-24h'!K22,'23.10 NGOMA-KAPEEKA'!K22)</f>
        <v>0</v>
      </c>
      <c r="L22" s="49">
        <f>AVERAGE('17.10 NGOMA-KAPEEKA'!L22,'18.10 NGOMA KAPEEKA'!L22,'20.10 NGOMA-KAPEEKA'!L22,'22.10 NGOMA-KAPEERA'!L22,'19.10 NGOMA-KAPEEKA-24h'!L22,'21.10 NGOMA KAPEEKA-24h'!L22,'23.10 NGOMA-KAPEEKA'!L22)</f>
        <v>0</v>
      </c>
      <c r="M22" s="49">
        <f>AVERAGE('17.10 NGOMA-KAPEEKA'!M22,'18.10 NGOMA KAPEEKA'!M22,'20.10 NGOMA-KAPEEKA'!M22,'22.10 NGOMA-KAPEERA'!M22,'19.10 NGOMA-KAPEEKA-24h'!M22,'21.10 NGOMA KAPEEKA-24h'!M22,'23.10 NGOMA-KAPEEKA'!M22)</f>
        <v>4.7142857142857144</v>
      </c>
      <c r="N22" s="49">
        <f>AVERAGE('17.10 NGOMA-KAPEEKA'!N22,'18.10 NGOMA KAPEEKA'!N22,'20.10 NGOMA-KAPEEKA'!N22,'22.10 NGOMA-KAPEERA'!N22,'19.10 NGOMA-KAPEEKA-24h'!N22,'21.10 NGOMA KAPEEKA-24h'!N22,'23.10 NGOMA-KAPEEKA'!N22)</f>
        <v>0</v>
      </c>
      <c r="O22" s="15">
        <f t="shared" si="0"/>
        <v>2</v>
      </c>
      <c r="P22" s="15">
        <f t="shared" si="1"/>
        <v>6.7142857142857144</v>
      </c>
      <c r="R22" s="1" t="s">
        <v>146</v>
      </c>
      <c r="S22" s="34">
        <f>SUM(C58:C61)</f>
        <v>3</v>
      </c>
      <c r="T22" s="34">
        <f t="shared" ref="T22:AF22" si="14">SUM(D58:D61)</f>
        <v>0</v>
      </c>
      <c r="U22" s="34">
        <f t="shared" si="14"/>
        <v>2.5</v>
      </c>
      <c r="V22" s="34">
        <f t="shared" si="14"/>
        <v>1.5</v>
      </c>
      <c r="W22" s="34">
        <f t="shared" si="14"/>
        <v>0</v>
      </c>
      <c r="X22" s="34">
        <f t="shared" si="14"/>
        <v>0</v>
      </c>
      <c r="Y22" s="34">
        <f t="shared" si="14"/>
        <v>4.5</v>
      </c>
      <c r="Z22" s="34">
        <f t="shared" si="14"/>
        <v>2.5</v>
      </c>
      <c r="AA22" s="34">
        <f t="shared" si="14"/>
        <v>0</v>
      </c>
      <c r="AB22" s="34">
        <f t="shared" si="14"/>
        <v>0</v>
      </c>
      <c r="AC22" s="34">
        <f t="shared" si="14"/>
        <v>21</v>
      </c>
      <c r="AD22" s="34">
        <f t="shared" si="14"/>
        <v>0</v>
      </c>
      <c r="AE22" s="31">
        <f t="shared" si="14"/>
        <v>14</v>
      </c>
      <c r="AF22" s="31">
        <f t="shared" si="14"/>
        <v>35</v>
      </c>
    </row>
    <row r="23" spans="2:32" ht="23.1" customHeight="1" x14ac:dyDescent="0.25">
      <c r="B23" s="23" t="s">
        <v>50</v>
      </c>
      <c r="C23" s="49">
        <f>AVERAGE('17.10 NGOMA-KAPEEKA'!C23,'18.10 NGOMA KAPEEKA'!C23,'20.10 NGOMA-KAPEEKA'!C23,'22.10 NGOMA-KAPEERA'!C23,'19.10 NGOMA-KAPEEKA-24h'!C23,'21.10 NGOMA KAPEEKA-24h'!C23,'23.10 NGOMA-KAPEEKA'!C23)</f>
        <v>0.7142857142857143</v>
      </c>
      <c r="D23" s="49">
        <f>AVERAGE('17.10 NGOMA-KAPEEKA'!D23,'18.10 NGOMA KAPEEKA'!D23,'20.10 NGOMA-KAPEEKA'!D23,'22.10 NGOMA-KAPEERA'!D23,'19.10 NGOMA-KAPEEKA-24h'!D23,'21.10 NGOMA KAPEEKA-24h'!D23,'23.10 NGOMA-KAPEEKA'!D23)</f>
        <v>0</v>
      </c>
      <c r="E23" s="49">
        <f>AVERAGE('17.10 NGOMA-KAPEEKA'!E23,'18.10 NGOMA KAPEEKA'!E23,'20.10 NGOMA-KAPEEKA'!E23,'22.10 NGOMA-KAPEERA'!E23,'19.10 NGOMA-KAPEEKA-24h'!E23,'21.10 NGOMA KAPEEKA-24h'!E23,'23.10 NGOMA-KAPEEKA'!E23)</f>
        <v>0</v>
      </c>
      <c r="F23" s="49">
        <f>AVERAGE('17.10 NGOMA-KAPEEKA'!F23,'18.10 NGOMA KAPEEKA'!F23,'20.10 NGOMA-KAPEEKA'!F23,'22.10 NGOMA-KAPEERA'!F23,'19.10 NGOMA-KAPEEKA-24h'!F23,'21.10 NGOMA KAPEEKA-24h'!F23,'23.10 NGOMA-KAPEEKA'!F23)</f>
        <v>0.2857142857142857</v>
      </c>
      <c r="G23" s="49">
        <f>AVERAGE('17.10 NGOMA-KAPEEKA'!G23,'18.10 NGOMA KAPEEKA'!G23,'20.10 NGOMA-KAPEEKA'!G23,'22.10 NGOMA-KAPEERA'!G23,'19.10 NGOMA-KAPEEKA-24h'!G23,'21.10 NGOMA KAPEEKA-24h'!G23,'23.10 NGOMA-KAPEEKA'!G23)</f>
        <v>0</v>
      </c>
      <c r="H23" s="49">
        <f>AVERAGE('17.10 NGOMA-KAPEEKA'!H23,'18.10 NGOMA KAPEEKA'!H23,'20.10 NGOMA-KAPEEKA'!H23,'22.10 NGOMA-KAPEERA'!H23,'19.10 NGOMA-KAPEEKA-24h'!H23,'21.10 NGOMA KAPEEKA-24h'!H23,'23.10 NGOMA-KAPEEKA'!H23)</f>
        <v>0</v>
      </c>
      <c r="I23" s="49">
        <f>AVERAGE('17.10 NGOMA-KAPEEKA'!I23,'18.10 NGOMA KAPEEKA'!I23,'20.10 NGOMA-KAPEEKA'!I23,'22.10 NGOMA-KAPEERA'!I23,'19.10 NGOMA-KAPEEKA-24h'!I23,'21.10 NGOMA KAPEEKA-24h'!I23,'23.10 NGOMA-KAPEEKA'!I23)</f>
        <v>0.42857142857142855</v>
      </c>
      <c r="J23" s="49">
        <f>AVERAGE('17.10 NGOMA-KAPEEKA'!J23,'18.10 NGOMA KAPEEKA'!J23,'20.10 NGOMA-KAPEEKA'!J23,'22.10 NGOMA-KAPEERA'!J23,'19.10 NGOMA-KAPEEKA-24h'!J23,'21.10 NGOMA KAPEEKA-24h'!J23,'23.10 NGOMA-KAPEEKA'!J23)</f>
        <v>0</v>
      </c>
      <c r="K23" s="49">
        <f>AVERAGE('17.10 NGOMA-KAPEEKA'!K23,'18.10 NGOMA KAPEEKA'!K23,'20.10 NGOMA-KAPEEKA'!K23,'22.10 NGOMA-KAPEERA'!K23,'19.10 NGOMA-KAPEEKA-24h'!K23,'21.10 NGOMA KAPEEKA-24h'!K23,'23.10 NGOMA-KAPEEKA'!K23)</f>
        <v>0</v>
      </c>
      <c r="L23" s="49">
        <f>AVERAGE('17.10 NGOMA-KAPEEKA'!L23,'18.10 NGOMA KAPEEKA'!L23,'20.10 NGOMA-KAPEEKA'!L23,'22.10 NGOMA-KAPEERA'!L23,'19.10 NGOMA-KAPEEKA-24h'!L23,'21.10 NGOMA KAPEEKA-24h'!L23,'23.10 NGOMA-KAPEEKA'!L23)</f>
        <v>0</v>
      </c>
      <c r="M23" s="49">
        <f>AVERAGE('17.10 NGOMA-KAPEEKA'!M23,'18.10 NGOMA KAPEEKA'!M23,'20.10 NGOMA-KAPEEKA'!M23,'22.10 NGOMA-KAPEERA'!M23,'19.10 NGOMA-KAPEEKA-24h'!M23,'21.10 NGOMA KAPEEKA-24h'!M23,'23.10 NGOMA-KAPEEKA'!M23)</f>
        <v>5</v>
      </c>
      <c r="N23" s="49">
        <f>AVERAGE('17.10 NGOMA-KAPEEKA'!N23,'18.10 NGOMA KAPEEKA'!N23,'20.10 NGOMA-KAPEEKA'!N23,'22.10 NGOMA-KAPEERA'!N23,'19.10 NGOMA-KAPEEKA-24h'!N23,'21.10 NGOMA KAPEEKA-24h'!N23,'23.10 NGOMA-KAPEEKA'!N23)</f>
        <v>0</v>
      </c>
      <c r="O23" s="15">
        <f t="shared" si="0"/>
        <v>1.4285714285714286</v>
      </c>
      <c r="P23" s="15">
        <f t="shared" si="1"/>
        <v>6.4285714285714288</v>
      </c>
      <c r="R23" s="1" t="s">
        <v>147</v>
      </c>
      <c r="S23" s="34">
        <f>SUM(C62:C65)</f>
        <v>2.5</v>
      </c>
      <c r="T23" s="34">
        <f t="shared" ref="T23:AF23" si="15">SUM(D62:D65)</f>
        <v>0.5</v>
      </c>
      <c r="U23" s="34">
        <f t="shared" si="15"/>
        <v>2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0.5</v>
      </c>
      <c r="AA23" s="34">
        <f t="shared" si="15"/>
        <v>0</v>
      </c>
      <c r="AB23" s="34">
        <f t="shared" si="15"/>
        <v>0</v>
      </c>
      <c r="AC23" s="34">
        <f t="shared" si="15"/>
        <v>11.5</v>
      </c>
      <c r="AD23" s="34">
        <f t="shared" si="15"/>
        <v>0</v>
      </c>
      <c r="AE23" s="31">
        <f t="shared" si="15"/>
        <v>8.5</v>
      </c>
      <c r="AF23" s="31">
        <f t="shared" si="15"/>
        <v>20</v>
      </c>
    </row>
    <row r="24" spans="2:32" ht="23.1" customHeight="1" x14ac:dyDescent="0.25">
      <c r="B24" s="23" t="s">
        <v>51</v>
      </c>
      <c r="C24" s="49">
        <f>AVERAGE('17.10 NGOMA-KAPEEKA'!C24,'18.10 NGOMA KAPEEKA'!C24,'20.10 NGOMA-KAPEEKA'!C24,'22.10 NGOMA-KAPEERA'!C24,'19.10 NGOMA-KAPEEKA-24h'!C24,'21.10 NGOMA KAPEEKA-24h'!C24,'23.10 NGOMA-KAPEEKA'!C24)</f>
        <v>0.8571428571428571</v>
      </c>
      <c r="D24" s="49">
        <f>AVERAGE('17.10 NGOMA-KAPEEKA'!D24,'18.10 NGOMA KAPEEKA'!D24,'20.10 NGOMA-KAPEEKA'!D24,'22.10 NGOMA-KAPEERA'!D24,'19.10 NGOMA-KAPEEKA-24h'!D24,'21.10 NGOMA KAPEEKA-24h'!D24,'23.10 NGOMA-KAPEEKA'!D24)</f>
        <v>0.2857142857142857</v>
      </c>
      <c r="E24" s="49">
        <f>AVERAGE('17.10 NGOMA-KAPEEKA'!E24,'18.10 NGOMA KAPEEKA'!E24,'20.10 NGOMA-KAPEEKA'!E24,'22.10 NGOMA-KAPEERA'!E24,'19.10 NGOMA-KAPEEKA-24h'!E24,'21.10 NGOMA KAPEEKA-24h'!E24,'23.10 NGOMA-KAPEEKA'!E24)</f>
        <v>0.42857142857142855</v>
      </c>
      <c r="F24" s="49">
        <f>AVERAGE('17.10 NGOMA-KAPEEKA'!F24,'18.10 NGOMA KAPEEKA'!F24,'20.10 NGOMA-KAPEEKA'!F24,'22.10 NGOMA-KAPEERA'!F24,'19.10 NGOMA-KAPEEKA-24h'!F24,'21.10 NGOMA KAPEEKA-24h'!F24,'23.10 NGOMA-KAPEEKA'!F24)</f>
        <v>0.14285714285714285</v>
      </c>
      <c r="G24" s="49">
        <f>AVERAGE('17.10 NGOMA-KAPEEKA'!G24,'18.10 NGOMA KAPEEKA'!G24,'20.10 NGOMA-KAPEEKA'!G24,'22.10 NGOMA-KAPEERA'!G24,'19.10 NGOMA-KAPEEKA-24h'!G24,'21.10 NGOMA KAPEEKA-24h'!G24,'23.10 NGOMA-KAPEEKA'!G24)</f>
        <v>0</v>
      </c>
      <c r="H24" s="49">
        <f>AVERAGE('17.10 NGOMA-KAPEEKA'!H24,'18.10 NGOMA KAPEEKA'!H24,'20.10 NGOMA-KAPEEKA'!H24,'22.10 NGOMA-KAPEERA'!H24,'19.10 NGOMA-KAPEEKA-24h'!H24,'21.10 NGOMA KAPEEKA-24h'!H24,'23.10 NGOMA-KAPEEKA'!H24)</f>
        <v>0</v>
      </c>
      <c r="I24" s="49">
        <f>AVERAGE('17.10 NGOMA-KAPEEKA'!I24,'18.10 NGOMA KAPEEKA'!I24,'20.10 NGOMA-KAPEEKA'!I24,'22.10 NGOMA-KAPEERA'!I24,'19.10 NGOMA-KAPEEKA-24h'!I24,'21.10 NGOMA KAPEEKA-24h'!I24,'23.10 NGOMA-KAPEEKA'!I24)</f>
        <v>0.2857142857142857</v>
      </c>
      <c r="J24" s="49">
        <f>AVERAGE('17.10 NGOMA-KAPEEKA'!J24,'18.10 NGOMA KAPEEKA'!J24,'20.10 NGOMA-KAPEEKA'!J24,'22.10 NGOMA-KAPEERA'!J24,'19.10 NGOMA-KAPEEKA-24h'!J24,'21.10 NGOMA KAPEEKA-24h'!J24,'23.10 NGOMA-KAPEEKA'!J24)</f>
        <v>0</v>
      </c>
      <c r="K24" s="49">
        <f>AVERAGE('17.10 NGOMA-KAPEEKA'!K24,'18.10 NGOMA KAPEEKA'!K24,'20.10 NGOMA-KAPEEKA'!K24,'22.10 NGOMA-KAPEERA'!K24,'19.10 NGOMA-KAPEEKA-24h'!K24,'21.10 NGOMA KAPEEKA-24h'!K24,'23.10 NGOMA-KAPEEKA'!K24)</f>
        <v>0</v>
      </c>
      <c r="L24" s="49">
        <f>AVERAGE('17.10 NGOMA-KAPEEKA'!L24,'18.10 NGOMA KAPEEKA'!L24,'20.10 NGOMA-KAPEEKA'!L24,'22.10 NGOMA-KAPEERA'!L24,'19.10 NGOMA-KAPEEKA-24h'!L24,'21.10 NGOMA KAPEEKA-24h'!L24,'23.10 NGOMA-KAPEEKA'!L24)</f>
        <v>0</v>
      </c>
      <c r="M24" s="49">
        <f>AVERAGE('17.10 NGOMA-KAPEEKA'!M24,'18.10 NGOMA KAPEEKA'!M24,'20.10 NGOMA-KAPEEKA'!M24,'22.10 NGOMA-KAPEERA'!M24,'19.10 NGOMA-KAPEEKA-24h'!M24,'21.10 NGOMA KAPEEKA-24h'!M24,'23.10 NGOMA-KAPEEKA'!M24)</f>
        <v>5.4285714285714288</v>
      </c>
      <c r="N24" s="49">
        <f>AVERAGE('17.10 NGOMA-KAPEEKA'!N24,'18.10 NGOMA KAPEEKA'!N24,'20.10 NGOMA-KAPEEKA'!N24,'22.10 NGOMA-KAPEERA'!N24,'19.10 NGOMA-KAPEEKA-24h'!N24,'21.10 NGOMA KAPEEKA-24h'!N24,'23.10 NGOMA-KAPEEKA'!N24)</f>
        <v>0.14285714285714285</v>
      </c>
      <c r="O24" s="15">
        <f t="shared" si="0"/>
        <v>2.1428571428571428</v>
      </c>
      <c r="P24" s="15">
        <f t="shared" si="1"/>
        <v>7.5714285714285721</v>
      </c>
      <c r="R24" s="1" t="s">
        <v>148</v>
      </c>
      <c r="S24" s="34">
        <f>SUM(C66:C69)</f>
        <v>0.5</v>
      </c>
      <c r="T24" s="34">
        <f t="shared" ref="T24:AF24" si="16">SUM(D66:D69)</f>
        <v>0</v>
      </c>
      <c r="U24" s="34">
        <f t="shared" si="16"/>
        <v>0.5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3.5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12.5</v>
      </c>
      <c r="AD24" s="34">
        <f t="shared" si="16"/>
        <v>0</v>
      </c>
      <c r="AE24" s="31">
        <f t="shared" si="16"/>
        <v>4.5</v>
      </c>
      <c r="AF24" s="31">
        <f t="shared" si="16"/>
        <v>17</v>
      </c>
    </row>
    <row r="25" spans="2:32" ht="23.1" customHeight="1" x14ac:dyDescent="0.25">
      <c r="B25" s="23" t="s">
        <v>52</v>
      </c>
      <c r="C25" s="49">
        <f>AVERAGE('17.10 NGOMA-KAPEEKA'!C25,'18.10 NGOMA KAPEEKA'!C25,'20.10 NGOMA-KAPEEKA'!C25,'22.10 NGOMA-KAPEERA'!C25,'19.10 NGOMA-KAPEEKA-24h'!C25,'21.10 NGOMA KAPEEKA-24h'!C25,'23.10 NGOMA-KAPEEKA'!C25)</f>
        <v>0.42857142857142855</v>
      </c>
      <c r="D25" s="49">
        <f>AVERAGE('17.10 NGOMA-KAPEEKA'!D25,'18.10 NGOMA KAPEEKA'!D25,'20.10 NGOMA-KAPEEKA'!D25,'22.10 NGOMA-KAPEERA'!D25,'19.10 NGOMA-KAPEEKA-24h'!D25,'21.10 NGOMA KAPEEKA-24h'!D25,'23.10 NGOMA-KAPEEKA'!D25)</f>
        <v>0</v>
      </c>
      <c r="E25" s="49">
        <f>AVERAGE('17.10 NGOMA-KAPEEKA'!E25,'18.10 NGOMA KAPEEKA'!E25,'20.10 NGOMA-KAPEEKA'!E25,'22.10 NGOMA-KAPEERA'!E25,'19.10 NGOMA-KAPEEKA-24h'!E25,'21.10 NGOMA KAPEEKA-24h'!E25,'23.10 NGOMA-KAPEEKA'!E25)</f>
        <v>0</v>
      </c>
      <c r="F25" s="49">
        <f>AVERAGE('17.10 NGOMA-KAPEEKA'!F25,'18.10 NGOMA KAPEEKA'!F25,'20.10 NGOMA-KAPEEKA'!F25,'22.10 NGOMA-KAPEERA'!F25,'19.10 NGOMA-KAPEEKA-24h'!F25,'21.10 NGOMA KAPEEKA-24h'!F25,'23.10 NGOMA-KAPEEKA'!F25)</f>
        <v>0.42857142857142855</v>
      </c>
      <c r="G25" s="49">
        <f>AVERAGE('17.10 NGOMA-KAPEEKA'!G25,'18.10 NGOMA KAPEEKA'!G25,'20.10 NGOMA-KAPEEKA'!G25,'22.10 NGOMA-KAPEERA'!G25,'19.10 NGOMA-KAPEEKA-24h'!G25,'21.10 NGOMA KAPEEKA-24h'!G25,'23.10 NGOMA-KAPEEKA'!G25)</f>
        <v>0</v>
      </c>
      <c r="H25" s="49">
        <f>AVERAGE('17.10 NGOMA-KAPEEKA'!H25,'18.10 NGOMA KAPEEKA'!H25,'20.10 NGOMA-KAPEEKA'!H25,'22.10 NGOMA-KAPEERA'!H25,'19.10 NGOMA-KAPEEKA-24h'!H25,'21.10 NGOMA KAPEEKA-24h'!H25,'23.10 NGOMA-KAPEEKA'!H25)</f>
        <v>0</v>
      </c>
      <c r="I25" s="49">
        <f>AVERAGE('17.10 NGOMA-KAPEEKA'!I25,'18.10 NGOMA KAPEEKA'!I25,'20.10 NGOMA-KAPEEKA'!I25,'22.10 NGOMA-KAPEERA'!I25,'19.10 NGOMA-KAPEEKA-24h'!I25,'21.10 NGOMA KAPEEKA-24h'!I25,'23.10 NGOMA-KAPEEKA'!I25)</f>
        <v>0.14285714285714285</v>
      </c>
      <c r="J25" s="49">
        <f>AVERAGE('17.10 NGOMA-KAPEEKA'!J25,'18.10 NGOMA KAPEEKA'!J25,'20.10 NGOMA-KAPEEKA'!J25,'22.10 NGOMA-KAPEERA'!J25,'19.10 NGOMA-KAPEEKA-24h'!J25,'21.10 NGOMA KAPEEKA-24h'!J25,'23.10 NGOMA-KAPEEKA'!J25)</f>
        <v>0</v>
      </c>
      <c r="K25" s="49">
        <f>AVERAGE('17.10 NGOMA-KAPEEKA'!K25,'18.10 NGOMA KAPEEKA'!K25,'20.10 NGOMA-KAPEEKA'!K25,'22.10 NGOMA-KAPEERA'!K25,'19.10 NGOMA-KAPEEKA-24h'!K25,'21.10 NGOMA KAPEEKA-24h'!K25,'23.10 NGOMA-KAPEEKA'!K25)</f>
        <v>0</v>
      </c>
      <c r="L25" s="49">
        <f>AVERAGE('17.10 NGOMA-KAPEEKA'!L25,'18.10 NGOMA KAPEEKA'!L25,'20.10 NGOMA-KAPEEKA'!L25,'22.10 NGOMA-KAPEERA'!L25,'19.10 NGOMA-KAPEEKA-24h'!L25,'21.10 NGOMA KAPEEKA-24h'!L25,'23.10 NGOMA-KAPEEKA'!L25)</f>
        <v>0</v>
      </c>
      <c r="M25" s="49">
        <f>AVERAGE('17.10 NGOMA-KAPEEKA'!M25,'18.10 NGOMA KAPEEKA'!M25,'20.10 NGOMA-KAPEEKA'!M25,'22.10 NGOMA-KAPEERA'!M25,'19.10 NGOMA-KAPEEKA-24h'!M25,'21.10 NGOMA KAPEEKA-24h'!M25,'23.10 NGOMA-KAPEEKA'!M25)</f>
        <v>5.2857142857142856</v>
      </c>
      <c r="N25" s="49">
        <f>AVERAGE('17.10 NGOMA-KAPEEKA'!N25,'18.10 NGOMA KAPEEKA'!N25,'20.10 NGOMA-KAPEEKA'!N25,'22.10 NGOMA-KAPEERA'!N25,'19.10 NGOMA-KAPEEKA-24h'!N25,'21.10 NGOMA KAPEEKA-24h'!N25,'23.10 NGOMA-KAPEEKA'!N25)</f>
        <v>0</v>
      </c>
      <c r="O25" s="15">
        <f t="shared" si="0"/>
        <v>1</v>
      </c>
      <c r="P25" s="15">
        <f t="shared" si="1"/>
        <v>6.2857142857142856</v>
      </c>
      <c r="R25" s="1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0.5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4</v>
      </c>
      <c r="AD25" s="34">
        <f t="shared" si="17"/>
        <v>0</v>
      </c>
      <c r="AE25" s="31">
        <f t="shared" si="17"/>
        <v>3.5</v>
      </c>
      <c r="AF25" s="31">
        <f t="shared" si="17"/>
        <v>7.5</v>
      </c>
    </row>
    <row r="26" spans="2:32" ht="23.1" customHeight="1" x14ac:dyDescent="0.25">
      <c r="B26" s="23" t="s">
        <v>53</v>
      </c>
      <c r="C26" s="49">
        <f>AVERAGE('17.10 NGOMA-KAPEEKA'!C26,'18.10 NGOMA KAPEEKA'!C26,'20.10 NGOMA-KAPEEKA'!C26,'22.10 NGOMA-KAPEERA'!C26,'19.10 NGOMA-KAPEEKA-24h'!C26,'21.10 NGOMA KAPEEKA-24h'!C26,'23.10 NGOMA-KAPEEKA'!C26)</f>
        <v>0.7142857142857143</v>
      </c>
      <c r="D26" s="49">
        <f>AVERAGE('17.10 NGOMA-KAPEEKA'!D26,'18.10 NGOMA KAPEEKA'!D26,'20.10 NGOMA-KAPEEKA'!D26,'22.10 NGOMA-KAPEERA'!D26,'19.10 NGOMA-KAPEEKA-24h'!D26,'21.10 NGOMA KAPEEKA-24h'!D26,'23.10 NGOMA-KAPEEKA'!D26)</f>
        <v>0</v>
      </c>
      <c r="E26" s="49">
        <f>AVERAGE('17.10 NGOMA-KAPEEKA'!E26,'18.10 NGOMA KAPEEKA'!E26,'20.10 NGOMA-KAPEEKA'!E26,'22.10 NGOMA-KAPEERA'!E26,'19.10 NGOMA-KAPEEKA-24h'!E26,'21.10 NGOMA KAPEEKA-24h'!E26,'23.10 NGOMA-KAPEEKA'!E26)</f>
        <v>0</v>
      </c>
      <c r="F26" s="49">
        <f>AVERAGE('17.10 NGOMA-KAPEEKA'!F26,'18.10 NGOMA KAPEEKA'!F26,'20.10 NGOMA-KAPEEKA'!F26,'22.10 NGOMA-KAPEERA'!F26,'19.10 NGOMA-KAPEEKA-24h'!F26,'21.10 NGOMA KAPEEKA-24h'!F26,'23.10 NGOMA-KAPEEKA'!F26)</f>
        <v>0.2857142857142857</v>
      </c>
      <c r="G26" s="49">
        <f>AVERAGE('17.10 NGOMA-KAPEEKA'!G26,'18.10 NGOMA KAPEEKA'!G26,'20.10 NGOMA-KAPEEKA'!G26,'22.10 NGOMA-KAPEERA'!G26,'19.10 NGOMA-KAPEEKA-24h'!G26,'21.10 NGOMA KAPEEKA-24h'!G26,'23.10 NGOMA-KAPEEKA'!G26)</f>
        <v>0</v>
      </c>
      <c r="H26" s="49">
        <f>AVERAGE('17.10 NGOMA-KAPEEKA'!H26,'18.10 NGOMA KAPEEKA'!H26,'20.10 NGOMA-KAPEEKA'!H26,'22.10 NGOMA-KAPEERA'!H26,'19.10 NGOMA-KAPEEKA-24h'!H26,'21.10 NGOMA KAPEEKA-24h'!H26,'23.10 NGOMA-KAPEEKA'!H26)</f>
        <v>0</v>
      </c>
      <c r="I26" s="49">
        <f>AVERAGE('17.10 NGOMA-KAPEEKA'!I26,'18.10 NGOMA KAPEEKA'!I26,'20.10 NGOMA-KAPEEKA'!I26,'22.10 NGOMA-KAPEERA'!I26,'19.10 NGOMA-KAPEEKA-24h'!I26,'21.10 NGOMA KAPEEKA-24h'!I26,'23.10 NGOMA-KAPEEKA'!I26)</f>
        <v>0.2857142857142857</v>
      </c>
      <c r="J26" s="49">
        <f>AVERAGE('17.10 NGOMA-KAPEEKA'!J26,'18.10 NGOMA KAPEEKA'!J26,'20.10 NGOMA-KAPEEKA'!J26,'22.10 NGOMA-KAPEERA'!J26,'19.10 NGOMA-KAPEEKA-24h'!J26,'21.10 NGOMA KAPEEKA-24h'!J26,'23.10 NGOMA-KAPEEKA'!J26)</f>
        <v>0.14285714285714285</v>
      </c>
      <c r="K26" s="49">
        <f>AVERAGE('17.10 NGOMA-KAPEEKA'!K26,'18.10 NGOMA KAPEEKA'!K26,'20.10 NGOMA-KAPEEKA'!K26,'22.10 NGOMA-KAPEERA'!K26,'19.10 NGOMA-KAPEEKA-24h'!K26,'21.10 NGOMA KAPEEKA-24h'!K26,'23.10 NGOMA-KAPEEKA'!K26)</f>
        <v>0</v>
      </c>
      <c r="L26" s="49">
        <f>AVERAGE('17.10 NGOMA-KAPEEKA'!L26,'18.10 NGOMA KAPEEKA'!L26,'20.10 NGOMA-KAPEEKA'!L26,'22.10 NGOMA-KAPEERA'!L26,'19.10 NGOMA-KAPEEKA-24h'!L26,'21.10 NGOMA KAPEEKA-24h'!L26,'23.10 NGOMA-KAPEEKA'!L26)</f>
        <v>0</v>
      </c>
      <c r="M26" s="49">
        <f>AVERAGE('17.10 NGOMA-KAPEEKA'!M26,'18.10 NGOMA KAPEEKA'!M26,'20.10 NGOMA-KAPEEKA'!M26,'22.10 NGOMA-KAPEERA'!M26,'19.10 NGOMA-KAPEEKA-24h'!M26,'21.10 NGOMA KAPEEKA-24h'!M26,'23.10 NGOMA-KAPEEKA'!M26)</f>
        <v>5</v>
      </c>
      <c r="N26" s="49">
        <f>AVERAGE('17.10 NGOMA-KAPEEKA'!N26,'18.10 NGOMA KAPEEKA'!N26,'20.10 NGOMA-KAPEEKA'!N26,'22.10 NGOMA-KAPEERA'!N26,'19.10 NGOMA-KAPEEKA-24h'!N26,'21.10 NGOMA KAPEEKA-24h'!N26,'23.10 NGOMA-KAPEEKA'!N26)</f>
        <v>0</v>
      </c>
      <c r="O26" s="15">
        <f t="shared" si="0"/>
        <v>1.4285714285714284</v>
      </c>
      <c r="P26" s="15">
        <f t="shared" si="1"/>
        <v>6.4285714285714288</v>
      </c>
      <c r="R26" s="1" t="s">
        <v>150</v>
      </c>
      <c r="S26" s="34">
        <f>SUM(C74:C77)</f>
        <v>0.5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0.5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0.5</v>
      </c>
      <c r="AD26" s="34">
        <f t="shared" si="18"/>
        <v>0</v>
      </c>
      <c r="AE26" s="31">
        <f t="shared" si="18"/>
        <v>4</v>
      </c>
      <c r="AF26" s="31">
        <f t="shared" si="18"/>
        <v>4.5</v>
      </c>
    </row>
    <row r="27" spans="2:32" ht="23.1" customHeight="1" x14ac:dyDescent="0.25">
      <c r="B27" s="23" t="s">
        <v>54</v>
      </c>
      <c r="C27" s="49">
        <f>AVERAGE('17.10 NGOMA-KAPEEKA'!C27,'18.10 NGOMA KAPEEKA'!C27,'20.10 NGOMA-KAPEEKA'!C27,'22.10 NGOMA-KAPEERA'!C27,'19.10 NGOMA-KAPEEKA-24h'!C27,'21.10 NGOMA KAPEEKA-24h'!C27,'23.10 NGOMA-KAPEEKA'!C27)</f>
        <v>0.42857142857142855</v>
      </c>
      <c r="D27" s="49">
        <f>AVERAGE('17.10 NGOMA-KAPEEKA'!D27,'18.10 NGOMA KAPEEKA'!D27,'20.10 NGOMA-KAPEEKA'!D27,'22.10 NGOMA-KAPEERA'!D27,'19.10 NGOMA-KAPEEKA-24h'!D27,'21.10 NGOMA KAPEEKA-24h'!D27,'23.10 NGOMA-KAPEEKA'!D27)</f>
        <v>0.2857142857142857</v>
      </c>
      <c r="E27" s="49">
        <f>AVERAGE('17.10 NGOMA-KAPEEKA'!E27,'18.10 NGOMA KAPEEKA'!E27,'20.10 NGOMA-KAPEEKA'!E27,'22.10 NGOMA-KAPEERA'!E27,'19.10 NGOMA-KAPEEKA-24h'!E27,'21.10 NGOMA KAPEEKA-24h'!E27,'23.10 NGOMA-KAPEEKA'!E27)</f>
        <v>0.2857142857142857</v>
      </c>
      <c r="F27" s="49">
        <f>AVERAGE('17.10 NGOMA-KAPEEKA'!F27,'18.10 NGOMA KAPEEKA'!F27,'20.10 NGOMA-KAPEEKA'!F27,'22.10 NGOMA-KAPEERA'!F27,'19.10 NGOMA-KAPEEKA-24h'!F27,'21.10 NGOMA KAPEEKA-24h'!F27,'23.10 NGOMA-KAPEEKA'!F27)</f>
        <v>0.7142857142857143</v>
      </c>
      <c r="G27" s="49">
        <f>AVERAGE('17.10 NGOMA-KAPEEKA'!G27,'18.10 NGOMA KAPEEKA'!G27,'20.10 NGOMA-KAPEEKA'!G27,'22.10 NGOMA-KAPEERA'!G27,'19.10 NGOMA-KAPEEKA-24h'!G27,'21.10 NGOMA KAPEEKA-24h'!G27,'23.10 NGOMA-KAPEEKA'!G27)</f>
        <v>0</v>
      </c>
      <c r="H27" s="49">
        <f>AVERAGE('17.10 NGOMA-KAPEEKA'!H27,'18.10 NGOMA KAPEEKA'!H27,'20.10 NGOMA-KAPEEKA'!H27,'22.10 NGOMA-KAPEERA'!H27,'19.10 NGOMA-KAPEEKA-24h'!H27,'21.10 NGOMA KAPEEKA-24h'!H27,'23.10 NGOMA-KAPEEKA'!H27)</f>
        <v>0</v>
      </c>
      <c r="I27" s="49">
        <f>AVERAGE('17.10 NGOMA-KAPEEKA'!I27,'18.10 NGOMA KAPEEKA'!I27,'20.10 NGOMA-KAPEEKA'!I27,'22.10 NGOMA-KAPEERA'!I27,'19.10 NGOMA-KAPEEKA-24h'!I27,'21.10 NGOMA KAPEEKA-24h'!I27,'23.10 NGOMA-KAPEEKA'!I27)</f>
        <v>0</v>
      </c>
      <c r="J27" s="49">
        <f>AVERAGE('17.10 NGOMA-KAPEEKA'!J27,'18.10 NGOMA KAPEEKA'!J27,'20.10 NGOMA-KAPEEKA'!J27,'22.10 NGOMA-KAPEERA'!J27,'19.10 NGOMA-KAPEEKA-24h'!J27,'21.10 NGOMA KAPEEKA-24h'!J27,'23.10 NGOMA-KAPEEKA'!J27)</f>
        <v>0</v>
      </c>
      <c r="K27" s="49">
        <f>AVERAGE('17.10 NGOMA-KAPEEKA'!K27,'18.10 NGOMA KAPEEKA'!K27,'20.10 NGOMA-KAPEEKA'!K27,'22.10 NGOMA-KAPEERA'!K27,'19.10 NGOMA-KAPEEKA-24h'!K27,'21.10 NGOMA KAPEEKA-24h'!K27,'23.10 NGOMA-KAPEEKA'!K27)</f>
        <v>0</v>
      </c>
      <c r="L27" s="49">
        <f>AVERAGE('17.10 NGOMA-KAPEEKA'!L27,'18.10 NGOMA KAPEEKA'!L27,'20.10 NGOMA-KAPEEKA'!L27,'22.10 NGOMA-KAPEERA'!L27,'19.10 NGOMA-KAPEEKA-24h'!L27,'21.10 NGOMA KAPEEKA-24h'!L27,'23.10 NGOMA-KAPEEKA'!L27)</f>
        <v>0</v>
      </c>
      <c r="M27" s="49">
        <f>AVERAGE('17.10 NGOMA-KAPEEKA'!M27,'18.10 NGOMA KAPEEKA'!M27,'20.10 NGOMA-KAPEEKA'!M27,'22.10 NGOMA-KAPEERA'!M27,'19.10 NGOMA-KAPEEKA-24h'!M27,'21.10 NGOMA KAPEEKA-24h'!M27,'23.10 NGOMA-KAPEEKA'!M27)</f>
        <v>3.7142857142857144</v>
      </c>
      <c r="N27" s="49">
        <f>AVERAGE('17.10 NGOMA-KAPEEKA'!N27,'18.10 NGOMA KAPEEKA'!N27,'20.10 NGOMA-KAPEEKA'!N27,'22.10 NGOMA-KAPEERA'!N27,'19.10 NGOMA-KAPEEKA-24h'!N27,'21.10 NGOMA KAPEEKA-24h'!N27,'23.10 NGOMA-KAPEEKA'!N27)</f>
        <v>0</v>
      </c>
      <c r="O27" s="15">
        <f t="shared" si="0"/>
        <v>1.7142857142857142</v>
      </c>
      <c r="P27" s="15">
        <f t="shared" si="1"/>
        <v>5.4285714285714288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</v>
      </c>
      <c r="AD27" s="34">
        <f t="shared" si="19"/>
        <v>0</v>
      </c>
      <c r="AE27" s="31">
        <f t="shared" si="19"/>
        <v>3</v>
      </c>
      <c r="AF27" s="31">
        <f t="shared" si="19"/>
        <v>4</v>
      </c>
    </row>
    <row r="28" spans="2:32" ht="23.1" customHeight="1" x14ac:dyDescent="0.25">
      <c r="B28" s="23" t="s">
        <v>55</v>
      </c>
      <c r="C28" s="49">
        <f>AVERAGE('17.10 NGOMA-KAPEEKA'!C28,'18.10 NGOMA KAPEEKA'!C28,'20.10 NGOMA-KAPEEKA'!C28,'22.10 NGOMA-KAPEERA'!C28,'19.10 NGOMA-KAPEEKA-24h'!C28,'21.10 NGOMA KAPEEKA-24h'!C28,'23.10 NGOMA-KAPEEKA'!C28)</f>
        <v>0.14285714285714285</v>
      </c>
      <c r="D28" s="49">
        <f>AVERAGE('17.10 NGOMA-KAPEEKA'!D28,'18.10 NGOMA KAPEEKA'!D28,'20.10 NGOMA-KAPEEKA'!D28,'22.10 NGOMA-KAPEERA'!D28,'19.10 NGOMA-KAPEEKA-24h'!D28,'21.10 NGOMA KAPEEKA-24h'!D28,'23.10 NGOMA-KAPEEKA'!D28)</f>
        <v>0.42857142857142855</v>
      </c>
      <c r="E28" s="49">
        <f>AVERAGE('17.10 NGOMA-KAPEEKA'!E28,'18.10 NGOMA KAPEEKA'!E28,'20.10 NGOMA-KAPEEKA'!E28,'22.10 NGOMA-KAPEERA'!E28,'19.10 NGOMA-KAPEEKA-24h'!E28,'21.10 NGOMA KAPEEKA-24h'!E28,'23.10 NGOMA-KAPEEKA'!E28)</f>
        <v>0.42857142857142855</v>
      </c>
      <c r="F28" s="49">
        <f>AVERAGE('17.10 NGOMA-KAPEEKA'!F28,'18.10 NGOMA KAPEEKA'!F28,'20.10 NGOMA-KAPEEKA'!F28,'22.10 NGOMA-KAPEERA'!F28,'19.10 NGOMA-KAPEEKA-24h'!F28,'21.10 NGOMA KAPEEKA-24h'!F28,'23.10 NGOMA-KAPEEKA'!F28)</f>
        <v>0.42857142857142855</v>
      </c>
      <c r="G28" s="49">
        <f>AVERAGE('17.10 NGOMA-KAPEEKA'!G28,'18.10 NGOMA KAPEEKA'!G28,'20.10 NGOMA-KAPEEKA'!G28,'22.10 NGOMA-KAPEERA'!G28,'19.10 NGOMA-KAPEEKA-24h'!G28,'21.10 NGOMA KAPEEKA-24h'!G28,'23.10 NGOMA-KAPEEKA'!G28)</f>
        <v>0</v>
      </c>
      <c r="H28" s="49">
        <f>AVERAGE('17.10 NGOMA-KAPEEKA'!H28,'18.10 NGOMA KAPEEKA'!H28,'20.10 NGOMA-KAPEEKA'!H28,'22.10 NGOMA-KAPEERA'!H28,'19.10 NGOMA-KAPEEKA-24h'!H28,'21.10 NGOMA KAPEEKA-24h'!H28,'23.10 NGOMA-KAPEEKA'!H28)</f>
        <v>0</v>
      </c>
      <c r="I28" s="49">
        <f>AVERAGE('17.10 NGOMA-KAPEEKA'!I28,'18.10 NGOMA KAPEEKA'!I28,'20.10 NGOMA-KAPEEKA'!I28,'22.10 NGOMA-KAPEERA'!I28,'19.10 NGOMA-KAPEEKA-24h'!I28,'21.10 NGOMA KAPEEKA-24h'!I28,'23.10 NGOMA-KAPEEKA'!I28)</f>
        <v>0.2857142857142857</v>
      </c>
      <c r="J28" s="49">
        <f>AVERAGE('17.10 NGOMA-KAPEEKA'!J28,'18.10 NGOMA KAPEEKA'!J28,'20.10 NGOMA-KAPEEKA'!J28,'22.10 NGOMA-KAPEERA'!J28,'19.10 NGOMA-KAPEEKA-24h'!J28,'21.10 NGOMA KAPEEKA-24h'!J28,'23.10 NGOMA-KAPEEKA'!J28)</f>
        <v>0.2857142857142857</v>
      </c>
      <c r="K28" s="49">
        <f>AVERAGE('17.10 NGOMA-KAPEEKA'!K28,'18.10 NGOMA KAPEEKA'!K28,'20.10 NGOMA-KAPEEKA'!K28,'22.10 NGOMA-KAPEERA'!K28,'19.10 NGOMA-KAPEEKA-24h'!K28,'21.10 NGOMA KAPEEKA-24h'!K28,'23.10 NGOMA-KAPEEKA'!K28)</f>
        <v>0</v>
      </c>
      <c r="L28" s="49">
        <f>AVERAGE('17.10 NGOMA-KAPEEKA'!L28,'18.10 NGOMA KAPEEKA'!L28,'20.10 NGOMA-KAPEEKA'!L28,'22.10 NGOMA-KAPEERA'!L28,'19.10 NGOMA-KAPEEKA-24h'!L28,'21.10 NGOMA KAPEEKA-24h'!L28,'23.10 NGOMA-KAPEEKA'!L28)</f>
        <v>0</v>
      </c>
      <c r="M28" s="49">
        <f>AVERAGE('17.10 NGOMA-KAPEEKA'!M28,'18.10 NGOMA KAPEEKA'!M28,'20.10 NGOMA-KAPEEKA'!M28,'22.10 NGOMA-KAPEERA'!M28,'19.10 NGOMA-KAPEEKA-24h'!M28,'21.10 NGOMA KAPEEKA-24h'!M28,'23.10 NGOMA-KAPEEKA'!M28)</f>
        <v>6</v>
      </c>
      <c r="N28" s="49">
        <f>AVERAGE('17.10 NGOMA-KAPEEKA'!N28,'18.10 NGOMA KAPEEKA'!N28,'20.10 NGOMA-KAPEEKA'!N28,'22.10 NGOMA-KAPEERA'!N28,'19.10 NGOMA-KAPEEKA-24h'!N28,'21.10 NGOMA KAPEEKA-24h'!N28,'23.10 NGOMA-KAPEEKA'!N28)</f>
        <v>0</v>
      </c>
      <c r="O28" s="15">
        <f t="shared" si="0"/>
        <v>2</v>
      </c>
      <c r="P28" s="15">
        <f t="shared" si="1"/>
        <v>8</v>
      </c>
      <c r="R28" s="1" t="s">
        <v>152</v>
      </c>
      <c r="S28" s="34">
        <f>SUM(C82:C85)</f>
        <v>0.5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1</v>
      </c>
      <c r="AF28" s="31">
        <f t="shared" si="20"/>
        <v>1</v>
      </c>
    </row>
    <row r="29" spans="2:32" ht="23.1" customHeight="1" x14ac:dyDescent="0.25">
      <c r="B29" s="23" t="s">
        <v>56</v>
      </c>
      <c r="C29" s="49">
        <f>AVERAGE('17.10 NGOMA-KAPEEKA'!C29,'18.10 NGOMA KAPEEKA'!C29,'20.10 NGOMA-KAPEEKA'!C29,'22.10 NGOMA-KAPEERA'!C29,'19.10 NGOMA-KAPEEKA-24h'!C29,'21.10 NGOMA KAPEEKA-24h'!C29,'23.10 NGOMA-KAPEEKA'!C29)</f>
        <v>0.2857142857142857</v>
      </c>
      <c r="D29" s="49">
        <f>AVERAGE('17.10 NGOMA-KAPEEKA'!D29,'18.10 NGOMA KAPEEKA'!D29,'20.10 NGOMA-KAPEEKA'!D29,'22.10 NGOMA-KAPEERA'!D29,'19.10 NGOMA-KAPEEKA-24h'!D29,'21.10 NGOMA KAPEEKA-24h'!D29,'23.10 NGOMA-KAPEEKA'!D29)</f>
        <v>0.14285714285714285</v>
      </c>
      <c r="E29" s="49">
        <f>AVERAGE('17.10 NGOMA-KAPEEKA'!E29,'18.10 NGOMA KAPEEKA'!E29,'20.10 NGOMA-KAPEEKA'!E29,'22.10 NGOMA-KAPEERA'!E29,'19.10 NGOMA-KAPEEKA-24h'!E29,'21.10 NGOMA KAPEEKA-24h'!E29,'23.10 NGOMA-KAPEEKA'!E29)</f>
        <v>0</v>
      </c>
      <c r="F29" s="49">
        <f>AVERAGE('17.10 NGOMA-KAPEEKA'!F29,'18.10 NGOMA KAPEEKA'!F29,'20.10 NGOMA-KAPEEKA'!F29,'22.10 NGOMA-KAPEERA'!F29,'19.10 NGOMA-KAPEEKA-24h'!F29,'21.10 NGOMA KAPEEKA-24h'!F29,'23.10 NGOMA-KAPEEKA'!F29)</f>
        <v>0.5714285714285714</v>
      </c>
      <c r="G29" s="49">
        <f>AVERAGE('17.10 NGOMA-KAPEEKA'!G29,'18.10 NGOMA KAPEEKA'!G29,'20.10 NGOMA-KAPEEKA'!G29,'22.10 NGOMA-KAPEERA'!G29,'19.10 NGOMA-KAPEEKA-24h'!G29,'21.10 NGOMA KAPEEKA-24h'!G29,'23.10 NGOMA-KAPEEKA'!G29)</f>
        <v>0</v>
      </c>
      <c r="H29" s="49">
        <f>AVERAGE('17.10 NGOMA-KAPEEKA'!H29,'18.10 NGOMA KAPEEKA'!H29,'20.10 NGOMA-KAPEEKA'!H29,'22.10 NGOMA-KAPEERA'!H29,'19.10 NGOMA-KAPEEKA-24h'!H29,'21.10 NGOMA KAPEEKA-24h'!H29,'23.10 NGOMA-KAPEEKA'!H29)</f>
        <v>0</v>
      </c>
      <c r="I29" s="49">
        <f>AVERAGE('17.10 NGOMA-KAPEEKA'!I29,'18.10 NGOMA KAPEEKA'!I29,'20.10 NGOMA-KAPEEKA'!I29,'22.10 NGOMA-KAPEERA'!I29,'19.10 NGOMA-KAPEEKA-24h'!I29,'21.10 NGOMA KAPEEKA-24h'!I29,'23.10 NGOMA-KAPEEKA'!I29)</f>
        <v>0.2857142857142857</v>
      </c>
      <c r="J29" s="49">
        <f>AVERAGE('17.10 NGOMA-KAPEEKA'!J29,'18.10 NGOMA KAPEEKA'!J29,'20.10 NGOMA-KAPEEKA'!J29,'22.10 NGOMA-KAPEERA'!J29,'19.10 NGOMA-KAPEEKA-24h'!J29,'21.10 NGOMA KAPEEKA-24h'!J29,'23.10 NGOMA-KAPEEKA'!J29)</f>
        <v>0.14285714285714285</v>
      </c>
      <c r="K29" s="49">
        <f>AVERAGE('17.10 NGOMA-KAPEEKA'!K29,'18.10 NGOMA KAPEEKA'!K29,'20.10 NGOMA-KAPEEKA'!K29,'22.10 NGOMA-KAPEERA'!K29,'19.10 NGOMA-KAPEEKA-24h'!K29,'21.10 NGOMA KAPEEKA-24h'!K29,'23.10 NGOMA-KAPEEKA'!K29)</f>
        <v>0</v>
      </c>
      <c r="L29" s="49">
        <f>AVERAGE('17.10 NGOMA-KAPEEKA'!L29,'18.10 NGOMA KAPEEKA'!L29,'20.10 NGOMA-KAPEEKA'!L29,'22.10 NGOMA-KAPEERA'!L29,'19.10 NGOMA-KAPEEKA-24h'!L29,'21.10 NGOMA KAPEEKA-24h'!L29,'23.10 NGOMA-KAPEEKA'!L29)</f>
        <v>0</v>
      </c>
      <c r="M29" s="49">
        <f>AVERAGE('17.10 NGOMA-KAPEEKA'!M29,'18.10 NGOMA KAPEEKA'!M29,'20.10 NGOMA-KAPEEKA'!M29,'22.10 NGOMA-KAPEERA'!M29,'19.10 NGOMA-KAPEEKA-24h'!M29,'21.10 NGOMA KAPEEKA-24h'!M29,'23.10 NGOMA-KAPEEKA'!M29)</f>
        <v>4.4285714285714288</v>
      </c>
      <c r="N29" s="49">
        <f>AVERAGE('17.10 NGOMA-KAPEEKA'!N29,'18.10 NGOMA KAPEEKA'!N29,'20.10 NGOMA-KAPEEKA'!N29,'22.10 NGOMA-KAPEERA'!N29,'19.10 NGOMA-KAPEEKA-24h'!N29,'21.10 NGOMA KAPEEKA-24h'!N29,'23.10 NGOMA-KAPEEKA'!N29)</f>
        <v>0</v>
      </c>
      <c r="O29" s="15">
        <f t="shared" si="0"/>
        <v>1.4285714285714284</v>
      </c>
      <c r="P29" s="15">
        <f t="shared" si="1"/>
        <v>5.8571428571428577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0.5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0.5</v>
      </c>
      <c r="AF29" s="31">
        <f t="shared" si="21"/>
        <v>0.5</v>
      </c>
    </row>
    <row r="30" spans="2:32" ht="23.1" customHeight="1" x14ac:dyDescent="0.25">
      <c r="B30" s="23" t="s">
        <v>57</v>
      </c>
      <c r="C30" s="49">
        <f>AVERAGE('17.10 NGOMA-KAPEEKA'!C30,'18.10 NGOMA KAPEEKA'!C30,'20.10 NGOMA-KAPEEKA'!C30,'22.10 NGOMA-KAPEERA'!C30,'19.10 NGOMA-KAPEEKA-24h'!C30,'21.10 NGOMA KAPEEKA-24h'!C30,'23.10 NGOMA-KAPEEKA'!C30)</f>
        <v>0.42857142857142855</v>
      </c>
      <c r="D30" s="49">
        <f>AVERAGE('17.10 NGOMA-KAPEEKA'!D30,'18.10 NGOMA KAPEEKA'!D30,'20.10 NGOMA-KAPEEKA'!D30,'22.10 NGOMA-KAPEERA'!D30,'19.10 NGOMA-KAPEEKA-24h'!D30,'21.10 NGOMA KAPEEKA-24h'!D30,'23.10 NGOMA-KAPEEKA'!D30)</f>
        <v>0</v>
      </c>
      <c r="E30" s="49">
        <f>AVERAGE('17.10 NGOMA-KAPEEKA'!E30,'18.10 NGOMA KAPEEKA'!E30,'20.10 NGOMA-KAPEEKA'!E30,'22.10 NGOMA-KAPEERA'!E30,'19.10 NGOMA-KAPEEKA-24h'!E30,'21.10 NGOMA KAPEEKA-24h'!E30,'23.10 NGOMA-KAPEEKA'!E30)</f>
        <v>0.42857142857142855</v>
      </c>
      <c r="F30" s="49">
        <f>AVERAGE('17.10 NGOMA-KAPEEKA'!F30,'18.10 NGOMA KAPEEKA'!F30,'20.10 NGOMA-KAPEEKA'!F30,'22.10 NGOMA-KAPEERA'!F30,'19.10 NGOMA-KAPEEKA-24h'!F30,'21.10 NGOMA KAPEEKA-24h'!F30,'23.10 NGOMA-KAPEEKA'!F30)</f>
        <v>0.42857142857142855</v>
      </c>
      <c r="G30" s="49">
        <f>AVERAGE('17.10 NGOMA-KAPEEKA'!G30,'18.10 NGOMA KAPEEKA'!G30,'20.10 NGOMA-KAPEEKA'!G30,'22.10 NGOMA-KAPEERA'!G30,'19.10 NGOMA-KAPEEKA-24h'!G30,'21.10 NGOMA KAPEEKA-24h'!G30,'23.10 NGOMA-KAPEEKA'!G30)</f>
        <v>0</v>
      </c>
      <c r="H30" s="49">
        <f>AVERAGE('17.10 NGOMA-KAPEEKA'!H30,'18.10 NGOMA KAPEEKA'!H30,'20.10 NGOMA-KAPEEKA'!H30,'22.10 NGOMA-KAPEERA'!H30,'19.10 NGOMA-KAPEEKA-24h'!H30,'21.10 NGOMA KAPEEKA-24h'!H30,'23.10 NGOMA-KAPEEKA'!H30)</f>
        <v>0</v>
      </c>
      <c r="I30" s="49">
        <f>AVERAGE('17.10 NGOMA-KAPEEKA'!I30,'18.10 NGOMA KAPEEKA'!I30,'20.10 NGOMA-KAPEEKA'!I30,'22.10 NGOMA-KAPEERA'!I30,'19.10 NGOMA-KAPEEKA-24h'!I30,'21.10 NGOMA KAPEEKA-24h'!I30,'23.10 NGOMA-KAPEEKA'!I30)</f>
        <v>0.42857142857142855</v>
      </c>
      <c r="J30" s="49">
        <f>AVERAGE('17.10 NGOMA-KAPEEKA'!J30,'18.10 NGOMA KAPEEKA'!J30,'20.10 NGOMA-KAPEEKA'!J30,'22.10 NGOMA-KAPEERA'!J30,'19.10 NGOMA-KAPEEKA-24h'!J30,'21.10 NGOMA KAPEEKA-24h'!J30,'23.10 NGOMA-KAPEEKA'!J30)</f>
        <v>0</v>
      </c>
      <c r="K30" s="49">
        <f>AVERAGE('17.10 NGOMA-KAPEEKA'!K30,'18.10 NGOMA KAPEEKA'!K30,'20.10 NGOMA-KAPEEKA'!K30,'22.10 NGOMA-KAPEERA'!K30,'19.10 NGOMA-KAPEEKA-24h'!K30,'21.10 NGOMA KAPEEKA-24h'!K30,'23.10 NGOMA-KAPEEKA'!K30)</f>
        <v>0</v>
      </c>
      <c r="L30" s="49">
        <f>AVERAGE('17.10 NGOMA-KAPEEKA'!L30,'18.10 NGOMA KAPEEKA'!L30,'20.10 NGOMA-KAPEEKA'!L30,'22.10 NGOMA-KAPEERA'!L30,'19.10 NGOMA-KAPEEKA-24h'!L30,'21.10 NGOMA KAPEEKA-24h'!L30,'23.10 NGOMA-KAPEEKA'!L30)</f>
        <v>0</v>
      </c>
      <c r="M30" s="49">
        <f>AVERAGE('17.10 NGOMA-KAPEEKA'!M30,'18.10 NGOMA KAPEEKA'!M30,'20.10 NGOMA-KAPEEKA'!M30,'22.10 NGOMA-KAPEERA'!M30,'19.10 NGOMA-KAPEEKA-24h'!M30,'21.10 NGOMA KAPEEKA-24h'!M30,'23.10 NGOMA-KAPEEKA'!M30)</f>
        <v>6.5714285714285712</v>
      </c>
      <c r="N30" s="49">
        <f>AVERAGE('17.10 NGOMA-KAPEEKA'!N30,'18.10 NGOMA KAPEEKA'!N30,'20.10 NGOMA-KAPEEKA'!N30,'22.10 NGOMA-KAPEERA'!N30,'19.10 NGOMA-KAPEEKA-24h'!N30,'21.10 NGOMA KAPEEKA-24h'!N30,'23.10 NGOMA-KAPEEKA'!N30)</f>
        <v>0</v>
      </c>
      <c r="O30" s="15">
        <f t="shared" si="0"/>
        <v>1.7142857142857142</v>
      </c>
      <c r="P30" s="15">
        <f t="shared" si="1"/>
        <v>8.2857142857142847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1</v>
      </c>
      <c r="AF30" s="31">
        <f t="shared" si="22"/>
        <v>1</v>
      </c>
    </row>
    <row r="31" spans="2:32" ht="23.1" customHeight="1" x14ac:dyDescent="0.25">
      <c r="B31" s="24" t="s">
        <v>58</v>
      </c>
      <c r="C31" s="49">
        <f>AVERAGE('17.10 NGOMA-KAPEEKA'!C31,'18.10 NGOMA KAPEEKA'!C31,'20.10 NGOMA-KAPEEKA'!C31,'22.10 NGOMA-KAPEERA'!C31,'19.10 NGOMA-KAPEEKA-24h'!C31,'21.10 NGOMA KAPEEKA-24h'!C31,'23.10 NGOMA-KAPEEKA'!C31)</f>
        <v>0.8571428571428571</v>
      </c>
      <c r="D31" s="49">
        <f>AVERAGE('17.10 NGOMA-KAPEEKA'!D31,'18.10 NGOMA KAPEEKA'!D31,'20.10 NGOMA-KAPEEKA'!D31,'22.10 NGOMA-KAPEERA'!D31,'19.10 NGOMA-KAPEEKA-24h'!D31,'21.10 NGOMA KAPEEKA-24h'!D31,'23.10 NGOMA-KAPEEKA'!D31)</f>
        <v>0</v>
      </c>
      <c r="E31" s="49">
        <f>AVERAGE('17.10 NGOMA-KAPEEKA'!E31,'18.10 NGOMA KAPEEKA'!E31,'20.10 NGOMA-KAPEEKA'!E31,'22.10 NGOMA-KAPEERA'!E31,'19.10 NGOMA-KAPEEKA-24h'!E31,'21.10 NGOMA KAPEEKA-24h'!E31,'23.10 NGOMA-KAPEEKA'!E31)</f>
        <v>0.14285714285714285</v>
      </c>
      <c r="F31" s="49">
        <f>AVERAGE('17.10 NGOMA-KAPEEKA'!F31,'18.10 NGOMA KAPEEKA'!F31,'20.10 NGOMA-KAPEEKA'!F31,'22.10 NGOMA-KAPEERA'!F31,'19.10 NGOMA-KAPEEKA-24h'!F31,'21.10 NGOMA KAPEEKA-24h'!F31,'23.10 NGOMA-KAPEEKA'!F31)</f>
        <v>0.5714285714285714</v>
      </c>
      <c r="G31" s="49">
        <f>AVERAGE('17.10 NGOMA-KAPEEKA'!G31,'18.10 NGOMA KAPEEKA'!G31,'20.10 NGOMA-KAPEEKA'!G31,'22.10 NGOMA-KAPEERA'!G31,'19.10 NGOMA-KAPEEKA-24h'!G31,'21.10 NGOMA KAPEEKA-24h'!G31,'23.10 NGOMA-KAPEEKA'!G31)</f>
        <v>0</v>
      </c>
      <c r="H31" s="49">
        <f>AVERAGE('17.10 NGOMA-KAPEEKA'!H31,'18.10 NGOMA KAPEEKA'!H31,'20.10 NGOMA-KAPEEKA'!H31,'22.10 NGOMA-KAPEERA'!H31,'19.10 NGOMA-KAPEEKA-24h'!H31,'21.10 NGOMA KAPEEKA-24h'!H31,'23.10 NGOMA-KAPEEKA'!H31)</f>
        <v>0</v>
      </c>
      <c r="I31" s="49">
        <f>AVERAGE('17.10 NGOMA-KAPEEKA'!I31,'18.10 NGOMA KAPEEKA'!I31,'20.10 NGOMA-KAPEEKA'!I31,'22.10 NGOMA-KAPEERA'!I31,'19.10 NGOMA-KAPEEKA-24h'!I31,'21.10 NGOMA KAPEEKA-24h'!I31,'23.10 NGOMA-KAPEEKA'!I31)</f>
        <v>0.2857142857142857</v>
      </c>
      <c r="J31" s="49">
        <f>AVERAGE('17.10 NGOMA-KAPEEKA'!J31,'18.10 NGOMA KAPEEKA'!J31,'20.10 NGOMA-KAPEEKA'!J31,'22.10 NGOMA-KAPEERA'!J31,'19.10 NGOMA-KAPEEKA-24h'!J31,'21.10 NGOMA KAPEEKA-24h'!J31,'23.10 NGOMA-KAPEEKA'!J31)</f>
        <v>0</v>
      </c>
      <c r="K31" s="49">
        <f>AVERAGE('17.10 NGOMA-KAPEEKA'!K31,'18.10 NGOMA KAPEEKA'!K31,'20.10 NGOMA-KAPEEKA'!K31,'22.10 NGOMA-KAPEERA'!K31,'19.10 NGOMA-KAPEEKA-24h'!K31,'21.10 NGOMA KAPEEKA-24h'!K31,'23.10 NGOMA-KAPEEKA'!K31)</f>
        <v>0</v>
      </c>
      <c r="L31" s="49">
        <f>AVERAGE('17.10 NGOMA-KAPEEKA'!L31,'18.10 NGOMA KAPEEKA'!L31,'20.10 NGOMA-KAPEEKA'!L31,'22.10 NGOMA-KAPEERA'!L31,'19.10 NGOMA-KAPEEKA-24h'!L31,'21.10 NGOMA KAPEEKA-24h'!L31,'23.10 NGOMA-KAPEEKA'!L31)</f>
        <v>0</v>
      </c>
      <c r="M31" s="49">
        <f>AVERAGE('17.10 NGOMA-KAPEEKA'!M31,'18.10 NGOMA KAPEEKA'!M31,'20.10 NGOMA-KAPEEKA'!M31,'22.10 NGOMA-KAPEERA'!M31,'19.10 NGOMA-KAPEEKA-24h'!M31,'21.10 NGOMA KAPEEKA-24h'!M31,'23.10 NGOMA-KAPEEKA'!M31)</f>
        <v>5.5714285714285712</v>
      </c>
      <c r="N31" s="49">
        <f>AVERAGE('17.10 NGOMA-KAPEEKA'!N31,'18.10 NGOMA KAPEEKA'!N31,'20.10 NGOMA-KAPEEKA'!N31,'22.10 NGOMA-KAPEERA'!N31,'19.10 NGOMA-KAPEEKA-24h'!N31,'21.10 NGOMA KAPEEKA-24h'!N31,'23.10 NGOMA-KAPEEKA'!N31)</f>
        <v>0.14285714285714285</v>
      </c>
      <c r="O31" s="15">
        <f t="shared" si="0"/>
        <v>2</v>
      </c>
      <c r="P31" s="15">
        <f t="shared" si="1"/>
        <v>7.5714285714285721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</v>
      </c>
      <c r="AD31" s="34">
        <f t="shared" si="23"/>
        <v>0</v>
      </c>
      <c r="AE31" s="31">
        <f t="shared" si="23"/>
        <v>2</v>
      </c>
      <c r="AF31" s="31">
        <f t="shared" si="23"/>
        <v>4</v>
      </c>
    </row>
    <row r="32" spans="2:32" ht="23.1" customHeight="1" x14ac:dyDescent="0.25">
      <c r="B32" s="24" t="s">
        <v>59</v>
      </c>
      <c r="C32" s="49">
        <f>AVERAGE('17.10 NGOMA-KAPEEKA'!C32,'18.10 NGOMA KAPEEKA'!C32,'20.10 NGOMA-KAPEEKA'!C32,'22.10 NGOMA-KAPEERA'!C32,'19.10 NGOMA-KAPEEKA-24h'!C32,'21.10 NGOMA KAPEEKA-24h'!C32,'23.10 NGOMA-KAPEEKA'!C32)</f>
        <v>0.8571428571428571</v>
      </c>
      <c r="D32" s="49">
        <f>AVERAGE('17.10 NGOMA-KAPEEKA'!D32,'18.10 NGOMA KAPEEKA'!D32,'20.10 NGOMA-KAPEEKA'!D32,'22.10 NGOMA-KAPEERA'!D32,'19.10 NGOMA-KAPEEKA-24h'!D32,'21.10 NGOMA KAPEEKA-24h'!D32,'23.10 NGOMA-KAPEEKA'!D32)</f>
        <v>0.42857142857142855</v>
      </c>
      <c r="E32" s="49">
        <f>AVERAGE('17.10 NGOMA-KAPEEKA'!E32,'18.10 NGOMA KAPEEKA'!E32,'20.10 NGOMA-KAPEEKA'!E32,'22.10 NGOMA-KAPEERA'!E32,'19.10 NGOMA-KAPEEKA-24h'!E32,'21.10 NGOMA KAPEEKA-24h'!E32,'23.10 NGOMA-KAPEEKA'!E32)</f>
        <v>0.2857142857142857</v>
      </c>
      <c r="F32" s="49">
        <f>AVERAGE('17.10 NGOMA-KAPEEKA'!F32,'18.10 NGOMA KAPEEKA'!F32,'20.10 NGOMA-KAPEEKA'!F32,'22.10 NGOMA-KAPEERA'!F32,'19.10 NGOMA-KAPEEKA-24h'!F32,'21.10 NGOMA KAPEEKA-24h'!F32,'23.10 NGOMA-KAPEEKA'!F32)</f>
        <v>0.42857142857142855</v>
      </c>
      <c r="G32" s="49">
        <f>AVERAGE('17.10 NGOMA-KAPEEKA'!G32,'18.10 NGOMA KAPEEKA'!G32,'20.10 NGOMA-KAPEEKA'!G32,'22.10 NGOMA-KAPEERA'!G32,'19.10 NGOMA-KAPEEKA-24h'!G32,'21.10 NGOMA KAPEEKA-24h'!G32,'23.10 NGOMA-KAPEEKA'!G32)</f>
        <v>0</v>
      </c>
      <c r="H32" s="49">
        <f>AVERAGE('17.10 NGOMA-KAPEEKA'!H32,'18.10 NGOMA KAPEEKA'!H32,'20.10 NGOMA-KAPEEKA'!H32,'22.10 NGOMA-KAPEERA'!H32,'19.10 NGOMA-KAPEEKA-24h'!H32,'21.10 NGOMA KAPEEKA-24h'!H32,'23.10 NGOMA-KAPEEKA'!H32)</f>
        <v>0.14285714285714285</v>
      </c>
      <c r="I32" s="49">
        <f>AVERAGE('17.10 NGOMA-KAPEEKA'!I32,'18.10 NGOMA KAPEEKA'!I32,'20.10 NGOMA-KAPEEKA'!I32,'22.10 NGOMA-KAPEERA'!I32,'19.10 NGOMA-KAPEEKA-24h'!I32,'21.10 NGOMA KAPEEKA-24h'!I32,'23.10 NGOMA-KAPEEKA'!I32)</f>
        <v>1.2857142857142858</v>
      </c>
      <c r="J32" s="49">
        <f>AVERAGE('17.10 NGOMA-KAPEEKA'!J32,'18.10 NGOMA KAPEEKA'!J32,'20.10 NGOMA-KAPEEKA'!J32,'22.10 NGOMA-KAPEERA'!J32,'19.10 NGOMA-KAPEEKA-24h'!J32,'21.10 NGOMA KAPEEKA-24h'!J32,'23.10 NGOMA-KAPEEKA'!J32)</f>
        <v>0.42857142857142855</v>
      </c>
      <c r="K32" s="49">
        <f>AVERAGE('17.10 NGOMA-KAPEEKA'!K32,'18.10 NGOMA KAPEEKA'!K32,'20.10 NGOMA-KAPEEKA'!K32,'22.10 NGOMA-KAPEERA'!K32,'19.10 NGOMA-KAPEEKA-24h'!K32,'21.10 NGOMA KAPEEKA-24h'!K32,'23.10 NGOMA-KAPEEKA'!K32)</f>
        <v>0</v>
      </c>
      <c r="L32" s="49">
        <f>AVERAGE('17.10 NGOMA-KAPEEKA'!L32,'18.10 NGOMA KAPEEKA'!L32,'20.10 NGOMA-KAPEEKA'!L32,'22.10 NGOMA-KAPEERA'!L32,'19.10 NGOMA-KAPEEKA-24h'!L32,'21.10 NGOMA KAPEEKA-24h'!L32,'23.10 NGOMA-KAPEEKA'!L32)</f>
        <v>0</v>
      </c>
      <c r="M32" s="49">
        <f>AVERAGE('17.10 NGOMA-KAPEEKA'!M32,'18.10 NGOMA KAPEEKA'!M32,'20.10 NGOMA-KAPEEKA'!M32,'22.10 NGOMA-KAPEERA'!M32,'19.10 NGOMA-KAPEEKA-24h'!M32,'21.10 NGOMA KAPEEKA-24h'!M32,'23.10 NGOMA-KAPEEKA'!M32)</f>
        <v>4.4285714285714288</v>
      </c>
      <c r="N32" s="49">
        <f>AVERAGE('17.10 NGOMA-KAPEEKA'!N32,'18.10 NGOMA KAPEEKA'!N32,'20.10 NGOMA-KAPEEKA'!N32,'22.10 NGOMA-KAPEERA'!N32,'19.10 NGOMA-KAPEEKA-24h'!N32,'21.10 NGOMA KAPEEKA-24h'!N32,'23.10 NGOMA-KAPEEKA'!N32)</f>
        <v>0.14285714285714285</v>
      </c>
      <c r="O32" s="15">
        <f t="shared" si="0"/>
        <v>4</v>
      </c>
      <c r="P32" s="15">
        <f t="shared" si="1"/>
        <v>8.4285714285714288</v>
      </c>
      <c r="R32" s="1" t="s">
        <v>156</v>
      </c>
      <c r="S32" s="34">
        <f>SUM(C98:C101)</f>
        <v>1.5</v>
      </c>
      <c r="T32" s="34">
        <f t="shared" ref="T32:AF32" si="24">SUM(D98:D101)</f>
        <v>0</v>
      </c>
      <c r="U32" s="34">
        <f t="shared" si="24"/>
        <v>0.5</v>
      </c>
      <c r="V32" s="34">
        <f t="shared" si="24"/>
        <v>0.5</v>
      </c>
      <c r="W32" s="34">
        <f t="shared" si="24"/>
        <v>0</v>
      </c>
      <c r="X32" s="34">
        <f t="shared" si="24"/>
        <v>0</v>
      </c>
      <c r="Y32" s="34">
        <f t="shared" si="24"/>
        <v>2.5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3</v>
      </c>
      <c r="AD32" s="34">
        <f t="shared" si="24"/>
        <v>0</v>
      </c>
      <c r="AE32" s="31">
        <f t="shared" si="24"/>
        <v>5</v>
      </c>
      <c r="AF32" s="31">
        <f t="shared" si="24"/>
        <v>8</v>
      </c>
    </row>
    <row r="33" spans="2:32" ht="23.1" customHeight="1" x14ac:dyDescent="0.25">
      <c r="B33" s="23" t="s">
        <v>60</v>
      </c>
      <c r="C33" s="49">
        <f>AVERAGE('17.10 NGOMA-KAPEEKA'!C33,'18.10 NGOMA KAPEEKA'!C33,'20.10 NGOMA-KAPEEKA'!C33,'22.10 NGOMA-KAPEERA'!C33,'19.10 NGOMA-KAPEEKA-24h'!C33,'21.10 NGOMA KAPEEKA-24h'!C33,'23.10 NGOMA-KAPEEKA'!C33)</f>
        <v>1</v>
      </c>
      <c r="D33" s="49">
        <f>AVERAGE('17.10 NGOMA-KAPEEKA'!D33,'18.10 NGOMA KAPEEKA'!D33,'20.10 NGOMA-KAPEEKA'!D33,'22.10 NGOMA-KAPEERA'!D33,'19.10 NGOMA-KAPEEKA-24h'!D33,'21.10 NGOMA KAPEEKA-24h'!D33,'23.10 NGOMA-KAPEEKA'!D33)</f>
        <v>0</v>
      </c>
      <c r="E33" s="49">
        <f>AVERAGE('17.10 NGOMA-KAPEEKA'!E33,'18.10 NGOMA KAPEEKA'!E33,'20.10 NGOMA-KAPEEKA'!E33,'22.10 NGOMA-KAPEERA'!E33,'19.10 NGOMA-KAPEEKA-24h'!E33,'21.10 NGOMA KAPEEKA-24h'!E33,'23.10 NGOMA-KAPEEKA'!E33)</f>
        <v>0.2857142857142857</v>
      </c>
      <c r="F33" s="49">
        <f>AVERAGE('17.10 NGOMA-KAPEEKA'!F33,'18.10 NGOMA KAPEEKA'!F33,'20.10 NGOMA-KAPEEKA'!F33,'22.10 NGOMA-KAPEERA'!F33,'19.10 NGOMA-KAPEEKA-24h'!F33,'21.10 NGOMA KAPEEKA-24h'!F33,'23.10 NGOMA-KAPEEKA'!F33)</f>
        <v>0.5714285714285714</v>
      </c>
      <c r="G33" s="49">
        <f>AVERAGE('17.10 NGOMA-KAPEEKA'!G33,'18.10 NGOMA KAPEEKA'!G33,'20.10 NGOMA-KAPEEKA'!G33,'22.10 NGOMA-KAPEERA'!G33,'19.10 NGOMA-KAPEEKA-24h'!G33,'21.10 NGOMA KAPEEKA-24h'!G33,'23.10 NGOMA-KAPEEKA'!G33)</f>
        <v>0</v>
      </c>
      <c r="H33" s="49">
        <f>AVERAGE('17.10 NGOMA-KAPEEKA'!H33,'18.10 NGOMA KAPEEKA'!H33,'20.10 NGOMA-KAPEEKA'!H33,'22.10 NGOMA-KAPEERA'!H33,'19.10 NGOMA-KAPEEKA-24h'!H33,'21.10 NGOMA KAPEEKA-24h'!H33,'23.10 NGOMA-KAPEEKA'!H33)</f>
        <v>0</v>
      </c>
      <c r="I33" s="49">
        <f>AVERAGE('17.10 NGOMA-KAPEEKA'!I33,'18.10 NGOMA KAPEEKA'!I33,'20.10 NGOMA-KAPEEKA'!I33,'22.10 NGOMA-KAPEERA'!I33,'19.10 NGOMA-KAPEEKA-24h'!I33,'21.10 NGOMA KAPEEKA-24h'!I33,'23.10 NGOMA-KAPEEKA'!I33)</f>
        <v>0.7142857142857143</v>
      </c>
      <c r="J33" s="49">
        <f>AVERAGE('17.10 NGOMA-KAPEEKA'!J33,'18.10 NGOMA KAPEEKA'!J33,'20.10 NGOMA-KAPEEKA'!J33,'22.10 NGOMA-KAPEERA'!J33,'19.10 NGOMA-KAPEEKA-24h'!J33,'21.10 NGOMA KAPEEKA-24h'!J33,'23.10 NGOMA-KAPEEKA'!J33)</f>
        <v>0.5714285714285714</v>
      </c>
      <c r="K33" s="49">
        <f>AVERAGE('17.10 NGOMA-KAPEEKA'!K33,'18.10 NGOMA KAPEEKA'!K33,'20.10 NGOMA-KAPEEKA'!K33,'22.10 NGOMA-KAPEERA'!K33,'19.10 NGOMA-KAPEEKA-24h'!K33,'21.10 NGOMA KAPEEKA-24h'!K33,'23.10 NGOMA-KAPEEKA'!K33)</f>
        <v>0</v>
      </c>
      <c r="L33" s="49">
        <f>AVERAGE('17.10 NGOMA-KAPEEKA'!L33,'18.10 NGOMA KAPEEKA'!L33,'20.10 NGOMA-KAPEEKA'!L33,'22.10 NGOMA-KAPEERA'!L33,'19.10 NGOMA-KAPEEKA-24h'!L33,'21.10 NGOMA KAPEEKA-24h'!L33,'23.10 NGOMA-KAPEEKA'!L33)</f>
        <v>0</v>
      </c>
      <c r="M33" s="49">
        <f>AVERAGE('17.10 NGOMA-KAPEEKA'!M33,'18.10 NGOMA KAPEEKA'!M33,'20.10 NGOMA-KAPEEKA'!M33,'22.10 NGOMA-KAPEERA'!M33,'19.10 NGOMA-KAPEEKA-24h'!M33,'21.10 NGOMA KAPEEKA-24h'!M33,'23.10 NGOMA-KAPEEKA'!M33)</f>
        <v>5.2857142857142856</v>
      </c>
      <c r="N33" s="49">
        <f>AVERAGE('17.10 NGOMA-KAPEEKA'!N33,'18.10 NGOMA KAPEEKA'!N33,'20.10 NGOMA-KAPEEKA'!N33,'22.10 NGOMA-KAPEERA'!N33,'19.10 NGOMA-KAPEEKA-24h'!N33,'21.10 NGOMA KAPEEKA-24h'!N33,'23.10 NGOMA-KAPEEKA'!N33)</f>
        <v>0.14285714285714285</v>
      </c>
      <c r="O33" s="15">
        <f t="shared" si="0"/>
        <v>3.2857142857142851</v>
      </c>
      <c r="P33" s="15">
        <f t="shared" si="1"/>
        <v>8.5714285714285694</v>
      </c>
      <c r="R33" s="1" t="s">
        <v>157</v>
      </c>
      <c r="S33" s="34">
        <f>SUM(C102:C105)</f>
        <v>0.5</v>
      </c>
      <c r="T33" s="34">
        <f t="shared" ref="T33:AF33" si="25">SUM(D102:D105)</f>
        <v>0.5</v>
      </c>
      <c r="U33" s="34">
        <f t="shared" si="25"/>
        <v>0</v>
      </c>
      <c r="V33" s="34">
        <f t="shared" si="25"/>
        <v>1.5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8</v>
      </c>
      <c r="AD33" s="34">
        <f t="shared" si="25"/>
        <v>0</v>
      </c>
      <c r="AE33" s="31">
        <f t="shared" si="25"/>
        <v>4</v>
      </c>
      <c r="AF33" s="31">
        <f t="shared" si="25"/>
        <v>12</v>
      </c>
    </row>
    <row r="34" spans="2:32" ht="23.1" customHeight="1" x14ac:dyDescent="0.25">
      <c r="B34" s="24" t="s">
        <v>61</v>
      </c>
      <c r="C34" s="49">
        <f>AVERAGE('17.10 NGOMA-KAPEEKA'!C34,'18.10 NGOMA KAPEEKA'!C34,'20.10 NGOMA-KAPEEKA'!C34,'22.10 NGOMA-KAPEERA'!C34,'19.10 NGOMA-KAPEEKA-24h'!C34,'21.10 NGOMA KAPEEKA-24h'!C34,'23.10 NGOMA-KAPEEKA'!C34)</f>
        <v>0.42857142857142855</v>
      </c>
      <c r="D34" s="49">
        <f>AVERAGE('17.10 NGOMA-KAPEEKA'!D34,'18.10 NGOMA KAPEEKA'!D34,'20.10 NGOMA-KAPEEKA'!D34,'22.10 NGOMA-KAPEERA'!D34,'19.10 NGOMA-KAPEEKA-24h'!D34,'21.10 NGOMA KAPEEKA-24h'!D34,'23.10 NGOMA-KAPEEKA'!D34)</f>
        <v>0</v>
      </c>
      <c r="E34" s="49">
        <f>AVERAGE('17.10 NGOMA-KAPEEKA'!E34,'18.10 NGOMA KAPEEKA'!E34,'20.10 NGOMA-KAPEEKA'!E34,'22.10 NGOMA-KAPEERA'!E34,'19.10 NGOMA-KAPEEKA-24h'!E34,'21.10 NGOMA KAPEEKA-24h'!E34,'23.10 NGOMA-KAPEEKA'!E34)</f>
        <v>0.14285714285714285</v>
      </c>
      <c r="F34" s="49">
        <f>AVERAGE('17.10 NGOMA-KAPEEKA'!F34,'18.10 NGOMA KAPEEKA'!F34,'20.10 NGOMA-KAPEEKA'!F34,'22.10 NGOMA-KAPEERA'!F34,'19.10 NGOMA-KAPEEKA-24h'!F34,'21.10 NGOMA KAPEEKA-24h'!F34,'23.10 NGOMA-KAPEEKA'!F34)</f>
        <v>0.2857142857142857</v>
      </c>
      <c r="G34" s="49">
        <f>AVERAGE('17.10 NGOMA-KAPEEKA'!G34,'18.10 NGOMA KAPEEKA'!G34,'20.10 NGOMA-KAPEEKA'!G34,'22.10 NGOMA-KAPEERA'!G34,'19.10 NGOMA-KAPEEKA-24h'!G34,'21.10 NGOMA KAPEEKA-24h'!G34,'23.10 NGOMA-KAPEEKA'!G34)</f>
        <v>0</v>
      </c>
      <c r="H34" s="49">
        <f>AVERAGE('17.10 NGOMA-KAPEEKA'!H34,'18.10 NGOMA KAPEEKA'!H34,'20.10 NGOMA-KAPEEKA'!H34,'22.10 NGOMA-KAPEERA'!H34,'19.10 NGOMA-KAPEEKA-24h'!H34,'21.10 NGOMA KAPEEKA-24h'!H34,'23.10 NGOMA-KAPEEKA'!H34)</f>
        <v>0</v>
      </c>
      <c r="I34" s="49">
        <f>AVERAGE('17.10 NGOMA-KAPEEKA'!I34,'18.10 NGOMA KAPEEKA'!I34,'20.10 NGOMA-KAPEEKA'!I34,'22.10 NGOMA-KAPEERA'!I34,'19.10 NGOMA-KAPEEKA-24h'!I34,'21.10 NGOMA KAPEEKA-24h'!I34,'23.10 NGOMA-KAPEEKA'!I34)</f>
        <v>0.8571428571428571</v>
      </c>
      <c r="J34" s="49">
        <f>AVERAGE('17.10 NGOMA-KAPEEKA'!J34,'18.10 NGOMA KAPEEKA'!J34,'20.10 NGOMA-KAPEEKA'!J34,'22.10 NGOMA-KAPEERA'!J34,'19.10 NGOMA-KAPEEKA-24h'!J34,'21.10 NGOMA KAPEEKA-24h'!J34,'23.10 NGOMA-KAPEEKA'!J34)</f>
        <v>0.42857142857142855</v>
      </c>
      <c r="K34" s="49">
        <f>AVERAGE('17.10 NGOMA-KAPEEKA'!K34,'18.10 NGOMA KAPEEKA'!K34,'20.10 NGOMA-KAPEEKA'!K34,'22.10 NGOMA-KAPEERA'!K34,'19.10 NGOMA-KAPEEKA-24h'!K34,'21.10 NGOMA KAPEEKA-24h'!K34,'23.10 NGOMA-KAPEEKA'!K34)</f>
        <v>0</v>
      </c>
      <c r="L34" s="49">
        <f>AVERAGE('17.10 NGOMA-KAPEEKA'!L34,'18.10 NGOMA KAPEEKA'!L34,'20.10 NGOMA-KAPEEKA'!L34,'22.10 NGOMA-KAPEERA'!L34,'19.10 NGOMA-KAPEEKA-24h'!L34,'21.10 NGOMA KAPEEKA-24h'!L34,'23.10 NGOMA-KAPEEKA'!L34)</f>
        <v>0.14285714285714285</v>
      </c>
      <c r="M34" s="49">
        <f>AVERAGE('17.10 NGOMA-KAPEEKA'!M34,'18.10 NGOMA KAPEEKA'!M34,'20.10 NGOMA-KAPEEKA'!M34,'22.10 NGOMA-KAPEERA'!M34,'19.10 NGOMA-KAPEEKA-24h'!M34,'21.10 NGOMA KAPEEKA-24h'!M34,'23.10 NGOMA-KAPEEKA'!M34)</f>
        <v>5.4285714285714288</v>
      </c>
      <c r="N34" s="49">
        <f>AVERAGE('17.10 NGOMA-KAPEEKA'!N34,'18.10 NGOMA KAPEEKA'!N34,'20.10 NGOMA-KAPEEKA'!N34,'22.10 NGOMA-KAPEERA'!N34,'19.10 NGOMA-KAPEEKA-24h'!N34,'21.10 NGOMA KAPEEKA-24h'!N34,'23.10 NGOMA-KAPEEKA'!N34)</f>
        <v>0</v>
      </c>
      <c r="O34" s="15">
        <f t="shared" si="0"/>
        <v>2.2857142857142856</v>
      </c>
      <c r="P34" s="15">
        <f t="shared" si="1"/>
        <v>7.7142857142857144</v>
      </c>
      <c r="R34" s="38" t="s">
        <v>90</v>
      </c>
      <c r="S34" s="39">
        <f t="shared" ref="S34:AF34" si="26">MAX(S10:S12)</f>
        <v>1.1428571428571428</v>
      </c>
      <c r="T34" s="39">
        <f t="shared" si="26"/>
        <v>0.42857142857142855</v>
      </c>
      <c r="U34" s="39">
        <f t="shared" si="26"/>
        <v>0.42857142857142855</v>
      </c>
      <c r="V34" s="39">
        <f t="shared" si="26"/>
        <v>2.1428571428571428</v>
      </c>
      <c r="W34" s="39">
        <f t="shared" si="26"/>
        <v>0</v>
      </c>
      <c r="X34" s="39">
        <f t="shared" si="26"/>
        <v>0</v>
      </c>
      <c r="Y34" s="39">
        <f t="shared" si="26"/>
        <v>1.4285714285714284</v>
      </c>
      <c r="Z34" s="39">
        <f t="shared" si="26"/>
        <v>0.2857142857142857</v>
      </c>
      <c r="AA34" s="39">
        <f t="shared" si="26"/>
        <v>0</v>
      </c>
      <c r="AB34" s="39">
        <f t="shared" si="26"/>
        <v>0</v>
      </c>
      <c r="AC34" s="39">
        <f t="shared" si="26"/>
        <v>18.142857142857146</v>
      </c>
      <c r="AD34" s="39">
        <f t="shared" si="26"/>
        <v>0</v>
      </c>
      <c r="AE34" s="40">
        <f t="shared" si="26"/>
        <v>5.8571428571428568</v>
      </c>
      <c r="AF34" s="40">
        <f t="shared" si="26"/>
        <v>22.285714285714285</v>
      </c>
    </row>
    <row r="35" spans="2:32" ht="23.1" customHeight="1" x14ac:dyDescent="0.25">
      <c r="B35" s="24" t="s">
        <v>62</v>
      </c>
      <c r="C35" s="49">
        <f>AVERAGE('17.10 NGOMA-KAPEEKA'!C35,'18.10 NGOMA KAPEEKA'!C35,'20.10 NGOMA-KAPEEKA'!C35,'22.10 NGOMA-KAPEERA'!C35,'19.10 NGOMA-KAPEEKA-24h'!C35,'21.10 NGOMA KAPEEKA-24h'!C35,'23.10 NGOMA-KAPEEKA'!C35)</f>
        <v>0.7142857142857143</v>
      </c>
      <c r="D35" s="49">
        <f>AVERAGE('17.10 NGOMA-KAPEEKA'!D35,'18.10 NGOMA KAPEEKA'!D35,'20.10 NGOMA-KAPEEKA'!D35,'22.10 NGOMA-KAPEERA'!D35,'19.10 NGOMA-KAPEEKA-24h'!D35,'21.10 NGOMA KAPEEKA-24h'!D35,'23.10 NGOMA-KAPEEKA'!D35)</f>
        <v>0.14285714285714285</v>
      </c>
      <c r="E35" s="49">
        <f>AVERAGE('17.10 NGOMA-KAPEEKA'!E35,'18.10 NGOMA KAPEEKA'!E35,'20.10 NGOMA-KAPEEKA'!E35,'22.10 NGOMA-KAPEERA'!E35,'19.10 NGOMA-KAPEEKA-24h'!E35,'21.10 NGOMA KAPEEKA-24h'!E35,'23.10 NGOMA-KAPEEKA'!E35)</f>
        <v>0.2857142857142857</v>
      </c>
      <c r="F35" s="49">
        <f>AVERAGE('17.10 NGOMA-KAPEEKA'!F35,'18.10 NGOMA KAPEEKA'!F35,'20.10 NGOMA-KAPEEKA'!F35,'22.10 NGOMA-KAPEERA'!F35,'19.10 NGOMA-KAPEEKA-24h'!F35,'21.10 NGOMA KAPEEKA-24h'!F35,'23.10 NGOMA-KAPEEKA'!F35)</f>
        <v>0.5714285714285714</v>
      </c>
      <c r="G35" s="49">
        <f>AVERAGE('17.10 NGOMA-KAPEEKA'!G35,'18.10 NGOMA KAPEEKA'!G35,'20.10 NGOMA-KAPEEKA'!G35,'22.10 NGOMA-KAPEERA'!G35,'19.10 NGOMA-KAPEEKA-24h'!G35,'21.10 NGOMA KAPEEKA-24h'!G35,'23.10 NGOMA-KAPEEKA'!G35)</f>
        <v>0</v>
      </c>
      <c r="H35" s="49">
        <f>AVERAGE('17.10 NGOMA-KAPEEKA'!H35,'18.10 NGOMA KAPEEKA'!H35,'20.10 NGOMA-KAPEEKA'!H35,'22.10 NGOMA-KAPEERA'!H35,'19.10 NGOMA-KAPEEKA-24h'!H35,'21.10 NGOMA KAPEEKA-24h'!H35,'23.10 NGOMA-KAPEEKA'!H35)</f>
        <v>0</v>
      </c>
      <c r="I35" s="49">
        <f>AVERAGE('17.10 NGOMA-KAPEEKA'!I35,'18.10 NGOMA KAPEEKA'!I35,'20.10 NGOMA-KAPEEKA'!I35,'22.10 NGOMA-KAPEERA'!I35,'19.10 NGOMA-KAPEEKA-24h'!I35,'21.10 NGOMA KAPEEKA-24h'!I35,'23.10 NGOMA-KAPEEKA'!I35)</f>
        <v>0.2857142857142857</v>
      </c>
      <c r="J35" s="49">
        <f>AVERAGE('17.10 NGOMA-KAPEEKA'!J35,'18.10 NGOMA KAPEEKA'!J35,'20.10 NGOMA-KAPEEKA'!J35,'22.10 NGOMA-KAPEERA'!J35,'19.10 NGOMA-KAPEEKA-24h'!J35,'21.10 NGOMA KAPEEKA-24h'!J35,'23.10 NGOMA-KAPEEKA'!J35)</f>
        <v>0.5714285714285714</v>
      </c>
      <c r="K35" s="49">
        <f>AVERAGE('17.10 NGOMA-KAPEEKA'!K35,'18.10 NGOMA KAPEEKA'!K35,'20.10 NGOMA-KAPEEKA'!K35,'22.10 NGOMA-KAPEERA'!K35,'19.10 NGOMA-KAPEEKA-24h'!K35,'21.10 NGOMA KAPEEKA-24h'!K35,'23.10 NGOMA-KAPEEKA'!K35)</f>
        <v>0.14285714285714285</v>
      </c>
      <c r="L35" s="49">
        <f>AVERAGE('17.10 NGOMA-KAPEEKA'!L35,'18.10 NGOMA KAPEEKA'!L35,'20.10 NGOMA-KAPEEKA'!L35,'22.10 NGOMA-KAPEERA'!L35,'19.10 NGOMA-KAPEEKA-24h'!L35,'21.10 NGOMA KAPEEKA-24h'!L35,'23.10 NGOMA-KAPEEKA'!L35)</f>
        <v>0</v>
      </c>
      <c r="M35" s="49">
        <f>AVERAGE('17.10 NGOMA-KAPEEKA'!M35,'18.10 NGOMA KAPEEKA'!M35,'20.10 NGOMA-KAPEEKA'!M35,'22.10 NGOMA-KAPEERA'!M35,'19.10 NGOMA-KAPEEKA-24h'!M35,'21.10 NGOMA KAPEEKA-24h'!M35,'23.10 NGOMA-KAPEEKA'!M35)</f>
        <v>6.4285714285714288</v>
      </c>
      <c r="N35" s="49">
        <f>AVERAGE('17.10 NGOMA-KAPEEKA'!N35,'18.10 NGOMA KAPEEKA'!N35,'20.10 NGOMA-KAPEEKA'!N35,'22.10 NGOMA-KAPEERA'!N35,'19.10 NGOMA-KAPEEKA-24h'!N35,'21.10 NGOMA KAPEEKA-24h'!N35,'23.10 NGOMA-KAPEEKA'!N35)</f>
        <v>0</v>
      </c>
      <c r="O35" s="15">
        <f t="shared" si="0"/>
        <v>2.714285714285714</v>
      </c>
      <c r="P35" s="15">
        <f t="shared" si="1"/>
        <v>9.1428571428571423</v>
      </c>
      <c r="R35" s="38" t="s">
        <v>91</v>
      </c>
      <c r="S35" s="39">
        <f t="shared" ref="S35:AF35" si="27">MAX(S13:S18)</f>
        <v>3.1428571428571428</v>
      </c>
      <c r="T35" s="39">
        <f t="shared" si="27"/>
        <v>1.857142857142857</v>
      </c>
      <c r="U35" s="39">
        <f t="shared" si="27"/>
        <v>1.8571428571428572</v>
      </c>
      <c r="V35" s="39">
        <f t="shared" si="27"/>
        <v>2.5714285714285712</v>
      </c>
      <c r="W35" s="39">
        <f t="shared" si="27"/>
        <v>0.14285714285714285</v>
      </c>
      <c r="X35" s="39">
        <f t="shared" si="27"/>
        <v>0.14285714285714285</v>
      </c>
      <c r="Y35" s="39">
        <f t="shared" si="27"/>
        <v>3.5714285714285712</v>
      </c>
      <c r="Z35" s="39">
        <f t="shared" si="27"/>
        <v>2.1428571428571428</v>
      </c>
      <c r="AA35" s="39">
        <f t="shared" si="27"/>
        <v>0.2857142857142857</v>
      </c>
      <c r="AB35" s="39">
        <f t="shared" si="27"/>
        <v>0.14285714285714285</v>
      </c>
      <c r="AC35" s="39">
        <f t="shared" si="27"/>
        <v>25.571428571428569</v>
      </c>
      <c r="AD35" s="39">
        <f t="shared" si="27"/>
        <v>0.42857142857142855</v>
      </c>
      <c r="AE35" s="40">
        <f t="shared" si="27"/>
        <v>12.857142857142856</v>
      </c>
      <c r="AF35" s="40">
        <f t="shared" si="27"/>
        <v>37</v>
      </c>
    </row>
    <row r="36" spans="2:32" ht="23.1" customHeight="1" x14ac:dyDescent="0.25">
      <c r="B36" s="24" t="s">
        <v>63</v>
      </c>
      <c r="C36" s="49">
        <f>AVERAGE('17.10 NGOMA-KAPEEKA'!C36,'18.10 NGOMA KAPEEKA'!C36,'20.10 NGOMA-KAPEEKA'!C36,'22.10 NGOMA-KAPEERA'!C36,'19.10 NGOMA-KAPEEKA-24h'!C36,'21.10 NGOMA KAPEEKA-24h'!C36,'23.10 NGOMA-KAPEEKA'!C36)</f>
        <v>0.5714285714285714</v>
      </c>
      <c r="D36" s="49">
        <f>AVERAGE('17.10 NGOMA-KAPEEKA'!D36,'18.10 NGOMA KAPEEKA'!D36,'20.10 NGOMA-KAPEEKA'!D36,'22.10 NGOMA-KAPEERA'!D36,'19.10 NGOMA-KAPEEKA-24h'!D36,'21.10 NGOMA KAPEEKA-24h'!D36,'23.10 NGOMA-KAPEEKA'!D36)</f>
        <v>0.14285714285714285</v>
      </c>
      <c r="E36" s="49">
        <f>AVERAGE('17.10 NGOMA-KAPEEKA'!E36,'18.10 NGOMA KAPEEKA'!E36,'20.10 NGOMA-KAPEEKA'!E36,'22.10 NGOMA-KAPEERA'!E36,'19.10 NGOMA-KAPEEKA-24h'!E36,'21.10 NGOMA KAPEEKA-24h'!E36,'23.10 NGOMA-KAPEEKA'!E36)</f>
        <v>0.14285714285714285</v>
      </c>
      <c r="F36" s="49">
        <f>AVERAGE('17.10 NGOMA-KAPEEKA'!F36,'18.10 NGOMA KAPEEKA'!F36,'20.10 NGOMA-KAPEEKA'!F36,'22.10 NGOMA-KAPEERA'!F36,'19.10 NGOMA-KAPEEKA-24h'!F36,'21.10 NGOMA KAPEEKA-24h'!F36,'23.10 NGOMA-KAPEEKA'!F36)</f>
        <v>1.1428571428571428</v>
      </c>
      <c r="G36" s="49">
        <f>AVERAGE('17.10 NGOMA-KAPEEKA'!G36,'18.10 NGOMA KAPEEKA'!G36,'20.10 NGOMA-KAPEEKA'!G36,'22.10 NGOMA-KAPEERA'!G36,'19.10 NGOMA-KAPEEKA-24h'!G36,'21.10 NGOMA KAPEEKA-24h'!G36,'23.10 NGOMA-KAPEEKA'!G36)</f>
        <v>0</v>
      </c>
      <c r="H36" s="49">
        <f>AVERAGE('17.10 NGOMA-KAPEEKA'!H36,'18.10 NGOMA KAPEEKA'!H36,'20.10 NGOMA-KAPEEKA'!H36,'22.10 NGOMA-KAPEERA'!H36,'19.10 NGOMA-KAPEEKA-24h'!H36,'21.10 NGOMA KAPEEKA-24h'!H36,'23.10 NGOMA-KAPEEKA'!H36)</f>
        <v>0</v>
      </c>
      <c r="I36" s="49">
        <f>AVERAGE('17.10 NGOMA-KAPEEKA'!I36,'18.10 NGOMA KAPEEKA'!I36,'20.10 NGOMA-KAPEEKA'!I36,'22.10 NGOMA-KAPEERA'!I36,'19.10 NGOMA-KAPEEKA-24h'!I36,'21.10 NGOMA KAPEEKA-24h'!I36,'23.10 NGOMA-KAPEEKA'!I36)</f>
        <v>0.2857142857142857</v>
      </c>
      <c r="J36" s="49">
        <f>AVERAGE('17.10 NGOMA-KAPEEKA'!J36,'18.10 NGOMA KAPEEKA'!J36,'20.10 NGOMA-KAPEEKA'!J36,'22.10 NGOMA-KAPEERA'!J36,'19.10 NGOMA-KAPEEKA-24h'!J36,'21.10 NGOMA KAPEEKA-24h'!J36,'23.10 NGOMA-KAPEEKA'!J36)</f>
        <v>0.2857142857142857</v>
      </c>
      <c r="K36" s="49">
        <f>AVERAGE('17.10 NGOMA-KAPEEKA'!K36,'18.10 NGOMA KAPEEKA'!K36,'20.10 NGOMA-KAPEEKA'!K36,'22.10 NGOMA-KAPEERA'!K36,'19.10 NGOMA-KAPEEKA-24h'!K36,'21.10 NGOMA KAPEEKA-24h'!K36,'23.10 NGOMA-KAPEEKA'!K36)</f>
        <v>0</v>
      </c>
      <c r="L36" s="49">
        <f>AVERAGE('17.10 NGOMA-KAPEEKA'!L36,'18.10 NGOMA KAPEEKA'!L36,'20.10 NGOMA-KAPEEKA'!L36,'22.10 NGOMA-KAPEERA'!L36,'19.10 NGOMA-KAPEEKA-24h'!L36,'21.10 NGOMA KAPEEKA-24h'!L36,'23.10 NGOMA-KAPEEKA'!L36)</f>
        <v>0</v>
      </c>
      <c r="M36" s="49">
        <f>AVERAGE('17.10 NGOMA-KAPEEKA'!M36,'18.10 NGOMA KAPEEKA'!M36,'20.10 NGOMA-KAPEEKA'!M36,'22.10 NGOMA-KAPEERA'!M36,'19.10 NGOMA-KAPEEKA-24h'!M36,'21.10 NGOMA KAPEEKA-24h'!M36,'23.10 NGOMA-KAPEEKA'!M36)</f>
        <v>5.8571428571428568</v>
      </c>
      <c r="N36" s="49">
        <f>AVERAGE('17.10 NGOMA-KAPEEKA'!N36,'18.10 NGOMA KAPEEKA'!N36,'20.10 NGOMA-KAPEEKA'!N36,'22.10 NGOMA-KAPEERA'!N36,'19.10 NGOMA-KAPEEKA-24h'!N36,'21.10 NGOMA KAPEEKA-24h'!N36,'23.10 NGOMA-KAPEEKA'!N36)</f>
        <v>0</v>
      </c>
      <c r="O36" s="15">
        <f t="shared" si="0"/>
        <v>2.5714285714285712</v>
      </c>
      <c r="P36" s="15">
        <f t="shared" si="1"/>
        <v>8.428571428571427</v>
      </c>
      <c r="R36" s="38" t="s">
        <v>92</v>
      </c>
      <c r="S36" s="39">
        <f t="shared" ref="S36:AF36" si="28">MAX(S19:S21)</f>
        <v>3.2857142857142856</v>
      </c>
      <c r="T36" s="39">
        <f t="shared" si="28"/>
        <v>1.7142857142857142</v>
      </c>
      <c r="U36" s="39">
        <f t="shared" si="28"/>
        <v>1.714285714285714</v>
      </c>
      <c r="V36" s="39">
        <f t="shared" si="28"/>
        <v>2.1428571428571428</v>
      </c>
      <c r="W36" s="39">
        <f t="shared" si="28"/>
        <v>0.2857142857142857</v>
      </c>
      <c r="X36" s="39">
        <f t="shared" si="28"/>
        <v>0.2857142857142857</v>
      </c>
      <c r="Y36" s="39">
        <f t="shared" si="28"/>
        <v>4.2857142857142856</v>
      </c>
      <c r="Z36" s="39">
        <f t="shared" si="28"/>
        <v>1.5714285714285712</v>
      </c>
      <c r="AA36" s="39">
        <f t="shared" si="28"/>
        <v>0.14285714285714285</v>
      </c>
      <c r="AB36" s="39">
        <f t="shared" si="28"/>
        <v>0.14285714285714285</v>
      </c>
      <c r="AC36" s="39">
        <f t="shared" si="28"/>
        <v>23.595238095238095</v>
      </c>
      <c r="AD36" s="39">
        <f t="shared" si="28"/>
        <v>1.4285714285714284</v>
      </c>
      <c r="AE36" s="40">
        <f t="shared" si="28"/>
        <v>14.428571428571427</v>
      </c>
      <c r="AF36" s="40">
        <f t="shared" si="28"/>
        <v>38.023809523809518</v>
      </c>
    </row>
    <row r="37" spans="2:32" ht="23.1" customHeight="1" x14ac:dyDescent="0.25">
      <c r="B37" s="23" t="s">
        <v>64</v>
      </c>
      <c r="C37" s="49">
        <f>AVERAGE('17.10 NGOMA-KAPEEKA'!C37,'18.10 NGOMA KAPEEKA'!C37,'20.10 NGOMA-KAPEEKA'!C37,'22.10 NGOMA-KAPEERA'!C37,'19.10 NGOMA-KAPEEKA-24h'!C37,'21.10 NGOMA KAPEEKA-24h'!C37,'23.10 NGOMA-KAPEEKA'!C37)</f>
        <v>0.14285714285714285</v>
      </c>
      <c r="D37" s="49">
        <f>AVERAGE('17.10 NGOMA-KAPEEKA'!D37,'18.10 NGOMA KAPEEKA'!D37,'20.10 NGOMA-KAPEEKA'!D37,'22.10 NGOMA-KAPEERA'!D37,'19.10 NGOMA-KAPEEKA-24h'!D37,'21.10 NGOMA KAPEEKA-24h'!D37,'23.10 NGOMA-KAPEEKA'!D37)</f>
        <v>0.2857142857142857</v>
      </c>
      <c r="E37" s="49">
        <f>AVERAGE('17.10 NGOMA-KAPEEKA'!E37,'18.10 NGOMA KAPEEKA'!E37,'20.10 NGOMA-KAPEEKA'!E37,'22.10 NGOMA-KAPEERA'!E37,'19.10 NGOMA-KAPEEKA-24h'!E37,'21.10 NGOMA KAPEEKA-24h'!E37,'23.10 NGOMA-KAPEEKA'!E37)</f>
        <v>0.14285714285714285</v>
      </c>
      <c r="F37" s="49">
        <f>AVERAGE('17.10 NGOMA-KAPEEKA'!F37,'18.10 NGOMA KAPEEKA'!F37,'20.10 NGOMA-KAPEEKA'!F37,'22.10 NGOMA-KAPEERA'!F37,'19.10 NGOMA-KAPEEKA-24h'!F37,'21.10 NGOMA KAPEEKA-24h'!F37,'23.10 NGOMA-KAPEEKA'!F37)</f>
        <v>0.5714285714285714</v>
      </c>
      <c r="G37" s="49">
        <f>AVERAGE('17.10 NGOMA-KAPEEKA'!G37,'18.10 NGOMA KAPEEKA'!G37,'20.10 NGOMA-KAPEEKA'!G37,'22.10 NGOMA-KAPEERA'!G37,'19.10 NGOMA-KAPEEKA-24h'!G37,'21.10 NGOMA KAPEEKA-24h'!G37,'23.10 NGOMA-KAPEEKA'!G37)</f>
        <v>0</v>
      </c>
      <c r="H37" s="49">
        <f>AVERAGE('17.10 NGOMA-KAPEEKA'!H37,'18.10 NGOMA KAPEEKA'!H37,'20.10 NGOMA-KAPEEKA'!H37,'22.10 NGOMA-KAPEERA'!H37,'19.10 NGOMA-KAPEEKA-24h'!H37,'21.10 NGOMA KAPEEKA-24h'!H37,'23.10 NGOMA-KAPEEKA'!H37)</f>
        <v>0</v>
      </c>
      <c r="I37" s="49">
        <f>AVERAGE('17.10 NGOMA-KAPEEKA'!I37,'18.10 NGOMA KAPEEKA'!I37,'20.10 NGOMA-KAPEEKA'!I37,'22.10 NGOMA-KAPEERA'!I37,'19.10 NGOMA-KAPEEKA-24h'!I37,'21.10 NGOMA KAPEEKA-24h'!I37,'23.10 NGOMA-KAPEEKA'!I37)</f>
        <v>0</v>
      </c>
      <c r="J37" s="49">
        <f>AVERAGE('17.10 NGOMA-KAPEEKA'!J37,'18.10 NGOMA KAPEEKA'!J37,'20.10 NGOMA-KAPEEKA'!J37,'22.10 NGOMA-KAPEERA'!J37,'19.10 NGOMA-KAPEEKA-24h'!J37,'21.10 NGOMA KAPEEKA-24h'!J37,'23.10 NGOMA-KAPEEKA'!J37)</f>
        <v>0.8571428571428571</v>
      </c>
      <c r="K37" s="49">
        <f>AVERAGE('17.10 NGOMA-KAPEEKA'!K37,'18.10 NGOMA KAPEEKA'!K37,'20.10 NGOMA-KAPEEKA'!K37,'22.10 NGOMA-KAPEERA'!K37,'19.10 NGOMA-KAPEEKA-24h'!K37,'21.10 NGOMA KAPEEKA-24h'!K37,'23.10 NGOMA-KAPEEKA'!K37)</f>
        <v>0</v>
      </c>
      <c r="L37" s="49">
        <f>AVERAGE('17.10 NGOMA-KAPEEKA'!L37,'18.10 NGOMA KAPEEKA'!L37,'20.10 NGOMA-KAPEEKA'!L37,'22.10 NGOMA-KAPEERA'!L37,'19.10 NGOMA-KAPEEKA-24h'!L37,'21.10 NGOMA KAPEEKA-24h'!L37,'23.10 NGOMA-KAPEEKA'!L37)</f>
        <v>0</v>
      </c>
      <c r="M37" s="49">
        <f>AVERAGE('17.10 NGOMA-KAPEEKA'!M37,'18.10 NGOMA KAPEEKA'!M37,'20.10 NGOMA-KAPEEKA'!M37,'22.10 NGOMA-KAPEERA'!M37,'19.10 NGOMA-KAPEEKA-24h'!M37,'21.10 NGOMA KAPEEKA-24h'!M37,'23.10 NGOMA-KAPEEKA'!M37)</f>
        <v>5</v>
      </c>
      <c r="N37" s="49">
        <f>AVERAGE('17.10 NGOMA-KAPEEKA'!N37,'18.10 NGOMA KAPEEKA'!N37,'20.10 NGOMA-KAPEEKA'!N37,'22.10 NGOMA-KAPEERA'!N37,'19.10 NGOMA-KAPEEKA-24h'!N37,'21.10 NGOMA KAPEEKA-24h'!N37,'23.10 NGOMA-KAPEEKA'!N37)</f>
        <v>0</v>
      </c>
      <c r="O37" s="15">
        <f t="shared" si="0"/>
        <v>2</v>
      </c>
      <c r="P37" s="15">
        <f t="shared" si="1"/>
        <v>7</v>
      </c>
      <c r="R37" s="37" t="s">
        <v>85</v>
      </c>
      <c r="S37" s="52">
        <f t="shared" ref="S37:AF37" si="29">SUM(S10:S12)</f>
        <v>2.5714285714285712</v>
      </c>
      <c r="T37" s="53">
        <f t="shared" si="29"/>
        <v>1.2857142857142856</v>
      </c>
      <c r="U37" s="53">
        <f t="shared" si="29"/>
        <v>0.8571428571428571</v>
      </c>
      <c r="V37" s="53">
        <f t="shared" si="29"/>
        <v>5.8571428571428577</v>
      </c>
      <c r="W37" s="53">
        <f t="shared" si="29"/>
        <v>0</v>
      </c>
      <c r="X37" s="53">
        <f t="shared" si="29"/>
        <v>0</v>
      </c>
      <c r="Y37" s="53">
        <f t="shared" si="29"/>
        <v>3.1428571428571423</v>
      </c>
      <c r="Z37" s="53">
        <f t="shared" si="29"/>
        <v>0.5714285714285714</v>
      </c>
      <c r="AA37" s="53">
        <f t="shared" si="29"/>
        <v>0</v>
      </c>
      <c r="AB37" s="53">
        <f t="shared" si="29"/>
        <v>0</v>
      </c>
      <c r="AC37" s="53">
        <f t="shared" si="29"/>
        <v>46.428571428571431</v>
      </c>
      <c r="AD37" s="53">
        <f t="shared" si="29"/>
        <v>0</v>
      </c>
      <c r="AE37" s="54">
        <f t="shared" si="29"/>
        <v>14.285714285714285</v>
      </c>
      <c r="AF37" s="54">
        <f t="shared" si="29"/>
        <v>60.714285714285708</v>
      </c>
    </row>
    <row r="38" spans="2:32" ht="23.1" customHeight="1" x14ac:dyDescent="0.25">
      <c r="B38" s="24" t="s">
        <v>65</v>
      </c>
      <c r="C38" s="49">
        <f>AVERAGE('17.10 NGOMA-KAPEEKA'!C38,'18.10 NGOMA KAPEEKA'!C38,'20.10 NGOMA-KAPEEKA'!C38,'22.10 NGOMA-KAPEERA'!C38,'19.10 NGOMA-KAPEEKA-24h'!C38,'21.10 NGOMA KAPEEKA-24h'!C38,'23.10 NGOMA-KAPEEKA'!C38)</f>
        <v>1.1428571428571428</v>
      </c>
      <c r="D38" s="49">
        <f>AVERAGE('17.10 NGOMA-KAPEEKA'!D38,'18.10 NGOMA KAPEEKA'!D38,'20.10 NGOMA-KAPEEKA'!D38,'22.10 NGOMA-KAPEERA'!D38,'19.10 NGOMA-KAPEEKA-24h'!D38,'21.10 NGOMA KAPEEKA-24h'!D38,'23.10 NGOMA-KAPEEKA'!D38)</f>
        <v>0.2857142857142857</v>
      </c>
      <c r="E38" s="49">
        <f>AVERAGE('17.10 NGOMA-KAPEEKA'!E38,'18.10 NGOMA KAPEEKA'!E38,'20.10 NGOMA-KAPEEKA'!E38,'22.10 NGOMA-KAPEERA'!E38,'19.10 NGOMA-KAPEEKA-24h'!E38,'21.10 NGOMA KAPEEKA-24h'!E38,'23.10 NGOMA-KAPEEKA'!E38)</f>
        <v>0.7142857142857143</v>
      </c>
      <c r="F38" s="49">
        <f>AVERAGE('17.10 NGOMA-KAPEEKA'!F38,'18.10 NGOMA KAPEEKA'!F38,'20.10 NGOMA-KAPEEKA'!F38,'22.10 NGOMA-KAPEERA'!F38,'19.10 NGOMA-KAPEEKA-24h'!F38,'21.10 NGOMA KAPEEKA-24h'!F38,'23.10 NGOMA-KAPEEKA'!F38)</f>
        <v>0.14285714285714285</v>
      </c>
      <c r="G38" s="49">
        <f>AVERAGE('17.10 NGOMA-KAPEEKA'!G38,'18.10 NGOMA KAPEEKA'!G38,'20.10 NGOMA-KAPEEKA'!G38,'22.10 NGOMA-KAPEERA'!G38,'19.10 NGOMA-KAPEEKA-24h'!G38,'21.10 NGOMA KAPEEKA-24h'!G38,'23.10 NGOMA-KAPEEKA'!G38)</f>
        <v>0</v>
      </c>
      <c r="H38" s="49">
        <f>AVERAGE('17.10 NGOMA-KAPEEKA'!H38,'18.10 NGOMA KAPEEKA'!H38,'20.10 NGOMA-KAPEEKA'!H38,'22.10 NGOMA-KAPEERA'!H38,'19.10 NGOMA-KAPEEKA-24h'!H38,'21.10 NGOMA KAPEEKA-24h'!H38,'23.10 NGOMA-KAPEEKA'!H38)</f>
        <v>0</v>
      </c>
      <c r="I38" s="49">
        <f>AVERAGE('17.10 NGOMA-KAPEEKA'!I38,'18.10 NGOMA KAPEEKA'!I38,'20.10 NGOMA-KAPEEKA'!I38,'22.10 NGOMA-KAPEERA'!I38,'19.10 NGOMA-KAPEEKA-24h'!I38,'21.10 NGOMA KAPEEKA-24h'!I38,'23.10 NGOMA-KAPEEKA'!I38)</f>
        <v>0.42857142857142855</v>
      </c>
      <c r="J38" s="49">
        <f>AVERAGE('17.10 NGOMA-KAPEEKA'!J38,'18.10 NGOMA KAPEEKA'!J38,'20.10 NGOMA-KAPEEKA'!J38,'22.10 NGOMA-KAPEERA'!J38,'19.10 NGOMA-KAPEEKA-24h'!J38,'21.10 NGOMA KAPEEKA-24h'!J38,'23.10 NGOMA-KAPEEKA'!J38)</f>
        <v>0.14285714285714285</v>
      </c>
      <c r="K38" s="49">
        <f>AVERAGE('17.10 NGOMA-KAPEEKA'!K38,'18.10 NGOMA KAPEEKA'!K38,'20.10 NGOMA-KAPEEKA'!K38,'22.10 NGOMA-KAPEERA'!K38,'19.10 NGOMA-KAPEEKA-24h'!K38,'21.10 NGOMA KAPEEKA-24h'!K38,'23.10 NGOMA-KAPEEKA'!K38)</f>
        <v>0</v>
      </c>
      <c r="L38" s="49">
        <f>AVERAGE('17.10 NGOMA-KAPEEKA'!L38,'18.10 NGOMA KAPEEKA'!L38,'20.10 NGOMA-KAPEEKA'!L38,'22.10 NGOMA-KAPEERA'!L38,'19.10 NGOMA-KAPEEKA-24h'!L38,'21.10 NGOMA KAPEEKA-24h'!L38,'23.10 NGOMA-KAPEEKA'!L38)</f>
        <v>0</v>
      </c>
      <c r="M38" s="49">
        <f>AVERAGE('17.10 NGOMA-KAPEEKA'!M38,'18.10 NGOMA KAPEEKA'!M38,'20.10 NGOMA-KAPEEKA'!M38,'22.10 NGOMA-KAPEERA'!M38,'19.10 NGOMA-KAPEEKA-24h'!M38,'21.10 NGOMA KAPEEKA-24h'!M38,'23.10 NGOMA-KAPEEKA'!M38)</f>
        <v>5.8571428571428568</v>
      </c>
      <c r="N38" s="49">
        <f>AVERAGE('17.10 NGOMA-KAPEEKA'!N38,'18.10 NGOMA KAPEEKA'!N38,'20.10 NGOMA-KAPEEKA'!N38,'22.10 NGOMA-KAPEERA'!N38,'19.10 NGOMA-KAPEEKA-24h'!N38,'21.10 NGOMA KAPEEKA-24h'!N38,'23.10 NGOMA-KAPEEKA'!N38)</f>
        <v>0</v>
      </c>
      <c r="O38" s="15">
        <f t="shared" si="0"/>
        <v>2.8571428571428568</v>
      </c>
      <c r="P38" s="15">
        <f t="shared" si="1"/>
        <v>8.7142857142857135</v>
      </c>
      <c r="R38" s="28" t="s">
        <v>86</v>
      </c>
      <c r="S38" s="53">
        <f t="shared" ref="S38:AF38" si="30">SUM(S13:S18)</f>
        <v>14.857142857142858</v>
      </c>
      <c r="T38" s="53">
        <f t="shared" si="30"/>
        <v>5.1428571428571423</v>
      </c>
      <c r="U38" s="53">
        <f t="shared" si="30"/>
        <v>6.8571428571428568</v>
      </c>
      <c r="V38" s="53">
        <f t="shared" si="30"/>
        <v>11.142857142857141</v>
      </c>
      <c r="W38" s="53">
        <f t="shared" si="30"/>
        <v>0.14285714285714285</v>
      </c>
      <c r="X38" s="53">
        <f t="shared" si="30"/>
        <v>0.2857142857142857</v>
      </c>
      <c r="Y38" s="53">
        <f t="shared" si="30"/>
        <v>11.714285714285714</v>
      </c>
      <c r="Z38" s="53">
        <f t="shared" si="30"/>
        <v>4.8571428571428577</v>
      </c>
      <c r="AA38" s="53">
        <f t="shared" si="30"/>
        <v>0.42857142857142855</v>
      </c>
      <c r="AB38" s="53">
        <f t="shared" si="30"/>
        <v>0.2857142857142857</v>
      </c>
      <c r="AC38" s="53">
        <f t="shared" si="30"/>
        <v>133.85714285714286</v>
      </c>
      <c r="AD38" s="53">
        <f t="shared" si="30"/>
        <v>0.5714285714285714</v>
      </c>
      <c r="AE38" s="54">
        <f t="shared" si="30"/>
        <v>56.285714285714285</v>
      </c>
      <c r="AF38" s="54">
        <f t="shared" si="30"/>
        <v>190.14285714285714</v>
      </c>
    </row>
    <row r="39" spans="2:32" ht="23.1" customHeight="1" x14ac:dyDescent="0.25">
      <c r="B39" s="24" t="s">
        <v>66</v>
      </c>
      <c r="C39" s="49">
        <f>AVERAGE('17.10 NGOMA-KAPEEKA'!C39,'18.10 NGOMA KAPEEKA'!C39,'20.10 NGOMA-KAPEEKA'!C39,'22.10 NGOMA-KAPEERA'!C39,'19.10 NGOMA-KAPEEKA-24h'!C39,'21.10 NGOMA KAPEEKA-24h'!C39,'23.10 NGOMA-KAPEEKA'!C39)</f>
        <v>0.14285714285714285</v>
      </c>
      <c r="D39" s="49">
        <f>AVERAGE('17.10 NGOMA-KAPEEKA'!D39,'18.10 NGOMA KAPEEKA'!D39,'20.10 NGOMA-KAPEEKA'!D39,'22.10 NGOMA-KAPEERA'!D39,'19.10 NGOMA-KAPEEKA-24h'!D39,'21.10 NGOMA KAPEEKA-24h'!D39,'23.10 NGOMA-KAPEEKA'!D39)</f>
        <v>0.2857142857142857</v>
      </c>
      <c r="E39" s="49">
        <f>AVERAGE('17.10 NGOMA-KAPEEKA'!E39,'18.10 NGOMA KAPEEKA'!E39,'20.10 NGOMA-KAPEEKA'!E39,'22.10 NGOMA-KAPEERA'!E39,'19.10 NGOMA-KAPEEKA-24h'!E39,'21.10 NGOMA KAPEEKA-24h'!E39,'23.10 NGOMA-KAPEEKA'!E39)</f>
        <v>0.2857142857142857</v>
      </c>
      <c r="F39" s="49">
        <f>AVERAGE('17.10 NGOMA-KAPEEKA'!F39,'18.10 NGOMA KAPEEKA'!F39,'20.10 NGOMA-KAPEEKA'!F39,'22.10 NGOMA-KAPEERA'!F39,'19.10 NGOMA-KAPEEKA-24h'!F39,'21.10 NGOMA KAPEEKA-24h'!F39,'23.10 NGOMA-KAPEEKA'!F39)</f>
        <v>0.5714285714285714</v>
      </c>
      <c r="G39" s="49">
        <f>AVERAGE('17.10 NGOMA-KAPEEKA'!G39,'18.10 NGOMA KAPEEKA'!G39,'20.10 NGOMA-KAPEEKA'!G39,'22.10 NGOMA-KAPEERA'!G39,'19.10 NGOMA-KAPEEKA-24h'!G39,'21.10 NGOMA KAPEEKA-24h'!G39,'23.10 NGOMA-KAPEEKA'!G39)</f>
        <v>0</v>
      </c>
      <c r="H39" s="49">
        <f>AVERAGE('17.10 NGOMA-KAPEEKA'!H39,'18.10 NGOMA KAPEEKA'!H39,'20.10 NGOMA-KAPEEKA'!H39,'22.10 NGOMA-KAPEERA'!H39,'19.10 NGOMA-KAPEEKA-24h'!H39,'21.10 NGOMA KAPEEKA-24h'!H39,'23.10 NGOMA-KAPEEKA'!H39)</f>
        <v>0</v>
      </c>
      <c r="I39" s="49">
        <f>AVERAGE('17.10 NGOMA-KAPEEKA'!I39,'18.10 NGOMA KAPEEKA'!I39,'20.10 NGOMA-KAPEEKA'!I39,'22.10 NGOMA-KAPEERA'!I39,'19.10 NGOMA-KAPEEKA-24h'!I39,'21.10 NGOMA KAPEEKA-24h'!I39,'23.10 NGOMA-KAPEEKA'!I39)</f>
        <v>0.42857142857142855</v>
      </c>
      <c r="J39" s="49">
        <f>AVERAGE('17.10 NGOMA-KAPEEKA'!J39,'18.10 NGOMA KAPEEKA'!J39,'20.10 NGOMA-KAPEEKA'!J39,'22.10 NGOMA-KAPEERA'!J39,'19.10 NGOMA-KAPEEKA-24h'!J39,'21.10 NGOMA KAPEEKA-24h'!J39,'23.10 NGOMA-KAPEEKA'!J39)</f>
        <v>0.14285714285714285</v>
      </c>
      <c r="K39" s="49">
        <f>AVERAGE('17.10 NGOMA-KAPEEKA'!K39,'18.10 NGOMA KAPEEKA'!K39,'20.10 NGOMA-KAPEEKA'!K39,'22.10 NGOMA-KAPEERA'!K39,'19.10 NGOMA-KAPEEKA-24h'!K39,'21.10 NGOMA KAPEEKA-24h'!K39,'23.10 NGOMA-KAPEEKA'!K39)</f>
        <v>0</v>
      </c>
      <c r="L39" s="49">
        <f>AVERAGE('17.10 NGOMA-KAPEEKA'!L39,'18.10 NGOMA KAPEEKA'!L39,'20.10 NGOMA-KAPEEKA'!L39,'22.10 NGOMA-KAPEERA'!L39,'19.10 NGOMA-KAPEEKA-24h'!L39,'21.10 NGOMA KAPEEKA-24h'!L39,'23.10 NGOMA-KAPEEKA'!L39)</f>
        <v>0</v>
      </c>
      <c r="M39" s="49">
        <f>AVERAGE('17.10 NGOMA-KAPEEKA'!M39,'18.10 NGOMA KAPEEKA'!M39,'20.10 NGOMA-KAPEEKA'!M39,'22.10 NGOMA-KAPEERA'!M39,'19.10 NGOMA-KAPEEKA-24h'!M39,'21.10 NGOMA KAPEEKA-24h'!M39,'23.10 NGOMA-KAPEEKA'!M39)</f>
        <v>6.8571428571428568</v>
      </c>
      <c r="N39" s="49">
        <f>AVERAGE('17.10 NGOMA-KAPEEKA'!N39,'18.10 NGOMA KAPEEKA'!N39,'20.10 NGOMA-KAPEEKA'!N39,'22.10 NGOMA-KAPEERA'!N39,'19.10 NGOMA-KAPEEKA-24h'!N39,'21.10 NGOMA KAPEEKA-24h'!N39,'23.10 NGOMA-KAPEEKA'!N39)</f>
        <v>0</v>
      </c>
      <c r="O39" s="15">
        <f t="shared" si="0"/>
        <v>1.857142857142857</v>
      </c>
      <c r="P39" s="15">
        <f t="shared" si="1"/>
        <v>8.7142857142857135</v>
      </c>
      <c r="R39" s="29" t="s">
        <v>87</v>
      </c>
      <c r="S39" s="53">
        <f t="shared" ref="S39:AF39" si="31">SUM(S19:S21)</f>
        <v>8.5714285714285712</v>
      </c>
      <c r="T39" s="53">
        <f t="shared" si="31"/>
        <v>4.1428571428571423</v>
      </c>
      <c r="U39" s="53">
        <f t="shared" si="31"/>
        <v>4.1428571428571423</v>
      </c>
      <c r="V39" s="53">
        <f t="shared" si="31"/>
        <v>5</v>
      </c>
      <c r="W39" s="53">
        <f t="shared" si="31"/>
        <v>0.2857142857142857</v>
      </c>
      <c r="X39" s="53">
        <f t="shared" si="31"/>
        <v>0.2857142857142857</v>
      </c>
      <c r="Y39" s="53">
        <f t="shared" si="31"/>
        <v>11</v>
      </c>
      <c r="Z39" s="53">
        <f t="shared" si="31"/>
        <v>2.2857142857142856</v>
      </c>
      <c r="AA39" s="53">
        <f t="shared" si="31"/>
        <v>0.2857142857142857</v>
      </c>
      <c r="AB39" s="53">
        <f t="shared" si="31"/>
        <v>0.2857142857142857</v>
      </c>
      <c r="AC39" s="53">
        <f t="shared" si="31"/>
        <v>66.738095238095241</v>
      </c>
      <c r="AD39" s="53">
        <f t="shared" si="31"/>
        <v>1.5714285714285712</v>
      </c>
      <c r="AE39" s="54">
        <f t="shared" si="31"/>
        <v>37.857142857142854</v>
      </c>
      <c r="AF39" s="54">
        <f t="shared" si="31"/>
        <v>104.59523809523807</v>
      </c>
    </row>
    <row r="40" spans="2:32" ht="23.1" customHeight="1" x14ac:dyDescent="0.25">
      <c r="B40" s="24" t="s">
        <v>67</v>
      </c>
      <c r="C40" s="49">
        <f>AVERAGE('17.10 NGOMA-KAPEEKA'!C40,'18.10 NGOMA KAPEEKA'!C40,'20.10 NGOMA-KAPEEKA'!C40,'22.10 NGOMA-KAPEERA'!C40,'19.10 NGOMA-KAPEEKA-24h'!C40,'21.10 NGOMA KAPEEKA-24h'!C40,'23.10 NGOMA-KAPEEKA'!C40)</f>
        <v>0.42857142857142855</v>
      </c>
      <c r="D40" s="49">
        <f>AVERAGE('17.10 NGOMA-KAPEEKA'!D40,'18.10 NGOMA KAPEEKA'!D40,'20.10 NGOMA-KAPEEKA'!D40,'22.10 NGOMA-KAPEERA'!D40,'19.10 NGOMA-KAPEEKA-24h'!D40,'21.10 NGOMA KAPEEKA-24h'!D40,'23.10 NGOMA-KAPEEKA'!D40)</f>
        <v>0</v>
      </c>
      <c r="E40" s="49">
        <f>AVERAGE('17.10 NGOMA-KAPEEKA'!E40,'18.10 NGOMA KAPEEKA'!E40,'20.10 NGOMA-KAPEEKA'!E40,'22.10 NGOMA-KAPEERA'!E40,'19.10 NGOMA-KAPEEKA-24h'!E40,'21.10 NGOMA KAPEEKA-24h'!E40,'23.10 NGOMA-KAPEEKA'!E40)</f>
        <v>0.5714285714285714</v>
      </c>
      <c r="F40" s="49">
        <f>AVERAGE('17.10 NGOMA-KAPEEKA'!F40,'18.10 NGOMA KAPEEKA'!F40,'20.10 NGOMA-KAPEEKA'!F40,'22.10 NGOMA-KAPEERA'!F40,'19.10 NGOMA-KAPEEKA-24h'!F40,'21.10 NGOMA KAPEEKA-24h'!F40,'23.10 NGOMA-KAPEEKA'!F40)</f>
        <v>0.7142857142857143</v>
      </c>
      <c r="G40" s="49">
        <f>AVERAGE('17.10 NGOMA-KAPEEKA'!G40,'18.10 NGOMA KAPEEKA'!G40,'20.10 NGOMA-KAPEEKA'!G40,'22.10 NGOMA-KAPEERA'!G40,'19.10 NGOMA-KAPEEKA-24h'!G40,'21.10 NGOMA KAPEEKA-24h'!G40,'23.10 NGOMA-KAPEEKA'!G40)</f>
        <v>0</v>
      </c>
      <c r="H40" s="49">
        <f>AVERAGE('17.10 NGOMA-KAPEEKA'!H40,'18.10 NGOMA KAPEEKA'!H40,'20.10 NGOMA-KAPEEKA'!H40,'22.10 NGOMA-KAPEERA'!H40,'19.10 NGOMA-KAPEEKA-24h'!H40,'21.10 NGOMA KAPEEKA-24h'!H40,'23.10 NGOMA-KAPEEKA'!H40)</f>
        <v>0.14285714285714285</v>
      </c>
      <c r="I40" s="49">
        <f>AVERAGE('17.10 NGOMA-KAPEEKA'!I40,'18.10 NGOMA KAPEEKA'!I40,'20.10 NGOMA-KAPEEKA'!I40,'22.10 NGOMA-KAPEERA'!I40,'19.10 NGOMA-KAPEEKA-24h'!I40,'21.10 NGOMA KAPEEKA-24h'!I40,'23.10 NGOMA-KAPEEKA'!I40)</f>
        <v>0.2857142857142857</v>
      </c>
      <c r="J40" s="49">
        <f>AVERAGE('17.10 NGOMA-KAPEEKA'!J40,'18.10 NGOMA KAPEEKA'!J40,'20.10 NGOMA-KAPEEKA'!J40,'22.10 NGOMA-KAPEERA'!J40,'19.10 NGOMA-KAPEEKA-24h'!J40,'21.10 NGOMA KAPEEKA-24h'!J40,'23.10 NGOMA-KAPEEKA'!J40)</f>
        <v>0.2857142857142857</v>
      </c>
      <c r="K40" s="49">
        <f>AVERAGE('17.10 NGOMA-KAPEEKA'!K40,'18.10 NGOMA KAPEEKA'!K40,'20.10 NGOMA-KAPEEKA'!K40,'22.10 NGOMA-KAPEERA'!K40,'19.10 NGOMA-KAPEEKA-24h'!K40,'21.10 NGOMA KAPEEKA-24h'!K40,'23.10 NGOMA-KAPEEKA'!K40)</f>
        <v>0</v>
      </c>
      <c r="L40" s="49">
        <f>AVERAGE('17.10 NGOMA-KAPEEKA'!L40,'18.10 NGOMA KAPEEKA'!L40,'20.10 NGOMA-KAPEEKA'!L40,'22.10 NGOMA-KAPEERA'!L40,'19.10 NGOMA-KAPEEKA-24h'!L40,'21.10 NGOMA KAPEEKA-24h'!L40,'23.10 NGOMA-KAPEEKA'!L40)</f>
        <v>0</v>
      </c>
      <c r="M40" s="49">
        <f>AVERAGE('17.10 NGOMA-KAPEEKA'!M40,'18.10 NGOMA KAPEEKA'!M40,'20.10 NGOMA-KAPEEKA'!M40,'22.10 NGOMA-KAPEERA'!M40,'19.10 NGOMA-KAPEEKA-24h'!M40,'21.10 NGOMA KAPEEKA-24h'!M40,'23.10 NGOMA-KAPEEKA'!M40)</f>
        <v>6.5714285714285712</v>
      </c>
      <c r="N40" s="49">
        <f>AVERAGE('17.10 NGOMA-KAPEEKA'!N40,'18.10 NGOMA KAPEEKA'!N40,'20.10 NGOMA-KAPEEKA'!N40,'22.10 NGOMA-KAPEERA'!N40,'19.10 NGOMA-KAPEEKA-24h'!N40,'21.10 NGOMA KAPEEKA-24h'!N40,'23.10 NGOMA-KAPEEKA'!N40)</f>
        <v>0</v>
      </c>
      <c r="O40" s="15">
        <f t="shared" si="0"/>
        <v>2.4285714285714284</v>
      </c>
      <c r="P40" s="15">
        <f t="shared" si="1"/>
        <v>9</v>
      </c>
      <c r="R40" s="5" t="s">
        <v>17</v>
      </c>
      <c r="S40" s="53">
        <f t="shared" ref="S40:AF40" si="32">SUM(S10:S21)</f>
        <v>26</v>
      </c>
      <c r="T40" s="53">
        <f t="shared" si="32"/>
        <v>10.571428571428569</v>
      </c>
      <c r="U40" s="53">
        <f t="shared" si="32"/>
        <v>11.857142857142856</v>
      </c>
      <c r="V40" s="53">
        <f t="shared" si="32"/>
        <v>22</v>
      </c>
      <c r="W40" s="53">
        <f t="shared" si="32"/>
        <v>0.42857142857142855</v>
      </c>
      <c r="X40" s="53">
        <f t="shared" si="32"/>
        <v>0.5714285714285714</v>
      </c>
      <c r="Y40" s="53">
        <f t="shared" si="32"/>
        <v>25.857142857142854</v>
      </c>
      <c r="Z40" s="53">
        <f t="shared" si="32"/>
        <v>7.7142857142857144</v>
      </c>
      <c r="AA40" s="53">
        <f t="shared" si="32"/>
        <v>0.71428571428571419</v>
      </c>
      <c r="AB40" s="53">
        <f t="shared" si="32"/>
        <v>0.5714285714285714</v>
      </c>
      <c r="AC40" s="53">
        <f t="shared" si="32"/>
        <v>247.02380952380955</v>
      </c>
      <c r="AD40" s="53">
        <f t="shared" si="32"/>
        <v>2.1428571428571423</v>
      </c>
      <c r="AE40" s="54">
        <f t="shared" si="32"/>
        <v>108.42857142857142</v>
      </c>
      <c r="AF40" s="54">
        <f t="shared" si="32"/>
        <v>355.45238095238091</v>
      </c>
    </row>
    <row r="41" spans="2:32" ht="23.1" customHeight="1" x14ac:dyDescent="0.25">
      <c r="B41" s="23" t="s">
        <v>68</v>
      </c>
      <c r="C41" s="49">
        <f>AVERAGE('17.10 NGOMA-KAPEEKA'!C41,'18.10 NGOMA KAPEEKA'!C41,'20.10 NGOMA-KAPEEKA'!C41,'22.10 NGOMA-KAPEERA'!C41,'19.10 NGOMA-KAPEEKA-24h'!C41,'21.10 NGOMA KAPEEKA-24h'!C41,'23.10 NGOMA-KAPEEKA'!C41)</f>
        <v>0.7142857142857143</v>
      </c>
      <c r="D41" s="49">
        <f>AVERAGE('17.10 NGOMA-KAPEEKA'!D41,'18.10 NGOMA KAPEEKA'!D41,'20.10 NGOMA-KAPEEKA'!D41,'22.10 NGOMA-KAPEERA'!D41,'19.10 NGOMA-KAPEEKA-24h'!D41,'21.10 NGOMA KAPEEKA-24h'!D41,'23.10 NGOMA-KAPEEKA'!D41)</f>
        <v>0.42857142857142855</v>
      </c>
      <c r="E41" s="49">
        <f>AVERAGE('17.10 NGOMA-KAPEEKA'!E41,'18.10 NGOMA KAPEEKA'!E41,'20.10 NGOMA-KAPEEKA'!E41,'22.10 NGOMA-KAPEERA'!E41,'19.10 NGOMA-KAPEEKA-24h'!E41,'21.10 NGOMA KAPEEKA-24h'!E41,'23.10 NGOMA-KAPEEKA'!E41)</f>
        <v>0.2857142857142857</v>
      </c>
      <c r="F41" s="49">
        <f>AVERAGE('17.10 NGOMA-KAPEEKA'!F41,'18.10 NGOMA KAPEEKA'!F41,'20.10 NGOMA-KAPEEKA'!F41,'22.10 NGOMA-KAPEERA'!F41,'19.10 NGOMA-KAPEEKA-24h'!F41,'21.10 NGOMA KAPEEKA-24h'!F41,'23.10 NGOMA-KAPEEKA'!F41)</f>
        <v>0.14285714285714285</v>
      </c>
      <c r="G41" s="49">
        <f>AVERAGE('17.10 NGOMA-KAPEEKA'!G41,'18.10 NGOMA KAPEEKA'!G41,'20.10 NGOMA-KAPEEKA'!G41,'22.10 NGOMA-KAPEERA'!G41,'19.10 NGOMA-KAPEEKA-24h'!G41,'21.10 NGOMA KAPEEKA-24h'!G41,'23.10 NGOMA-KAPEEKA'!G41)</f>
        <v>0</v>
      </c>
      <c r="H41" s="49">
        <f>AVERAGE('17.10 NGOMA-KAPEEKA'!H41,'18.10 NGOMA KAPEEKA'!H41,'20.10 NGOMA-KAPEEKA'!H41,'22.10 NGOMA-KAPEERA'!H41,'19.10 NGOMA-KAPEEKA-24h'!H41,'21.10 NGOMA KAPEEKA-24h'!H41,'23.10 NGOMA-KAPEEKA'!H41)</f>
        <v>0</v>
      </c>
      <c r="I41" s="49">
        <f>AVERAGE('17.10 NGOMA-KAPEEKA'!I41,'18.10 NGOMA KAPEEKA'!I41,'20.10 NGOMA-KAPEEKA'!I41,'22.10 NGOMA-KAPEERA'!I41,'19.10 NGOMA-KAPEEKA-24h'!I41,'21.10 NGOMA KAPEEKA-24h'!I41,'23.10 NGOMA-KAPEEKA'!I41)</f>
        <v>0.8571428571428571</v>
      </c>
      <c r="J41" s="49">
        <f>AVERAGE('17.10 NGOMA-KAPEEKA'!J41,'18.10 NGOMA KAPEEKA'!J41,'20.10 NGOMA-KAPEEKA'!J41,'22.10 NGOMA-KAPEERA'!J41,'19.10 NGOMA-KAPEEKA-24h'!J41,'21.10 NGOMA KAPEEKA-24h'!J41,'23.10 NGOMA-KAPEEKA'!J41)</f>
        <v>0.14285714285714285</v>
      </c>
      <c r="K41" s="49">
        <f>AVERAGE('17.10 NGOMA-KAPEEKA'!K41,'18.10 NGOMA KAPEEKA'!K41,'20.10 NGOMA-KAPEEKA'!K41,'22.10 NGOMA-KAPEERA'!K41,'19.10 NGOMA-KAPEEKA-24h'!K41,'21.10 NGOMA KAPEEKA-24h'!K41,'23.10 NGOMA-KAPEEKA'!K41)</f>
        <v>0</v>
      </c>
      <c r="L41" s="49">
        <f>AVERAGE('17.10 NGOMA-KAPEEKA'!L41,'18.10 NGOMA KAPEEKA'!L41,'20.10 NGOMA-KAPEEKA'!L41,'22.10 NGOMA-KAPEERA'!L41,'19.10 NGOMA-KAPEEKA-24h'!L41,'21.10 NGOMA KAPEEKA-24h'!L41,'23.10 NGOMA-KAPEEKA'!L41)</f>
        <v>0</v>
      </c>
      <c r="M41" s="49">
        <f>AVERAGE('17.10 NGOMA-KAPEEKA'!M41,'18.10 NGOMA KAPEEKA'!M41,'20.10 NGOMA-KAPEEKA'!M41,'22.10 NGOMA-KAPEERA'!M41,'19.10 NGOMA-KAPEEKA-24h'!M41,'21.10 NGOMA KAPEEKA-24h'!M41,'23.10 NGOMA-KAPEEKA'!M41)</f>
        <v>6.2857142857142856</v>
      </c>
      <c r="N41" s="49">
        <f>AVERAGE('17.10 NGOMA-KAPEEKA'!N41,'18.10 NGOMA KAPEEKA'!N41,'20.10 NGOMA-KAPEEKA'!N41,'22.10 NGOMA-KAPEERA'!N41,'19.10 NGOMA-KAPEEKA-24h'!N41,'21.10 NGOMA KAPEEKA-24h'!N41,'23.10 NGOMA-KAPEEKA'!N41)</f>
        <v>0</v>
      </c>
      <c r="O41" s="15">
        <f t="shared" si="0"/>
        <v>2.5714285714285712</v>
      </c>
      <c r="P41" s="15">
        <f t="shared" si="1"/>
        <v>8.8571428571428577</v>
      </c>
      <c r="R41" s="5" t="s">
        <v>179</v>
      </c>
      <c r="S41" s="53">
        <f>SUM(S10:S33)</f>
        <v>35</v>
      </c>
      <c r="T41" s="53">
        <f t="shared" ref="T41:AD41" si="33">SUM(T10:T33)</f>
        <v>11.571428571428569</v>
      </c>
      <c r="U41" s="53">
        <f t="shared" si="33"/>
        <v>17.857142857142854</v>
      </c>
      <c r="V41" s="53">
        <f t="shared" si="33"/>
        <v>27</v>
      </c>
      <c r="W41" s="53">
        <f t="shared" si="33"/>
        <v>0.42857142857142855</v>
      </c>
      <c r="X41" s="53">
        <f t="shared" si="33"/>
        <v>0.5714285714285714</v>
      </c>
      <c r="Y41" s="53">
        <f t="shared" si="33"/>
        <v>51.857142857142854</v>
      </c>
      <c r="Z41" s="53">
        <f t="shared" si="33"/>
        <v>11.214285714285715</v>
      </c>
      <c r="AA41" s="53">
        <f t="shared" si="33"/>
        <v>1.2142857142857142</v>
      </c>
      <c r="AB41" s="53">
        <f t="shared" si="33"/>
        <v>0.5714285714285714</v>
      </c>
      <c r="AC41" s="53">
        <f t="shared" si="33"/>
        <v>310.52380952380952</v>
      </c>
      <c r="AD41" s="53">
        <f t="shared" si="33"/>
        <v>2.1428571428571423</v>
      </c>
      <c r="AE41" s="54">
        <f>SUM(AE10:AE33)</f>
        <v>159.42857142857142</v>
      </c>
      <c r="AF41" s="54">
        <f>SUM(AF10:AF33)</f>
        <v>469.95238095238091</v>
      </c>
    </row>
    <row r="42" spans="2:32" ht="23.1" customHeight="1" x14ac:dyDescent="0.25">
      <c r="B42" s="24" t="s">
        <v>69</v>
      </c>
      <c r="C42" s="49">
        <f>AVERAGE('17.10 NGOMA-KAPEEKA'!C42,'18.10 NGOMA KAPEEKA'!C42,'20.10 NGOMA-KAPEEKA'!C42,'22.10 NGOMA-KAPEERA'!C42,'19.10 NGOMA-KAPEEKA-24h'!C42,'21.10 NGOMA KAPEEKA-24h'!C42,'23.10 NGOMA-KAPEEKA'!C42)</f>
        <v>1.2857142857142858</v>
      </c>
      <c r="D42" s="49">
        <f>AVERAGE('17.10 NGOMA-KAPEEKA'!D42,'18.10 NGOMA KAPEEKA'!D42,'20.10 NGOMA-KAPEEKA'!D42,'22.10 NGOMA-KAPEERA'!D42,'19.10 NGOMA-KAPEEKA-24h'!D42,'21.10 NGOMA KAPEEKA-24h'!D42,'23.10 NGOMA-KAPEEKA'!D42)</f>
        <v>0.5714285714285714</v>
      </c>
      <c r="E42" s="49">
        <f>AVERAGE('17.10 NGOMA-KAPEEKA'!E42,'18.10 NGOMA KAPEEKA'!E42,'20.10 NGOMA-KAPEEKA'!E42,'22.10 NGOMA-KAPEERA'!E42,'19.10 NGOMA-KAPEEKA-24h'!E42,'21.10 NGOMA KAPEEKA-24h'!E42,'23.10 NGOMA-KAPEEKA'!E42)</f>
        <v>0.8571428571428571</v>
      </c>
      <c r="F42" s="49">
        <f>AVERAGE('17.10 NGOMA-KAPEEKA'!F42,'18.10 NGOMA KAPEEKA'!F42,'20.10 NGOMA-KAPEEKA'!F42,'22.10 NGOMA-KAPEERA'!F42,'19.10 NGOMA-KAPEEKA-24h'!F42,'21.10 NGOMA KAPEEKA-24h'!F42,'23.10 NGOMA-KAPEEKA'!F42)</f>
        <v>0</v>
      </c>
      <c r="G42" s="49">
        <f>AVERAGE('17.10 NGOMA-KAPEEKA'!G42,'18.10 NGOMA KAPEEKA'!G42,'20.10 NGOMA-KAPEEKA'!G42,'22.10 NGOMA-KAPEERA'!G42,'19.10 NGOMA-KAPEEKA-24h'!G42,'21.10 NGOMA KAPEEKA-24h'!G42,'23.10 NGOMA-KAPEEKA'!G42)</f>
        <v>0</v>
      </c>
      <c r="H42" s="49">
        <f>AVERAGE('17.10 NGOMA-KAPEEKA'!H42,'18.10 NGOMA KAPEEKA'!H42,'20.10 NGOMA-KAPEEKA'!H42,'22.10 NGOMA-KAPEERA'!H42,'19.10 NGOMA-KAPEEKA-24h'!H42,'21.10 NGOMA KAPEEKA-24h'!H42,'23.10 NGOMA-KAPEEKA'!H42)</f>
        <v>0</v>
      </c>
      <c r="I42" s="49">
        <f>AVERAGE('17.10 NGOMA-KAPEEKA'!I42,'18.10 NGOMA KAPEEKA'!I42,'20.10 NGOMA-KAPEEKA'!I42,'22.10 NGOMA-KAPEERA'!I42,'19.10 NGOMA-KAPEEKA-24h'!I42,'21.10 NGOMA KAPEEKA-24h'!I42,'23.10 NGOMA-KAPEEKA'!I42)</f>
        <v>0.8571428571428571</v>
      </c>
      <c r="J42" s="49">
        <f>AVERAGE('17.10 NGOMA-KAPEEKA'!J42,'18.10 NGOMA KAPEEKA'!J42,'20.10 NGOMA-KAPEEKA'!J42,'22.10 NGOMA-KAPEERA'!J42,'19.10 NGOMA-KAPEEKA-24h'!J42,'21.10 NGOMA KAPEEKA-24h'!J42,'23.10 NGOMA-KAPEEKA'!J42)</f>
        <v>0.14285714285714285</v>
      </c>
      <c r="K42" s="49">
        <f>AVERAGE('17.10 NGOMA-KAPEEKA'!K42,'18.10 NGOMA KAPEEKA'!K42,'20.10 NGOMA-KAPEEKA'!K42,'22.10 NGOMA-KAPEERA'!K42,'19.10 NGOMA-KAPEEKA-24h'!K42,'21.10 NGOMA KAPEEKA-24h'!K42,'23.10 NGOMA-KAPEEKA'!K42)</f>
        <v>0.14285714285714285</v>
      </c>
      <c r="L42" s="49">
        <f>AVERAGE('17.10 NGOMA-KAPEEKA'!L42,'18.10 NGOMA KAPEEKA'!L42,'20.10 NGOMA-KAPEEKA'!L42,'22.10 NGOMA-KAPEERA'!L42,'19.10 NGOMA-KAPEEKA-24h'!L42,'21.10 NGOMA KAPEEKA-24h'!L42,'23.10 NGOMA-KAPEEKA'!L42)</f>
        <v>0</v>
      </c>
      <c r="M42" s="49">
        <f>AVERAGE('17.10 NGOMA-KAPEEKA'!M42,'18.10 NGOMA KAPEEKA'!M42,'20.10 NGOMA-KAPEEKA'!M42,'22.10 NGOMA-KAPEERA'!M42,'19.10 NGOMA-KAPEEKA-24h'!M42,'21.10 NGOMA KAPEEKA-24h'!M42,'23.10 NGOMA-KAPEEKA'!M42)</f>
        <v>7.1428571428571432</v>
      </c>
      <c r="N42" s="49">
        <f>AVERAGE('17.10 NGOMA-KAPEEKA'!N42,'18.10 NGOMA KAPEEKA'!N42,'20.10 NGOMA-KAPEEKA'!N42,'22.10 NGOMA-KAPEERA'!N42,'19.10 NGOMA-KAPEEKA-24h'!N42,'21.10 NGOMA KAPEEKA-24h'!N42,'23.10 NGOMA-KAPEEKA'!N42)</f>
        <v>0</v>
      </c>
      <c r="O42" s="15">
        <f t="shared" si="0"/>
        <v>3.8571428571428572</v>
      </c>
      <c r="P42" s="15">
        <f t="shared" si="1"/>
        <v>11</v>
      </c>
      <c r="R42" s="5" t="s">
        <v>160</v>
      </c>
      <c r="S42" s="48">
        <f>S41/S40</f>
        <v>1.3461538461538463</v>
      </c>
      <c r="T42" s="48">
        <f t="shared" ref="T42:AF42" si="34">T41/T40</f>
        <v>1.0945945945945945</v>
      </c>
      <c r="U42" s="48">
        <f t="shared" si="34"/>
        <v>1.506024096385542</v>
      </c>
      <c r="V42" s="48">
        <f t="shared" si="34"/>
        <v>1.2272727272727273</v>
      </c>
      <c r="W42" s="48">
        <f t="shared" si="34"/>
        <v>1</v>
      </c>
      <c r="X42" s="48">
        <f t="shared" si="34"/>
        <v>1</v>
      </c>
      <c r="Y42" s="48">
        <f t="shared" si="34"/>
        <v>2.0055248618784534</v>
      </c>
      <c r="Z42" s="48">
        <f t="shared" si="34"/>
        <v>1.4537037037037037</v>
      </c>
      <c r="AA42" s="48">
        <f t="shared" si="34"/>
        <v>1.7000000000000002</v>
      </c>
      <c r="AB42" s="48">
        <f t="shared" si="34"/>
        <v>1</v>
      </c>
      <c r="AC42" s="48">
        <f t="shared" si="34"/>
        <v>1.2570602409638554</v>
      </c>
      <c r="AD42" s="48">
        <f t="shared" si="34"/>
        <v>1</v>
      </c>
      <c r="AE42" s="55">
        <f t="shared" si="34"/>
        <v>1.4703557312252964</v>
      </c>
      <c r="AF42" s="55">
        <f t="shared" si="34"/>
        <v>1.322124723692143</v>
      </c>
    </row>
    <row r="43" spans="2:32" ht="23.1" customHeight="1" x14ac:dyDescent="0.25">
      <c r="B43" s="23" t="s">
        <v>70</v>
      </c>
      <c r="C43" s="49">
        <f>AVERAGE('17.10 NGOMA-KAPEEKA'!C43,'18.10 NGOMA KAPEEKA'!C43,'20.10 NGOMA-KAPEEKA'!C43,'22.10 NGOMA-KAPEERA'!C43,'19.10 NGOMA-KAPEEKA-24h'!C43,'21.10 NGOMA KAPEEKA-24h'!C43,'23.10 NGOMA-KAPEEKA'!C43)</f>
        <v>0.8571428571428571</v>
      </c>
      <c r="D43" s="49">
        <f>AVERAGE('17.10 NGOMA-KAPEEKA'!D43,'18.10 NGOMA KAPEEKA'!D43,'20.10 NGOMA-KAPEEKA'!D43,'22.10 NGOMA-KAPEERA'!D43,'19.10 NGOMA-KAPEEKA-24h'!D43,'21.10 NGOMA KAPEEKA-24h'!D43,'23.10 NGOMA-KAPEEKA'!D43)</f>
        <v>0.2857142857142857</v>
      </c>
      <c r="E43" s="49">
        <f>AVERAGE('17.10 NGOMA-KAPEEKA'!E43,'18.10 NGOMA KAPEEKA'!E43,'20.10 NGOMA-KAPEEKA'!E43,'22.10 NGOMA-KAPEERA'!E43,'19.10 NGOMA-KAPEEKA-24h'!E43,'21.10 NGOMA KAPEEKA-24h'!E43,'23.10 NGOMA-KAPEEKA'!E43)</f>
        <v>0.2857142857142857</v>
      </c>
      <c r="F43" s="49">
        <f>AVERAGE('17.10 NGOMA-KAPEEKA'!F43,'18.10 NGOMA KAPEEKA'!F43,'20.10 NGOMA-KAPEEKA'!F43,'22.10 NGOMA-KAPEERA'!F43,'19.10 NGOMA-KAPEEKA-24h'!F43,'21.10 NGOMA KAPEEKA-24h'!F43,'23.10 NGOMA-KAPEEKA'!F43)</f>
        <v>0.2857142857142857</v>
      </c>
      <c r="G43" s="49">
        <f>AVERAGE('17.10 NGOMA-KAPEEKA'!G43,'18.10 NGOMA KAPEEKA'!G43,'20.10 NGOMA-KAPEEKA'!G43,'22.10 NGOMA-KAPEERA'!G43,'19.10 NGOMA-KAPEEKA-24h'!G43,'21.10 NGOMA KAPEEKA-24h'!G43,'23.10 NGOMA-KAPEEKA'!G43)</f>
        <v>0</v>
      </c>
      <c r="H43" s="49">
        <f>AVERAGE('17.10 NGOMA-KAPEEKA'!H43,'18.10 NGOMA KAPEEKA'!H43,'20.10 NGOMA-KAPEEKA'!H43,'22.10 NGOMA-KAPEERA'!H43,'19.10 NGOMA-KAPEEKA-24h'!H43,'21.10 NGOMA KAPEEKA-24h'!H43,'23.10 NGOMA-KAPEEKA'!H43)</f>
        <v>0</v>
      </c>
      <c r="I43" s="49">
        <f>AVERAGE('17.10 NGOMA-KAPEEKA'!I43,'18.10 NGOMA KAPEEKA'!I43,'20.10 NGOMA-KAPEEKA'!I43,'22.10 NGOMA-KAPEERA'!I43,'19.10 NGOMA-KAPEEKA-24h'!I43,'21.10 NGOMA KAPEEKA-24h'!I43,'23.10 NGOMA-KAPEEKA'!I43)</f>
        <v>0.2857142857142857</v>
      </c>
      <c r="J43" s="49">
        <f>AVERAGE('17.10 NGOMA-KAPEEKA'!J43,'18.10 NGOMA KAPEEKA'!J43,'20.10 NGOMA-KAPEEKA'!J43,'22.10 NGOMA-KAPEERA'!J43,'19.10 NGOMA-KAPEEKA-24h'!J43,'21.10 NGOMA KAPEEKA-24h'!J43,'23.10 NGOMA-KAPEEKA'!J43)</f>
        <v>0</v>
      </c>
      <c r="K43" s="49">
        <f>AVERAGE('17.10 NGOMA-KAPEEKA'!K43,'18.10 NGOMA KAPEEKA'!K43,'20.10 NGOMA-KAPEEKA'!K43,'22.10 NGOMA-KAPEERA'!K43,'19.10 NGOMA-KAPEEKA-24h'!K43,'21.10 NGOMA KAPEEKA-24h'!K43,'23.10 NGOMA-KAPEEKA'!K43)</f>
        <v>0.14285714285714285</v>
      </c>
      <c r="L43" s="49">
        <f>AVERAGE('17.10 NGOMA-KAPEEKA'!L43,'18.10 NGOMA KAPEEKA'!L43,'20.10 NGOMA-KAPEEKA'!L43,'22.10 NGOMA-KAPEERA'!L43,'19.10 NGOMA-KAPEEKA-24h'!L43,'21.10 NGOMA KAPEEKA-24h'!L43,'23.10 NGOMA-KAPEEKA'!L43)</f>
        <v>0.14285714285714285</v>
      </c>
      <c r="M43" s="49">
        <f>AVERAGE('17.10 NGOMA-KAPEEKA'!M43,'18.10 NGOMA KAPEEKA'!M43,'20.10 NGOMA-KAPEEKA'!M43,'22.10 NGOMA-KAPEERA'!M43,'19.10 NGOMA-KAPEEKA-24h'!M43,'21.10 NGOMA KAPEEKA-24h'!M43,'23.10 NGOMA-KAPEEKA'!M43)</f>
        <v>5.4285714285714288</v>
      </c>
      <c r="N43" s="49">
        <f>AVERAGE('17.10 NGOMA-KAPEEKA'!N43,'18.10 NGOMA KAPEEKA'!N43,'20.10 NGOMA-KAPEEKA'!N43,'22.10 NGOMA-KAPEERA'!N43,'19.10 NGOMA-KAPEEKA-24h'!N43,'21.10 NGOMA KAPEEKA-24h'!N43,'23.10 NGOMA-KAPEEKA'!N43)</f>
        <v>0</v>
      </c>
      <c r="O43" s="15">
        <f t="shared" si="0"/>
        <v>2.2857142857142851</v>
      </c>
      <c r="P43" s="15">
        <f t="shared" si="1"/>
        <v>7.7142857142857135</v>
      </c>
    </row>
    <row r="44" spans="2:32" ht="23.1" customHeight="1" x14ac:dyDescent="0.25">
      <c r="B44" s="25" t="s">
        <v>71</v>
      </c>
      <c r="C44" s="49">
        <f>AVERAGE('17.10 NGOMA-KAPEEKA'!C44,'18.10 NGOMA KAPEEKA'!C44,'20.10 NGOMA-KAPEEKA'!C44,'22.10 NGOMA-KAPEERA'!C44,'19.10 NGOMA-KAPEEKA-24h'!C44,'21.10 NGOMA KAPEEKA-24h'!C44,'23.10 NGOMA-KAPEEKA'!C44)</f>
        <v>0.7142857142857143</v>
      </c>
      <c r="D44" s="49">
        <f>AVERAGE('17.10 NGOMA-KAPEEKA'!D44,'18.10 NGOMA KAPEEKA'!D44,'20.10 NGOMA-KAPEEKA'!D44,'22.10 NGOMA-KAPEERA'!D44,'19.10 NGOMA-KAPEEKA-24h'!D44,'21.10 NGOMA KAPEEKA-24h'!D44,'23.10 NGOMA-KAPEEKA'!D44)</f>
        <v>0.5714285714285714</v>
      </c>
      <c r="E44" s="49">
        <f>AVERAGE('17.10 NGOMA-KAPEEKA'!E44,'18.10 NGOMA KAPEEKA'!E44,'20.10 NGOMA-KAPEEKA'!E44,'22.10 NGOMA-KAPEERA'!E44,'19.10 NGOMA-KAPEEKA-24h'!E44,'21.10 NGOMA KAPEEKA-24h'!E44,'23.10 NGOMA-KAPEEKA'!E44)</f>
        <v>0.14285714285714285</v>
      </c>
      <c r="F44" s="49">
        <f>AVERAGE('17.10 NGOMA-KAPEEKA'!F44,'18.10 NGOMA KAPEEKA'!F44,'20.10 NGOMA-KAPEEKA'!F44,'22.10 NGOMA-KAPEERA'!F44,'19.10 NGOMA-KAPEEKA-24h'!F44,'21.10 NGOMA KAPEEKA-24h'!F44,'23.10 NGOMA-KAPEEKA'!F44)</f>
        <v>0.42857142857142855</v>
      </c>
      <c r="G44" s="49">
        <f>AVERAGE('17.10 NGOMA-KAPEEKA'!G44,'18.10 NGOMA KAPEEKA'!G44,'20.10 NGOMA-KAPEEKA'!G44,'22.10 NGOMA-KAPEERA'!G44,'19.10 NGOMA-KAPEEKA-24h'!G44,'21.10 NGOMA KAPEEKA-24h'!G44,'23.10 NGOMA-KAPEEKA'!G44)</f>
        <v>0</v>
      </c>
      <c r="H44" s="49">
        <f>AVERAGE('17.10 NGOMA-KAPEEKA'!H44,'18.10 NGOMA KAPEEKA'!H44,'20.10 NGOMA-KAPEEKA'!H44,'22.10 NGOMA-KAPEERA'!H44,'19.10 NGOMA-KAPEEKA-24h'!H44,'21.10 NGOMA KAPEEKA-24h'!H44,'23.10 NGOMA-KAPEEKA'!H44)</f>
        <v>0</v>
      </c>
      <c r="I44" s="49">
        <f>AVERAGE('17.10 NGOMA-KAPEEKA'!I44,'18.10 NGOMA KAPEEKA'!I44,'20.10 NGOMA-KAPEEKA'!I44,'22.10 NGOMA-KAPEERA'!I44,'19.10 NGOMA-KAPEEKA-24h'!I44,'21.10 NGOMA KAPEEKA-24h'!I44,'23.10 NGOMA-KAPEEKA'!I44)</f>
        <v>1.1428571428571428</v>
      </c>
      <c r="J44" s="49">
        <f>AVERAGE('17.10 NGOMA-KAPEEKA'!J44,'18.10 NGOMA KAPEEKA'!J44,'20.10 NGOMA-KAPEEKA'!J44,'22.10 NGOMA-KAPEERA'!J44,'19.10 NGOMA-KAPEEKA-24h'!J44,'21.10 NGOMA KAPEEKA-24h'!J44,'23.10 NGOMA-KAPEEKA'!J44)</f>
        <v>0.14285714285714285</v>
      </c>
      <c r="K44" s="49">
        <f>AVERAGE('17.10 NGOMA-KAPEEKA'!K44,'18.10 NGOMA KAPEEKA'!K44,'20.10 NGOMA-KAPEEKA'!K44,'22.10 NGOMA-KAPEERA'!K44,'19.10 NGOMA-KAPEEKA-24h'!K44,'21.10 NGOMA KAPEEKA-24h'!K44,'23.10 NGOMA-KAPEEKA'!K44)</f>
        <v>0</v>
      </c>
      <c r="L44" s="49">
        <f>AVERAGE('17.10 NGOMA-KAPEEKA'!L44,'18.10 NGOMA KAPEEKA'!L44,'20.10 NGOMA-KAPEEKA'!L44,'22.10 NGOMA-KAPEERA'!L44,'19.10 NGOMA-KAPEEKA-24h'!L44,'21.10 NGOMA KAPEEKA-24h'!L44,'23.10 NGOMA-KAPEEKA'!L44)</f>
        <v>0</v>
      </c>
      <c r="M44" s="49">
        <f>AVERAGE('17.10 NGOMA-KAPEEKA'!M44,'18.10 NGOMA KAPEEKA'!M44,'20.10 NGOMA-KAPEEKA'!M44,'22.10 NGOMA-KAPEERA'!M44,'19.10 NGOMA-KAPEEKA-24h'!M44,'21.10 NGOMA KAPEEKA-24h'!M44,'23.10 NGOMA-KAPEEKA'!M44)</f>
        <v>6.5714285714285712</v>
      </c>
      <c r="N44" s="49">
        <f>AVERAGE('17.10 NGOMA-KAPEEKA'!N44,'18.10 NGOMA KAPEEKA'!N44,'20.10 NGOMA-KAPEEKA'!N44,'22.10 NGOMA-KAPEERA'!N44,'19.10 NGOMA-KAPEEKA-24h'!N44,'21.10 NGOMA KAPEEKA-24h'!N44,'23.10 NGOMA-KAPEEKA'!N44)</f>
        <v>0</v>
      </c>
      <c r="O44" s="15">
        <f t="shared" si="0"/>
        <v>3.1428571428571428</v>
      </c>
      <c r="P44" s="15">
        <f t="shared" si="1"/>
        <v>9.7142857142857135</v>
      </c>
    </row>
    <row r="45" spans="2:32" ht="23.1" customHeight="1" x14ac:dyDescent="0.25">
      <c r="B45" s="23" t="s">
        <v>72</v>
      </c>
      <c r="C45" s="49">
        <f>AVERAGE('17.10 NGOMA-KAPEEKA'!C45,'18.10 NGOMA KAPEEKA'!C45,'20.10 NGOMA-KAPEEKA'!C45,'22.10 NGOMA-KAPEERA'!C45,'19.10 NGOMA-KAPEEKA-24h'!C45,'21.10 NGOMA KAPEEKA-24h'!C45,'23.10 NGOMA-KAPEEKA'!C45)</f>
        <v>0.14285714285714285</v>
      </c>
      <c r="D45" s="49">
        <f>AVERAGE('17.10 NGOMA-KAPEEKA'!D45,'18.10 NGOMA KAPEEKA'!D45,'20.10 NGOMA-KAPEEKA'!D45,'22.10 NGOMA-KAPEERA'!D45,'19.10 NGOMA-KAPEEKA-24h'!D45,'21.10 NGOMA KAPEEKA-24h'!D45,'23.10 NGOMA-KAPEEKA'!D45)</f>
        <v>0.42857142857142855</v>
      </c>
      <c r="E45" s="49">
        <f>AVERAGE('17.10 NGOMA-KAPEEKA'!E45,'18.10 NGOMA KAPEEKA'!E45,'20.10 NGOMA-KAPEEKA'!E45,'22.10 NGOMA-KAPEERA'!E45,'19.10 NGOMA-KAPEEKA-24h'!E45,'21.10 NGOMA KAPEEKA-24h'!E45,'23.10 NGOMA-KAPEEKA'!E45)</f>
        <v>0.42857142857142855</v>
      </c>
      <c r="F45" s="49">
        <f>AVERAGE('17.10 NGOMA-KAPEEKA'!F45,'18.10 NGOMA KAPEEKA'!F45,'20.10 NGOMA-KAPEEKA'!F45,'22.10 NGOMA-KAPEERA'!F45,'19.10 NGOMA-KAPEEKA-24h'!F45,'21.10 NGOMA KAPEEKA-24h'!F45,'23.10 NGOMA-KAPEEKA'!F45)</f>
        <v>1</v>
      </c>
      <c r="G45" s="49">
        <f>AVERAGE('17.10 NGOMA-KAPEEKA'!G45,'18.10 NGOMA KAPEEKA'!G45,'20.10 NGOMA-KAPEEKA'!G45,'22.10 NGOMA-KAPEERA'!G45,'19.10 NGOMA-KAPEEKA-24h'!G45,'21.10 NGOMA KAPEEKA-24h'!G45,'23.10 NGOMA-KAPEEKA'!G45)</f>
        <v>0.14285714285714285</v>
      </c>
      <c r="H45" s="49">
        <f>AVERAGE('17.10 NGOMA-KAPEEKA'!H45,'18.10 NGOMA KAPEEKA'!H45,'20.10 NGOMA-KAPEEKA'!H45,'22.10 NGOMA-KAPEERA'!H45,'19.10 NGOMA-KAPEEKA-24h'!H45,'21.10 NGOMA KAPEEKA-24h'!H45,'23.10 NGOMA-KAPEEKA'!H45)</f>
        <v>0</v>
      </c>
      <c r="I45" s="49">
        <f>AVERAGE('17.10 NGOMA-KAPEEKA'!I45,'18.10 NGOMA KAPEEKA'!I45,'20.10 NGOMA-KAPEEKA'!I45,'22.10 NGOMA-KAPEERA'!I45,'19.10 NGOMA-KAPEEKA-24h'!I45,'21.10 NGOMA KAPEEKA-24h'!I45,'23.10 NGOMA-KAPEEKA'!I45)</f>
        <v>1.2857142857142858</v>
      </c>
      <c r="J45" s="49">
        <f>AVERAGE('17.10 NGOMA-KAPEEKA'!J45,'18.10 NGOMA KAPEEKA'!J45,'20.10 NGOMA-KAPEEKA'!J45,'22.10 NGOMA-KAPEERA'!J45,'19.10 NGOMA-KAPEEKA-24h'!J45,'21.10 NGOMA KAPEEKA-24h'!J45,'23.10 NGOMA-KAPEEKA'!J45)</f>
        <v>0.14285714285714285</v>
      </c>
      <c r="K45" s="49">
        <f>AVERAGE('17.10 NGOMA-KAPEEKA'!K45,'18.10 NGOMA KAPEEKA'!K45,'20.10 NGOMA-KAPEEKA'!K45,'22.10 NGOMA-KAPEERA'!K45,'19.10 NGOMA-KAPEEKA-24h'!K45,'21.10 NGOMA KAPEEKA-24h'!K45,'23.10 NGOMA-KAPEEKA'!K45)</f>
        <v>0</v>
      </c>
      <c r="L45" s="49">
        <f>AVERAGE('17.10 NGOMA-KAPEEKA'!L45,'18.10 NGOMA KAPEEKA'!L45,'20.10 NGOMA-KAPEEKA'!L45,'22.10 NGOMA-KAPEERA'!L45,'19.10 NGOMA-KAPEEKA-24h'!L45,'21.10 NGOMA KAPEEKA-24h'!L45,'23.10 NGOMA-KAPEEKA'!L45)</f>
        <v>0</v>
      </c>
      <c r="M45" s="49">
        <f>AVERAGE('17.10 NGOMA-KAPEEKA'!M45,'18.10 NGOMA KAPEEKA'!M45,'20.10 NGOMA-KAPEEKA'!M45,'22.10 NGOMA-KAPEERA'!M45,'19.10 NGOMA-KAPEEKA-24h'!M45,'21.10 NGOMA KAPEEKA-24h'!M45,'23.10 NGOMA-KAPEEKA'!M45)</f>
        <v>5</v>
      </c>
      <c r="N45" s="49">
        <f>AVERAGE('17.10 NGOMA-KAPEEKA'!N45,'18.10 NGOMA KAPEEKA'!N45,'20.10 NGOMA-KAPEEKA'!N45,'22.10 NGOMA-KAPEERA'!N45,'19.10 NGOMA-KAPEEKA-24h'!N45,'21.10 NGOMA KAPEEKA-24h'!N45,'23.10 NGOMA-KAPEEKA'!N45)</f>
        <v>0</v>
      </c>
      <c r="O45" s="15">
        <f t="shared" si="0"/>
        <v>3.5714285714285716</v>
      </c>
      <c r="P45" s="15">
        <f t="shared" si="1"/>
        <v>8.5714285714285712</v>
      </c>
    </row>
    <row r="46" spans="2:32" ht="23.1" customHeight="1" x14ac:dyDescent="0.25">
      <c r="B46" s="24" t="s">
        <v>73</v>
      </c>
      <c r="C46" s="49">
        <f>AVERAGE('17.10 NGOMA-KAPEEKA'!C46,'18.10 NGOMA KAPEEKA'!C46,'20.10 NGOMA-KAPEEKA'!C46,'22.10 NGOMA-KAPEERA'!C46,'19.10 NGOMA-KAPEEKA-24h'!C46,'21.10 NGOMA KAPEEKA-24h'!C46,'23.10 NGOMA-KAPEEKA'!C46)</f>
        <v>0.42857142857142855</v>
      </c>
      <c r="D46" s="49">
        <f>AVERAGE('17.10 NGOMA-KAPEEKA'!D46,'18.10 NGOMA KAPEEKA'!D46,'20.10 NGOMA-KAPEEKA'!D46,'22.10 NGOMA-KAPEERA'!D46,'19.10 NGOMA-KAPEEKA-24h'!D46,'21.10 NGOMA KAPEEKA-24h'!D46,'23.10 NGOMA-KAPEEKA'!D46)</f>
        <v>0.2857142857142857</v>
      </c>
      <c r="E46" s="49">
        <f>AVERAGE('17.10 NGOMA-KAPEEKA'!E46,'18.10 NGOMA KAPEEKA'!E46,'20.10 NGOMA-KAPEEKA'!E46,'22.10 NGOMA-KAPEERA'!E46,'19.10 NGOMA-KAPEEKA-24h'!E46,'21.10 NGOMA KAPEEKA-24h'!E46,'23.10 NGOMA-KAPEEKA'!E46)</f>
        <v>0.7142857142857143</v>
      </c>
      <c r="F46" s="49">
        <f>AVERAGE('17.10 NGOMA-KAPEEKA'!F46,'18.10 NGOMA KAPEEKA'!F46,'20.10 NGOMA-KAPEEKA'!F46,'22.10 NGOMA-KAPEERA'!F46,'19.10 NGOMA-KAPEEKA-24h'!F46,'21.10 NGOMA KAPEEKA-24h'!F46,'23.10 NGOMA-KAPEEKA'!F46)</f>
        <v>0.8571428571428571</v>
      </c>
      <c r="G46" s="49">
        <f>AVERAGE('17.10 NGOMA-KAPEEKA'!G46,'18.10 NGOMA KAPEEKA'!G46,'20.10 NGOMA-KAPEEKA'!G46,'22.10 NGOMA-KAPEERA'!G46,'19.10 NGOMA-KAPEEKA-24h'!G46,'21.10 NGOMA KAPEEKA-24h'!G46,'23.10 NGOMA-KAPEEKA'!G46)</f>
        <v>0</v>
      </c>
      <c r="H46" s="49">
        <f>AVERAGE('17.10 NGOMA-KAPEEKA'!H46,'18.10 NGOMA KAPEEKA'!H46,'20.10 NGOMA-KAPEEKA'!H46,'22.10 NGOMA-KAPEERA'!H46,'19.10 NGOMA-KAPEEKA-24h'!H46,'21.10 NGOMA KAPEEKA-24h'!H46,'23.10 NGOMA-KAPEEKA'!H46)</f>
        <v>0</v>
      </c>
      <c r="I46" s="49">
        <f>AVERAGE('17.10 NGOMA-KAPEEKA'!I46,'18.10 NGOMA KAPEEKA'!I46,'20.10 NGOMA-KAPEEKA'!I46,'22.10 NGOMA-KAPEERA'!I46,'19.10 NGOMA-KAPEEKA-24h'!I46,'21.10 NGOMA KAPEEKA-24h'!I46,'23.10 NGOMA-KAPEEKA'!I46)</f>
        <v>0.7142857142857143</v>
      </c>
      <c r="J46" s="49">
        <f>AVERAGE('17.10 NGOMA-KAPEEKA'!J46,'18.10 NGOMA KAPEEKA'!J46,'20.10 NGOMA-KAPEEKA'!J46,'22.10 NGOMA-KAPEERA'!J46,'19.10 NGOMA-KAPEEKA-24h'!J46,'21.10 NGOMA KAPEEKA-24h'!J46,'23.10 NGOMA-KAPEEKA'!J46)</f>
        <v>0.14285714285714285</v>
      </c>
      <c r="K46" s="49">
        <f>AVERAGE('17.10 NGOMA-KAPEEKA'!K46,'18.10 NGOMA KAPEEKA'!K46,'20.10 NGOMA-KAPEEKA'!K46,'22.10 NGOMA-KAPEERA'!K46,'19.10 NGOMA-KAPEEKA-24h'!K46,'21.10 NGOMA KAPEEKA-24h'!K46,'23.10 NGOMA-KAPEEKA'!K46)</f>
        <v>0</v>
      </c>
      <c r="L46" s="49">
        <f>AVERAGE('17.10 NGOMA-KAPEEKA'!L46,'18.10 NGOMA KAPEEKA'!L46,'20.10 NGOMA-KAPEEKA'!L46,'22.10 NGOMA-KAPEERA'!L46,'19.10 NGOMA-KAPEEKA-24h'!L46,'21.10 NGOMA KAPEEKA-24h'!L46,'23.10 NGOMA-KAPEEKA'!L46)</f>
        <v>0</v>
      </c>
      <c r="M46" s="49">
        <f>AVERAGE('17.10 NGOMA-KAPEEKA'!M46,'18.10 NGOMA KAPEEKA'!M46,'20.10 NGOMA-KAPEEKA'!M46,'22.10 NGOMA-KAPEERA'!M46,'19.10 NGOMA-KAPEEKA-24h'!M46,'21.10 NGOMA KAPEEKA-24h'!M46,'23.10 NGOMA-KAPEEKA'!M46)</f>
        <v>6.5714285714285712</v>
      </c>
      <c r="N46" s="49">
        <f>AVERAGE('17.10 NGOMA-KAPEEKA'!N46,'18.10 NGOMA KAPEEKA'!N46,'20.10 NGOMA-KAPEEKA'!N46,'22.10 NGOMA-KAPEERA'!N46,'19.10 NGOMA-KAPEEKA-24h'!N46,'21.10 NGOMA KAPEEKA-24h'!N46,'23.10 NGOMA-KAPEEKA'!N46)</f>
        <v>0</v>
      </c>
      <c r="O46" s="15">
        <f t="shared" si="0"/>
        <v>3.1428571428571428</v>
      </c>
      <c r="P46" s="15">
        <f t="shared" si="1"/>
        <v>9.7142857142857135</v>
      </c>
      <c r="R46" s="8"/>
      <c r="T46"/>
    </row>
    <row r="47" spans="2:32" ht="23.1" customHeight="1" x14ac:dyDescent="0.25">
      <c r="B47" s="24" t="s">
        <v>74</v>
      </c>
      <c r="C47" s="49">
        <f>AVERAGE('17.10 NGOMA-KAPEEKA'!C47,'18.10 NGOMA KAPEEKA'!C47,'20.10 NGOMA-KAPEEKA'!C47,'22.10 NGOMA-KAPEERA'!C47,'19.10 NGOMA-KAPEEKA-24h'!C47,'21.10 NGOMA KAPEEKA-24h'!C47,'23.10 NGOMA-KAPEEKA'!C47)</f>
        <v>0.5714285714285714</v>
      </c>
      <c r="D47" s="49">
        <f>AVERAGE('17.10 NGOMA-KAPEEKA'!D47,'18.10 NGOMA KAPEEKA'!D47,'20.10 NGOMA-KAPEEKA'!D47,'22.10 NGOMA-KAPEERA'!D47,'19.10 NGOMA-KAPEEKA-24h'!D47,'21.10 NGOMA KAPEEKA-24h'!D47,'23.10 NGOMA-KAPEEKA'!D47)</f>
        <v>0.14285714285714285</v>
      </c>
      <c r="E47" s="49">
        <f>AVERAGE('17.10 NGOMA-KAPEEKA'!E47,'18.10 NGOMA KAPEEKA'!E47,'20.10 NGOMA-KAPEEKA'!E47,'22.10 NGOMA-KAPEERA'!E47,'19.10 NGOMA-KAPEEKA-24h'!E47,'21.10 NGOMA KAPEEKA-24h'!E47,'23.10 NGOMA-KAPEEKA'!E47)</f>
        <v>0.14285714285714285</v>
      </c>
      <c r="F47" s="49">
        <f>AVERAGE('17.10 NGOMA-KAPEEKA'!F47,'18.10 NGOMA KAPEEKA'!F47,'20.10 NGOMA-KAPEEKA'!F47,'22.10 NGOMA-KAPEERA'!F47,'19.10 NGOMA-KAPEEKA-24h'!F47,'21.10 NGOMA KAPEEKA-24h'!F47,'23.10 NGOMA-KAPEEKA'!F47)</f>
        <v>0.42857142857142855</v>
      </c>
      <c r="G47" s="49">
        <f>AVERAGE('17.10 NGOMA-KAPEEKA'!G47,'18.10 NGOMA KAPEEKA'!G47,'20.10 NGOMA-KAPEEKA'!G47,'22.10 NGOMA-KAPEERA'!G47,'19.10 NGOMA-KAPEEKA-24h'!G47,'21.10 NGOMA KAPEEKA-24h'!G47,'23.10 NGOMA-KAPEEKA'!G47)</f>
        <v>0</v>
      </c>
      <c r="H47" s="49">
        <f>AVERAGE('17.10 NGOMA-KAPEEKA'!H47,'18.10 NGOMA KAPEEKA'!H47,'20.10 NGOMA-KAPEEKA'!H47,'22.10 NGOMA-KAPEERA'!H47,'19.10 NGOMA-KAPEEKA-24h'!H47,'21.10 NGOMA KAPEEKA-24h'!H47,'23.10 NGOMA-KAPEEKA'!H47)</f>
        <v>0</v>
      </c>
      <c r="I47" s="49">
        <f>AVERAGE('17.10 NGOMA-KAPEEKA'!I47,'18.10 NGOMA KAPEEKA'!I47,'20.10 NGOMA-KAPEEKA'!I47,'22.10 NGOMA-KAPEERA'!I47,'19.10 NGOMA-KAPEEKA-24h'!I47,'21.10 NGOMA KAPEEKA-24h'!I47,'23.10 NGOMA-KAPEEKA'!I47)</f>
        <v>0.8571428571428571</v>
      </c>
      <c r="J47" s="49">
        <f>AVERAGE('17.10 NGOMA-KAPEEKA'!J47,'18.10 NGOMA KAPEEKA'!J47,'20.10 NGOMA-KAPEEKA'!J47,'22.10 NGOMA-KAPEERA'!J47,'19.10 NGOMA-KAPEEKA-24h'!J47,'21.10 NGOMA KAPEEKA-24h'!J47,'23.10 NGOMA-KAPEEKA'!J47)</f>
        <v>0</v>
      </c>
      <c r="K47" s="49">
        <f>AVERAGE('17.10 NGOMA-KAPEEKA'!K47,'18.10 NGOMA KAPEEKA'!K47,'20.10 NGOMA-KAPEEKA'!K47,'22.10 NGOMA-KAPEERA'!K47,'19.10 NGOMA-KAPEEKA-24h'!K47,'21.10 NGOMA KAPEEKA-24h'!K47,'23.10 NGOMA-KAPEEKA'!K47)</f>
        <v>0</v>
      </c>
      <c r="L47" s="49">
        <f>AVERAGE('17.10 NGOMA-KAPEEKA'!L47,'18.10 NGOMA KAPEEKA'!L47,'20.10 NGOMA-KAPEEKA'!L47,'22.10 NGOMA-KAPEERA'!L47,'19.10 NGOMA-KAPEEKA-24h'!L47,'21.10 NGOMA KAPEEKA-24h'!L47,'23.10 NGOMA-KAPEEKA'!L47)</f>
        <v>0</v>
      </c>
      <c r="M47" s="49">
        <f>AVERAGE('17.10 NGOMA-KAPEEKA'!M47,'18.10 NGOMA KAPEEKA'!M47,'20.10 NGOMA-KAPEEKA'!M47,'22.10 NGOMA-KAPEERA'!M47,'19.10 NGOMA-KAPEEKA-24h'!M47,'21.10 NGOMA KAPEEKA-24h'!M47,'23.10 NGOMA-KAPEEKA'!M47)</f>
        <v>5.7142857142857144</v>
      </c>
      <c r="N47" s="49">
        <f>AVERAGE('17.10 NGOMA-KAPEEKA'!N47,'18.10 NGOMA KAPEEKA'!N47,'20.10 NGOMA-KAPEEKA'!N47,'22.10 NGOMA-KAPEERA'!N47,'19.10 NGOMA-KAPEEKA-24h'!N47,'21.10 NGOMA KAPEEKA-24h'!N47,'23.10 NGOMA-KAPEEKA'!N47)</f>
        <v>0</v>
      </c>
      <c r="O47" s="15">
        <f t="shared" si="0"/>
        <v>2.1428571428571428</v>
      </c>
      <c r="P47" s="15">
        <f t="shared" si="1"/>
        <v>7.8571428571428577</v>
      </c>
      <c r="R47" s="8"/>
      <c r="T47"/>
    </row>
    <row r="48" spans="2:32" ht="23.1" customHeight="1" x14ac:dyDescent="0.25">
      <c r="B48" s="24" t="s">
        <v>75</v>
      </c>
      <c r="C48" s="49">
        <f>AVERAGE('17.10 NGOMA-KAPEEKA'!C48,'18.10 NGOMA KAPEEKA'!C48,'20.10 NGOMA-KAPEEKA'!C48,'22.10 NGOMA-KAPEERA'!C48,'19.10 NGOMA-KAPEEKA-24h'!C48,'21.10 NGOMA KAPEEKA-24h'!C48,'23.10 NGOMA-KAPEEKA'!C48)</f>
        <v>0.2857142857142857</v>
      </c>
      <c r="D48" s="49">
        <f>AVERAGE('17.10 NGOMA-KAPEEKA'!D48,'18.10 NGOMA KAPEEKA'!D48,'20.10 NGOMA-KAPEEKA'!D48,'22.10 NGOMA-KAPEERA'!D48,'19.10 NGOMA-KAPEEKA-24h'!D48,'21.10 NGOMA KAPEEKA-24h'!D48,'23.10 NGOMA-KAPEEKA'!D48)</f>
        <v>0.2857142857142857</v>
      </c>
      <c r="E48" s="49">
        <f>AVERAGE('17.10 NGOMA-KAPEEKA'!E48,'18.10 NGOMA KAPEEKA'!E48,'20.10 NGOMA-KAPEEKA'!E48,'22.10 NGOMA-KAPEERA'!E48,'19.10 NGOMA-KAPEEKA-24h'!E48,'21.10 NGOMA KAPEEKA-24h'!E48,'23.10 NGOMA-KAPEEKA'!E48)</f>
        <v>0.14285714285714285</v>
      </c>
      <c r="F48" s="49">
        <f>AVERAGE('17.10 NGOMA-KAPEEKA'!F48,'18.10 NGOMA KAPEEKA'!F48,'20.10 NGOMA-KAPEEKA'!F48,'22.10 NGOMA-KAPEERA'!F48,'19.10 NGOMA-KAPEEKA-24h'!F48,'21.10 NGOMA KAPEEKA-24h'!F48,'23.10 NGOMA-KAPEEKA'!F48)</f>
        <v>0.7142857142857143</v>
      </c>
      <c r="G48" s="49">
        <f>AVERAGE('17.10 NGOMA-KAPEEKA'!G48,'18.10 NGOMA KAPEEKA'!G48,'20.10 NGOMA-KAPEEKA'!G48,'22.10 NGOMA-KAPEERA'!G48,'19.10 NGOMA-KAPEEKA-24h'!G48,'21.10 NGOMA KAPEEKA-24h'!G48,'23.10 NGOMA-KAPEEKA'!G48)</f>
        <v>0</v>
      </c>
      <c r="H48" s="49">
        <f>AVERAGE('17.10 NGOMA-KAPEEKA'!H48,'18.10 NGOMA KAPEEKA'!H48,'20.10 NGOMA-KAPEEKA'!H48,'22.10 NGOMA-KAPEERA'!H48,'19.10 NGOMA-KAPEEKA-24h'!H48,'21.10 NGOMA KAPEEKA-24h'!H48,'23.10 NGOMA-KAPEEKA'!H48)</f>
        <v>0</v>
      </c>
      <c r="I48" s="49">
        <f>AVERAGE('17.10 NGOMA-KAPEEKA'!I48,'18.10 NGOMA KAPEEKA'!I48,'20.10 NGOMA-KAPEEKA'!I48,'22.10 NGOMA-KAPEERA'!I48,'19.10 NGOMA-KAPEEKA-24h'!I48,'21.10 NGOMA KAPEEKA-24h'!I48,'23.10 NGOMA-KAPEEKA'!I48)</f>
        <v>0.8571428571428571</v>
      </c>
      <c r="J48" s="49">
        <f>AVERAGE('17.10 NGOMA-KAPEEKA'!J48,'18.10 NGOMA KAPEEKA'!J48,'20.10 NGOMA-KAPEEKA'!J48,'22.10 NGOMA-KAPEERA'!J48,'19.10 NGOMA-KAPEEKA-24h'!J48,'21.10 NGOMA KAPEEKA-24h'!J48,'23.10 NGOMA-KAPEEKA'!J48)</f>
        <v>0</v>
      </c>
      <c r="K48" s="49">
        <f>AVERAGE('17.10 NGOMA-KAPEEKA'!K48,'18.10 NGOMA KAPEEKA'!K48,'20.10 NGOMA-KAPEEKA'!K48,'22.10 NGOMA-KAPEERA'!K48,'19.10 NGOMA-KAPEEKA-24h'!K48,'21.10 NGOMA KAPEEKA-24h'!K48,'23.10 NGOMA-KAPEEKA'!K48)</f>
        <v>0</v>
      </c>
      <c r="L48" s="49">
        <f>AVERAGE('17.10 NGOMA-KAPEEKA'!L48,'18.10 NGOMA KAPEEKA'!L48,'20.10 NGOMA-KAPEEKA'!L48,'22.10 NGOMA-KAPEERA'!L48,'19.10 NGOMA-KAPEEKA-24h'!L48,'21.10 NGOMA KAPEEKA-24h'!L48,'23.10 NGOMA-KAPEEKA'!L48)</f>
        <v>0</v>
      </c>
      <c r="M48" s="49">
        <f>AVERAGE('17.10 NGOMA-KAPEEKA'!M48,'18.10 NGOMA KAPEEKA'!M48,'20.10 NGOMA-KAPEEKA'!M48,'22.10 NGOMA-KAPEERA'!M48,'19.10 NGOMA-KAPEEKA-24h'!M48,'21.10 NGOMA KAPEEKA-24h'!M48,'23.10 NGOMA-KAPEEKA'!M48)</f>
        <v>6</v>
      </c>
      <c r="N48" s="49">
        <f>AVERAGE('17.10 NGOMA-KAPEEKA'!N48,'18.10 NGOMA KAPEEKA'!N48,'20.10 NGOMA-KAPEEKA'!N48,'22.10 NGOMA-KAPEERA'!N48,'19.10 NGOMA-KAPEEKA-24h'!N48,'21.10 NGOMA KAPEEKA-24h'!N48,'23.10 NGOMA-KAPEEKA'!N48)</f>
        <v>0</v>
      </c>
      <c r="O48" s="15">
        <f t="shared" si="0"/>
        <v>2.2857142857142856</v>
      </c>
      <c r="P48" s="15">
        <f t="shared" si="1"/>
        <v>8.2857142857142847</v>
      </c>
      <c r="R48" s="8"/>
      <c r="T48"/>
    </row>
    <row r="49" spans="2:20" ht="23.1" customHeight="1" x14ac:dyDescent="0.25">
      <c r="B49" s="23" t="s">
        <v>76</v>
      </c>
      <c r="C49" s="49">
        <f>AVERAGE('17.10 NGOMA-KAPEEKA'!C49,'18.10 NGOMA KAPEEKA'!C49,'20.10 NGOMA-KAPEEKA'!C49,'22.10 NGOMA-KAPEERA'!C49,'19.10 NGOMA-KAPEEKA-24h'!C49,'21.10 NGOMA KAPEEKA-24h'!C49,'23.10 NGOMA-KAPEEKA'!C49)</f>
        <v>1.7142857142857142</v>
      </c>
      <c r="D49" s="49">
        <f>AVERAGE('17.10 NGOMA-KAPEEKA'!D49,'18.10 NGOMA KAPEEKA'!D49,'20.10 NGOMA-KAPEEKA'!D49,'22.10 NGOMA-KAPEERA'!D49,'19.10 NGOMA-KAPEEKA-24h'!D49,'21.10 NGOMA KAPEEKA-24h'!D49,'23.10 NGOMA-KAPEEKA'!D49)</f>
        <v>0.14285714285714285</v>
      </c>
      <c r="E49" s="49">
        <f>AVERAGE('17.10 NGOMA-KAPEEKA'!E49,'18.10 NGOMA KAPEEKA'!E49,'20.10 NGOMA-KAPEEKA'!E49,'22.10 NGOMA-KAPEERA'!E49,'19.10 NGOMA-KAPEEKA-24h'!E49,'21.10 NGOMA KAPEEKA-24h'!E49,'23.10 NGOMA-KAPEEKA'!E49)</f>
        <v>0.2857142857142857</v>
      </c>
      <c r="F49" s="49">
        <f>AVERAGE('17.10 NGOMA-KAPEEKA'!F49,'18.10 NGOMA KAPEEKA'!F49,'20.10 NGOMA-KAPEEKA'!F49,'22.10 NGOMA-KAPEERA'!F49,'19.10 NGOMA-KAPEEKA-24h'!F49,'21.10 NGOMA KAPEEKA-24h'!F49,'23.10 NGOMA-KAPEEKA'!F49)</f>
        <v>0.14285714285714285</v>
      </c>
      <c r="G49" s="49">
        <f>AVERAGE('17.10 NGOMA-KAPEEKA'!G49,'18.10 NGOMA KAPEEKA'!G49,'20.10 NGOMA-KAPEEKA'!G49,'22.10 NGOMA-KAPEERA'!G49,'19.10 NGOMA-KAPEEKA-24h'!G49,'21.10 NGOMA KAPEEKA-24h'!G49,'23.10 NGOMA-KAPEEKA'!G49)</f>
        <v>0</v>
      </c>
      <c r="H49" s="49">
        <f>AVERAGE('17.10 NGOMA-KAPEEKA'!H49,'18.10 NGOMA KAPEEKA'!H49,'20.10 NGOMA-KAPEEKA'!H49,'22.10 NGOMA-KAPEERA'!H49,'19.10 NGOMA-KAPEEKA-24h'!H49,'21.10 NGOMA KAPEEKA-24h'!H49,'23.10 NGOMA-KAPEEKA'!H49)</f>
        <v>0</v>
      </c>
      <c r="I49" s="49">
        <f>AVERAGE('17.10 NGOMA-KAPEEKA'!I49,'18.10 NGOMA KAPEEKA'!I49,'20.10 NGOMA-KAPEEKA'!I49,'22.10 NGOMA-KAPEERA'!I49,'19.10 NGOMA-KAPEEKA-24h'!I49,'21.10 NGOMA KAPEEKA-24h'!I49,'23.10 NGOMA-KAPEEKA'!I49)</f>
        <v>0.42857142857142855</v>
      </c>
      <c r="J49" s="49">
        <f>AVERAGE('17.10 NGOMA-KAPEEKA'!J49,'18.10 NGOMA KAPEEKA'!J49,'20.10 NGOMA-KAPEEKA'!J49,'22.10 NGOMA-KAPEERA'!J49,'19.10 NGOMA-KAPEEKA-24h'!J49,'21.10 NGOMA KAPEEKA-24h'!J49,'23.10 NGOMA-KAPEEKA'!J49)</f>
        <v>0</v>
      </c>
      <c r="K49" s="49">
        <f>AVERAGE('17.10 NGOMA-KAPEEKA'!K49,'18.10 NGOMA KAPEEKA'!K49,'20.10 NGOMA-KAPEEKA'!K49,'22.10 NGOMA-KAPEERA'!K49,'19.10 NGOMA-KAPEEKA-24h'!K49,'21.10 NGOMA KAPEEKA-24h'!K49,'23.10 NGOMA-KAPEEKA'!K49)</f>
        <v>0.14285714285714285</v>
      </c>
      <c r="L49" s="49">
        <f>AVERAGE('17.10 NGOMA-KAPEEKA'!L49,'18.10 NGOMA KAPEEKA'!L49,'20.10 NGOMA-KAPEEKA'!L49,'22.10 NGOMA-KAPEERA'!L49,'19.10 NGOMA-KAPEEKA-24h'!L49,'21.10 NGOMA KAPEEKA-24h'!L49,'23.10 NGOMA-KAPEEKA'!L49)</f>
        <v>0.14285714285714285</v>
      </c>
      <c r="M49" s="49">
        <f>AVERAGE('17.10 NGOMA-KAPEEKA'!M49,'18.10 NGOMA KAPEEKA'!M49,'20.10 NGOMA-KAPEEKA'!M49,'22.10 NGOMA-KAPEERA'!M49,'19.10 NGOMA-KAPEEKA-24h'!M49,'21.10 NGOMA KAPEEKA-24h'!M49,'23.10 NGOMA-KAPEEKA'!M49)</f>
        <v>4.7142857142857144</v>
      </c>
      <c r="N49" s="49">
        <f>AVERAGE('17.10 NGOMA-KAPEEKA'!N49,'18.10 NGOMA KAPEEKA'!N49,'20.10 NGOMA-KAPEEKA'!N49,'22.10 NGOMA-KAPEERA'!N49,'19.10 NGOMA-KAPEEKA-24h'!N49,'21.10 NGOMA KAPEEKA-24h'!N49,'23.10 NGOMA-KAPEEKA'!N49)</f>
        <v>0.14285714285714285</v>
      </c>
      <c r="O49" s="15">
        <f t="shared" si="0"/>
        <v>3.1428571428571423</v>
      </c>
      <c r="P49" s="15">
        <f t="shared" si="1"/>
        <v>7.8571428571428568</v>
      </c>
      <c r="R49" s="8"/>
      <c r="T49"/>
    </row>
    <row r="50" spans="2:20" ht="23.1" customHeight="1" x14ac:dyDescent="0.25">
      <c r="B50" s="24" t="s">
        <v>77</v>
      </c>
      <c r="C50" s="49">
        <f>AVERAGE('17.10 NGOMA-KAPEEKA'!C50,'18.10 NGOMA KAPEEKA'!C50,'20.10 NGOMA-KAPEEKA'!C50,'22.10 NGOMA-KAPEERA'!C50,'19.10 NGOMA-KAPEEKA-24h'!C50,'21.10 NGOMA KAPEEKA-24h'!C50,'23.10 NGOMA-KAPEEKA'!C50)</f>
        <v>0.7142857142857143</v>
      </c>
      <c r="D50" s="49">
        <f>AVERAGE('17.10 NGOMA-KAPEEKA'!D50,'18.10 NGOMA KAPEEKA'!D50,'20.10 NGOMA-KAPEEKA'!D50,'22.10 NGOMA-KAPEERA'!D50,'19.10 NGOMA-KAPEEKA-24h'!D50,'21.10 NGOMA KAPEEKA-24h'!D50,'23.10 NGOMA-KAPEEKA'!D50)</f>
        <v>0.7142857142857143</v>
      </c>
      <c r="E50" s="49">
        <f>AVERAGE('17.10 NGOMA-KAPEEKA'!E50,'18.10 NGOMA KAPEEKA'!E50,'20.10 NGOMA-KAPEEKA'!E50,'22.10 NGOMA-KAPEERA'!E50,'19.10 NGOMA-KAPEEKA-24h'!E50,'21.10 NGOMA KAPEEKA-24h'!E50,'23.10 NGOMA-KAPEEKA'!E50)</f>
        <v>0.14285714285714285</v>
      </c>
      <c r="F50" s="49">
        <f>AVERAGE('17.10 NGOMA-KAPEEKA'!F50,'18.10 NGOMA KAPEEKA'!F50,'20.10 NGOMA-KAPEEKA'!F50,'22.10 NGOMA-KAPEERA'!F50,'19.10 NGOMA-KAPEEKA-24h'!F50,'21.10 NGOMA KAPEEKA-24h'!F50,'23.10 NGOMA-KAPEEKA'!F50)</f>
        <v>0.42857142857142855</v>
      </c>
      <c r="G50" s="49">
        <f>AVERAGE('17.10 NGOMA-KAPEEKA'!G50,'18.10 NGOMA KAPEEKA'!G50,'20.10 NGOMA-KAPEEKA'!G50,'22.10 NGOMA-KAPEERA'!G50,'19.10 NGOMA-KAPEEKA-24h'!G50,'21.10 NGOMA KAPEEKA-24h'!G50,'23.10 NGOMA-KAPEEKA'!G50)</f>
        <v>0</v>
      </c>
      <c r="H50" s="49">
        <f>AVERAGE('17.10 NGOMA-KAPEEKA'!H50,'18.10 NGOMA KAPEEKA'!H50,'20.10 NGOMA-KAPEEKA'!H50,'22.10 NGOMA-KAPEERA'!H50,'19.10 NGOMA-KAPEEKA-24h'!H50,'21.10 NGOMA KAPEEKA-24h'!H50,'23.10 NGOMA-KAPEEKA'!H50)</f>
        <v>0</v>
      </c>
      <c r="I50" s="49">
        <f>AVERAGE('17.10 NGOMA-KAPEEKA'!I50,'18.10 NGOMA KAPEEKA'!I50,'20.10 NGOMA-KAPEEKA'!I50,'22.10 NGOMA-KAPEERA'!I50,'19.10 NGOMA-KAPEEKA-24h'!I50,'21.10 NGOMA KAPEEKA-24h'!I50,'23.10 NGOMA-KAPEEKA'!I50)</f>
        <v>1</v>
      </c>
      <c r="J50" s="49">
        <f>AVERAGE('17.10 NGOMA-KAPEEKA'!J50,'18.10 NGOMA KAPEEKA'!J50,'20.10 NGOMA-KAPEEKA'!J50,'22.10 NGOMA-KAPEERA'!J50,'19.10 NGOMA-KAPEEKA-24h'!J50,'21.10 NGOMA KAPEEKA-24h'!J50,'23.10 NGOMA-KAPEEKA'!J50)</f>
        <v>0.14285714285714285</v>
      </c>
      <c r="K50" s="49">
        <f>AVERAGE('17.10 NGOMA-KAPEEKA'!K50,'18.10 NGOMA KAPEEKA'!K50,'20.10 NGOMA-KAPEEKA'!K50,'22.10 NGOMA-KAPEERA'!K50,'19.10 NGOMA-KAPEEKA-24h'!K50,'21.10 NGOMA KAPEEKA-24h'!K50,'23.10 NGOMA-KAPEEKA'!K50)</f>
        <v>0</v>
      </c>
      <c r="L50" s="49">
        <f>AVERAGE('17.10 NGOMA-KAPEEKA'!L50,'18.10 NGOMA KAPEEKA'!L50,'20.10 NGOMA-KAPEEKA'!L50,'22.10 NGOMA-KAPEERA'!L50,'19.10 NGOMA-KAPEEKA-24h'!L50,'21.10 NGOMA KAPEEKA-24h'!L50,'23.10 NGOMA-KAPEEKA'!L50)</f>
        <v>0</v>
      </c>
      <c r="M50" s="49">
        <f>AVERAGE('17.10 NGOMA-KAPEEKA'!M50,'18.10 NGOMA KAPEEKA'!M50,'20.10 NGOMA-KAPEEKA'!M50,'22.10 NGOMA-KAPEERA'!M50,'19.10 NGOMA-KAPEEKA-24h'!M50,'21.10 NGOMA KAPEEKA-24h'!M50,'23.10 NGOMA-KAPEEKA'!M50)</f>
        <v>3.8571428571428572</v>
      </c>
      <c r="N50" s="49">
        <f>AVERAGE('17.10 NGOMA-KAPEEKA'!N50,'18.10 NGOMA KAPEEKA'!N50,'20.10 NGOMA-KAPEEKA'!N50,'22.10 NGOMA-KAPEERA'!N50,'19.10 NGOMA-KAPEEKA-24h'!N50,'21.10 NGOMA KAPEEKA-24h'!N50,'23.10 NGOMA-KAPEEKA'!N50)</f>
        <v>0</v>
      </c>
      <c r="O50" s="15">
        <f t="shared" si="0"/>
        <v>3.1428571428571428</v>
      </c>
      <c r="P50" s="15">
        <f t="shared" si="1"/>
        <v>7</v>
      </c>
      <c r="R50" s="8"/>
      <c r="T50"/>
    </row>
    <row r="51" spans="2:20" ht="23.1" customHeight="1" x14ac:dyDescent="0.25">
      <c r="B51" s="24" t="s">
        <v>78</v>
      </c>
      <c r="C51" s="49">
        <f>AVERAGE('17.10 NGOMA-KAPEEKA'!C51,'18.10 NGOMA KAPEEKA'!C51,'20.10 NGOMA-KAPEEKA'!C51,'22.10 NGOMA-KAPEERA'!C51,'19.10 NGOMA-KAPEEKA-24h'!C51,'21.10 NGOMA KAPEEKA-24h'!C51,'23.10 NGOMA-KAPEEKA'!C51)</f>
        <v>0.42857142857142855</v>
      </c>
      <c r="D51" s="49">
        <f>AVERAGE('17.10 NGOMA-KAPEEKA'!D51,'18.10 NGOMA KAPEEKA'!D51,'20.10 NGOMA-KAPEEKA'!D51,'22.10 NGOMA-KAPEERA'!D51,'19.10 NGOMA-KAPEEKA-24h'!D51,'21.10 NGOMA KAPEEKA-24h'!D51,'23.10 NGOMA-KAPEEKA'!D51)</f>
        <v>0.2857142857142857</v>
      </c>
      <c r="E51" s="49">
        <f>AVERAGE('17.10 NGOMA-KAPEEKA'!E51,'18.10 NGOMA KAPEEKA'!E51,'20.10 NGOMA-KAPEEKA'!E51,'22.10 NGOMA-KAPEERA'!E51,'19.10 NGOMA-KAPEEKA-24h'!E51,'21.10 NGOMA KAPEEKA-24h'!E51,'23.10 NGOMA-KAPEEKA'!E51)</f>
        <v>0.14285714285714285</v>
      </c>
      <c r="F51" s="49">
        <f>AVERAGE('17.10 NGOMA-KAPEEKA'!F51,'18.10 NGOMA KAPEEKA'!F51,'20.10 NGOMA-KAPEEKA'!F51,'22.10 NGOMA-KAPEERA'!F51,'19.10 NGOMA-KAPEEKA-24h'!F51,'21.10 NGOMA KAPEEKA-24h'!F51,'23.10 NGOMA-KAPEEKA'!F51)</f>
        <v>0</v>
      </c>
      <c r="G51" s="49">
        <f>AVERAGE('17.10 NGOMA-KAPEEKA'!G51,'18.10 NGOMA KAPEEKA'!G51,'20.10 NGOMA-KAPEEKA'!G51,'22.10 NGOMA-KAPEERA'!G51,'19.10 NGOMA-KAPEEKA-24h'!G51,'21.10 NGOMA KAPEEKA-24h'!G51,'23.10 NGOMA-KAPEEKA'!G51)</f>
        <v>0</v>
      </c>
      <c r="H51" s="49">
        <f>AVERAGE('17.10 NGOMA-KAPEEKA'!H51,'18.10 NGOMA KAPEEKA'!H51,'20.10 NGOMA-KAPEEKA'!H51,'22.10 NGOMA-KAPEERA'!H51,'19.10 NGOMA-KAPEEKA-24h'!H51,'21.10 NGOMA KAPEEKA-24h'!H51,'23.10 NGOMA-KAPEEKA'!H51)</f>
        <v>0</v>
      </c>
      <c r="I51" s="49">
        <f>AVERAGE('17.10 NGOMA-KAPEEKA'!I51,'18.10 NGOMA KAPEEKA'!I51,'20.10 NGOMA-KAPEEKA'!I51,'22.10 NGOMA-KAPEERA'!I51,'19.10 NGOMA-KAPEEKA-24h'!I51,'21.10 NGOMA KAPEEKA-24h'!I51,'23.10 NGOMA-KAPEEKA'!I51)</f>
        <v>1.2857142857142858</v>
      </c>
      <c r="J51" s="49">
        <f>AVERAGE('17.10 NGOMA-KAPEEKA'!J51,'18.10 NGOMA KAPEEKA'!J51,'20.10 NGOMA-KAPEEKA'!J51,'22.10 NGOMA-KAPEERA'!J51,'19.10 NGOMA-KAPEEKA-24h'!J51,'21.10 NGOMA KAPEEKA-24h'!J51,'23.10 NGOMA-KAPEEKA'!J51)</f>
        <v>0.14285714285714285</v>
      </c>
      <c r="K51" s="49">
        <f>AVERAGE('17.10 NGOMA-KAPEEKA'!K51,'18.10 NGOMA KAPEEKA'!K51,'20.10 NGOMA-KAPEEKA'!K51,'22.10 NGOMA-KAPEERA'!K51,'19.10 NGOMA-KAPEEKA-24h'!K51,'21.10 NGOMA KAPEEKA-24h'!K51,'23.10 NGOMA-KAPEEKA'!K51)</f>
        <v>0</v>
      </c>
      <c r="L51" s="49">
        <f>AVERAGE('17.10 NGOMA-KAPEEKA'!L51,'18.10 NGOMA KAPEEKA'!L51,'20.10 NGOMA-KAPEEKA'!L51,'22.10 NGOMA-KAPEERA'!L51,'19.10 NGOMA-KAPEEKA-24h'!L51,'21.10 NGOMA KAPEEKA-24h'!L51,'23.10 NGOMA-KAPEEKA'!L51)</f>
        <v>0</v>
      </c>
      <c r="M51" s="49">
        <f>AVERAGE('17.10 NGOMA-KAPEEKA'!M51,'18.10 NGOMA KAPEEKA'!M51,'20.10 NGOMA-KAPEEKA'!M51,'22.10 NGOMA-KAPEERA'!M51,'19.10 NGOMA-KAPEEKA-24h'!M51,'21.10 NGOMA KAPEEKA-24h'!M51,'23.10 NGOMA-KAPEEKA'!M51)</f>
        <v>7</v>
      </c>
      <c r="N51" s="49">
        <f>AVERAGE('17.10 NGOMA-KAPEEKA'!N51,'18.10 NGOMA KAPEEKA'!N51,'20.10 NGOMA-KAPEEKA'!N51,'22.10 NGOMA-KAPEERA'!N51,'19.10 NGOMA-KAPEEKA-24h'!N51,'21.10 NGOMA KAPEEKA-24h'!N51,'23.10 NGOMA-KAPEEKA'!N51)</f>
        <v>0.5714285714285714</v>
      </c>
      <c r="O51" s="15">
        <f t="shared" si="0"/>
        <v>2.8571428571428568</v>
      </c>
      <c r="P51" s="15">
        <f t="shared" si="1"/>
        <v>9.8571428571428559</v>
      </c>
      <c r="R51" s="8"/>
      <c r="T51"/>
    </row>
    <row r="52" spans="2:20" ht="23.1" customHeight="1" x14ac:dyDescent="0.25">
      <c r="B52" s="24" t="s">
        <v>79</v>
      </c>
      <c r="C52" s="49">
        <f>AVERAGE('17.10 NGOMA-KAPEEKA'!C52,'18.10 NGOMA KAPEEKA'!C52,'20.10 NGOMA-KAPEEKA'!C52,'22.10 NGOMA-KAPEERA'!C52,'19.10 NGOMA-KAPEEKA-24h'!C52,'21.10 NGOMA KAPEEKA-24h'!C52,'23.10 NGOMA-KAPEEKA'!C52)</f>
        <v>0.2857142857142857</v>
      </c>
      <c r="D52" s="49">
        <f>AVERAGE('17.10 NGOMA-KAPEEKA'!D52,'18.10 NGOMA KAPEEKA'!D52,'20.10 NGOMA-KAPEEKA'!D52,'22.10 NGOMA-KAPEERA'!D52,'19.10 NGOMA-KAPEEKA-24h'!D52,'21.10 NGOMA KAPEEKA-24h'!D52,'23.10 NGOMA-KAPEEKA'!D52)</f>
        <v>0.2857142857142857</v>
      </c>
      <c r="E52" s="49">
        <f>AVERAGE('17.10 NGOMA-KAPEEKA'!E52,'18.10 NGOMA KAPEEKA'!E52,'20.10 NGOMA-KAPEEKA'!E52,'22.10 NGOMA-KAPEERA'!E52,'19.10 NGOMA-KAPEEKA-24h'!E52,'21.10 NGOMA KAPEEKA-24h'!E52,'23.10 NGOMA-KAPEEKA'!E52)</f>
        <v>0.5714285714285714</v>
      </c>
      <c r="F52" s="49">
        <f>AVERAGE('17.10 NGOMA-KAPEEKA'!F52,'18.10 NGOMA KAPEEKA'!F52,'20.10 NGOMA-KAPEEKA'!F52,'22.10 NGOMA-KAPEERA'!F52,'19.10 NGOMA-KAPEEKA-24h'!F52,'21.10 NGOMA KAPEEKA-24h'!F52,'23.10 NGOMA-KAPEEKA'!F52)</f>
        <v>0.2857142857142857</v>
      </c>
      <c r="G52" s="49">
        <f>AVERAGE('17.10 NGOMA-KAPEEKA'!G52,'18.10 NGOMA KAPEEKA'!G52,'20.10 NGOMA-KAPEEKA'!G52,'22.10 NGOMA-KAPEERA'!G52,'19.10 NGOMA-KAPEEKA-24h'!G52,'21.10 NGOMA KAPEEKA-24h'!G52,'23.10 NGOMA-KAPEEKA'!G52)</f>
        <v>0</v>
      </c>
      <c r="H52" s="49">
        <f>AVERAGE('17.10 NGOMA-KAPEEKA'!H52,'18.10 NGOMA KAPEEKA'!H52,'20.10 NGOMA-KAPEEKA'!H52,'22.10 NGOMA-KAPEERA'!H52,'19.10 NGOMA-KAPEEKA-24h'!H52,'21.10 NGOMA KAPEEKA-24h'!H52,'23.10 NGOMA-KAPEEKA'!H52)</f>
        <v>0</v>
      </c>
      <c r="I52" s="49">
        <f>AVERAGE('17.10 NGOMA-KAPEEKA'!I52,'18.10 NGOMA KAPEEKA'!I52,'20.10 NGOMA-KAPEEKA'!I52,'22.10 NGOMA-KAPEERA'!I52,'19.10 NGOMA-KAPEEKA-24h'!I52,'21.10 NGOMA KAPEEKA-24h'!I52,'23.10 NGOMA-KAPEEKA'!I52)</f>
        <v>1.1428571428571428</v>
      </c>
      <c r="J52" s="49">
        <f>AVERAGE('17.10 NGOMA-KAPEEKA'!J52,'18.10 NGOMA KAPEEKA'!J52,'20.10 NGOMA-KAPEEKA'!J52,'22.10 NGOMA-KAPEERA'!J52,'19.10 NGOMA-KAPEEKA-24h'!J52,'21.10 NGOMA KAPEEKA-24h'!J52,'23.10 NGOMA-KAPEEKA'!J52)</f>
        <v>0.14285714285714285</v>
      </c>
      <c r="K52" s="49">
        <f>AVERAGE('17.10 NGOMA-KAPEEKA'!K52,'18.10 NGOMA KAPEEKA'!K52,'20.10 NGOMA-KAPEEKA'!K52,'22.10 NGOMA-KAPEERA'!K52,'19.10 NGOMA-KAPEEKA-24h'!K52,'21.10 NGOMA KAPEEKA-24h'!K52,'23.10 NGOMA-KAPEEKA'!K52)</f>
        <v>0</v>
      </c>
      <c r="L52" s="49">
        <f>AVERAGE('17.10 NGOMA-KAPEEKA'!L52,'18.10 NGOMA KAPEEKA'!L52,'20.10 NGOMA-KAPEEKA'!L52,'22.10 NGOMA-KAPEERA'!L52,'19.10 NGOMA-KAPEEKA-24h'!L52,'21.10 NGOMA KAPEEKA-24h'!L52,'23.10 NGOMA-KAPEEKA'!L52)</f>
        <v>0.14285714285714285</v>
      </c>
      <c r="M52" s="49">
        <f>AVERAGE('17.10 NGOMA-KAPEEKA'!M52,'18.10 NGOMA KAPEEKA'!M52,'20.10 NGOMA-KAPEEKA'!M52,'22.10 NGOMA-KAPEERA'!M52,'19.10 NGOMA-KAPEEKA-24h'!M52,'21.10 NGOMA KAPEEKA-24h'!M52,'23.10 NGOMA-KAPEEKA'!M52)</f>
        <v>4.1428571428571432</v>
      </c>
      <c r="N52" s="49">
        <f>AVERAGE('17.10 NGOMA-KAPEEKA'!N52,'18.10 NGOMA KAPEEKA'!N52,'20.10 NGOMA-KAPEEKA'!N52,'22.10 NGOMA-KAPEERA'!N52,'19.10 NGOMA-KAPEEKA-24h'!N52,'21.10 NGOMA KAPEEKA-24h'!N52,'23.10 NGOMA-KAPEEKA'!N52)</f>
        <v>0.7142857142857143</v>
      </c>
      <c r="O52" s="15">
        <f t="shared" si="0"/>
        <v>3.5714285714285712</v>
      </c>
      <c r="P52" s="15">
        <f t="shared" si="1"/>
        <v>7.7142857142857144</v>
      </c>
      <c r="R52" s="8"/>
      <c r="T52"/>
    </row>
    <row r="53" spans="2:20" ht="23.1" customHeight="1" x14ac:dyDescent="0.25">
      <c r="B53" s="23" t="s">
        <v>80</v>
      </c>
      <c r="C53" s="49">
        <f>AVERAGE('17.10 NGOMA-KAPEEKA'!C53,'18.10 NGOMA KAPEEKA'!C53,'20.10 NGOMA-KAPEEKA'!C53,'22.10 NGOMA-KAPEERA'!C53,'19.10 NGOMA-KAPEEKA-24h'!C53,'21.10 NGOMA KAPEEKA-24h'!C53,'23.10 NGOMA-KAPEEKA'!C53)</f>
        <v>0.8571428571428571</v>
      </c>
      <c r="D53" s="49">
        <f>AVERAGE('17.10 NGOMA-KAPEEKA'!D53,'18.10 NGOMA KAPEEKA'!D53,'20.10 NGOMA-KAPEEKA'!D53,'22.10 NGOMA-KAPEERA'!D53,'19.10 NGOMA-KAPEEKA-24h'!D53,'21.10 NGOMA KAPEEKA-24h'!D53,'23.10 NGOMA-KAPEEKA'!D53)</f>
        <v>0.42857142857142855</v>
      </c>
      <c r="E53" s="49">
        <f>AVERAGE('17.10 NGOMA-KAPEEKA'!E53,'18.10 NGOMA KAPEEKA'!E53,'20.10 NGOMA-KAPEEKA'!E53,'22.10 NGOMA-KAPEERA'!E53,'19.10 NGOMA-KAPEEKA-24h'!E53,'21.10 NGOMA KAPEEKA-24h'!E53,'23.10 NGOMA-KAPEEKA'!E53)</f>
        <v>0.2857142857142857</v>
      </c>
      <c r="F53" s="49">
        <f>AVERAGE('17.10 NGOMA-KAPEEKA'!F53,'18.10 NGOMA KAPEEKA'!F53,'20.10 NGOMA-KAPEEKA'!F53,'22.10 NGOMA-KAPEERA'!F53,'19.10 NGOMA-KAPEEKA-24h'!F53,'21.10 NGOMA KAPEEKA-24h'!F53,'23.10 NGOMA-KAPEEKA'!F53)</f>
        <v>0.42857142857142855</v>
      </c>
      <c r="G53" s="49">
        <f>AVERAGE('17.10 NGOMA-KAPEEKA'!G53,'18.10 NGOMA KAPEEKA'!G53,'20.10 NGOMA-KAPEEKA'!G53,'22.10 NGOMA-KAPEERA'!G53,'19.10 NGOMA-KAPEEKA-24h'!G53,'21.10 NGOMA KAPEEKA-24h'!G53,'23.10 NGOMA-KAPEEKA'!G53)</f>
        <v>0</v>
      </c>
      <c r="H53" s="49">
        <f>AVERAGE('17.10 NGOMA-KAPEEKA'!H53,'18.10 NGOMA KAPEEKA'!H53,'20.10 NGOMA-KAPEEKA'!H53,'22.10 NGOMA-KAPEERA'!H53,'19.10 NGOMA-KAPEEKA-24h'!H53,'21.10 NGOMA KAPEEKA-24h'!H53,'23.10 NGOMA-KAPEEKA'!H53)</f>
        <v>0</v>
      </c>
      <c r="I53" s="49">
        <f>AVERAGE('17.10 NGOMA-KAPEEKA'!I53,'18.10 NGOMA KAPEEKA'!I53,'20.10 NGOMA-KAPEEKA'!I53,'22.10 NGOMA-KAPEERA'!I53,'19.10 NGOMA-KAPEEKA-24h'!I53,'21.10 NGOMA KAPEEKA-24h'!I53,'23.10 NGOMA-KAPEEKA'!I53)</f>
        <v>0.8571428571428571</v>
      </c>
      <c r="J53" s="49">
        <f>AVERAGE('17.10 NGOMA-KAPEEKA'!J53,'18.10 NGOMA KAPEEKA'!J53,'20.10 NGOMA-KAPEEKA'!J53,'22.10 NGOMA-KAPEERA'!J53,'19.10 NGOMA-KAPEEKA-24h'!J53,'21.10 NGOMA KAPEEKA-24h'!J53,'23.10 NGOMA-KAPEEKA'!J53)</f>
        <v>0.14285714285714285</v>
      </c>
      <c r="K53" s="49">
        <f>AVERAGE('17.10 NGOMA-KAPEEKA'!K53,'18.10 NGOMA KAPEEKA'!K53,'20.10 NGOMA-KAPEEKA'!K53,'22.10 NGOMA-KAPEERA'!K53,'19.10 NGOMA-KAPEEKA-24h'!K53,'21.10 NGOMA KAPEEKA-24h'!K53,'23.10 NGOMA-KAPEEKA'!K53)</f>
        <v>0</v>
      </c>
      <c r="L53" s="49">
        <f>AVERAGE('17.10 NGOMA-KAPEEKA'!L53,'18.10 NGOMA KAPEEKA'!L53,'20.10 NGOMA-KAPEEKA'!L53,'22.10 NGOMA-KAPEERA'!L53,'19.10 NGOMA-KAPEEKA-24h'!L53,'21.10 NGOMA KAPEEKA-24h'!L53,'23.10 NGOMA-KAPEEKA'!L53)</f>
        <v>0</v>
      </c>
      <c r="M53" s="49">
        <f>AVERAGE('17.10 NGOMA-KAPEEKA'!M53,'18.10 NGOMA KAPEEKA'!M53,'20.10 NGOMA-KAPEEKA'!M53,'22.10 NGOMA-KAPEERA'!M53,'19.10 NGOMA-KAPEEKA-24h'!M53,'21.10 NGOMA KAPEEKA-24h'!M53,'23.10 NGOMA-KAPEEKA'!M53)</f>
        <v>5.1428571428571432</v>
      </c>
      <c r="N53" s="49">
        <f>AVERAGE('17.10 NGOMA-KAPEEKA'!N53,'18.10 NGOMA KAPEEKA'!N53,'20.10 NGOMA-KAPEEKA'!N53,'22.10 NGOMA-KAPEERA'!N53,'19.10 NGOMA-KAPEEKA-24h'!N53,'21.10 NGOMA KAPEEKA-24h'!N53,'23.10 NGOMA-KAPEEKA'!N53)</f>
        <v>0.14285714285714285</v>
      </c>
      <c r="O53" s="15">
        <f t="shared" si="0"/>
        <v>3.1428571428571423</v>
      </c>
      <c r="P53" s="15">
        <f t="shared" si="1"/>
        <v>8.2857142857142847</v>
      </c>
      <c r="R53" s="8"/>
      <c r="T53"/>
    </row>
    <row r="54" spans="2:20" ht="23.1" customHeight="1" x14ac:dyDescent="0.25">
      <c r="B54" s="23" t="s">
        <v>81</v>
      </c>
      <c r="C54" s="49">
        <f>AVERAGE('17.10 NGOMA-KAPEEKA'!C54,'18.10 NGOMA KAPEEKA'!C54,'20.10 NGOMA-KAPEEKA'!C54,'22.10 NGOMA-KAPEERA'!C54,'19.10 NGOMA-KAPEEKA-24h'!C54,'21.10 NGOMA KAPEEKA-24h'!C54,'23.10 NGOMA-KAPEEKA'!C54)</f>
        <v>0.7142857142857143</v>
      </c>
      <c r="D54" s="49">
        <f>AVERAGE('17.10 NGOMA-KAPEEKA'!D54,'18.10 NGOMA KAPEEKA'!D54,'20.10 NGOMA-KAPEEKA'!D54,'22.10 NGOMA-KAPEERA'!D54,'19.10 NGOMA-KAPEEKA-24h'!D54,'21.10 NGOMA KAPEEKA-24h'!D54,'23.10 NGOMA-KAPEEKA'!D54)</f>
        <v>0</v>
      </c>
      <c r="E54" s="49">
        <f>AVERAGE('17.10 NGOMA-KAPEEKA'!E54,'18.10 NGOMA KAPEEKA'!E54,'20.10 NGOMA-KAPEEKA'!E54,'22.10 NGOMA-KAPEERA'!E54,'19.10 NGOMA-KAPEEKA-24h'!E54,'21.10 NGOMA KAPEEKA-24h'!E54,'23.10 NGOMA-KAPEEKA'!E54)</f>
        <v>0.5714285714285714</v>
      </c>
      <c r="F54" s="49">
        <f>AVERAGE('17.10 NGOMA-KAPEEKA'!F54,'18.10 NGOMA KAPEEKA'!F54,'20.10 NGOMA-KAPEEKA'!F54,'22.10 NGOMA-KAPEERA'!F54,'19.10 NGOMA-KAPEEKA-24h'!F54,'21.10 NGOMA KAPEEKA-24h'!F54,'23.10 NGOMA-KAPEEKA'!F54)</f>
        <v>0.2857142857142857</v>
      </c>
      <c r="G54" s="49">
        <f>AVERAGE('17.10 NGOMA-KAPEEKA'!G54,'18.10 NGOMA KAPEEKA'!G54,'20.10 NGOMA-KAPEEKA'!G54,'22.10 NGOMA-KAPEERA'!G54,'19.10 NGOMA-KAPEEKA-24h'!G54,'21.10 NGOMA KAPEEKA-24h'!G54,'23.10 NGOMA-KAPEEKA'!G54)</f>
        <v>0</v>
      </c>
      <c r="H54" s="49">
        <f>AVERAGE('17.10 NGOMA-KAPEEKA'!H54,'18.10 NGOMA KAPEEKA'!H54,'20.10 NGOMA-KAPEEKA'!H54,'22.10 NGOMA-KAPEERA'!H54,'19.10 NGOMA-KAPEEKA-24h'!H54,'21.10 NGOMA KAPEEKA-24h'!H54,'23.10 NGOMA-KAPEEKA'!H54)</f>
        <v>0</v>
      </c>
      <c r="I54" s="49">
        <f>AVERAGE('17.10 NGOMA-KAPEEKA'!I54,'18.10 NGOMA KAPEEKA'!I54,'20.10 NGOMA-KAPEEKA'!I54,'22.10 NGOMA-KAPEERA'!I54,'19.10 NGOMA-KAPEEKA-24h'!I54,'21.10 NGOMA KAPEEKA-24h'!I54,'23.10 NGOMA-KAPEEKA'!I54)</f>
        <v>1.4285714285714286</v>
      </c>
      <c r="J54" s="49">
        <f>AVERAGE('17.10 NGOMA-KAPEEKA'!J54,'18.10 NGOMA KAPEEKA'!J54,'20.10 NGOMA-KAPEEKA'!J54,'22.10 NGOMA-KAPEERA'!J54,'19.10 NGOMA-KAPEEKA-24h'!J54,'21.10 NGOMA KAPEEKA-24h'!J54,'23.10 NGOMA-KAPEEKA'!J54)</f>
        <v>0.5714285714285714</v>
      </c>
      <c r="K54" s="49">
        <f>AVERAGE('17.10 NGOMA-KAPEEKA'!K54,'18.10 NGOMA KAPEEKA'!K54,'20.10 NGOMA-KAPEEKA'!K54,'22.10 NGOMA-KAPEERA'!K54,'19.10 NGOMA-KAPEEKA-24h'!K54,'21.10 NGOMA KAPEEKA-24h'!K54,'23.10 NGOMA-KAPEEKA'!K54)</f>
        <v>0.14285714285714285</v>
      </c>
      <c r="L54" s="49">
        <f>AVERAGE('17.10 NGOMA-KAPEEKA'!L54,'18.10 NGOMA KAPEEKA'!L54,'20.10 NGOMA-KAPEEKA'!L54,'22.10 NGOMA-KAPEERA'!L54,'19.10 NGOMA-KAPEEKA-24h'!L54,'21.10 NGOMA KAPEEKA-24h'!L54,'23.10 NGOMA-KAPEEKA'!L54)</f>
        <v>0</v>
      </c>
      <c r="M54" s="49">
        <f>AVERAGE('17.10 NGOMA-KAPEEKA'!M54,'18.10 NGOMA KAPEEKA'!M54,'20.10 NGOMA-KAPEEKA'!M54,'22.10 NGOMA-KAPEERA'!M54,'19.10 NGOMA-KAPEEKA-24h'!M54,'21.10 NGOMA KAPEEKA-24h'!M54,'23.10 NGOMA-KAPEEKA'!M54)</f>
        <v>8</v>
      </c>
      <c r="N54" s="49">
        <f>AVERAGE('17.10 NGOMA-KAPEEKA'!N54,'18.10 NGOMA KAPEEKA'!N54,'20.10 NGOMA-KAPEEKA'!N54,'22.10 NGOMA-KAPEERA'!N54,'19.10 NGOMA-KAPEEKA-24h'!N54,'21.10 NGOMA KAPEEKA-24h'!N54,'23.10 NGOMA-KAPEEKA'!N54)</f>
        <v>0</v>
      </c>
      <c r="O54" s="15">
        <f t="shared" si="0"/>
        <v>3.714285714285714</v>
      </c>
      <c r="P54" s="15">
        <f t="shared" si="1"/>
        <v>11.714285714285714</v>
      </c>
      <c r="R54" s="8"/>
      <c r="T54"/>
    </row>
    <row r="55" spans="2:20" ht="23.1" customHeight="1" x14ac:dyDescent="0.25">
      <c r="B55" s="23" t="s">
        <v>82</v>
      </c>
      <c r="C55" s="49">
        <f>AVERAGE('17.10 NGOMA-KAPEEKA'!C55,'18.10 NGOMA KAPEEKA'!C55,'20.10 NGOMA-KAPEEKA'!C55,'22.10 NGOMA-KAPEERA'!C55,'19.10 NGOMA-KAPEEKA-24h'!C55,'21.10 NGOMA KAPEEKA-24h'!C55,'23.10 NGOMA-KAPEEKA'!C55)</f>
        <v>0.7142857142857143</v>
      </c>
      <c r="D55" s="49">
        <f>AVERAGE('17.10 NGOMA-KAPEEKA'!D55,'18.10 NGOMA KAPEEKA'!D55,'20.10 NGOMA-KAPEEKA'!D55,'22.10 NGOMA-KAPEERA'!D55,'19.10 NGOMA-KAPEEKA-24h'!D55,'21.10 NGOMA KAPEEKA-24h'!D55,'23.10 NGOMA-KAPEEKA'!D55)</f>
        <v>0.14285714285714285</v>
      </c>
      <c r="E55" s="49">
        <f>AVERAGE('17.10 NGOMA-KAPEEKA'!E55,'18.10 NGOMA KAPEEKA'!E55,'20.10 NGOMA-KAPEEKA'!E55,'22.10 NGOMA-KAPEERA'!E55,'19.10 NGOMA-KAPEEKA-24h'!E55,'21.10 NGOMA KAPEEKA-24h'!E55,'23.10 NGOMA-KAPEEKA'!E55)</f>
        <v>0.5714285714285714</v>
      </c>
      <c r="F55" s="49">
        <f>AVERAGE('17.10 NGOMA-KAPEEKA'!F55,'18.10 NGOMA KAPEEKA'!F55,'20.10 NGOMA-KAPEEKA'!F55,'22.10 NGOMA-KAPEERA'!F55,'19.10 NGOMA-KAPEEKA-24h'!F55,'21.10 NGOMA KAPEEKA-24h'!F55,'23.10 NGOMA-KAPEEKA'!F55)</f>
        <v>0.42857142857142855</v>
      </c>
      <c r="G55" s="49">
        <f>AVERAGE('17.10 NGOMA-KAPEEKA'!G55,'18.10 NGOMA KAPEEKA'!G55,'20.10 NGOMA-KAPEEKA'!G55,'22.10 NGOMA-KAPEERA'!G55,'19.10 NGOMA-KAPEEKA-24h'!G55,'21.10 NGOMA KAPEEKA-24h'!G55,'23.10 NGOMA-KAPEEKA'!G55)</f>
        <v>0</v>
      </c>
      <c r="H55" s="49">
        <f>AVERAGE('17.10 NGOMA-KAPEEKA'!H55,'18.10 NGOMA KAPEEKA'!H55,'20.10 NGOMA-KAPEEKA'!H55,'22.10 NGOMA-KAPEERA'!H55,'19.10 NGOMA-KAPEEKA-24h'!H55,'21.10 NGOMA KAPEEKA-24h'!H55,'23.10 NGOMA-KAPEEKA'!H55)</f>
        <v>0</v>
      </c>
      <c r="I55" s="49">
        <f>AVERAGE('17.10 NGOMA-KAPEEKA'!I55,'18.10 NGOMA KAPEEKA'!I55,'20.10 NGOMA-KAPEEKA'!I55,'22.10 NGOMA-KAPEERA'!I55,'19.10 NGOMA-KAPEEKA-24h'!I55,'21.10 NGOMA KAPEEKA-24h'!I55,'23.10 NGOMA-KAPEEKA'!I55)</f>
        <v>1.1428571428571428</v>
      </c>
      <c r="J55" s="49">
        <f>AVERAGE('17.10 NGOMA-KAPEEKA'!J55,'18.10 NGOMA KAPEEKA'!J55,'20.10 NGOMA-KAPEEKA'!J55,'22.10 NGOMA-KAPEERA'!J55,'19.10 NGOMA-KAPEEKA-24h'!J55,'21.10 NGOMA KAPEEKA-24h'!J55,'23.10 NGOMA-KAPEEKA'!J55)</f>
        <v>0.2857142857142857</v>
      </c>
      <c r="K55" s="49">
        <f>AVERAGE('17.10 NGOMA-KAPEEKA'!K55,'18.10 NGOMA KAPEEKA'!K55,'20.10 NGOMA-KAPEEKA'!K55,'22.10 NGOMA-KAPEERA'!K55,'19.10 NGOMA-KAPEEKA-24h'!K55,'21.10 NGOMA KAPEEKA-24h'!K55,'23.10 NGOMA-KAPEEKA'!K55)</f>
        <v>0</v>
      </c>
      <c r="L55" s="49">
        <f>AVERAGE('17.10 NGOMA-KAPEEKA'!L55,'18.10 NGOMA KAPEEKA'!L55,'20.10 NGOMA-KAPEEKA'!L55,'22.10 NGOMA-KAPEERA'!L55,'19.10 NGOMA-KAPEEKA-24h'!L55,'21.10 NGOMA KAPEEKA-24h'!L55,'23.10 NGOMA-KAPEEKA'!L55)</f>
        <v>0</v>
      </c>
      <c r="M55" s="49">
        <f>AVERAGE('17.10 NGOMA-KAPEEKA'!M55,'18.10 NGOMA KAPEEKA'!M55,'20.10 NGOMA-KAPEEKA'!M55,'22.10 NGOMA-KAPEERA'!M55,'19.10 NGOMA-KAPEEKA-24h'!M55,'21.10 NGOMA KAPEEKA-24h'!M55,'23.10 NGOMA-KAPEEKA'!M55)</f>
        <v>5.2857142857142856</v>
      </c>
      <c r="N55" s="49">
        <f>AVERAGE('17.10 NGOMA-KAPEEKA'!N55,'18.10 NGOMA KAPEEKA'!N55,'20.10 NGOMA-KAPEEKA'!N55,'22.10 NGOMA-KAPEERA'!N55,'19.10 NGOMA-KAPEEKA-24h'!N55,'21.10 NGOMA KAPEEKA-24h'!N55,'23.10 NGOMA-KAPEEKA'!N55)</f>
        <v>0</v>
      </c>
      <c r="O55" s="15">
        <f t="shared" si="0"/>
        <v>3.2857142857142856</v>
      </c>
      <c r="P55" s="15">
        <f t="shared" si="1"/>
        <v>8.5714285714285712</v>
      </c>
      <c r="R55" s="8"/>
      <c r="T55"/>
    </row>
    <row r="56" spans="2:20" ht="23.1" customHeight="1" x14ac:dyDescent="0.25">
      <c r="B56" s="23" t="s">
        <v>83</v>
      </c>
      <c r="C56" s="49">
        <f>AVERAGE('17.10 NGOMA-KAPEEKA'!C56,'18.10 NGOMA KAPEEKA'!C56,'20.10 NGOMA-KAPEEKA'!C56,'22.10 NGOMA-KAPEERA'!C56,'19.10 NGOMA-KAPEEKA-24h'!C56,'21.10 NGOMA KAPEEKA-24h'!C56,'23.10 NGOMA-KAPEEKA'!C56)</f>
        <v>0.7142857142857143</v>
      </c>
      <c r="D56" s="49">
        <f>AVERAGE('17.10 NGOMA-KAPEEKA'!D56,'18.10 NGOMA KAPEEKA'!D56,'20.10 NGOMA-KAPEEKA'!D56,'22.10 NGOMA-KAPEERA'!D56,'19.10 NGOMA-KAPEEKA-24h'!D56,'21.10 NGOMA KAPEEKA-24h'!D56,'23.10 NGOMA-KAPEEKA'!D56)</f>
        <v>0</v>
      </c>
      <c r="E56" s="49">
        <f>AVERAGE('17.10 NGOMA-KAPEEKA'!E56,'18.10 NGOMA KAPEEKA'!E56,'20.10 NGOMA-KAPEEKA'!E56,'22.10 NGOMA-KAPEERA'!E56,'19.10 NGOMA-KAPEEKA-24h'!E56,'21.10 NGOMA KAPEEKA-24h'!E56,'23.10 NGOMA-KAPEEKA'!E56)</f>
        <v>0.2857142857142857</v>
      </c>
      <c r="F56" s="49">
        <f>AVERAGE('17.10 NGOMA-KAPEEKA'!F56,'18.10 NGOMA KAPEEKA'!F56,'20.10 NGOMA-KAPEEKA'!F56,'22.10 NGOMA-KAPEERA'!F56,'19.10 NGOMA-KAPEEKA-24h'!F56,'21.10 NGOMA KAPEEKA-24h'!F56,'23.10 NGOMA-KAPEEKA'!F56)</f>
        <v>0.5714285714285714</v>
      </c>
      <c r="G56" s="49">
        <f>AVERAGE('17.10 NGOMA-KAPEEKA'!G56,'18.10 NGOMA KAPEEKA'!G56,'20.10 NGOMA-KAPEEKA'!G56,'22.10 NGOMA-KAPEERA'!G56,'19.10 NGOMA-KAPEEKA-24h'!G56,'21.10 NGOMA KAPEEKA-24h'!G56,'23.10 NGOMA-KAPEEKA'!G56)</f>
        <v>0.2857142857142857</v>
      </c>
      <c r="H56" s="49">
        <f>AVERAGE('17.10 NGOMA-KAPEEKA'!H56,'18.10 NGOMA KAPEEKA'!H56,'20.10 NGOMA-KAPEEKA'!H56,'22.10 NGOMA-KAPEERA'!H56,'19.10 NGOMA-KAPEEKA-24h'!H56,'21.10 NGOMA KAPEEKA-24h'!H56,'23.10 NGOMA-KAPEEKA'!H56)</f>
        <v>0</v>
      </c>
      <c r="I56" s="49">
        <f>AVERAGE('17.10 NGOMA-KAPEEKA'!I56,'18.10 NGOMA KAPEEKA'!I56,'20.10 NGOMA-KAPEEKA'!I56,'22.10 NGOMA-KAPEERA'!I56,'19.10 NGOMA-KAPEEKA-24h'!I56,'21.10 NGOMA KAPEEKA-24h'!I56,'23.10 NGOMA-KAPEEKA'!I56)</f>
        <v>0.5714285714285714</v>
      </c>
      <c r="J56" s="49">
        <f>AVERAGE('17.10 NGOMA-KAPEEKA'!J56,'18.10 NGOMA KAPEEKA'!J56,'20.10 NGOMA-KAPEEKA'!J56,'22.10 NGOMA-KAPEERA'!J56,'19.10 NGOMA-KAPEEKA-24h'!J56,'21.10 NGOMA KAPEEKA-24h'!J56,'23.10 NGOMA-KAPEEKA'!J56)</f>
        <v>0.5714285714285714</v>
      </c>
      <c r="K56" s="49">
        <f>AVERAGE('17.10 NGOMA-KAPEEKA'!K56,'18.10 NGOMA KAPEEKA'!K56,'20.10 NGOMA-KAPEEKA'!K56,'22.10 NGOMA-KAPEERA'!K56,'19.10 NGOMA-KAPEEKA-24h'!K56,'21.10 NGOMA KAPEEKA-24h'!K56,'23.10 NGOMA-KAPEEKA'!K56)</f>
        <v>0</v>
      </c>
      <c r="L56" s="49">
        <f>AVERAGE('17.10 NGOMA-KAPEEKA'!L56,'18.10 NGOMA KAPEEKA'!L56,'20.10 NGOMA-KAPEEKA'!L56,'22.10 NGOMA-KAPEERA'!L56,'19.10 NGOMA-KAPEEKA-24h'!L56,'21.10 NGOMA KAPEEKA-24h'!L56,'23.10 NGOMA-KAPEEKA'!L56)</f>
        <v>0</v>
      </c>
      <c r="M56" s="49">
        <f>AVERAGE('17.10 NGOMA-KAPEEKA'!M56,'18.10 NGOMA KAPEEKA'!M56,'20.10 NGOMA-KAPEEKA'!M56,'22.10 NGOMA-KAPEERA'!M56,'19.10 NGOMA-KAPEEKA-24h'!M56,'21.10 NGOMA KAPEEKA-24h'!M56,'23.10 NGOMA-KAPEEKA'!M56)</f>
        <v>5.1428571428571432</v>
      </c>
      <c r="N56" s="49">
        <f>AVERAGE('17.10 NGOMA-KAPEEKA'!N56,'18.10 NGOMA KAPEEKA'!N56,'20.10 NGOMA-KAPEEKA'!N56,'22.10 NGOMA-KAPEERA'!N56,'19.10 NGOMA-KAPEEKA-24h'!N56,'21.10 NGOMA KAPEEKA-24h'!N56,'23.10 NGOMA-KAPEEKA'!N56)</f>
        <v>0</v>
      </c>
      <c r="O56" s="15">
        <f t="shared" si="0"/>
        <v>3</v>
      </c>
      <c r="P56" s="15">
        <f t="shared" si="1"/>
        <v>8.1428571428571423</v>
      </c>
      <c r="R56" s="8"/>
      <c r="T56"/>
    </row>
    <row r="57" spans="2:20" ht="23.1" customHeight="1" x14ac:dyDescent="0.25">
      <c r="B57" s="23" t="s">
        <v>84</v>
      </c>
      <c r="C57" s="49">
        <f>AVERAGE('17.10 NGOMA-KAPEEKA'!C57,'18.10 NGOMA KAPEEKA'!C57,'20.10 NGOMA-KAPEEKA'!C57,'22.10 NGOMA-KAPEERA'!C57,'19.10 NGOMA-KAPEEKA-24h'!C57,'21.10 NGOMA KAPEEKA-24h'!C57,'23.10 NGOMA-KAPEEKA'!C57)</f>
        <v>1.1428571428571428</v>
      </c>
      <c r="D57" s="49">
        <f>AVERAGE('17.10 NGOMA-KAPEEKA'!D57,'18.10 NGOMA KAPEEKA'!D57,'20.10 NGOMA-KAPEEKA'!D57,'22.10 NGOMA-KAPEERA'!D57,'19.10 NGOMA-KAPEEKA-24h'!D57,'21.10 NGOMA KAPEEKA-24h'!D57,'23.10 NGOMA-KAPEEKA'!D57)</f>
        <v>1.4285714285714286</v>
      </c>
      <c r="E57" s="49">
        <f>AVERAGE('17.10 NGOMA-KAPEEKA'!E57,'18.10 NGOMA KAPEEKA'!E57,'20.10 NGOMA-KAPEEKA'!E57,'22.10 NGOMA-KAPEERA'!E57,'19.10 NGOMA-KAPEEKA-24h'!E57,'21.10 NGOMA KAPEEKA-24h'!E57,'23.10 NGOMA-KAPEEKA'!E57)</f>
        <v>0.2857142857142857</v>
      </c>
      <c r="F57" s="49">
        <f>AVERAGE('17.10 NGOMA-KAPEEKA'!F57,'18.10 NGOMA KAPEEKA'!F57,'20.10 NGOMA-KAPEEKA'!F57,'22.10 NGOMA-KAPEERA'!F57,'19.10 NGOMA-KAPEEKA-24h'!F57,'21.10 NGOMA KAPEEKA-24h'!F57,'23.10 NGOMA-KAPEEKA'!F57)</f>
        <v>0.42857142857142855</v>
      </c>
      <c r="G57" s="49">
        <f>AVERAGE('17.10 NGOMA-KAPEEKA'!G57,'18.10 NGOMA KAPEEKA'!G57,'20.10 NGOMA-KAPEEKA'!G57,'22.10 NGOMA-KAPEERA'!G57,'19.10 NGOMA-KAPEEKA-24h'!G57,'21.10 NGOMA KAPEEKA-24h'!G57,'23.10 NGOMA-KAPEEKA'!G57)</f>
        <v>0</v>
      </c>
      <c r="H57" s="49">
        <f>AVERAGE('17.10 NGOMA-KAPEEKA'!H57,'18.10 NGOMA KAPEEKA'!H57,'20.10 NGOMA-KAPEEKA'!H57,'22.10 NGOMA-KAPEERA'!H57,'19.10 NGOMA-KAPEEKA-24h'!H57,'21.10 NGOMA KAPEEKA-24h'!H57,'23.10 NGOMA-KAPEEKA'!H57)</f>
        <v>0.2857142857142857</v>
      </c>
      <c r="I57" s="49">
        <f>AVERAGE('17.10 NGOMA-KAPEEKA'!I57,'18.10 NGOMA KAPEEKA'!I57,'20.10 NGOMA-KAPEEKA'!I57,'22.10 NGOMA-KAPEERA'!I57,'19.10 NGOMA-KAPEEKA-24h'!I57,'21.10 NGOMA KAPEEKA-24h'!I57,'23.10 NGOMA-KAPEEKA'!I57)</f>
        <v>0.7142857142857143</v>
      </c>
      <c r="J57" s="49">
        <f>AVERAGE('17.10 NGOMA-KAPEEKA'!J57,'18.10 NGOMA KAPEEKA'!J57,'20.10 NGOMA-KAPEEKA'!J57,'22.10 NGOMA-KAPEERA'!J57,'19.10 NGOMA-KAPEEKA-24h'!J57,'21.10 NGOMA KAPEEKA-24h'!J57,'23.10 NGOMA-KAPEEKA'!J57)</f>
        <v>0.14285714285714285</v>
      </c>
      <c r="K57" s="49">
        <f>AVERAGE('17.10 NGOMA-KAPEEKA'!K57,'18.10 NGOMA KAPEEKA'!K57,'20.10 NGOMA-KAPEEKA'!K57,'22.10 NGOMA-KAPEERA'!K57,'19.10 NGOMA-KAPEEKA-24h'!K57,'21.10 NGOMA KAPEEKA-24h'!K57,'23.10 NGOMA-KAPEEKA'!K57)</f>
        <v>0</v>
      </c>
      <c r="L57" s="49">
        <f>AVERAGE('17.10 NGOMA-KAPEEKA'!L57,'18.10 NGOMA KAPEEKA'!L57,'20.10 NGOMA-KAPEEKA'!L57,'22.10 NGOMA-KAPEERA'!L57,'19.10 NGOMA-KAPEEKA-24h'!L57,'21.10 NGOMA KAPEEKA-24h'!L57,'23.10 NGOMA-KAPEEKA'!L57)</f>
        <v>0</v>
      </c>
      <c r="M57" s="49">
        <f>AVERAGE('17.10 NGOMA-KAPEEKA'!M57,'18.10 NGOMA KAPEEKA'!M57,'20.10 NGOMA-KAPEEKA'!M57,'22.10 NGOMA-KAPEERA'!M57,'19.10 NGOMA-KAPEEKA-24h'!M57,'21.10 NGOMA KAPEEKA-24h'!M57,'23.10 NGOMA-KAPEEKA'!M57)</f>
        <v>5.166666666666667</v>
      </c>
      <c r="N57" s="49">
        <f>AVERAGE('17.10 NGOMA-KAPEEKA'!N57,'18.10 NGOMA KAPEEKA'!N57,'20.10 NGOMA-KAPEEKA'!N57,'22.10 NGOMA-KAPEERA'!N57,'19.10 NGOMA-KAPEEKA-24h'!N57,'21.10 NGOMA KAPEEKA-24h'!N57,'23.10 NGOMA-KAPEEKA'!N57)</f>
        <v>0</v>
      </c>
      <c r="O57" s="15">
        <f t="shared" si="0"/>
        <v>4.4285714285714279</v>
      </c>
      <c r="P57" s="15">
        <f t="shared" si="1"/>
        <v>9.5952380952380949</v>
      </c>
      <c r="R57" s="8"/>
      <c r="T57"/>
    </row>
    <row r="58" spans="2:20" ht="23.1" customHeight="1" x14ac:dyDescent="0.25">
      <c r="B58" s="23" t="s">
        <v>99</v>
      </c>
      <c r="C58" s="49">
        <f>AVERAGE('19.10 NGOMA-KAPEEKA-24h'!C58,'21.10 NGOMA KAPEEKA-24h'!C58)</f>
        <v>0.5</v>
      </c>
      <c r="D58" s="49">
        <f>AVERAGE('19.10 NGOMA-KAPEEKA-24h'!D58,'21.10 NGOMA KAPEEKA-24h'!D58)</f>
        <v>0</v>
      </c>
      <c r="E58" s="49">
        <f>AVERAGE('19.10 NGOMA-KAPEEKA-24h'!E58,'21.10 NGOMA KAPEEKA-24h'!E58)</f>
        <v>0.5</v>
      </c>
      <c r="F58" s="49">
        <f>AVERAGE('19.10 NGOMA-KAPEEKA-24h'!F58,'21.10 NGOMA KAPEEKA-24h'!F58)</f>
        <v>0.5</v>
      </c>
      <c r="G58" s="49">
        <f>AVERAGE('19.10 NGOMA-KAPEEKA-24h'!G58,'21.10 NGOMA KAPEEKA-24h'!G58)</f>
        <v>0</v>
      </c>
      <c r="H58" s="49">
        <f>AVERAGE('19.10 NGOMA-KAPEEKA-24h'!H58,'21.10 NGOMA KAPEEKA-24h'!H58)</f>
        <v>0</v>
      </c>
      <c r="I58" s="49">
        <f>AVERAGE('19.10 NGOMA-KAPEEKA-24h'!I58,'21.10 NGOMA KAPEEKA-24h'!I58)</f>
        <v>3</v>
      </c>
      <c r="J58" s="49">
        <f>AVERAGE('19.10 NGOMA-KAPEEKA-24h'!J58,'21.10 NGOMA KAPEEKA-24h'!J58)</f>
        <v>0</v>
      </c>
      <c r="K58" s="49">
        <f>AVERAGE('19.10 NGOMA-KAPEEKA-24h'!K58,'21.10 NGOMA KAPEEKA-24h'!K58)</f>
        <v>0</v>
      </c>
      <c r="L58" s="49">
        <f>AVERAGE('19.10 NGOMA-KAPEEKA-24h'!L58,'21.10 NGOMA KAPEEKA-24h'!L58)</f>
        <v>0</v>
      </c>
      <c r="M58" s="49">
        <f>AVERAGE('19.10 NGOMA-KAPEEKA-24h'!M58,'21.10 NGOMA KAPEEKA-24h'!M58)</f>
        <v>5</v>
      </c>
      <c r="N58" s="49">
        <f>AVERAGE('19.10 NGOMA-KAPEEKA-24h'!N58,'21.10 NGOMA KAPEEKA-24h'!N58)</f>
        <v>0</v>
      </c>
      <c r="O58" s="15">
        <f t="shared" si="0"/>
        <v>4.5</v>
      </c>
      <c r="P58" s="15">
        <f t="shared" si="1"/>
        <v>9.5</v>
      </c>
      <c r="R58" s="8"/>
      <c r="T58"/>
    </row>
    <row r="59" spans="2:20" ht="23.1" customHeight="1" x14ac:dyDescent="0.25">
      <c r="B59" s="23" t="s">
        <v>100</v>
      </c>
      <c r="C59" s="49">
        <f>AVERAGE('19.10 NGOMA-KAPEEKA-24h'!C59,'21.10 NGOMA KAPEEKA-24h'!C59)</f>
        <v>0.5</v>
      </c>
      <c r="D59" s="49">
        <f>AVERAGE('19.10 NGOMA-KAPEEKA-24h'!D59,'21.10 NGOMA KAPEEKA-24h'!D59)</f>
        <v>0</v>
      </c>
      <c r="E59" s="49">
        <f>AVERAGE('19.10 NGOMA-KAPEEKA-24h'!E59,'21.10 NGOMA KAPEEKA-24h'!E59)</f>
        <v>0.5</v>
      </c>
      <c r="F59" s="49">
        <f>AVERAGE('19.10 NGOMA-KAPEEKA-24h'!F59,'21.10 NGOMA KAPEEKA-24h'!F59)</f>
        <v>0</v>
      </c>
      <c r="G59" s="49">
        <f>AVERAGE('19.10 NGOMA-KAPEEKA-24h'!G59,'21.10 NGOMA KAPEEKA-24h'!G59)</f>
        <v>0</v>
      </c>
      <c r="H59" s="49">
        <f>AVERAGE('19.10 NGOMA-KAPEEKA-24h'!H59,'21.10 NGOMA KAPEEKA-24h'!H59)</f>
        <v>0</v>
      </c>
      <c r="I59" s="49">
        <f>AVERAGE('19.10 NGOMA-KAPEEKA-24h'!I59,'21.10 NGOMA KAPEEKA-24h'!I59)</f>
        <v>0.5</v>
      </c>
      <c r="J59" s="49">
        <f>AVERAGE('19.10 NGOMA-KAPEEKA-24h'!J59,'21.10 NGOMA KAPEEKA-24h'!J59)</f>
        <v>0</v>
      </c>
      <c r="K59" s="49">
        <f>AVERAGE('19.10 NGOMA-KAPEEKA-24h'!K59,'21.10 NGOMA KAPEEKA-24h'!K59)</f>
        <v>0</v>
      </c>
      <c r="L59" s="49">
        <f>AVERAGE('19.10 NGOMA-KAPEEKA-24h'!L59,'21.10 NGOMA KAPEEKA-24h'!L59)</f>
        <v>0</v>
      </c>
      <c r="M59" s="49">
        <f>AVERAGE('19.10 NGOMA-KAPEEKA-24h'!M59,'21.10 NGOMA KAPEEKA-24h'!M59)</f>
        <v>7</v>
      </c>
      <c r="N59" s="49">
        <f>AVERAGE('19.10 NGOMA-KAPEEKA-24h'!N59,'21.10 NGOMA KAPEEKA-24h'!N59)</f>
        <v>0</v>
      </c>
      <c r="O59" s="15">
        <f t="shared" si="0"/>
        <v>1.5</v>
      </c>
      <c r="P59" s="15">
        <f t="shared" si="1"/>
        <v>8.5</v>
      </c>
      <c r="R59" s="8"/>
      <c r="T59"/>
    </row>
    <row r="60" spans="2:20" ht="23.1" customHeight="1" x14ac:dyDescent="0.25">
      <c r="B60" s="23" t="s">
        <v>101</v>
      </c>
      <c r="C60" s="49">
        <f>AVERAGE('19.10 NGOMA-KAPEEKA-24h'!C60,'21.10 NGOMA KAPEEKA-24h'!C60)</f>
        <v>0.5</v>
      </c>
      <c r="D60" s="49">
        <f>AVERAGE('19.10 NGOMA-KAPEEKA-24h'!D60,'21.10 NGOMA KAPEEKA-24h'!D60)</f>
        <v>0</v>
      </c>
      <c r="E60" s="49">
        <f>AVERAGE('19.10 NGOMA-KAPEEKA-24h'!E60,'21.10 NGOMA KAPEEKA-24h'!E60)</f>
        <v>0.5</v>
      </c>
      <c r="F60" s="49">
        <f>AVERAGE('19.10 NGOMA-KAPEEKA-24h'!F60,'21.10 NGOMA KAPEEKA-24h'!F60)</f>
        <v>0</v>
      </c>
      <c r="G60" s="49">
        <f>AVERAGE('19.10 NGOMA-KAPEEKA-24h'!G60,'21.10 NGOMA KAPEEKA-24h'!G60)</f>
        <v>0</v>
      </c>
      <c r="H60" s="49">
        <f>AVERAGE('19.10 NGOMA-KAPEEKA-24h'!H60,'21.10 NGOMA KAPEEKA-24h'!H60)</f>
        <v>0</v>
      </c>
      <c r="I60" s="49">
        <f>AVERAGE('19.10 NGOMA-KAPEEKA-24h'!I60,'21.10 NGOMA KAPEEKA-24h'!I60)</f>
        <v>1</v>
      </c>
      <c r="J60" s="49">
        <f>AVERAGE('19.10 NGOMA-KAPEEKA-24h'!J60,'21.10 NGOMA KAPEEKA-24h'!J60)</f>
        <v>2</v>
      </c>
      <c r="K60" s="49">
        <f>AVERAGE('19.10 NGOMA-KAPEEKA-24h'!K60,'21.10 NGOMA KAPEEKA-24h'!K60)</f>
        <v>0</v>
      </c>
      <c r="L60" s="49">
        <f>AVERAGE('19.10 NGOMA-KAPEEKA-24h'!L60,'21.10 NGOMA KAPEEKA-24h'!L60)</f>
        <v>0</v>
      </c>
      <c r="M60" s="49">
        <f>AVERAGE('19.10 NGOMA-KAPEEKA-24h'!M60,'21.10 NGOMA KAPEEKA-24h'!M60)</f>
        <v>3.5</v>
      </c>
      <c r="N60" s="49">
        <f>AVERAGE('19.10 NGOMA-KAPEEKA-24h'!N60,'21.10 NGOMA KAPEEKA-24h'!N60)</f>
        <v>0</v>
      </c>
      <c r="O60" s="15">
        <f t="shared" si="0"/>
        <v>4</v>
      </c>
      <c r="P60" s="15">
        <f t="shared" si="1"/>
        <v>7.5</v>
      </c>
      <c r="R60" s="8"/>
      <c r="T60"/>
    </row>
    <row r="61" spans="2:20" ht="23.1" customHeight="1" x14ac:dyDescent="0.25">
      <c r="B61" s="23" t="s">
        <v>102</v>
      </c>
      <c r="C61" s="49">
        <f>AVERAGE('19.10 NGOMA-KAPEEKA-24h'!C61,'21.10 NGOMA KAPEEKA-24h'!C61)</f>
        <v>1.5</v>
      </c>
      <c r="D61" s="49">
        <f>AVERAGE('19.10 NGOMA-KAPEEKA-24h'!D61,'21.10 NGOMA KAPEEKA-24h'!D61)</f>
        <v>0</v>
      </c>
      <c r="E61" s="49">
        <f>AVERAGE('19.10 NGOMA-KAPEEKA-24h'!E61,'21.10 NGOMA KAPEEKA-24h'!E61)</f>
        <v>1</v>
      </c>
      <c r="F61" s="49">
        <f>AVERAGE('19.10 NGOMA-KAPEEKA-24h'!F61,'21.10 NGOMA KAPEEKA-24h'!F61)</f>
        <v>1</v>
      </c>
      <c r="G61" s="49">
        <f>AVERAGE('19.10 NGOMA-KAPEEKA-24h'!G61,'21.10 NGOMA KAPEEKA-24h'!G61)</f>
        <v>0</v>
      </c>
      <c r="H61" s="49">
        <f>AVERAGE('19.10 NGOMA-KAPEEKA-24h'!H61,'21.10 NGOMA KAPEEKA-24h'!H61)</f>
        <v>0</v>
      </c>
      <c r="I61" s="49">
        <f>AVERAGE('19.10 NGOMA-KAPEEKA-24h'!I61,'21.10 NGOMA KAPEEKA-24h'!I61)</f>
        <v>0</v>
      </c>
      <c r="J61" s="49">
        <f>AVERAGE('19.10 NGOMA-KAPEEKA-24h'!J61,'21.10 NGOMA KAPEEKA-24h'!J61)</f>
        <v>0.5</v>
      </c>
      <c r="K61" s="49">
        <f>AVERAGE('19.10 NGOMA-KAPEEKA-24h'!K61,'21.10 NGOMA KAPEEKA-24h'!K61)</f>
        <v>0</v>
      </c>
      <c r="L61" s="49">
        <f>AVERAGE('19.10 NGOMA-KAPEEKA-24h'!L61,'21.10 NGOMA KAPEEKA-24h'!L61)</f>
        <v>0</v>
      </c>
      <c r="M61" s="49">
        <f>AVERAGE('19.10 NGOMA-KAPEEKA-24h'!M61,'21.10 NGOMA KAPEEKA-24h'!M61)</f>
        <v>5.5</v>
      </c>
      <c r="N61" s="49">
        <f>AVERAGE('19.10 NGOMA-KAPEEKA-24h'!N61,'21.10 NGOMA KAPEEKA-24h'!N61)</f>
        <v>0</v>
      </c>
      <c r="O61" s="15">
        <f t="shared" si="0"/>
        <v>4</v>
      </c>
      <c r="P61" s="15">
        <f t="shared" si="1"/>
        <v>9.5</v>
      </c>
      <c r="R61" s="8"/>
      <c r="T61"/>
    </row>
    <row r="62" spans="2:20" ht="23.1" customHeight="1" x14ac:dyDescent="0.25">
      <c r="B62" s="23" t="s">
        <v>107</v>
      </c>
      <c r="C62" s="49">
        <f>AVERAGE('19.10 NGOMA-KAPEEKA-24h'!C62,'21.10 NGOMA KAPEEKA-24h'!C62)</f>
        <v>0.5</v>
      </c>
      <c r="D62" s="49">
        <f>AVERAGE('19.10 NGOMA-KAPEEKA-24h'!D62,'21.10 NGOMA KAPEEKA-24h'!D62)</f>
        <v>0.5</v>
      </c>
      <c r="E62" s="49">
        <f>AVERAGE('19.10 NGOMA-KAPEEKA-24h'!E62,'21.10 NGOMA KAPEEKA-24h'!E62)</f>
        <v>0.5</v>
      </c>
      <c r="F62" s="49">
        <f>AVERAGE('19.10 NGOMA-KAPEEKA-24h'!F62,'21.10 NGOMA KAPEEKA-24h'!F62)</f>
        <v>0</v>
      </c>
      <c r="G62" s="49">
        <f>AVERAGE('19.10 NGOMA-KAPEEKA-24h'!G62,'21.10 NGOMA KAPEEKA-24h'!G62)</f>
        <v>0</v>
      </c>
      <c r="H62" s="49">
        <f>AVERAGE('19.10 NGOMA-KAPEEKA-24h'!H62,'21.10 NGOMA KAPEEKA-24h'!H62)</f>
        <v>0</v>
      </c>
      <c r="I62" s="49">
        <f>AVERAGE('19.10 NGOMA-KAPEEKA-24h'!I62,'21.10 NGOMA KAPEEKA-24h'!I62)</f>
        <v>0</v>
      </c>
      <c r="J62" s="49">
        <f>AVERAGE('19.10 NGOMA-KAPEEKA-24h'!J62,'21.10 NGOMA KAPEEKA-24h'!J62)</f>
        <v>0</v>
      </c>
      <c r="K62" s="49">
        <f>AVERAGE('19.10 NGOMA-KAPEEKA-24h'!K62,'21.10 NGOMA KAPEEKA-24h'!K62)</f>
        <v>0</v>
      </c>
      <c r="L62" s="49">
        <f>AVERAGE('19.10 NGOMA-KAPEEKA-24h'!L62,'21.10 NGOMA KAPEEKA-24h'!L62)</f>
        <v>0</v>
      </c>
      <c r="M62" s="49">
        <f>AVERAGE('19.10 NGOMA-KAPEEKA-24h'!M62,'21.10 NGOMA KAPEEKA-24h'!M62)</f>
        <v>4</v>
      </c>
      <c r="N62" s="49">
        <f>AVERAGE('19.10 NGOMA-KAPEEKA-24h'!N62,'21.10 NGOMA KAPEEKA-24h'!N62)</f>
        <v>0</v>
      </c>
      <c r="O62" s="15">
        <f t="shared" si="0"/>
        <v>1.5</v>
      </c>
      <c r="P62" s="15">
        <f t="shared" si="1"/>
        <v>5.5</v>
      </c>
      <c r="R62" s="8"/>
      <c r="T62"/>
    </row>
    <row r="63" spans="2:20" ht="23.1" customHeight="1" x14ac:dyDescent="0.25">
      <c r="B63" s="23" t="s">
        <v>108</v>
      </c>
      <c r="C63" s="49">
        <f>AVERAGE('19.10 NGOMA-KAPEEKA-24h'!C63,'21.10 NGOMA KAPEEKA-24h'!C63)</f>
        <v>0.5</v>
      </c>
      <c r="D63" s="49">
        <f>AVERAGE('19.10 NGOMA-KAPEEKA-24h'!D63,'21.10 NGOMA KAPEEKA-24h'!D63)</f>
        <v>0</v>
      </c>
      <c r="E63" s="49">
        <f>AVERAGE('19.10 NGOMA-KAPEEKA-24h'!E63,'21.10 NGOMA KAPEEKA-24h'!E63)</f>
        <v>1</v>
      </c>
      <c r="F63" s="49">
        <f>AVERAGE('19.10 NGOMA-KAPEEKA-24h'!F63,'21.10 NGOMA KAPEEKA-24h'!F63)</f>
        <v>0</v>
      </c>
      <c r="G63" s="49">
        <f>AVERAGE('19.10 NGOMA-KAPEEKA-24h'!G63,'21.10 NGOMA KAPEEKA-24h'!G63)</f>
        <v>0</v>
      </c>
      <c r="H63" s="49">
        <f>AVERAGE('19.10 NGOMA-KAPEEKA-24h'!H63,'21.10 NGOMA KAPEEKA-24h'!H63)</f>
        <v>0</v>
      </c>
      <c r="I63" s="49">
        <f>AVERAGE('19.10 NGOMA-KAPEEKA-24h'!I63,'21.10 NGOMA KAPEEKA-24h'!I63)</f>
        <v>0</v>
      </c>
      <c r="J63" s="49">
        <f>AVERAGE('19.10 NGOMA-KAPEEKA-24h'!J63,'21.10 NGOMA KAPEEKA-24h'!J63)</f>
        <v>0</v>
      </c>
      <c r="K63" s="49">
        <f>AVERAGE('19.10 NGOMA-KAPEEKA-24h'!K63,'21.10 NGOMA KAPEEKA-24h'!K63)</f>
        <v>0</v>
      </c>
      <c r="L63" s="49">
        <f>AVERAGE('19.10 NGOMA-KAPEEKA-24h'!L63,'21.10 NGOMA KAPEEKA-24h'!L63)</f>
        <v>0</v>
      </c>
      <c r="M63" s="49">
        <f>AVERAGE('19.10 NGOMA-KAPEEKA-24h'!M63,'21.10 NGOMA KAPEEKA-24h'!M63)</f>
        <v>3</v>
      </c>
      <c r="N63" s="49">
        <f>AVERAGE('19.10 NGOMA-KAPEEKA-24h'!N63,'21.10 NGOMA KAPEEKA-24h'!N63)</f>
        <v>0</v>
      </c>
      <c r="O63" s="15">
        <f t="shared" si="0"/>
        <v>1.5</v>
      </c>
      <c r="P63" s="15">
        <f t="shared" si="1"/>
        <v>4.5</v>
      </c>
      <c r="R63" s="8"/>
      <c r="T63"/>
    </row>
    <row r="64" spans="2:20" ht="23.1" customHeight="1" x14ac:dyDescent="0.25">
      <c r="B64" s="23" t="s">
        <v>109</v>
      </c>
      <c r="C64" s="49">
        <f>AVERAGE('19.10 NGOMA-KAPEEKA-24h'!C64,'21.10 NGOMA KAPEEKA-24h'!C64)</f>
        <v>0.5</v>
      </c>
      <c r="D64" s="49">
        <f>AVERAGE('19.10 NGOMA-KAPEEKA-24h'!D64,'21.10 NGOMA KAPEEKA-24h'!D64)</f>
        <v>0</v>
      </c>
      <c r="E64" s="49">
        <f>AVERAGE('19.10 NGOMA-KAPEEKA-24h'!E64,'21.10 NGOMA KAPEEKA-24h'!E64)</f>
        <v>0</v>
      </c>
      <c r="F64" s="49">
        <f>AVERAGE('19.10 NGOMA-KAPEEKA-24h'!F64,'21.10 NGOMA KAPEEKA-24h'!F64)</f>
        <v>1</v>
      </c>
      <c r="G64" s="49">
        <f>AVERAGE('19.10 NGOMA-KAPEEKA-24h'!G64,'21.10 NGOMA KAPEEKA-24h'!G64)</f>
        <v>0</v>
      </c>
      <c r="H64" s="49">
        <f>AVERAGE('19.10 NGOMA-KAPEEKA-24h'!H64,'21.10 NGOMA KAPEEKA-24h'!H64)</f>
        <v>0</v>
      </c>
      <c r="I64" s="49">
        <f>AVERAGE('19.10 NGOMA-KAPEEKA-24h'!I64,'21.10 NGOMA KAPEEKA-24h'!I64)</f>
        <v>0</v>
      </c>
      <c r="J64" s="49">
        <f>AVERAGE('19.10 NGOMA-KAPEEKA-24h'!J64,'21.10 NGOMA KAPEEKA-24h'!J64)</f>
        <v>0</v>
      </c>
      <c r="K64" s="49">
        <f>AVERAGE('19.10 NGOMA-KAPEEKA-24h'!K64,'21.10 NGOMA KAPEEKA-24h'!K64)</f>
        <v>0</v>
      </c>
      <c r="L64" s="49">
        <f>AVERAGE('19.10 NGOMA-KAPEEKA-24h'!L64,'21.10 NGOMA KAPEEKA-24h'!L64)</f>
        <v>0</v>
      </c>
      <c r="M64" s="49">
        <f>AVERAGE('19.10 NGOMA-KAPEEKA-24h'!M64,'21.10 NGOMA KAPEEKA-24h'!M64)</f>
        <v>2</v>
      </c>
      <c r="N64" s="49">
        <f>AVERAGE('19.10 NGOMA-KAPEEKA-24h'!N64,'21.10 NGOMA KAPEEKA-24h'!N64)</f>
        <v>0</v>
      </c>
      <c r="O64" s="15">
        <f t="shared" si="0"/>
        <v>1.5</v>
      </c>
      <c r="P64" s="15">
        <f t="shared" si="1"/>
        <v>3.5</v>
      </c>
      <c r="R64" s="8"/>
      <c r="T64"/>
    </row>
    <row r="65" spans="2:20" ht="23.1" customHeight="1" x14ac:dyDescent="0.25">
      <c r="B65" s="23" t="s">
        <v>158</v>
      </c>
      <c r="C65" s="49">
        <f>AVERAGE('19.10 NGOMA-KAPEEKA-24h'!C65,'21.10 NGOMA KAPEEKA-24h'!C65)</f>
        <v>1</v>
      </c>
      <c r="D65" s="49">
        <f>AVERAGE('19.10 NGOMA-KAPEEKA-24h'!D65,'21.10 NGOMA KAPEEKA-24h'!D65)</f>
        <v>0</v>
      </c>
      <c r="E65" s="49">
        <f>AVERAGE('19.10 NGOMA-KAPEEKA-24h'!E65,'21.10 NGOMA KAPEEKA-24h'!E65)</f>
        <v>0.5</v>
      </c>
      <c r="F65" s="49">
        <f>AVERAGE('19.10 NGOMA-KAPEEKA-24h'!F65,'21.10 NGOMA KAPEEKA-24h'!F65)</f>
        <v>0</v>
      </c>
      <c r="G65" s="49">
        <f>AVERAGE('19.10 NGOMA-KAPEEKA-24h'!G65,'21.10 NGOMA KAPEEKA-24h'!G65)</f>
        <v>0</v>
      </c>
      <c r="H65" s="49">
        <f>AVERAGE('19.10 NGOMA-KAPEEKA-24h'!H65,'21.10 NGOMA KAPEEKA-24h'!H65)</f>
        <v>0</v>
      </c>
      <c r="I65" s="49">
        <f>AVERAGE('19.10 NGOMA-KAPEEKA-24h'!I65,'21.10 NGOMA KAPEEKA-24h'!I65)</f>
        <v>2</v>
      </c>
      <c r="J65" s="49">
        <f>AVERAGE('19.10 NGOMA-KAPEEKA-24h'!J65,'21.10 NGOMA KAPEEKA-24h'!J65)</f>
        <v>0.5</v>
      </c>
      <c r="K65" s="49">
        <f>AVERAGE('19.10 NGOMA-KAPEEKA-24h'!K65,'21.10 NGOMA KAPEEKA-24h'!K65)</f>
        <v>0</v>
      </c>
      <c r="L65" s="49">
        <f>AVERAGE('19.10 NGOMA-KAPEEKA-24h'!L65,'21.10 NGOMA KAPEEKA-24h'!L65)</f>
        <v>0</v>
      </c>
      <c r="M65" s="49">
        <f>AVERAGE('19.10 NGOMA-KAPEEKA-24h'!M65,'21.10 NGOMA KAPEEKA-24h'!M65)</f>
        <v>2.5</v>
      </c>
      <c r="N65" s="49">
        <f>AVERAGE('19.10 NGOMA-KAPEEKA-24h'!N65,'21.10 NGOMA KAPEEKA-24h'!N65)</f>
        <v>0</v>
      </c>
      <c r="O65" s="15">
        <f t="shared" si="0"/>
        <v>4</v>
      </c>
      <c r="P65" s="15">
        <f t="shared" si="1"/>
        <v>6.5</v>
      </c>
      <c r="R65" s="8"/>
      <c r="T65"/>
    </row>
    <row r="66" spans="2:20" ht="23.1" customHeight="1" x14ac:dyDescent="0.25">
      <c r="B66" s="23" t="s">
        <v>103</v>
      </c>
      <c r="C66" s="49">
        <f>AVERAGE('19.10 NGOMA-KAPEEKA-24h'!C66,'21.10 NGOMA KAPEEKA-24h'!C66)</f>
        <v>0</v>
      </c>
      <c r="D66" s="49">
        <f>AVERAGE('19.10 NGOMA-KAPEEKA-24h'!D66,'21.10 NGOMA KAPEEKA-24h'!D66)</f>
        <v>0</v>
      </c>
      <c r="E66" s="49">
        <f>AVERAGE('19.10 NGOMA-KAPEEKA-24h'!E66,'21.10 NGOMA KAPEEKA-24h'!E66)</f>
        <v>0</v>
      </c>
      <c r="F66" s="49">
        <f>AVERAGE('19.10 NGOMA-KAPEEKA-24h'!F66,'21.10 NGOMA KAPEEKA-24h'!F66)</f>
        <v>0</v>
      </c>
      <c r="G66" s="49">
        <f>AVERAGE('19.10 NGOMA-KAPEEKA-24h'!G66,'21.10 NGOMA KAPEEKA-24h'!G66)</f>
        <v>0</v>
      </c>
      <c r="H66" s="49">
        <f>AVERAGE('19.10 NGOMA-KAPEEKA-24h'!H66,'21.10 NGOMA KAPEEKA-24h'!H66)</f>
        <v>0</v>
      </c>
      <c r="I66" s="49">
        <f>AVERAGE('19.10 NGOMA-KAPEEKA-24h'!I66,'21.10 NGOMA KAPEEKA-24h'!I66)</f>
        <v>1</v>
      </c>
      <c r="J66" s="49">
        <f>AVERAGE('19.10 NGOMA-KAPEEKA-24h'!J66,'21.10 NGOMA KAPEEKA-24h'!J66)</f>
        <v>0</v>
      </c>
      <c r="K66" s="49">
        <f>AVERAGE('19.10 NGOMA-KAPEEKA-24h'!K66,'21.10 NGOMA KAPEEKA-24h'!K66)</f>
        <v>0</v>
      </c>
      <c r="L66" s="49">
        <f>AVERAGE('19.10 NGOMA-KAPEEKA-24h'!L66,'21.10 NGOMA KAPEEKA-24h'!L66)</f>
        <v>0</v>
      </c>
      <c r="M66" s="49">
        <f>AVERAGE('19.10 NGOMA-KAPEEKA-24h'!M66,'21.10 NGOMA KAPEEKA-24h'!M66)</f>
        <v>5</v>
      </c>
      <c r="N66" s="49">
        <f>AVERAGE('19.10 NGOMA-KAPEEKA-24h'!N66,'21.10 NGOMA KAPEEKA-24h'!N66)</f>
        <v>0</v>
      </c>
      <c r="O66" s="15">
        <f t="shared" si="0"/>
        <v>1</v>
      </c>
      <c r="P66" s="15">
        <f t="shared" si="1"/>
        <v>6</v>
      </c>
      <c r="R66" s="8"/>
      <c r="T66"/>
    </row>
    <row r="67" spans="2:20" ht="23.1" customHeight="1" x14ac:dyDescent="0.25">
      <c r="B67" s="23" t="s">
        <v>104</v>
      </c>
      <c r="C67" s="49">
        <f>AVERAGE('19.10 NGOMA-KAPEEKA-24h'!C67,'21.10 NGOMA KAPEEKA-24h'!C67)</f>
        <v>0</v>
      </c>
      <c r="D67" s="49">
        <f>AVERAGE('19.10 NGOMA-KAPEEKA-24h'!D67,'21.10 NGOMA KAPEEKA-24h'!D67)</f>
        <v>0</v>
      </c>
      <c r="E67" s="49">
        <f>AVERAGE('19.10 NGOMA-KAPEEKA-24h'!E67,'21.10 NGOMA KAPEEKA-24h'!E67)</f>
        <v>0</v>
      </c>
      <c r="F67" s="49">
        <f>AVERAGE('19.10 NGOMA-KAPEEKA-24h'!F67,'21.10 NGOMA KAPEEKA-24h'!F67)</f>
        <v>0</v>
      </c>
      <c r="G67" s="49">
        <f>AVERAGE('19.10 NGOMA-KAPEEKA-24h'!G67,'21.10 NGOMA KAPEEKA-24h'!G67)</f>
        <v>0</v>
      </c>
      <c r="H67" s="49">
        <f>AVERAGE('19.10 NGOMA-KAPEEKA-24h'!H67,'21.10 NGOMA KAPEEKA-24h'!H67)</f>
        <v>0</v>
      </c>
      <c r="I67" s="49">
        <f>AVERAGE('19.10 NGOMA-KAPEEKA-24h'!I67,'21.10 NGOMA KAPEEKA-24h'!I67)</f>
        <v>0</v>
      </c>
      <c r="J67" s="49">
        <f>AVERAGE('19.10 NGOMA-KAPEEKA-24h'!J67,'21.10 NGOMA KAPEEKA-24h'!J67)</f>
        <v>0</v>
      </c>
      <c r="K67" s="49">
        <f>AVERAGE('19.10 NGOMA-KAPEEKA-24h'!K67,'21.10 NGOMA KAPEEKA-24h'!K67)</f>
        <v>0</v>
      </c>
      <c r="L67" s="49">
        <f>AVERAGE('19.10 NGOMA-KAPEEKA-24h'!L67,'21.10 NGOMA KAPEEKA-24h'!L67)</f>
        <v>0</v>
      </c>
      <c r="M67" s="49">
        <f>AVERAGE('19.10 NGOMA-KAPEEKA-24h'!M67,'21.10 NGOMA KAPEEKA-24h'!M67)</f>
        <v>1.5</v>
      </c>
      <c r="N67" s="49">
        <f>AVERAGE('19.10 NGOMA-KAPEEKA-24h'!N67,'21.10 NGOMA KAPEEKA-24h'!N67)</f>
        <v>0</v>
      </c>
      <c r="O67" s="15">
        <f t="shared" si="0"/>
        <v>0</v>
      </c>
      <c r="P67" s="15">
        <f t="shared" si="1"/>
        <v>1.5</v>
      </c>
      <c r="R67" s="8"/>
      <c r="T67"/>
    </row>
    <row r="68" spans="2:20" ht="23.1" customHeight="1" x14ac:dyDescent="0.25">
      <c r="B68" s="23" t="s">
        <v>105</v>
      </c>
      <c r="C68" s="49">
        <f>AVERAGE('19.10 NGOMA-KAPEEKA-24h'!C68,'21.10 NGOMA KAPEEKA-24h'!C68)</f>
        <v>0.5</v>
      </c>
      <c r="D68" s="49">
        <f>AVERAGE('19.10 NGOMA-KAPEEKA-24h'!D68,'21.10 NGOMA KAPEEKA-24h'!D68)</f>
        <v>0</v>
      </c>
      <c r="E68" s="49">
        <f>AVERAGE('19.10 NGOMA-KAPEEKA-24h'!E68,'21.10 NGOMA KAPEEKA-24h'!E68)</f>
        <v>0.5</v>
      </c>
      <c r="F68" s="49">
        <f>AVERAGE('19.10 NGOMA-KAPEEKA-24h'!F68,'21.10 NGOMA KAPEEKA-24h'!F68)</f>
        <v>0</v>
      </c>
      <c r="G68" s="49">
        <f>AVERAGE('19.10 NGOMA-KAPEEKA-24h'!G68,'21.10 NGOMA KAPEEKA-24h'!G68)</f>
        <v>0</v>
      </c>
      <c r="H68" s="49">
        <f>AVERAGE('19.10 NGOMA-KAPEEKA-24h'!H68,'21.10 NGOMA KAPEEKA-24h'!H68)</f>
        <v>0</v>
      </c>
      <c r="I68" s="49">
        <f>AVERAGE('19.10 NGOMA-KAPEEKA-24h'!I68,'21.10 NGOMA KAPEEKA-24h'!I68)</f>
        <v>2</v>
      </c>
      <c r="J68" s="49">
        <f>AVERAGE('19.10 NGOMA-KAPEEKA-24h'!J68,'21.10 NGOMA KAPEEKA-24h'!J68)</f>
        <v>0</v>
      </c>
      <c r="K68" s="49">
        <f>AVERAGE('19.10 NGOMA-KAPEEKA-24h'!K68,'21.10 NGOMA KAPEEKA-24h'!K68)</f>
        <v>0</v>
      </c>
      <c r="L68" s="49">
        <f>AVERAGE('19.10 NGOMA-KAPEEKA-24h'!L68,'21.10 NGOMA KAPEEKA-24h'!L68)</f>
        <v>0</v>
      </c>
      <c r="M68" s="49">
        <f>AVERAGE('19.10 NGOMA-KAPEEKA-24h'!M68,'21.10 NGOMA KAPEEKA-24h'!M68)</f>
        <v>3</v>
      </c>
      <c r="N68" s="49">
        <f>AVERAGE('19.10 NGOMA-KAPEEKA-24h'!N68,'21.10 NGOMA KAPEEKA-24h'!N68)</f>
        <v>0</v>
      </c>
      <c r="O68" s="15">
        <f t="shared" si="0"/>
        <v>3</v>
      </c>
      <c r="P68" s="15">
        <f t="shared" si="1"/>
        <v>6</v>
      </c>
      <c r="R68" s="8"/>
      <c r="T68"/>
    </row>
    <row r="69" spans="2:20" ht="23.1" customHeight="1" x14ac:dyDescent="0.25">
      <c r="B69" s="23" t="s">
        <v>106</v>
      </c>
      <c r="C69" s="49">
        <f>AVERAGE('19.10 NGOMA-KAPEEKA-24h'!C69,'21.10 NGOMA KAPEEKA-24h'!C69)</f>
        <v>0</v>
      </c>
      <c r="D69" s="49">
        <f>AVERAGE('19.10 NGOMA-KAPEEKA-24h'!D69,'21.10 NGOMA KAPEEKA-24h'!D69)</f>
        <v>0</v>
      </c>
      <c r="E69" s="49">
        <f>AVERAGE('19.10 NGOMA-KAPEEKA-24h'!E69,'21.10 NGOMA KAPEEKA-24h'!E69)</f>
        <v>0</v>
      </c>
      <c r="F69" s="49">
        <f>AVERAGE('19.10 NGOMA-KAPEEKA-24h'!F69,'21.10 NGOMA KAPEEKA-24h'!F69)</f>
        <v>0</v>
      </c>
      <c r="G69" s="49">
        <f>AVERAGE('19.10 NGOMA-KAPEEKA-24h'!G69,'21.10 NGOMA KAPEEKA-24h'!G69)</f>
        <v>0</v>
      </c>
      <c r="H69" s="49">
        <f>AVERAGE('19.10 NGOMA-KAPEEKA-24h'!H69,'21.10 NGOMA KAPEEKA-24h'!H69)</f>
        <v>0</v>
      </c>
      <c r="I69" s="49">
        <f>AVERAGE('19.10 NGOMA-KAPEEKA-24h'!I69,'21.10 NGOMA KAPEEKA-24h'!I69)</f>
        <v>0.5</v>
      </c>
      <c r="J69" s="49">
        <f>AVERAGE('19.10 NGOMA-KAPEEKA-24h'!J69,'21.10 NGOMA KAPEEKA-24h'!J69)</f>
        <v>0</v>
      </c>
      <c r="K69" s="49">
        <f>AVERAGE('19.10 NGOMA-KAPEEKA-24h'!K69,'21.10 NGOMA KAPEEKA-24h'!K69)</f>
        <v>0</v>
      </c>
      <c r="L69" s="49">
        <f>AVERAGE('19.10 NGOMA-KAPEEKA-24h'!L69,'21.10 NGOMA KAPEEKA-24h'!L69)</f>
        <v>0</v>
      </c>
      <c r="M69" s="49">
        <f>AVERAGE('19.10 NGOMA-KAPEEKA-24h'!M69,'21.10 NGOMA KAPEEKA-24h'!M69)</f>
        <v>3</v>
      </c>
      <c r="N69" s="49">
        <f>AVERAGE('19.10 NGOMA-KAPEEKA-24h'!N69,'21.10 NGOMA KAPEEKA-24h'!N69)</f>
        <v>0</v>
      </c>
      <c r="O69" s="15">
        <f t="shared" si="0"/>
        <v>0.5</v>
      </c>
      <c r="P69" s="15">
        <f t="shared" si="1"/>
        <v>3.5</v>
      </c>
      <c r="R69" s="8"/>
      <c r="T69"/>
    </row>
    <row r="70" spans="2:20" ht="23.1" customHeight="1" x14ac:dyDescent="0.25">
      <c r="B70" s="23" t="s">
        <v>110</v>
      </c>
      <c r="C70" s="49">
        <f>AVERAGE('19.10 NGOMA-KAPEEKA-24h'!C70,'21.10 NGOMA KAPEEKA-24h'!C70)</f>
        <v>0</v>
      </c>
      <c r="D70" s="49">
        <f>AVERAGE('19.10 NGOMA-KAPEEKA-24h'!D70,'21.10 NGOMA KAPEEKA-24h'!D70)</f>
        <v>0</v>
      </c>
      <c r="E70" s="49">
        <f>AVERAGE('19.10 NGOMA-KAPEEKA-24h'!E70,'21.10 NGOMA KAPEEKA-24h'!E70)</f>
        <v>0</v>
      </c>
      <c r="F70" s="49">
        <f>AVERAGE('19.10 NGOMA-KAPEEKA-24h'!F70,'21.10 NGOMA KAPEEKA-24h'!F70)</f>
        <v>0</v>
      </c>
      <c r="G70" s="49">
        <f>AVERAGE('19.10 NGOMA-KAPEEKA-24h'!G70,'21.10 NGOMA KAPEEKA-24h'!G70)</f>
        <v>0</v>
      </c>
      <c r="H70" s="49">
        <f>AVERAGE('19.10 NGOMA-KAPEEKA-24h'!H70,'21.10 NGOMA KAPEEKA-24h'!H70)</f>
        <v>0</v>
      </c>
      <c r="I70" s="49">
        <f>AVERAGE('19.10 NGOMA-KAPEEKA-24h'!I70,'21.10 NGOMA KAPEEKA-24h'!I70)</f>
        <v>1</v>
      </c>
      <c r="J70" s="49">
        <f>AVERAGE('19.10 NGOMA-KAPEEKA-24h'!J70,'21.10 NGOMA KAPEEKA-24h'!J70)</f>
        <v>0</v>
      </c>
      <c r="K70" s="49">
        <f>AVERAGE('19.10 NGOMA-KAPEEKA-24h'!K70,'21.10 NGOMA KAPEEKA-24h'!K70)</f>
        <v>0</v>
      </c>
      <c r="L70" s="49">
        <f>AVERAGE('19.10 NGOMA-KAPEEKA-24h'!L70,'21.10 NGOMA KAPEEKA-24h'!L70)</f>
        <v>0</v>
      </c>
      <c r="M70" s="49">
        <f>AVERAGE('19.10 NGOMA-KAPEEKA-24h'!M70,'21.10 NGOMA KAPEEKA-24h'!M70)</f>
        <v>1</v>
      </c>
      <c r="N70" s="49">
        <f>AVERAGE('19.10 NGOMA-KAPEEKA-24h'!N70,'21.10 NGOMA KAPEEKA-24h'!N70)</f>
        <v>0</v>
      </c>
      <c r="O70" s="15">
        <f t="shared" si="0"/>
        <v>1</v>
      </c>
      <c r="P70" s="15">
        <f t="shared" si="1"/>
        <v>2</v>
      </c>
      <c r="R70" s="8"/>
      <c r="T70"/>
    </row>
    <row r="71" spans="2:20" ht="23.1" customHeight="1" x14ac:dyDescent="0.25">
      <c r="B71" s="23" t="s">
        <v>111</v>
      </c>
      <c r="C71" s="49">
        <f>AVERAGE('19.10 NGOMA-KAPEEKA-24h'!C71,'21.10 NGOMA KAPEEKA-24h'!C71)</f>
        <v>0</v>
      </c>
      <c r="D71" s="49">
        <f>AVERAGE('19.10 NGOMA-KAPEEKA-24h'!D71,'21.10 NGOMA KAPEEKA-24h'!D71)</f>
        <v>0</v>
      </c>
      <c r="E71" s="49">
        <f>AVERAGE('19.10 NGOMA-KAPEEKA-24h'!E71,'21.10 NGOMA KAPEEKA-24h'!E71)</f>
        <v>0.5</v>
      </c>
      <c r="F71" s="49">
        <f>AVERAGE('19.10 NGOMA-KAPEEKA-24h'!F71,'21.10 NGOMA KAPEEKA-24h'!F71)</f>
        <v>0</v>
      </c>
      <c r="G71" s="49">
        <f>AVERAGE('19.10 NGOMA-KAPEEKA-24h'!G71,'21.10 NGOMA KAPEEKA-24h'!G71)</f>
        <v>0</v>
      </c>
      <c r="H71" s="49">
        <f>AVERAGE('19.10 NGOMA-KAPEEKA-24h'!H71,'21.10 NGOMA KAPEEKA-24h'!H71)</f>
        <v>0</v>
      </c>
      <c r="I71" s="49">
        <f>AVERAGE('19.10 NGOMA-KAPEEKA-24h'!I71,'21.10 NGOMA KAPEEKA-24h'!I71)</f>
        <v>1</v>
      </c>
      <c r="J71" s="49">
        <f>AVERAGE('19.10 NGOMA-KAPEEKA-24h'!J71,'21.10 NGOMA KAPEEKA-24h'!J71)</f>
        <v>0</v>
      </c>
      <c r="K71" s="49">
        <f>AVERAGE('19.10 NGOMA-KAPEEKA-24h'!K71,'21.10 NGOMA KAPEEKA-24h'!K71)</f>
        <v>0</v>
      </c>
      <c r="L71" s="49">
        <f>AVERAGE('19.10 NGOMA-KAPEEKA-24h'!L71,'21.10 NGOMA KAPEEKA-24h'!L71)</f>
        <v>0</v>
      </c>
      <c r="M71" s="49">
        <f>AVERAGE('19.10 NGOMA-KAPEEKA-24h'!M71,'21.10 NGOMA KAPEEKA-24h'!M71)</f>
        <v>0.5</v>
      </c>
      <c r="N71" s="49">
        <f>AVERAGE('19.10 NGOMA-KAPEEKA-24h'!N71,'21.10 NGOMA KAPEEKA-24h'!N71)</f>
        <v>0</v>
      </c>
      <c r="O71" s="15">
        <f t="shared" si="0"/>
        <v>1.5</v>
      </c>
      <c r="P71" s="15">
        <f t="shared" si="1"/>
        <v>2</v>
      </c>
      <c r="R71" s="8"/>
      <c r="T71"/>
    </row>
    <row r="72" spans="2:20" ht="23.1" customHeight="1" x14ac:dyDescent="0.25">
      <c r="B72" s="23" t="s">
        <v>112</v>
      </c>
      <c r="C72" s="49">
        <f>AVERAGE('19.10 NGOMA-KAPEEKA-24h'!C72,'21.10 NGOMA KAPEEKA-24h'!C72)</f>
        <v>0</v>
      </c>
      <c r="D72" s="49">
        <f>AVERAGE('19.10 NGOMA-KAPEEKA-24h'!D72,'21.10 NGOMA KAPEEKA-24h'!D72)</f>
        <v>0</v>
      </c>
      <c r="E72" s="49">
        <f>AVERAGE('19.10 NGOMA-KAPEEKA-24h'!E72,'21.10 NGOMA KAPEEKA-24h'!E72)</f>
        <v>0</v>
      </c>
      <c r="F72" s="49">
        <f>AVERAGE('19.10 NGOMA-KAPEEKA-24h'!F72,'21.10 NGOMA KAPEEKA-24h'!F72)</f>
        <v>0</v>
      </c>
      <c r="G72" s="49">
        <f>AVERAGE('19.10 NGOMA-KAPEEKA-24h'!G72,'21.10 NGOMA KAPEEKA-24h'!G72)</f>
        <v>0</v>
      </c>
      <c r="H72" s="49">
        <f>AVERAGE('19.10 NGOMA-KAPEEKA-24h'!H72,'21.10 NGOMA KAPEEKA-24h'!H72)</f>
        <v>0</v>
      </c>
      <c r="I72" s="49">
        <f>AVERAGE('19.10 NGOMA-KAPEEKA-24h'!I72,'21.10 NGOMA KAPEEKA-24h'!I72)</f>
        <v>0</v>
      </c>
      <c r="J72" s="49">
        <f>AVERAGE('19.10 NGOMA-KAPEEKA-24h'!J72,'21.10 NGOMA KAPEEKA-24h'!J72)</f>
        <v>0</v>
      </c>
      <c r="K72" s="49">
        <f>AVERAGE('19.10 NGOMA-KAPEEKA-24h'!K72,'21.10 NGOMA KAPEEKA-24h'!K72)</f>
        <v>0</v>
      </c>
      <c r="L72" s="49">
        <f>AVERAGE('19.10 NGOMA-KAPEEKA-24h'!L72,'21.10 NGOMA KAPEEKA-24h'!L72)</f>
        <v>0</v>
      </c>
      <c r="M72" s="49">
        <f>AVERAGE('19.10 NGOMA-KAPEEKA-24h'!M72,'21.10 NGOMA KAPEEKA-24h'!M72)</f>
        <v>1.5</v>
      </c>
      <c r="N72" s="49">
        <f>AVERAGE('19.10 NGOMA-KAPEEKA-24h'!N72,'21.10 NGOMA KAPEEKA-24h'!N72)</f>
        <v>0</v>
      </c>
      <c r="O72" s="15">
        <f t="shared" si="0"/>
        <v>0</v>
      </c>
      <c r="P72" s="15">
        <f t="shared" si="1"/>
        <v>1.5</v>
      </c>
      <c r="R72" s="8"/>
      <c r="T72"/>
    </row>
    <row r="73" spans="2:20" ht="23.1" customHeight="1" x14ac:dyDescent="0.25">
      <c r="B73" s="23" t="s">
        <v>113</v>
      </c>
      <c r="C73" s="49">
        <f>AVERAGE('19.10 NGOMA-KAPEEKA-24h'!C73,'21.10 NGOMA KAPEEKA-24h'!C73)</f>
        <v>0</v>
      </c>
      <c r="D73" s="49">
        <f>AVERAGE('19.10 NGOMA-KAPEEKA-24h'!D73,'21.10 NGOMA KAPEEKA-24h'!D73)</f>
        <v>0</v>
      </c>
      <c r="E73" s="49">
        <f>AVERAGE('19.10 NGOMA-KAPEEKA-24h'!E73,'21.10 NGOMA KAPEEKA-24h'!E73)</f>
        <v>0</v>
      </c>
      <c r="F73" s="49">
        <f>AVERAGE('19.10 NGOMA-KAPEEKA-24h'!F73,'21.10 NGOMA KAPEEKA-24h'!F73)</f>
        <v>0</v>
      </c>
      <c r="G73" s="49">
        <f>AVERAGE('19.10 NGOMA-KAPEEKA-24h'!G73,'21.10 NGOMA KAPEEKA-24h'!G73)</f>
        <v>0</v>
      </c>
      <c r="H73" s="49">
        <f>AVERAGE('19.10 NGOMA-KAPEEKA-24h'!H73,'21.10 NGOMA KAPEEKA-24h'!H73)</f>
        <v>0</v>
      </c>
      <c r="I73" s="49">
        <f>AVERAGE('19.10 NGOMA-KAPEEKA-24h'!I73,'21.10 NGOMA KAPEEKA-24h'!I73)</f>
        <v>1</v>
      </c>
      <c r="J73" s="49">
        <f>AVERAGE('19.10 NGOMA-KAPEEKA-24h'!J73,'21.10 NGOMA KAPEEKA-24h'!J73)</f>
        <v>0</v>
      </c>
      <c r="K73" s="49">
        <f>AVERAGE('19.10 NGOMA-KAPEEKA-24h'!K73,'21.10 NGOMA KAPEEKA-24h'!K73)</f>
        <v>0</v>
      </c>
      <c r="L73" s="49">
        <f>AVERAGE('19.10 NGOMA-KAPEEKA-24h'!L73,'21.10 NGOMA KAPEEKA-24h'!L73)</f>
        <v>0</v>
      </c>
      <c r="M73" s="49">
        <f>AVERAGE('19.10 NGOMA-KAPEEKA-24h'!M73,'21.10 NGOMA KAPEEKA-24h'!M73)</f>
        <v>1</v>
      </c>
      <c r="N73" s="49">
        <f>AVERAGE('19.10 NGOMA-KAPEEKA-24h'!N73,'21.10 NGOMA KAPEEKA-24h'!N73)</f>
        <v>0</v>
      </c>
      <c r="O73" s="15">
        <f t="shared" si="0"/>
        <v>1</v>
      </c>
      <c r="P73" s="15">
        <f t="shared" si="1"/>
        <v>2</v>
      </c>
      <c r="R73" s="8"/>
      <c r="T73"/>
    </row>
    <row r="74" spans="2:20" ht="23.1" customHeight="1" x14ac:dyDescent="0.25">
      <c r="B74" s="23" t="s">
        <v>114</v>
      </c>
      <c r="C74" s="49">
        <f>AVERAGE('19.10 NGOMA-KAPEEKA-24h'!C74,'21.10 NGOMA KAPEEKA-24h'!C74)</f>
        <v>0.5</v>
      </c>
      <c r="D74" s="49">
        <f>AVERAGE('19.10 NGOMA-KAPEEKA-24h'!D74,'21.10 NGOMA KAPEEKA-24h'!D74)</f>
        <v>0</v>
      </c>
      <c r="E74" s="49">
        <f>AVERAGE('19.10 NGOMA-KAPEEKA-24h'!E74,'21.10 NGOMA KAPEEKA-24h'!E74)</f>
        <v>0</v>
      </c>
      <c r="F74" s="49">
        <f>AVERAGE('19.10 NGOMA-KAPEEKA-24h'!F74,'21.10 NGOMA KAPEEKA-24h'!F74)</f>
        <v>0.5</v>
      </c>
      <c r="G74" s="49">
        <f>AVERAGE('19.10 NGOMA-KAPEEKA-24h'!G74,'21.10 NGOMA KAPEEKA-24h'!G74)</f>
        <v>0</v>
      </c>
      <c r="H74" s="49">
        <f>AVERAGE('19.10 NGOMA-KAPEEKA-24h'!H74,'21.10 NGOMA KAPEEKA-24h'!H74)</f>
        <v>0</v>
      </c>
      <c r="I74" s="49">
        <f>AVERAGE('19.10 NGOMA-KAPEEKA-24h'!I74,'21.10 NGOMA KAPEEKA-24h'!I74)</f>
        <v>0</v>
      </c>
      <c r="J74" s="49">
        <f>AVERAGE('19.10 NGOMA-KAPEEKA-24h'!J74,'21.10 NGOMA KAPEEKA-24h'!J74)</f>
        <v>0</v>
      </c>
      <c r="K74" s="49">
        <f>AVERAGE('19.10 NGOMA-KAPEEKA-24h'!K74,'21.10 NGOMA KAPEEKA-24h'!K74)</f>
        <v>0</v>
      </c>
      <c r="L74" s="49">
        <f>AVERAGE('19.10 NGOMA-KAPEEKA-24h'!L74,'21.10 NGOMA KAPEEKA-24h'!L74)</f>
        <v>0</v>
      </c>
      <c r="M74" s="49">
        <f>AVERAGE('19.10 NGOMA-KAPEEKA-24h'!M74,'21.10 NGOMA KAPEEKA-24h'!M74)</f>
        <v>0.5</v>
      </c>
      <c r="N74" s="49">
        <f>AVERAGE('19.10 NGOMA-KAPEEKA-24h'!N74,'21.10 NGOMA KAPEEKA-24h'!N74)</f>
        <v>0</v>
      </c>
      <c r="O74" s="15">
        <f t="shared" ref="O74:O105" si="35">SUM(C74:L74,N74)</f>
        <v>1</v>
      </c>
      <c r="P74" s="15">
        <f t="shared" ref="P74:P105" si="36">SUM(C74:N74)</f>
        <v>1.5</v>
      </c>
      <c r="R74" s="8"/>
      <c r="T74"/>
    </row>
    <row r="75" spans="2:20" ht="23.1" customHeight="1" x14ac:dyDescent="0.25">
      <c r="B75" s="23" t="s">
        <v>115</v>
      </c>
      <c r="C75" s="49">
        <f>AVERAGE('19.10 NGOMA-KAPEEKA-24h'!C75,'21.10 NGOMA KAPEEKA-24h'!C75)</f>
        <v>0</v>
      </c>
      <c r="D75" s="49">
        <f>AVERAGE('19.10 NGOMA-KAPEEKA-24h'!D75,'21.10 NGOMA KAPEEKA-24h'!D75)</f>
        <v>0</v>
      </c>
      <c r="E75" s="49">
        <f>AVERAGE('19.10 NGOMA-KAPEEKA-24h'!E75,'21.10 NGOMA KAPEEKA-24h'!E75)</f>
        <v>0</v>
      </c>
      <c r="F75" s="49">
        <f>AVERAGE('19.10 NGOMA-KAPEEKA-24h'!F75,'21.10 NGOMA KAPEEKA-24h'!F75)</f>
        <v>0</v>
      </c>
      <c r="G75" s="49">
        <f>AVERAGE('19.10 NGOMA-KAPEEKA-24h'!G75,'21.10 NGOMA KAPEEKA-24h'!G75)</f>
        <v>0</v>
      </c>
      <c r="H75" s="49">
        <f>AVERAGE('19.10 NGOMA-KAPEEKA-24h'!H75,'21.10 NGOMA KAPEEKA-24h'!H75)</f>
        <v>0</v>
      </c>
      <c r="I75" s="49">
        <f>AVERAGE('19.10 NGOMA-KAPEEKA-24h'!I75,'21.10 NGOMA KAPEEKA-24h'!I75)</f>
        <v>0.5</v>
      </c>
      <c r="J75" s="49">
        <f>AVERAGE('19.10 NGOMA-KAPEEKA-24h'!J75,'21.10 NGOMA KAPEEKA-24h'!J75)</f>
        <v>0</v>
      </c>
      <c r="K75" s="49">
        <f>AVERAGE('19.10 NGOMA-KAPEEKA-24h'!K75,'21.10 NGOMA KAPEEKA-24h'!K75)</f>
        <v>0</v>
      </c>
      <c r="L75" s="49">
        <f>AVERAGE('19.10 NGOMA-KAPEEKA-24h'!L75,'21.10 NGOMA KAPEEKA-24h'!L75)</f>
        <v>0</v>
      </c>
      <c r="M75" s="49">
        <f>AVERAGE('19.10 NGOMA-KAPEEKA-24h'!M75,'21.10 NGOMA KAPEEKA-24h'!M75)</f>
        <v>0</v>
      </c>
      <c r="N75" s="49">
        <f>AVERAGE('19.10 NGOMA-KAPEEKA-24h'!N75,'21.10 NGOMA KAPEEKA-24h'!N75)</f>
        <v>0</v>
      </c>
      <c r="O75" s="15">
        <f t="shared" si="35"/>
        <v>0.5</v>
      </c>
      <c r="P75" s="15">
        <f t="shared" si="36"/>
        <v>0.5</v>
      </c>
      <c r="R75" s="8"/>
      <c r="T75"/>
    </row>
    <row r="76" spans="2:20" ht="23.1" customHeight="1" x14ac:dyDescent="0.25">
      <c r="B76" s="23" t="s">
        <v>116</v>
      </c>
      <c r="C76" s="49">
        <f>AVERAGE('19.10 NGOMA-KAPEEKA-24h'!C76,'21.10 NGOMA KAPEEKA-24h'!C76)</f>
        <v>0</v>
      </c>
      <c r="D76" s="49">
        <f>AVERAGE('19.10 NGOMA-KAPEEKA-24h'!D76,'21.10 NGOMA KAPEEKA-24h'!D76)</f>
        <v>0</v>
      </c>
      <c r="E76" s="49">
        <f>AVERAGE('19.10 NGOMA-KAPEEKA-24h'!E76,'21.10 NGOMA KAPEEKA-24h'!E76)</f>
        <v>0</v>
      </c>
      <c r="F76" s="49">
        <f>AVERAGE('19.10 NGOMA-KAPEEKA-24h'!F76,'21.10 NGOMA KAPEEKA-24h'!F76)</f>
        <v>0</v>
      </c>
      <c r="G76" s="49">
        <f>AVERAGE('19.10 NGOMA-KAPEEKA-24h'!G76,'21.10 NGOMA KAPEEKA-24h'!G76)</f>
        <v>0</v>
      </c>
      <c r="H76" s="49">
        <f>AVERAGE('19.10 NGOMA-KAPEEKA-24h'!H76,'21.10 NGOMA KAPEEKA-24h'!H76)</f>
        <v>0</v>
      </c>
      <c r="I76" s="49">
        <f>AVERAGE('19.10 NGOMA-KAPEEKA-24h'!I76,'21.10 NGOMA KAPEEKA-24h'!I76)</f>
        <v>1</v>
      </c>
      <c r="J76" s="49">
        <f>AVERAGE('19.10 NGOMA-KAPEEKA-24h'!J76,'21.10 NGOMA KAPEEKA-24h'!J76)</f>
        <v>0</v>
      </c>
      <c r="K76" s="49">
        <f>AVERAGE('19.10 NGOMA-KAPEEKA-24h'!K76,'21.10 NGOMA KAPEEKA-24h'!K76)</f>
        <v>0</v>
      </c>
      <c r="L76" s="49">
        <f>AVERAGE('19.10 NGOMA-KAPEEKA-24h'!L76,'21.10 NGOMA KAPEEKA-24h'!L76)</f>
        <v>0</v>
      </c>
      <c r="M76" s="49">
        <f>AVERAGE('19.10 NGOMA-KAPEEKA-24h'!M76,'21.10 NGOMA KAPEEKA-24h'!M76)</f>
        <v>0</v>
      </c>
      <c r="N76" s="49">
        <f>AVERAGE('19.10 NGOMA-KAPEEKA-24h'!N76,'21.10 NGOMA KAPEEKA-24h'!N76)</f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23" t="s">
        <v>117</v>
      </c>
      <c r="C77" s="49">
        <f>AVERAGE('19.10 NGOMA-KAPEEKA-24h'!C77,'21.10 NGOMA KAPEEKA-24h'!C77)</f>
        <v>0</v>
      </c>
      <c r="D77" s="49">
        <f>AVERAGE('19.10 NGOMA-KAPEEKA-24h'!D77,'21.10 NGOMA KAPEEKA-24h'!D77)</f>
        <v>0</v>
      </c>
      <c r="E77" s="49">
        <f>AVERAGE('19.10 NGOMA-KAPEEKA-24h'!E77,'21.10 NGOMA KAPEEKA-24h'!E77)</f>
        <v>0</v>
      </c>
      <c r="F77" s="49">
        <f>AVERAGE('19.10 NGOMA-KAPEEKA-24h'!F77,'21.10 NGOMA KAPEEKA-24h'!F77)</f>
        <v>0</v>
      </c>
      <c r="G77" s="49">
        <f>AVERAGE('19.10 NGOMA-KAPEEKA-24h'!G77,'21.10 NGOMA KAPEEKA-24h'!G77)</f>
        <v>0</v>
      </c>
      <c r="H77" s="49">
        <f>AVERAGE('19.10 NGOMA-KAPEEKA-24h'!H77,'21.10 NGOMA KAPEEKA-24h'!H77)</f>
        <v>0</v>
      </c>
      <c r="I77" s="49">
        <f>AVERAGE('19.10 NGOMA-KAPEEKA-24h'!I77,'21.10 NGOMA KAPEEKA-24h'!I77)</f>
        <v>1.5</v>
      </c>
      <c r="J77" s="49">
        <f>AVERAGE('19.10 NGOMA-KAPEEKA-24h'!J77,'21.10 NGOMA KAPEEKA-24h'!J77)</f>
        <v>0</v>
      </c>
      <c r="K77" s="49">
        <f>AVERAGE('19.10 NGOMA-KAPEEKA-24h'!K77,'21.10 NGOMA KAPEEKA-24h'!K77)</f>
        <v>0</v>
      </c>
      <c r="L77" s="49">
        <f>AVERAGE('19.10 NGOMA-KAPEEKA-24h'!L77,'21.10 NGOMA KAPEEKA-24h'!L77)</f>
        <v>0</v>
      </c>
      <c r="M77" s="49">
        <f>AVERAGE('19.10 NGOMA-KAPEEKA-24h'!M77,'21.10 NGOMA KAPEEKA-24h'!M77)</f>
        <v>0</v>
      </c>
      <c r="N77" s="49">
        <f>AVERAGE('19.10 NGOMA-KAPEEKA-24h'!N77,'21.10 NGOMA KAPEEKA-24h'!N77)</f>
        <v>0</v>
      </c>
      <c r="O77" s="15">
        <f t="shared" si="35"/>
        <v>1.5</v>
      </c>
      <c r="P77" s="15">
        <f t="shared" si="36"/>
        <v>1.5</v>
      </c>
      <c r="R77" s="8"/>
      <c r="T77"/>
    </row>
    <row r="78" spans="2:20" ht="23.1" customHeight="1" x14ac:dyDescent="0.25">
      <c r="B78" s="24" t="s">
        <v>118</v>
      </c>
      <c r="C78" s="49">
        <f>AVERAGE('19.10 NGOMA-KAPEEKA-24h'!C78,'21.10 NGOMA KAPEEKA-24h'!C78)</f>
        <v>0</v>
      </c>
      <c r="D78" s="49">
        <f>AVERAGE('19.10 NGOMA-KAPEEKA-24h'!D78,'21.10 NGOMA KAPEEKA-24h'!D78)</f>
        <v>0</v>
      </c>
      <c r="E78" s="49">
        <f>AVERAGE('19.10 NGOMA-KAPEEKA-24h'!E78,'21.10 NGOMA KAPEEKA-24h'!E78)</f>
        <v>0</v>
      </c>
      <c r="F78" s="49">
        <f>AVERAGE('19.10 NGOMA-KAPEEKA-24h'!F78,'21.10 NGOMA KAPEEKA-24h'!F78)</f>
        <v>0</v>
      </c>
      <c r="G78" s="49">
        <f>AVERAGE('19.10 NGOMA-KAPEEKA-24h'!G78,'21.10 NGOMA KAPEEKA-24h'!G78)</f>
        <v>0</v>
      </c>
      <c r="H78" s="49">
        <f>AVERAGE('19.10 NGOMA-KAPEEKA-24h'!H78,'21.10 NGOMA KAPEEKA-24h'!H78)</f>
        <v>0</v>
      </c>
      <c r="I78" s="49">
        <f>AVERAGE('19.10 NGOMA-KAPEEKA-24h'!I78,'21.10 NGOMA KAPEEKA-24h'!I78)</f>
        <v>1</v>
      </c>
      <c r="J78" s="49">
        <f>AVERAGE('19.10 NGOMA-KAPEEKA-24h'!J78,'21.10 NGOMA KAPEEKA-24h'!J78)</f>
        <v>0</v>
      </c>
      <c r="K78" s="49">
        <f>AVERAGE('19.10 NGOMA-KAPEEKA-24h'!K78,'21.10 NGOMA KAPEEKA-24h'!K78)</f>
        <v>0</v>
      </c>
      <c r="L78" s="49">
        <f>AVERAGE('19.10 NGOMA-KAPEEKA-24h'!L78,'21.10 NGOMA KAPEEKA-24h'!L78)</f>
        <v>0</v>
      </c>
      <c r="M78" s="49">
        <f>AVERAGE('19.10 NGOMA-KAPEEKA-24h'!M78,'21.10 NGOMA KAPEEKA-24h'!M78)</f>
        <v>0.5</v>
      </c>
      <c r="N78" s="49">
        <f>AVERAGE('19.10 NGOMA-KAPEEKA-24h'!N78,'21.10 NGOMA KAPEEKA-24h'!N78)</f>
        <v>0</v>
      </c>
      <c r="O78" s="15">
        <f t="shared" si="35"/>
        <v>1</v>
      </c>
      <c r="P78" s="15">
        <f t="shared" si="36"/>
        <v>1.5</v>
      </c>
      <c r="R78" s="8"/>
      <c r="T78"/>
    </row>
    <row r="79" spans="2:20" ht="23.1" customHeight="1" x14ac:dyDescent="0.25">
      <c r="B79" s="23" t="s">
        <v>119</v>
      </c>
      <c r="C79" s="49">
        <f>AVERAGE('19.10 NGOMA-KAPEEKA-24h'!C79,'21.10 NGOMA KAPEEKA-24h'!C79)</f>
        <v>0</v>
      </c>
      <c r="D79" s="49">
        <f>AVERAGE('19.10 NGOMA-KAPEEKA-24h'!D79,'21.10 NGOMA KAPEEKA-24h'!D79)</f>
        <v>0</v>
      </c>
      <c r="E79" s="49">
        <f>AVERAGE('19.10 NGOMA-KAPEEKA-24h'!E79,'21.10 NGOMA KAPEEKA-24h'!E79)</f>
        <v>0</v>
      </c>
      <c r="F79" s="49">
        <f>AVERAGE('19.10 NGOMA-KAPEEKA-24h'!F79,'21.10 NGOMA KAPEEKA-24h'!F79)</f>
        <v>0</v>
      </c>
      <c r="G79" s="49">
        <f>AVERAGE('19.10 NGOMA-KAPEEKA-24h'!G79,'21.10 NGOMA KAPEEKA-24h'!G79)</f>
        <v>0</v>
      </c>
      <c r="H79" s="49">
        <f>AVERAGE('19.10 NGOMA-KAPEEKA-24h'!H79,'21.10 NGOMA KAPEEKA-24h'!H79)</f>
        <v>0</v>
      </c>
      <c r="I79" s="49">
        <f>AVERAGE('19.10 NGOMA-KAPEEKA-24h'!I79,'21.10 NGOMA KAPEEKA-24h'!I79)</f>
        <v>0</v>
      </c>
      <c r="J79" s="49">
        <f>AVERAGE('19.10 NGOMA-KAPEEKA-24h'!J79,'21.10 NGOMA KAPEEKA-24h'!J79)</f>
        <v>0</v>
      </c>
      <c r="K79" s="49">
        <f>AVERAGE('19.10 NGOMA-KAPEEKA-24h'!K79,'21.10 NGOMA KAPEEKA-24h'!K79)</f>
        <v>0</v>
      </c>
      <c r="L79" s="49">
        <f>AVERAGE('19.10 NGOMA-KAPEEKA-24h'!L79,'21.10 NGOMA KAPEEKA-24h'!L79)</f>
        <v>0</v>
      </c>
      <c r="M79" s="49">
        <f>AVERAGE('19.10 NGOMA-KAPEEKA-24h'!M79,'21.10 NGOMA KAPEEKA-24h'!M79)</f>
        <v>0</v>
      </c>
      <c r="N79" s="49">
        <f>AVERAGE('19.10 NGOMA-KAPEEKA-24h'!N79,'21.10 NGOMA KAPEEKA-24h'!N79)</f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25" t="s">
        <v>120</v>
      </c>
      <c r="C80" s="49">
        <f>AVERAGE('19.10 NGOMA-KAPEEKA-24h'!C80,'21.10 NGOMA KAPEEKA-24h'!C80)</f>
        <v>0</v>
      </c>
      <c r="D80" s="49">
        <f>AVERAGE('19.10 NGOMA-KAPEEKA-24h'!D80,'21.10 NGOMA KAPEEKA-24h'!D80)</f>
        <v>0</v>
      </c>
      <c r="E80" s="49">
        <f>AVERAGE('19.10 NGOMA-KAPEEKA-24h'!E80,'21.10 NGOMA KAPEEKA-24h'!E80)</f>
        <v>0</v>
      </c>
      <c r="F80" s="49">
        <f>AVERAGE('19.10 NGOMA-KAPEEKA-24h'!F80,'21.10 NGOMA KAPEEKA-24h'!F80)</f>
        <v>0</v>
      </c>
      <c r="G80" s="49">
        <f>AVERAGE('19.10 NGOMA-KAPEEKA-24h'!G80,'21.10 NGOMA KAPEEKA-24h'!G80)</f>
        <v>0</v>
      </c>
      <c r="H80" s="49">
        <f>AVERAGE('19.10 NGOMA-KAPEEKA-24h'!H80,'21.10 NGOMA KAPEEKA-24h'!H80)</f>
        <v>0</v>
      </c>
      <c r="I80" s="49">
        <f>AVERAGE('19.10 NGOMA-KAPEEKA-24h'!I80,'21.10 NGOMA KAPEEKA-24h'!I80)</f>
        <v>1</v>
      </c>
      <c r="J80" s="49">
        <f>AVERAGE('19.10 NGOMA-KAPEEKA-24h'!J80,'21.10 NGOMA KAPEEKA-24h'!J80)</f>
        <v>0</v>
      </c>
      <c r="K80" s="49">
        <f>AVERAGE('19.10 NGOMA-KAPEEKA-24h'!K80,'21.10 NGOMA KAPEEKA-24h'!K80)</f>
        <v>0</v>
      </c>
      <c r="L80" s="49">
        <f>AVERAGE('19.10 NGOMA-KAPEEKA-24h'!L80,'21.10 NGOMA KAPEEKA-24h'!L80)</f>
        <v>0</v>
      </c>
      <c r="M80" s="49">
        <f>AVERAGE('19.10 NGOMA-KAPEEKA-24h'!M80,'21.10 NGOMA KAPEEKA-24h'!M80)</f>
        <v>0.5</v>
      </c>
      <c r="N80" s="49">
        <f>AVERAGE('19.10 NGOMA-KAPEEKA-24h'!N80,'21.10 NGOMA KAPEEKA-24h'!N80)</f>
        <v>0</v>
      </c>
      <c r="O80" s="15">
        <f t="shared" si="35"/>
        <v>1</v>
      </c>
      <c r="P80" s="15">
        <f t="shared" si="36"/>
        <v>1.5</v>
      </c>
      <c r="R80" s="8"/>
      <c r="T80"/>
    </row>
    <row r="81" spans="2:20" ht="23.1" customHeight="1" x14ac:dyDescent="0.25">
      <c r="B81" s="23" t="s">
        <v>121</v>
      </c>
      <c r="C81" s="49">
        <f>AVERAGE('19.10 NGOMA-KAPEEKA-24h'!C81,'21.10 NGOMA KAPEEKA-24h'!C81)</f>
        <v>0</v>
      </c>
      <c r="D81" s="49">
        <f>AVERAGE('19.10 NGOMA-KAPEEKA-24h'!D81,'21.10 NGOMA KAPEEKA-24h'!D81)</f>
        <v>0</v>
      </c>
      <c r="E81" s="49">
        <f>AVERAGE('19.10 NGOMA-KAPEEKA-24h'!E81,'21.10 NGOMA KAPEEKA-24h'!E81)</f>
        <v>0</v>
      </c>
      <c r="F81" s="49">
        <f>AVERAGE('19.10 NGOMA-KAPEEKA-24h'!F81,'21.10 NGOMA KAPEEKA-24h'!F81)</f>
        <v>0</v>
      </c>
      <c r="G81" s="49">
        <f>AVERAGE('19.10 NGOMA-KAPEEKA-24h'!G81,'21.10 NGOMA KAPEEKA-24h'!G81)</f>
        <v>0</v>
      </c>
      <c r="H81" s="49">
        <f>AVERAGE('19.10 NGOMA-KAPEEKA-24h'!H81,'21.10 NGOMA KAPEEKA-24h'!H81)</f>
        <v>0</v>
      </c>
      <c r="I81" s="49">
        <f>AVERAGE('19.10 NGOMA-KAPEEKA-24h'!I81,'21.10 NGOMA KAPEEKA-24h'!I81)</f>
        <v>1</v>
      </c>
      <c r="J81" s="49">
        <f>AVERAGE('19.10 NGOMA-KAPEEKA-24h'!J81,'21.10 NGOMA KAPEEKA-24h'!J81)</f>
        <v>0</v>
      </c>
      <c r="K81" s="49">
        <f>AVERAGE('19.10 NGOMA-KAPEEKA-24h'!K81,'21.10 NGOMA KAPEEKA-24h'!K81)</f>
        <v>0</v>
      </c>
      <c r="L81" s="49">
        <f>AVERAGE('19.10 NGOMA-KAPEEKA-24h'!L81,'21.10 NGOMA KAPEEKA-24h'!L81)</f>
        <v>0</v>
      </c>
      <c r="M81" s="49">
        <f>AVERAGE('19.10 NGOMA-KAPEEKA-24h'!M81,'21.10 NGOMA KAPEEKA-24h'!M81)</f>
        <v>0</v>
      </c>
      <c r="N81" s="49">
        <f>AVERAGE('19.10 NGOMA-KAPEEKA-24h'!N81,'21.10 NGOMA KAPEEKA-24h'!N81)</f>
        <v>0</v>
      </c>
      <c r="O81" s="15">
        <f t="shared" si="35"/>
        <v>1</v>
      </c>
      <c r="P81" s="15">
        <f t="shared" si="36"/>
        <v>1</v>
      </c>
      <c r="R81" s="8"/>
      <c r="T81"/>
    </row>
    <row r="82" spans="2:20" ht="23.1" customHeight="1" x14ac:dyDescent="0.25">
      <c r="B82" s="24" t="s">
        <v>122</v>
      </c>
      <c r="C82" s="49">
        <f>AVERAGE('19.10 NGOMA-KAPEEKA-24h'!C82,'21.10 NGOMA KAPEEKA-24h'!C82)</f>
        <v>0.5</v>
      </c>
      <c r="D82" s="49">
        <f>AVERAGE('19.10 NGOMA-KAPEEKA-24h'!D82,'21.10 NGOMA KAPEEKA-24h'!D82)</f>
        <v>0</v>
      </c>
      <c r="E82" s="49">
        <f>AVERAGE('19.10 NGOMA-KAPEEKA-24h'!E82,'21.10 NGOMA KAPEEKA-24h'!E82)</f>
        <v>0</v>
      </c>
      <c r="F82" s="49">
        <f>AVERAGE('19.10 NGOMA-KAPEEKA-24h'!F82,'21.10 NGOMA KAPEEKA-24h'!F82)</f>
        <v>0</v>
      </c>
      <c r="G82" s="49">
        <f>AVERAGE('19.10 NGOMA-KAPEEKA-24h'!G82,'21.10 NGOMA KAPEEKA-24h'!G82)</f>
        <v>0</v>
      </c>
      <c r="H82" s="49">
        <f>AVERAGE('19.10 NGOMA-KAPEEKA-24h'!H82,'21.10 NGOMA KAPEEKA-24h'!H82)</f>
        <v>0</v>
      </c>
      <c r="I82" s="49">
        <f>AVERAGE('19.10 NGOMA-KAPEEKA-24h'!I82,'21.10 NGOMA KAPEEKA-24h'!I82)</f>
        <v>0</v>
      </c>
      <c r="J82" s="49">
        <f>AVERAGE('19.10 NGOMA-KAPEEKA-24h'!J82,'21.10 NGOMA KAPEEKA-24h'!J82)</f>
        <v>0</v>
      </c>
      <c r="K82" s="49">
        <f>AVERAGE('19.10 NGOMA-KAPEEKA-24h'!K82,'21.10 NGOMA KAPEEKA-24h'!K82)</f>
        <v>0</v>
      </c>
      <c r="L82" s="49">
        <f>AVERAGE('19.10 NGOMA-KAPEEKA-24h'!L82,'21.10 NGOMA KAPEEKA-24h'!L82)</f>
        <v>0</v>
      </c>
      <c r="M82" s="49">
        <f>AVERAGE('19.10 NGOMA-KAPEEKA-24h'!M82,'21.10 NGOMA KAPEEKA-24h'!M82)</f>
        <v>0</v>
      </c>
      <c r="N82" s="49">
        <f>AVERAGE('19.10 NGOMA-KAPEEKA-24h'!N82,'21.10 NGOMA KAPEEKA-24h'!N82)</f>
        <v>0</v>
      </c>
      <c r="O82" s="15">
        <f t="shared" si="35"/>
        <v>0.5</v>
      </c>
      <c r="P82" s="15">
        <f t="shared" si="36"/>
        <v>0.5</v>
      </c>
      <c r="R82" s="8"/>
      <c r="T82"/>
    </row>
    <row r="83" spans="2:20" ht="23.1" customHeight="1" x14ac:dyDescent="0.25">
      <c r="B83" s="23" t="s">
        <v>123</v>
      </c>
      <c r="C83" s="49">
        <f>AVERAGE('19.10 NGOMA-KAPEEKA-24h'!C83,'21.10 NGOMA KAPEEKA-24h'!C83)</f>
        <v>0</v>
      </c>
      <c r="D83" s="49">
        <f>AVERAGE('19.10 NGOMA-KAPEEKA-24h'!D83,'21.10 NGOMA KAPEEKA-24h'!D83)</f>
        <v>0</v>
      </c>
      <c r="E83" s="49">
        <f>AVERAGE('19.10 NGOMA-KAPEEKA-24h'!E83,'21.10 NGOMA KAPEEKA-24h'!E83)</f>
        <v>0</v>
      </c>
      <c r="F83" s="49">
        <f>AVERAGE('19.10 NGOMA-KAPEEKA-24h'!F83,'21.10 NGOMA KAPEEKA-24h'!F83)</f>
        <v>0</v>
      </c>
      <c r="G83" s="49">
        <f>AVERAGE('19.10 NGOMA-KAPEEKA-24h'!G83,'21.10 NGOMA KAPEEKA-24h'!G83)</f>
        <v>0</v>
      </c>
      <c r="H83" s="49">
        <f>AVERAGE('19.10 NGOMA-KAPEEKA-24h'!H83,'21.10 NGOMA KAPEEKA-24h'!H83)</f>
        <v>0</v>
      </c>
      <c r="I83" s="49">
        <f>AVERAGE('19.10 NGOMA-KAPEEKA-24h'!I83,'21.10 NGOMA KAPEEKA-24h'!I83)</f>
        <v>0.5</v>
      </c>
      <c r="J83" s="49">
        <f>AVERAGE('19.10 NGOMA-KAPEEKA-24h'!J83,'21.10 NGOMA KAPEEKA-24h'!J83)</f>
        <v>0</v>
      </c>
      <c r="K83" s="49">
        <f>AVERAGE('19.10 NGOMA-KAPEEKA-24h'!K83,'21.10 NGOMA KAPEEKA-24h'!K83)</f>
        <v>0</v>
      </c>
      <c r="L83" s="49">
        <f>AVERAGE('19.10 NGOMA-KAPEEKA-24h'!L83,'21.10 NGOMA KAPEEKA-24h'!L83)</f>
        <v>0</v>
      </c>
      <c r="M83" s="49">
        <f>AVERAGE('19.10 NGOMA-KAPEEKA-24h'!M83,'21.10 NGOMA KAPEEKA-24h'!M83)</f>
        <v>0</v>
      </c>
      <c r="N83" s="49">
        <f>AVERAGE('19.10 NGOMA-KAPEEKA-24h'!N83,'21.10 NGOMA KAPEEKA-24h'!N83)</f>
        <v>0</v>
      </c>
      <c r="O83" s="15">
        <f t="shared" si="35"/>
        <v>0.5</v>
      </c>
      <c r="P83" s="15">
        <f t="shared" si="36"/>
        <v>0.5</v>
      </c>
      <c r="R83" s="8"/>
      <c r="T83"/>
    </row>
    <row r="84" spans="2:20" ht="23.1" customHeight="1" x14ac:dyDescent="0.25">
      <c r="B84" s="25" t="s">
        <v>124</v>
      </c>
      <c r="C84" s="49">
        <f>AVERAGE('19.10 NGOMA-KAPEEKA-24h'!C84,'21.10 NGOMA KAPEEKA-24h'!C84)</f>
        <v>0</v>
      </c>
      <c r="D84" s="49">
        <f>AVERAGE('19.10 NGOMA-KAPEEKA-24h'!D84,'21.10 NGOMA KAPEEKA-24h'!D84)</f>
        <v>0</v>
      </c>
      <c r="E84" s="49">
        <f>AVERAGE('19.10 NGOMA-KAPEEKA-24h'!E84,'21.10 NGOMA KAPEEKA-24h'!E84)</f>
        <v>0</v>
      </c>
      <c r="F84" s="49">
        <f>AVERAGE('19.10 NGOMA-KAPEEKA-24h'!F84,'21.10 NGOMA KAPEEKA-24h'!F84)</f>
        <v>0</v>
      </c>
      <c r="G84" s="49">
        <f>AVERAGE('19.10 NGOMA-KAPEEKA-24h'!G84,'21.10 NGOMA KAPEEKA-24h'!G84)</f>
        <v>0</v>
      </c>
      <c r="H84" s="49">
        <f>AVERAGE('19.10 NGOMA-KAPEEKA-24h'!H84,'21.10 NGOMA KAPEEKA-24h'!H84)</f>
        <v>0</v>
      </c>
      <c r="I84" s="49">
        <f>AVERAGE('19.10 NGOMA-KAPEEKA-24h'!I84,'21.10 NGOMA KAPEEKA-24h'!I84)</f>
        <v>0</v>
      </c>
      <c r="J84" s="49">
        <f>AVERAGE('19.10 NGOMA-KAPEEKA-24h'!J84,'21.10 NGOMA KAPEEKA-24h'!J84)</f>
        <v>0</v>
      </c>
      <c r="K84" s="49">
        <f>AVERAGE('19.10 NGOMA-KAPEEKA-24h'!K84,'21.10 NGOMA KAPEEKA-24h'!K84)</f>
        <v>0</v>
      </c>
      <c r="L84" s="49">
        <f>AVERAGE('19.10 NGOMA-KAPEEKA-24h'!L84,'21.10 NGOMA KAPEEKA-24h'!L84)</f>
        <v>0</v>
      </c>
      <c r="M84" s="49">
        <f>AVERAGE('19.10 NGOMA-KAPEEKA-24h'!M84,'21.10 NGOMA KAPEEKA-24h'!M84)</f>
        <v>0</v>
      </c>
      <c r="N84" s="49">
        <f>AVERAGE('19.10 NGOMA-KAPEEKA-24h'!N84,'21.10 NGOMA KAPEEKA-24h'!N84)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AVERAGE('19.10 NGOMA-KAPEEKA-24h'!C85,'21.10 NGOMA KAPEEKA-24h'!C85)</f>
        <v>0</v>
      </c>
      <c r="D85" s="49">
        <f>AVERAGE('19.10 NGOMA-KAPEEKA-24h'!D85,'21.10 NGOMA KAPEEKA-24h'!D85)</f>
        <v>0</v>
      </c>
      <c r="E85" s="49">
        <f>AVERAGE('19.10 NGOMA-KAPEEKA-24h'!E85,'21.10 NGOMA KAPEEKA-24h'!E85)</f>
        <v>0</v>
      </c>
      <c r="F85" s="49">
        <f>AVERAGE('19.10 NGOMA-KAPEEKA-24h'!F85,'21.10 NGOMA KAPEEKA-24h'!F85)</f>
        <v>0</v>
      </c>
      <c r="G85" s="49">
        <f>AVERAGE('19.10 NGOMA-KAPEEKA-24h'!G85,'21.10 NGOMA KAPEEKA-24h'!G85)</f>
        <v>0</v>
      </c>
      <c r="H85" s="49">
        <f>AVERAGE('19.10 NGOMA-KAPEEKA-24h'!H85,'21.10 NGOMA KAPEEKA-24h'!H85)</f>
        <v>0</v>
      </c>
      <c r="I85" s="49">
        <f>AVERAGE('19.10 NGOMA-KAPEEKA-24h'!I85,'21.10 NGOMA KAPEEKA-24h'!I85)</f>
        <v>0</v>
      </c>
      <c r="J85" s="49">
        <f>AVERAGE('19.10 NGOMA-KAPEEKA-24h'!J85,'21.10 NGOMA KAPEEKA-24h'!J85)</f>
        <v>0</v>
      </c>
      <c r="K85" s="49">
        <f>AVERAGE('19.10 NGOMA-KAPEEKA-24h'!K85,'21.10 NGOMA KAPEEKA-24h'!K85)</f>
        <v>0</v>
      </c>
      <c r="L85" s="49">
        <f>AVERAGE('19.10 NGOMA-KAPEEKA-24h'!L85,'21.10 NGOMA KAPEEKA-24h'!L85)</f>
        <v>0</v>
      </c>
      <c r="M85" s="49">
        <f>AVERAGE('19.10 NGOMA-KAPEEKA-24h'!M85,'21.10 NGOMA KAPEEKA-24h'!M85)</f>
        <v>0</v>
      </c>
      <c r="N85" s="49">
        <f>AVERAGE('19.10 NGOMA-KAPEEKA-24h'!N85,'21.10 NGOMA KAPEEKA-24h'!N85)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49">
        <f>AVERAGE('19.10 NGOMA-KAPEEKA-24h'!C86,'21.10 NGOMA KAPEEKA-24h'!C86)</f>
        <v>0</v>
      </c>
      <c r="D86" s="49">
        <f>AVERAGE('19.10 NGOMA-KAPEEKA-24h'!D86,'21.10 NGOMA KAPEEKA-24h'!D86)</f>
        <v>0</v>
      </c>
      <c r="E86" s="49">
        <f>AVERAGE('19.10 NGOMA-KAPEEKA-24h'!E86,'21.10 NGOMA KAPEEKA-24h'!E86)</f>
        <v>0</v>
      </c>
      <c r="F86" s="49">
        <f>AVERAGE('19.10 NGOMA-KAPEEKA-24h'!F86,'21.10 NGOMA KAPEEKA-24h'!F86)</f>
        <v>0</v>
      </c>
      <c r="G86" s="49">
        <f>AVERAGE('19.10 NGOMA-KAPEEKA-24h'!G86,'21.10 NGOMA KAPEEKA-24h'!G86)</f>
        <v>0</v>
      </c>
      <c r="H86" s="49">
        <f>AVERAGE('19.10 NGOMA-KAPEEKA-24h'!H86,'21.10 NGOMA KAPEEKA-24h'!H86)</f>
        <v>0</v>
      </c>
      <c r="I86" s="49">
        <f>AVERAGE('19.10 NGOMA-KAPEEKA-24h'!I86,'21.10 NGOMA KAPEEKA-24h'!I86)</f>
        <v>0</v>
      </c>
      <c r="J86" s="49">
        <f>AVERAGE('19.10 NGOMA-KAPEEKA-24h'!J86,'21.10 NGOMA KAPEEKA-24h'!J86)</f>
        <v>0</v>
      </c>
      <c r="K86" s="49">
        <f>AVERAGE('19.10 NGOMA-KAPEEKA-24h'!K86,'21.10 NGOMA KAPEEKA-24h'!K86)</f>
        <v>0</v>
      </c>
      <c r="L86" s="49">
        <f>AVERAGE('19.10 NGOMA-KAPEEKA-24h'!L86,'21.10 NGOMA KAPEEKA-24h'!L86)</f>
        <v>0</v>
      </c>
      <c r="M86" s="49">
        <f>AVERAGE('19.10 NGOMA-KAPEEKA-24h'!M86,'21.10 NGOMA KAPEEKA-24h'!M86)</f>
        <v>0</v>
      </c>
      <c r="N86" s="49">
        <f>AVERAGE('19.10 NGOMA-KAPEEKA-24h'!N86,'21.10 NGOMA KAPEEKA-24h'!N86)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49">
        <f>AVERAGE('19.10 NGOMA-KAPEEKA-24h'!C87,'21.10 NGOMA KAPEEKA-24h'!C87)</f>
        <v>0</v>
      </c>
      <c r="D87" s="49">
        <f>AVERAGE('19.10 NGOMA-KAPEEKA-24h'!D87,'21.10 NGOMA KAPEEKA-24h'!D87)</f>
        <v>0</v>
      </c>
      <c r="E87" s="49">
        <f>AVERAGE('19.10 NGOMA-KAPEEKA-24h'!E87,'21.10 NGOMA KAPEEKA-24h'!E87)</f>
        <v>0</v>
      </c>
      <c r="F87" s="49">
        <f>AVERAGE('19.10 NGOMA-KAPEEKA-24h'!F87,'21.10 NGOMA KAPEEKA-24h'!F87)</f>
        <v>0</v>
      </c>
      <c r="G87" s="49">
        <f>AVERAGE('19.10 NGOMA-KAPEEKA-24h'!G87,'21.10 NGOMA KAPEEKA-24h'!G87)</f>
        <v>0</v>
      </c>
      <c r="H87" s="49">
        <f>AVERAGE('19.10 NGOMA-KAPEEKA-24h'!H87,'21.10 NGOMA KAPEEKA-24h'!H87)</f>
        <v>0</v>
      </c>
      <c r="I87" s="49">
        <f>AVERAGE('19.10 NGOMA-KAPEEKA-24h'!I87,'21.10 NGOMA KAPEEKA-24h'!I87)</f>
        <v>0</v>
      </c>
      <c r="J87" s="49">
        <f>AVERAGE('19.10 NGOMA-KAPEEKA-24h'!J87,'21.10 NGOMA KAPEEKA-24h'!J87)</f>
        <v>0</v>
      </c>
      <c r="K87" s="49">
        <f>AVERAGE('19.10 NGOMA-KAPEEKA-24h'!K87,'21.10 NGOMA KAPEEKA-24h'!K87)</f>
        <v>0</v>
      </c>
      <c r="L87" s="49">
        <f>AVERAGE('19.10 NGOMA-KAPEEKA-24h'!L87,'21.10 NGOMA KAPEEKA-24h'!L87)</f>
        <v>0</v>
      </c>
      <c r="M87" s="49">
        <f>AVERAGE('19.10 NGOMA-KAPEEKA-24h'!M87,'21.10 NGOMA KAPEEKA-24h'!M87)</f>
        <v>0</v>
      </c>
      <c r="N87" s="49">
        <f>AVERAGE('19.10 NGOMA-KAPEEKA-24h'!N87,'21.10 NGOMA KAPEEKA-24h'!N87)</f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25" t="s">
        <v>128</v>
      </c>
      <c r="C88" s="49">
        <f>AVERAGE('19.10 NGOMA-KAPEEKA-24h'!C88,'21.10 NGOMA KAPEEKA-24h'!C88)</f>
        <v>0</v>
      </c>
      <c r="D88" s="49">
        <f>AVERAGE('19.10 NGOMA-KAPEEKA-24h'!D88,'21.10 NGOMA KAPEEKA-24h'!D88)</f>
        <v>0</v>
      </c>
      <c r="E88" s="49">
        <f>AVERAGE('19.10 NGOMA-KAPEEKA-24h'!E88,'21.10 NGOMA KAPEEKA-24h'!E88)</f>
        <v>0</v>
      </c>
      <c r="F88" s="49">
        <f>AVERAGE('19.10 NGOMA-KAPEEKA-24h'!F88,'21.10 NGOMA KAPEEKA-24h'!F88)</f>
        <v>0</v>
      </c>
      <c r="G88" s="49">
        <f>AVERAGE('19.10 NGOMA-KAPEEKA-24h'!G88,'21.10 NGOMA KAPEEKA-24h'!G88)</f>
        <v>0</v>
      </c>
      <c r="H88" s="49">
        <f>AVERAGE('19.10 NGOMA-KAPEEKA-24h'!H88,'21.10 NGOMA KAPEEKA-24h'!H88)</f>
        <v>0</v>
      </c>
      <c r="I88" s="49">
        <f>AVERAGE('19.10 NGOMA-KAPEEKA-24h'!I88,'21.10 NGOMA KAPEEKA-24h'!I88)</f>
        <v>0</v>
      </c>
      <c r="J88" s="49">
        <f>AVERAGE('19.10 NGOMA-KAPEEKA-24h'!J88,'21.10 NGOMA KAPEEKA-24h'!J88)</f>
        <v>0</v>
      </c>
      <c r="K88" s="49">
        <f>AVERAGE('19.10 NGOMA-KAPEEKA-24h'!K88,'21.10 NGOMA KAPEEKA-24h'!K88)</f>
        <v>0</v>
      </c>
      <c r="L88" s="49">
        <f>AVERAGE('19.10 NGOMA-KAPEEKA-24h'!L88,'21.10 NGOMA KAPEEKA-24h'!L88)</f>
        <v>0</v>
      </c>
      <c r="M88" s="49">
        <f>AVERAGE('19.10 NGOMA-KAPEEKA-24h'!M88,'21.10 NGOMA KAPEEKA-24h'!M88)</f>
        <v>0</v>
      </c>
      <c r="N88" s="49">
        <f>AVERAGE('19.10 NGOMA-KAPEEKA-24h'!N88,'21.10 NGOMA KAPEEKA-24h'!N88)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AVERAGE('19.10 NGOMA-KAPEEKA-24h'!C89,'21.10 NGOMA KAPEEKA-24h'!C89)</f>
        <v>0</v>
      </c>
      <c r="D89" s="49">
        <f>AVERAGE('19.10 NGOMA-KAPEEKA-24h'!D89,'21.10 NGOMA KAPEEKA-24h'!D89)</f>
        <v>0</v>
      </c>
      <c r="E89" s="49">
        <f>AVERAGE('19.10 NGOMA-KAPEEKA-24h'!E89,'21.10 NGOMA KAPEEKA-24h'!E89)</f>
        <v>0</v>
      </c>
      <c r="F89" s="49">
        <f>AVERAGE('19.10 NGOMA-KAPEEKA-24h'!F89,'21.10 NGOMA KAPEEKA-24h'!F89)</f>
        <v>0</v>
      </c>
      <c r="G89" s="49">
        <f>AVERAGE('19.10 NGOMA-KAPEEKA-24h'!G89,'21.10 NGOMA KAPEEKA-24h'!G89)</f>
        <v>0</v>
      </c>
      <c r="H89" s="49">
        <f>AVERAGE('19.10 NGOMA-KAPEEKA-24h'!H89,'21.10 NGOMA KAPEEKA-24h'!H89)</f>
        <v>0</v>
      </c>
      <c r="I89" s="49">
        <f>AVERAGE('19.10 NGOMA-KAPEEKA-24h'!I89,'21.10 NGOMA KAPEEKA-24h'!I89)</f>
        <v>0</v>
      </c>
      <c r="J89" s="49">
        <f>AVERAGE('19.10 NGOMA-KAPEEKA-24h'!J89,'21.10 NGOMA KAPEEKA-24h'!J89)</f>
        <v>0</v>
      </c>
      <c r="K89" s="49">
        <f>AVERAGE('19.10 NGOMA-KAPEEKA-24h'!K89,'21.10 NGOMA KAPEEKA-24h'!K89)</f>
        <v>0.5</v>
      </c>
      <c r="L89" s="49">
        <f>AVERAGE('19.10 NGOMA-KAPEEKA-24h'!L89,'21.10 NGOMA KAPEEKA-24h'!L89)</f>
        <v>0</v>
      </c>
      <c r="M89" s="49">
        <f>AVERAGE('19.10 NGOMA-KAPEEKA-24h'!M89,'21.10 NGOMA KAPEEKA-24h'!M89)</f>
        <v>0</v>
      </c>
      <c r="N89" s="49">
        <f>AVERAGE('19.10 NGOMA-KAPEEKA-24h'!N89,'21.10 NGOMA KAPEEKA-24h'!N89)</f>
        <v>0</v>
      </c>
      <c r="O89" s="15">
        <f t="shared" si="35"/>
        <v>0.5</v>
      </c>
      <c r="P89" s="15">
        <f t="shared" si="36"/>
        <v>0.5</v>
      </c>
      <c r="R89" s="8"/>
      <c r="T89"/>
    </row>
    <row r="90" spans="2:20" ht="23.1" customHeight="1" x14ac:dyDescent="0.25">
      <c r="B90" s="24" t="s">
        <v>130</v>
      </c>
      <c r="C90" s="49">
        <f>AVERAGE('19.10 NGOMA-KAPEEKA-24h'!C90,'21.10 NGOMA KAPEEKA-24h'!C90)</f>
        <v>0</v>
      </c>
      <c r="D90" s="49">
        <f>AVERAGE('19.10 NGOMA-KAPEEKA-24h'!D90,'21.10 NGOMA KAPEEKA-24h'!D90)</f>
        <v>0</v>
      </c>
      <c r="E90" s="49">
        <f>AVERAGE('19.10 NGOMA-KAPEEKA-24h'!E90,'21.10 NGOMA KAPEEKA-24h'!E90)</f>
        <v>0</v>
      </c>
      <c r="F90" s="49">
        <f>AVERAGE('19.10 NGOMA-KAPEEKA-24h'!F90,'21.10 NGOMA KAPEEKA-24h'!F90)</f>
        <v>0</v>
      </c>
      <c r="G90" s="49">
        <f>AVERAGE('19.10 NGOMA-KAPEEKA-24h'!G90,'21.10 NGOMA KAPEEKA-24h'!G90)</f>
        <v>0</v>
      </c>
      <c r="H90" s="49">
        <f>AVERAGE('19.10 NGOMA-KAPEEKA-24h'!H90,'21.10 NGOMA KAPEEKA-24h'!H90)</f>
        <v>0</v>
      </c>
      <c r="I90" s="49">
        <f>AVERAGE('19.10 NGOMA-KAPEEKA-24h'!I90,'21.10 NGOMA KAPEEKA-24h'!I90)</f>
        <v>0</v>
      </c>
      <c r="J90" s="49">
        <f>AVERAGE('19.10 NGOMA-KAPEEKA-24h'!J90,'21.10 NGOMA KAPEEKA-24h'!J90)</f>
        <v>0</v>
      </c>
      <c r="K90" s="49">
        <f>AVERAGE('19.10 NGOMA-KAPEEKA-24h'!K90,'21.10 NGOMA KAPEEKA-24h'!K90)</f>
        <v>0</v>
      </c>
      <c r="L90" s="49">
        <f>AVERAGE('19.10 NGOMA-KAPEEKA-24h'!L90,'21.10 NGOMA KAPEEKA-24h'!L90)</f>
        <v>0</v>
      </c>
      <c r="M90" s="49">
        <f>AVERAGE('19.10 NGOMA-KAPEEKA-24h'!M90,'21.10 NGOMA KAPEEKA-24h'!M90)</f>
        <v>0</v>
      </c>
      <c r="N90" s="49">
        <f>AVERAGE('19.10 NGOMA-KAPEEKA-24h'!N90,'21.10 NGOMA KAPEEKA-24h'!N90)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AVERAGE('19.10 NGOMA-KAPEEKA-24h'!C91,'21.10 NGOMA KAPEEKA-24h'!C91)</f>
        <v>0</v>
      </c>
      <c r="D91" s="49">
        <f>AVERAGE('19.10 NGOMA-KAPEEKA-24h'!D91,'21.10 NGOMA KAPEEKA-24h'!D91)</f>
        <v>0</v>
      </c>
      <c r="E91" s="49">
        <f>AVERAGE('19.10 NGOMA-KAPEEKA-24h'!E91,'21.10 NGOMA KAPEEKA-24h'!E91)</f>
        <v>0</v>
      </c>
      <c r="F91" s="49">
        <f>AVERAGE('19.10 NGOMA-KAPEEKA-24h'!F91,'21.10 NGOMA KAPEEKA-24h'!F91)</f>
        <v>0</v>
      </c>
      <c r="G91" s="49">
        <f>AVERAGE('19.10 NGOMA-KAPEEKA-24h'!G91,'21.10 NGOMA KAPEEKA-24h'!G91)</f>
        <v>0</v>
      </c>
      <c r="H91" s="49">
        <f>AVERAGE('19.10 NGOMA-KAPEEKA-24h'!H91,'21.10 NGOMA KAPEEKA-24h'!H91)</f>
        <v>0</v>
      </c>
      <c r="I91" s="49">
        <f>AVERAGE('19.10 NGOMA-KAPEEKA-24h'!I91,'21.10 NGOMA KAPEEKA-24h'!I91)</f>
        <v>0</v>
      </c>
      <c r="J91" s="49">
        <f>AVERAGE('19.10 NGOMA-KAPEEKA-24h'!J91,'21.10 NGOMA KAPEEKA-24h'!J91)</f>
        <v>0</v>
      </c>
      <c r="K91" s="49">
        <f>AVERAGE('19.10 NGOMA-KAPEEKA-24h'!K91,'21.10 NGOMA KAPEEKA-24h'!K91)</f>
        <v>0</v>
      </c>
      <c r="L91" s="49">
        <f>AVERAGE('19.10 NGOMA-KAPEEKA-24h'!L91,'21.10 NGOMA KAPEEKA-24h'!L91)</f>
        <v>0</v>
      </c>
      <c r="M91" s="49">
        <f>AVERAGE('19.10 NGOMA-KAPEEKA-24h'!M91,'21.10 NGOMA KAPEEKA-24h'!M91)</f>
        <v>0</v>
      </c>
      <c r="N91" s="49">
        <f>AVERAGE('19.10 NGOMA-KAPEEKA-24h'!N91,'21.10 NGOMA KAPEEKA-24h'!N91)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49">
        <f>AVERAGE('19.10 NGOMA-KAPEEKA-24h'!C92,'21.10 NGOMA KAPEEKA-24h'!C92)</f>
        <v>0</v>
      </c>
      <c r="D92" s="49">
        <f>AVERAGE('19.10 NGOMA-KAPEEKA-24h'!D92,'21.10 NGOMA KAPEEKA-24h'!D92)</f>
        <v>0</v>
      </c>
      <c r="E92" s="49">
        <f>AVERAGE('19.10 NGOMA-KAPEEKA-24h'!E92,'21.10 NGOMA KAPEEKA-24h'!E92)</f>
        <v>0</v>
      </c>
      <c r="F92" s="49">
        <f>AVERAGE('19.10 NGOMA-KAPEEKA-24h'!F92,'21.10 NGOMA KAPEEKA-24h'!F92)</f>
        <v>0</v>
      </c>
      <c r="G92" s="49">
        <f>AVERAGE('19.10 NGOMA-KAPEEKA-24h'!G92,'21.10 NGOMA KAPEEKA-24h'!G92)</f>
        <v>0</v>
      </c>
      <c r="H92" s="49">
        <f>AVERAGE('19.10 NGOMA-KAPEEKA-24h'!H92,'21.10 NGOMA KAPEEKA-24h'!H92)</f>
        <v>0</v>
      </c>
      <c r="I92" s="49">
        <f>AVERAGE('19.10 NGOMA-KAPEEKA-24h'!I92,'21.10 NGOMA KAPEEKA-24h'!I92)</f>
        <v>0</v>
      </c>
      <c r="J92" s="49">
        <f>AVERAGE('19.10 NGOMA-KAPEEKA-24h'!J92,'21.10 NGOMA KAPEEKA-24h'!J92)</f>
        <v>0</v>
      </c>
      <c r="K92" s="49">
        <f>AVERAGE('19.10 NGOMA-KAPEEKA-24h'!K92,'21.10 NGOMA KAPEEKA-24h'!K92)</f>
        <v>0</v>
      </c>
      <c r="L92" s="49">
        <f>AVERAGE('19.10 NGOMA-KAPEEKA-24h'!L92,'21.10 NGOMA KAPEEKA-24h'!L92)</f>
        <v>0</v>
      </c>
      <c r="M92" s="49">
        <f>AVERAGE('19.10 NGOMA-KAPEEKA-24h'!M92,'21.10 NGOMA KAPEEKA-24h'!M92)</f>
        <v>0</v>
      </c>
      <c r="N92" s="49">
        <f>AVERAGE('19.10 NGOMA-KAPEEKA-24h'!N92,'21.10 NGOMA KAPEEKA-24h'!N92)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AVERAGE('19.10 NGOMA-KAPEEKA-24h'!C93,'21.10 NGOMA KAPEEKA-24h'!C93)</f>
        <v>0</v>
      </c>
      <c r="D93" s="49">
        <f>AVERAGE('19.10 NGOMA-KAPEEKA-24h'!D93,'21.10 NGOMA KAPEEKA-24h'!D93)</f>
        <v>0</v>
      </c>
      <c r="E93" s="49">
        <f>AVERAGE('19.10 NGOMA-KAPEEKA-24h'!E93,'21.10 NGOMA KAPEEKA-24h'!E93)</f>
        <v>0</v>
      </c>
      <c r="F93" s="49">
        <f>AVERAGE('19.10 NGOMA-KAPEEKA-24h'!F93,'21.10 NGOMA KAPEEKA-24h'!F93)</f>
        <v>0</v>
      </c>
      <c r="G93" s="49">
        <f>AVERAGE('19.10 NGOMA-KAPEEKA-24h'!G93,'21.10 NGOMA KAPEEKA-24h'!G93)</f>
        <v>0</v>
      </c>
      <c r="H93" s="49">
        <f>AVERAGE('19.10 NGOMA-KAPEEKA-24h'!H93,'21.10 NGOMA KAPEEKA-24h'!H93)</f>
        <v>0</v>
      </c>
      <c r="I93" s="49">
        <f>AVERAGE('19.10 NGOMA-KAPEEKA-24h'!I93,'21.10 NGOMA KAPEEKA-24h'!I93)</f>
        <v>1</v>
      </c>
      <c r="J93" s="49">
        <f>AVERAGE('19.10 NGOMA-KAPEEKA-24h'!J93,'21.10 NGOMA KAPEEKA-24h'!J93)</f>
        <v>0</v>
      </c>
      <c r="K93" s="49">
        <f>AVERAGE('19.10 NGOMA-KAPEEKA-24h'!K93,'21.10 NGOMA KAPEEKA-24h'!K93)</f>
        <v>0</v>
      </c>
      <c r="L93" s="49">
        <f>AVERAGE('19.10 NGOMA-KAPEEKA-24h'!L93,'21.10 NGOMA KAPEEKA-24h'!L93)</f>
        <v>0</v>
      </c>
      <c r="M93" s="49">
        <f>AVERAGE('19.10 NGOMA-KAPEEKA-24h'!M93,'21.10 NGOMA KAPEEKA-24h'!M93)</f>
        <v>0</v>
      </c>
      <c r="N93" s="49">
        <f>AVERAGE('19.10 NGOMA-KAPEEKA-24h'!N93,'21.10 NGOMA KAPEEKA-24h'!N93)</f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24" t="s">
        <v>134</v>
      </c>
      <c r="C94" s="49">
        <f>AVERAGE('19.10 NGOMA-KAPEEKA-24h'!C94,'21.10 NGOMA KAPEEKA-24h'!C94)</f>
        <v>0</v>
      </c>
      <c r="D94" s="49">
        <f>AVERAGE('19.10 NGOMA-KAPEEKA-24h'!D94,'21.10 NGOMA KAPEEKA-24h'!D94)</f>
        <v>0</v>
      </c>
      <c r="E94" s="49">
        <f>AVERAGE('19.10 NGOMA-KAPEEKA-24h'!E94,'21.10 NGOMA KAPEEKA-24h'!E94)</f>
        <v>0</v>
      </c>
      <c r="F94" s="49">
        <f>AVERAGE('19.10 NGOMA-KAPEEKA-24h'!F94,'21.10 NGOMA KAPEEKA-24h'!F94)</f>
        <v>0</v>
      </c>
      <c r="G94" s="49">
        <f>AVERAGE('19.10 NGOMA-KAPEEKA-24h'!G94,'21.10 NGOMA KAPEEKA-24h'!G94)</f>
        <v>0</v>
      </c>
      <c r="H94" s="49">
        <f>AVERAGE('19.10 NGOMA-KAPEEKA-24h'!H94,'21.10 NGOMA KAPEEKA-24h'!H94)</f>
        <v>0</v>
      </c>
      <c r="I94" s="49">
        <f>AVERAGE('19.10 NGOMA-KAPEEKA-24h'!I94,'21.10 NGOMA KAPEEKA-24h'!I94)</f>
        <v>0.5</v>
      </c>
      <c r="J94" s="49">
        <f>AVERAGE('19.10 NGOMA-KAPEEKA-24h'!J94,'21.10 NGOMA KAPEEKA-24h'!J94)</f>
        <v>0</v>
      </c>
      <c r="K94" s="49">
        <f>AVERAGE('19.10 NGOMA-KAPEEKA-24h'!K94,'21.10 NGOMA KAPEEKA-24h'!K94)</f>
        <v>0</v>
      </c>
      <c r="L94" s="49">
        <f>AVERAGE('19.10 NGOMA-KAPEEKA-24h'!L94,'21.10 NGOMA KAPEEKA-24h'!L94)</f>
        <v>0</v>
      </c>
      <c r="M94" s="49">
        <f>AVERAGE('19.10 NGOMA-KAPEEKA-24h'!M94,'21.10 NGOMA KAPEEKA-24h'!M94)</f>
        <v>1</v>
      </c>
      <c r="N94" s="49">
        <f>AVERAGE('19.10 NGOMA-KAPEEKA-24h'!N94,'21.10 NGOMA KAPEEKA-24h'!N94)</f>
        <v>0</v>
      </c>
      <c r="O94" s="15">
        <f t="shared" si="35"/>
        <v>0.5</v>
      </c>
      <c r="P94" s="15">
        <f t="shared" si="36"/>
        <v>1.5</v>
      </c>
      <c r="R94" s="8"/>
      <c r="T94"/>
    </row>
    <row r="95" spans="2:20" ht="23.1" customHeight="1" x14ac:dyDescent="0.25">
      <c r="B95" s="23" t="s">
        <v>135</v>
      </c>
      <c r="C95" s="49">
        <f>AVERAGE('19.10 NGOMA-KAPEEKA-24h'!C95,'21.10 NGOMA KAPEEKA-24h'!C95)</f>
        <v>0</v>
      </c>
      <c r="D95" s="49">
        <f>AVERAGE('19.10 NGOMA-KAPEEKA-24h'!D95,'21.10 NGOMA KAPEEKA-24h'!D95)</f>
        <v>0</v>
      </c>
      <c r="E95" s="49">
        <f>AVERAGE('19.10 NGOMA-KAPEEKA-24h'!E95,'21.10 NGOMA KAPEEKA-24h'!E95)</f>
        <v>0</v>
      </c>
      <c r="F95" s="49">
        <f>AVERAGE('19.10 NGOMA-KAPEEKA-24h'!F95,'21.10 NGOMA KAPEEKA-24h'!F95)</f>
        <v>0</v>
      </c>
      <c r="G95" s="49">
        <f>AVERAGE('19.10 NGOMA-KAPEEKA-24h'!G95,'21.10 NGOMA KAPEEKA-24h'!G95)</f>
        <v>0</v>
      </c>
      <c r="H95" s="49">
        <f>AVERAGE('19.10 NGOMA-KAPEEKA-24h'!H95,'21.10 NGOMA KAPEEKA-24h'!H95)</f>
        <v>0</v>
      </c>
      <c r="I95" s="49">
        <f>AVERAGE('19.10 NGOMA-KAPEEKA-24h'!I95,'21.10 NGOMA KAPEEKA-24h'!I95)</f>
        <v>0</v>
      </c>
      <c r="J95" s="49">
        <f>AVERAGE('19.10 NGOMA-KAPEEKA-24h'!J95,'21.10 NGOMA KAPEEKA-24h'!J95)</f>
        <v>0</v>
      </c>
      <c r="K95" s="49">
        <f>AVERAGE('19.10 NGOMA-KAPEEKA-24h'!K95,'21.10 NGOMA KAPEEKA-24h'!K95)</f>
        <v>0</v>
      </c>
      <c r="L95" s="49">
        <f>AVERAGE('19.10 NGOMA-KAPEEKA-24h'!L95,'21.10 NGOMA KAPEEKA-24h'!L95)</f>
        <v>0</v>
      </c>
      <c r="M95" s="49">
        <f>AVERAGE('19.10 NGOMA-KAPEEKA-24h'!M95,'21.10 NGOMA KAPEEKA-24h'!M95)</f>
        <v>0</v>
      </c>
      <c r="N95" s="49">
        <f>AVERAGE('19.10 NGOMA-KAPEEKA-24h'!N95,'21.10 NGOMA KAPEEKA-24h'!N95)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49">
        <f>AVERAGE('19.10 NGOMA-KAPEEKA-24h'!C96,'21.10 NGOMA KAPEEKA-24h'!C96)</f>
        <v>0</v>
      </c>
      <c r="D96" s="49">
        <f>AVERAGE('19.10 NGOMA-KAPEEKA-24h'!D96,'21.10 NGOMA KAPEEKA-24h'!D96)</f>
        <v>0</v>
      </c>
      <c r="E96" s="49">
        <f>AVERAGE('19.10 NGOMA-KAPEEKA-24h'!E96,'21.10 NGOMA KAPEEKA-24h'!E96)</f>
        <v>0</v>
      </c>
      <c r="F96" s="49">
        <f>AVERAGE('19.10 NGOMA-KAPEEKA-24h'!F96,'21.10 NGOMA KAPEEKA-24h'!F96)</f>
        <v>0</v>
      </c>
      <c r="G96" s="49">
        <f>AVERAGE('19.10 NGOMA-KAPEEKA-24h'!G96,'21.10 NGOMA KAPEEKA-24h'!G96)</f>
        <v>0</v>
      </c>
      <c r="H96" s="49">
        <f>AVERAGE('19.10 NGOMA-KAPEEKA-24h'!H96,'21.10 NGOMA KAPEEKA-24h'!H96)</f>
        <v>0</v>
      </c>
      <c r="I96" s="49">
        <f>AVERAGE('19.10 NGOMA-KAPEEKA-24h'!I96,'21.10 NGOMA KAPEEKA-24h'!I96)</f>
        <v>1</v>
      </c>
      <c r="J96" s="49">
        <f>AVERAGE('19.10 NGOMA-KAPEEKA-24h'!J96,'21.10 NGOMA KAPEEKA-24h'!J96)</f>
        <v>0</v>
      </c>
      <c r="K96" s="49">
        <f>AVERAGE('19.10 NGOMA-KAPEEKA-24h'!K96,'21.10 NGOMA KAPEEKA-24h'!K96)</f>
        <v>0</v>
      </c>
      <c r="L96" s="49">
        <f>AVERAGE('19.10 NGOMA-KAPEEKA-24h'!L96,'21.10 NGOMA KAPEEKA-24h'!L96)</f>
        <v>0</v>
      </c>
      <c r="M96" s="49">
        <f>AVERAGE('19.10 NGOMA-KAPEEKA-24h'!M96,'21.10 NGOMA KAPEEKA-24h'!M96)</f>
        <v>0</v>
      </c>
      <c r="N96" s="49">
        <f>AVERAGE('19.10 NGOMA-KAPEEKA-24h'!N96,'21.10 NGOMA KAPEEKA-24h'!N96)</f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23" t="s">
        <v>137</v>
      </c>
      <c r="C97" s="49">
        <f>AVERAGE('19.10 NGOMA-KAPEEKA-24h'!C97,'21.10 NGOMA KAPEEKA-24h'!C97)</f>
        <v>0</v>
      </c>
      <c r="D97" s="49">
        <f>AVERAGE('19.10 NGOMA-KAPEEKA-24h'!D97,'21.10 NGOMA KAPEEKA-24h'!D97)</f>
        <v>0</v>
      </c>
      <c r="E97" s="49">
        <f>AVERAGE('19.10 NGOMA-KAPEEKA-24h'!E97,'21.10 NGOMA KAPEEKA-24h'!E97)</f>
        <v>0</v>
      </c>
      <c r="F97" s="49">
        <f>AVERAGE('19.10 NGOMA-KAPEEKA-24h'!F97,'21.10 NGOMA KAPEEKA-24h'!F97)</f>
        <v>0</v>
      </c>
      <c r="G97" s="49">
        <f>AVERAGE('19.10 NGOMA-KAPEEKA-24h'!G97,'21.10 NGOMA KAPEEKA-24h'!G97)</f>
        <v>0</v>
      </c>
      <c r="H97" s="49">
        <f>AVERAGE('19.10 NGOMA-KAPEEKA-24h'!H97,'21.10 NGOMA KAPEEKA-24h'!H97)</f>
        <v>0</v>
      </c>
      <c r="I97" s="49">
        <f>AVERAGE('19.10 NGOMA-KAPEEKA-24h'!I97,'21.10 NGOMA KAPEEKA-24h'!I97)</f>
        <v>0.5</v>
      </c>
      <c r="J97" s="49">
        <f>AVERAGE('19.10 NGOMA-KAPEEKA-24h'!J97,'21.10 NGOMA KAPEEKA-24h'!J97)</f>
        <v>0</v>
      </c>
      <c r="K97" s="49">
        <f>AVERAGE('19.10 NGOMA-KAPEEKA-24h'!K97,'21.10 NGOMA KAPEEKA-24h'!K97)</f>
        <v>0</v>
      </c>
      <c r="L97" s="49">
        <f>AVERAGE('19.10 NGOMA-KAPEEKA-24h'!L97,'21.10 NGOMA KAPEEKA-24h'!L97)</f>
        <v>0</v>
      </c>
      <c r="M97" s="49">
        <f>AVERAGE('19.10 NGOMA-KAPEEKA-24h'!M97,'21.10 NGOMA KAPEEKA-24h'!M97)</f>
        <v>1</v>
      </c>
      <c r="N97" s="49">
        <f>AVERAGE('19.10 NGOMA-KAPEEKA-24h'!N97,'21.10 NGOMA KAPEEKA-24h'!N97)</f>
        <v>0</v>
      </c>
      <c r="O97" s="15">
        <f t="shared" si="35"/>
        <v>0.5</v>
      </c>
      <c r="P97" s="15">
        <f t="shared" si="36"/>
        <v>1.5</v>
      </c>
      <c r="R97" s="8"/>
      <c r="T97"/>
    </row>
    <row r="98" spans="2:20" ht="23.1" customHeight="1" x14ac:dyDescent="0.25">
      <c r="B98" s="24" t="s">
        <v>138</v>
      </c>
      <c r="C98" s="49">
        <f>AVERAGE('19.10 NGOMA-KAPEEKA-24h'!C98,'21.10 NGOMA KAPEEKA-24h'!C98)</f>
        <v>0</v>
      </c>
      <c r="D98" s="49">
        <f>AVERAGE('19.10 NGOMA-KAPEEKA-24h'!D98,'21.10 NGOMA KAPEEKA-24h'!D98)</f>
        <v>0</v>
      </c>
      <c r="E98" s="49">
        <f>AVERAGE('19.10 NGOMA-KAPEEKA-24h'!E98,'21.10 NGOMA KAPEEKA-24h'!E98)</f>
        <v>0</v>
      </c>
      <c r="F98" s="49">
        <f>AVERAGE('19.10 NGOMA-KAPEEKA-24h'!F98,'21.10 NGOMA KAPEEKA-24h'!F98)</f>
        <v>0.5</v>
      </c>
      <c r="G98" s="49">
        <f>AVERAGE('19.10 NGOMA-KAPEEKA-24h'!G98,'21.10 NGOMA KAPEEKA-24h'!G98)</f>
        <v>0</v>
      </c>
      <c r="H98" s="49">
        <f>AVERAGE('19.10 NGOMA-KAPEEKA-24h'!H98,'21.10 NGOMA KAPEEKA-24h'!H98)</f>
        <v>0</v>
      </c>
      <c r="I98" s="49">
        <f>AVERAGE('19.10 NGOMA-KAPEEKA-24h'!I98,'21.10 NGOMA KAPEEKA-24h'!I98)</f>
        <v>1</v>
      </c>
      <c r="J98" s="49">
        <f>AVERAGE('19.10 NGOMA-KAPEEKA-24h'!J98,'21.10 NGOMA KAPEEKA-24h'!J98)</f>
        <v>0</v>
      </c>
      <c r="K98" s="49">
        <f>AVERAGE('19.10 NGOMA-KAPEEKA-24h'!K98,'21.10 NGOMA KAPEEKA-24h'!K98)</f>
        <v>0</v>
      </c>
      <c r="L98" s="49">
        <f>AVERAGE('19.10 NGOMA-KAPEEKA-24h'!L98,'21.10 NGOMA KAPEEKA-24h'!L98)</f>
        <v>0</v>
      </c>
      <c r="M98" s="49">
        <f>AVERAGE('19.10 NGOMA-KAPEEKA-24h'!M98,'21.10 NGOMA KAPEEKA-24h'!M98)</f>
        <v>0</v>
      </c>
      <c r="N98" s="49">
        <f>AVERAGE('19.10 NGOMA-KAPEEKA-24h'!N98,'21.10 NGOMA KAPEEKA-24h'!N98)</f>
        <v>0</v>
      </c>
      <c r="O98" s="15">
        <f t="shared" si="35"/>
        <v>1.5</v>
      </c>
      <c r="P98" s="15">
        <f t="shared" si="36"/>
        <v>1.5</v>
      </c>
      <c r="R98" s="8"/>
      <c r="T98"/>
    </row>
    <row r="99" spans="2:20" ht="23.1" customHeight="1" x14ac:dyDescent="0.25">
      <c r="B99" s="23" t="s">
        <v>139</v>
      </c>
      <c r="C99" s="49">
        <f>AVERAGE('19.10 NGOMA-KAPEEKA-24h'!C99,'21.10 NGOMA KAPEEKA-24h'!C99)</f>
        <v>0.5</v>
      </c>
      <c r="D99" s="49">
        <f>AVERAGE('19.10 NGOMA-KAPEEKA-24h'!D99,'21.10 NGOMA KAPEEKA-24h'!D99)</f>
        <v>0</v>
      </c>
      <c r="E99" s="49">
        <f>AVERAGE('19.10 NGOMA-KAPEEKA-24h'!E99,'21.10 NGOMA KAPEEKA-24h'!E99)</f>
        <v>0</v>
      </c>
      <c r="F99" s="49">
        <f>AVERAGE('19.10 NGOMA-KAPEEKA-24h'!F99,'21.10 NGOMA KAPEEKA-24h'!F99)</f>
        <v>0</v>
      </c>
      <c r="G99" s="49">
        <f>AVERAGE('19.10 NGOMA-KAPEEKA-24h'!G99,'21.10 NGOMA KAPEEKA-24h'!G99)</f>
        <v>0</v>
      </c>
      <c r="H99" s="49">
        <f>AVERAGE('19.10 NGOMA-KAPEEKA-24h'!H99,'21.10 NGOMA KAPEEKA-24h'!H99)</f>
        <v>0</v>
      </c>
      <c r="I99" s="49">
        <f>AVERAGE('19.10 NGOMA-KAPEEKA-24h'!I99,'21.10 NGOMA KAPEEKA-24h'!I99)</f>
        <v>0</v>
      </c>
      <c r="J99" s="49">
        <f>AVERAGE('19.10 NGOMA-KAPEEKA-24h'!J99,'21.10 NGOMA KAPEEKA-24h'!J99)</f>
        <v>0</v>
      </c>
      <c r="K99" s="49">
        <f>AVERAGE('19.10 NGOMA-KAPEEKA-24h'!K99,'21.10 NGOMA KAPEEKA-24h'!K99)</f>
        <v>0</v>
      </c>
      <c r="L99" s="49">
        <f>AVERAGE('19.10 NGOMA-KAPEEKA-24h'!L99,'21.10 NGOMA KAPEEKA-24h'!L99)</f>
        <v>0</v>
      </c>
      <c r="M99" s="49">
        <f>AVERAGE('19.10 NGOMA-KAPEEKA-24h'!M99,'21.10 NGOMA KAPEEKA-24h'!M99)</f>
        <v>1</v>
      </c>
      <c r="N99" s="49">
        <f>AVERAGE('19.10 NGOMA-KAPEEKA-24h'!N99,'21.10 NGOMA KAPEEKA-24h'!N99)</f>
        <v>0</v>
      </c>
      <c r="O99" s="15">
        <f t="shared" si="35"/>
        <v>0.5</v>
      </c>
      <c r="P99" s="15">
        <f t="shared" si="36"/>
        <v>1.5</v>
      </c>
      <c r="R99" s="8"/>
      <c r="T99"/>
    </row>
    <row r="100" spans="2:20" ht="23.1" customHeight="1" x14ac:dyDescent="0.25">
      <c r="B100" s="25" t="s">
        <v>140</v>
      </c>
      <c r="C100" s="49">
        <f>AVERAGE('19.10 NGOMA-KAPEEKA-24h'!C100,'21.10 NGOMA KAPEEKA-24h'!C100)</f>
        <v>0.5</v>
      </c>
      <c r="D100" s="49">
        <f>AVERAGE('19.10 NGOMA-KAPEEKA-24h'!D100,'21.10 NGOMA KAPEEKA-24h'!D100)</f>
        <v>0</v>
      </c>
      <c r="E100" s="49">
        <f>AVERAGE('19.10 NGOMA-KAPEEKA-24h'!E100,'21.10 NGOMA KAPEEKA-24h'!E100)</f>
        <v>0.5</v>
      </c>
      <c r="F100" s="49">
        <f>AVERAGE('19.10 NGOMA-KAPEEKA-24h'!F100,'21.10 NGOMA KAPEEKA-24h'!F100)</f>
        <v>0</v>
      </c>
      <c r="G100" s="49">
        <f>AVERAGE('19.10 NGOMA-KAPEEKA-24h'!G100,'21.10 NGOMA KAPEEKA-24h'!G100)</f>
        <v>0</v>
      </c>
      <c r="H100" s="49">
        <f>AVERAGE('19.10 NGOMA-KAPEEKA-24h'!H100,'21.10 NGOMA KAPEEKA-24h'!H100)</f>
        <v>0</v>
      </c>
      <c r="I100" s="49">
        <f>AVERAGE('19.10 NGOMA-KAPEEKA-24h'!I100,'21.10 NGOMA KAPEEKA-24h'!I100)</f>
        <v>1.5</v>
      </c>
      <c r="J100" s="49">
        <f>AVERAGE('19.10 NGOMA-KAPEEKA-24h'!J100,'21.10 NGOMA KAPEEKA-24h'!J100)</f>
        <v>0</v>
      </c>
      <c r="K100" s="49">
        <f>AVERAGE('19.10 NGOMA-KAPEEKA-24h'!K100,'21.10 NGOMA KAPEEKA-24h'!K100)</f>
        <v>0</v>
      </c>
      <c r="L100" s="49">
        <f>AVERAGE('19.10 NGOMA-KAPEEKA-24h'!L100,'21.10 NGOMA KAPEEKA-24h'!L100)</f>
        <v>0</v>
      </c>
      <c r="M100" s="49">
        <f>AVERAGE('19.10 NGOMA-KAPEEKA-24h'!M100,'21.10 NGOMA KAPEEKA-24h'!M100)</f>
        <v>0.5</v>
      </c>
      <c r="N100" s="49">
        <f>AVERAGE('19.10 NGOMA-KAPEEKA-24h'!N100,'21.10 NGOMA KAPEEKA-24h'!N100)</f>
        <v>0</v>
      </c>
      <c r="O100" s="15">
        <f t="shared" si="35"/>
        <v>2.5</v>
      </c>
      <c r="P100" s="15">
        <f t="shared" si="36"/>
        <v>3</v>
      </c>
      <c r="R100" s="8"/>
      <c r="T100"/>
    </row>
    <row r="101" spans="2:20" ht="23.1" customHeight="1" x14ac:dyDescent="0.25">
      <c r="B101" s="23" t="s">
        <v>141</v>
      </c>
      <c r="C101" s="49">
        <f>AVERAGE('19.10 NGOMA-KAPEEKA-24h'!C101,'21.10 NGOMA KAPEEKA-24h'!C101)</f>
        <v>0.5</v>
      </c>
      <c r="D101" s="49">
        <f>AVERAGE('19.10 NGOMA-KAPEEKA-24h'!D101,'21.10 NGOMA KAPEEKA-24h'!D101)</f>
        <v>0</v>
      </c>
      <c r="E101" s="49">
        <f>AVERAGE('19.10 NGOMA-KAPEEKA-24h'!E101,'21.10 NGOMA KAPEEKA-24h'!E101)</f>
        <v>0</v>
      </c>
      <c r="F101" s="49">
        <f>AVERAGE('19.10 NGOMA-KAPEEKA-24h'!F101,'21.10 NGOMA KAPEEKA-24h'!F101)</f>
        <v>0</v>
      </c>
      <c r="G101" s="49">
        <f>AVERAGE('19.10 NGOMA-KAPEEKA-24h'!G101,'21.10 NGOMA KAPEEKA-24h'!G101)</f>
        <v>0</v>
      </c>
      <c r="H101" s="49">
        <f>AVERAGE('19.10 NGOMA-KAPEEKA-24h'!H101,'21.10 NGOMA KAPEEKA-24h'!H101)</f>
        <v>0</v>
      </c>
      <c r="I101" s="49">
        <f>AVERAGE('19.10 NGOMA-KAPEEKA-24h'!I101,'21.10 NGOMA KAPEEKA-24h'!I101)</f>
        <v>0</v>
      </c>
      <c r="J101" s="49">
        <f>AVERAGE('19.10 NGOMA-KAPEEKA-24h'!J101,'21.10 NGOMA KAPEEKA-24h'!J101)</f>
        <v>0</v>
      </c>
      <c r="K101" s="49">
        <f>AVERAGE('19.10 NGOMA-KAPEEKA-24h'!K101,'21.10 NGOMA KAPEEKA-24h'!K101)</f>
        <v>0</v>
      </c>
      <c r="L101" s="49">
        <f>AVERAGE('19.10 NGOMA-KAPEEKA-24h'!L101,'21.10 NGOMA KAPEEKA-24h'!L101)</f>
        <v>0</v>
      </c>
      <c r="M101" s="49">
        <f>AVERAGE('19.10 NGOMA-KAPEEKA-24h'!M101,'21.10 NGOMA KAPEEKA-24h'!M101)</f>
        <v>1.5</v>
      </c>
      <c r="N101" s="49">
        <f>AVERAGE('19.10 NGOMA-KAPEEKA-24h'!N101,'21.10 NGOMA KAPEEKA-24h'!N101)</f>
        <v>0</v>
      </c>
      <c r="O101" s="15">
        <f t="shared" si="35"/>
        <v>0.5</v>
      </c>
      <c r="P101" s="15">
        <f t="shared" si="36"/>
        <v>2</v>
      </c>
      <c r="R101" s="8"/>
      <c r="T101"/>
    </row>
    <row r="102" spans="2:20" ht="23.1" customHeight="1" x14ac:dyDescent="0.25">
      <c r="B102" s="24" t="s">
        <v>142</v>
      </c>
      <c r="C102" s="49">
        <f>AVERAGE('19.10 NGOMA-KAPEEKA-24h'!C102,'21.10 NGOMA KAPEEKA-24h'!C102)</f>
        <v>0.5</v>
      </c>
      <c r="D102" s="49">
        <f>AVERAGE('19.10 NGOMA-KAPEEKA-24h'!D102,'21.10 NGOMA KAPEEKA-24h'!D102)</f>
        <v>0.5</v>
      </c>
      <c r="E102" s="49">
        <f>AVERAGE('19.10 NGOMA-KAPEEKA-24h'!E102,'21.10 NGOMA KAPEEKA-24h'!E102)</f>
        <v>0</v>
      </c>
      <c r="F102" s="49">
        <f>AVERAGE('19.10 NGOMA-KAPEEKA-24h'!F102,'21.10 NGOMA KAPEEKA-24h'!F102)</f>
        <v>0.5</v>
      </c>
      <c r="G102" s="49">
        <f>AVERAGE('19.10 NGOMA-KAPEEKA-24h'!G102,'21.10 NGOMA KAPEEKA-24h'!G102)</f>
        <v>0</v>
      </c>
      <c r="H102" s="49">
        <f>AVERAGE('19.10 NGOMA-KAPEEKA-24h'!H102,'21.10 NGOMA KAPEEKA-24h'!H102)</f>
        <v>0</v>
      </c>
      <c r="I102" s="49">
        <f>AVERAGE('19.10 NGOMA-KAPEEKA-24h'!I102,'21.10 NGOMA KAPEEKA-24h'!I102)</f>
        <v>0</v>
      </c>
      <c r="J102" s="49">
        <f>AVERAGE('19.10 NGOMA-KAPEEKA-24h'!J102,'21.10 NGOMA KAPEEKA-24h'!J102)</f>
        <v>0</v>
      </c>
      <c r="K102" s="49">
        <f>AVERAGE('19.10 NGOMA-KAPEEKA-24h'!K102,'21.10 NGOMA KAPEEKA-24h'!K102)</f>
        <v>0</v>
      </c>
      <c r="L102" s="49">
        <f>AVERAGE('19.10 NGOMA-KAPEEKA-24h'!L102,'21.10 NGOMA KAPEEKA-24h'!L102)</f>
        <v>0</v>
      </c>
      <c r="M102" s="49">
        <f>AVERAGE('19.10 NGOMA-KAPEEKA-24h'!M102,'21.10 NGOMA KAPEEKA-24h'!M102)</f>
        <v>2.5</v>
      </c>
      <c r="N102" s="49">
        <f>AVERAGE('19.10 NGOMA-KAPEEKA-24h'!N102,'21.10 NGOMA KAPEEKA-24h'!N102)</f>
        <v>0</v>
      </c>
      <c r="O102" s="15">
        <f t="shared" si="35"/>
        <v>1.5</v>
      </c>
      <c r="P102" s="15">
        <f t="shared" si="36"/>
        <v>4</v>
      </c>
      <c r="R102" s="8"/>
      <c r="T102"/>
    </row>
    <row r="103" spans="2:20" ht="23.1" customHeight="1" x14ac:dyDescent="0.25">
      <c r="B103" s="23" t="s">
        <v>143</v>
      </c>
      <c r="C103" s="49">
        <f>AVERAGE('19.10 NGOMA-KAPEEKA-24h'!C103,'21.10 NGOMA KAPEEKA-24h'!C103)</f>
        <v>0</v>
      </c>
      <c r="D103" s="49">
        <f>AVERAGE('19.10 NGOMA-KAPEEKA-24h'!D103,'21.10 NGOMA KAPEEKA-24h'!D103)</f>
        <v>0</v>
      </c>
      <c r="E103" s="49">
        <f>AVERAGE('19.10 NGOMA-KAPEEKA-24h'!E103,'21.10 NGOMA KAPEEKA-24h'!E103)</f>
        <v>0</v>
      </c>
      <c r="F103" s="49">
        <f>AVERAGE('19.10 NGOMA-KAPEEKA-24h'!F103,'21.10 NGOMA KAPEEKA-24h'!F103)</f>
        <v>0</v>
      </c>
      <c r="G103" s="49">
        <f>AVERAGE('19.10 NGOMA-KAPEEKA-24h'!G103,'21.10 NGOMA KAPEEKA-24h'!G103)</f>
        <v>0</v>
      </c>
      <c r="H103" s="49">
        <f>AVERAGE('19.10 NGOMA-KAPEEKA-24h'!H103,'21.10 NGOMA KAPEEKA-24h'!H103)</f>
        <v>0</v>
      </c>
      <c r="I103" s="49">
        <f>AVERAGE('19.10 NGOMA-KAPEEKA-24h'!I103,'21.10 NGOMA KAPEEKA-24h'!I103)</f>
        <v>0.5</v>
      </c>
      <c r="J103" s="49">
        <f>AVERAGE('19.10 NGOMA-KAPEEKA-24h'!J103,'21.10 NGOMA KAPEEKA-24h'!J103)</f>
        <v>0.5</v>
      </c>
      <c r="K103" s="49">
        <f>AVERAGE('19.10 NGOMA-KAPEEKA-24h'!K103,'21.10 NGOMA KAPEEKA-24h'!K103)</f>
        <v>0</v>
      </c>
      <c r="L103" s="49">
        <f>AVERAGE('19.10 NGOMA-KAPEEKA-24h'!L103,'21.10 NGOMA KAPEEKA-24h'!L103)</f>
        <v>0</v>
      </c>
      <c r="M103" s="49">
        <f>AVERAGE('19.10 NGOMA-KAPEEKA-24h'!M103,'21.10 NGOMA KAPEEKA-24h'!M103)</f>
        <v>2.5</v>
      </c>
      <c r="N103" s="49">
        <f>AVERAGE('19.10 NGOMA-KAPEEKA-24h'!N103,'21.10 NGOMA KAPEEKA-24h'!N103)</f>
        <v>0</v>
      </c>
      <c r="O103" s="15">
        <f t="shared" si="35"/>
        <v>1</v>
      </c>
      <c r="P103" s="15">
        <f t="shared" si="36"/>
        <v>3.5</v>
      </c>
      <c r="R103" s="8"/>
      <c r="T103"/>
    </row>
    <row r="104" spans="2:20" ht="23.1" customHeight="1" x14ac:dyDescent="0.25">
      <c r="B104" s="25" t="s">
        <v>144</v>
      </c>
      <c r="C104" s="49">
        <f>AVERAGE('19.10 NGOMA-KAPEEKA-24h'!C104,'21.10 NGOMA KAPEEKA-24h'!C104)</f>
        <v>0</v>
      </c>
      <c r="D104" s="49">
        <f>AVERAGE('19.10 NGOMA-KAPEEKA-24h'!D104,'21.10 NGOMA KAPEEKA-24h'!D104)</f>
        <v>0</v>
      </c>
      <c r="E104" s="49">
        <f>AVERAGE('19.10 NGOMA-KAPEEKA-24h'!E104,'21.10 NGOMA KAPEEKA-24h'!E104)</f>
        <v>0</v>
      </c>
      <c r="F104" s="49">
        <f>AVERAGE('19.10 NGOMA-KAPEEKA-24h'!F104,'21.10 NGOMA KAPEEKA-24h'!F104)</f>
        <v>1</v>
      </c>
      <c r="G104" s="49">
        <f>AVERAGE('19.10 NGOMA-KAPEEKA-24h'!G104,'21.10 NGOMA KAPEEKA-24h'!G104)</f>
        <v>0</v>
      </c>
      <c r="H104" s="49">
        <f>AVERAGE('19.10 NGOMA-KAPEEKA-24h'!H104,'21.10 NGOMA KAPEEKA-24h'!H104)</f>
        <v>0</v>
      </c>
      <c r="I104" s="49">
        <f>AVERAGE('19.10 NGOMA-KAPEEKA-24h'!I104,'21.10 NGOMA KAPEEKA-24h'!I104)</f>
        <v>0</v>
      </c>
      <c r="J104" s="49">
        <f>AVERAGE('19.10 NGOMA-KAPEEKA-24h'!J104,'21.10 NGOMA KAPEEKA-24h'!J104)</f>
        <v>0</v>
      </c>
      <c r="K104" s="49">
        <f>AVERAGE('19.10 NGOMA-KAPEEKA-24h'!K104,'21.10 NGOMA KAPEEKA-24h'!K104)</f>
        <v>0</v>
      </c>
      <c r="L104" s="49">
        <f>AVERAGE('19.10 NGOMA-KAPEEKA-24h'!L104,'21.10 NGOMA KAPEEKA-24h'!L104)</f>
        <v>0</v>
      </c>
      <c r="M104" s="49">
        <f>AVERAGE('19.10 NGOMA-KAPEEKA-24h'!M104,'21.10 NGOMA KAPEEKA-24h'!M104)</f>
        <v>1.5</v>
      </c>
      <c r="N104" s="49">
        <f>AVERAGE('19.10 NGOMA-KAPEEKA-24h'!N104,'21.10 NGOMA KAPEEKA-24h'!N104)</f>
        <v>0</v>
      </c>
      <c r="O104" s="15">
        <f t="shared" si="35"/>
        <v>1</v>
      </c>
      <c r="P104" s="15">
        <f t="shared" si="36"/>
        <v>2.5</v>
      </c>
      <c r="R104" s="8"/>
      <c r="T104"/>
    </row>
    <row r="105" spans="2:20" ht="23.1" customHeight="1" x14ac:dyDescent="0.25">
      <c r="B105" s="23" t="s">
        <v>145</v>
      </c>
      <c r="C105" s="49">
        <f>AVERAGE('19.10 NGOMA-KAPEEKA-24h'!C105,'21.10 NGOMA KAPEEKA-24h'!C105)</f>
        <v>0</v>
      </c>
      <c r="D105" s="49">
        <f>AVERAGE('19.10 NGOMA-KAPEEKA-24h'!D105,'21.10 NGOMA KAPEEKA-24h'!D105)</f>
        <v>0</v>
      </c>
      <c r="E105" s="49">
        <f>AVERAGE('19.10 NGOMA-KAPEEKA-24h'!E105,'21.10 NGOMA KAPEEKA-24h'!E105)</f>
        <v>0</v>
      </c>
      <c r="F105" s="49">
        <f>AVERAGE('19.10 NGOMA-KAPEEKA-24h'!F105,'21.10 NGOMA KAPEEKA-24h'!F105)</f>
        <v>0</v>
      </c>
      <c r="G105" s="49">
        <f>AVERAGE('19.10 NGOMA-KAPEEKA-24h'!G105,'21.10 NGOMA KAPEEKA-24h'!G105)</f>
        <v>0</v>
      </c>
      <c r="H105" s="49">
        <f>AVERAGE('19.10 NGOMA-KAPEEKA-24h'!H105,'21.10 NGOMA KAPEEKA-24h'!H105)</f>
        <v>0</v>
      </c>
      <c r="I105" s="49">
        <f>AVERAGE('19.10 NGOMA-KAPEEKA-24h'!I105,'21.10 NGOMA KAPEEKA-24h'!I105)</f>
        <v>0.5</v>
      </c>
      <c r="J105" s="49">
        <f>AVERAGE('19.10 NGOMA-KAPEEKA-24h'!J105,'21.10 NGOMA KAPEEKA-24h'!J105)</f>
        <v>0</v>
      </c>
      <c r="K105" s="49">
        <f>AVERAGE('19.10 NGOMA-KAPEEKA-24h'!K105,'21.10 NGOMA KAPEEKA-24h'!K105)</f>
        <v>0</v>
      </c>
      <c r="L105" s="49">
        <f>AVERAGE('19.10 NGOMA-KAPEEKA-24h'!L105,'21.10 NGOMA KAPEEKA-24h'!L105)</f>
        <v>0</v>
      </c>
      <c r="M105" s="49">
        <f>AVERAGE('19.10 NGOMA-KAPEEKA-24h'!M105,'21.10 NGOMA KAPEEKA-24h'!M105)</f>
        <v>1.5</v>
      </c>
      <c r="N105" s="49">
        <f>AVERAGE('19.10 NGOMA-KAPEEKA-24h'!N105,'21.10 NGOMA KAPEEKA-24h'!N105)</f>
        <v>0</v>
      </c>
      <c r="O105" s="15">
        <f t="shared" si="35"/>
        <v>0.5</v>
      </c>
      <c r="P105" s="15">
        <f t="shared" si="36"/>
        <v>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35</v>
      </c>
      <c r="D106" s="16">
        <f t="shared" ref="D106:P106" si="37">SUM(D10:D105)</f>
        <v>11.571428571428571</v>
      </c>
      <c r="E106" s="16">
        <f t="shared" si="37"/>
        <v>17.857142857142854</v>
      </c>
      <c r="F106" s="16">
        <f t="shared" si="37"/>
        <v>26.999999999999993</v>
      </c>
      <c r="G106" s="16">
        <f t="shared" si="37"/>
        <v>0.42857142857142855</v>
      </c>
      <c r="H106" s="16">
        <f t="shared" si="37"/>
        <v>0.5714285714285714</v>
      </c>
      <c r="I106" s="16">
        <f t="shared" si="37"/>
        <v>51.857142857142861</v>
      </c>
      <c r="J106" s="16">
        <f t="shared" si="37"/>
        <v>11.214285714285717</v>
      </c>
      <c r="K106" s="16">
        <f t="shared" si="37"/>
        <v>1.2142857142857142</v>
      </c>
      <c r="L106" s="16">
        <f t="shared" si="37"/>
        <v>0.5714285714285714</v>
      </c>
      <c r="M106" s="16">
        <f t="shared" si="37"/>
        <v>310.52380952380958</v>
      </c>
      <c r="N106" s="16">
        <f t="shared" si="37"/>
        <v>2.1428571428571428</v>
      </c>
      <c r="O106" s="16">
        <f t="shared" si="37"/>
        <v>159.42857142857139</v>
      </c>
      <c r="P106" s="16">
        <f t="shared" si="37"/>
        <v>469.95238095238091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7.4475630762995251E-2</v>
      </c>
      <c r="D107" s="43">
        <f t="shared" si="38"/>
        <v>2.4622555476745366E-2</v>
      </c>
      <c r="E107" s="43">
        <f t="shared" si="38"/>
        <v>3.7997770797446546E-2</v>
      </c>
      <c r="F107" s="43">
        <f t="shared" si="38"/>
        <v>5.7452629445739173E-2</v>
      </c>
      <c r="G107" s="43">
        <f t="shared" si="38"/>
        <v>9.1194649913871719E-4</v>
      </c>
      <c r="H107" s="43">
        <f t="shared" si="38"/>
        <v>1.2159286655182896E-3</v>
      </c>
      <c r="I107" s="43">
        <f t="shared" si="38"/>
        <v>0.11034552639578479</v>
      </c>
      <c r="J107" s="43">
        <f t="shared" si="38"/>
        <v>2.3862600060796442E-2</v>
      </c>
      <c r="K107" s="43">
        <f t="shared" si="38"/>
        <v>2.5838484142263656E-3</v>
      </c>
      <c r="L107" s="43">
        <f t="shared" si="38"/>
        <v>1.2159286655182896E-3</v>
      </c>
      <c r="M107" s="43">
        <f t="shared" si="38"/>
        <v>0.66075590232039738</v>
      </c>
      <c r="N107" s="43">
        <f t="shared" si="38"/>
        <v>4.5597324956935864E-3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0.21953405017921152</v>
      </c>
      <c r="D108" s="44">
        <f t="shared" ref="D108:N108" si="39">D106/$O$106</f>
        <v>7.2580645161290341E-2</v>
      </c>
      <c r="E108" s="44">
        <f t="shared" si="39"/>
        <v>0.11200716845878138</v>
      </c>
      <c r="F108" s="44">
        <f t="shared" si="39"/>
        <v>0.16935483870967741</v>
      </c>
      <c r="G108" s="44">
        <f t="shared" si="39"/>
        <v>2.6881720430107533E-3</v>
      </c>
      <c r="H108" s="44">
        <f t="shared" si="39"/>
        <v>3.5842293906810044E-3</v>
      </c>
      <c r="I108" s="44">
        <f t="shared" si="39"/>
        <v>0.32526881720430117</v>
      </c>
      <c r="J108" s="44">
        <f t="shared" si="39"/>
        <v>7.0340501792114735E-2</v>
      </c>
      <c r="K108" s="44">
        <f t="shared" si="39"/>
        <v>7.6164874551971342E-3</v>
      </c>
      <c r="L108" s="44">
        <f t="shared" si="39"/>
        <v>3.5842293906810044E-3</v>
      </c>
      <c r="M108" s="44"/>
      <c r="N108" s="44">
        <f t="shared" si="39"/>
        <v>1.3440860215053767E-2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L76" zoomScale="60" workbookViewId="0">
      <selection activeCell="AC97" sqref="AC9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6" t="str">
        <f>'23.10 NGOMA-KAPEEKA'!C3:G3</f>
        <v>KAPEEKA -NGOMA ROAD</v>
      </c>
      <c r="D3" s="66"/>
      <c r="E3" s="66"/>
      <c r="F3" s="66"/>
      <c r="G3" s="6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4" t="s">
        <v>162</v>
      </c>
      <c r="E5" s="65"/>
      <c r="F5" s="41" t="s">
        <v>1</v>
      </c>
      <c r="G5" s="62" t="str">
        <f>'Avg Week NGOMA-KAPEEKA'!G5:H5</f>
        <v>BUTALANGU</v>
      </c>
      <c r="H5" s="63"/>
      <c r="I5" s="14"/>
      <c r="J5" s="2" t="s">
        <v>5</v>
      </c>
      <c r="K5" s="62" t="str">
        <f>'Avg Week NGOMA-KAPEEKA'!K5:L5</f>
        <v>AMOS A</v>
      </c>
      <c r="L5" s="63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2" t="str">
        <f>'Avg Week NGOMA-KAPEEKA'!K6:L6</f>
        <v>MIREMBE RUTH</v>
      </c>
      <c r="L6" s="6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KAPEEKA-NGOMA'!C10+'Avg Week NGOMA-KAPEEKA'!C10</f>
        <v>0.14285714285714285</v>
      </c>
      <c r="D10" s="49">
        <f>'Avg Week KAPEEKA-NGOMA'!D10+'Avg Week NGOMA-KAPEEKA'!D10</f>
        <v>0.14285714285714285</v>
      </c>
      <c r="E10" s="49">
        <f>'Avg Week KAPEEKA-NGOMA'!E10+'Avg Week NGOMA-KAPEEKA'!E10</f>
        <v>0</v>
      </c>
      <c r="F10" s="49">
        <f>'Avg Week KAPEEKA-NGOMA'!F10+'Avg Week NGOMA-KAPEEKA'!F10</f>
        <v>0.7142857142857143</v>
      </c>
      <c r="G10" s="49">
        <f>'Avg Week KAPEEKA-NGOMA'!G10+'Avg Week NGOMA-KAPEEKA'!G10</f>
        <v>0</v>
      </c>
      <c r="H10" s="49">
        <f>'Avg Week KAPEEKA-NGOMA'!H10+'Avg Week NGOMA-KAPEEKA'!H10</f>
        <v>0</v>
      </c>
      <c r="I10" s="49">
        <f>'Avg Week KAPEEKA-NGOMA'!I10+'Avg Week NGOMA-KAPEEKA'!I10</f>
        <v>0.8571428571428571</v>
      </c>
      <c r="J10" s="49">
        <f>'Avg Week KAPEEKA-NGOMA'!J10+'Avg Week NGOMA-KAPEEKA'!J10</f>
        <v>0.14285714285714285</v>
      </c>
      <c r="K10" s="49">
        <f>'Avg Week KAPEEKA-NGOMA'!K10+'Avg Week NGOMA-KAPEEKA'!K10</f>
        <v>0.14285714285714285</v>
      </c>
      <c r="L10" s="49">
        <f>'Avg Week KAPEEKA-NGOMA'!L10+'Avg Week NGOMA-KAPEEKA'!L10</f>
        <v>0.14285714285714285</v>
      </c>
      <c r="M10" s="49">
        <f>'Avg Week KAPEEKA-NGOMA'!M10+'Avg Week NGOMA-KAPEEKA'!M10</f>
        <v>4.2857142857142856</v>
      </c>
      <c r="N10" s="49">
        <f>'Avg Week KAPEEKA-NGOMA'!N10+'Avg Week NGOMA-KAPEEKA'!N10</f>
        <v>0</v>
      </c>
      <c r="O10" s="15">
        <f t="shared" ref="O10:O73" si="0">SUM(C10:L10,N10)</f>
        <v>2.2857142857142856</v>
      </c>
      <c r="P10" s="15">
        <f t="shared" ref="P10:P73" si="1">SUM(C10:N10)</f>
        <v>6.5714285714285712</v>
      </c>
      <c r="R10" s="1" t="s">
        <v>6</v>
      </c>
      <c r="S10" s="17">
        <f t="shared" ref="S10:AF10" si="2">SUM(C10:C13)</f>
        <v>1.7142857142857142</v>
      </c>
      <c r="T10" s="17">
        <f t="shared" si="2"/>
        <v>0.99999999999999989</v>
      </c>
      <c r="U10" s="17">
        <f t="shared" si="2"/>
        <v>0.85714285714285698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3.7142857142857144</v>
      </c>
      <c r="Z10" s="17">
        <f t="shared" si="2"/>
        <v>0.5714285714285714</v>
      </c>
      <c r="AA10" s="17">
        <f t="shared" si="2"/>
        <v>0.14285714285714285</v>
      </c>
      <c r="AB10" s="17">
        <f t="shared" si="2"/>
        <v>0.8571428571428571</v>
      </c>
      <c r="AC10" s="17">
        <f t="shared" si="2"/>
        <v>24.714285714285715</v>
      </c>
      <c r="AD10" s="17">
        <f t="shared" si="2"/>
        <v>0</v>
      </c>
      <c r="AE10" s="31">
        <f t="shared" si="2"/>
        <v>10.857142857142856</v>
      </c>
      <c r="AF10" s="31">
        <f t="shared" si="2"/>
        <v>35.571428571428569</v>
      </c>
    </row>
    <row r="11" spans="2:32" s="6" customFormat="1" ht="23.1" customHeight="1" x14ac:dyDescent="0.25">
      <c r="B11" s="23" t="s">
        <v>38</v>
      </c>
      <c r="C11" s="49">
        <f>'Avg Week KAPEEKA-NGOMA'!C11+'Avg Week NGOMA-KAPEEKA'!C11</f>
        <v>0.5714285714285714</v>
      </c>
      <c r="D11" s="49">
        <f>'Avg Week KAPEEKA-NGOMA'!D11+'Avg Week NGOMA-KAPEEKA'!D11</f>
        <v>0.14285714285714285</v>
      </c>
      <c r="E11" s="49">
        <f>'Avg Week KAPEEKA-NGOMA'!E11+'Avg Week NGOMA-KAPEEKA'!E11</f>
        <v>0.5714285714285714</v>
      </c>
      <c r="F11" s="49">
        <f>'Avg Week KAPEEKA-NGOMA'!F11+'Avg Week NGOMA-KAPEEKA'!F11</f>
        <v>0.14285714285714285</v>
      </c>
      <c r="G11" s="49">
        <f>'Avg Week KAPEEKA-NGOMA'!G11+'Avg Week NGOMA-KAPEEKA'!G11</f>
        <v>0</v>
      </c>
      <c r="H11" s="49">
        <f>'Avg Week KAPEEKA-NGOMA'!H11+'Avg Week NGOMA-KAPEEKA'!H11</f>
        <v>0</v>
      </c>
      <c r="I11" s="49">
        <f>'Avg Week KAPEEKA-NGOMA'!I11+'Avg Week NGOMA-KAPEEKA'!I11</f>
        <v>1.4285714285714286</v>
      </c>
      <c r="J11" s="49">
        <f>'Avg Week KAPEEKA-NGOMA'!J11+'Avg Week NGOMA-KAPEEKA'!J11</f>
        <v>0.2857142857142857</v>
      </c>
      <c r="K11" s="49">
        <f>'Avg Week KAPEEKA-NGOMA'!K11+'Avg Week NGOMA-KAPEEKA'!K11</f>
        <v>0</v>
      </c>
      <c r="L11" s="49">
        <f>'Avg Week KAPEEKA-NGOMA'!L11+'Avg Week NGOMA-KAPEEKA'!L11</f>
        <v>0</v>
      </c>
      <c r="M11" s="49">
        <f>'Avg Week KAPEEKA-NGOMA'!M11+'Avg Week NGOMA-KAPEEKA'!M11</f>
        <v>4.5714285714285712</v>
      </c>
      <c r="N11" s="49">
        <f>'Avg Week KAPEEKA-NGOMA'!N11+'Avg Week NGOMA-KAPEEKA'!N11</f>
        <v>0</v>
      </c>
      <c r="O11" s="15">
        <f t="shared" si="0"/>
        <v>3.1428571428571423</v>
      </c>
      <c r="P11" s="15">
        <f t="shared" si="1"/>
        <v>7.7142857142857135</v>
      </c>
      <c r="R11" s="1" t="s">
        <v>7</v>
      </c>
      <c r="S11" s="17">
        <f t="shared" ref="S11:AF11" si="3">SUM(C14:C17)</f>
        <v>1.5714285714285712</v>
      </c>
      <c r="T11" s="17">
        <f t="shared" si="3"/>
        <v>1.8571428571428572</v>
      </c>
      <c r="U11" s="17">
        <f t="shared" si="3"/>
        <v>2.1428571428571423</v>
      </c>
      <c r="V11" s="17">
        <f t="shared" si="3"/>
        <v>1.8571428571428572</v>
      </c>
      <c r="W11" s="17">
        <f t="shared" si="3"/>
        <v>0</v>
      </c>
      <c r="X11" s="17">
        <f t="shared" si="3"/>
        <v>0</v>
      </c>
      <c r="Y11" s="17">
        <f t="shared" si="3"/>
        <v>3.8571428571428568</v>
      </c>
      <c r="Z11" s="17">
        <f t="shared" si="3"/>
        <v>1</v>
      </c>
      <c r="AA11" s="17">
        <f t="shared" si="3"/>
        <v>0.14285714285714285</v>
      </c>
      <c r="AB11" s="17">
        <f t="shared" si="3"/>
        <v>0</v>
      </c>
      <c r="AC11" s="17">
        <f t="shared" si="3"/>
        <v>34.857142857142861</v>
      </c>
      <c r="AD11" s="17">
        <f t="shared" si="3"/>
        <v>0.14285714285714285</v>
      </c>
      <c r="AE11" s="31">
        <f t="shared" si="3"/>
        <v>12.571428571428571</v>
      </c>
      <c r="AF11" s="31">
        <f t="shared" si="3"/>
        <v>47.428571428571423</v>
      </c>
    </row>
    <row r="12" spans="2:32" ht="23.1" customHeight="1" x14ac:dyDescent="0.25">
      <c r="B12" s="23" t="s">
        <v>39</v>
      </c>
      <c r="C12" s="49">
        <f>'Avg Week KAPEEKA-NGOMA'!C12+'Avg Week NGOMA-KAPEEKA'!C12</f>
        <v>0.42857142857142855</v>
      </c>
      <c r="D12" s="49">
        <f>'Avg Week KAPEEKA-NGOMA'!D12+'Avg Week NGOMA-KAPEEKA'!D12</f>
        <v>0.42857142857142855</v>
      </c>
      <c r="E12" s="49">
        <f>'Avg Week KAPEEKA-NGOMA'!E12+'Avg Week NGOMA-KAPEEKA'!E12</f>
        <v>0.14285714285714285</v>
      </c>
      <c r="F12" s="49">
        <f>'Avg Week KAPEEKA-NGOMA'!F12+'Avg Week NGOMA-KAPEEKA'!F12</f>
        <v>0.2857142857142857</v>
      </c>
      <c r="G12" s="49">
        <f>'Avg Week KAPEEKA-NGOMA'!G12+'Avg Week NGOMA-KAPEEKA'!G12</f>
        <v>0</v>
      </c>
      <c r="H12" s="49">
        <f>'Avg Week KAPEEKA-NGOMA'!H12+'Avg Week NGOMA-KAPEEKA'!H12</f>
        <v>0</v>
      </c>
      <c r="I12" s="49">
        <f>'Avg Week KAPEEKA-NGOMA'!I12+'Avg Week NGOMA-KAPEEKA'!I12</f>
        <v>0.8571428571428571</v>
      </c>
      <c r="J12" s="49">
        <f>'Avg Week KAPEEKA-NGOMA'!J12+'Avg Week NGOMA-KAPEEKA'!J12</f>
        <v>0.14285714285714285</v>
      </c>
      <c r="K12" s="49">
        <f>'Avg Week KAPEEKA-NGOMA'!K12+'Avg Week NGOMA-KAPEEKA'!K12</f>
        <v>0</v>
      </c>
      <c r="L12" s="49">
        <f>'Avg Week KAPEEKA-NGOMA'!L12+'Avg Week NGOMA-KAPEEKA'!L12</f>
        <v>0.14285714285714285</v>
      </c>
      <c r="M12" s="49">
        <f>'Avg Week KAPEEKA-NGOMA'!M12+'Avg Week NGOMA-KAPEEKA'!M12</f>
        <v>8.1428571428571423</v>
      </c>
      <c r="N12" s="49">
        <f>'Avg Week KAPEEKA-NGOMA'!N12+'Avg Week NGOMA-KAPEEKA'!N12</f>
        <v>0</v>
      </c>
      <c r="O12" s="15">
        <f t="shared" si="0"/>
        <v>2.4285714285714284</v>
      </c>
      <c r="P12" s="15">
        <f t="shared" si="1"/>
        <v>10.571428571428571</v>
      </c>
      <c r="R12" s="1" t="s">
        <v>8</v>
      </c>
      <c r="S12" s="17">
        <f t="shared" ref="S12:AF12" si="4">SUM(C18:C21)</f>
        <v>3.8571428571428568</v>
      </c>
      <c r="T12" s="17">
        <f t="shared" si="4"/>
        <v>0.99999999999999978</v>
      </c>
      <c r="U12" s="17">
        <f t="shared" si="4"/>
        <v>1.2857142857142856</v>
      </c>
      <c r="V12" s="17">
        <f t="shared" si="4"/>
        <v>2.2857142857142856</v>
      </c>
      <c r="W12" s="17">
        <f t="shared" si="4"/>
        <v>0</v>
      </c>
      <c r="X12" s="17">
        <f t="shared" si="4"/>
        <v>0</v>
      </c>
      <c r="Y12" s="17">
        <f t="shared" si="4"/>
        <v>3.9999999999999996</v>
      </c>
      <c r="Z12" s="17">
        <f t="shared" si="4"/>
        <v>0.42857142857142855</v>
      </c>
      <c r="AA12" s="17">
        <f t="shared" si="4"/>
        <v>0</v>
      </c>
      <c r="AB12" s="17">
        <f t="shared" si="4"/>
        <v>0</v>
      </c>
      <c r="AC12" s="17">
        <f t="shared" si="4"/>
        <v>33</v>
      </c>
      <c r="AD12" s="17">
        <f t="shared" si="4"/>
        <v>0</v>
      </c>
      <c r="AE12" s="31">
        <f t="shared" si="4"/>
        <v>12.857142857142856</v>
      </c>
      <c r="AF12" s="31">
        <f t="shared" si="4"/>
        <v>45.857142857142861</v>
      </c>
    </row>
    <row r="13" spans="2:32" ht="23.1" customHeight="1" x14ac:dyDescent="0.25">
      <c r="B13" s="23" t="s">
        <v>40</v>
      </c>
      <c r="C13" s="49">
        <f>'Avg Week KAPEEKA-NGOMA'!C13+'Avg Week NGOMA-KAPEEKA'!C13</f>
        <v>0.5714285714285714</v>
      </c>
      <c r="D13" s="49">
        <f>'Avg Week KAPEEKA-NGOMA'!D13+'Avg Week NGOMA-KAPEEKA'!D13</f>
        <v>0.2857142857142857</v>
      </c>
      <c r="E13" s="49">
        <f>'Avg Week KAPEEKA-NGOMA'!E13+'Avg Week NGOMA-KAPEEKA'!E13</f>
        <v>0.14285714285714285</v>
      </c>
      <c r="F13" s="49">
        <f>'Avg Week KAPEEKA-NGOMA'!F13+'Avg Week NGOMA-KAPEEKA'!F13</f>
        <v>0.8571428571428571</v>
      </c>
      <c r="G13" s="49">
        <f>'Avg Week KAPEEKA-NGOMA'!G13+'Avg Week NGOMA-KAPEEKA'!G13</f>
        <v>0</v>
      </c>
      <c r="H13" s="49">
        <f>'Avg Week KAPEEKA-NGOMA'!H13+'Avg Week NGOMA-KAPEEKA'!H13</f>
        <v>0</v>
      </c>
      <c r="I13" s="49">
        <f>'Avg Week KAPEEKA-NGOMA'!I13+'Avg Week NGOMA-KAPEEKA'!I13</f>
        <v>0.5714285714285714</v>
      </c>
      <c r="J13" s="49">
        <f>'Avg Week KAPEEKA-NGOMA'!J13+'Avg Week NGOMA-KAPEEKA'!J13</f>
        <v>0</v>
      </c>
      <c r="K13" s="49">
        <f>'Avg Week KAPEEKA-NGOMA'!K13+'Avg Week NGOMA-KAPEEKA'!K13</f>
        <v>0</v>
      </c>
      <c r="L13" s="49">
        <f>'Avg Week KAPEEKA-NGOMA'!L13+'Avg Week NGOMA-KAPEEKA'!L13</f>
        <v>0.5714285714285714</v>
      </c>
      <c r="M13" s="49">
        <f>'Avg Week KAPEEKA-NGOMA'!M13+'Avg Week NGOMA-KAPEEKA'!M13</f>
        <v>7.7142857142857153</v>
      </c>
      <c r="N13" s="49">
        <f>'Avg Week KAPEEKA-NGOMA'!N13+'Avg Week NGOMA-KAPEEKA'!N13</f>
        <v>0</v>
      </c>
      <c r="O13" s="15">
        <f t="shared" si="0"/>
        <v>3</v>
      </c>
      <c r="P13" s="15">
        <f t="shared" si="1"/>
        <v>10.714285714285715</v>
      </c>
      <c r="R13" s="1" t="s">
        <v>9</v>
      </c>
      <c r="S13" s="17">
        <f t="shared" ref="S13:AF13" si="5">SUM(C22:C25)</f>
        <v>5.5714285714285712</v>
      </c>
      <c r="T13" s="17">
        <f t="shared" si="5"/>
        <v>1.1428571428571428</v>
      </c>
      <c r="U13" s="17">
        <f t="shared" si="5"/>
        <v>2.1428571428571428</v>
      </c>
      <c r="V13" s="17">
        <f t="shared" si="5"/>
        <v>2.1428571428571423</v>
      </c>
      <c r="W13" s="17">
        <f t="shared" si="5"/>
        <v>0</v>
      </c>
      <c r="X13" s="17">
        <f t="shared" si="5"/>
        <v>0</v>
      </c>
      <c r="Y13" s="17">
        <f t="shared" si="5"/>
        <v>4.2857142857142847</v>
      </c>
      <c r="Z13" s="17">
        <f t="shared" si="5"/>
        <v>0.42857142857142855</v>
      </c>
      <c r="AA13" s="17">
        <f t="shared" si="5"/>
        <v>0</v>
      </c>
      <c r="AB13" s="17">
        <f t="shared" si="5"/>
        <v>0</v>
      </c>
      <c r="AC13" s="17">
        <f t="shared" si="5"/>
        <v>39.857142857142854</v>
      </c>
      <c r="AD13" s="17">
        <f t="shared" si="5"/>
        <v>0.42857142857142855</v>
      </c>
      <c r="AE13" s="31">
        <f t="shared" si="5"/>
        <v>16.142857142857142</v>
      </c>
      <c r="AF13" s="31">
        <f t="shared" si="5"/>
        <v>55.999999999999993</v>
      </c>
    </row>
    <row r="14" spans="2:32" ht="23.1" customHeight="1" x14ac:dyDescent="0.25">
      <c r="B14" s="23" t="s">
        <v>41</v>
      </c>
      <c r="C14" s="49">
        <f>'Avg Week KAPEEKA-NGOMA'!C14+'Avg Week NGOMA-KAPEEKA'!C14</f>
        <v>0.42857142857142855</v>
      </c>
      <c r="D14" s="49">
        <f>'Avg Week KAPEEKA-NGOMA'!D14+'Avg Week NGOMA-KAPEEKA'!D14</f>
        <v>0.2857142857142857</v>
      </c>
      <c r="E14" s="49">
        <f>'Avg Week KAPEEKA-NGOMA'!E14+'Avg Week NGOMA-KAPEEKA'!E14</f>
        <v>0.42857142857142855</v>
      </c>
      <c r="F14" s="49">
        <f>'Avg Week KAPEEKA-NGOMA'!F14+'Avg Week NGOMA-KAPEEKA'!F14</f>
        <v>0</v>
      </c>
      <c r="G14" s="49">
        <f>'Avg Week KAPEEKA-NGOMA'!G14+'Avg Week NGOMA-KAPEEKA'!G14</f>
        <v>0</v>
      </c>
      <c r="H14" s="49">
        <f>'Avg Week KAPEEKA-NGOMA'!H14+'Avg Week NGOMA-KAPEEKA'!H14</f>
        <v>0</v>
      </c>
      <c r="I14" s="49">
        <f>'Avg Week KAPEEKA-NGOMA'!I14+'Avg Week NGOMA-KAPEEKA'!I14</f>
        <v>0.5714285714285714</v>
      </c>
      <c r="J14" s="49">
        <f>'Avg Week KAPEEKA-NGOMA'!J14+'Avg Week NGOMA-KAPEEKA'!J14</f>
        <v>0.14285714285714285</v>
      </c>
      <c r="K14" s="49">
        <f>'Avg Week KAPEEKA-NGOMA'!K14+'Avg Week NGOMA-KAPEEKA'!K14</f>
        <v>0.14285714285714285</v>
      </c>
      <c r="L14" s="49">
        <f>'Avg Week KAPEEKA-NGOMA'!L14+'Avg Week NGOMA-KAPEEKA'!L14</f>
        <v>0</v>
      </c>
      <c r="M14" s="49">
        <f>'Avg Week KAPEEKA-NGOMA'!M14+'Avg Week NGOMA-KAPEEKA'!M14</f>
        <v>7.7142857142857144</v>
      </c>
      <c r="N14" s="49">
        <f>'Avg Week KAPEEKA-NGOMA'!N14+'Avg Week NGOMA-KAPEEKA'!N14</f>
        <v>0.14285714285714285</v>
      </c>
      <c r="O14" s="15">
        <f t="shared" si="0"/>
        <v>2.1428571428571428</v>
      </c>
      <c r="P14" s="15">
        <f t="shared" si="1"/>
        <v>9.8571428571428559</v>
      </c>
      <c r="R14" s="1" t="s">
        <v>10</v>
      </c>
      <c r="S14" s="17">
        <f t="shared" ref="S14:AF14" si="6">SUM(C26:C29)</f>
        <v>3.9999999999999996</v>
      </c>
      <c r="T14" s="17">
        <f t="shared" si="6"/>
        <v>1.5714285714285712</v>
      </c>
      <c r="U14" s="17">
        <f t="shared" si="6"/>
        <v>2.2857142857142851</v>
      </c>
      <c r="V14" s="17">
        <f t="shared" si="6"/>
        <v>3.2857142857142856</v>
      </c>
      <c r="W14" s="17">
        <f t="shared" si="6"/>
        <v>0</v>
      </c>
      <c r="X14" s="17">
        <f t="shared" si="6"/>
        <v>0</v>
      </c>
      <c r="Y14" s="17">
        <f t="shared" si="6"/>
        <v>3.8571428571428568</v>
      </c>
      <c r="Z14" s="17">
        <f t="shared" si="6"/>
        <v>1.5714285714285714</v>
      </c>
      <c r="AA14" s="17">
        <f t="shared" si="6"/>
        <v>0</v>
      </c>
      <c r="AB14" s="17">
        <f t="shared" si="6"/>
        <v>0.14285714285714285</v>
      </c>
      <c r="AC14" s="17">
        <f t="shared" si="6"/>
        <v>38.857142857142861</v>
      </c>
      <c r="AD14" s="17">
        <f t="shared" si="6"/>
        <v>0</v>
      </c>
      <c r="AE14" s="31">
        <f t="shared" si="6"/>
        <v>16.714285714285712</v>
      </c>
      <c r="AF14" s="31">
        <f t="shared" si="6"/>
        <v>55.571428571428569</v>
      </c>
    </row>
    <row r="15" spans="2:32" ht="23.1" customHeight="1" x14ac:dyDescent="0.25">
      <c r="B15" s="23" t="s">
        <v>42</v>
      </c>
      <c r="C15" s="49">
        <f>'Avg Week KAPEEKA-NGOMA'!C15+'Avg Week NGOMA-KAPEEKA'!C15</f>
        <v>0.14285714285714285</v>
      </c>
      <c r="D15" s="49">
        <f>'Avg Week KAPEEKA-NGOMA'!D15+'Avg Week NGOMA-KAPEEKA'!D15</f>
        <v>0.5714285714285714</v>
      </c>
      <c r="E15" s="49">
        <f>'Avg Week KAPEEKA-NGOMA'!E15+'Avg Week NGOMA-KAPEEKA'!E15</f>
        <v>0.42857142857142855</v>
      </c>
      <c r="F15" s="49">
        <f>'Avg Week KAPEEKA-NGOMA'!F15+'Avg Week NGOMA-KAPEEKA'!F15</f>
        <v>0</v>
      </c>
      <c r="G15" s="49">
        <f>'Avg Week KAPEEKA-NGOMA'!G15+'Avg Week NGOMA-KAPEEKA'!G15</f>
        <v>0</v>
      </c>
      <c r="H15" s="49">
        <f>'Avg Week KAPEEKA-NGOMA'!H15+'Avg Week NGOMA-KAPEEKA'!H15</f>
        <v>0</v>
      </c>
      <c r="I15" s="49">
        <f>'Avg Week KAPEEKA-NGOMA'!I15+'Avg Week NGOMA-KAPEEKA'!I15</f>
        <v>1.4285714285714284</v>
      </c>
      <c r="J15" s="49">
        <f>'Avg Week KAPEEKA-NGOMA'!J15+'Avg Week NGOMA-KAPEEKA'!J15</f>
        <v>0.14285714285714285</v>
      </c>
      <c r="K15" s="49">
        <f>'Avg Week KAPEEKA-NGOMA'!K15+'Avg Week NGOMA-KAPEEKA'!K15</f>
        <v>0</v>
      </c>
      <c r="L15" s="49">
        <f>'Avg Week KAPEEKA-NGOMA'!L15+'Avg Week NGOMA-KAPEEKA'!L15</f>
        <v>0</v>
      </c>
      <c r="M15" s="49">
        <f>'Avg Week KAPEEKA-NGOMA'!M15+'Avg Week NGOMA-KAPEEKA'!M15</f>
        <v>9</v>
      </c>
      <c r="N15" s="49">
        <f>'Avg Week KAPEEKA-NGOMA'!N15+'Avg Week NGOMA-KAPEEKA'!N15</f>
        <v>0</v>
      </c>
      <c r="O15" s="15">
        <f t="shared" si="0"/>
        <v>2.714285714285714</v>
      </c>
      <c r="P15" s="15">
        <f t="shared" si="1"/>
        <v>11.714285714285714</v>
      </c>
      <c r="R15" s="1" t="s">
        <v>11</v>
      </c>
      <c r="S15" s="17">
        <f t="shared" ref="S15:AF15" si="7">SUM(C30:C33)</f>
        <v>5.1428571428571423</v>
      </c>
      <c r="T15" s="17">
        <f t="shared" si="7"/>
        <v>1</v>
      </c>
      <c r="U15" s="17">
        <f t="shared" si="7"/>
        <v>3.4285714285714288</v>
      </c>
      <c r="V15" s="17">
        <f t="shared" si="7"/>
        <v>3.9999999999999996</v>
      </c>
      <c r="W15" s="17">
        <f t="shared" si="7"/>
        <v>0.14285714285714285</v>
      </c>
      <c r="X15" s="17">
        <f t="shared" si="7"/>
        <v>0.14285714285714285</v>
      </c>
      <c r="Y15" s="17">
        <f t="shared" si="7"/>
        <v>5.2857142857142865</v>
      </c>
      <c r="Z15" s="17">
        <f t="shared" si="7"/>
        <v>1.7142857142857142</v>
      </c>
      <c r="AA15" s="17">
        <f t="shared" si="7"/>
        <v>0.14285714285714285</v>
      </c>
      <c r="AB15" s="17">
        <f t="shared" si="7"/>
        <v>0</v>
      </c>
      <c r="AC15" s="17">
        <f t="shared" si="7"/>
        <v>42.571428571428569</v>
      </c>
      <c r="AD15" s="17">
        <f t="shared" si="7"/>
        <v>0.42857142857142855</v>
      </c>
      <c r="AE15" s="31">
        <f t="shared" si="7"/>
        <v>21.428571428571427</v>
      </c>
      <c r="AF15" s="31">
        <f t="shared" si="7"/>
        <v>64</v>
      </c>
    </row>
    <row r="16" spans="2:32" ht="23.1" customHeight="1" x14ac:dyDescent="0.25">
      <c r="B16" s="23" t="s">
        <v>43</v>
      </c>
      <c r="C16" s="49">
        <f>'Avg Week KAPEEKA-NGOMA'!C16+'Avg Week NGOMA-KAPEEKA'!C16</f>
        <v>0.2857142857142857</v>
      </c>
      <c r="D16" s="49">
        <f>'Avg Week KAPEEKA-NGOMA'!D16+'Avg Week NGOMA-KAPEEKA'!D16</f>
        <v>0.14285714285714285</v>
      </c>
      <c r="E16" s="49">
        <f>'Avg Week KAPEEKA-NGOMA'!E16+'Avg Week NGOMA-KAPEEKA'!E16</f>
        <v>0.5714285714285714</v>
      </c>
      <c r="F16" s="49">
        <f>'Avg Week KAPEEKA-NGOMA'!F16+'Avg Week NGOMA-KAPEEKA'!F16</f>
        <v>0.85714285714285721</v>
      </c>
      <c r="G16" s="49">
        <f>'Avg Week KAPEEKA-NGOMA'!G16+'Avg Week NGOMA-KAPEEKA'!G16</f>
        <v>0</v>
      </c>
      <c r="H16" s="49">
        <f>'Avg Week KAPEEKA-NGOMA'!H16+'Avg Week NGOMA-KAPEEKA'!H16</f>
        <v>0</v>
      </c>
      <c r="I16" s="49">
        <f>'Avg Week KAPEEKA-NGOMA'!I16+'Avg Week NGOMA-KAPEEKA'!I16</f>
        <v>1.1428571428571428</v>
      </c>
      <c r="J16" s="49">
        <f>'Avg Week KAPEEKA-NGOMA'!J16+'Avg Week NGOMA-KAPEEKA'!J16</f>
        <v>0.2857142857142857</v>
      </c>
      <c r="K16" s="49">
        <f>'Avg Week KAPEEKA-NGOMA'!K16+'Avg Week NGOMA-KAPEEKA'!K16</f>
        <v>0</v>
      </c>
      <c r="L16" s="49">
        <f>'Avg Week KAPEEKA-NGOMA'!L16+'Avg Week NGOMA-KAPEEKA'!L16</f>
        <v>0</v>
      </c>
      <c r="M16" s="49">
        <f>'Avg Week KAPEEKA-NGOMA'!M16+'Avg Week NGOMA-KAPEEKA'!M16</f>
        <v>8.8571428571428577</v>
      </c>
      <c r="N16" s="49">
        <f>'Avg Week KAPEEKA-NGOMA'!N16+'Avg Week NGOMA-KAPEEKA'!N16</f>
        <v>0</v>
      </c>
      <c r="O16" s="15">
        <f t="shared" si="0"/>
        <v>3.2857142857142856</v>
      </c>
      <c r="P16" s="15">
        <f t="shared" si="1"/>
        <v>12.142857142857142</v>
      </c>
      <c r="R16" s="1" t="s">
        <v>12</v>
      </c>
      <c r="S16" s="17">
        <f t="shared" ref="S16:AF16" si="8">SUM(C34:C37)</f>
        <v>3.5714285714285712</v>
      </c>
      <c r="T16" s="17">
        <f t="shared" si="8"/>
        <v>0.99999999999999989</v>
      </c>
      <c r="U16" s="17">
        <f t="shared" si="8"/>
        <v>2.1428571428571428</v>
      </c>
      <c r="V16" s="17">
        <f t="shared" si="8"/>
        <v>4.7142857142857135</v>
      </c>
      <c r="W16" s="17">
        <f t="shared" si="8"/>
        <v>0.14285714285714285</v>
      </c>
      <c r="X16" s="17">
        <f t="shared" si="8"/>
        <v>0</v>
      </c>
      <c r="Y16" s="17">
        <f t="shared" si="8"/>
        <v>4.2857142857142856</v>
      </c>
      <c r="Z16" s="17">
        <f t="shared" si="8"/>
        <v>2.5714285714285712</v>
      </c>
      <c r="AA16" s="17">
        <f t="shared" si="8"/>
        <v>0.14285714285714285</v>
      </c>
      <c r="AB16" s="17">
        <f t="shared" si="8"/>
        <v>0.14285714285714285</v>
      </c>
      <c r="AC16" s="17">
        <f t="shared" si="8"/>
        <v>42.428571428571431</v>
      </c>
      <c r="AD16" s="17">
        <f t="shared" si="8"/>
        <v>0</v>
      </c>
      <c r="AE16" s="31">
        <f t="shared" si="8"/>
        <v>18.714285714285715</v>
      </c>
      <c r="AF16" s="31">
        <f t="shared" si="8"/>
        <v>61.142857142857146</v>
      </c>
    </row>
    <row r="17" spans="2:32" ht="23.1" customHeight="1" x14ac:dyDescent="0.25">
      <c r="B17" s="23" t="s">
        <v>44</v>
      </c>
      <c r="C17" s="49">
        <f>'Avg Week KAPEEKA-NGOMA'!C17+'Avg Week NGOMA-KAPEEKA'!C17</f>
        <v>0.71428571428571419</v>
      </c>
      <c r="D17" s="49">
        <f>'Avg Week KAPEEKA-NGOMA'!D17+'Avg Week NGOMA-KAPEEKA'!D17</f>
        <v>0.8571428571428571</v>
      </c>
      <c r="E17" s="49">
        <f>'Avg Week KAPEEKA-NGOMA'!E17+'Avg Week NGOMA-KAPEEKA'!E17</f>
        <v>0.71428571428571419</v>
      </c>
      <c r="F17" s="49">
        <f>'Avg Week KAPEEKA-NGOMA'!F17+'Avg Week NGOMA-KAPEEKA'!F17</f>
        <v>1</v>
      </c>
      <c r="G17" s="49">
        <f>'Avg Week KAPEEKA-NGOMA'!G17+'Avg Week NGOMA-KAPEEKA'!G17</f>
        <v>0</v>
      </c>
      <c r="H17" s="49">
        <f>'Avg Week KAPEEKA-NGOMA'!H17+'Avg Week NGOMA-KAPEEKA'!H17</f>
        <v>0</v>
      </c>
      <c r="I17" s="49">
        <f>'Avg Week KAPEEKA-NGOMA'!I17+'Avg Week NGOMA-KAPEEKA'!I17</f>
        <v>0.71428571428571419</v>
      </c>
      <c r="J17" s="49">
        <f>'Avg Week KAPEEKA-NGOMA'!J17+'Avg Week NGOMA-KAPEEKA'!J17</f>
        <v>0.42857142857142855</v>
      </c>
      <c r="K17" s="49">
        <f>'Avg Week KAPEEKA-NGOMA'!K17+'Avg Week NGOMA-KAPEEKA'!K17</f>
        <v>0</v>
      </c>
      <c r="L17" s="49">
        <f>'Avg Week KAPEEKA-NGOMA'!L17+'Avg Week NGOMA-KAPEEKA'!L17</f>
        <v>0</v>
      </c>
      <c r="M17" s="49">
        <f>'Avg Week KAPEEKA-NGOMA'!M17+'Avg Week NGOMA-KAPEEKA'!M17</f>
        <v>9.2857142857142847</v>
      </c>
      <c r="N17" s="49">
        <f>'Avg Week KAPEEKA-NGOMA'!N17+'Avg Week NGOMA-KAPEEKA'!N17</f>
        <v>0</v>
      </c>
      <c r="O17" s="15">
        <f t="shared" si="0"/>
        <v>4.4285714285714288</v>
      </c>
      <c r="P17" s="15">
        <f t="shared" si="1"/>
        <v>13.714285714285714</v>
      </c>
      <c r="R17" s="1" t="s">
        <v>13</v>
      </c>
      <c r="S17" s="17">
        <f t="shared" ref="S17:AF17" si="9">SUM(C38:C41)</f>
        <v>5.8571428571428577</v>
      </c>
      <c r="T17" s="17">
        <f t="shared" si="9"/>
        <v>1.1428571428571428</v>
      </c>
      <c r="U17" s="17">
        <f t="shared" si="9"/>
        <v>3</v>
      </c>
      <c r="V17" s="17">
        <f t="shared" si="9"/>
        <v>3.4285714285714288</v>
      </c>
      <c r="W17" s="17">
        <f t="shared" si="9"/>
        <v>0</v>
      </c>
      <c r="X17" s="17">
        <f t="shared" si="9"/>
        <v>0.14285714285714285</v>
      </c>
      <c r="Y17" s="17">
        <f t="shared" si="9"/>
        <v>4.8571428571428577</v>
      </c>
      <c r="Z17" s="17">
        <f t="shared" si="9"/>
        <v>0.8571428571428571</v>
      </c>
      <c r="AA17" s="17">
        <f t="shared" si="9"/>
        <v>0.14285714285714285</v>
      </c>
      <c r="AB17" s="17">
        <f t="shared" si="9"/>
        <v>0</v>
      </c>
      <c r="AC17" s="17">
        <f t="shared" si="9"/>
        <v>45.285714285714292</v>
      </c>
      <c r="AD17" s="17">
        <f t="shared" si="9"/>
        <v>0.2857142857142857</v>
      </c>
      <c r="AE17" s="31">
        <f t="shared" si="9"/>
        <v>19.714285714285715</v>
      </c>
      <c r="AF17" s="31">
        <f t="shared" si="9"/>
        <v>65</v>
      </c>
    </row>
    <row r="18" spans="2:32" ht="23.1" customHeight="1" x14ac:dyDescent="0.25">
      <c r="B18" s="23" t="s">
        <v>45</v>
      </c>
      <c r="C18" s="49">
        <f>'Avg Week KAPEEKA-NGOMA'!C18+'Avg Week NGOMA-KAPEEKA'!C18</f>
        <v>2.1428571428571428</v>
      </c>
      <c r="D18" s="49">
        <f>'Avg Week KAPEEKA-NGOMA'!D18+'Avg Week NGOMA-KAPEEKA'!D18</f>
        <v>0.71428571428571419</v>
      </c>
      <c r="E18" s="49">
        <f>'Avg Week KAPEEKA-NGOMA'!E18+'Avg Week NGOMA-KAPEEKA'!E18</f>
        <v>0.5714285714285714</v>
      </c>
      <c r="F18" s="49">
        <f>'Avg Week KAPEEKA-NGOMA'!F18+'Avg Week NGOMA-KAPEEKA'!F18</f>
        <v>0.42857142857142855</v>
      </c>
      <c r="G18" s="49">
        <f>'Avg Week KAPEEKA-NGOMA'!G18+'Avg Week NGOMA-KAPEEKA'!G18</f>
        <v>0</v>
      </c>
      <c r="H18" s="49">
        <f>'Avg Week KAPEEKA-NGOMA'!H18+'Avg Week NGOMA-KAPEEKA'!H18</f>
        <v>0</v>
      </c>
      <c r="I18" s="49">
        <f>'Avg Week KAPEEKA-NGOMA'!I18+'Avg Week NGOMA-KAPEEKA'!I18</f>
        <v>1.2857142857142856</v>
      </c>
      <c r="J18" s="49">
        <f>'Avg Week KAPEEKA-NGOMA'!J18+'Avg Week NGOMA-KAPEEKA'!J18</f>
        <v>0.14285714285714285</v>
      </c>
      <c r="K18" s="49">
        <f>'Avg Week KAPEEKA-NGOMA'!K18+'Avg Week NGOMA-KAPEEKA'!K18</f>
        <v>0</v>
      </c>
      <c r="L18" s="49">
        <f>'Avg Week KAPEEKA-NGOMA'!L18+'Avg Week NGOMA-KAPEEKA'!L18</f>
        <v>0</v>
      </c>
      <c r="M18" s="49">
        <f>'Avg Week KAPEEKA-NGOMA'!M18+'Avg Week NGOMA-KAPEEKA'!M18</f>
        <v>8.4285714285714288</v>
      </c>
      <c r="N18" s="49">
        <f>'Avg Week KAPEEKA-NGOMA'!N18+'Avg Week NGOMA-KAPEEKA'!N18</f>
        <v>0</v>
      </c>
      <c r="O18" s="15">
        <f t="shared" si="0"/>
        <v>5.2857142857142856</v>
      </c>
      <c r="P18" s="15">
        <f t="shared" si="1"/>
        <v>13.714285714285715</v>
      </c>
      <c r="R18" s="1" t="s">
        <v>14</v>
      </c>
      <c r="S18" s="17">
        <f t="shared" ref="S18:AF18" si="10">SUM(C42:C45)</f>
        <v>4.4285714285714288</v>
      </c>
      <c r="T18" s="17">
        <f t="shared" si="10"/>
        <v>2.2857142857142856</v>
      </c>
      <c r="U18" s="17">
        <f t="shared" si="10"/>
        <v>2.8571428571428568</v>
      </c>
      <c r="V18" s="17">
        <f t="shared" si="10"/>
        <v>4.2857142857142856</v>
      </c>
      <c r="W18" s="17">
        <f t="shared" si="10"/>
        <v>0.14285714285714285</v>
      </c>
      <c r="X18" s="17">
        <f t="shared" si="10"/>
        <v>0</v>
      </c>
      <c r="Y18" s="17">
        <f t="shared" si="10"/>
        <v>5.7142857142857135</v>
      </c>
      <c r="Z18" s="17">
        <f t="shared" si="10"/>
        <v>1</v>
      </c>
      <c r="AA18" s="17">
        <f t="shared" si="10"/>
        <v>0.5714285714285714</v>
      </c>
      <c r="AB18" s="17">
        <f t="shared" si="10"/>
        <v>0.14285714285714285</v>
      </c>
      <c r="AC18" s="17">
        <f t="shared" si="10"/>
        <v>42.571428571428569</v>
      </c>
      <c r="AD18" s="17">
        <f t="shared" si="10"/>
        <v>0</v>
      </c>
      <c r="AE18" s="31">
        <f t="shared" si="10"/>
        <v>21.428571428571431</v>
      </c>
      <c r="AF18" s="31">
        <f t="shared" si="10"/>
        <v>64</v>
      </c>
    </row>
    <row r="19" spans="2:32" ht="23.1" customHeight="1" x14ac:dyDescent="0.25">
      <c r="B19" s="23" t="s">
        <v>46</v>
      </c>
      <c r="C19" s="49">
        <f>'Avg Week KAPEEKA-NGOMA'!C19+'Avg Week NGOMA-KAPEEKA'!C19</f>
        <v>0.2857142857142857</v>
      </c>
      <c r="D19" s="49">
        <f>'Avg Week KAPEEKA-NGOMA'!D19+'Avg Week NGOMA-KAPEEKA'!D19</f>
        <v>0.14285714285714285</v>
      </c>
      <c r="E19" s="49">
        <f>'Avg Week KAPEEKA-NGOMA'!E19+'Avg Week NGOMA-KAPEEKA'!E19</f>
        <v>0.5714285714285714</v>
      </c>
      <c r="F19" s="49">
        <f>'Avg Week KAPEEKA-NGOMA'!F19+'Avg Week NGOMA-KAPEEKA'!F19</f>
        <v>0.5714285714285714</v>
      </c>
      <c r="G19" s="49">
        <f>'Avg Week KAPEEKA-NGOMA'!G19+'Avg Week NGOMA-KAPEEKA'!G19</f>
        <v>0</v>
      </c>
      <c r="H19" s="49">
        <f>'Avg Week KAPEEKA-NGOMA'!H19+'Avg Week NGOMA-KAPEEKA'!H19</f>
        <v>0</v>
      </c>
      <c r="I19" s="49">
        <f>'Avg Week KAPEEKA-NGOMA'!I19+'Avg Week NGOMA-KAPEEKA'!I19</f>
        <v>1.1428571428571428</v>
      </c>
      <c r="J19" s="49">
        <f>'Avg Week KAPEEKA-NGOMA'!J19+'Avg Week NGOMA-KAPEEKA'!J19</f>
        <v>0</v>
      </c>
      <c r="K19" s="49">
        <f>'Avg Week KAPEEKA-NGOMA'!K19+'Avg Week NGOMA-KAPEEKA'!K19</f>
        <v>0</v>
      </c>
      <c r="L19" s="49">
        <f>'Avg Week KAPEEKA-NGOMA'!L19+'Avg Week NGOMA-KAPEEKA'!L19</f>
        <v>0</v>
      </c>
      <c r="M19" s="49">
        <f>'Avg Week KAPEEKA-NGOMA'!M19+'Avg Week NGOMA-KAPEEKA'!M19</f>
        <v>8.8571428571428577</v>
      </c>
      <c r="N19" s="49">
        <f>'Avg Week KAPEEKA-NGOMA'!N19+'Avg Week NGOMA-KAPEEKA'!N19</f>
        <v>0</v>
      </c>
      <c r="O19" s="15">
        <f t="shared" si="0"/>
        <v>2.7142857142857144</v>
      </c>
      <c r="P19" s="15">
        <f t="shared" si="1"/>
        <v>11.571428571428573</v>
      </c>
      <c r="R19" s="1" t="s">
        <v>15</v>
      </c>
      <c r="S19" s="17">
        <f t="shared" ref="S19:AF19" si="11">SUM(C46:C49)</f>
        <v>5.1428571428571423</v>
      </c>
      <c r="T19" s="17">
        <f t="shared" si="11"/>
        <v>1.4285714285714284</v>
      </c>
      <c r="U19" s="17">
        <f t="shared" si="11"/>
        <v>2.1428571428571428</v>
      </c>
      <c r="V19" s="17">
        <f t="shared" si="11"/>
        <v>4</v>
      </c>
      <c r="W19" s="17">
        <f t="shared" si="11"/>
        <v>0.14285714285714285</v>
      </c>
      <c r="X19" s="17">
        <f t="shared" si="11"/>
        <v>0</v>
      </c>
      <c r="Y19" s="17">
        <f t="shared" si="11"/>
        <v>4.5714285714285712</v>
      </c>
      <c r="Z19" s="17">
        <f t="shared" si="11"/>
        <v>1.1428571428571428</v>
      </c>
      <c r="AA19" s="17">
        <f t="shared" si="11"/>
        <v>0.42857142857142855</v>
      </c>
      <c r="AB19" s="17">
        <f t="shared" si="11"/>
        <v>0.14285714285714285</v>
      </c>
      <c r="AC19" s="17">
        <f t="shared" si="11"/>
        <v>39.857142857142861</v>
      </c>
      <c r="AD19" s="17">
        <f t="shared" si="11"/>
        <v>0.14285714285714285</v>
      </c>
      <c r="AE19" s="31">
        <f t="shared" si="11"/>
        <v>19.285714285714285</v>
      </c>
      <c r="AF19" s="31">
        <f t="shared" si="11"/>
        <v>59.142857142857139</v>
      </c>
    </row>
    <row r="20" spans="2:32" ht="23.1" customHeight="1" x14ac:dyDescent="0.25">
      <c r="B20" s="23" t="s">
        <v>47</v>
      </c>
      <c r="C20" s="49">
        <f>'Avg Week KAPEEKA-NGOMA'!C20+'Avg Week NGOMA-KAPEEKA'!C20</f>
        <v>0.8571428571428571</v>
      </c>
      <c r="D20" s="49">
        <f>'Avg Week KAPEEKA-NGOMA'!D20+'Avg Week NGOMA-KAPEEKA'!D20</f>
        <v>0.14285714285714285</v>
      </c>
      <c r="E20" s="49">
        <f>'Avg Week KAPEEKA-NGOMA'!E20+'Avg Week NGOMA-KAPEEKA'!E20</f>
        <v>0.14285714285714285</v>
      </c>
      <c r="F20" s="49">
        <f>'Avg Week KAPEEKA-NGOMA'!F20+'Avg Week NGOMA-KAPEEKA'!F20</f>
        <v>0.5714285714285714</v>
      </c>
      <c r="G20" s="49">
        <f>'Avg Week KAPEEKA-NGOMA'!G20+'Avg Week NGOMA-KAPEEKA'!G20</f>
        <v>0</v>
      </c>
      <c r="H20" s="49">
        <f>'Avg Week KAPEEKA-NGOMA'!H20+'Avg Week NGOMA-KAPEEKA'!H20</f>
        <v>0</v>
      </c>
      <c r="I20" s="49">
        <f>'Avg Week KAPEEKA-NGOMA'!I20+'Avg Week NGOMA-KAPEEKA'!I20</f>
        <v>0.71428571428571419</v>
      </c>
      <c r="J20" s="49">
        <f>'Avg Week KAPEEKA-NGOMA'!J20+'Avg Week NGOMA-KAPEEKA'!J20</f>
        <v>0.2857142857142857</v>
      </c>
      <c r="K20" s="49">
        <f>'Avg Week KAPEEKA-NGOMA'!K20+'Avg Week NGOMA-KAPEEKA'!K20</f>
        <v>0</v>
      </c>
      <c r="L20" s="49">
        <f>'Avg Week KAPEEKA-NGOMA'!L20+'Avg Week NGOMA-KAPEEKA'!L20</f>
        <v>0</v>
      </c>
      <c r="M20" s="49">
        <f>'Avg Week KAPEEKA-NGOMA'!M20+'Avg Week NGOMA-KAPEEKA'!M20</f>
        <v>8.8571428571428577</v>
      </c>
      <c r="N20" s="49">
        <f>'Avg Week KAPEEKA-NGOMA'!N20+'Avg Week NGOMA-KAPEEKA'!N20</f>
        <v>0</v>
      </c>
      <c r="O20" s="15">
        <f t="shared" si="0"/>
        <v>2.714285714285714</v>
      </c>
      <c r="P20" s="15">
        <f t="shared" si="1"/>
        <v>11.571428571428571</v>
      </c>
      <c r="R20" s="1" t="s">
        <v>16</v>
      </c>
      <c r="S20" s="17">
        <f t="shared" ref="S20:AF20" si="12">SUM(C50:C53)</f>
        <v>4.2857142857142856</v>
      </c>
      <c r="T20" s="17">
        <f t="shared" si="12"/>
        <v>2.4285714285714284</v>
      </c>
      <c r="U20" s="17">
        <f t="shared" si="12"/>
        <v>2.5714285714285712</v>
      </c>
      <c r="V20" s="17">
        <f t="shared" si="12"/>
        <v>3.1428571428571423</v>
      </c>
      <c r="W20" s="17">
        <f t="shared" si="12"/>
        <v>0</v>
      </c>
      <c r="X20" s="17">
        <f t="shared" si="12"/>
        <v>0</v>
      </c>
      <c r="Y20" s="17">
        <f t="shared" si="12"/>
        <v>5.8571428571428577</v>
      </c>
      <c r="Z20" s="17">
        <f t="shared" si="12"/>
        <v>1.2857142857142856</v>
      </c>
      <c r="AA20" s="17">
        <f t="shared" si="12"/>
        <v>0</v>
      </c>
      <c r="AB20" s="17">
        <f t="shared" si="12"/>
        <v>0.42857142857142855</v>
      </c>
      <c r="AC20" s="17">
        <f t="shared" si="12"/>
        <v>39</v>
      </c>
      <c r="AD20" s="17">
        <f t="shared" si="12"/>
        <v>1.4285714285714284</v>
      </c>
      <c r="AE20" s="31">
        <f t="shared" si="12"/>
        <v>21.428571428571431</v>
      </c>
      <c r="AF20" s="31">
        <f t="shared" si="12"/>
        <v>60.428571428571431</v>
      </c>
    </row>
    <row r="21" spans="2:32" ht="23.1" customHeight="1" x14ac:dyDescent="0.25">
      <c r="B21" s="23" t="s">
        <v>48</v>
      </c>
      <c r="C21" s="49">
        <f>'Avg Week KAPEEKA-NGOMA'!C21+'Avg Week NGOMA-KAPEEKA'!C21</f>
        <v>0.5714285714285714</v>
      </c>
      <c r="D21" s="49">
        <f>'Avg Week KAPEEKA-NGOMA'!D21+'Avg Week NGOMA-KAPEEKA'!D21</f>
        <v>0</v>
      </c>
      <c r="E21" s="49">
        <f>'Avg Week KAPEEKA-NGOMA'!E21+'Avg Week NGOMA-KAPEEKA'!E21</f>
        <v>0</v>
      </c>
      <c r="F21" s="49">
        <f>'Avg Week KAPEEKA-NGOMA'!F21+'Avg Week NGOMA-KAPEEKA'!F21</f>
        <v>0.71428571428571419</v>
      </c>
      <c r="G21" s="49">
        <f>'Avg Week KAPEEKA-NGOMA'!G21+'Avg Week NGOMA-KAPEEKA'!G21</f>
        <v>0</v>
      </c>
      <c r="H21" s="49">
        <f>'Avg Week KAPEEKA-NGOMA'!H21+'Avg Week NGOMA-KAPEEKA'!H21</f>
        <v>0</v>
      </c>
      <c r="I21" s="49">
        <f>'Avg Week KAPEEKA-NGOMA'!I21+'Avg Week NGOMA-KAPEEKA'!I21</f>
        <v>0.85714285714285721</v>
      </c>
      <c r="J21" s="49">
        <f>'Avg Week KAPEEKA-NGOMA'!J21+'Avg Week NGOMA-KAPEEKA'!J21</f>
        <v>0</v>
      </c>
      <c r="K21" s="49">
        <f>'Avg Week KAPEEKA-NGOMA'!K21+'Avg Week NGOMA-KAPEEKA'!K21</f>
        <v>0</v>
      </c>
      <c r="L21" s="49">
        <f>'Avg Week KAPEEKA-NGOMA'!L21+'Avg Week NGOMA-KAPEEKA'!L21</f>
        <v>0</v>
      </c>
      <c r="M21" s="49">
        <f>'Avg Week KAPEEKA-NGOMA'!M21+'Avg Week NGOMA-KAPEEKA'!M21</f>
        <v>6.8571428571428577</v>
      </c>
      <c r="N21" s="49">
        <f>'Avg Week KAPEEKA-NGOMA'!N21+'Avg Week NGOMA-KAPEEKA'!N21</f>
        <v>0</v>
      </c>
      <c r="O21" s="15">
        <f t="shared" si="0"/>
        <v>2.1428571428571428</v>
      </c>
      <c r="P21" s="15">
        <f t="shared" si="1"/>
        <v>9</v>
      </c>
      <c r="R21" s="36" t="s">
        <v>20</v>
      </c>
      <c r="S21" s="34">
        <f t="shared" ref="S21:AF21" si="13">SUM(C54:C57)</f>
        <v>6.1428571428571423</v>
      </c>
      <c r="T21" s="17">
        <f t="shared" si="13"/>
        <v>1.8571428571428572</v>
      </c>
      <c r="U21" s="17">
        <f t="shared" si="13"/>
        <v>2.8571428571428568</v>
      </c>
      <c r="V21" s="17">
        <f t="shared" si="13"/>
        <v>4.7142857142857135</v>
      </c>
      <c r="W21" s="17">
        <f t="shared" si="13"/>
        <v>0.42857142857142855</v>
      </c>
      <c r="X21" s="17">
        <f t="shared" si="13"/>
        <v>0.2857142857142857</v>
      </c>
      <c r="Y21" s="17">
        <f t="shared" si="13"/>
        <v>5.5714285714285712</v>
      </c>
      <c r="Z21" s="17">
        <f t="shared" si="13"/>
        <v>1.714285714285714</v>
      </c>
      <c r="AA21" s="17">
        <f t="shared" si="13"/>
        <v>0.2857142857142857</v>
      </c>
      <c r="AB21" s="17">
        <f t="shared" si="13"/>
        <v>0</v>
      </c>
      <c r="AC21" s="17">
        <f t="shared" si="13"/>
        <v>40.452380952380949</v>
      </c>
      <c r="AD21" s="17">
        <f t="shared" si="13"/>
        <v>0</v>
      </c>
      <c r="AE21" s="31">
        <f t="shared" si="13"/>
        <v>23.857142857142854</v>
      </c>
      <c r="AF21" s="31">
        <f t="shared" si="13"/>
        <v>64.30952380952381</v>
      </c>
    </row>
    <row r="22" spans="2:32" ht="23.1" customHeight="1" x14ac:dyDescent="0.25">
      <c r="B22" s="23" t="s">
        <v>49</v>
      </c>
      <c r="C22" s="49">
        <f>'Avg Week KAPEEKA-NGOMA'!C22+'Avg Week NGOMA-KAPEEKA'!C22</f>
        <v>1.4285714285714284</v>
      </c>
      <c r="D22" s="49">
        <f>'Avg Week KAPEEKA-NGOMA'!D22+'Avg Week NGOMA-KAPEEKA'!D22</f>
        <v>0.42857142857142855</v>
      </c>
      <c r="E22" s="49">
        <f>'Avg Week KAPEEKA-NGOMA'!E22+'Avg Week NGOMA-KAPEEKA'!E22</f>
        <v>0.71428571428571419</v>
      </c>
      <c r="F22" s="49">
        <f>'Avg Week KAPEEKA-NGOMA'!F22+'Avg Week NGOMA-KAPEEKA'!F22</f>
        <v>0.42857142857142855</v>
      </c>
      <c r="G22" s="49">
        <f>'Avg Week KAPEEKA-NGOMA'!G22+'Avg Week NGOMA-KAPEEKA'!G22</f>
        <v>0</v>
      </c>
      <c r="H22" s="49">
        <f>'Avg Week KAPEEKA-NGOMA'!H22+'Avg Week NGOMA-KAPEEKA'!H22</f>
        <v>0</v>
      </c>
      <c r="I22" s="49">
        <f>'Avg Week KAPEEKA-NGOMA'!I22+'Avg Week NGOMA-KAPEEKA'!I22</f>
        <v>1.4285714285714284</v>
      </c>
      <c r="J22" s="49">
        <f>'Avg Week KAPEEKA-NGOMA'!J22+'Avg Week NGOMA-KAPEEKA'!J22</f>
        <v>0.14285714285714285</v>
      </c>
      <c r="K22" s="49">
        <f>'Avg Week KAPEEKA-NGOMA'!K22+'Avg Week NGOMA-KAPEEKA'!K22</f>
        <v>0</v>
      </c>
      <c r="L22" s="49">
        <f>'Avg Week KAPEEKA-NGOMA'!L22+'Avg Week NGOMA-KAPEEKA'!L22</f>
        <v>0</v>
      </c>
      <c r="M22" s="49">
        <f>'Avg Week KAPEEKA-NGOMA'!M22+'Avg Week NGOMA-KAPEEKA'!M22</f>
        <v>9.2857142857142847</v>
      </c>
      <c r="N22" s="49">
        <f>'Avg Week KAPEEKA-NGOMA'!N22+'Avg Week NGOMA-KAPEEKA'!N22</f>
        <v>0.14285714285714285</v>
      </c>
      <c r="O22" s="15">
        <f t="shared" si="0"/>
        <v>4.7142857142857144</v>
      </c>
      <c r="P22" s="15">
        <f t="shared" si="1"/>
        <v>13.999999999999998</v>
      </c>
      <c r="R22" s="1" t="s">
        <v>146</v>
      </c>
      <c r="S22" s="34">
        <f>SUM(C58:C61)</f>
        <v>5.5</v>
      </c>
      <c r="T22" s="34">
        <f t="shared" ref="T22:AF22" si="14">SUM(D58:D61)</f>
        <v>0.5</v>
      </c>
      <c r="U22" s="34">
        <f t="shared" si="14"/>
        <v>3.5</v>
      </c>
      <c r="V22" s="34">
        <f t="shared" si="14"/>
        <v>2.5</v>
      </c>
      <c r="W22" s="34">
        <f t="shared" si="14"/>
        <v>0</v>
      </c>
      <c r="X22" s="34">
        <f t="shared" si="14"/>
        <v>0</v>
      </c>
      <c r="Y22" s="34">
        <f t="shared" si="14"/>
        <v>8</v>
      </c>
      <c r="Z22" s="34">
        <f t="shared" si="14"/>
        <v>4</v>
      </c>
      <c r="AA22" s="34">
        <f t="shared" si="14"/>
        <v>0.5</v>
      </c>
      <c r="AB22" s="34">
        <f t="shared" si="14"/>
        <v>0.5</v>
      </c>
      <c r="AC22" s="34">
        <f t="shared" si="14"/>
        <v>41</v>
      </c>
      <c r="AD22" s="34">
        <f t="shared" si="14"/>
        <v>0</v>
      </c>
      <c r="AE22" s="31">
        <f t="shared" si="14"/>
        <v>25</v>
      </c>
      <c r="AF22" s="31">
        <f t="shared" si="14"/>
        <v>66</v>
      </c>
    </row>
    <row r="23" spans="2:32" ht="23.1" customHeight="1" x14ac:dyDescent="0.25">
      <c r="B23" s="23" t="s">
        <v>50</v>
      </c>
      <c r="C23" s="49">
        <f>'Avg Week KAPEEKA-NGOMA'!C23+'Avg Week NGOMA-KAPEEKA'!C23</f>
        <v>1.2857142857142856</v>
      </c>
      <c r="D23" s="49">
        <f>'Avg Week KAPEEKA-NGOMA'!D23+'Avg Week NGOMA-KAPEEKA'!D23</f>
        <v>0.14285714285714285</v>
      </c>
      <c r="E23" s="49">
        <f>'Avg Week KAPEEKA-NGOMA'!E23+'Avg Week NGOMA-KAPEEKA'!E23</f>
        <v>0.5714285714285714</v>
      </c>
      <c r="F23" s="49">
        <f>'Avg Week KAPEEKA-NGOMA'!F23+'Avg Week NGOMA-KAPEEKA'!F23</f>
        <v>0.42857142857142855</v>
      </c>
      <c r="G23" s="49">
        <f>'Avg Week KAPEEKA-NGOMA'!G23+'Avg Week NGOMA-KAPEEKA'!G23</f>
        <v>0</v>
      </c>
      <c r="H23" s="49">
        <f>'Avg Week KAPEEKA-NGOMA'!H23+'Avg Week NGOMA-KAPEEKA'!H23</f>
        <v>0</v>
      </c>
      <c r="I23" s="49">
        <f>'Avg Week KAPEEKA-NGOMA'!I23+'Avg Week NGOMA-KAPEEKA'!I23</f>
        <v>1.2857142857142856</v>
      </c>
      <c r="J23" s="49">
        <f>'Avg Week KAPEEKA-NGOMA'!J23+'Avg Week NGOMA-KAPEEKA'!J23</f>
        <v>0.14285714285714285</v>
      </c>
      <c r="K23" s="49">
        <f>'Avg Week KAPEEKA-NGOMA'!K23+'Avg Week NGOMA-KAPEEKA'!K23</f>
        <v>0</v>
      </c>
      <c r="L23" s="49">
        <f>'Avg Week KAPEEKA-NGOMA'!L23+'Avg Week NGOMA-KAPEEKA'!L23</f>
        <v>0</v>
      </c>
      <c r="M23" s="49">
        <f>'Avg Week KAPEEKA-NGOMA'!M23+'Avg Week NGOMA-KAPEEKA'!M23</f>
        <v>9.1428571428571423</v>
      </c>
      <c r="N23" s="49">
        <f>'Avg Week KAPEEKA-NGOMA'!N23+'Avg Week NGOMA-KAPEEKA'!N23</f>
        <v>0</v>
      </c>
      <c r="O23" s="15">
        <f t="shared" si="0"/>
        <v>3.8571428571428568</v>
      </c>
      <c r="P23" s="15">
        <f t="shared" si="1"/>
        <v>13</v>
      </c>
      <c r="R23" s="1" t="s">
        <v>147</v>
      </c>
      <c r="S23" s="34">
        <f>SUM(C62:C65)</f>
        <v>4.5</v>
      </c>
      <c r="T23" s="34">
        <f t="shared" ref="T23:AF23" si="15">SUM(D62:D65)</f>
        <v>1.5</v>
      </c>
      <c r="U23" s="34">
        <f t="shared" si="15"/>
        <v>2</v>
      </c>
      <c r="V23" s="34">
        <f t="shared" si="15"/>
        <v>3.5</v>
      </c>
      <c r="W23" s="34">
        <f t="shared" si="15"/>
        <v>0</v>
      </c>
      <c r="X23" s="34">
        <f t="shared" si="15"/>
        <v>0</v>
      </c>
      <c r="Y23" s="34">
        <f t="shared" si="15"/>
        <v>4.5</v>
      </c>
      <c r="Z23" s="34">
        <f t="shared" si="15"/>
        <v>3</v>
      </c>
      <c r="AA23" s="34">
        <f t="shared" si="15"/>
        <v>0</v>
      </c>
      <c r="AB23" s="34">
        <f t="shared" si="15"/>
        <v>0</v>
      </c>
      <c r="AC23" s="34">
        <f t="shared" si="15"/>
        <v>21</v>
      </c>
      <c r="AD23" s="34">
        <f t="shared" si="15"/>
        <v>0</v>
      </c>
      <c r="AE23" s="31">
        <f t="shared" si="15"/>
        <v>19</v>
      </c>
      <c r="AF23" s="31">
        <f t="shared" si="15"/>
        <v>40</v>
      </c>
    </row>
    <row r="24" spans="2:32" ht="23.1" customHeight="1" x14ac:dyDescent="0.25">
      <c r="B24" s="23" t="s">
        <v>51</v>
      </c>
      <c r="C24" s="49">
        <f>'Avg Week KAPEEKA-NGOMA'!C24+'Avg Week NGOMA-KAPEEKA'!C24</f>
        <v>1.5714285714285714</v>
      </c>
      <c r="D24" s="49">
        <f>'Avg Week KAPEEKA-NGOMA'!D24+'Avg Week NGOMA-KAPEEKA'!D24</f>
        <v>0.5714285714285714</v>
      </c>
      <c r="E24" s="49">
        <f>'Avg Week KAPEEKA-NGOMA'!E24+'Avg Week NGOMA-KAPEEKA'!E24</f>
        <v>0.71428571428571419</v>
      </c>
      <c r="F24" s="49">
        <f>'Avg Week KAPEEKA-NGOMA'!F24+'Avg Week NGOMA-KAPEEKA'!F24</f>
        <v>0.71428571428571419</v>
      </c>
      <c r="G24" s="49">
        <f>'Avg Week KAPEEKA-NGOMA'!G24+'Avg Week NGOMA-KAPEEKA'!G24</f>
        <v>0</v>
      </c>
      <c r="H24" s="49">
        <f>'Avg Week KAPEEKA-NGOMA'!H24+'Avg Week NGOMA-KAPEEKA'!H24</f>
        <v>0</v>
      </c>
      <c r="I24" s="49">
        <f>'Avg Week KAPEEKA-NGOMA'!I24+'Avg Week NGOMA-KAPEEKA'!I24</f>
        <v>0.71428571428571419</v>
      </c>
      <c r="J24" s="49">
        <f>'Avg Week KAPEEKA-NGOMA'!J24+'Avg Week NGOMA-KAPEEKA'!J24</f>
        <v>0</v>
      </c>
      <c r="K24" s="49">
        <f>'Avg Week KAPEEKA-NGOMA'!K24+'Avg Week NGOMA-KAPEEKA'!K24</f>
        <v>0</v>
      </c>
      <c r="L24" s="49">
        <f>'Avg Week KAPEEKA-NGOMA'!L24+'Avg Week NGOMA-KAPEEKA'!L24</f>
        <v>0</v>
      </c>
      <c r="M24" s="49">
        <f>'Avg Week KAPEEKA-NGOMA'!M24+'Avg Week NGOMA-KAPEEKA'!M24</f>
        <v>10.285714285714285</v>
      </c>
      <c r="N24" s="49">
        <f>'Avg Week KAPEEKA-NGOMA'!N24+'Avg Week NGOMA-KAPEEKA'!N24</f>
        <v>0.14285714285714285</v>
      </c>
      <c r="O24" s="15">
        <f t="shared" si="0"/>
        <v>4.4285714285714288</v>
      </c>
      <c r="P24" s="15">
        <f t="shared" si="1"/>
        <v>14.714285714285712</v>
      </c>
      <c r="R24" s="1" t="s">
        <v>148</v>
      </c>
      <c r="S24" s="34">
        <f>SUM(C66:C69)</f>
        <v>12.5</v>
      </c>
      <c r="T24" s="34">
        <f t="shared" ref="T24:AF24" si="16">SUM(D66:D69)</f>
        <v>0.5</v>
      </c>
      <c r="U24" s="34">
        <f t="shared" si="16"/>
        <v>1</v>
      </c>
      <c r="V24" s="34">
        <f t="shared" si="16"/>
        <v>3</v>
      </c>
      <c r="W24" s="34">
        <f t="shared" si="16"/>
        <v>0</v>
      </c>
      <c r="X24" s="34">
        <f t="shared" si="16"/>
        <v>0</v>
      </c>
      <c r="Y24" s="34">
        <f t="shared" si="16"/>
        <v>5.5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21.5</v>
      </c>
      <c r="AD24" s="34">
        <f t="shared" si="16"/>
        <v>0</v>
      </c>
      <c r="AE24" s="31">
        <f t="shared" si="16"/>
        <v>24.5</v>
      </c>
      <c r="AF24" s="31">
        <f t="shared" si="16"/>
        <v>46</v>
      </c>
    </row>
    <row r="25" spans="2:32" ht="23.1" customHeight="1" x14ac:dyDescent="0.25">
      <c r="B25" s="23" t="s">
        <v>52</v>
      </c>
      <c r="C25" s="49">
        <f>'Avg Week KAPEEKA-NGOMA'!C25+'Avg Week NGOMA-KAPEEKA'!C25</f>
        <v>1.2857142857142856</v>
      </c>
      <c r="D25" s="49">
        <f>'Avg Week KAPEEKA-NGOMA'!D25+'Avg Week NGOMA-KAPEEKA'!D25</f>
        <v>0</v>
      </c>
      <c r="E25" s="49">
        <f>'Avg Week KAPEEKA-NGOMA'!E25+'Avg Week NGOMA-KAPEEKA'!E25</f>
        <v>0.14285714285714285</v>
      </c>
      <c r="F25" s="49">
        <f>'Avg Week KAPEEKA-NGOMA'!F25+'Avg Week NGOMA-KAPEEKA'!F25</f>
        <v>0.5714285714285714</v>
      </c>
      <c r="G25" s="49">
        <f>'Avg Week KAPEEKA-NGOMA'!G25+'Avg Week NGOMA-KAPEEKA'!G25</f>
        <v>0</v>
      </c>
      <c r="H25" s="49">
        <f>'Avg Week KAPEEKA-NGOMA'!H25+'Avg Week NGOMA-KAPEEKA'!H25</f>
        <v>0</v>
      </c>
      <c r="I25" s="49">
        <f>'Avg Week KAPEEKA-NGOMA'!I25+'Avg Week NGOMA-KAPEEKA'!I25</f>
        <v>0.85714285714285721</v>
      </c>
      <c r="J25" s="49">
        <f>'Avg Week KAPEEKA-NGOMA'!J25+'Avg Week NGOMA-KAPEEKA'!J25</f>
        <v>0.14285714285714285</v>
      </c>
      <c r="K25" s="49">
        <f>'Avg Week KAPEEKA-NGOMA'!K25+'Avg Week NGOMA-KAPEEKA'!K25</f>
        <v>0</v>
      </c>
      <c r="L25" s="49">
        <f>'Avg Week KAPEEKA-NGOMA'!L25+'Avg Week NGOMA-KAPEEKA'!L25</f>
        <v>0</v>
      </c>
      <c r="M25" s="49">
        <f>'Avg Week KAPEEKA-NGOMA'!M25+'Avg Week NGOMA-KAPEEKA'!M25</f>
        <v>11.142857142857142</v>
      </c>
      <c r="N25" s="49">
        <f>'Avg Week KAPEEKA-NGOMA'!N25+'Avg Week NGOMA-KAPEEKA'!N25</f>
        <v>0.14285714285714285</v>
      </c>
      <c r="O25" s="15">
        <f t="shared" si="0"/>
        <v>3.1428571428571423</v>
      </c>
      <c r="P25" s="15">
        <f t="shared" si="1"/>
        <v>14.285714285714285</v>
      </c>
      <c r="R25" s="1" t="s">
        <v>149</v>
      </c>
      <c r="S25" s="34">
        <f>SUM(C70:C73)</f>
        <v>0.5</v>
      </c>
      <c r="T25" s="34">
        <f t="shared" ref="T25:AF25" si="17">SUM(D70:D73)</f>
        <v>0.5</v>
      </c>
      <c r="U25" s="34">
        <f t="shared" si="17"/>
        <v>0.5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6</v>
      </c>
      <c r="Z25" s="34">
        <f t="shared" si="17"/>
        <v>1</v>
      </c>
      <c r="AA25" s="34">
        <f t="shared" si="17"/>
        <v>0.5</v>
      </c>
      <c r="AB25" s="34">
        <f t="shared" si="17"/>
        <v>0</v>
      </c>
      <c r="AC25" s="34">
        <f t="shared" si="17"/>
        <v>9</v>
      </c>
      <c r="AD25" s="34">
        <f t="shared" si="17"/>
        <v>0</v>
      </c>
      <c r="AE25" s="31">
        <f t="shared" si="17"/>
        <v>9</v>
      </c>
      <c r="AF25" s="31">
        <f t="shared" si="17"/>
        <v>18</v>
      </c>
    </row>
    <row r="26" spans="2:32" ht="23.1" customHeight="1" x14ac:dyDescent="0.25">
      <c r="B26" s="23" t="s">
        <v>53</v>
      </c>
      <c r="C26" s="49">
        <f>'Avg Week KAPEEKA-NGOMA'!C26+'Avg Week NGOMA-KAPEEKA'!C26</f>
        <v>1</v>
      </c>
      <c r="D26" s="49">
        <f>'Avg Week KAPEEKA-NGOMA'!D26+'Avg Week NGOMA-KAPEEKA'!D26</f>
        <v>0</v>
      </c>
      <c r="E26" s="49">
        <f>'Avg Week KAPEEKA-NGOMA'!E26+'Avg Week NGOMA-KAPEEKA'!E26</f>
        <v>0.5714285714285714</v>
      </c>
      <c r="F26" s="49">
        <f>'Avg Week KAPEEKA-NGOMA'!F26+'Avg Week NGOMA-KAPEEKA'!F26</f>
        <v>0.71428571428571419</v>
      </c>
      <c r="G26" s="49">
        <f>'Avg Week KAPEEKA-NGOMA'!G26+'Avg Week NGOMA-KAPEEKA'!G26</f>
        <v>0</v>
      </c>
      <c r="H26" s="49">
        <f>'Avg Week KAPEEKA-NGOMA'!H26+'Avg Week NGOMA-KAPEEKA'!H26</f>
        <v>0</v>
      </c>
      <c r="I26" s="49">
        <f>'Avg Week KAPEEKA-NGOMA'!I26+'Avg Week NGOMA-KAPEEKA'!I26</f>
        <v>1</v>
      </c>
      <c r="J26" s="49">
        <f>'Avg Week KAPEEKA-NGOMA'!J26+'Avg Week NGOMA-KAPEEKA'!J26</f>
        <v>0.42857142857142855</v>
      </c>
      <c r="K26" s="49">
        <f>'Avg Week KAPEEKA-NGOMA'!K26+'Avg Week NGOMA-KAPEEKA'!K26</f>
        <v>0</v>
      </c>
      <c r="L26" s="49">
        <f>'Avg Week KAPEEKA-NGOMA'!L26+'Avg Week NGOMA-KAPEEKA'!L26</f>
        <v>0.14285714285714285</v>
      </c>
      <c r="M26" s="49">
        <f>'Avg Week KAPEEKA-NGOMA'!M26+'Avg Week NGOMA-KAPEEKA'!M26</f>
        <v>11</v>
      </c>
      <c r="N26" s="49">
        <f>'Avg Week KAPEEKA-NGOMA'!N26+'Avg Week NGOMA-KAPEEKA'!N26</f>
        <v>0</v>
      </c>
      <c r="O26" s="15">
        <f t="shared" si="0"/>
        <v>3.8571428571428568</v>
      </c>
      <c r="P26" s="15">
        <f t="shared" si="1"/>
        <v>14.857142857142858</v>
      </c>
      <c r="R26" s="1" t="s">
        <v>150</v>
      </c>
      <c r="S26" s="34">
        <f>SUM(C74:C77)</f>
        <v>1.5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0.5</v>
      </c>
      <c r="W26" s="34">
        <f t="shared" si="18"/>
        <v>0</v>
      </c>
      <c r="X26" s="34">
        <f t="shared" si="18"/>
        <v>0</v>
      </c>
      <c r="Y26" s="34">
        <f t="shared" si="18"/>
        <v>4.5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6.5</v>
      </c>
      <c r="AF26" s="31">
        <f t="shared" si="18"/>
        <v>7.5</v>
      </c>
    </row>
    <row r="27" spans="2:32" ht="23.1" customHeight="1" x14ac:dyDescent="0.25">
      <c r="B27" s="23" t="s">
        <v>54</v>
      </c>
      <c r="C27" s="49">
        <f>'Avg Week KAPEEKA-NGOMA'!C27+'Avg Week NGOMA-KAPEEKA'!C27</f>
        <v>0.8571428571428571</v>
      </c>
      <c r="D27" s="49">
        <f>'Avg Week KAPEEKA-NGOMA'!D27+'Avg Week NGOMA-KAPEEKA'!D27</f>
        <v>0.2857142857142857</v>
      </c>
      <c r="E27" s="49">
        <f>'Avg Week KAPEEKA-NGOMA'!E27+'Avg Week NGOMA-KAPEEKA'!E27</f>
        <v>0.8571428571428571</v>
      </c>
      <c r="F27" s="49">
        <f>'Avg Week KAPEEKA-NGOMA'!F27+'Avg Week NGOMA-KAPEEKA'!F27</f>
        <v>1</v>
      </c>
      <c r="G27" s="49">
        <f>'Avg Week KAPEEKA-NGOMA'!G27+'Avg Week NGOMA-KAPEEKA'!G27</f>
        <v>0</v>
      </c>
      <c r="H27" s="49">
        <f>'Avg Week KAPEEKA-NGOMA'!H27+'Avg Week NGOMA-KAPEEKA'!H27</f>
        <v>0</v>
      </c>
      <c r="I27" s="49">
        <f>'Avg Week KAPEEKA-NGOMA'!I27+'Avg Week NGOMA-KAPEEKA'!I27</f>
        <v>0.5714285714285714</v>
      </c>
      <c r="J27" s="49">
        <f>'Avg Week KAPEEKA-NGOMA'!J27+'Avg Week NGOMA-KAPEEKA'!J27</f>
        <v>0.2857142857142857</v>
      </c>
      <c r="K27" s="49">
        <f>'Avg Week KAPEEKA-NGOMA'!K27+'Avg Week NGOMA-KAPEEKA'!K27</f>
        <v>0</v>
      </c>
      <c r="L27" s="49">
        <f>'Avg Week KAPEEKA-NGOMA'!L27+'Avg Week NGOMA-KAPEEKA'!L27</f>
        <v>0</v>
      </c>
      <c r="M27" s="49">
        <f>'Avg Week KAPEEKA-NGOMA'!M27+'Avg Week NGOMA-KAPEEKA'!M27</f>
        <v>8</v>
      </c>
      <c r="N27" s="49">
        <f>'Avg Week KAPEEKA-NGOMA'!N27+'Avg Week NGOMA-KAPEEKA'!N27</f>
        <v>0</v>
      </c>
      <c r="O27" s="15">
        <f t="shared" si="0"/>
        <v>3.8571428571428568</v>
      </c>
      <c r="P27" s="15">
        <f t="shared" si="1"/>
        <v>11.857142857142858</v>
      </c>
      <c r="R27" s="1" t="s">
        <v>151</v>
      </c>
      <c r="S27" s="34">
        <f>SUM(C78:C81)</f>
        <v>0.5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1.5</v>
      </c>
      <c r="AA27" s="34">
        <f t="shared" si="19"/>
        <v>0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5</v>
      </c>
      <c r="AF27" s="31">
        <f t="shared" si="19"/>
        <v>7</v>
      </c>
    </row>
    <row r="28" spans="2:32" ht="23.1" customHeight="1" x14ac:dyDescent="0.25">
      <c r="B28" s="23" t="s">
        <v>55</v>
      </c>
      <c r="C28" s="49">
        <f>'Avg Week KAPEEKA-NGOMA'!C28+'Avg Week NGOMA-KAPEEKA'!C28</f>
        <v>0.71428571428571419</v>
      </c>
      <c r="D28" s="49">
        <f>'Avg Week KAPEEKA-NGOMA'!D28+'Avg Week NGOMA-KAPEEKA'!D28</f>
        <v>0.71428571428571419</v>
      </c>
      <c r="E28" s="49">
        <f>'Avg Week KAPEEKA-NGOMA'!E28+'Avg Week NGOMA-KAPEEKA'!E28</f>
        <v>0.71428571428571419</v>
      </c>
      <c r="F28" s="49">
        <f>'Avg Week KAPEEKA-NGOMA'!F28+'Avg Week NGOMA-KAPEEKA'!F28</f>
        <v>0.5714285714285714</v>
      </c>
      <c r="G28" s="49">
        <f>'Avg Week KAPEEKA-NGOMA'!G28+'Avg Week NGOMA-KAPEEKA'!G28</f>
        <v>0</v>
      </c>
      <c r="H28" s="49">
        <f>'Avg Week KAPEEKA-NGOMA'!H28+'Avg Week NGOMA-KAPEEKA'!H28</f>
        <v>0</v>
      </c>
      <c r="I28" s="49">
        <f>'Avg Week KAPEEKA-NGOMA'!I28+'Avg Week NGOMA-KAPEEKA'!I28</f>
        <v>1.7142857142857144</v>
      </c>
      <c r="J28" s="49">
        <f>'Avg Week KAPEEKA-NGOMA'!J28+'Avg Week NGOMA-KAPEEKA'!J28</f>
        <v>0.42857142857142855</v>
      </c>
      <c r="K28" s="49">
        <f>'Avg Week KAPEEKA-NGOMA'!K28+'Avg Week NGOMA-KAPEEKA'!K28</f>
        <v>0</v>
      </c>
      <c r="L28" s="49">
        <f>'Avg Week KAPEEKA-NGOMA'!L28+'Avg Week NGOMA-KAPEEKA'!L28</f>
        <v>0</v>
      </c>
      <c r="M28" s="49">
        <f>'Avg Week KAPEEKA-NGOMA'!M28+'Avg Week NGOMA-KAPEEKA'!M28</f>
        <v>10.428571428571429</v>
      </c>
      <c r="N28" s="49">
        <f>'Avg Week KAPEEKA-NGOMA'!N28+'Avg Week NGOMA-KAPEEKA'!N28</f>
        <v>0</v>
      </c>
      <c r="O28" s="15">
        <f t="shared" si="0"/>
        <v>4.8571428571428568</v>
      </c>
      <c r="P28" s="15">
        <f t="shared" si="1"/>
        <v>15.285714285714285</v>
      </c>
      <c r="R28" s="1" t="s">
        <v>152</v>
      </c>
      <c r="S28" s="34">
        <f>SUM(C82:C85)</f>
        <v>0.5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3</v>
      </c>
      <c r="AF28" s="31">
        <f t="shared" si="20"/>
        <v>3</v>
      </c>
    </row>
    <row r="29" spans="2:32" ht="23.1" customHeight="1" x14ac:dyDescent="0.25">
      <c r="B29" s="23" t="s">
        <v>56</v>
      </c>
      <c r="C29" s="49">
        <f>'Avg Week KAPEEKA-NGOMA'!C29+'Avg Week NGOMA-KAPEEKA'!C29</f>
        <v>1.4285714285714284</v>
      </c>
      <c r="D29" s="49">
        <f>'Avg Week KAPEEKA-NGOMA'!D29+'Avg Week NGOMA-KAPEEKA'!D29</f>
        <v>0.5714285714285714</v>
      </c>
      <c r="E29" s="49">
        <f>'Avg Week KAPEEKA-NGOMA'!E29+'Avg Week NGOMA-KAPEEKA'!E29</f>
        <v>0.14285714285714285</v>
      </c>
      <c r="F29" s="49">
        <f>'Avg Week KAPEEKA-NGOMA'!F29+'Avg Week NGOMA-KAPEEKA'!F29</f>
        <v>1</v>
      </c>
      <c r="G29" s="49">
        <f>'Avg Week KAPEEKA-NGOMA'!G29+'Avg Week NGOMA-KAPEEKA'!G29</f>
        <v>0</v>
      </c>
      <c r="H29" s="49">
        <f>'Avg Week KAPEEKA-NGOMA'!H29+'Avg Week NGOMA-KAPEEKA'!H29</f>
        <v>0</v>
      </c>
      <c r="I29" s="49">
        <f>'Avg Week KAPEEKA-NGOMA'!I29+'Avg Week NGOMA-KAPEEKA'!I29</f>
        <v>0.5714285714285714</v>
      </c>
      <c r="J29" s="49">
        <f>'Avg Week KAPEEKA-NGOMA'!J29+'Avg Week NGOMA-KAPEEKA'!J29</f>
        <v>0.42857142857142855</v>
      </c>
      <c r="K29" s="49">
        <f>'Avg Week KAPEEKA-NGOMA'!K29+'Avg Week NGOMA-KAPEEKA'!K29</f>
        <v>0</v>
      </c>
      <c r="L29" s="49">
        <f>'Avg Week KAPEEKA-NGOMA'!L29+'Avg Week NGOMA-KAPEEKA'!L29</f>
        <v>0</v>
      </c>
      <c r="M29" s="49">
        <f>'Avg Week KAPEEKA-NGOMA'!M29+'Avg Week NGOMA-KAPEEKA'!M29</f>
        <v>9.4285714285714288</v>
      </c>
      <c r="N29" s="49">
        <f>'Avg Week KAPEEKA-NGOMA'!N29+'Avg Week NGOMA-KAPEEKA'!N29</f>
        <v>0</v>
      </c>
      <c r="O29" s="15">
        <f t="shared" si="0"/>
        <v>4.1428571428571432</v>
      </c>
      <c r="P29" s="15">
        <f t="shared" si="1"/>
        <v>13.571428571428573</v>
      </c>
      <c r="R29" s="1" t="s">
        <v>153</v>
      </c>
      <c r="S29" s="34">
        <f>SUM(C86:C89)</f>
        <v>0.5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1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1.5</v>
      </c>
      <c r="AF29" s="31">
        <f t="shared" si="21"/>
        <v>1.5</v>
      </c>
    </row>
    <row r="30" spans="2:32" ht="23.1" customHeight="1" x14ac:dyDescent="0.25">
      <c r="B30" s="23" t="s">
        <v>57</v>
      </c>
      <c r="C30" s="49">
        <f>'Avg Week KAPEEKA-NGOMA'!C30+'Avg Week NGOMA-KAPEEKA'!C30</f>
        <v>0.71428571428571419</v>
      </c>
      <c r="D30" s="49">
        <f>'Avg Week KAPEEKA-NGOMA'!D30+'Avg Week NGOMA-KAPEEKA'!D30</f>
        <v>0.14285714285714285</v>
      </c>
      <c r="E30" s="49">
        <f>'Avg Week KAPEEKA-NGOMA'!E30+'Avg Week NGOMA-KAPEEKA'!E30</f>
        <v>1.5714285714285714</v>
      </c>
      <c r="F30" s="49">
        <f>'Avg Week KAPEEKA-NGOMA'!F30+'Avg Week NGOMA-KAPEEKA'!F30</f>
        <v>1</v>
      </c>
      <c r="G30" s="49">
        <f>'Avg Week KAPEEKA-NGOMA'!G30+'Avg Week NGOMA-KAPEEKA'!G30</f>
        <v>0</v>
      </c>
      <c r="H30" s="49">
        <f>'Avg Week KAPEEKA-NGOMA'!H30+'Avg Week NGOMA-KAPEEKA'!H30</f>
        <v>0</v>
      </c>
      <c r="I30" s="49">
        <f>'Avg Week KAPEEKA-NGOMA'!I30+'Avg Week NGOMA-KAPEEKA'!I30</f>
        <v>0.8571428571428571</v>
      </c>
      <c r="J30" s="49">
        <f>'Avg Week KAPEEKA-NGOMA'!J30+'Avg Week NGOMA-KAPEEKA'!J30</f>
        <v>0.42857142857142855</v>
      </c>
      <c r="K30" s="49">
        <f>'Avg Week KAPEEKA-NGOMA'!K30+'Avg Week NGOMA-KAPEEKA'!K30</f>
        <v>0</v>
      </c>
      <c r="L30" s="49">
        <f>'Avg Week KAPEEKA-NGOMA'!L30+'Avg Week NGOMA-KAPEEKA'!L30</f>
        <v>0</v>
      </c>
      <c r="M30" s="49">
        <f>'Avg Week KAPEEKA-NGOMA'!M30+'Avg Week NGOMA-KAPEEKA'!M30</f>
        <v>11.714285714285715</v>
      </c>
      <c r="N30" s="49">
        <f>'Avg Week KAPEEKA-NGOMA'!N30+'Avg Week NGOMA-KAPEEKA'!N30</f>
        <v>0</v>
      </c>
      <c r="O30" s="15">
        <f t="shared" si="0"/>
        <v>4.7142857142857144</v>
      </c>
      <c r="P30" s="15">
        <f t="shared" si="1"/>
        <v>16.428571428571431</v>
      </c>
      <c r="R30" s="1" t="s">
        <v>154</v>
      </c>
      <c r="S30" s="34">
        <f>SUM(C90:C93)</f>
        <v>0.5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1</v>
      </c>
      <c r="Y30" s="34">
        <f t="shared" si="22"/>
        <v>1.5</v>
      </c>
      <c r="Z30" s="34">
        <f t="shared" si="22"/>
        <v>0.5</v>
      </c>
      <c r="AA30" s="34">
        <f t="shared" si="22"/>
        <v>0.5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4</v>
      </c>
      <c r="AF30" s="31">
        <f t="shared" si="22"/>
        <v>4</v>
      </c>
    </row>
    <row r="31" spans="2:32" ht="23.1" customHeight="1" x14ac:dyDescent="0.25">
      <c r="B31" s="24" t="s">
        <v>58</v>
      </c>
      <c r="C31" s="49">
        <f>'Avg Week KAPEEKA-NGOMA'!C31+'Avg Week NGOMA-KAPEEKA'!C31</f>
        <v>1.1428571428571428</v>
      </c>
      <c r="D31" s="49">
        <f>'Avg Week KAPEEKA-NGOMA'!D31+'Avg Week NGOMA-KAPEEKA'!D31</f>
        <v>0.42857142857142855</v>
      </c>
      <c r="E31" s="49">
        <f>'Avg Week KAPEEKA-NGOMA'!E31+'Avg Week NGOMA-KAPEEKA'!E31</f>
        <v>0.42857142857142855</v>
      </c>
      <c r="F31" s="49">
        <f>'Avg Week KAPEEKA-NGOMA'!F31+'Avg Week NGOMA-KAPEEKA'!F31</f>
        <v>1.2857142857142856</v>
      </c>
      <c r="G31" s="49">
        <f>'Avg Week KAPEEKA-NGOMA'!G31+'Avg Week NGOMA-KAPEEKA'!G31</f>
        <v>0</v>
      </c>
      <c r="H31" s="49">
        <f>'Avg Week KAPEEKA-NGOMA'!H31+'Avg Week NGOMA-KAPEEKA'!H31</f>
        <v>0</v>
      </c>
      <c r="I31" s="49">
        <f>'Avg Week KAPEEKA-NGOMA'!I31+'Avg Week NGOMA-KAPEEKA'!I31</f>
        <v>1</v>
      </c>
      <c r="J31" s="49">
        <f>'Avg Week KAPEEKA-NGOMA'!J31+'Avg Week NGOMA-KAPEEKA'!J31</f>
        <v>0</v>
      </c>
      <c r="K31" s="49">
        <f>'Avg Week KAPEEKA-NGOMA'!K31+'Avg Week NGOMA-KAPEEKA'!K31</f>
        <v>0</v>
      </c>
      <c r="L31" s="49">
        <f>'Avg Week KAPEEKA-NGOMA'!L31+'Avg Week NGOMA-KAPEEKA'!L31</f>
        <v>0</v>
      </c>
      <c r="M31" s="49">
        <f>'Avg Week KAPEEKA-NGOMA'!M31+'Avg Week NGOMA-KAPEEKA'!M31</f>
        <v>10.571428571428571</v>
      </c>
      <c r="N31" s="49">
        <f>'Avg Week KAPEEKA-NGOMA'!N31+'Avg Week NGOMA-KAPEEKA'!N31</f>
        <v>0.14285714285714285</v>
      </c>
      <c r="O31" s="15">
        <f t="shared" si="0"/>
        <v>4.4285714285714288</v>
      </c>
      <c r="P31" s="15">
        <f t="shared" si="1"/>
        <v>15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5</v>
      </c>
      <c r="AD31" s="34">
        <f t="shared" si="23"/>
        <v>0</v>
      </c>
      <c r="AE31" s="31">
        <f t="shared" si="23"/>
        <v>3.5</v>
      </c>
      <c r="AF31" s="31">
        <f t="shared" si="23"/>
        <v>8.5</v>
      </c>
    </row>
    <row r="32" spans="2:32" ht="23.1" customHeight="1" x14ac:dyDescent="0.25">
      <c r="B32" s="24" t="s">
        <v>59</v>
      </c>
      <c r="C32" s="49">
        <f>'Avg Week KAPEEKA-NGOMA'!C32+'Avg Week NGOMA-KAPEEKA'!C32</f>
        <v>1.7142857142857142</v>
      </c>
      <c r="D32" s="49">
        <f>'Avg Week KAPEEKA-NGOMA'!D32+'Avg Week NGOMA-KAPEEKA'!D32</f>
        <v>0.42857142857142855</v>
      </c>
      <c r="E32" s="49">
        <f>'Avg Week KAPEEKA-NGOMA'!E32+'Avg Week NGOMA-KAPEEKA'!E32</f>
        <v>0.8571428571428571</v>
      </c>
      <c r="F32" s="49">
        <f>'Avg Week KAPEEKA-NGOMA'!F32+'Avg Week NGOMA-KAPEEKA'!F32</f>
        <v>0.5714285714285714</v>
      </c>
      <c r="G32" s="49">
        <f>'Avg Week KAPEEKA-NGOMA'!G32+'Avg Week NGOMA-KAPEEKA'!G32</f>
        <v>0</v>
      </c>
      <c r="H32" s="49">
        <f>'Avg Week KAPEEKA-NGOMA'!H32+'Avg Week NGOMA-KAPEEKA'!H32</f>
        <v>0.14285714285714285</v>
      </c>
      <c r="I32" s="49">
        <f>'Avg Week KAPEEKA-NGOMA'!I32+'Avg Week NGOMA-KAPEEKA'!I32</f>
        <v>1.7142857142857144</v>
      </c>
      <c r="J32" s="49">
        <f>'Avg Week KAPEEKA-NGOMA'!J32+'Avg Week NGOMA-KAPEEKA'!J32</f>
        <v>0.5714285714285714</v>
      </c>
      <c r="K32" s="49">
        <f>'Avg Week KAPEEKA-NGOMA'!K32+'Avg Week NGOMA-KAPEEKA'!K32</f>
        <v>0</v>
      </c>
      <c r="L32" s="49">
        <f>'Avg Week KAPEEKA-NGOMA'!L32+'Avg Week NGOMA-KAPEEKA'!L32</f>
        <v>0</v>
      </c>
      <c r="M32" s="49">
        <f>'Avg Week KAPEEKA-NGOMA'!M32+'Avg Week NGOMA-KAPEEKA'!M32</f>
        <v>9</v>
      </c>
      <c r="N32" s="49">
        <f>'Avg Week KAPEEKA-NGOMA'!N32+'Avg Week NGOMA-KAPEEKA'!N32</f>
        <v>0.14285714285714285</v>
      </c>
      <c r="O32" s="15">
        <f t="shared" si="0"/>
        <v>6.1428571428571432</v>
      </c>
      <c r="P32" s="15">
        <f t="shared" si="1"/>
        <v>15.142857142857142</v>
      </c>
      <c r="R32" s="1" t="s">
        <v>156</v>
      </c>
      <c r="S32" s="34">
        <f>SUM(C98:C101)</f>
        <v>3.5</v>
      </c>
      <c r="T32" s="34">
        <f t="shared" ref="T32:AF32" si="24">SUM(D98:D101)</f>
        <v>0</v>
      </c>
      <c r="U32" s="34">
        <f t="shared" si="24"/>
        <v>0.5</v>
      </c>
      <c r="V32" s="34">
        <f t="shared" si="24"/>
        <v>1.5</v>
      </c>
      <c r="W32" s="34">
        <f t="shared" si="24"/>
        <v>0</v>
      </c>
      <c r="X32" s="34">
        <f t="shared" si="24"/>
        <v>0</v>
      </c>
      <c r="Y32" s="34">
        <f t="shared" si="24"/>
        <v>4.5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7</v>
      </c>
      <c r="AD32" s="34">
        <f t="shared" si="24"/>
        <v>0</v>
      </c>
      <c r="AE32" s="31">
        <f t="shared" si="24"/>
        <v>11</v>
      </c>
      <c r="AF32" s="31">
        <f t="shared" si="24"/>
        <v>18</v>
      </c>
    </row>
    <row r="33" spans="2:32" ht="23.1" customHeight="1" x14ac:dyDescent="0.25">
      <c r="B33" s="23" t="s">
        <v>60</v>
      </c>
      <c r="C33" s="49">
        <f>'Avg Week KAPEEKA-NGOMA'!C33+'Avg Week NGOMA-KAPEEKA'!C33</f>
        <v>1.5714285714285714</v>
      </c>
      <c r="D33" s="49">
        <f>'Avg Week KAPEEKA-NGOMA'!D33+'Avg Week NGOMA-KAPEEKA'!D33</f>
        <v>0</v>
      </c>
      <c r="E33" s="49">
        <f>'Avg Week KAPEEKA-NGOMA'!E33+'Avg Week NGOMA-KAPEEKA'!E33</f>
        <v>0.5714285714285714</v>
      </c>
      <c r="F33" s="49">
        <f>'Avg Week KAPEEKA-NGOMA'!F33+'Avg Week NGOMA-KAPEEKA'!F33</f>
        <v>1.1428571428571428</v>
      </c>
      <c r="G33" s="49">
        <f>'Avg Week KAPEEKA-NGOMA'!G33+'Avg Week NGOMA-KAPEEKA'!G33</f>
        <v>0.14285714285714285</v>
      </c>
      <c r="H33" s="49">
        <f>'Avg Week KAPEEKA-NGOMA'!H33+'Avg Week NGOMA-KAPEEKA'!H33</f>
        <v>0</v>
      </c>
      <c r="I33" s="49">
        <f>'Avg Week KAPEEKA-NGOMA'!I33+'Avg Week NGOMA-KAPEEKA'!I33</f>
        <v>1.7142857142857144</v>
      </c>
      <c r="J33" s="49">
        <f>'Avg Week KAPEEKA-NGOMA'!J33+'Avg Week NGOMA-KAPEEKA'!J33</f>
        <v>0.71428571428571419</v>
      </c>
      <c r="K33" s="49">
        <f>'Avg Week KAPEEKA-NGOMA'!K33+'Avg Week NGOMA-KAPEEKA'!K33</f>
        <v>0.14285714285714285</v>
      </c>
      <c r="L33" s="49">
        <f>'Avg Week KAPEEKA-NGOMA'!L33+'Avg Week NGOMA-KAPEEKA'!L33</f>
        <v>0</v>
      </c>
      <c r="M33" s="49">
        <f>'Avg Week KAPEEKA-NGOMA'!M33+'Avg Week NGOMA-KAPEEKA'!M33</f>
        <v>11.285714285714285</v>
      </c>
      <c r="N33" s="49">
        <f>'Avg Week KAPEEKA-NGOMA'!N33+'Avg Week NGOMA-KAPEEKA'!N33</f>
        <v>0.14285714285714285</v>
      </c>
      <c r="O33" s="15">
        <f t="shared" si="0"/>
        <v>6.1428571428571432</v>
      </c>
      <c r="P33" s="15">
        <f t="shared" si="1"/>
        <v>17.428571428571427</v>
      </c>
      <c r="R33" s="1" t="s">
        <v>157</v>
      </c>
      <c r="S33" s="34">
        <f>SUM(C102:C105)</f>
        <v>1.5</v>
      </c>
      <c r="T33" s="34">
        <f t="shared" ref="T33:AF33" si="25">SUM(D102:D105)</f>
        <v>1</v>
      </c>
      <c r="U33" s="34">
        <f t="shared" si="25"/>
        <v>0.5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1.5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14.5</v>
      </c>
      <c r="AD33" s="34">
        <f t="shared" si="25"/>
        <v>0</v>
      </c>
      <c r="AE33" s="31">
        <f t="shared" si="25"/>
        <v>8.5</v>
      </c>
      <c r="AF33" s="31">
        <f t="shared" si="25"/>
        <v>23</v>
      </c>
    </row>
    <row r="34" spans="2:32" ht="23.1" customHeight="1" x14ac:dyDescent="0.25">
      <c r="B34" s="24" t="s">
        <v>61</v>
      </c>
      <c r="C34" s="49">
        <f>'Avg Week KAPEEKA-NGOMA'!C34+'Avg Week NGOMA-KAPEEKA'!C34</f>
        <v>1.1428571428571428</v>
      </c>
      <c r="D34" s="49">
        <f>'Avg Week KAPEEKA-NGOMA'!D34+'Avg Week NGOMA-KAPEEKA'!D34</f>
        <v>0.42857142857142855</v>
      </c>
      <c r="E34" s="49">
        <f>'Avg Week KAPEEKA-NGOMA'!E34+'Avg Week NGOMA-KAPEEKA'!E34</f>
        <v>0.5714285714285714</v>
      </c>
      <c r="F34" s="49">
        <f>'Avg Week KAPEEKA-NGOMA'!F34+'Avg Week NGOMA-KAPEEKA'!F34</f>
        <v>0.42857142857142855</v>
      </c>
      <c r="G34" s="49">
        <f>'Avg Week KAPEEKA-NGOMA'!G34+'Avg Week NGOMA-KAPEEKA'!G34</f>
        <v>0.14285714285714285</v>
      </c>
      <c r="H34" s="49">
        <f>'Avg Week KAPEEKA-NGOMA'!H34+'Avg Week NGOMA-KAPEEKA'!H34</f>
        <v>0</v>
      </c>
      <c r="I34" s="49">
        <f>'Avg Week KAPEEKA-NGOMA'!I34+'Avg Week NGOMA-KAPEEKA'!I34</f>
        <v>1.5714285714285714</v>
      </c>
      <c r="J34" s="49">
        <f>'Avg Week KAPEEKA-NGOMA'!J34+'Avg Week NGOMA-KAPEEKA'!J34</f>
        <v>0.8571428571428571</v>
      </c>
      <c r="K34" s="49">
        <f>'Avg Week KAPEEKA-NGOMA'!K34+'Avg Week NGOMA-KAPEEKA'!K34</f>
        <v>0</v>
      </c>
      <c r="L34" s="49">
        <f>'Avg Week KAPEEKA-NGOMA'!L34+'Avg Week NGOMA-KAPEEKA'!L34</f>
        <v>0.14285714285714285</v>
      </c>
      <c r="M34" s="49">
        <f>'Avg Week KAPEEKA-NGOMA'!M34+'Avg Week NGOMA-KAPEEKA'!M34</f>
        <v>11.571428571428573</v>
      </c>
      <c r="N34" s="49">
        <f>'Avg Week KAPEEKA-NGOMA'!N34+'Avg Week NGOMA-KAPEEKA'!N34</f>
        <v>0</v>
      </c>
      <c r="O34" s="15">
        <f t="shared" si="0"/>
        <v>5.2857142857142856</v>
      </c>
      <c r="P34" s="15">
        <f t="shared" si="1"/>
        <v>16.857142857142858</v>
      </c>
      <c r="R34" s="38" t="s">
        <v>90</v>
      </c>
      <c r="S34" s="39">
        <f t="shared" ref="S34:AF34" si="26">MAX(S10:S12)</f>
        <v>3.8571428571428568</v>
      </c>
      <c r="T34" s="39">
        <f t="shared" si="26"/>
        <v>1.8571428571428572</v>
      </c>
      <c r="U34" s="39">
        <f t="shared" si="26"/>
        <v>2.1428571428571423</v>
      </c>
      <c r="V34" s="39">
        <f t="shared" si="26"/>
        <v>2.2857142857142856</v>
      </c>
      <c r="W34" s="39">
        <f t="shared" si="26"/>
        <v>0</v>
      </c>
      <c r="X34" s="39">
        <f t="shared" si="26"/>
        <v>0</v>
      </c>
      <c r="Y34" s="39">
        <f t="shared" si="26"/>
        <v>3.9999999999999996</v>
      </c>
      <c r="Z34" s="39">
        <f t="shared" si="26"/>
        <v>1</v>
      </c>
      <c r="AA34" s="39">
        <f t="shared" si="26"/>
        <v>0.14285714285714285</v>
      </c>
      <c r="AB34" s="39">
        <f t="shared" si="26"/>
        <v>0.8571428571428571</v>
      </c>
      <c r="AC34" s="39">
        <f t="shared" si="26"/>
        <v>34.857142857142861</v>
      </c>
      <c r="AD34" s="39">
        <f t="shared" si="26"/>
        <v>0.14285714285714285</v>
      </c>
      <c r="AE34" s="40">
        <f t="shared" si="26"/>
        <v>12.857142857142856</v>
      </c>
      <c r="AF34" s="40">
        <f t="shared" si="26"/>
        <v>47.428571428571423</v>
      </c>
    </row>
    <row r="35" spans="2:32" ht="23.1" customHeight="1" x14ac:dyDescent="0.25">
      <c r="B35" s="24" t="s">
        <v>62</v>
      </c>
      <c r="C35" s="49">
        <f>'Avg Week KAPEEKA-NGOMA'!C35+'Avg Week NGOMA-KAPEEKA'!C35</f>
        <v>1.1428571428571428</v>
      </c>
      <c r="D35" s="49">
        <f>'Avg Week KAPEEKA-NGOMA'!D35+'Avg Week NGOMA-KAPEEKA'!D35</f>
        <v>0.14285714285714285</v>
      </c>
      <c r="E35" s="49">
        <f>'Avg Week KAPEEKA-NGOMA'!E35+'Avg Week NGOMA-KAPEEKA'!E35</f>
        <v>1</v>
      </c>
      <c r="F35" s="49">
        <f>'Avg Week KAPEEKA-NGOMA'!F35+'Avg Week NGOMA-KAPEEKA'!F35</f>
        <v>0.8571428571428571</v>
      </c>
      <c r="G35" s="49">
        <f>'Avg Week KAPEEKA-NGOMA'!G35+'Avg Week NGOMA-KAPEEKA'!G35</f>
        <v>0</v>
      </c>
      <c r="H35" s="49">
        <f>'Avg Week KAPEEKA-NGOMA'!H35+'Avg Week NGOMA-KAPEEKA'!H35</f>
        <v>0</v>
      </c>
      <c r="I35" s="49">
        <f>'Avg Week KAPEEKA-NGOMA'!I35+'Avg Week NGOMA-KAPEEKA'!I35</f>
        <v>0.5714285714285714</v>
      </c>
      <c r="J35" s="49">
        <f>'Avg Week KAPEEKA-NGOMA'!J35+'Avg Week NGOMA-KAPEEKA'!J35</f>
        <v>0.5714285714285714</v>
      </c>
      <c r="K35" s="49">
        <f>'Avg Week KAPEEKA-NGOMA'!K35+'Avg Week NGOMA-KAPEEKA'!K35</f>
        <v>0.14285714285714285</v>
      </c>
      <c r="L35" s="49">
        <f>'Avg Week KAPEEKA-NGOMA'!L35+'Avg Week NGOMA-KAPEEKA'!L35</f>
        <v>0</v>
      </c>
      <c r="M35" s="49">
        <f>'Avg Week KAPEEKA-NGOMA'!M35+'Avg Week NGOMA-KAPEEKA'!M35</f>
        <v>11.142857142857142</v>
      </c>
      <c r="N35" s="49">
        <f>'Avg Week KAPEEKA-NGOMA'!N35+'Avg Week NGOMA-KAPEEKA'!N35</f>
        <v>0</v>
      </c>
      <c r="O35" s="15">
        <f t="shared" si="0"/>
        <v>4.4285714285714288</v>
      </c>
      <c r="P35" s="15">
        <f t="shared" si="1"/>
        <v>15.571428571428571</v>
      </c>
      <c r="R35" s="38" t="s">
        <v>91</v>
      </c>
      <c r="S35" s="39">
        <f t="shared" ref="S35:AF35" si="27">MAX(S13:S18)</f>
        <v>5.8571428571428577</v>
      </c>
      <c r="T35" s="39">
        <f t="shared" si="27"/>
        <v>2.2857142857142856</v>
      </c>
      <c r="U35" s="39">
        <f t="shared" si="27"/>
        <v>3.4285714285714288</v>
      </c>
      <c r="V35" s="39">
        <f t="shared" si="27"/>
        <v>4.7142857142857135</v>
      </c>
      <c r="W35" s="39">
        <f t="shared" si="27"/>
        <v>0.14285714285714285</v>
      </c>
      <c r="X35" s="39">
        <f t="shared" si="27"/>
        <v>0.14285714285714285</v>
      </c>
      <c r="Y35" s="39">
        <f t="shared" si="27"/>
        <v>5.7142857142857135</v>
      </c>
      <c r="Z35" s="39">
        <f t="shared" si="27"/>
        <v>2.5714285714285712</v>
      </c>
      <c r="AA35" s="39">
        <f t="shared" si="27"/>
        <v>0.5714285714285714</v>
      </c>
      <c r="AB35" s="39">
        <f t="shared" si="27"/>
        <v>0.14285714285714285</v>
      </c>
      <c r="AC35" s="39">
        <f t="shared" si="27"/>
        <v>45.285714285714292</v>
      </c>
      <c r="AD35" s="39">
        <f t="shared" si="27"/>
        <v>0.42857142857142855</v>
      </c>
      <c r="AE35" s="40">
        <f t="shared" si="27"/>
        <v>21.428571428571431</v>
      </c>
      <c r="AF35" s="40">
        <f t="shared" si="27"/>
        <v>65</v>
      </c>
    </row>
    <row r="36" spans="2:32" ht="23.1" customHeight="1" x14ac:dyDescent="0.25">
      <c r="B36" s="24" t="s">
        <v>63</v>
      </c>
      <c r="C36" s="49">
        <f>'Avg Week KAPEEKA-NGOMA'!C36+'Avg Week NGOMA-KAPEEKA'!C36</f>
        <v>1</v>
      </c>
      <c r="D36" s="49">
        <f>'Avg Week KAPEEKA-NGOMA'!D36+'Avg Week NGOMA-KAPEEKA'!D36</f>
        <v>0.14285714285714285</v>
      </c>
      <c r="E36" s="49">
        <f>'Avg Week KAPEEKA-NGOMA'!E36+'Avg Week NGOMA-KAPEEKA'!E36</f>
        <v>0.2857142857142857</v>
      </c>
      <c r="F36" s="49">
        <f>'Avg Week KAPEEKA-NGOMA'!F36+'Avg Week NGOMA-KAPEEKA'!F36</f>
        <v>2.1428571428571428</v>
      </c>
      <c r="G36" s="49">
        <f>'Avg Week KAPEEKA-NGOMA'!G36+'Avg Week NGOMA-KAPEEKA'!G36</f>
        <v>0</v>
      </c>
      <c r="H36" s="49">
        <f>'Avg Week KAPEEKA-NGOMA'!H36+'Avg Week NGOMA-KAPEEKA'!H36</f>
        <v>0</v>
      </c>
      <c r="I36" s="49">
        <f>'Avg Week KAPEEKA-NGOMA'!I36+'Avg Week NGOMA-KAPEEKA'!I36</f>
        <v>0.8571428571428571</v>
      </c>
      <c r="J36" s="49">
        <f>'Avg Week KAPEEKA-NGOMA'!J36+'Avg Week NGOMA-KAPEEKA'!J36</f>
        <v>0.2857142857142857</v>
      </c>
      <c r="K36" s="49">
        <f>'Avg Week KAPEEKA-NGOMA'!K36+'Avg Week NGOMA-KAPEEKA'!K36</f>
        <v>0</v>
      </c>
      <c r="L36" s="49">
        <f>'Avg Week KAPEEKA-NGOMA'!L36+'Avg Week NGOMA-KAPEEKA'!L36</f>
        <v>0</v>
      </c>
      <c r="M36" s="49">
        <f>'Avg Week KAPEEKA-NGOMA'!M36+'Avg Week NGOMA-KAPEEKA'!M36</f>
        <v>10.714285714285714</v>
      </c>
      <c r="N36" s="49">
        <f>'Avg Week KAPEEKA-NGOMA'!N36+'Avg Week NGOMA-KAPEEKA'!N36</f>
        <v>0</v>
      </c>
      <c r="O36" s="15">
        <f t="shared" si="0"/>
        <v>4.7142857142857135</v>
      </c>
      <c r="P36" s="15">
        <f t="shared" si="1"/>
        <v>15.428571428571427</v>
      </c>
      <c r="R36" s="38" t="s">
        <v>92</v>
      </c>
      <c r="S36" s="39">
        <f t="shared" ref="S36:AF36" si="28">MAX(S19:S21)</f>
        <v>6.1428571428571423</v>
      </c>
      <c r="T36" s="39">
        <f t="shared" si="28"/>
        <v>2.4285714285714284</v>
      </c>
      <c r="U36" s="39">
        <f t="shared" si="28"/>
        <v>2.8571428571428568</v>
      </c>
      <c r="V36" s="39">
        <f t="shared" si="28"/>
        <v>4.7142857142857135</v>
      </c>
      <c r="W36" s="39">
        <f t="shared" si="28"/>
        <v>0.42857142857142855</v>
      </c>
      <c r="X36" s="39">
        <f t="shared" si="28"/>
        <v>0.2857142857142857</v>
      </c>
      <c r="Y36" s="39">
        <f t="shared" si="28"/>
        <v>5.8571428571428577</v>
      </c>
      <c r="Z36" s="39">
        <f t="shared" si="28"/>
        <v>1.714285714285714</v>
      </c>
      <c r="AA36" s="39">
        <f t="shared" si="28"/>
        <v>0.42857142857142855</v>
      </c>
      <c r="AB36" s="39">
        <f t="shared" si="28"/>
        <v>0.42857142857142855</v>
      </c>
      <c r="AC36" s="39">
        <f t="shared" si="28"/>
        <v>40.452380952380949</v>
      </c>
      <c r="AD36" s="39">
        <f t="shared" si="28"/>
        <v>1.4285714285714284</v>
      </c>
      <c r="AE36" s="40">
        <f t="shared" si="28"/>
        <v>23.857142857142854</v>
      </c>
      <c r="AF36" s="40">
        <f t="shared" si="28"/>
        <v>64.30952380952381</v>
      </c>
    </row>
    <row r="37" spans="2:32" ht="23.1" customHeight="1" x14ac:dyDescent="0.25">
      <c r="B37" s="23" t="s">
        <v>64</v>
      </c>
      <c r="C37" s="49">
        <f>'Avg Week KAPEEKA-NGOMA'!C37+'Avg Week NGOMA-KAPEEKA'!C37</f>
        <v>0.2857142857142857</v>
      </c>
      <c r="D37" s="49">
        <f>'Avg Week KAPEEKA-NGOMA'!D37+'Avg Week NGOMA-KAPEEKA'!D37</f>
        <v>0.2857142857142857</v>
      </c>
      <c r="E37" s="49">
        <f>'Avg Week KAPEEKA-NGOMA'!E37+'Avg Week NGOMA-KAPEEKA'!E37</f>
        <v>0.2857142857142857</v>
      </c>
      <c r="F37" s="49">
        <f>'Avg Week KAPEEKA-NGOMA'!F37+'Avg Week NGOMA-KAPEEKA'!F37</f>
        <v>1.2857142857142856</v>
      </c>
      <c r="G37" s="49">
        <f>'Avg Week KAPEEKA-NGOMA'!G37+'Avg Week NGOMA-KAPEEKA'!G37</f>
        <v>0</v>
      </c>
      <c r="H37" s="49">
        <f>'Avg Week KAPEEKA-NGOMA'!H37+'Avg Week NGOMA-KAPEEKA'!H37</f>
        <v>0</v>
      </c>
      <c r="I37" s="49">
        <f>'Avg Week KAPEEKA-NGOMA'!I37+'Avg Week NGOMA-KAPEEKA'!I37</f>
        <v>1.2857142857142858</v>
      </c>
      <c r="J37" s="49">
        <f>'Avg Week KAPEEKA-NGOMA'!J37+'Avg Week NGOMA-KAPEEKA'!J37</f>
        <v>0.8571428571428571</v>
      </c>
      <c r="K37" s="49">
        <f>'Avg Week KAPEEKA-NGOMA'!K37+'Avg Week NGOMA-KAPEEKA'!K37</f>
        <v>0</v>
      </c>
      <c r="L37" s="49">
        <f>'Avg Week KAPEEKA-NGOMA'!L37+'Avg Week NGOMA-KAPEEKA'!L37</f>
        <v>0</v>
      </c>
      <c r="M37" s="49">
        <f>'Avg Week KAPEEKA-NGOMA'!M37+'Avg Week NGOMA-KAPEEKA'!M37</f>
        <v>9</v>
      </c>
      <c r="N37" s="49">
        <f>'Avg Week KAPEEKA-NGOMA'!N37+'Avg Week NGOMA-KAPEEKA'!N37</f>
        <v>0</v>
      </c>
      <c r="O37" s="15">
        <f t="shared" si="0"/>
        <v>4.2857142857142856</v>
      </c>
      <c r="P37" s="15">
        <f t="shared" si="1"/>
        <v>13.285714285714285</v>
      </c>
      <c r="R37" s="37" t="s">
        <v>85</v>
      </c>
      <c r="S37" s="52">
        <f t="shared" ref="S37:AF37" si="29">SUM(S10:S12)</f>
        <v>7.1428571428571423</v>
      </c>
      <c r="T37" s="53">
        <f t="shared" si="29"/>
        <v>3.8571428571428568</v>
      </c>
      <c r="U37" s="53">
        <f t="shared" si="29"/>
        <v>4.2857142857142847</v>
      </c>
      <c r="V37" s="53">
        <f t="shared" si="29"/>
        <v>6.1428571428571423</v>
      </c>
      <c r="W37" s="53">
        <f t="shared" si="29"/>
        <v>0</v>
      </c>
      <c r="X37" s="53">
        <f t="shared" si="29"/>
        <v>0</v>
      </c>
      <c r="Y37" s="53">
        <f t="shared" si="29"/>
        <v>11.571428571428571</v>
      </c>
      <c r="Z37" s="53">
        <f t="shared" si="29"/>
        <v>2</v>
      </c>
      <c r="AA37" s="53">
        <f t="shared" si="29"/>
        <v>0.2857142857142857</v>
      </c>
      <c r="AB37" s="53">
        <f t="shared" si="29"/>
        <v>0.8571428571428571</v>
      </c>
      <c r="AC37" s="53">
        <f t="shared" si="29"/>
        <v>92.571428571428584</v>
      </c>
      <c r="AD37" s="53">
        <f t="shared" si="29"/>
        <v>0.14285714285714285</v>
      </c>
      <c r="AE37" s="54">
        <f t="shared" si="29"/>
        <v>36.285714285714285</v>
      </c>
      <c r="AF37" s="54">
        <f t="shared" si="29"/>
        <v>128.85714285714286</v>
      </c>
    </row>
    <row r="38" spans="2:32" ht="23.1" customHeight="1" x14ac:dyDescent="0.25">
      <c r="B38" s="24" t="s">
        <v>65</v>
      </c>
      <c r="C38" s="49">
        <f>'Avg Week KAPEEKA-NGOMA'!C38+'Avg Week NGOMA-KAPEEKA'!C38</f>
        <v>1.7142857142857142</v>
      </c>
      <c r="D38" s="49">
        <f>'Avg Week KAPEEKA-NGOMA'!D38+'Avg Week NGOMA-KAPEEKA'!D38</f>
        <v>0.2857142857142857</v>
      </c>
      <c r="E38" s="49">
        <f>'Avg Week KAPEEKA-NGOMA'!E38+'Avg Week NGOMA-KAPEEKA'!E38</f>
        <v>0.85714285714285721</v>
      </c>
      <c r="F38" s="49">
        <f>'Avg Week KAPEEKA-NGOMA'!F38+'Avg Week NGOMA-KAPEEKA'!F38</f>
        <v>0.85714285714285721</v>
      </c>
      <c r="G38" s="49">
        <f>'Avg Week KAPEEKA-NGOMA'!G38+'Avg Week NGOMA-KAPEEKA'!G38</f>
        <v>0</v>
      </c>
      <c r="H38" s="49">
        <f>'Avg Week KAPEEKA-NGOMA'!H38+'Avg Week NGOMA-KAPEEKA'!H38</f>
        <v>0</v>
      </c>
      <c r="I38" s="49">
        <f>'Avg Week KAPEEKA-NGOMA'!I38+'Avg Week NGOMA-KAPEEKA'!I38</f>
        <v>0.71428571428571419</v>
      </c>
      <c r="J38" s="49">
        <f>'Avg Week KAPEEKA-NGOMA'!J38+'Avg Week NGOMA-KAPEEKA'!J38</f>
        <v>0.14285714285714285</v>
      </c>
      <c r="K38" s="49">
        <f>'Avg Week KAPEEKA-NGOMA'!K38+'Avg Week NGOMA-KAPEEKA'!K38</f>
        <v>0</v>
      </c>
      <c r="L38" s="49">
        <f>'Avg Week KAPEEKA-NGOMA'!L38+'Avg Week NGOMA-KAPEEKA'!L38</f>
        <v>0</v>
      </c>
      <c r="M38" s="49">
        <f>'Avg Week KAPEEKA-NGOMA'!M38+'Avg Week NGOMA-KAPEEKA'!M38</f>
        <v>8.8571428571428577</v>
      </c>
      <c r="N38" s="49">
        <f>'Avg Week KAPEEKA-NGOMA'!N38+'Avg Week NGOMA-KAPEEKA'!N38</f>
        <v>0.14285714285714285</v>
      </c>
      <c r="O38" s="15">
        <f t="shared" si="0"/>
        <v>4.7142857142857153</v>
      </c>
      <c r="P38" s="15">
        <f t="shared" si="1"/>
        <v>13.571428571428573</v>
      </c>
      <c r="R38" s="28" t="s">
        <v>86</v>
      </c>
      <c r="S38" s="53">
        <f t="shared" ref="S38:AF38" si="30">SUM(S13:S18)</f>
        <v>28.571428571428569</v>
      </c>
      <c r="T38" s="53">
        <f t="shared" si="30"/>
        <v>8.1428571428571423</v>
      </c>
      <c r="U38" s="53">
        <f t="shared" si="30"/>
        <v>15.857142857142858</v>
      </c>
      <c r="V38" s="53">
        <f t="shared" si="30"/>
        <v>21.857142857142854</v>
      </c>
      <c r="W38" s="53">
        <f t="shared" si="30"/>
        <v>0.42857142857142855</v>
      </c>
      <c r="X38" s="53">
        <f t="shared" si="30"/>
        <v>0.2857142857142857</v>
      </c>
      <c r="Y38" s="53">
        <f t="shared" si="30"/>
        <v>28.285714285714285</v>
      </c>
      <c r="Z38" s="53">
        <f t="shared" si="30"/>
        <v>8.1428571428571423</v>
      </c>
      <c r="AA38" s="53">
        <f t="shared" si="30"/>
        <v>1</v>
      </c>
      <c r="AB38" s="53">
        <f t="shared" si="30"/>
        <v>0.42857142857142855</v>
      </c>
      <c r="AC38" s="53">
        <f t="shared" si="30"/>
        <v>251.57142857142856</v>
      </c>
      <c r="AD38" s="53">
        <f t="shared" si="30"/>
        <v>1.1428571428571428</v>
      </c>
      <c r="AE38" s="54">
        <f t="shared" si="30"/>
        <v>114.14285714285715</v>
      </c>
      <c r="AF38" s="54">
        <f t="shared" si="30"/>
        <v>365.71428571428567</v>
      </c>
    </row>
    <row r="39" spans="2:32" ht="23.1" customHeight="1" x14ac:dyDescent="0.25">
      <c r="B39" s="24" t="s">
        <v>66</v>
      </c>
      <c r="C39" s="49">
        <f>'Avg Week KAPEEKA-NGOMA'!C39+'Avg Week NGOMA-KAPEEKA'!C39</f>
        <v>0.2857142857142857</v>
      </c>
      <c r="D39" s="49">
        <f>'Avg Week KAPEEKA-NGOMA'!D39+'Avg Week NGOMA-KAPEEKA'!D39</f>
        <v>0.2857142857142857</v>
      </c>
      <c r="E39" s="49">
        <f>'Avg Week KAPEEKA-NGOMA'!E39+'Avg Week NGOMA-KAPEEKA'!E39</f>
        <v>0.71428571428571419</v>
      </c>
      <c r="F39" s="49">
        <f>'Avg Week KAPEEKA-NGOMA'!F39+'Avg Week NGOMA-KAPEEKA'!F39</f>
        <v>1</v>
      </c>
      <c r="G39" s="49">
        <f>'Avg Week KAPEEKA-NGOMA'!G39+'Avg Week NGOMA-KAPEEKA'!G39</f>
        <v>0</v>
      </c>
      <c r="H39" s="49">
        <f>'Avg Week KAPEEKA-NGOMA'!H39+'Avg Week NGOMA-KAPEEKA'!H39</f>
        <v>0</v>
      </c>
      <c r="I39" s="49">
        <f>'Avg Week KAPEEKA-NGOMA'!I39+'Avg Week NGOMA-KAPEEKA'!I39</f>
        <v>1.7142857142857144</v>
      </c>
      <c r="J39" s="49">
        <f>'Avg Week KAPEEKA-NGOMA'!J39+'Avg Week NGOMA-KAPEEKA'!J39</f>
        <v>0.14285714285714285</v>
      </c>
      <c r="K39" s="49">
        <f>'Avg Week KAPEEKA-NGOMA'!K39+'Avg Week NGOMA-KAPEEKA'!K39</f>
        <v>0</v>
      </c>
      <c r="L39" s="49">
        <f>'Avg Week KAPEEKA-NGOMA'!L39+'Avg Week NGOMA-KAPEEKA'!L39</f>
        <v>0</v>
      </c>
      <c r="M39" s="49">
        <f>'Avg Week KAPEEKA-NGOMA'!M39+'Avg Week NGOMA-KAPEEKA'!M39</f>
        <v>12.714285714285714</v>
      </c>
      <c r="N39" s="49">
        <f>'Avg Week KAPEEKA-NGOMA'!N39+'Avg Week NGOMA-KAPEEKA'!N39</f>
        <v>0</v>
      </c>
      <c r="O39" s="15">
        <f t="shared" si="0"/>
        <v>4.1428571428571432</v>
      </c>
      <c r="P39" s="15">
        <f t="shared" si="1"/>
        <v>16.857142857142858</v>
      </c>
      <c r="R39" s="29" t="s">
        <v>87</v>
      </c>
      <c r="S39" s="53">
        <f t="shared" ref="S39:AF39" si="31">SUM(S19:S21)</f>
        <v>15.571428571428569</v>
      </c>
      <c r="T39" s="53">
        <f t="shared" si="31"/>
        <v>5.7142857142857135</v>
      </c>
      <c r="U39" s="53">
        <f t="shared" si="31"/>
        <v>7.5714285714285703</v>
      </c>
      <c r="V39" s="53">
        <f t="shared" si="31"/>
        <v>11.857142857142856</v>
      </c>
      <c r="W39" s="53">
        <f t="shared" si="31"/>
        <v>0.5714285714285714</v>
      </c>
      <c r="X39" s="53">
        <f t="shared" si="31"/>
        <v>0.2857142857142857</v>
      </c>
      <c r="Y39" s="53">
        <f t="shared" si="31"/>
        <v>16</v>
      </c>
      <c r="Z39" s="53">
        <f t="shared" si="31"/>
        <v>4.1428571428571423</v>
      </c>
      <c r="AA39" s="53">
        <f t="shared" si="31"/>
        <v>0.71428571428571419</v>
      </c>
      <c r="AB39" s="53">
        <f t="shared" si="31"/>
        <v>0.5714285714285714</v>
      </c>
      <c r="AC39" s="53">
        <f t="shared" si="31"/>
        <v>119.30952380952381</v>
      </c>
      <c r="AD39" s="53">
        <f t="shared" si="31"/>
        <v>1.5714285714285712</v>
      </c>
      <c r="AE39" s="54">
        <f t="shared" si="31"/>
        <v>64.571428571428569</v>
      </c>
      <c r="AF39" s="54">
        <f t="shared" si="31"/>
        <v>183.88095238095238</v>
      </c>
    </row>
    <row r="40" spans="2:32" ht="23.1" customHeight="1" x14ac:dyDescent="0.25">
      <c r="B40" s="24" t="s">
        <v>67</v>
      </c>
      <c r="C40" s="49">
        <f>'Avg Week KAPEEKA-NGOMA'!C40+'Avg Week NGOMA-KAPEEKA'!C40</f>
        <v>1</v>
      </c>
      <c r="D40" s="49">
        <f>'Avg Week KAPEEKA-NGOMA'!D40+'Avg Week NGOMA-KAPEEKA'!D40</f>
        <v>0.14285714285714285</v>
      </c>
      <c r="E40" s="49">
        <f>'Avg Week KAPEEKA-NGOMA'!E40+'Avg Week NGOMA-KAPEEKA'!E40</f>
        <v>0.8571428571428571</v>
      </c>
      <c r="F40" s="49">
        <f>'Avg Week KAPEEKA-NGOMA'!F40+'Avg Week NGOMA-KAPEEKA'!F40</f>
        <v>0.85714285714285721</v>
      </c>
      <c r="G40" s="49">
        <f>'Avg Week KAPEEKA-NGOMA'!G40+'Avg Week NGOMA-KAPEEKA'!G40</f>
        <v>0</v>
      </c>
      <c r="H40" s="49">
        <f>'Avg Week KAPEEKA-NGOMA'!H40+'Avg Week NGOMA-KAPEEKA'!H40</f>
        <v>0.14285714285714285</v>
      </c>
      <c r="I40" s="49">
        <f>'Avg Week KAPEEKA-NGOMA'!I40+'Avg Week NGOMA-KAPEEKA'!I40</f>
        <v>0.8571428571428571</v>
      </c>
      <c r="J40" s="49">
        <f>'Avg Week KAPEEKA-NGOMA'!J40+'Avg Week NGOMA-KAPEEKA'!J40</f>
        <v>0.2857142857142857</v>
      </c>
      <c r="K40" s="49">
        <f>'Avg Week KAPEEKA-NGOMA'!K40+'Avg Week NGOMA-KAPEEKA'!K40</f>
        <v>0</v>
      </c>
      <c r="L40" s="49">
        <f>'Avg Week KAPEEKA-NGOMA'!L40+'Avg Week NGOMA-KAPEEKA'!L40</f>
        <v>0</v>
      </c>
      <c r="M40" s="49">
        <f>'Avg Week KAPEEKA-NGOMA'!M40+'Avg Week NGOMA-KAPEEKA'!M40</f>
        <v>12.857142857142858</v>
      </c>
      <c r="N40" s="49">
        <f>'Avg Week KAPEEKA-NGOMA'!N40+'Avg Week NGOMA-KAPEEKA'!N40</f>
        <v>0.14285714285714285</v>
      </c>
      <c r="O40" s="15">
        <f t="shared" si="0"/>
        <v>4.2857142857142865</v>
      </c>
      <c r="P40" s="15">
        <f t="shared" si="1"/>
        <v>17.142857142857142</v>
      </c>
      <c r="R40" s="5" t="s">
        <v>17</v>
      </c>
      <c r="S40" s="53">
        <f t="shared" ref="S40:AF40" si="32">SUM(S10:S21)</f>
        <v>51.285714285714278</v>
      </c>
      <c r="T40" s="53">
        <f t="shared" si="32"/>
        <v>17.714285714285715</v>
      </c>
      <c r="U40" s="53">
        <f t="shared" si="32"/>
        <v>27.714285714285712</v>
      </c>
      <c r="V40" s="53">
        <f t="shared" si="32"/>
        <v>39.857142857142854</v>
      </c>
      <c r="W40" s="53">
        <f t="shared" si="32"/>
        <v>1</v>
      </c>
      <c r="X40" s="53">
        <f t="shared" si="32"/>
        <v>0.5714285714285714</v>
      </c>
      <c r="Y40" s="53">
        <f t="shared" si="32"/>
        <v>55.857142857142847</v>
      </c>
      <c r="Z40" s="53">
        <f t="shared" si="32"/>
        <v>14.285714285714283</v>
      </c>
      <c r="AA40" s="53">
        <f t="shared" si="32"/>
        <v>2</v>
      </c>
      <c r="AB40" s="53">
        <f t="shared" si="32"/>
        <v>1.857142857142857</v>
      </c>
      <c r="AC40" s="53">
        <f t="shared" si="32"/>
        <v>463.45238095238096</v>
      </c>
      <c r="AD40" s="53">
        <f t="shared" si="32"/>
        <v>2.8571428571428568</v>
      </c>
      <c r="AE40" s="54">
        <f t="shared" si="32"/>
        <v>215.00000000000003</v>
      </c>
      <c r="AF40" s="54">
        <f t="shared" si="32"/>
        <v>678.45238095238108</v>
      </c>
    </row>
    <row r="41" spans="2:32" ht="23.1" customHeight="1" x14ac:dyDescent="0.25">
      <c r="B41" s="23" t="s">
        <v>68</v>
      </c>
      <c r="C41" s="49">
        <f>'Avg Week KAPEEKA-NGOMA'!C41+'Avg Week NGOMA-KAPEEKA'!C41</f>
        <v>2.8571428571428572</v>
      </c>
      <c r="D41" s="49">
        <f>'Avg Week KAPEEKA-NGOMA'!D41+'Avg Week NGOMA-KAPEEKA'!D41</f>
        <v>0.42857142857142855</v>
      </c>
      <c r="E41" s="49">
        <f>'Avg Week KAPEEKA-NGOMA'!E41+'Avg Week NGOMA-KAPEEKA'!E41</f>
        <v>0.5714285714285714</v>
      </c>
      <c r="F41" s="49">
        <f>'Avg Week KAPEEKA-NGOMA'!F41+'Avg Week NGOMA-KAPEEKA'!F41</f>
        <v>0.71428571428571419</v>
      </c>
      <c r="G41" s="49">
        <f>'Avg Week KAPEEKA-NGOMA'!G41+'Avg Week NGOMA-KAPEEKA'!G41</f>
        <v>0</v>
      </c>
      <c r="H41" s="49">
        <f>'Avg Week KAPEEKA-NGOMA'!H41+'Avg Week NGOMA-KAPEEKA'!H41</f>
        <v>0</v>
      </c>
      <c r="I41" s="49">
        <f>'Avg Week KAPEEKA-NGOMA'!I41+'Avg Week NGOMA-KAPEEKA'!I41</f>
        <v>1.5714285714285714</v>
      </c>
      <c r="J41" s="49">
        <f>'Avg Week KAPEEKA-NGOMA'!J41+'Avg Week NGOMA-KAPEEKA'!J41</f>
        <v>0.2857142857142857</v>
      </c>
      <c r="K41" s="49">
        <f>'Avg Week KAPEEKA-NGOMA'!K41+'Avg Week NGOMA-KAPEEKA'!K41</f>
        <v>0.14285714285714285</v>
      </c>
      <c r="L41" s="49">
        <f>'Avg Week KAPEEKA-NGOMA'!L41+'Avg Week NGOMA-KAPEEKA'!L41</f>
        <v>0</v>
      </c>
      <c r="M41" s="49">
        <f>'Avg Week KAPEEKA-NGOMA'!M41+'Avg Week NGOMA-KAPEEKA'!M41</f>
        <v>10.857142857142858</v>
      </c>
      <c r="N41" s="49">
        <f>'Avg Week KAPEEKA-NGOMA'!N41+'Avg Week NGOMA-KAPEEKA'!N41</f>
        <v>0</v>
      </c>
      <c r="O41" s="15">
        <f t="shared" si="0"/>
        <v>6.5714285714285712</v>
      </c>
      <c r="P41" s="15">
        <f t="shared" si="1"/>
        <v>17.428571428571431</v>
      </c>
      <c r="R41" s="5" t="s">
        <v>179</v>
      </c>
      <c r="S41" s="53">
        <f>SUM(S10:S33)</f>
        <v>82.785714285714278</v>
      </c>
      <c r="T41" s="53">
        <f t="shared" ref="T41:AD41" si="33">SUM(T10:T33)</f>
        <v>21.714285714285715</v>
      </c>
      <c r="U41" s="53">
        <f t="shared" si="33"/>
        <v>36.214285714285708</v>
      </c>
      <c r="V41" s="53">
        <f t="shared" si="33"/>
        <v>53.857142857142854</v>
      </c>
      <c r="W41" s="53">
        <f t="shared" si="33"/>
        <v>1</v>
      </c>
      <c r="X41" s="53">
        <f t="shared" si="33"/>
        <v>1.5714285714285714</v>
      </c>
      <c r="Y41" s="53">
        <f t="shared" si="33"/>
        <v>98.357142857142847</v>
      </c>
      <c r="Z41" s="53">
        <f t="shared" si="33"/>
        <v>30.285714285714285</v>
      </c>
      <c r="AA41" s="53">
        <f t="shared" si="33"/>
        <v>4.5</v>
      </c>
      <c r="AB41" s="53">
        <f t="shared" si="33"/>
        <v>2.3571428571428568</v>
      </c>
      <c r="AC41" s="53">
        <f t="shared" si="33"/>
        <v>585.45238095238096</v>
      </c>
      <c r="AD41" s="53">
        <f t="shared" si="33"/>
        <v>2.8571428571428568</v>
      </c>
      <c r="AE41" s="54">
        <f>SUM(AE10:AE33)</f>
        <v>335.5</v>
      </c>
      <c r="AF41" s="54">
        <f>SUM(AF10:AF33)</f>
        <v>920.95238095238108</v>
      </c>
    </row>
    <row r="42" spans="2:32" ht="23.1" customHeight="1" x14ac:dyDescent="0.25">
      <c r="B42" s="24" t="s">
        <v>69</v>
      </c>
      <c r="C42" s="49">
        <f>'Avg Week KAPEEKA-NGOMA'!C42+'Avg Week NGOMA-KAPEEKA'!C42</f>
        <v>1.8571428571428572</v>
      </c>
      <c r="D42" s="49">
        <f>'Avg Week KAPEEKA-NGOMA'!D42+'Avg Week NGOMA-KAPEEKA'!D42</f>
        <v>0.5714285714285714</v>
      </c>
      <c r="E42" s="49">
        <f>'Avg Week KAPEEKA-NGOMA'!E42+'Avg Week NGOMA-KAPEEKA'!E42</f>
        <v>1.1428571428571428</v>
      </c>
      <c r="F42" s="49">
        <f>'Avg Week KAPEEKA-NGOMA'!F42+'Avg Week NGOMA-KAPEEKA'!F42</f>
        <v>0.7142857142857143</v>
      </c>
      <c r="G42" s="49">
        <f>'Avg Week KAPEEKA-NGOMA'!G42+'Avg Week NGOMA-KAPEEKA'!G42</f>
        <v>0</v>
      </c>
      <c r="H42" s="49">
        <f>'Avg Week KAPEEKA-NGOMA'!H42+'Avg Week NGOMA-KAPEEKA'!H42</f>
        <v>0</v>
      </c>
      <c r="I42" s="49">
        <f>'Avg Week KAPEEKA-NGOMA'!I42+'Avg Week NGOMA-KAPEEKA'!I42</f>
        <v>1.4285714285714284</v>
      </c>
      <c r="J42" s="49">
        <f>'Avg Week KAPEEKA-NGOMA'!J42+'Avg Week NGOMA-KAPEEKA'!J42</f>
        <v>0.2857142857142857</v>
      </c>
      <c r="K42" s="49">
        <f>'Avg Week KAPEEKA-NGOMA'!K42+'Avg Week NGOMA-KAPEEKA'!K42</f>
        <v>0.14285714285714285</v>
      </c>
      <c r="L42" s="49">
        <f>'Avg Week KAPEEKA-NGOMA'!L42+'Avg Week NGOMA-KAPEEKA'!L42</f>
        <v>0</v>
      </c>
      <c r="M42" s="49">
        <f>'Avg Week KAPEEKA-NGOMA'!M42+'Avg Week NGOMA-KAPEEKA'!M42</f>
        <v>11.571428571428573</v>
      </c>
      <c r="N42" s="49">
        <f>'Avg Week KAPEEKA-NGOMA'!N42+'Avg Week NGOMA-KAPEEKA'!N42</f>
        <v>0</v>
      </c>
      <c r="O42" s="15">
        <f t="shared" si="0"/>
        <v>6.1428571428571423</v>
      </c>
      <c r="P42" s="15">
        <f t="shared" si="1"/>
        <v>17.714285714285715</v>
      </c>
      <c r="R42" s="5" t="s">
        <v>160</v>
      </c>
      <c r="S42" s="48">
        <f>S41/S40</f>
        <v>1.6142061281337048</v>
      </c>
      <c r="T42" s="48">
        <f t="shared" ref="T42:AF42" si="34">T41/T40</f>
        <v>1.2258064516129032</v>
      </c>
      <c r="U42" s="48">
        <f t="shared" si="34"/>
        <v>1.3067010309278349</v>
      </c>
      <c r="V42" s="48">
        <f t="shared" si="34"/>
        <v>1.3512544802867383</v>
      </c>
      <c r="W42" s="48">
        <f t="shared" si="34"/>
        <v>1</v>
      </c>
      <c r="X42" s="48">
        <f t="shared" si="34"/>
        <v>2.75</v>
      </c>
      <c r="Y42" s="48">
        <f t="shared" si="34"/>
        <v>1.7608695652173914</v>
      </c>
      <c r="Z42" s="48">
        <f t="shared" si="34"/>
        <v>2.1200000000000006</v>
      </c>
      <c r="AA42" s="48">
        <f t="shared" si="34"/>
        <v>2.25</v>
      </c>
      <c r="AB42" s="48">
        <f t="shared" si="34"/>
        <v>1.2692307692307692</v>
      </c>
      <c r="AC42" s="48">
        <f t="shared" si="34"/>
        <v>1.263241715900334</v>
      </c>
      <c r="AD42" s="48">
        <f t="shared" si="34"/>
        <v>1</v>
      </c>
      <c r="AE42" s="55">
        <f t="shared" si="34"/>
        <v>1.5604651162790695</v>
      </c>
      <c r="AF42" s="55">
        <f t="shared" si="34"/>
        <v>1.3574311282681171</v>
      </c>
    </row>
    <row r="43" spans="2:32" ht="23.1" customHeight="1" x14ac:dyDescent="0.25">
      <c r="B43" s="23" t="s">
        <v>70</v>
      </c>
      <c r="C43" s="49">
        <f>'Avg Week KAPEEKA-NGOMA'!C43+'Avg Week NGOMA-KAPEEKA'!C43</f>
        <v>1</v>
      </c>
      <c r="D43" s="49">
        <f>'Avg Week KAPEEKA-NGOMA'!D43+'Avg Week NGOMA-KAPEEKA'!D43</f>
        <v>0.42857142857142855</v>
      </c>
      <c r="E43" s="49">
        <f>'Avg Week KAPEEKA-NGOMA'!E43+'Avg Week NGOMA-KAPEEKA'!E43</f>
        <v>0.71428571428571419</v>
      </c>
      <c r="F43" s="49">
        <f>'Avg Week KAPEEKA-NGOMA'!F43+'Avg Week NGOMA-KAPEEKA'!F43</f>
        <v>0.42857142857142855</v>
      </c>
      <c r="G43" s="49">
        <f>'Avg Week KAPEEKA-NGOMA'!G43+'Avg Week NGOMA-KAPEEKA'!G43</f>
        <v>0</v>
      </c>
      <c r="H43" s="49">
        <f>'Avg Week KAPEEKA-NGOMA'!H43+'Avg Week NGOMA-KAPEEKA'!H43</f>
        <v>0</v>
      </c>
      <c r="I43" s="49">
        <f>'Avg Week KAPEEKA-NGOMA'!I43+'Avg Week NGOMA-KAPEEKA'!I43</f>
        <v>1.1428571428571428</v>
      </c>
      <c r="J43" s="49">
        <f>'Avg Week KAPEEKA-NGOMA'!J43+'Avg Week NGOMA-KAPEEKA'!J43</f>
        <v>0</v>
      </c>
      <c r="K43" s="49">
        <f>'Avg Week KAPEEKA-NGOMA'!K43+'Avg Week NGOMA-KAPEEKA'!K43</f>
        <v>0.14285714285714285</v>
      </c>
      <c r="L43" s="49">
        <f>'Avg Week KAPEEKA-NGOMA'!L43+'Avg Week NGOMA-KAPEEKA'!L43</f>
        <v>0.14285714285714285</v>
      </c>
      <c r="M43" s="49">
        <f>'Avg Week KAPEEKA-NGOMA'!M43+'Avg Week NGOMA-KAPEEKA'!M43</f>
        <v>9.7142857142857153</v>
      </c>
      <c r="N43" s="49">
        <f>'Avg Week KAPEEKA-NGOMA'!N43+'Avg Week NGOMA-KAPEEKA'!N43</f>
        <v>0</v>
      </c>
      <c r="O43" s="15">
        <f t="shared" si="0"/>
        <v>3.9999999999999996</v>
      </c>
      <c r="P43" s="15">
        <f t="shared" si="1"/>
        <v>13.714285714285715</v>
      </c>
    </row>
    <row r="44" spans="2:32" ht="23.1" customHeight="1" x14ac:dyDescent="0.25">
      <c r="B44" s="25" t="s">
        <v>71</v>
      </c>
      <c r="C44" s="49">
        <f>'Avg Week KAPEEKA-NGOMA'!C44+'Avg Week NGOMA-KAPEEKA'!C44</f>
        <v>1.1428571428571428</v>
      </c>
      <c r="D44" s="49">
        <f>'Avg Week KAPEEKA-NGOMA'!D44+'Avg Week NGOMA-KAPEEKA'!D44</f>
        <v>0.8571428571428571</v>
      </c>
      <c r="E44" s="49">
        <f>'Avg Week KAPEEKA-NGOMA'!E44+'Avg Week NGOMA-KAPEEKA'!E44</f>
        <v>0.2857142857142857</v>
      </c>
      <c r="F44" s="49">
        <f>'Avg Week KAPEEKA-NGOMA'!F44+'Avg Week NGOMA-KAPEEKA'!F44</f>
        <v>1.5714285714285714</v>
      </c>
      <c r="G44" s="49">
        <f>'Avg Week KAPEEKA-NGOMA'!G44+'Avg Week NGOMA-KAPEEKA'!G44</f>
        <v>0</v>
      </c>
      <c r="H44" s="49">
        <f>'Avg Week KAPEEKA-NGOMA'!H44+'Avg Week NGOMA-KAPEEKA'!H44</f>
        <v>0</v>
      </c>
      <c r="I44" s="49">
        <f>'Avg Week KAPEEKA-NGOMA'!I44+'Avg Week NGOMA-KAPEEKA'!I44</f>
        <v>1.4285714285714284</v>
      </c>
      <c r="J44" s="49">
        <f>'Avg Week KAPEEKA-NGOMA'!J44+'Avg Week NGOMA-KAPEEKA'!J44</f>
        <v>0.5714285714285714</v>
      </c>
      <c r="K44" s="49">
        <f>'Avg Week KAPEEKA-NGOMA'!K44+'Avg Week NGOMA-KAPEEKA'!K44</f>
        <v>0.14285714285714285</v>
      </c>
      <c r="L44" s="49">
        <f>'Avg Week KAPEEKA-NGOMA'!L44+'Avg Week NGOMA-KAPEEKA'!L44</f>
        <v>0</v>
      </c>
      <c r="M44" s="49">
        <f>'Avg Week KAPEEKA-NGOMA'!M44+'Avg Week NGOMA-KAPEEKA'!M44</f>
        <v>11.714285714285715</v>
      </c>
      <c r="N44" s="49">
        <f>'Avg Week KAPEEKA-NGOMA'!N44+'Avg Week NGOMA-KAPEEKA'!N44</f>
        <v>0</v>
      </c>
      <c r="O44" s="15">
        <f t="shared" si="0"/>
        <v>5.9999999999999991</v>
      </c>
      <c r="P44" s="15">
        <f t="shared" si="1"/>
        <v>17.714285714285715</v>
      </c>
    </row>
    <row r="45" spans="2:32" ht="23.1" customHeight="1" x14ac:dyDescent="0.25">
      <c r="B45" s="23" t="s">
        <v>72</v>
      </c>
      <c r="C45" s="49">
        <f>'Avg Week KAPEEKA-NGOMA'!C45+'Avg Week NGOMA-KAPEEKA'!C45</f>
        <v>0.42857142857142855</v>
      </c>
      <c r="D45" s="49">
        <f>'Avg Week KAPEEKA-NGOMA'!D45+'Avg Week NGOMA-KAPEEKA'!D45</f>
        <v>0.42857142857142855</v>
      </c>
      <c r="E45" s="49">
        <f>'Avg Week KAPEEKA-NGOMA'!E45+'Avg Week NGOMA-KAPEEKA'!E45</f>
        <v>0.71428571428571419</v>
      </c>
      <c r="F45" s="49">
        <f>'Avg Week KAPEEKA-NGOMA'!F45+'Avg Week NGOMA-KAPEEKA'!F45</f>
        <v>1.5714285714285714</v>
      </c>
      <c r="G45" s="49">
        <f>'Avg Week KAPEEKA-NGOMA'!G45+'Avg Week NGOMA-KAPEEKA'!G45</f>
        <v>0.14285714285714285</v>
      </c>
      <c r="H45" s="49">
        <f>'Avg Week KAPEEKA-NGOMA'!H45+'Avg Week NGOMA-KAPEEKA'!H45</f>
        <v>0</v>
      </c>
      <c r="I45" s="49">
        <f>'Avg Week KAPEEKA-NGOMA'!I45+'Avg Week NGOMA-KAPEEKA'!I45</f>
        <v>1.7142857142857144</v>
      </c>
      <c r="J45" s="49">
        <f>'Avg Week KAPEEKA-NGOMA'!J45+'Avg Week NGOMA-KAPEEKA'!J45</f>
        <v>0.14285714285714285</v>
      </c>
      <c r="K45" s="49">
        <f>'Avg Week KAPEEKA-NGOMA'!K45+'Avg Week NGOMA-KAPEEKA'!K45</f>
        <v>0.14285714285714285</v>
      </c>
      <c r="L45" s="49">
        <f>'Avg Week KAPEEKA-NGOMA'!L45+'Avg Week NGOMA-KAPEEKA'!L45</f>
        <v>0</v>
      </c>
      <c r="M45" s="49">
        <f>'Avg Week KAPEEKA-NGOMA'!M45+'Avg Week NGOMA-KAPEEKA'!M45</f>
        <v>9.5714285714285712</v>
      </c>
      <c r="N45" s="49">
        <f>'Avg Week KAPEEKA-NGOMA'!N45+'Avg Week NGOMA-KAPEEKA'!N45</f>
        <v>0</v>
      </c>
      <c r="O45" s="15">
        <f t="shared" si="0"/>
        <v>5.2857142857142865</v>
      </c>
      <c r="P45" s="15">
        <f t="shared" si="1"/>
        <v>14.857142857142858</v>
      </c>
    </row>
    <row r="46" spans="2:32" ht="23.1" customHeight="1" x14ac:dyDescent="0.25">
      <c r="B46" s="24" t="s">
        <v>73</v>
      </c>
      <c r="C46" s="49">
        <f>'Avg Week KAPEEKA-NGOMA'!C46+'Avg Week NGOMA-KAPEEKA'!C46</f>
        <v>1</v>
      </c>
      <c r="D46" s="49">
        <f>'Avg Week KAPEEKA-NGOMA'!D46+'Avg Week NGOMA-KAPEEKA'!D46</f>
        <v>0.2857142857142857</v>
      </c>
      <c r="E46" s="49">
        <f>'Avg Week KAPEEKA-NGOMA'!E46+'Avg Week NGOMA-KAPEEKA'!E46</f>
        <v>1</v>
      </c>
      <c r="F46" s="49">
        <f>'Avg Week KAPEEKA-NGOMA'!F46+'Avg Week NGOMA-KAPEEKA'!F46</f>
        <v>1.2857142857142856</v>
      </c>
      <c r="G46" s="49">
        <f>'Avg Week KAPEEKA-NGOMA'!G46+'Avg Week NGOMA-KAPEEKA'!G46</f>
        <v>0.14285714285714285</v>
      </c>
      <c r="H46" s="49">
        <f>'Avg Week KAPEEKA-NGOMA'!H46+'Avg Week NGOMA-KAPEEKA'!H46</f>
        <v>0</v>
      </c>
      <c r="I46" s="49">
        <f>'Avg Week KAPEEKA-NGOMA'!I46+'Avg Week NGOMA-KAPEEKA'!I46</f>
        <v>1</v>
      </c>
      <c r="J46" s="49">
        <f>'Avg Week KAPEEKA-NGOMA'!J46+'Avg Week NGOMA-KAPEEKA'!J46</f>
        <v>0.2857142857142857</v>
      </c>
      <c r="K46" s="49">
        <f>'Avg Week KAPEEKA-NGOMA'!K46+'Avg Week NGOMA-KAPEEKA'!K46</f>
        <v>0</v>
      </c>
      <c r="L46" s="49">
        <f>'Avg Week KAPEEKA-NGOMA'!L46+'Avg Week NGOMA-KAPEEKA'!L46</f>
        <v>0</v>
      </c>
      <c r="M46" s="49">
        <f>'Avg Week KAPEEKA-NGOMA'!M46+'Avg Week NGOMA-KAPEEKA'!M46</f>
        <v>10.428571428571429</v>
      </c>
      <c r="N46" s="49">
        <f>'Avg Week KAPEEKA-NGOMA'!N46+'Avg Week NGOMA-KAPEEKA'!N46</f>
        <v>0</v>
      </c>
      <c r="O46" s="15">
        <f t="shared" si="0"/>
        <v>4.9999999999999991</v>
      </c>
      <c r="P46" s="15">
        <f t="shared" si="1"/>
        <v>15.428571428571427</v>
      </c>
      <c r="R46" s="8"/>
      <c r="T46"/>
    </row>
    <row r="47" spans="2:32" ht="23.1" customHeight="1" x14ac:dyDescent="0.25">
      <c r="B47" s="24" t="s">
        <v>74</v>
      </c>
      <c r="C47" s="49">
        <f>'Avg Week KAPEEKA-NGOMA'!C47+'Avg Week NGOMA-KAPEEKA'!C47</f>
        <v>1.2857142857142856</v>
      </c>
      <c r="D47" s="49">
        <f>'Avg Week KAPEEKA-NGOMA'!D47+'Avg Week NGOMA-KAPEEKA'!D47</f>
        <v>0.2857142857142857</v>
      </c>
      <c r="E47" s="49">
        <f>'Avg Week KAPEEKA-NGOMA'!E47+'Avg Week NGOMA-KAPEEKA'!E47</f>
        <v>0.14285714285714285</v>
      </c>
      <c r="F47" s="49">
        <f>'Avg Week KAPEEKA-NGOMA'!F47+'Avg Week NGOMA-KAPEEKA'!F47</f>
        <v>0.71428571428571419</v>
      </c>
      <c r="G47" s="49">
        <f>'Avg Week KAPEEKA-NGOMA'!G47+'Avg Week NGOMA-KAPEEKA'!G47</f>
        <v>0</v>
      </c>
      <c r="H47" s="49">
        <f>'Avg Week KAPEEKA-NGOMA'!H47+'Avg Week NGOMA-KAPEEKA'!H47</f>
        <v>0</v>
      </c>
      <c r="I47" s="49">
        <f>'Avg Week KAPEEKA-NGOMA'!I47+'Avg Week NGOMA-KAPEEKA'!I47</f>
        <v>1.2857142857142856</v>
      </c>
      <c r="J47" s="49">
        <f>'Avg Week KAPEEKA-NGOMA'!J47+'Avg Week NGOMA-KAPEEKA'!J47</f>
        <v>0.5714285714285714</v>
      </c>
      <c r="K47" s="49">
        <f>'Avg Week KAPEEKA-NGOMA'!K47+'Avg Week NGOMA-KAPEEKA'!K47</f>
        <v>0.2857142857142857</v>
      </c>
      <c r="L47" s="49">
        <f>'Avg Week KAPEEKA-NGOMA'!L47+'Avg Week NGOMA-KAPEEKA'!L47</f>
        <v>0</v>
      </c>
      <c r="M47" s="49">
        <f>'Avg Week KAPEEKA-NGOMA'!M47+'Avg Week NGOMA-KAPEEKA'!M47</f>
        <v>10.571428571428571</v>
      </c>
      <c r="N47" s="49">
        <f>'Avg Week KAPEEKA-NGOMA'!N47+'Avg Week NGOMA-KAPEEKA'!N47</f>
        <v>0</v>
      </c>
      <c r="O47" s="15">
        <f t="shared" si="0"/>
        <v>4.5714285714285703</v>
      </c>
      <c r="P47" s="15">
        <f t="shared" si="1"/>
        <v>15.142857142857142</v>
      </c>
      <c r="R47" s="8"/>
      <c r="T47"/>
    </row>
    <row r="48" spans="2:32" ht="23.1" customHeight="1" x14ac:dyDescent="0.25">
      <c r="B48" s="24" t="s">
        <v>75</v>
      </c>
      <c r="C48" s="49">
        <f>'Avg Week KAPEEKA-NGOMA'!C48+'Avg Week NGOMA-KAPEEKA'!C48</f>
        <v>0.8571428571428571</v>
      </c>
      <c r="D48" s="49">
        <f>'Avg Week KAPEEKA-NGOMA'!D48+'Avg Week NGOMA-KAPEEKA'!D48</f>
        <v>0.2857142857142857</v>
      </c>
      <c r="E48" s="49">
        <f>'Avg Week KAPEEKA-NGOMA'!E48+'Avg Week NGOMA-KAPEEKA'!E48</f>
        <v>0.42857142857142855</v>
      </c>
      <c r="F48" s="49">
        <f>'Avg Week KAPEEKA-NGOMA'!F48+'Avg Week NGOMA-KAPEEKA'!F48</f>
        <v>1.4285714285714286</v>
      </c>
      <c r="G48" s="49">
        <f>'Avg Week KAPEEKA-NGOMA'!G48+'Avg Week NGOMA-KAPEEKA'!G48</f>
        <v>0</v>
      </c>
      <c r="H48" s="49">
        <f>'Avg Week KAPEEKA-NGOMA'!H48+'Avg Week NGOMA-KAPEEKA'!H48</f>
        <v>0</v>
      </c>
      <c r="I48" s="49">
        <f>'Avg Week KAPEEKA-NGOMA'!I48+'Avg Week NGOMA-KAPEEKA'!I48</f>
        <v>1</v>
      </c>
      <c r="J48" s="49">
        <f>'Avg Week KAPEEKA-NGOMA'!J48+'Avg Week NGOMA-KAPEEKA'!J48</f>
        <v>0.2857142857142857</v>
      </c>
      <c r="K48" s="49">
        <f>'Avg Week KAPEEKA-NGOMA'!K48+'Avg Week NGOMA-KAPEEKA'!K48</f>
        <v>0</v>
      </c>
      <c r="L48" s="49">
        <f>'Avg Week KAPEEKA-NGOMA'!L48+'Avg Week NGOMA-KAPEEKA'!L48</f>
        <v>0</v>
      </c>
      <c r="M48" s="49">
        <f>'Avg Week KAPEEKA-NGOMA'!M48+'Avg Week NGOMA-KAPEEKA'!M48</f>
        <v>9.1428571428571423</v>
      </c>
      <c r="N48" s="49">
        <f>'Avg Week KAPEEKA-NGOMA'!N48+'Avg Week NGOMA-KAPEEKA'!N48</f>
        <v>0</v>
      </c>
      <c r="O48" s="15">
        <f t="shared" si="0"/>
        <v>4.2857142857142856</v>
      </c>
      <c r="P48" s="15">
        <f t="shared" si="1"/>
        <v>13.428571428571427</v>
      </c>
      <c r="R48" s="8"/>
      <c r="T48"/>
    </row>
    <row r="49" spans="2:20" ht="23.1" customHeight="1" x14ac:dyDescent="0.25">
      <c r="B49" s="23" t="s">
        <v>76</v>
      </c>
      <c r="C49" s="49">
        <f>'Avg Week KAPEEKA-NGOMA'!C49+'Avg Week NGOMA-KAPEEKA'!C49</f>
        <v>2</v>
      </c>
      <c r="D49" s="49">
        <f>'Avg Week KAPEEKA-NGOMA'!D49+'Avg Week NGOMA-KAPEEKA'!D49</f>
        <v>0.5714285714285714</v>
      </c>
      <c r="E49" s="49">
        <f>'Avg Week KAPEEKA-NGOMA'!E49+'Avg Week NGOMA-KAPEEKA'!E49</f>
        <v>0.5714285714285714</v>
      </c>
      <c r="F49" s="49">
        <f>'Avg Week KAPEEKA-NGOMA'!F49+'Avg Week NGOMA-KAPEEKA'!F49</f>
        <v>0.5714285714285714</v>
      </c>
      <c r="G49" s="49">
        <f>'Avg Week KAPEEKA-NGOMA'!G49+'Avg Week NGOMA-KAPEEKA'!G49</f>
        <v>0</v>
      </c>
      <c r="H49" s="49">
        <f>'Avg Week KAPEEKA-NGOMA'!H49+'Avg Week NGOMA-KAPEEKA'!H49</f>
        <v>0</v>
      </c>
      <c r="I49" s="49">
        <f>'Avg Week KAPEEKA-NGOMA'!I49+'Avg Week NGOMA-KAPEEKA'!I49</f>
        <v>1.2857142857142856</v>
      </c>
      <c r="J49" s="49">
        <f>'Avg Week KAPEEKA-NGOMA'!J49+'Avg Week NGOMA-KAPEEKA'!J49</f>
        <v>0</v>
      </c>
      <c r="K49" s="49">
        <f>'Avg Week KAPEEKA-NGOMA'!K49+'Avg Week NGOMA-KAPEEKA'!K49</f>
        <v>0.14285714285714285</v>
      </c>
      <c r="L49" s="49">
        <f>'Avg Week KAPEEKA-NGOMA'!L49+'Avg Week NGOMA-KAPEEKA'!L49</f>
        <v>0.14285714285714285</v>
      </c>
      <c r="M49" s="49">
        <f>'Avg Week KAPEEKA-NGOMA'!M49+'Avg Week NGOMA-KAPEEKA'!M49</f>
        <v>9.7142857142857153</v>
      </c>
      <c r="N49" s="49">
        <f>'Avg Week KAPEEKA-NGOMA'!N49+'Avg Week NGOMA-KAPEEKA'!N49</f>
        <v>0.14285714285714285</v>
      </c>
      <c r="O49" s="15">
        <f t="shared" si="0"/>
        <v>5.4285714285714288</v>
      </c>
      <c r="P49" s="15">
        <f t="shared" si="1"/>
        <v>15.142857142857142</v>
      </c>
      <c r="R49" s="8"/>
      <c r="T49"/>
    </row>
    <row r="50" spans="2:20" ht="23.1" customHeight="1" x14ac:dyDescent="0.25">
      <c r="B50" s="24" t="s">
        <v>77</v>
      </c>
      <c r="C50" s="49">
        <f>'Avg Week KAPEEKA-NGOMA'!C50+'Avg Week NGOMA-KAPEEKA'!C50</f>
        <v>1.1428571428571428</v>
      </c>
      <c r="D50" s="49">
        <f>'Avg Week KAPEEKA-NGOMA'!D50+'Avg Week NGOMA-KAPEEKA'!D50</f>
        <v>1.1428571428571428</v>
      </c>
      <c r="E50" s="49">
        <f>'Avg Week KAPEEKA-NGOMA'!E50+'Avg Week NGOMA-KAPEEKA'!E50</f>
        <v>0.42857142857142855</v>
      </c>
      <c r="F50" s="49">
        <f>'Avg Week KAPEEKA-NGOMA'!F50+'Avg Week NGOMA-KAPEEKA'!F50</f>
        <v>1.4285714285714286</v>
      </c>
      <c r="G50" s="49">
        <f>'Avg Week KAPEEKA-NGOMA'!G50+'Avg Week NGOMA-KAPEEKA'!G50</f>
        <v>0</v>
      </c>
      <c r="H50" s="49">
        <f>'Avg Week KAPEEKA-NGOMA'!H50+'Avg Week NGOMA-KAPEEKA'!H50</f>
        <v>0</v>
      </c>
      <c r="I50" s="49">
        <f>'Avg Week KAPEEKA-NGOMA'!I50+'Avg Week NGOMA-KAPEEKA'!I50</f>
        <v>1.4285714285714286</v>
      </c>
      <c r="J50" s="49">
        <f>'Avg Week KAPEEKA-NGOMA'!J50+'Avg Week NGOMA-KAPEEKA'!J50</f>
        <v>0.71428571428571419</v>
      </c>
      <c r="K50" s="49">
        <f>'Avg Week KAPEEKA-NGOMA'!K50+'Avg Week NGOMA-KAPEEKA'!K50</f>
        <v>0</v>
      </c>
      <c r="L50" s="49">
        <f>'Avg Week KAPEEKA-NGOMA'!L50+'Avg Week NGOMA-KAPEEKA'!L50</f>
        <v>0</v>
      </c>
      <c r="M50" s="49">
        <f>'Avg Week KAPEEKA-NGOMA'!M50+'Avg Week NGOMA-KAPEEKA'!M50</f>
        <v>9</v>
      </c>
      <c r="N50" s="49">
        <f>'Avg Week KAPEEKA-NGOMA'!N50+'Avg Week NGOMA-KAPEEKA'!N50</f>
        <v>0</v>
      </c>
      <c r="O50" s="15">
        <f t="shared" si="0"/>
        <v>6.2857142857142856</v>
      </c>
      <c r="P50" s="15">
        <f t="shared" si="1"/>
        <v>15.285714285714285</v>
      </c>
      <c r="R50" s="8"/>
      <c r="T50"/>
    </row>
    <row r="51" spans="2:20" ht="23.1" customHeight="1" x14ac:dyDescent="0.25">
      <c r="B51" s="24" t="s">
        <v>78</v>
      </c>
      <c r="C51" s="49">
        <f>'Avg Week KAPEEKA-NGOMA'!C51+'Avg Week NGOMA-KAPEEKA'!C51</f>
        <v>1.1428571428571428</v>
      </c>
      <c r="D51" s="49">
        <f>'Avg Week KAPEEKA-NGOMA'!D51+'Avg Week NGOMA-KAPEEKA'!D51</f>
        <v>0.5714285714285714</v>
      </c>
      <c r="E51" s="49">
        <f>'Avg Week KAPEEKA-NGOMA'!E51+'Avg Week NGOMA-KAPEEKA'!E51</f>
        <v>0.42857142857142855</v>
      </c>
      <c r="F51" s="49">
        <f>'Avg Week KAPEEKA-NGOMA'!F51+'Avg Week NGOMA-KAPEEKA'!F51</f>
        <v>0.14285714285714285</v>
      </c>
      <c r="G51" s="49">
        <f>'Avg Week KAPEEKA-NGOMA'!G51+'Avg Week NGOMA-KAPEEKA'!G51</f>
        <v>0</v>
      </c>
      <c r="H51" s="49">
        <f>'Avg Week KAPEEKA-NGOMA'!H51+'Avg Week NGOMA-KAPEEKA'!H51</f>
        <v>0</v>
      </c>
      <c r="I51" s="49">
        <f>'Avg Week KAPEEKA-NGOMA'!I51+'Avg Week NGOMA-KAPEEKA'!I51</f>
        <v>1.4285714285714286</v>
      </c>
      <c r="J51" s="49">
        <f>'Avg Week KAPEEKA-NGOMA'!J51+'Avg Week NGOMA-KAPEEKA'!J51</f>
        <v>0.14285714285714285</v>
      </c>
      <c r="K51" s="49">
        <f>'Avg Week KAPEEKA-NGOMA'!K51+'Avg Week NGOMA-KAPEEKA'!K51</f>
        <v>0</v>
      </c>
      <c r="L51" s="49">
        <f>'Avg Week KAPEEKA-NGOMA'!L51+'Avg Week NGOMA-KAPEEKA'!L51</f>
        <v>0.14285714285714285</v>
      </c>
      <c r="M51" s="49">
        <f>'Avg Week KAPEEKA-NGOMA'!M51+'Avg Week NGOMA-KAPEEKA'!M51</f>
        <v>12</v>
      </c>
      <c r="N51" s="49">
        <f>'Avg Week KAPEEKA-NGOMA'!N51+'Avg Week NGOMA-KAPEEKA'!N51</f>
        <v>0.5714285714285714</v>
      </c>
      <c r="O51" s="15">
        <f t="shared" si="0"/>
        <v>4.5714285714285712</v>
      </c>
      <c r="P51" s="15">
        <f t="shared" si="1"/>
        <v>16.571428571428573</v>
      </c>
      <c r="R51" s="8"/>
      <c r="T51"/>
    </row>
    <row r="52" spans="2:20" ht="23.1" customHeight="1" x14ac:dyDescent="0.25">
      <c r="B52" s="24" t="s">
        <v>79</v>
      </c>
      <c r="C52" s="49">
        <f>'Avg Week KAPEEKA-NGOMA'!C52+'Avg Week NGOMA-KAPEEKA'!C52</f>
        <v>0.2857142857142857</v>
      </c>
      <c r="D52" s="49">
        <f>'Avg Week KAPEEKA-NGOMA'!D52+'Avg Week NGOMA-KAPEEKA'!D52</f>
        <v>0.2857142857142857</v>
      </c>
      <c r="E52" s="49">
        <f>'Avg Week KAPEEKA-NGOMA'!E52+'Avg Week NGOMA-KAPEEKA'!E52</f>
        <v>0.71428571428571419</v>
      </c>
      <c r="F52" s="49">
        <f>'Avg Week KAPEEKA-NGOMA'!F52+'Avg Week NGOMA-KAPEEKA'!F52</f>
        <v>0.8571428571428571</v>
      </c>
      <c r="G52" s="49">
        <f>'Avg Week KAPEEKA-NGOMA'!G52+'Avg Week NGOMA-KAPEEKA'!G52</f>
        <v>0</v>
      </c>
      <c r="H52" s="49">
        <f>'Avg Week KAPEEKA-NGOMA'!H52+'Avg Week NGOMA-KAPEEKA'!H52</f>
        <v>0</v>
      </c>
      <c r="I52" s="49">
        <f>'Avg Week KAPEEKA-NGOMA'!I52+'Avg Week NGOMA-KAPEEKA'!I52</f>
        <v>1.5714285714285714</v>
      </c>
      <c r="J52" s="49">
        <f>'Avg Week KAPEEKA-NGOMA'!J52+'Avg Week NGOMA-KAPEEKA'!J52</f>
        <v>0.2857142857142857</v>
      </c>
      <c r="K52" s="49">
        <f>'Avg Week KAPEEKA-NGOMA'!K52+'Avg Week NGOMA-KAPEEKA'!K52</f>
        <v>0</v>
      </c>
      <c r="L52" s="49">
        <f>'Avg Week KAPEEKA-NGOMA'!L52+'Avg Week NGOMA-KAPEEKA'!L52</f>
        <v>0.14285714285714285</v>
      </c>
      <c r="M52" s="49">
        <f>'Avg Week KAPEEKA-NGOMA'!M52+'Avg Week NGOMA-KAPEEKA'!M52</f>
        <v>9.2857142857142865</v>
      </c>
      <c r="N52" s="49">
        <f>'Avg Week KAPEEKA-NGOMA'!N52+'Avg Week NGOMA-KAPEEKA'!N52</f>
        <v>0.7142857142857143</v>
      </c>
      <c r="O52" s="15">
        <f t="shared" si="0"/>
        <v>4.8571428571428577</v>
      </c>
      <c r="P52" s="15">
        <f t="shared" si="1"/>
        <v>14.142857142857144</v>
      </c>
      <c r="R52" s="8"/>
      <c r="T52"/>
    </row>
    <row r="53" spans="2:20" ht="23.1" customHeight="1" x14ac:dyDescent="0.25">
      <c r="B53" s="23" t="s">
        <v>80</v>
      </c>
      <c r="C53" s="49">
        <f>'Avg Week KAPEEKA-NGOMA'!C53+'Avg Week NGOMA-KAPEEKA'!C53</f>
        <v>1.7142857142857142</v>
      </c>
      <c r="D53" s="49">
        <f>'Avg Week KAPEEKA-NGOMA'!D53+'Avg Week NGOMA-KAPEEKA'!D53</f>
        <v>0.42857142857142855</v>
      </c>
      <c r="E53" s="49">
        <f>'Avg Week KAPEEKA-NGOMA'!E53+'Avg Week NGOMA-KAPEEKA'!E53</f>
        <v>1</v>
      </c>
      <c r="F53" s="49">
        <f>'Avg Week KAPEEKA-NGOMA'!F53+'Avg Week NGOMA-KAPEEKA'!F53</f>
        <v>0.71428571428571419</v>
      </c>
      <c r="G53" s="49">
        <f>'Avg Week KAPEEKA-NGOMA'!G53+'Avg Week NGOMA-KAPEEKA'!G53</f>
        <v>0</v>
      </c>
      <c r="H53" s="49">
        <f>'Avg Week KAPEEKA-NGOMA'!H53+'Avg Week NGOMA-KAPEEKA'!H53</f>
        <v>0</v>
      </c>
      <c r="I53" s="49">
        <f>'Avg Week KAPEEKA-NGOMA'!I53+'Avg Week NGOMA-KAPEEKA'!I53</f>
        <v>1.4285714285714284</v>
      </c>
      <c r="J53" s="49">
        <f>'Avg Week KAPEEKA-NGOMA'!J53+'Avg Week NGOMA-KAPEEKA'!J53</f>
        <v>0.14285714285714285</v>
      </c>
      <c r="K53" s="49">
        <f>'Avg Week KAPEEKA-NGOMA'!K53+'Avg Week NGOMA-KAPEEKA'!K53</f>
        <v>0</v>
      </c>
      <c r="L53" s="49">
        <f>'Avg Week KAPEEKA-NGOMA'!L53+'Avg Week NGOMA-KAPEEKA'!L53</f>
        <v>0.14285714285714285</v>
      </c>
      <c r="M53" s="49">
        <f>'Avg Week KAPEEKA-NGOMA'!M53+'Avg Week NGOMA-KAPEEKA'!M53</f>
        <v>8.7142857142857153</v>
      </c>
      <c r="N53" s="49">
        <f>'Avg Week KAPEEKA-NGOMA'!N53+'Avg Week NGOMA-KAPEEKA'!N53</f>
        <v>0.14285714285714285</v>
      </c>
      <c r="O53" s="15">
        <f t="shared" si="0"/>
        <v>5.7142857142857144</v>
      </c>
      <c r="P53" s="15">
        <f t="shared" si="1"/>
        <v>14.428571428571429</v>
      </c>
      <c r="R53" s="8"/>
      <c r="T53"/>
    </row>
    <row r="54" spans="2:20" ht="23.1" customHeight="1" x14ac:dyDescent="0.25">
      <c r="B54" s="23" t="s">
        <v>81</v>
      </c>
      <c r="C54" s="49">
        <f>'Avg Week KAPEEKA-NGOMA'!C54+'Avg Week NGOMA-KAPEEKA'!C54</f>
        <v>1.4285714285714286</v>
      </c>
      <c r="D54" s="49">
        <f>'Avg Week KAPEEKA-NGOMA'!D54+'Avg Week NGOMA-KAPEEKA'!D54</f>
        <v>0</v>
      </c>
      <c r="E54" s="49">
        <f>'Avg Week KAPEEKA-NGOMA'!E54+'Avg Week NGOMA-KAPEEKA'!E54</f>
        <v>0.8571428571428571</v>
      </c>
      <c r="F54" s="49">
        <f>'Avg Week KAPEEKA-NGOMA'!F54+'Avg Week NGOMA-KAPEEKA'!F54</f>
        <v>1</v>
      </c>
      <c r="G54" s="49">
        <f>'Avg Week KAPEEKA-NGOMA'!G54+'Avg Week NGOMA-KAPEEKA'!G54</f>
        <v>0</v>
      </c>
      <c r="H54" s="49">
        <f>'Avg Week KAPEEKA-NGOMA'!H54+'Avg Week NGOMA-KAPEEKA'!H54</f>
        <v>0</v>
      </c>
      <c r="I54" s="49">
        <f>'Avg Week KAPEEKA-NGOMA'!I54+'Avg Week NGOMA-KAPEEKA'!I54</f>
        <v>1.7142857142857144</v>
      </c>
      <c r="J54" s="49">
        <f>'Avg Week KAPEEKA-NGOMA'!J54+'Avg Week NGOMA-KAPEEKA'!J54</f>
        <v>0.5714285714285714</v>
      </c>
      <c r="K54" s="49">
        <f>'Avg Week KAPEEKA-NGOMA'!K54+'Avg Week NGOMA-KAPEEKA'!K54</f>
        <v>0.14285714285714285</v>
      </c>
      <c r="L54" s="49">
        <f>'Avg Week KAPEEKA-NGOMA'!L54+'Avg Week NGOMA-KAPEEKA'!L54</f>
        <v>0</v>
      </c>
      <c r="M54" s="49">
        <f>'Avg Week KAPEEKA-NGOMA'!M54+'Avg Week NGOMA-KAPEEKA'!M54</f>
        <v>12.571428571428571</v>
      </c>
      <c r="N54" s="49">
        <f>'Avg Week KAPEEKA-NGOMA'!N54+'Avg Week NGOMA-KAPEEKA'!N54</f>
        <v>0</v>
      </c>
      <c r="O54" s="15">
        <f t="shared" si="0"/>
        <v>5.7142857142857144</v>
      </c>
      <c r="P54" s="15">
        <f t="shared" si="1"/>
        <v>18.285714285714285</v>
      </c>
      <c r="R54" s="8"/>
      <c r="T54"/>
    </row>
    <row r="55" spans="2:20" ht="23.1" customHeight="1" x14ac:dyDescent="0.25">
      <c r="B55" s="23" t="s">
        <v>82</v>
      </c>
      <c r="C55" s="49">
        <f>'Avg Week KAPEEKA-NGOMA'!C55+'Avg Week NGOMA-KAPEEKA'!C55</f>
        <v>2.2857142857142856</v>
      </c>
      <c r="D55" s="49">
        <f>'Avg Week KAPEEKA-NGOMA'!D55+'Avg Week NGOMA-KAPEEKA'!D55</f>
        <v>0.14285714285714285</v>
      </c>
      <c r="E55" s="49">
        <f>'Avg Week KAPEEKA-NGOMA'!E55+'Avg Week NGOMA-KAPEEKA'!E55</f>
        <v>1</v>
      </c>
      <c r="F55" s="49">
        <f>'Avg Week KAPEEKA-NGOMA'!F55+'Avg Week NGOMA-KAPEEKA'!F55</f>
        <v>1.1428571428571428</v>
      </c>
      <c r="G55" s="49">
        <f>'Avg Week KAPEEKA-NGOMA'!G55+'Avg Week NGOMA-KAPEEKA'!G55</f>
        <v>0</v>
      </c>
      <c r="H55" s="49">
        <f>'Avg Week KAPEEKA-NGOMA'!H55+'Avg Week NGOMA-KAPEEKA'!H55</f>
        <v>0</v>
      </c>
      <c r="I55" s="49">
        <f>'Avg Week KAPEEKA-NGOMA'!I55+'Avg Week NGOMA-KAPEEKA'!I55</f>
        <v>1.7142857142857142</v>
      </c>
      <c r="J55" s="49">
        <f>'Avg Week KAPEEKA-NGOMA'!J55+'Avg Week NGOMA-KAPEEKA'!J55</f>
        <v>0.2857142857142857</v>
      </c>
      <c r="K55" s="49">
        <f>'Avg Week KAPEEKA-NGOMA'!K55+'Avg Week NGOMA-KAPEEKA'!K55</f>
        <v>0</v>
      </c>
      <c r="L55" s="49">
        <f>'Avg Week KAPEEKA-NGOMA'!L55+'Avg Week NGOMA-KAPEEKA'!L55</f>
        <v>0</v>
      </c>
      <c r="M55" s="49">
        <f>'Avg Week KAPEEKA-NGOMA'!M55+'Avg Week NGOMA-KAPEEKA'!M55</f>
        <v>9.5714285714285712</v>
      </c>
      <c r="N55" s="49">
        <f>'Avg Week KAPEEKA-NGOMA'!N55+'Avg Week NGOMA-KAPEEKA'!N55</f>
        <v>0</v>
      </c>
      <c r="O55" s="15">
        <f t="shared" si="0"/>
        <v>6.5714285714285712</v>
      </c>
      <c r="P55" s="15">
        <f t="shared" si="1"/>
        <v>16.142857142857142</v>
      </c>
      <c r="R55" s="8"/>
      <c r="T55"/>
    </row>
    <row r="56" spans="2:20" ht="23.1" customHeight="1" x14ac:dyDescent="0.25">
      <c r="B56" s="23" t="s">
        <v>83</v>
      </c>
      <c r="C56" s="49">
        <f>'Avg Week KAPEEKA-NGOMA'!C56+'Avg Week NGOMA-KAPEEKA'!C56</f>
        <v>1</v>
      </c>
      <c r="D56" s="49">
        <f>'Avg Week KAPEEKA-NGOMA'!D56+'Avg Week NGOMA-KAPEEKA'!D56</f>
        <v>0.14285714285714285</v>
      </c>
      <c r="E56" s="49">
        <f>'Avg Week KAPEEKA-NGOMA'!E56+'Avg Week NGOMA-KAPEEKA'!E56</f>
        <v>0.42857142857142855</v>
      </c>
      <c r="F56" s="49">
        <f>'Avg Week KAPEEKA-NGOMA'!F56+'Avg Week NGOMA-KAPEEKA'!F56</f>
        <v>1.4285714285714284</v>
      </c>
      <c r="G56" s="49">
        <f>'Avg Week KAPEEKA-NGOMA'!G56+'Avg Week NGOMA-KAPEEKA'!G56</f>
        <v>0.42857142857142855</v>
      </c>
      <c r="H56" s="49">
        <f>'Avg Week KAPEEKA-NGOMA'!H56+'Avg Week NGOMA-KAPEEKA'!H56</f>
        <v>0</v>
      </c>
      <c r="I56" s="49">
        <f>'Avg Week KAPEEKA-NGOMA'!I56+'Avg Week NGOMA-KAPEEKA'!I56</f>
        <v>1</v>
      </c>
      <c r="J56" s="49">
        <f>'Avg Week KAPEEKA-NGOMA'!J56+'Avg Week NGOMA-KAPEEKA'!J56</f>
        <v>0.5714285714285714</v>
      </c>
      <c r="K56" s="49">
        <f>'Avg Week KAPEEKA-NGOMA'!K56+'Avg Week NGOMA-KAPEEKA'!K56</f>
        <v>0.14285714285714285</v>
      </c>
      <c r="L56" s="49">
        <f>'Avg Week KAPEEKA-NGOMA'!L56+'Avg Week NGOMA-KAPEEKA'!L56</f>
        <v>0</v>
      </c>
      <c r="M56" s="49">
        <f>'Avg Week KAPEEKA-NGOMA'!M56+'Avg Week NGOMA-KAPEEKA'!M56</f>
        <v>9.1428571428571423</v>
      </c>
      <c r="N56" s="49">
        <f>'Avg Week KAPEEKA-NGOMA'!N56+'Avg Week NGOMA-KAPEEKA'!N56</f>
        <v>0</v>
      </c>
      <c r="O56" s="15">
        <f t="shared" si="0"/>
        <v>5.1428571428571432</v>
      </c>
      <c r="P56" s="15">
        <f t="shared" si="1"/>
        <v>14.285714285714285</v>
      </c>
      <c r="R56" s="8"/>
      <c r="T56"/>
    </row>
    <row r="57" spans="2:20" ht="23.1" customHeight="1" x14ac:dyDescent="0.25">
      <c r="B57" s="23" t="s">
        <v>84</v>
      </c>
      <c r="C57" s="49">
        <f>'Avg Week KAPEEKA-NGOMA'!C57+'Avg Week NGOMA-KAPEEKA'!C57</f>
        <v>1.4285714285714284</v>
      </c>
      <c r="D57" s="49">
        <f>'Avg Week KAPEEKA-NGOMA'!D57+'Avg Week NGOMA-KAPEEKA'!D57</f>
        <v>1.5714285714285714</v>
      </c>
      <c r="E57" s="49">
        <f>'Avg Week KAPEEKA-NGOMA'!E57+'Avg Week NGOMA-KAPEEKA'!E57</f>
        <v>0.5714285714285714</v>
      </c>
      <c r="F57" s="49">
        <f>'Avg Week KAPEEKA-NGOMA'!F57+'Avg Week NGOMA-KAPEEKA'!F57</f>
        <v>1.1428571428571428</v>
      </c>
      <c r="G57" s="49">
        <f>'Avg Week KAPEEKA-NGOMA'!G57+'Avg Week NGOMA-KAPEEKA'!G57</f>
        <v>0</v>
      </c>
      <c r="H57" s="49">
        <f>'Avg Week KAPEEKA-NGOMA'!H57+'Avg Week NGOMA-KAPEEKA'!H57</f>
        <v>0.2857142857142857</v>
      </c>
      <c r="I57" s="49">
        <f>'Avg Week KAPEEKA-NGOMA'!I57+'Avg Week NGOMA-KAPEEKA'!I57</f>
        <v>1.1428571428571428</v>
      </c>
      <c r="J57" s="49">
        <f>'Avg Week KAPEEKA-NGOMA'!J57+'Avg Week NGOMA-KAPEEKA'!J57</f>
        <v>0.2857142857142857</v>
      </c>
      <c r="K57" s="49">
        <f>'Avg Week KAPEEKA-NGOMA'!K57+'Avg Week NGOMA-KAPEEKA'!K57</f>
        <v>0</v>
      </c>
      <c r="L57" s="49">
        <f>'Avg Week KAPEEKA-NGOMA'!L57+'Avg Week NGOMA-KAPEEKA'!L57</f>
        <v>0</v>
      </c>
      <c r="M57" s="49">
        <f>'Avg Week KAPEEKA-NGOMA'!M57+'Avg Week NGOMA-KAPEEKA'!M57</f>
        <v>9.1666666666666679</v>
      </c>
      <c r="N57" s="49">
        <f>'Avg Week KAPEEKA-NGOMA'!N57+'Avg Week NGOMA-KAPEEKA'!N57</f>
        <v>0</v>
      </c>
      <c r="O57" s="15">
        <f t="shared" si="0"/>
        <v>6.4285714285714279</v>
      </c>
      <c r="P57" s="15">
        <f t="shared" si="1"/>
        <v>15.595238095238095</v>
      </c>
      <c r="R57" s="8"/>
      <c r="T57"/>
    </row>
    <row r="58" spans="2:20" ht="23.1" customHeight="1" x14ac:dyDescent="0.25">
      <c r="B58" s="23" t="s">
        <v>99</v>
      </c>
      <c r="C58" s="49">
        <f>'Avg Week KAPEEKA-NGOMA'!C58+'Avg Week NGOMA-KAPEEKA'!C58</f>
        <v>2</v>
      </c>
      <c r="D58" s="49">
        <f>'Avg Week KAPEEKA-NGOMA'!D58+'Avg Week NGOMA-KAPEEKA'!D58</f>
        <v>0.5</v>
      </c>
      <c r="E58" s="49">
        <f>'Avg Week KAPEEKA-NGOMA'!E58+'Avg Week NGOMA-KAPEEKA'!E58</f>
        <v>0.5</v>
      </c>
      <c r="F58" s="49">
        <f>'Avg Week KAPEEKA-NGOMA'!F58+'Avg Week NGOMA-KAPEEKA'!F58</f>
        <v>0.5</v>
      </c>
      <c r="G58" s="49">
        <f>'Avg Week KAPEEKA-NGOMA'!G58+'Avg Week NGOMA-KAPEEKA'!G58</f>
        <v>0</v>
      </c>
      <c r="H58" s="49">
        <f>'Avg Week KAPEEKA-NGOMA'!H58+'Avg Week NGOMA-KAPEEKA'!H58</f>
        <v>0</v>
      </c>
      <c r="I58" s="49">
        <f>'Avg Week KAPEEKA-NGOMA'!I58+'Avg Week NGOMA-KAPEEKA'!I58</f>
        <v>4</v>
      </c>
      <c r="J58" s="49">
        <f>'Avg Week KAPEEKA-NGOMA'!J58+'Avg Week NGOMA-KAPEEKA'!J58</f>
        <v>0</v>
      </c>
      <c r="K58" s="49">
        <f>'Avg Week KAPEEKA-NGOMA'!K58+'Avg Week NGOMA-KAPEEKA'!K58</f>
        <v>0.5</v>
      </c>
      <c r="L58" s="49">
        <f>'Avg Week KAPEEKA-NGOMA'!L58+'Avg Week NGOMA-KAPEEKA'!L58</f>
        <v>0</v>
      </c>
      <c r="M58" s="49">
        <f>'Avg Week KAPEEKA-NGOMA'!M58+'Avg Week NGOMA-KAPEEKA'!M58</f>
        <v>11</v>
      </c>
      <c r="N58" s="49">
        <f>'Avg Week KAPEEKA-NGOMA'!N58+'Avg Week NGOMA-KAPEEKA'!N58</f>
        <v>0</v>
      </c>
      <c r="O58" s="15">
        <f t="shared" si="0"/>
        <v>8</v>
      </c>
      <c r="P58" s="15">
        <f t="shared" si="1"/>
        <v>19</v>
      </c>
      <c r="R58" s="8"/>
      <c r="T58"/>
    </row>
    <row r="59" spans="2:20" ht="23.1" customHeight="1" x14ac:dyDescent="0.25">
      <c r="B59" s="23" t="s">
        <v>100</v>
      </c>
      <c r="C59" s="49">
        <f>'Avg Week KAPEEKA-NGOMA'!C59+'Avg Week NGOMA-KAPEEKA'!C59</f>
        <v>0.5</v>
      </c>
      <c r="D59" s="49">
        <f>'Avg Week KAPEEKA-NGOMA'!D59+'Avg Week NGOMA-KAPEEKA'!D59</f>
        <v>0</v>
      </c>
      <c r="E59" s="49">
        <f>'Avg Week KAPEEKA-NGOMA'!E59+'Avg Week NGOMA-KAPEEKA'!E59</f>
        <v>1.5</v>
      </c>
      <c r="F59" s="49">
        <f>'Avg Week KAPEEKA-NGOMA'!F59+'Avg Week NGOMA-KAPEEKA'!F59</f>
        <v>0.5</v>
      </c>
      <c r="G59" s="49">
        <f>'Avg Week KAPEEKA-NGOMA'!G59+'Avg Week NGOMA-KAPEEKA'!G59</f>
        <v>0</v>
      </c>
      <c r="H59" s="49">
        <f>'Avg Week KAPEEKA-NGOMA'!H59+'Avg Week NGOMA-KAPEEKA'!H59</f>
        <v>0</v>
      </c>
      <c r="I59" s="49">
        <f>'Avg Week KAPEEKA-NGOMA'!I59+'Avg Week NGOMA-KAPEEKA'!I59</f>
        <v>2</v>
      </c>
      <c r="J59" s="49">
        <f>'Avg Week KAPEEKA-NGOMA'!J59+'Avg Week NGOMA-KAPEEKA'!J59</f>
        <v>1</v>
      </c>
      <c r="K59" s="49">
        <f>'Avg Week KAPEEKA-NGOMA'!K59+'Avg Week NGOMA-KAPEEKA'!K59</f>
        <v>0</v>
      </c>
      <c r="L59" s="49">
        <f>'Avg Week KAPEEKA-NGOMA'!L59+'Avg Week NGOMA-KAPEEKA'!L59</f>
        <v>0</v>
      </c>
      <c r="M59" s="49">
        <f>'Avg Week KAPEEKA-NGOMA'!M59+'Avg Week NGOMA-KAPEEKA'!M59</f>
        <v>10.5</v>
      </c>
      <c r="N59" s="49">
        <f>'Avg Week KAPEEKA-NGOMA'!N59+'Avg Week NGOMA-KAPEEKA'!N59</f>
        <v>0</v>
      </c>
      <c r="O59" s="15">
        <f t="shared" si="0"/>
        <v>5.5</v>
      </c>
      <c r="P59" s="15">
        <f t="shared" si="1"/>
        <v>16</v>
      </c>
      <c r="R59" s="8"/>
      <c r="T59"/>
    </row>
    <row r="60" spans="2:20" ht="23.1" customHeight="1" x14ac:dyDescent="0.25">
      <c r="B60" s="23" t="s">
        <v>101</v>
      </c>
      <c r="C60" s="49">
        <f>'Avg Week KAPEEKA-NGOMA'!C60+'Avg Week NGOMA-KAPEEKA'!C60</f>
        <v>1</v>
      </c>
      <c r="D60" s="49">
        <f>'Avg Week KAPEEKA-NGOMA'!D60+'Avg Week NGOMA-KAPEEKA'!D60</f>
        <v>0</v>
      </c>
      <c r="E60" s="49">
        <f>'Avg Week KAPEEKA-NGOMA'!E60+'Avg Week NGOMA-KAPEEKA'!E60</f>
        <v>0.5</v>
      </c>
      <c r="F60" s="49">
        <f>'Avg Week KAPEEKA-NGOMA'!F60+'Avg Week NGOMA-KAPEEKA'!F60</f>
        <v>0.5</v>
      </c>
      <c r="G60" s="49">
        <f>'Avg Week KAPEEKA-NGOMA'!G60+'Avg Week NGOMA-KAPEEKA'!G60</f>
        <v>0</v>
      </c>
      <c r="H60" s="49">
        <f>'Avg Week KAPEEKA-NGOMA'!H60+'Avg Week NGOMA-KAPEEKA'!H60</f>
        <v>0</v>
      </c>
      <c r="I60" s="49">
        <f>'Avg Week KAPEEKA-NGOMA'!I60+'Avg Week NGOMA-KAPEEKA'!I60</f>
        <v>2</v>
      </c>
      <c r="J60" s="49">
        <f>'Avg Week KAPEEKA-NGOMA'!J60+'Avg Week NGOMA-KAPEEKA'!J60</f>
        <v>2</v>
      </c>
      <c r="K60" s="49">
        <f>'Avg Week KAPEEKA-NGOMA'!K60+'Avg Week NGOMA-KAPEEKA'!K60</f>
        <v>0</v>
      </c>
      <c r="L60" s="49">
        <f>'Avg Week KAPEEKA-NGOMA'!L60+'Avg Week NGOMA-KAPEEKA'!L60</f>
        <v>0.5</v>
      </c>
      <c r="M60" s="49">
        <f>'Avg Week KAPEEKA-NGOMA'!M60+'Avg Week NGOMA-KAPEEKA'!M60</f>
        <v>9</v>
      </c>
      <c r="N60" s="49">
        <f>'Avg Week KAPEEKA-NGOMA'!N60+'Avg Week NGOMA-KAPEEKA'!N60</f>
        <v>0</v>
      </c>
      <c r="O60" s="15">
        <f t="shared" si="0"/>
        <v>6.5</v>
      </c>
      <c r="P60" s="15">
        <f t="shared" si="1"/>
        <v>15.5</v>
      </c>
      <c r="R60" s="8"/>
      <c r="T60"/>
    </row>
    <row r="61" spans="2:20" ht="23.1" customHeight="1" x14ac:dyDescent="0.25">
      <c r="B61" s="23" t="s">
        <v>102</v>
      </c>
      <c r="C61" s="49">
        <f>'Avg Week KAPEEKA-NGOMA'!C61+'Avg Week NGOMA-KAPEEKA'!C61</f>
        <v>2</v>
      </c>
      <c r="D61" s="49">
        <f>'Avg Week KAPEEKA-NGOMA'!D61+'Avg Week NGOMA-KAPEEKA'!D61</f>
        <v>0</v>
      </c>
      <c r="E61" s="49">
        <f>'Avg Week KAPEEKA-NGOMA'!E61+'Avg Week NGOMA-KAPEEKA'!E61</f>
        <v>1</v>
      </c>
      <c r="F61" s="49">
        <f>'Avg Week KAPEEKA-NGOMA'!F61+'Avg Week NGOMA-KAPEEKA'!F61</f>
        <v>1</v>
      </c>
      <c r="G61" s="49">
        <f>'Avg Week KAPEEKA-NGOMA'!G61+'Avg Week NGOMA-KAPEEKA'!G61</f>
        <v>0</v>
      </c>
      <c r="H61" s="49">
        <f>'Avg Week KAPEEKA-NGOMA'!H61+'Avg Week NGOMA-KAPEEKA'!H61</f>
        <v>0</v>
      </c>
      <c r="I61" s="49">
        <f>'Avg Week KAPEEKA-NGOMA'!I61+'Avg Week NGOMA-KAPEEKA'!I61</f>
        <v>0</v>
      </c>
      <c r="J61" s="49">
        <f>'Avg Week KAPEEKA-NGOMA'!J61+'Avg Week NGOMA-KAPEEKA'!J61</f>
        <v>1</v>
      </c>
      <c r="K61" s="49">
        <f>'Avg Week KAPEEKA-NGOMA'!K61+'Avg Week NGOMA-KAPEEKA'!K61</f>
        <v>0</v>
      </c>
      <c r="L61" s="49">
        <f>'Avg Week KAPEEKA-NGOMA'!L61+'Avg Week NGOMA-KAPEEKA'!L61</f>
        <v>0</v>
      </c>
      <c r="M61" s="49">
        <f>'Avg Week KAPEEKA-NGOMA'!M61+'Avg Week NGOMA-KAPEEKA'!M61</f>
        <v>10.5</v>
      </c>
      <c r="N61" s="49">
        <f>'Avg Week KAPEEKA-NGOMA'!N61+'Avg Week NGOMA-KAPEEKA'!N61</f>
        <v>0</v>
      </c>
      <c r="O61" s="15">
        <f t="shared" si="0"/>
        <v>5</v>
      </c>
      <c r="P61" s="15">
        <f t="shared" si="1"/>
        <v>15.5</v>
      </c>
      <c r="R61" s="8"/>
      <c r="T61"/>
    </row>
    <row r="62" spans="2:20" ht="23.1" customHeight="1" x14ac:dyDescent="0.25">
      <c r="B62" s="23" t="s">
        <v>107</v>
      </c>
      <c r="C62" s="49">
        <f>'Avg Week KAPEEKA-NGOMA'!C62+'Avg Week NGOMA-KAPEEKA'!C62</f>
        <v>1</v>
      </c>
      <c r="D62" s="49">
        <f>'Avg Week KAPEEKA-NGOMA'!D62+'Avg Week NGOMA-KAPEEKA'!D62</f>
        <v>0.5</v>
      </c>
      <c r="E62" s="49">
        <f>'Avg Week KAPEEKA-NGOMA'!E62+'Avg Week NGOMA-KAPEEKA'!E62</f>
        <v>0.5</v>
      </c>
      <c r="F62" s="49">
        <f>'Avg Week KAPEEKA-NGOMA'!F62+'Avg Week NGOMA-KAPEEKA'!F62</f>
        <v>0</v>
      </c>
      <c r="G62" s="49">
        <f>'Avg Week KAPEEKA-NGOMA'!G62+'Avg Week NGOMA-KAPEEKA'!G62</f>
        <v>0</v>
      </c>
      <c r="H62" s="49">
        <f>'Avg Week KAPEEKA-NGOMA'!H62+'Avg Week NGOMA-KAPEEKA'!H62</f>
        <v>0</v>
      </c>
      <c r="I62" s="49">
        <f>'Avg Week KAPEEKA-NGOMA'!I62+'Avg Week NGOMA-KAPEEKA'!I62</f>
        <v>0</v>
      </c>
      <c r="J62" s="49">
        <f>'Avg Week KAPEEKA-NGOMA'!J62+'Avg Week NGOMA-KAPEEKA'!J62</f>
        <v>0.5</v>
      </c>
      <c r="K62" s="49">
        <f>'Avg Week KAPEEKA-NGOMA'!K62+'Avg Week NGOMA-KAPEEKA'!K62</f>
        <v>0</v>
      </c>
      <c r="L62" s="49">
        <f>'Avg Week KAPEEKA-NGOMA'!L62+'Avg Week NGOMA-KAPEEKA'!L62</f>
        <v>0</v>
      </c>
      <c r="M62" s="49">
        <f>'Avg Week KAPEEKA-NGOMA'!M62+'Avg Week NGOMA-KAPEEKA'!M62</f>
        <v>8.5</v>
      </c>
      <c r="N62" s="49">
        <f>'Avg Week KAPEEKA-NGOMA'!N62+'Avg Week NGOMA-KAPEEKA'!N62</f>
        <v>0</v>
      </c>
      <c r="O62" s="15">
        <f t="shared" si="0"/>
        <v>2.5</v>
      </c>
      <c r="P62" s="15">
        <f t="shared" si="1"/>
        <v>11</v>
      </c>
      <c r="R62" s="8"/>
      <c r="T62"/>
    </row>
    <row r="63" spans="2:20" ht="23.1" customHeight="1" x14ac:dyDescent="0.25">
      <c r="B63" s="23" t="s">
        <v>108</v>
      </c>
      <c r="C63" s="49">
        <f>'Avg Week KAPEEKA-NGOMA'!C63+'Avg Week NGOMA-KAPEEKA'!C63</f>
        <v>0.5</v>
      </c>
      <c r="D63" s="49">
        <f>'Avg Week KAPEEKA-NGOMA'!D63+'Avg Week NGOMA-KAPEEKA'!D63</f>
        <v>0.5</v>
      </c>
      <c r="E63" s="49">
        <f>'Avg Week KAPEEKA-NGOMA'!E63+'Avg Week NGOMA-KAPEEKA'!E63</f>
        <v>1</v>
      </c>
      <c r="F63" s="49">
        <f>'Avg Week KAPEEKA-NGOMA'!F63+'Avg Week NGOMA-KAPEEKA'!F63</f>
        <v>1</v>
      </c>
      <c r="G63" s="49">
        <f>'Avg Week KAPEEKA-NGOMA'!G63+'Avg Week NGOMA-KAPEEKA'!G63</f>
        <v>0</v>
      </c>
      <c r="H63" s="49">
        <f>'Avg Week KAPEEKA-NGOMA'!H63+'Avg Week NGOMA-KAPEEKA'!H63</f>
        <v>0</v>
      </c>
      <c r="I63" s="49">
        <f>'Avg Week KAPEEKA-NGOMA'!I63+'Avg Week NGOMA-KAPEEKA'!I63</f>
        <v>0.5</v>
      </c>
      <c r="J63" s="49">
        <f>'Avg Week KAPEEKA-NGOMA'!J63+'Avg Week NGOMA-KAPEEKA'!J63</f>
        <v>0</v>
      </c>
      <c r="K63" s="49">
        <f>'Avg Week KAPEEKA-NGOMA'!K63+'Avg Week NGOMA-KAPEEKA'!K63</f>
        <v>0</v>
      </c>
      <c r="L63" s="49">
        <f>'Avg Week KAPEEKA-NGOMA'!L63+'Avg Week NGOMA-KAPEEKA'!L63</f>
        <v>0</v>
      </c>
      <c r="M63" s="49">
        <f>'Avg Week KAPEEKA-NGOMA'!M63+'Avg Week NGOMA-KAPEEKA'!M63</f>
        <v>5.5</v>
      </c>
      <c r="N63" s="49">
        <f>'Avg Week KAPEEKA-NGOMA'!N63+'Avg Week NGOMA-KAPEEKA'!N63</f>
        <v>0</v>
      </c>
      <c r="O63" s="15">
        <f t="shared" si="0"/>
        <v>3.5</v>
      </c>
      <c r="P63" s="15">
        <f t="shared" si="1"/>
        <v>9</v>
      </c>
      <c r="R63" s="8"/>
      <c r="T63"/>
    </row>
    <row r="64" spans="2:20" ht="23.1" customHeight="1" x14ac:dyDescent="0.25">
      <c r="B64" s="23" t="s">
        <v>109</v>
      </c>
      <c r="C64" s="49">
        <f>'Avg Week KAPEEKA-NGOMA'!C64+'Avg Week NGOMA-KAPEEKA'!C64</f>
        <v>1.5</v>
      </c>
      <c r="D64" s="49">
        <f>'Avg Week KAPEEKA-NGOMA'!D64+'Avg Week NGOMA-KAPEEKA'!D64</f>
        <v>0</v>
      </c>
      <c r="E64" s="49">
        <f>'Avg Week KAPEEKA-NGOMA'!E64+'Avg Week NGOMA-KAPEEKA'!E64</f>
        <v>0</v>
      </c>
      <c r="F64" s="49">
        <f>'Avg Week KAPEEKA-NGOMA'!F64+'Avg Week NGOMA-KAPEEKA'!F64</f>
        <v>2</v>
      </c>
      <c r="G64" s="49">
        <f>'Avg Week KAPEEKA-NGOMA'!G64+'Avg Week NGOMA-KAPEEKA'!G64</f>
        <v>0</v>
      </c>
      <c r="H64" s="49">
        <f>'Avg Week KAPEEKA-NGOMA'!H64+'Avg Week NGOMA-KAPEEKA'!H64</f>
        <v>0</v>
      </c>
      <c r="I64" s="49">
        <f>'Avg Week KAPEEKA-NGOMA'!I64+'Avg Week NGOMA-KAPEEKA'!I64</f>
        <v>0.5</v>
      </c>
      <c r="J64" s="49">
        <f>'Avg Week KAPEEKA-NGOMA'!J64+'Avg Week NGOMA-KAPEEKA'!J64</f>
        <v>1</v>
      </c>
      <c r="K64" s="49">
        <f>'Avg Week KAPEEKA-NGOMA'!K64+'Avg Week NGOMA-KAPEEKA'!K64</f>
        <v>0</v>
      </c>
      <c r="L64" s="49">
        <f>'Avg Week KAPEEKA-NGOMA'!L64+'Avg Week NGOMA-KAPEEKA'!L64</f>
        <v>0</v>
      </c>
      <c r="M64" s="49">
        <f>'Avg Week KAPEEKA-NGOMA'!M64+'Avg Week NGOMA-KAPEEKA'!M64</f>
        <v>2.5</v>
      </c>
      <c r="N64" s="49">
        <f>'Avg Week KAPEEKA-NGOMA'!N64+'Avg Week NGOMA-KAPEEKA'!N64</f>
        <v>0</v>
      </c>
      <c r="O64" s="15">
        <f t="shared" si="0"/>
        <v>5</v>
      </c>
      <c r="P64" s="15">
        <f t="shared" si="1"/>
        <v>7.5</v>
      </c>
      <c r="R64" s="8"/>
      <c r="T64"/>
    </row>
    <row r="65" spans="2:20" ht="23.1" customHeight="1" x14ac:dyDescent="0.25">
      <c r="B65" s="23" t="s">
        <v>158</v>
      </c>
      <c r="C65" s="49">
        <f>'Avg Week KAPEEKA-NGOMA'!C65+'Avg Week NGOMA-KAPEEKA'!C65</f>
        <v>1.5</v>
      </c>
      <c r="D65" s="49">
        <f>'Avg Week KAPEEKA-NGOMA'!D65+'Avg Week NGOMA-KAPEEKA'!D65</f>
        <v>0.5</v>
      </c>
      <c r="E65" s="49">
        <f>'Avg Week KAPEEKA-NGOMA'!E65+'Avg Week NGOMA-KAPEEKA'!E65</f>
        <v>0.5</v>
      </c>
      <c r="F65" s="49">
        <f>'Avg Week KAPEEKA-NGOMA'!F65+'Avg Week NGOMA-KAPEEKA'!F65</f>
        <v>0.5</v>
      </c>
      <c r="G65" s="49">
        <f>'Avg Week KAPEEKA-NGOMA'!G65+'Avg Week NGOMA-KAPEEKA'!G65</f>
        <v>0</v>
      </c>
      <c r="H65" s="49">
        <f>'Avg Week KAPEEKA-NGOMA'!H65+'Avg Week NGOMA-KAPEEKA'!H65</f>
        <v>0</v>
      </c>
      <c r="I65" s="49">
        <f>'Avg Week KAPEEKA-NGOMA'!I65+'Avg Week NGOMA-KAPEEKA'!I65</f>
        <v>3.5</v>
      </c>
      <c r="J65" s="49">
        <f>'Avg Week KAPEEKA-NGOMA'!J65+'Avg Week NGOMA-KAPEEKA'!J65</f>
        <v>1.5</v>
      </c>
      <c r="K65" s="49">
        <f>'Avg Week KAPEEKA-NGOMA'!K65+'Avg Week NGOMA-KAPEEKA'!K65</f>
        <v>0</v>
      </c>
      <c r="L65" s="49">
        <f>'Avg Week KAPEEKA-NGOMA'!L65+'Avg Week NGOMA-KAPEEKA'!L65</f>
        <v>0</v>
      </c>
      <c r="M65" s="49">
        <f>'Avg Week KAPEEKA-NGOMA'!M65+'Avg Week NGOMA-KAPEEKA'!M65</f>
        <v>4.5</v>
      </c>
      <c r="N65" s="49">
        <f>'Avg Week KAPEEKA-NGOMA'!N65+'Avg Week NGOMA-KAPEEKA'!N65</f>
        <v>0</v>
      </c>
      <c r="O65" s="15">
        <f t="shared" si="0"/>
        <v>8</v>
      </c>
      <c r="P65" s="15">
        <f t="shared" si="1"/>
        <v>12.5</v>
      </c>
      <c r="R65" s="8"/>
      <c r="T65"/>
    </row>
    <row r="66" spans="2:20" ht="23.1" customHeight="1" x14ac:dyDescent="0.25">
      <c r="B66" s="23" t="s">
        <v>103</v>
      </c>
      <c r="C66" s="49">
        <f>'Avg Week KAPEEKA-NGOMA'!C66+'Avg Week NGOMA-KAPEEKA'!C66</f>
        <v>0.5</v>
      </c>
      <c r="D66" s="49">
        <f>'Avg Week KAPEEKA-NGOMA'!D66+'Avg Week NGOMA-KAPEEKA'!D66</f>
        <v>0.5</v>
      </c>
      <c r="E66" s="49">
        <f>'Avg Week KAPEEKA-NGOMA'!E66+'Avg Week NGOMA-KAPEEKA'!E66</f>
        <v>0</v>
      </c>
      <c r="F66" s="49">
        <f>'Avg Week KAPEEKA-NGOMA'!F66+'Avg Week NGOMA-KAPEEKA'!F66</f>
        <v>0.5</v>
      </c>
      <c r="G66" s="49">
        <f>'Avg Week KAPEEKA-NGOMA'!G66+'Avg Week NGOMA-KAPEEKA'!G66</f>
        <v>0</v>
      </c>
      <c r="H66" s="49">
        <f>'Avg Week KAPEEKA-NGOMA'!H66+'Avg Week NGOMA-KAPEEKA'!H66</f>
        <v>0</v>
      </c>
      <c r="I66" s="49">
        <f>'Avg Week KAPEEKA-NGOMA'!I66+'Avg Week NGOMA-KAPEEKA'!I66</f>
        <v>1.5</v>
      </c>
      <c r="J66" s="49">
        <f>'Avg Week KAPEEKA-NGOMA'!J66+'Avg Week NGOMA-KAPEEKA'!J66</f>
        <v>0.5</v>
      </c>
      <c r="K66" s="49">
        <f>'Avg Week KAPEEKA-NGOMA'!K66+'Avg Week NGOMA-KAPEEKA'!K66</f>
        <v>0</v>
      </c>
      <c r="L66" s="49">
        <f>'Avg Week KAPEEKA-NGOMA'!L66+'Avg Week NGOMA-KAPEEKA'!L66</f>
        <v>0</v>
      </c>
      <c r="M66" s="49">
        <f>'Avg Week KAPEEKA-NGOMA'!M66+'Avg Week NGOMA-KAPEEKA'!M66</f>
        <v>8</v>
      </c>
      <c r="N66" s="49">
        <f>'Avg Week KAPEEKA-NGOMA'!N66+'Avg Week NGOMA-KAPEEKA'!N66</f>
        <v>0</v>
      </c>
      <c r="O66" s="15">
        <f t="shared" si="0"/>
        <v>3.5</v>
      </c>
      <c r="P66" s="15">
        <f t="shared" si="1"/>
        <v>11.5</v>
      </c>
      <c r="R66" s="8"/>
      <c r="T66"/>
    </row>
    <row r="67" spans="2:20" ht="23.1" customHeight="1" x14ac:dyDescent="0.25">
      <c r="B67" s="23" t="s">
        <v>104</v>
      </c>
      <c r="C67" s="49">
        <f>'Avg Week KAPEEKA-NGOMA'!C67+'Avg Week NGOMA-KAPEEKA'!C67</f>
        <v>10</v>
      </c>
      <c r="D67" s="49">
        <f>'Avg Week KAPEEKA-NGOMA'!D67+'Avg Week NGOMA-KAPEEKA'!D67</f>
        <v>0</v>
      </c>
      <c r="E67" s="49">
        <f>'Avg Week KAPEEKA-NGOMA'!E67+'Avg Week NGOMA-KAPEEKA'!E67</f>
        <v>0</v>
      </c>
      <c r="F67" s="49">
        <f>'Avg Week KAPEEKA-NGOMA'!F67+'Avg Week NGOMA-KAPEEKA'!F67</f>
        <v>1</v>
      </c>
      <c r="G67" s="49">
        <f>'Avg Week KAPEEKA-NGOMA'!G67+'Avg Week NGOMA-KAPEEKA'!G67</f>
        <v>0</v>
      </c>
      <c r="H67" s="49">
        <f>'Avg Week KAPEEKA-NGOMA'!H67+'Avg Week NGOMA-KAPEEKA'!H67</f>
        <v>0</v>
      </c>
      <c r="I67" s="49">
        <f>'Avg Week KAPEEKA-NGOMA'!I67+'Avg Week NGOMA-KAPEEKA'!I67</f>
        <v>0.5</v>
      </c>
      <c r="J67" s="49">
        <f>'Avg Week KAPEEKA-NGOMA'!J67+'Avg Week NGOMA-KAPEEKA'!J67</f>
        <v>1</v>
      </c>
      <c r="K67" s="49">
        <f>'Avg Week KAPEEKA-NGOMA'!K67+'Avg Week NGOMA-KAPEEKA'!K67</f>
        <v>0</v>
      </c>
      <c r="L67" s="49">
        <f>'Avg Week KAPEEKA-NGOMA'!L67+'Avg Week NGOMA-KAPEEKA'!L67</f>
        <v>0</v>
      </c>
      <c r="M67" s="49">
        <f>'Avg Week KAPEEKA-NGOMA'!M67+'Avg Week NGOMA-KAPEEKA'!M67</f>
        <v>3.5</v>
      </c>
      <c r="N67" s="49">
        <f>'Avg Week KAPEEKA-NGOMA'!N67+'Avg Week NGOMA-KAPEEKA'!N67</f>
        <v>0</v>
      </c>
      <c r="O67" s="15">
        <f t="shared" si="0"/>
        <v>12.5</v>
      </c>
      <c r="P67" s="15">
        <f t="shared" si="1"/>
        <v>16</v>
      </c>
      <c r="R67" s="8"/>
      <c r="T67"/>
    </row>
    <row r="68" spans="2:20" ht="23.1" customHeight="1" x14ac:dyDescent="0.25">
      <c r="B68" s="23" t="s">
        <v>105</v>
      </c>
      <c r="C68" s="49">
        <f>'Avg Week KAPEEKA-NGOMA'!C68+'Avg Week NGOMA-KAPEEKA'!C68</f>
        <v>0.5</v>
      </c>
      <c r="D68" s="49">
        <f>'Avg Week KAPEEKA-NGOMA'!D68+'Avg Week NGOMA-KAPEEKA'!D68</f>
        <v>0</v>
      </c>
      <c r="E68" s="49">
        <f>'Avg Week KAPEEKA-NGOMA'!E68+'Avg Week NGOMA-KAPEEKA'!E68</f>
        <v>1</v>
      </c>
      <c r="F68" s="49">
        <f>'Avg Week KAPEEKA-NGOMA'!F68+'Avg Week NGOMA-KAPEEKA'!F68</f>
        <v>1</v>
      </c>
      <c r="G68" s="49">
        <f>'Avg Week KAPEEKA-NGOMA'!G68+'Avg Week NGOMA-KAPEEKA'!G68</f>
        <v>0</v>
      </c>
      <c r="H68" s="49">
        <f>'Avg Week KAPEEKA-NGOMA'!H68+'Avg Week NGOMA-KAPEEKA'!H68</f>
        <v>0</v>
      </c>
      <c r="I68" s="49">
        <f>'Avg Week KAPEEKA-NGOMA'!I68+'Avg Week NGOMA-KAPEEKA'!I68</f>
        <v>2</v>
      </c>
      <c r="J68" s="49">
        <f>'Avg Week KAPEEKA-NGOMA'!J68+'Avg Week NGOMA-KAPEEKA'!J68</f>
        <v>0</v>
      </c>
      <c r="K68" s="49">
        <f>'Avg Week KAPEEKA-NGOMA'!K68+'Avg Week NGOMA-KAPEEKA'!K68</f>
        <v>0</v>
      </c>
      <c r="L68" s="49">
        <f>'Avg Week KAPEEKA-NGOMA'!L68+'Avg Week NGOMA-KAPEEKA'!L68</f>
        <v>0</v>
      </c>
      <c r="M68" s="49">
        <f>'Avg Week KAPEEKA-NGOMA'!M68+'Avg Week NGOMA-KAPEEKA'!M68</f>
        <v>4</v>
      </c>
      <c r="N68" s="49">
        <f>'Avg Week KAPEEKA-NGOMA'!N68+'Avg Week NGOMA-KAPEEKA'!N68</f>
        <v>0</v>
      </c>
      <c r="O68" s="15">
        <f t="shared" si="0"/>
        <v>4.5</v>
      </c>
      <c r="P68" s="15">
        <f t="shared" si="1"/>
        <v>8.5</v>
      </c>
      <c r="R68" s="8"/>
      <c r="T68"/>
    </row>
    <row r="69" spans="2:20" ht="23.1" customHeight="1" x14ac:dyDescent="0.25">
      <c r="B69" s="23" t="s">
        <v>106</v>
      </c>
      <c r="C69" s="49">
        <f>'Avg Week KAPEEKA-NGOMA'!C69+'Avg Week NGOMA-KAPEEKA'!C69</f>
        <v>1.5</v>
      </c>
      <c r="D69" s="49">
        <f>'Avg Week KAPEEKA-NGOMA'!D69+'Avg Week NGOMA-KAPEEKA'!D69</f>
        <v>0</v>
      </c>
      <c r="E69" s="49">
        <f>'Avg Week KAPEEKA-NGOMA'!E69+'Avg Week NGOMA-KAPEEKA'!E69</f>
        <v>0</v>
      </c>
      <c r="F69" s="49">
        <f>'Avg Week KAPEEKA-NGOMA'!F69+'Avg Week NGOMA-KAPEEKA'!F69</f>
        <v>0.5</v>
      </c>
      <c r="G69" s="49">
        <f>'Avg Week KAPEEKA-NGOMA'!G69+'Avg Week NGOMA-KAPEEKA'!G69</f>
        <v>0</v>
      </c>
      <c r="H69" s="49">
        <f>'Avg Week KAPEEKA-NGOMA'!H69+'Avg Week NGOMA-KAPEEKA'!H69</f>
        <v>0</v>
      </c>
      <c r="I69" s="49">
        <f>'Avg Week KAPEEKA-NGOMA'!I69+'Avg Week NGOMA-KAPEEKA'!I69</f>
        <v>1.5</v>
      </c>
      <c r="J69" s="49">
        <f>'Avg Week KAPEEKA-NGOMA'!J69+'Avg Week NGOMA-KAPEEKA'!J69</f>
        <v>0.5</v>
      </c>
      <c r="K69" s="49">
        <f>'Avg Week KAPEEKA-NGOMA'!K69+'Avg Week NGOMA-KAPEEKA'!K69</f>
        <v>0</v>
      </c>
      <c r="L69" s="49">
        <f>'Avg Week KAPEEKA-NGOMA'!L69+'Avg Week NGOMA-KAPEEKA'!L69</f>
        <v>0</v>
      </c>
      <c r="M69" s="49">
        <f>'Avg Week KAPEEKA-NGOMA'!M69+'Avg Week NGOMA-KAPEEKA'!M69</f>
        <v>6</v>
      </c>
      <c r="N69" s="49">
        <f>'Avg Week KAPEEKA-NGOMA'!N69+'Avg Week NGOMA-KAPEEKA'!N69</f>
        <v>0</v>
      </c>
      <c r="O69" s="15">
        <f t="shared" si="0"/>
        <v>4</v>
      </c>
      <c r="P69" s="15">
        <f t="shared" si="1"/>
        <v>10</v>
      </c>
      <c r="R69" s="8"/>
      <c r="T69"/>
    </row>
    <row r="70" spans="2:20" ht="23.1" customHeight="1" x14ac:dyDescent="0.25">
      <c r="B70" s="23" t="s">
        <v>110</v>
      </c>
      <c r="C70" s="49">
        <f>'Avg Week KAPEEKA-NGOMA'!C70+'Avg Week NGOMA-KAPEEKA'!C70</f>
        <v>0</v>
      </c>
      <c r="D70" s="49">
        <f>'Avg Week KAPEEKA-NGOMA'!D70+'Avg Week NGOMA-KAPEEKA'!D70</f>
        <v>0</v>
      </c>
      <c r="E70" s="49">
        <f>'Avg Week KAPEEKA-NGOMA'!E70+'Avg Week NGOMA-KAPEEKA'!E70</f>
        <v>0</v>
      </c>
      <c r="F70" s="49">
        <f>'Avg Week KAPEEKA-NGOMA'!F70+'Avg Week NGOMA-KAPEEKA'!F70</f>
        <v>0</v>
      </c>
      <c r="G70" s="49">
        <f>'Avg Week KAPEEKA-NGOMA'!G70+'Avg Week NGOMA-KAPEEKA'!G70</f>
        <v>0</v>
      </c>
      <c r="H70" s="49">
        <f>'Avg Week KAPEEKA-NGOMA'!H70+'Avg Week NGOMA-KAPEEKA'!H70</f>
        <v>0</v>
      </c>
      <c r="I70" s="49">
        <f>'Avg Week KAPEEKA-NGOMA'!I70+'Avg Week NGOMA-KAPEEKA'!I70</f>
        <v>1</v>
      </c>
      <c r="J70" s="49">
        <f>'Avg Week KAPEEKA-NGOMA'!J70+'Avg Week NGOMA-KAPEEKA'!J70</f>
        <v>0.5</v>
      </c>
      <c r="K70" s="49">
        <f>'Avg Week KAPEEKA-NGOMA'!K70+'Avg Week NGOMA-KAPEEKA'!K70</f>
        <v>0</v>
      </c>
      <c r="L70" s="49">
        <f>'Avg Week KAPEEKA-NGOMA'!L70+'Avg Week NGOMA-KAPEEKA'!L70</f>
        <v>0</v>
      </c>
      <c r="M70" s="49">
        <f>'Avg Week KAPEEKA-NGOMA'!M70+'Avg Week NGOMA-KAPEEKA'!M70</f>
        <v>2</v>
      </c>
      <c r="N70" s="49">
        <f>'Avg Week KAPEEKA-NGOMA'!N70+'Avg Week NGOMA-KAPEEKA'!N70</f>
        <v>0</v>
      </c>
      <c r="O70" s="15">
        <f t="shared" si="0"/>
        <v>1.5</v>
      </c>
      <c r="P70" s="15">
        <f t="shared" si="1"/>
        <v>3.5</v>
      </c>
      <c r="R70" s="8"/>
      <c r="T70"/>
    </row>
    <row r="71" spans="2:20" ht="23.1" customHeight="1" x14ac:dyDescent="0.25">
      <c r="B71" s="23" t="s">
        <v>111</v>
      </c>
      <c r="C71" s="49">
        <f>'Avg Week KAPEEKA-NGOMA'!C71+'Avg Week NGOMA-KAPEEKA'!C71</f>
        <v>0</v>
      </c>
      <c r="D71" s="49">
        <f>'Avg Week KAPEEKA-NGOMA'!D71+'Avg Week NGOMA-KAPEEKA'!D71</f>
        <v>0</v>
      </c>
      <c r="E71" s="49">
        <f>'Avg Week KAPEEKA-NGOMA'!E71+'Avg Week NGOMA-KAPEEKA'!E71</f>
        <v>0.5</v>
      </c>
      <c r="F71" s="49">
        <f>'Avg Week KAPEEKA-NGOMA'!F71+'Avg Week NGOMA-KAPEEKA'!F71</f>
        <v>0</v>
      </c>
      <c r="G71" s="49">
        <f>'Avg Week KAPEEKA-NGOMA'!G71+'Avg Week NGOMA-KAPEEKA'!G71</f>
        <v>0</v>
      </c>
      <c r="H71" s="49">
        <f>'Avg Week KAPEEKA-NGOMA'!H71+'Avg Week NGOMA-KAPEEKA'!H71</f>
        <v>0</v>
      </c>
      <c r="I71" s="49">
        <f>'Avg Week KAPEEKA-NGOMA'!I71+'Avg Week NGOMA-KAPEEKA'!I71</f>
        <v>2</v>
      </c>
      <c r="J71" s="49">
        <f>'Avg Week KAPEEKA-NGOMA'!J71+'Avg Week NGOMA-KAPEEKA'!J71</f>
        <v>0.5</v>
      </c>
      <c r="K71" s="49">
        <f>'Avg Week KAPEEKA-NGOMA'!K71+'Avg Week NGOMA-KAPEEKA'!K71</f>
        <v>0</v>
      </c>
      <c r="L71" s="49">
        <f>'Avg Week KAPEEKA-NGOMA'!L71+'Avg Week NGOMA-KAPEEKA'!L71</f>
        <v>0</v>
      </c>
      <c r="M71" s="49">
        <f>'Avg Week KAPEEKA-NGOMA'!M71+'Avg Week NGOMA-KAPEEKA'!M71</f>
        <v>2</v>
      </c>
      <c r="N71" s="49">
        <f>'Avg Week KAPEEKA-NGOMA'!N71+'Avg Week NGOMA-KAPEEKA'!N71</f>
        <v>0</v>
      </c>
      <c r="O71" s="15">
        <f t="shared" si="0"/>
        <v>3</v>
      </c>
      <c r="P71" s="15">
        <f t="shared" si="1"/>
        <v>5</v>
      </c>
      <c r="R71" s="8"/>
      <c r="T71"/>
    </row>
    <row r="72" spans="2:20" ht="23.1" customHeight="1" x14ac:dyDescent="0.25">
      <c r="B72" s="23" t="s">
        <v>112</v>
      </c>
      <c r="C72" s="49">
        <f>'Avg Week KAPEEKA-NGOMA'!C72+'Avg Week NGOMA-KAPEEKA'!C72</f>
        <v>0</v>
      </c>
      <c r="D72" s="49">
        <f>'Avg Week KAPEEKA-NGOMA'!D72+'Avg Week NGOMA-KAPEEKA'!D72</f>
        <v>0</v>
      </c>
      <c r="E72" s="49">
        <f>'Avg Week KAPEEKA-NGOMA'!E72+'Avg Week NGOMA-KAPEEKA'!E72</f>
        <v>0</v>
      </c>
      <c r="F72" s="49">
        <f>'Avg Week KAPEEKA-NGOMA'!F72+'Avg Week NGOMA-KAPEEKA'!F72</f>
        <v>0</v>
      </c>
      <c r="G72" s="49">
        <f>'Avg Week KAPEEKA-NGOMA'!G72+'Avg Week NGOMA-KAPEEKA'!G72</f>
        <v>0</v>
      </c>
      <c r="H72" s="49">
        <f>'Avg Week KAPEEKA-NGOMA'!H72+'Avg Week NGOMA-KAPEEKA'!H72</f>
        <v>0</v>
      </c>
      <c r="I72" s="49">
        <f>'Avg Week KAPEEKA-NGOMA'!I72+'Avg Week NGOMA-KAPEEKA'!I72</f>
        <v>1.5</v>
      </c>
      <c r="J72" s="49">
        <f>'Avg Week KAPEEKA-NGOMA'!J72+'Avg Week NGOMA-KAPEEKA'!J72</f>
        <v>0</v>
      </c>
      <c r="K72" s="49">
        <f>'Avg Week KAPEEKA-NGOMA'!K72+'Avg Week NGOMA-KAPEEKA'!K72</f>
        <v>0</v>
      </c>
      <c r="L72" s="49">
        <f>'Avg Week KAPEEKA-NGOMA'!L72+'Avg Week NGOMA-KAPEEKA'!L72</f>
        <v>0</v>
      </c>
      <c r="M72" s="49">
        <f>'Avg Week KAPEEKA-NGOMA'!M72+'Avg Week NGOMA-KAPEEKA'!M72</f>
        <v>3</v>
      </c>
      <c r="N72" s="49">
        <f>'Avg Week KAPEEKA-NGOMA'!N72+'Avg Week NGOMA-KAPEEKA'!N72</f>
        <v>0</v>
      </c>
      <c r="O72" s="15">
        <f t="shared" si="0"/>
        <v>1.5</v>
      </c>
      <c r="P72" s="15">
        <f t="shared" si="1"/>
        <v>4.5</v>
      </c>
      <c r="R72" s="8"/>
      <c r="T72"/>
    </row>
    <row r="73" spans="2:20" ht="23.1" customHeight="1" x14ac:dyDescent="0.25">
      <c r="B73" s="23" t="s">
        <v>113</v>
      </c>
      <c r="C73" s="49">
        <f>'Avg Week KAPEEKA-NGOMA'!C73+'Avg Week NGOMA-KAPEEKA'!C73</f>
        <v>0.5</v>
      </c>
      <c r="D73" s="49">
        <f>'Avg Week KAPEEKA-NGOMA'!D73+'Avg Week NGOMA-KAPEEKA'!D73</f>
        <v>0.5</v>
      </c>
      <c r="E73" s="49">
        <f>'Avg Week KAPEEKA-NGOMA'!E73+'Avg Week NGOMA-KAPEEKA'!E73</f>
        <v>0</v>
      </c>
      <c r="F73" s="49">
        <f>'Avg Week KAPEEKA-NGOMA'!F73+'Avg Week NGOMA-KAPEEKA'!F73</f>
        <v>0</v>
      </c>
      <c r="G73" s="49">
        <f>'Avg Week KAPEEKA-NGOMA'!G73+'Avg Week NGOMA-KAPEEKA'!G73</f>
        <v>0</v>
      </c>
      <c r="H73" s="49">
        <f>'Avg Week KAPEEKA-NGOMA'!H73+'Avg Week NGOMA-KAPEEKA'!H73</f>
        <v>0</v>
      </c>
      <c r="I73" s="49">
        <f>'Avg Week KAPEEKA-NGOMA'!I73+'Avg Week NGOMA-KAPEEKA'!I73</f>
        <v>1.5</v>
      </c>
      <c r="J73" s="49">
        <f>'Avg Week KAPEEKA-NGOMA'!J73+'Avg Week NGOMA-KAPEEKA'!J73</f>
        <v>0</v>
      </c>
      <c r="K73" s="49">
        <f>'Avg Week KAPEEKA-NGOMA'!K73+'Avg Week NGOMA-KAPEEKA'!K73</f>
        <v>0.5</v>
      </c>
      <c r="L73" s="49">
        <f>'Avg Week KAPEEKA-NGOMA'!L73+'Avg Week NGOMA-KAPEEKA'!L73</f>
        <v>0</v>
      </c>
      <c r="M73" s="49">
        <f>'Avg Week KAPEEKA-NGOMA'!M73+'Avg Week NGOMA-KAPEEKA'!M73</f>
        <v>2</v>
      </c>
      <c r="N73" s="49">
        <f>'Avg Week KAPEEKA-NGOMA'!N73+'Avg Week NGOMA-KAPEEKA'!N73</f>
        <v>0</v>
      </c>
      <c r="O73" s="15">
        <f t="shared" si="0"/>
        <v>3</v>
      </c>
      <c r="P73" s="15">
        <f t="shared" si="1"/>
        <v>5</v>
      </c>
      <c r="R73" s="8"/>
      <c r="T73"/>
    </row>
    <row r="74" spans="2:20" ht="23.1" customHeight="1" x14ac:dyDescent="0.25">
      <c r="B74" s="23" t="s">
        <v>114</v>
      </c>
      <c r="C74" s="49">
        <f>'Avg Week KAPEEKA-NGOMA'!C74+'Avg Week NGOMA-KAPEEKA'!C74</f>
        <v>1</v>
      </c>
      <c r="D74" s="49">
        <f>'Avg Week KAPEEKA-NGOMA'!D74+'Avg Week NGOMA-KAPEEKA'!D74</f>
        <v>0</v>
      </c>
      <c r="E74" s="49">
        <f>'Avg Week KAPEEKA-NGOMA'!E74+'Avg Week NGOMA-KAPEEKA'!E74</f>
        <v>0</v>
      </c>
      <c r="F74" s="49">
        <f>'Avg Week KAPEEKA-NGOMA'!F74+'Avg Week NGOMA-KAPEEKA'!F74</f>
        <v>0.5</v>
      </c>
      <c r="G74" s="49">
        <f>'Avg Week KAPEEKA-NGOMA'!G74+'Avg Week NGOMA-KAPEEKA'!G74</f>
        <v>0</v>
      </c>
      <c r="H74" s="49">
        <f>'Avg Week KAPEEKA-NGOMA'!H74+'Avg Week NGOMA-KAPEEKA'!H74</f>
        <v>0</v>
      </c>
      <c r="I74" s="49">
        <f>'Avg Week KAPEEKA-NGOMA'!I74+'Avg Week NGOMA-KAPEEKA'!I74</f>
        <v>0.5</v>
      </c>
      <c r="J74" s="49">
        <f>'Avg Week KAPEEKA-NGOMA'!J74+'Avg Week NGOMA-KAPEEKA'!J74</f>
        <v>0</v>
      </c>
      <c r="K74" s="49">
        <f>'Avg Week KAPEEKA-NGOMA'!K74+'Avg Week NGOMA-KAPEEKA'!K74</f>
        <v>0</v>
      </c>
      <c r="L74" s="49">
        <f>'Avg Week KAPEEKA-NGOMA'!L74+'Avg Week NGOMA-KAPEEKA'!L74</f>
        <v>0</v>
      </c>
      <c r="M74" s="49">
        <f>'Avg Week KAPEEKA-NGOMA'!M74+'Avg Week NGOMA-KAPEEKA'!M74</f>
        <v>1</v>
      </c>
      <c r="N74" s="49">
        <f>'Avg Week KAPEEKA-NGOMA'!N74+'Avg Week NGOMA-KAPEEKA'!N74</f>
        <v>0</v>
      </c>
      <c r="O74" s="15">
        <f t="shared" ref="O74:O105" si="35">SUM(C74:L74,N74)</f>
        <v>2</v>
      </c>
      <c r="P74" s="15">
        <f t="shared" ref="P74:P105" si="36">SUM(C74:N74)</f>
        <v>3</v>
      </c>
      <c r="R74" s="8"/>
      <c r="T74"/>
    </row>
    <row r="75" spans="2:20" ht="23.1" customHeight="1" x14ac:dyDescent="0.25">
      <c r="B75" s="23" t="s">
        <v>115</v>
      </c>
      <c r="C75" s="49">
        <f>'Avg Week KAPEEKA-NGOMA'!C75+'Avg Week NGOMA-KAPEEKA'!C75</f>
        <v>0</v>
      </c>
      <c r="D75" s="49">
        <f>'Avg Week KAPEEKA-NGOMA'!D75+'Avg Week NGOMA-KAPEEKA'!D75</f>
        <v>0</v>
      </c>
      <c r="E75" s="49">
        <f>'Avg Week KAPEEKA-NGOMA'!E75+'Avg Week NGOMA-KAPEEKA'!E75</f>
        <v>0</v>
      </c>
      <c r="F75" s="49">
        <f>'Avg Week KAPEEKA-NGOMA'!F75+'Avg Week NGOMA-KAPEEKA'!F75</f>
        <v>0</v>
      </c>
      <c r="G75" s="49">
        <f>'Avg Week KAPEEKA-NGOMA'!G75+'Avg Week NGOMA-KAPEEKA'!G75</f>
        <v>0</v>
      </c>
      <c r="H75" s="49">
        <f>'Avg Week KAPEEKA-NGOMA'!H75+'Avg Week NGOMA-KAPEEKA'!H75</f>
        <v>0</v>
      </c>
      <c r="I75" s="49">
        <f>'Avg Week KAPEEKA-NGOMA'!I75+'Avg Week NGOMA-KAPEEKA'!I75</f>
        <v>1</v>
      </c>
      <c r="J75" s="49">
        <f>'Avg Week KAPEEKA-NGOMA'!J75+'Avg Week NGOMA-KAPEEKA'!J75</f>
        <v>0</v>
      </c>
      <c r="K75" s="49">
        <f>'Avg Week KAPEEKA-NGOMA'!K75+'Avg Week NGOMA-KAPEEKA'!K75</f>
        <v>0</v>
      </c>
      <c r="L75" s="49">
        <f>'Avg Week KAPEEKA-NGOMA'!L75+'Avg Week NGOMA-KAPEEKA'!L75</f>
        <v>0</v>
      </c>
      <c r="M75" s="49">
        <f>'Avg Week KAPEEKA-NGOMA'!M75+'Avg Week NGOMA-KAPEEKA'!M75</f>
        <v>0</v>
      </c>
      <c r="N75" s="49">
        <f>'Avg Week KAPEEKA-NGOMA'!N75+'Avg Week NGOMA-KAPEEKA'!N75</f>
        <v>0</v>
      </c>
      <c r="O75" s="15">
        <f t="shared" si="35"/>
        <v>1</v>
      </c>
      <c r="P75" s="15">
        <f t="shared" si="36"/>
        <v>1</v>
      </c>
      <c r="R75" s="8"/>
      <c r="T75"/>
    </row>
    <row r="76" spans="2:20" ht="23.1" customHeight="1" x14ac:dyDescent="0.25">
      <c r="B76" s="23" t="s">
        <v>116</v>
      </c>
      <c r="C76" s="49">
        <f>'Avg Week KAPEEKA-NGOMA'!C76+'Avg Week NGOMA-KAPEEKA'!C76</f>
        <v>0</v>
      </c>
      <c r="D76" s="49">
        <f>'Avg Week KAPEEKA-NGOMA'!D76+'Avg Week NGOMA-KAPEEKA'!D76</f>
        <v>0</v>
      </c>
      <c r="E76" s="49">
        <f>'Avg Week KAPEEKA-NGOMA'!E76+'Avg Week NGOMA-KAPEEKA'!E76</f>
        <v>0</v>
      </c>
      <c r="F76" s="49">
        <f>'Avg Week KAPEEKA-NGOMA'!F76+'Avg Week NGOMA-KAPEEKA'!F76</f>
        <v>0</v>
      </c>
      <c r="G76" s="49">
        <f>'Avg Week KAPEEKA-NGOMA'!G76+'Avg Week NGOMA-KAPEEKA'!G76</f>
        <v>0</v>
      </c>
      <c r="H76" s="49">
        <f>'Avg Week KAPEEKA-NGOMA'!H76+'Avg Week NGOMA-KAPEEKA'!H76</f>
        <v>0</v>
      </c>
      <c r="I76" s="49">
        <f>'Avg Week KAPEEKA-NGOMA'!I76+'Avg Week NGOMA-KAPEEKA'!I76</f>
        <v>1.5</v>
      </c>
      <c r="J76" s="49">
        <f>'Avg Week KAPEEKA-NGOMA'!J76+'Avg Week NGOMA-KAPEEKA'!J76</f>
        <v>0</v>
      </c>
      <c r="K76" s="49">
        <f>'Avg Week KAPEEKA-NGOMA'!K76+'Avg Week NGOMA-KAPEEKA'!K76</f>
        <v>0</v>
      </c>
      <c r="L76" s="49">
        <f>'Avg Week KAPEEKA-NGOMA'!L76+'Avg Week NGOMA-KAPEEKA'!L76</f>
        <v>0</v>
      </c>
      <c r="M76" s="49">
        <f>'Avg Week KAPEEKA-NGOMA'!M76+'Avg Week NGOMA-KAPEEKA'!M76</f>
        <v>0</v>
      </c>
      <c r="N76" s="49">
        <f>'Avg Week KAPEEKA-NGOMA'!N76+'Avg Week NGOMA-KAPEEKA'!N76</f>
        <v>0</v>
      </c>
      <c r="O76" s="15">
        <f t="shared" si="35"/>
        <v>1.5</v>
      </c>
      <c r="P76" s="15">
        <f t="shared" si="36"/>
        <v>1.5</v>
      </c>
      <c r="R76" s="8"/>
      <c r="T76"/>
    </row>
    <row r="77" spans="2:20" ht="23.1" customHeight="1" x14ac:dyDescent="0.25">
      <c r="B77" s="23" t="s">
        <v>117</v>
      </c>
      <c r="C77" s="49">
        <f>'Avg Week KAPEEKA-NGOMA'!C77+'Avg Week NGOMA-KAPEEKA'!C77</f>
        <v>0.5</v>
      </c>
      <c r="D77" s="49">
        <f>'Avg Week KAPEEKA-NGOMA'!D77+'Avg Week NGOMA-KAPEEKA'!D77</f>
        <v>0</v>
      </c>
      <c r="E77" s="49">
        <f>'Avg Week KAPEEKA-NGOMA'!E77+'Avg Week NGOMA-KAPEEKA'!E77</f>
        <v>0</v>
      </c>
      <c r="F77" s="49">
        <f>'Avg Week KAPEEKA-NGOMA'!F77+'Avg Week NGOMA-KAPEEKA'!F77</f>
        <v>0</v>
      </c>
      <c r="G77" s="49">
        <f>'Avg Week KAPEEKA-NGOMA'!G77+'Avg Week NGOMA-KAPEEKA'!G77</f>
        <v>0</v>
      </c>
      <c r="H77" s="49">
        <f>'Avg Week KAPEEKA-NGOMA'!H77+'Avg Week NGOMA-KAPEEKA'!H77</f>
        <v>0</v>
      </c>
      <c r="I77" s="49">
        <f>'Avg Week KAPEEKA-NGOMA'!I77+'Avg Week NGOMA-KAPEEKA'!I77</f>
        <v>1.5</v>
      </c>
      <c r="J77" s="49">
        <f>'Avg Week KAPEEKA-NGOMA'!J77+'Avg Week NGOMA-KAPEEKA'!J77</f>
        <v>0</v>
      </c>
      <c r="K77" s="49">
        <f>'Avg Week KAPEEKA-NGOMA'!K77+'Avg Week NGOMA-KAPEEKA'!K77</f>
        <v>0</v>
      </c>
      <c r="L77" s="49">
        <f>'Avg Week KAPEEKA-NGOMA'!L77+'Avg Week NGOMA-KAPEEKA'!L77</f>
        <v>0</v>
      </c>
      <c r="M77" s="49">
        <f>'Avg Week KAPEEKA-NGOMA'!M77+'Avg Week NGOMA-KAPEEKA'!M77</f>
        <v>0</v>
      </c>
      <c r="N77" s="49">
        <f>'Avg Week KAPEEKA-NGOMA'!N77+'Avg Week NGOMA-KAPEEKA'!N77</f>
        <v>0</v>
      </c>
      <c r="O77" s="15">
        <f t="shared" si="35"/>
        <v>2</v>
      </c>
      <c r="P77" s="15">
        <f t="shared" si="36"/>
        <v>2</v>
      </c>
      <c r="R77" s="8"/>
      <c r="T77"/>
    </row>
    <row r="78" spans="2:20" ht="23.1" customHeight="1" x14ac:dyDescent="0.25">
      <c r="B78" s="24" t="s">
        <v>118</v>
      </c>
      <c r="C78" s="49">
        <f>'Avg Week KAPEEKA-NGOMA'!C78+'Avg Week NGOMA-KAPEEKA'!C78</f>
        <v>0.5</v>
      </c>
      <c r="D78" s="49">
        <f>'Avg Week KAPEEKA-NGOMA'!D78+'Avg Week NGOMA-KAPEEKA'!D78</f>
        <v>0</v>
      </c>
      <c r="E78" s="49">
        <f>'Avg Week KAPEEKA-NGOMA'!E78+'Avg Week NGOMA-KAPEEKA'!E78</f>
        <v>0</v>
      </c>
      <c r="F78" s="49">
        <f>'Avg Week KAPEEKA-NGOMA'!F78+'Avg Week NGOMA-KAPEEKA'!F78</f>
        <v>0</v>
      </c>
      <c r="G78" s="49">
        <f>'Avg Week KAPEEKA-NGOMA'!G78+'Avg Week NGOMA-KAPEEKA'!G78</f>
        <v>0</v>
      </c>
      <c r="H78" s="49">
        <f>'Avg Week KAPEEKA-NGOMA'!H78+'Avg Week NGOMA-KAPEEKA'!H78</f>
        <v>0</v>
      </c>
      <c r="I78" s="49">
        <f>'Avg Week KAPEEKA-NGOMA'!I78+'Avg Week NGOMA-KAPEEKA'!I78</f>
        <v>1</v>
      </c>
      <c r="J78" s="49">
        <f>'Avg Week KAPEEKA-NGOMA'!J78+'Avg Week NGOMA-KAPEEKA'!J78</f>
        <v>0.5</v>
      </c>
      <c r="K78" s="49">
        <f>'Avg Week KAPEEKA-NGOMA'!K78+'Avg Week NGOMA-KAPEEKA'!K78</f>
        <v>0</v>
      </c>
      <c r="L78" s="49">
        <f>'Avg Week KAPEEKA-NGOMA'!L78+'Avg Week NGOMA-KAPEEKA'!L78</f>
        <v>0</v>
      </c>
      <c r="M78" s="49">
        <f>'Avg Week KAPEEKA-NGOMA'!M78+'Avg Week NGOMA-KAPEEKA'!M78</f>
        <v>1</v>
      </c>
      <c r="N78" s="49">
        <f>'Avg Week KAPEEKA-NGOMA'!N78+'Avg Week NGOMA-KAPEEKA'!N78</f>
        <v>0</v>
      </c>
      <c r="O78" s="15">
        <f t="shared" si="35"/>
        <v>2</v>
      </c>
      <c r="P78" s="15">
        <f t="shared" si="36"/>
        <v>3</v>
      </c>
      <c r="R78" s="8"/>
      <c r="T78"/>
    </row>
    <row r="79" spans="2:20" ht="23.1" customHeight="1" x14ac:dyDescent="0.25">
      <c r="B79" s="23" t="s">
        <v>119</v>
      </c>
      <c r="C79" s="49">
        <f>'Avg Week KAPEEKA-NGOMA'!C79+'Avg Week NGOMA-KAPEEKA'!C79</f>
        <v>0</v>
      </c>
      <c r="D79" s="49">
        <f>'Avg Week KAPEEKA-NGOMA'!D79+'Avg Week NGOMA-KAPEEKA'!D79</f>
        <v>0</v>
      </c>
      <c r="E79" s="49">
        <f>'Avg Week KAPEEKA-NGOMA'!E79+'Avg Week NGOMA-KAPEEKA'!E79</f>
        <v>0</v>
      </c>
      <c r="F79" s="49">
        <f>'Avg Week KAPEEKA-NGOMA'!F79+'Avg Week NGOMA-KAPEEKA'!F79</f>
        <v>0</v>
      </c>
      <c r="G79" s="49">
        <f>'Avg Week KAPEEKA-NGOMA'!G79+'Avg Week NGOMA-KAPEEKA'!G79</f>
        <v>0</v>
      </c>
      <c r="H79" s="49">
        <f>'Avg Week KAPEEKA-NGOMA'!H79+'Avg Week NGOMA-KAPEEKA'!H79</f>
        <v>0</v>
      </c>
      <c r="I79" s="49">
        <f>'Avg Week KAPEEKA-NGOMA'!I79+'Avg Week NGOMA-KAPEEKA'!I79</f>
        <v>0</v>
      </c>
      <c r="J79" s="49">
        <f>'Avg Week KAPEEKA-NGOMA'!J79+'Avg Week NGOMA-KAPEEKA'!J79</f>
        <v>0.5</v>
      </c>
      <c r="K79" s="49">
        <f>'Avg Week KAPEEKA-NGOMA'!K79+'Avg Week NGOMA-KAPEEKA'!K79</f>
        <v>0</v>
      </c>
      <c r="L79" s="49">
        <f>'Avg Week KAPEEKA-NGOMA'!L79+'Avg Week NGOMA-KAPEEKA'!L79</f>
        <v>0</v>
      </c>
      <c r="M79" s="49">
        <f>'Avg Week KAPEEKA-NGOMA'!M79+'Avg Week NGOMA-KAPEEKA'!M79</f>
        <v>0.5</v>
      </c>
      <c r="N79" s="49">
        <f>'Avg Week KAPEEKA-NGOMA'!N79+'Avg Week NGOMA-KAPEEKA'!N79</f>
        <v>0</v>
      </c>
      <c r="O79" s="15">
        <f t="shared" si="35"/>
        <v>0.5</v>
      </c>
      <c r="P79" s="15">
        <f t="shared" si="36"/>
        <v>1</v>
      </c>
      <c r="R79" s="8"/>
      <c r="T79"/>
    </row>
    <row r="80" spans="2:20" ht="23.1" customHeight="1" x14ac:dyDescent="0.25">
      <c r="B80" s="25" t="s">
        <v>120</v>
      </c>
      <c r="C80" s="49">
        <f>'Avg Week KAPEEKA-NGOMA'!C80+'Avg Week NGOMA-KAPEEKA'!C80</f>
        <v>0</v>
      </c>
      <c r="D80" s="49">
        <f>'Avg Week KAPEEKA-NGOMA'!D80+'Avg Week NGOMA-KAPEEKA'!D80</f>
        <v>0</v>
      </c>
      <c r="E80" s="49">
        <f>'Avg Week KAPEEKA-NGOMA'!E80+'Avg Week NGOMA-KAPEEKA'!E80</f>
        <v>0</v>
      </c>
      <c r="F80" s="49">
        <f>'Avg Week KAPEEKA-NGOMA'!F80+'Avg Week NGOMA-KAPEEKA'!F80</f>
        <v>0</v>
      </c>
      <c r="G80" s="49">
        <f>'Avg Week KAPEEKA-NGOMA'!G80+'Avg Week NGOMA-KAPEEKA'!G80</f>
        <v>0</v>
      </c>
      <c r="H80" s="49">
        <f>'Avg Week KAPEEKA-NGOMA'!H80+'Avg Week NGOMA-KAPEEKA'!H80</f>
        <v>0</v>
      </c>
      <c r="I80" s="49">
        <f>'Avg Week KAPEEKA-NGOMA'!I80+'Avg Week NGOMA-KAPEEKA'!I80</f>
        <v>1</v>
      </c>
      <c r="J80" s="49">
        <f>'Avg Week KAPEEKA-NGOMA'!J80+'Avg Week NGOMA-KAPEEKA'!J80</f>
        <v>0.5</v>
      </c>
      <c r="K80" s="49">
        <f>'Avg Week KAPEEKA-NGOMA'!K80+'Avg Week NGOMA-KAPEEKA'!K80</f>
        <v>0</v>
      </c>
      <c r="L80" s="49">
        <f>'Avg Week KAPEEKA-NGOMA'!L80+'Avg Week NGOMA-KAPEEKA'!L80</f>
        <v>0</v>
      </c>
      <c r="M80" s="49">
        <f>'Avg Week KAPEEKA-NGOMA'!M80+'Avg Week NGOMA-KAPEEKA'!M80</f>
        <v>0.5</v>
      </c>
      <c r="N80" s="49">
        <f>'Avg Week KAPEEKA-NGOMA'!N80+'Avg Week NGOMA-KAPEEKA'!N80</f>
        <v>0</v>
      </c>
      <c r="O80" s="15">
        <f t="shared" si="35"/>
        <v>1.5</v>
      </c>
      <c r="P80" s="15">
        <f t="shared" si="36"/>
        <v>2</v>
      </c>
      <c r="R80" s="8"/>
      <c r="T80"/>
    </row>
    <row r="81" spans="2:20" ht="23.1" customHeight="1" x14ac:dyDescent="0.25">
      <c r="B81" s="23" t="s">
        <v>121</v>
      </c>
      <c r="C81" s="49">
        <f>'Avg Week KAPEEKA-NGOMA'!C81+'Avg Week NGOMA-KAPEEKA'!C81</f>
        <v>0</v>
      </c>
      <c r="D81" s="49">
        <f>'Avg Week KAPEEKA-NGOMA'!D81+'Avg Week NGOMA-KAPEEKA'!D81</f>
        <v>0</v>
      </c>
      <c r="E81" s="49">
        <f>'Avg Week KAPEEKA-NGOMA'!E81+'Avg Week NGOMA-KAPEEKA'!E81</f>
        <v>0</v>
      </c>
      <c r="F81" s="49">
        <f>'Avg Week KAPEEKA-NGOMA'!F81+'Avg Week NGOMA-KAPEEKA'!F81</f>
        <v>0</v>
      </c>
      <c r="G81" s="49">
        <f>'Avg Week KAPEEKA-NGOMA'!G81+'Avg Week NGOMA-KAPEEKA'!G81</f>
        <v>0</v>
      </c>
      <c r="H81" s="49">
        <f>'Avg Week KAPEEKA-NGOMA'!H81+'Avg Week NGOMA-KAPEEKA'!H81</f>
        <v>0</v>
      </c>
      <c r="I81" s="49">
        <f>'Avg Week KAPEEKA-NGOMA'!I81+'Avg Week NGOMA-KAPEEKA'!I81</f>
        <v>1</v>
      </c>
      <c r="J81" s="49">
        <f>'Avg Week KAPEEKA-NGOMA'!J81+'Avg Week NGOMA-KAPEEKA'!J81</f>
        <v>0</v>
      </c>
      <c r="K81" s="49">
        <f>'Avg Week KAPEEKA-NGOMA'!K81+'Avg Week NGOMA-KAPEEKA'!K81</f>
        <v>0</v>
      </c>
      <c r="L81" s="49">
        <f>'Avg Week KAPEEKA-NGOMA'!L81+'Avg Week NGOMA-KAPEEKA'!L81</f>
        <v>0</v>
      </c>
      <c r="M81" s="49">
        <f>'Avg Week KAPEEKA-NGOMA'!M81+'Avg Week NGOMA-KAPEEKA'!M81</f>
        <v>0</v>
      </c>
      <c r="N81" s="49">
        <f>'Avg Week KAPEEKA-NGOMA'!N81+'Avg Week NGOMA-KAPEEKA'!N81</f>
        <v>0</v>
      </c>
      <c r="O81" s="15">
        <f t="shared" si="35"/>
        <v>1</v>
      </c>
      <c r="P81" s="15">
        <f t="shared" si="36"/>
        <v>1</v>
      </c>
      <c r="R81" s="8"/>
      <c r="T81"/>
    </row>
    <row r="82" spans="2:20" ht="23.1" customHeight="1" x14ac:dyDescent="0.25">
      <c r="B82" s="24" t="s">
        <v>122</v>
      </c>
      <c r="C82" s="49">
        <f>'Avg Week KAPEEKA-NGOMA'!C82+'Avg Week NGOMA-KAPEEKA'!C82</f>
        <v>0.5</v>
      </c>
      <c r="D82" s="49">
        <f>'Avg Week KAPEEKA-NGOMA'!D82+'Avg Week NGOMA-KAPEEKA'!D82</f>
        <v>0</v>
      </c>
      <c r="E82" s="49">
        <f>'Avg Week KAPEEKA-NGOMA'!E82+'Avg Week NGOMA-KAPEEKA'!E82</f>
        <v>0</v>
      </c>
      <c r="F82" s="49">
        <f>'Avg Week KAPEEKA-NGOMA'!F82+'Avg Week NGOMA-KAPEEKA'!F82</f>
        <v>0</v>
      </c>
      <c r="G82" s="49">
        <f>'Avg Week KAPEEKA-NGOMA'!G82+'Avg Week NGOMA-KAPEEKA'!G82</f>
        <v>0</v>
      </c>
      <c r="H82" s="49">
        <f>'Avg Week KAPEEKA-NGOMA'!H82+'Avg Week NGOMA-KAPEEKA'!H82</f>
        <v>0</v>
      </c>
      <c r="I82" s="49">
        <f>'Avg Week KAPEEKA-NGOMA'!I82+'Avg Week NGOMA-KAPEEKA'!I82</f>
        <v>0</v>
      </c>
      <c r="J82" s="49">
        <f>'Avg Week KAPEEKA-NGOMA'!J82+'Avg Week NGOMA-KAPEEKA'!J82</f>
        <v>0</v>
      </c>
      <c r="K82" s="49">
        <f>'Avg Week KAPEEKA-NGOMA'!K82+'Avg Week NGOMA-KAPEEKA'!K82</f>
        <v>0</v>
      </c>
      <c r="L82" s="49">
        <f>'Avg Week KAPEEKA-NGOMA'!L82+'Avg Week NGOMA-KAPEEKA'!L82</f>
        <v>0</v>
      </c>
      <c r="M82" s="49">
        <f>'Avg Week KAPEEKA-NGOMA'!M82+'Avg Week NGOMA-KAPEEKA'!M82</f>
        <v>0</v>
      </c>
      <c r="N82" s="49">
        <f>'Avg Week KAPEEKA-NGOMA'!N82+'Avg Week NGOMA-KAPEEKA'!N82</f>
        <v>0</v>
      </c>
      <c r="O82" s="15">
        <f t="shared" si="35"/>
        <v>0.5</v>
      </c>
      <c r="P82" s="15">
        <f t="shared" si="36"/>
        <v>0.5</v>
      </c>
      <c r="R82" s="8"/>
      <c r="T82"/>
    </row>
    <row r="83" spans="2:20" ht="23.1" customHeight="1" x14ac:dyDescent="0.25">
      <c r="B83" s="23" t="s">
        <v>123</v>
      </c>
      <c r="C83" s="49">
        <f>'Avg Week KAPEEKA-NGOMA'!C83+'Avg Week NGOMA-KAPEEKA'!C83</f>
        <v>0</v>
      </c>
      <c r="D83" s="49">
        <f>'Avg Week KAPEEKA-NGOMA'!D83+'Avg Week NGOMA-KAPEEKA'!D83</f>
        <v>0</v>
      </c>
      <c r="E83" s="49">
        <f>'Avg Week KAPEEKA-NGOMA'!E83+'Avg Week NGOMA-KAPEEKA'!E83</f>
        <v>0</v>
      </c>
      <c r="F83" s="49">
        <f>'Avg Week KAPEEKA-NGOMA'!F83+'Avg Week NGOMA-KAPEEKA'!F83</f>
        <v>0</v>
      </c>
      <c r="G83" s="49">
        <f>'Avg Week KAPEEKA-NGOMA'!G83+'Avg Week NGOMA-KAPEEKA'!G83</f>
        <v>0</v>
      </c>
      <c r="H83" s="49">
        <f>'Avg Week KAPEEKA-NGOMA'!H83+'Avg Week NGOMA-KAPEEKA'!H83</f>
        <v>0</v>
      </c>
      <c r="I83" s="49">
        <f>'Avg Week KAPEEKA-NGOMA'!I83+'Avg Week NGOMA-KAPEEKA'!I83</f>
        <v>0.5</v>
      </c>
      <c r="J83" s="49">
        <f>'Avg Week KAPEEKA-NGOMA'!J83+'Avg Week NGOMA-KAPEEKA'!J83</f>
        <v>0.5</v>
      </c>
      <c r="K83" s="49">
        <f>'Avg Week KAPEEKA-NGOMA'!K83+'Avg Week NGOMA-KAPEEKA'!K83</f>
        <v>0</v>
      </c>
      <c r="L83" s="49">
        <f>'Avg Week KAPEEKA-NGOMA'!L83+'Avg Week NGOMA-KAPEEKA'!L83</f>
        <v>0</v>
      </c>
      <c r="M83" s="49">
        <f>'Avg Week KAPEEKA-NGOMA'!M83+'Avg Week NGOMA-KAPEEKA'!M83</f>
        <v>0</v>
      </c>
      <c r="N83" s="49">
        <f>'Avg Week KAPEEKA-NGOMA'!N83+'Avg Week NGOMA-KAPEEKA'!N83</f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25" t="s">
        <v>124</v>
      </c>
      <c r="C84" s="49">
        <f>'Avg Week KAPEEKA-NGOMA'!C84+'Avg Week NGOMA-KAPEEKA'!C84</f>
        <v>0</v>
      </c>
      <c r="D84" s="49">
        <f>'Avg Week KAPEEKA-NGOMA'!D84+'Avg Week NGOMA-KAPEEKA'!D84</f>
        <v>0</v>
      </c>
      <c r="E84" s="49">
        <f>'Avg Week KAPEEKA-NGOMA'!E84+'Avg Week NGOMA-KAPEEKA'!E84</f>
        <v>0</v>
      </c>
      <c r="F84" s="49">
        <f>'Avg Week KAPEEKA-NGOMA'!F84+'Avg Week NGOMA-KAPEEKA'!F84</f>
        <v>0</v>
      </c>
      <c r="G84" s="49">
        <f>'Avg Week KAPEEKA-NGOMA'!G84+'Avg Week NGOMA-KAPEEKA'!G84</f>
        <v>0</v>
      </c>
      <c r="H84" s="49">
        <f>'Avg Week KAPEEKA-NGOMA'!H84+'Avg Week NGOMA-KAPEEKA'!H84</f>
        <v>0</v>
      </c>
      <c r="I84" s="49">
        <f>'Avg Week KAPEEKA-NGOMA'!I84+'Avg Week NGOMA-KAPEEKA'!I84</f>
        <v>0</v>
      </c>
      <c r="J84" s="49">
        <f>'Avg Week KAPEEKA-NGOMA'!J84+'Avg Week NGOMA-KAPEEKA'!J84</f>
        <v>0.5</v>
      </c>
      <c r="K84" s="49">
        <f>'Avg Week KAPEEKA-NGOMA'!K84+'Avg Week NGOMA-KAPEEKA'!K84</f>
        <v>0</v>
      </c>
      <c r="L84" s="49">
        <f>'Avg Week KAPEEKA-NGOMA'!L84+'Avg Week NGOMA-KAPEEKA'!L84</f>
        <v>0</v>
      </c>
      <c r="M84" s="49">
        <f>'Avg Week KAPEEKA-NGOMA'!M84+'Avg Week NGOMA-KAPEEKA'!M84</f>
        <v>0</v>
      </c>
      <c r="N84" s="49">
        <f>'Avg Week KAPEEKA-NGOMA'!N84+'Avg Week NGOMA-KAPEEKA'!N84</f>
        <v>0</v>
      </c>
      <c r="O84" s="15">
        <f t="shared" si="35"/>
        <v>0.5</v>
      </c>
      <c r="P84" s="15">
        <f t="shared" si="36"/>
        <v>0.5</v>
      </c>
      <c r="R84" s="8"/>
      <c r="T84"/>
    </row>
    <row r="85" spans="2:20" ht="23.1" customHeight="1" x14ac:dyDescent="0.25">
      <c r="B85" s="23" t="s">
        <v>125</v>
      </c>
      <c r="C85" s="49">
        <f>'Avg Week KAPEEKA-NGOMA'!C85+'Avg Week NGOMA-KAPEEKA'!C85</f>
        <v>0</v>
      </c>
      <c r="D85" s="49">
        <f>'Avg Week KAPEEKA-NGOMA'!D85+'Avg Week NGOMA-KAPEEKA'!D85</f>
        <v>0</v>
      </c>
      <c r="E85" s="49">
        <f>'Avg Week KAPEEKA-NGOMA'!E85+'Avg Week NGOMA-KAPEEKA'!E85</f>
        <v>0</v>
      </c>
      <c r="F85" s="49">
        <f>'Avg Week KAPEEKA-NGOMA'!F85+'Avg Week NGOMA-KAPEEKA'!F85</f>
        <v>0</v>
      </c>
      <c r="G85" s="49">
        <f>'Avg Week KAPEEKA-NGOMA'!G85+'Avg Week NGOMA-KAPEEKA'!G85</f>
        <v>0</v>
      </c>
      <c r="H85" s="49">
        <f>'Avg Week KAPEEKA-NGOMA'!H85+'Avg Week NGOMA-KAPEEKA'!H85</f>
        <v>0</v>
      </c>
      <c r="I85" s="49">
        <f>'Avg Week KAPEEKA-NGOMA'!I85+'Avg Week NGOMA-KAPEEKA'!I85</f>
        <v>0</v>
      </c>
      <c r="J85" s="49">
        <f>'Avg Week KAPEEKA-NGOMA'!J85+'Avg Week NGOMA-KAPEEKA'!J85</f>
        <v>1</v>
      </c>
      <c r="K85" s="49">
        <f>'Avg Week KAPEEKA-NGOMA'!K85+'Avg Week NGOMA-KAPEEKA'!K85</f>
        <v>0</v>
      </c>
      <c r="L85" s="49">
        <f>'Avg Week KAPEEKA-NGOMA'!L85+'Avg Week NGOMA-KAPEEKA'!L85</f>
        <v>0</v>
      </c>
      <c r="M85" s="49">
        <f>'Avg Week KAPEEKA-NGOMA'!M85+'Avg Week NGOMA-KAPEEKA'!M85</f>
        <v>0</v>
      </c>
      <c r="N85" s="49">
        <f>'Avg Week KAPEEKA-NGOMA'!N85+'Avg Week NGOMA-KAPEEKA'!N85</f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24" t="s">
        <v>126</v>
      </c>
      <c r="C86" s="49">
        <f>'Avg Week KAPEEKA-NGOMA'!C86+'Avg Week NGOMA-KAPEEKA'!C86</f>
        <v>0</v>
      </c>
      <c r="D86" s="49">
        <f>'Avg Week KAPEEKA-NGOMA'!D86+'Avg Week NGOMA-KAPEEKA'!D86</f>
        <v>0</v>
      </c>
      <c r="E86" s="49">
        <f>'Avg Week KAPEEKA-NGOMA'!E86+'Avg Week NGOMA-KAPEEKA'!E86</f>
        <v>0</v>
      </c>
      <c r="F86" s="49">
        <f>'Avg Week KAPEEKA-NGOMA'!F86+'Avg Week NGOMA-KAPEEKA'!F86</f>
        <v>0</v>
      </c>
      <c r="G86" s="49">
        <f>'Avg Week KAPEEKA-NGOMA'!G86+'Avg Week NGOMA-KAPEEKA'!G86</f>
        <v>0</v>
      </c>
      <c r="H86" s="49">
        <f>'Avg Week KAPEEKA-NGOMA'!H86+'Avg Week NGOMA-KAPEEKA'!H86</f>
        <v>0</v>
      </c>
      <c r="I86" s="49">
        <f>'Avg Week KAPEEKA-NGOMA'!I86+'Avg Week NGOMA-KAPEEKA'!I86</f>
        <v>0</v>
      </c>
      <c r="J86" s="49">
        <f>'Avg Week KAPEEKA-NGOMA'!J86+'Avg Week NGOMA-KAPEEKA'!J86</f>
        <v>0</v>
      </c>
      <c r="K86" s="49">
        <f>'Avg Week KAPEEKA-NGOMA'!K86+'Avg Week NGOMA-KAPEEKA'!K86</f>
        <v>0</v>
      </c>
      <c r="L86" s="49">
        <f>'Avg Week KAPEEKA-NGOMA'!L86+'Avg Week NGOMA-KAPEEKA'!L86</f>
        <v>0</v>
      </c>
      <c r="M86" s="49">
        <f>'Avg Week KAPEEKA-NGOMA'!M86+'Avg Week NGOMA-KAPEEKA'!M86</f>
        <v>0</v>
      </c>
      <c r="N86" s="49">
        <f>'Avg Week KAPEEKA-NGOMA'!N86+'Avg Week NGOMA-KAPEEKA'!N86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49">
        <f>'Avg Week KAPEEKA-NGOMA'!C87+'Avg Week NGOMA-KAPEEKA'!C87</f>
        <v>0.5</v>
      </c>
      <c r="D87" s="49">
        <f>'Avg Week KAPEEKA-NGOMA'!D87+'Avg Week NGOMA-KAPEEKA'!D87</f>
        <v>0</v>
      </c>
      <c r="E87" s="49">
        <f>'Avg Week KAPEEKA-NGOMA'!E87+'Avg Week NGOMA-KAPEEKA'!E87</f>
        <v>0</v>
      </c>
      <c r="F87" s="49">
        <f>'Avg Week KAPEEKA-NGOMA'!F87+'Avg Week NGOMA-KAPEEKA'!F87</f>
        <v>0</v>
      </c>
      <c r="G87" s="49">
        <f>'Avg Week KAPEEKA-NGOMA'!G87+'Avg Week NGOMA-KAPEEKA'!G87</f>
        <v>0</v>
      </c>
      <c r="H87" s="49">
        <f>'Avg Week KAPEEKA-NGOMA'!H87+'Avg Week NGOMA-KAPEEKA'!H87</f>
        <v>0</v>
      </c>
      <c r="I87" s="49">
        <f>'Avg Week KAPEEKA-NGOMA'!I87+'Avg Week NGOMA-KAPEEKA'!I87</f>
        <v>0</v>
      </c>
      <c r="J87" s="49">
        <f>'Avg Week KAPEEKA-NGOMA'!J87+'Avg Week NGOMA-KAPEEKA'!J87</f>
        <v>0</v>
      </c>
      <c r="K87" s="49">
        <f>'Avg Week KAPEEKA-NGOMA'!K87+'Avg Week NGOMA-KAPEEKA'!K87</f>
        <v>0</v>
      </c>
      <c r="L87" s="49">
        <f>'Avg Week KAPEEKA-NGOMA'!L87+'Avg Week NGOMA-KAPEEKA'!L87</f>
        <v>0</v>
      </c>
      <c r="M87" s="49">
        <f>'Avg Week KAPEEKA-NGOMA'!M87+'Avg Week NGOMA-KAPEEKA'!M87</f>
        <v>0</v>
      </c>
      <c r="N87" s="49">
        <f>'Avg Week KAPEEKA-NGOMA'!N87+'Avg Week NGOMA-KAPEEKA'!N87</f>
        <v>0</v>
      </c>
      <c r="O87" s="15">
        <f t="shared" si="35"/>
        <v>0.5</v>
      </c>
      <c r="P87" s="15">
        <f t="shared" si="36"/>
        <v>0.5</v>
      </c>
      <c r="R87" s="8"/>
      <c r="T87"/>
    </row>
    <row r="88" spans="2:20" ht="23.1" customHeight="1" x14ac:dyDescent="0.25">
      <c r="B88" s="25" t="s">
        <v>128</v>
      </c>
      <c r="C88" s="49">
        <f>'Avg Week KAPEEKA-NGOMA'!C88+'Avg Week NGOMA-KAPEEKA'!C88</f>
        <v>0</v>
      </c>
      <c r="D88" s="49">
        <f>'Avg Week KAPEEKA-NGOMA'!D88+'Avg Week NGOMA-KAPEEKA'!D88</f>
        <v>0</v>
      </c>
      <c r="E88" s="49">
        <f>'Avg Week KAPEEKA-NGOMA'!E88+'Avg Week NGOMA-KAPEEKA'!E88</f>
        <v>0</v>
      </c>
      <c r="F88" s="49">
        <f>'Avg Week KAPEEKA-NGOMA'!F88+'Avg Week NGOMA-KAPEEKA'!F88</f>
        <v>0</v>
      </c>
      <c r="G88" s="49">
        <f>'Avg Week KAPEEKA-NGOMA'!G88+'Avg Week NGOMA-KAPEEKA'!G88</f>
        <v>0</v>
      </c>
      <c r="H88" s="49">
        <f>'Avg Week KAPEEKA-NGOMA'!H88+'Avg Week NGOMA-KAPEEKA'!H88</f>
        <v>0</v>
      </c>
      <c r="I88" s="49">
        <f>'Avg Week KAPEEKA-NGOMA'!I88+'Avg Week NGOMA-KAPEEKA'!I88</f>
        <v>0</v>
      </c>
      <c r="J88" s="49">
        <f>'Avg Week KAPEEKA-NGOMA'!J88+'Avg Week NGOMA-KAPEEKA'!J88</f>
        <v>0</v>
      </c>
      <c r="K88" s="49">
        <f>'Avg Week KAPEEKA-NGOMA'!K88+'Avg Week NGOMA-KAPEEKA'!K88</f>
        <v>0</v>
      </c>
      <c r="L88" s="49">
        <f>'Avg Week KAPEEKA-NGOMA'!L88+'Avg Week NGOMA-KAPEEKA'!L88</f>
        <v>0</v>
      </c>
      <c r="M88" s="49">
        <f>'Avg Week KAPEEKA-NGOMA'!M88+'Avg Week NGOMA-KAPEEKA'!M88</f>
        <v>0</v>
      </c>
      <c r="N88" s="49">
        <f>'Avg Week KAPEEKA-NGOMA'!N88+'Avg Week NGOMA-KAPEEKA'!N88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'Avg Week KAPEEKA-NGOMA'!C89+'Avg Week NGOMA-KAPEEKA'!C89</f>
        <v>0</v>
      </c>
      <c r="D89" s="49">
        <f>'Avg Week KAPEEKA-NGOMA'!D89+'Avg Week NGOMA-KAPEEKA'!D89</f>
        <v>0</v>
      </c>
      <c r="E89" s="49">
        <f>'Avg Week KAPEEKA-NGOMA'!E89+'Avg Week NGOMA-KAPEEKA'!E89</f>
        <v>0</v>
      </c>
      <c r="F89" s="49">
        <f>'Avg Week KAPEEKA-NGOMA'!F89+'Avg Week NGOMA-KAPEEKA'!F89</f>
        <v>0</v>
      </c>
      <c r="G89" s="49">
        <f>'Avg Week KAPEEKA-NGOMA'!G89+'Avg Week NGOMA-KAPEEKA'!G89</f>
        <v>0</v>
      </c>
      <c r="H89" s="49">
        <f>'Avg Week KAPEEKA-NGOMA'!H89+'Avg Week NGOMA-KAPEEKA'!H89</f>
        <v>0</v>
      </c>
      <c r="I89" s="49">
        <f>'Avg Week KAPEEKA-NGOMA'!I89+'Avg Week NGOMA-KAPEEKA'!I89</f>
        <v>0</v>
      </c>
      <c r="J89" s="49">
        <f>'Avg Week KAPEEKA-NGOMA'!J89+'Avg Week NGOMA-KAPEEKA'!J89</f>
        <v>0</v>
      </c>
      <c r="K89" s="49">
        <f>'Avg Week KAPEEKA-NGOMA'!K89+'Avg Week NGOMA-KAPEEKA'!K89</f>
        <v>1</v>
      </c>
      <c r="L89" s="49">
        <f>'Avg Week KAPEEKA-NGOMA'!L89+'Avg Week NGOMA-KAPEEKA'!L89</f>
        <v>0</v>
      </c>
      <c r="M89" s="49">
        <f>'Avg Week KAPEEKA-NGOMA'!M89+'Avg Week NGOMA-KAPEEKA'!M89</f>
        <v>0</v>
      </c>
      <c r="N89" s="49">
        <f>'Avg Week KAPEEKA-NGOMA'!N89+'Avg Week NGOMA-KAPEEKA'!N89</f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24" t="s">
        <v>130</v>
      </c>
      <c r="C90" s="49">
        <f>'Avg Week KAPEEKA-NGOMA'!C90+'Avg Week NGOMA-KAPEEKA'!C90</f>
        <v>0</v>
      </c>
      <c r="D90" s="49">
        <f>'Avg Week KAPEEKA-NGOMA'!D90+'Avg Week NGOMA-KAPEEKA'!D90</f>
        <v>0</v>
      </c>
      <c r="E90" s="49">
        <f>'Avg Week KAPEEKA-NGOMA'!E90+'Avg Week NGOMA-KAPEEKA'!E90</f>
        <v>0</v>
      </c>
      <c r="F90" s="49">
        <f>'Avg Week KAPEEKA-NGOMA'!F90+'Avg Week NGOMA-KAPEEKA'!F90</f>
        <v>0</v>
      </c>
      <c r="G90" s="49">
        <f>'Avg Week KAPEEKA-NGOMA'!G90+'Avg Week NGOMA-KAPEEKA'!G90</f>
        <v>0</v>
      </c>
      <c r="H90" s="49">
        <f>'Avg Week KAPEEKA-NGOMA'!H90+'Avg Week NGOMA-KAPEEKA'!H90</f>
        <v>0</v>
      </c>
      <c r="I90" s="49">
        <f>'Avg Week KAPEEKA-NGOMA'!I90+'Avg Week NGOMA-KAPEEKA'!I90</f>
        <v>0</v>
      </c>
      <c r="J90" s="49">
        <f>'Avg Week KAPEEKA-NGOMA'!J90+'Avg Week NGOMA-KAPEEKA'!J90</f>
        <v>0</v>
      </c>
      <c r="K90" s="49">
        <f>'Avg Week KAPEEKA-NGOMA'!K90+'Avg Week NGOMA-KAPEEKA'!K90</f>
        <v>0</v>
      </c>
      <c r="L90" s="49">
        <f>'Avg Week KAPEEKA-NGOMA'!L90+'Avg Week NGOMA-KAPEEKA'!L90</f>
        <v>0</v>
      </c>
      <c r="M90" s="49">
        <f>'Avg Week KAPEEKA-NGOMA'!M90+'Avg Week NGOMA-KAPEEKA'!M90</f>
        <v>0</v>
      </c>
      <c r="N90" s="49">
        <f>'Avg Week KAPEEKA-NGOMA'!N90+'Avg Week NGOMA-KAPEEKA'!N90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'Avg Week KAPEEKA-NGOMA'!C91+'Avg Week NGOMA-KAPEEKA'!C91</f>
        <v>0</v>
      </c>
      <c r="D91" s="49">
        <f>'Avg Week KAPEEKA-NGOMA'!D91+'Avg Week NGOMA-KAPEEKA'!D91</f>
        <v>0</v>
      </c>
      <c r="E91" s="49">
        <f>'Avg Week KAPEEKA-NGOMA'!E91+'Avg Week NGOMA-KAPEEKA'!E91</f>
        <v>0</v>
      </c>
      <c r="F91" s="49">
        <f>'Avg Week KAPEEKA-NGOMA'!F91+'Avg Week NGOMA-KAPEEKA'!F91</f>
        <v>0</v>
      </c>
      <c r="G91" s="49">
        <f>'Avg Week KAPEEKA-NGOMA'!G91+'Avg Week NGOMA-KAPEEKA'!G91</f>
        <v>0</v>
      </c>
      <c r="H91" s="49">
        <f>'Avg Week KAPEEKA-NGOMA'!H91+'Avg Week NGOMA-KAPEEKA'!H91</f>
        <v>0.5</v>
      </c>
      <c r="I91" s="49">
        <f>'Avg Week KAPEEKA-NGOMA'!I91+'Avg Week NGOMA-KAPEEKA'!I91</f>
        <v>0</v>
      </c>
      <c r="J91" s="49">
        <f>'Avg Week KAPEEKA-NGOMA'!J91+'Avg Week NGOMA-KAPEEKA'!J91</f>
        <v>0</v>
      </c>
      <c r="K91" s="49">
        <f>'Avg Week KAPEEKA-NGOMA'!K91+'Avg Week NGOMA-KAPEEKA'!K91</f>
        <v>0</v>
      </c>
      <c r="L91" s="49">
        <f>'Avg Week KAPEEKA-NGOMA'!L91+'Avg Week NGOMA-KAPEEKA'!L91</f>
        <v>0</v>
      </c>
      <c r="M91" s="49">
        <f>'Avg Week KAPEEKA-NGOMA'!M91+'Avg Week NGOMA-KAPEEKA'!M91</f>
        <v>0</v>
      </c>
      <c r="N91" s="49">
        <f>'Avg Week KAPEEKA-NGOMA'!N91+'Avg Week NGOMA-KAPEEKA'!N91</f>
        <v>0</v>
      </c>
      <c r="O91" s="15">
        <f t="shared" si="35"/>
        <v>0.5</v>
      </c>
      <c r="P91" s="15">
        <f t="shared" si="36"/>
        <v>0.5</v>
      </c>
      <c r="R91" s="8"/>
      <c r="T91"/>
    </row>
    <row r="92" spans="2:20" ht="23.1" customHeight="1" x14ac:dyDescent="0.25">
      <c r="B92" s="25" t="s">
        <v>132</v>
      </c>
      <c r="C92" s="49">
        <f>'Avg Week KAPEEKA-NGOMA'!C92+'Avg Week NGOMA-KAPEEKA'!C92</f>
        <v>0</v>
      </c>
      <c r="D92" s="49">
        <f>'Avg Week KAPEEKA-NGOMA'!D92+'Avg Week NGOMA-KAPEEKA'!D92</f>
        <v>0</v>
      </c>
      <c r="E92" s="49">
        <f>'Avg Week KAPEEKA-NGOMA'!E92+'Avg Week NGOMA-KAPEEKA'!E92</f>
        <v>0</v>
      </c>
      <c r="F92" s="49">
        <f>'Avg Week KAPEEKA-NGOMA'!F92+'Avg Week NGOMA-KAPEEKA'!F92</f>
        <v>0</v>
      </c>
      <c r="G92" s="49">
        <f>'Avg Week KAPEEKA-NGOMA'!G92+'Avg Week NGOMA-KAPEEKA'!G92</f>
        <v>0</v>
      </c>
      <c r="H92" s="49">
        <f>'Avg Week KAPEEKA-NGOMA'!H92+'Avg Week NGOMA-KAPEEKA'!H92</f>
        <v>0.5</v>
      </c>
      <c r="I92" s="49">
        <f>'Avg Week KAPEEKA-NGOMA'!I92+'Avg Week NGOMA-KAPEEKA'!I92</f>
        <v>0</v>
      </c>
      <c r="J92" s="49">
        <f>'Avg Week KAPEEKA-NGOMA'!J92+'Avg Week NGOMA-KAPEEKA'!J92</f>
        <v>0.5</v>
      </c>
      <c r="K92" s="49">
        <f>'Avg Week KAPEEKA-NGOMA'!K92+'Avg Week NGOMA-KAPEEKA'!K92</f>
        <v>0</v>
      </c>
      <c r="L92" s="49">
        <f>'Avg Week KAPEEKA-NGOMA'!L92+'Avg Week NGOMA-KAPEEKA'!L92</f>
        <v>0</v>
      </c>
      <c r="M92" s="49">
        <f>'Avg Week KAPEEKA-NGOMA'!M92+'Avg Week NGOMA-KAPEEKA'!M92</f>
        <v>0</v>
      </c>
      <c r="N92" s="49">
        <f>'Avg Week KAPEEKA-NGOMA'!N92+'Avg Week NGOMA-KAPEEKA'!N92</f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'Avg Week KAPEEKA-NGOMA'!C93+'Avg Week NGOMA-KAPEEKA'!C93</f>
        <v>0.5</v>
      </c>
      <c r="D93" s="49">
        <f>'Avg Week KAPEEKA-NGOMA'!D93+'Avg Week NGOMA-KAPEEKA'!D93</f>
        <v>0</v>
      </c>
      <c r="E93" s="49">
        <f>'Avg Week KAPEEKA-NGOMA'!E93+'Avg Week NGOMA-KAPEEKA'!E93</f>
        <v>0</v>
      </c>
      <c r="F93" s="49">
        <f>'Avg Week KAPEEKA-NGOMA'!F93+'Avg Week NGOMA-KAPEEKA'!F93</f>
        <v>0</v>
      </c>
      <c r="G93" s="49">
        <f>'Avg Week KAPEEKA-NGOMA'!G93+'Avg Week NGOMA-KAPEEKA'!G93</f>
        <v>0</v>
      </c>
      <c r="H93" s="49">
        <f>'Avg Week KAPEEKA-NGOMA'!H93+'Avg Week NGOMA-KAPEEKA'!H93</f>
        <v>0</v>
      </c>
      <c r="I93" s="49">
        <f>'Avg Week KAPEEKA-NGOMA'!I93+'Avg Week NGOMA-KAPEEKA'!I93</f>
        <v>1.5</v>
      </c>
      <c r="J93" s="49">
        <f>'Avg Week KAPEEKA-NGOMA'!J93+'Avg Week NGOMA-KAPEEKA'!J93</f>
        <v>0</v>
      </c>
      <c r="K93" s="49">
        <f>'Avg Week KAPEEKA-NGOMA'!K93+'Avg Week NGOMA-KAPEEKA'!K93</f>
        <v>0.5</v>
      </c>
      <c r="L93" s="49">
        <f>'Avg Week KAPEEKA-NGOMA'!L93+'Avg Week NGOMA-KAPEEKA'!L93</f>
        <v>0</v>
      </c>
      <c r="M93" s="49">
        <f>'Avg Week KAPEEKA-NGOMA'!M93+'Avg Week NGOMA-KAPEEKA'!M93</f>
        <v>0</v>
      </c>
      <c r="N93" s="49">
        <f>'Avg Week KAPEEKA-NGOMA'!N93+'Avg Week NGOMA-KAPEEKA'!N93</f>
        <v>0</v>
      </c>
      <c r="O93" s="15">
        <f t="shared" si="35"/>
        <v>2.5</v>
      </c>
      <c r="P93" s="15">
        <f t="shared" si="36"/>
        <v>2.5</v>
      </c>
      <c r="R93" s="8"/>
      <c r="T93"/>
    </row>
    <row r="94" spans="2:20" ht="23.1" customHeight="1" x14ac:dyDescent="0.25">
      <c r="B94" s="24" t="s">
        <v>134</v>
      </c>
      <c r="C94" s="49">
        <f>'Avg Week KAPEEKA-NGOMA'!C94+'Avg Week NGOMA-KAPEEKA'!C94</f>
        <v>0</v>
      </c>
      <c r="D94" s="49">
        <f>'Avg Week KAPEEKA-NGOMA'!D94+'Avg Week NGOMA-KAPEEKA'!D94</f>
        <v>0</v>
      </c>
      <c r="E94" s="49">
        <f>'Avg Week KAPEEKA-NGOMA'!E94+'Avg Week NGOMA-KAPEEKA'!E94</f>
        <v>0</v>
      </c>
      <c r="F94" s="49">
        <f>'Avg Week KAPEEKA-NGOMA'!F94+'Avg Week NGOMA-KAPEEKA'!F94</f>
        <v>0</v>
      </c>
      <c r="G94" s="49">
        <f>'Avg Week KAPEEKA-NGOMA'!G94+'Avg Week NGOMA-KAPEEKA'!G94</f>
        <v>0</v>
      </c>
      <c r="H94" s="49">
        <f>'Avg Week KAPEEKA-NGOMA'!H94+'Avg Week NGOMA-KAPEEKA'!H94</f>
        <v>0</v>
      </c>
      <c r="I94" s="49">
        <f>'Avg Week KAPEEKA-NGOMA'!I94+'Avg Week NGOMA-KAPEEKA'!I94</f>
        <v>0.5</v>
      </c>
      <c r="J94" s="49">
        <f>'Avg Week KAPEEKA-NGOMA'!J94+'Avg Week NGOMA-KAPEEKA'!J94</f>
        <v>0</v>
      </c>
      <c r="K94" s="49">
        <f>'Avg Week KAPEEKA-NGOMA'!K94+'Avg Week NGOMA-KAPEEKA'!K94</f>
        <v>0</v>
      </c>
      <c r="L94" s="49">
        <f>'Avg Week KAPEEKA-NGOMA'!L94+'Avg Week NGOMA-KAPEEKA'!L94</f>
        <v>0</v>
      </c>
      <c r="M94" s="49">
        <f>'Avg Week KAPEEKA-NGOMA'!M94+'Avg Week NGOMA-KAPEEKA'!M94</f>
        <v>2</v>
      </c>
      <c r="N94" s="49">
        <f>'Avg Week KAPEEKA-NGOMA'!N94+'Avg Week NGOMA-KAPEEKA'!N94</f>
        <v>0</v>
      </c>
      <c r="O94" s="15">
        <f t="shared" si="35"/>
        <v>0.5</v>
      </c>
      <c r="P94" s="15">
        <f t="shared" si="36"/>
        <v>2.5</v>
      </c>
      <c r="R94" s="8"/>
      <c r="T94"/>
    </row>
    <row r="95" spans="2:20" ht="23.1" customHeight="1" x14ac:dyDescent="0.25">
      <c r="B95" s="23" t="s">
        <v>135</v>
      </c>
      <c r="C95" s="49">
        <f>'Avg Week KAPEEKA-NGOMA'!C95+'Avg Week NGOMA-KAPEEKA'!C95</f>
        <v>0</v>
      </c>
      <c r="D95" s="49">
        <f>'Avg Week KAPEEKA-NGOMA'!D95+'Avg Week NGOMA-KAPEEKA'!D95</f>
        <v>0</v>
      </c>
      <c r="E95" s="49">
        <f>'Avg Week KAPEEKA-NGOMA'!E95+'Avg Week NGOMA-KAPEEKA'!E95</f>
        <v>0</v>
      </c>
      <c r="F95" s="49">
        <f>'Avg Week KAPEEKA-NGOMA'!F95+'Avg Week NGOMA-KAPEEKA'!F95</f>
        <v>0</v>
      </c>
      <c r="G95" s="49">
        <f>'Avg Week KAPEEKA-NGOMA'!G95+'Avg Week NGOMA-KAPEEKA'!G95</f>
        <v>0</v>
      </c>
      <c r="H95" s="49">
        <f>'Avg Week KAPEEKA-NGOMA'!H95+'Avg Week NGOMA-KAPEEKA'!H95</f>
        <v>0</v>
      </c>
      <c r="I95" s="49">
        <f>'Avg Week KAPEEKA-NGOMA'!I95+'Avg Week NGOMA-KAPEEKA'!I95</f>
        <v>1</v>
      </c>
      <c r="J95" s="49">
        <f>'Avg Week KAPEEKA-NGOMA'!J95+'Avg Week NGOMA-KAPEEKA'!J95</f>
        <v>0</v>
      </c>
      <c r="K95" s="49">
        <f>'Avg Week KAPEEKA-NGOMA'!K95+'Avg Week NGOMA-KAPEEKA'!K95</f>
        <v>0</v>
      </c>
      <c r="L95" s="49">
        <f>'Avg Week KAPEEKA-NGOMA'!L95+'Avg Week NGOMA-KAPEEKA'!L95</f>
        <v>0</v>
      </c>
      <c r="M95" s="49">
        <f>'Avg Week KAPEEKA-NGOMA'!M95+'Avg Week NGOMA-KAPEEKA'!M95</f>
        <v>0.5</v>
      </c>
      <c r="N95" s="49">
        <f>'Avg Week KAPEEKA-NGOMA'!N95+'Avg Week NGOMA-KAPEEKA'!N95</f>
        <v>0</v>
      </c>
      <c r="O95" s="15">
        <f t="shared" si="35"/>
        <v>1</v>
      </c>
      <c r="P95" s="15">
        <f t="shared" si="36"/>
        <v>1.5</v>
      </c>
      <c r="R95" s="8"/>
      <c r="T95"/>
    </row>
    <row r="96" spans="2:20" ht="23.1" customHeight="1" x14ac:dyDescent="0.25">
      <c r="B96" s="25" t="s">
        <v>136</v>
      </c>
      <c r="C96" s="49">
        <f>'Avg Week KAPEEKA-NGOMA'!C96+'Avg Week NGOMA-KAPEEKA'!C96</f>
        <v>0</v>
      </c>
      <c r="D96" s="49">
        <f>'Avg Week KAPEEKA-NGOMA'!D96+'Avg Week NGOMA-KAPEEKA'!D96</f>
        <v>0</v>
      </c>
      <c r="E96" s="49">
        <f>'Avg Week KAPEEKA-NGOMA'!E96+'Avg Week NGOMA-KAPEEKA'!E96</f>
        <v>0</v>
      </c>
      <c r="F96" s="49">
        <f>'Avg Week KAPEEKA-NGOMA'!F96+'Avg Week NGOMA-KAPEEKA'!F96</f>
        <v>0</v>
      </c>
      <c r="G96" s="49">
        <f>'Avg Week KAPEEKA-NGOMA'!G96+'Avg Week NGOMA-KAPEEKA'!G96</f>
        <v>0</v>
      </c>
      <c r="H96" s="49">
        <f>'Avg Week KAPEEKA-NGOMA'!H96+'Avg Week NGOMA-KAPEEKA'!H96</f>
        <v>0</v>
      </c>
      <c r="I96" s="49">
        <f>'Avg Week KAPEEKA-NGOMA'!I96+'Avg Week NGOMA-KAPEEKA'!I96</f>
        <v>1</v>
      </c>
      <c r="J96" s="49">
        <f>'Avg Week KAPEEKA-NGOMA'!J96+'Avg Week NGOMA-KAPEEKA'!J96</f>
        <v>0</v>
      </c>
      <c r="K96" s="49">
        <f>'Avg Week KAPEEKA-NGOMA'!K96+'Avg Week NGOMA-KAPEEKA'!K96</f>
        <v>0</v>
      </c>
      <c r="L96" s="49">
        <f>'Avg Week KAPEEKA-NGOMA'!L96+'Avg Week NGOMA-KAPEEKA'!L96</f>
        <v>0</v>
      </c>
      <c r="M96" s="49">
        <f>'Avg Week KAPEEKA-NGOMA'!M96+'Avg Week NGOMA-KAPEEKA'!M96</f>
        <v>0</v>
      </c>
      <c r="N96" s="49">
        <f>'Avg Week KAPEEKA-NGOMA'!N96+'Avg Week NGOMA-KAPEEKA'!N96</f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23" t="s">
        <v>137</v>
      </c>
      <c r="C97" s="49">
        <f>'Avg Week KAPEEKA-NGOMA'!C97+'Avg Week NGOMA-KAPEEKA'!C97</f>
        <v>0</v>
      </c>
      <c r="D97" s="49">
        <f>'Avg Week KAPEEKA-NGOMA'!D97+'Avg Week NGOMA-KAPEEKA'!D97</f>
        <v>0</v>
      </c>
      <c r="E97" s="49">
        <f>'Avg Week KAPEEKA-NGOMA'!E97+'Avg Week NGOMA-KAPEEKA'!E97</f>
        <v>0.5</v>
      </c>
      <c r="F97" s="49">
        <f>'Avg Week KAPEEKA-NGOMA'!F97+'Avg Week NGOMA-KAPEEKA'!F97</f>
        <v>0</v>
      </c>
      <c r="G97" s="49">
        <f>'Avg Week KAPEEKA-NGOMA'!G97+'Avg Week NGOMA-KAPEEKA'!G97</f>
        <v>0</v>
      </c>
      <c r="H97" s="49">
        <f>'Avg Week KAPEEKA-NGOMA'!H97+'Avg Week NGOMA-KAPEEKA'!H97</f>
        <v>0</v>
      </c>
      <c r="I97" s="49">
        <f>'Avg Week KAPEEKA-NGOMA'!I97+'Avg Week NGOMA-KAPEEKA'!I97</f>
        <v>0.5</v>
      </c>
      <c r="J97" s="49">
        <f>'Avg Week KAPEEKA-NGOMA'!J97+'Avg Week NGOMA-KAPEEKA'!J97</f>
        <v>0</v>
      </c>
      <c r="K97" s="49">
        <f>'Avg Week KAPEEKA-NGOMA'!K97+'Avg Week NGOMA-KAPEEKA'!K97</f>
        <v>0</v>
      </c>
      <c r="L97" s="49">
        <f>'Avg Week KAPEEKA-NGOMA'!L97+'Avg Week NGOMA-KAPEEKA'!L97</f>
        <v>0</v>
      </c>
      <c r="M97" s="49">
        <f>'Avg Week KAPEEKA-NGOMA'!M97+'Avg Week NGOMA-KAPEEKA'!M97</f>
        <v>2.5</v>
      </c>
      <c r="N97" s="49">
        <f>'Avg Week KAPEEKA-NGOMA'!N97+'Avg Week NGOMA-KAPEEKA'!N97</f>
        <v>0</v>
      </c>
      <c r="O97" s="15">
        <f t="shared" si="35"/>
        <v>1</v>
      </c>
      <c r="P97" s="15">
        <f t="shared" si="36"/>
        <v>3.5</v>
      </c>
      <c r="R97" s="8"/>
      <c r="T97"/>
    </row>
    <row r="98" spans="2:20" ht="23.1" customHeight="1" x14ac:dyDescent="0.25">
      <c r="B98" s="24" t="s">
        <v>138</v>
      </c>
      <c r="C98" s="49">
        <f>'Avg Week KAPEEKA-NGOMA'!C98+'Avg Week NGOMA-KAPEEKA'!C98</f>
        <v>1</v>
      </c>
      <c r="D98" s="49">
        <f>'Avg Week KAPEEKA-NGOMA'!D98+'Avg Week NGOMA-KAPEEKA'!D98</f>
        <v>0</v>
      </c>
      <c r="E98" s="49">
        <f>'Avg Week KAPEEKA-NGOMA'!E98+'Avg Week NGOMA-KAPEEKA'!E98</f>
        <v>0</v>
      </c>
      <c r="F98" s="49">
        <f>'Avg Week KAPEEKA-NGOMA'!F98+'Avg Week NGOMA-KAPEEKA'!F98</f>
        <v>0.5</v>
      </c>
      <c r="G98" s="49">
        <f>'Avg Week KAPEEKA-NGOMA'!G98+'Avg Week NGOMA-KAPEEKA'!G98</f>
        <v>0</v>
      </c>
      <c r="H98" s="49">
        <f>'Avg Week KAPEEKA-NGOMA'!H98+'Avg Week NGOMA-KAPEEKA'!H98</f>
        <v>0</v>
      </c>
      <c r="I98" s="49">
        <f>'Avg Week KAPEEKA-NGOMA'!I98+'Avg Week NGOMA-KAPEEKA'!I98</f>
        <v>1.5</v>
      </c>
      <c r="J98" s="49">
        <f>'Avg Week KAPEEKA-NGOMA'!J98+'Avg Week NGOMA-KAPEEKA'!J98</f>
        <v>0</v>
      </c>
      <c r="K98" s="49">
        <f>'Avg Week KAPEEKA-NGOMA'!K98+'Avg Week NGOMA-KAPEEKA'!K98</f>
        <v>0</v>
      </c>
      <c r="L98" s="49">
        <f>'Avg Week KAPEEKA-NGOMA'!L98+'Avg Week NGOMA-KAPEEKA'!L98</f>
        <v>0</v>
      </c>
      <c r="M98" s="49">
        <f>'Avg Week KAPEEKA-NGOMA'!M98+'Avg Week NGOMA-KAPEEKA'!M98</f>
        <v>0.5</v>
      </c>
      <c r="N98" s="49">
        <f>'Avg Week KAPEEKA-NGOMA'!N98+'Avg Week NGOMA-KAPEEKA'!N98</f>
        <v>0</v>
      </c>
      <c r="O98" s="15">
        <f t="shared" si="35"/>
        <v>3</v>
      </c>
      <c r="P98" s="15">
        <f t="shared" si="36"/>
        <v>3.5</v>
      </c>
      <c r="R98" s="8"/>
      <c r="T98"/>
    </row>
    <row r="99" spans="2:20" ht="23.1" customHeight="1" x14ac:dyDescent="0.25">
      <c r="B99" s="23" t="s">
        <v>139</v>
      </c>
      <c r="C99" s="49">
        <f>'Avg Week KAPEEKA-NGOMA'!C99+'Avg Week NGOMA-KAPEEKA'!C99</f>
        <v>0.5</v>
      </c>
      <c r="D99" s="49">
        <f>'Avg Week KAPEEKA-NGOMA'!D99+'Avg Week NGOMA-KAPEEKA'!D99</f>
        <v>0</v>
      </c>
      <c r="E99" s="49">
        <f>'Avg Week KAPEEKA-NGOMA'!E99+'Avg Week NGOMA-KAPEEKA'!E99</f>
        <v>0</v>
      </c>
      <c r="F99" s="49">
        <f>'Avg Week KAPEEKA-NGOMA'!F99+'Avg Week NGOMA-KAPEEKA'!F99</f>
        <v>1</v>
      </c>
      <c r="G99" s="49">
        <f>'Avg Week KAPEEKA-NGOMA'!G99+'Avg Week NGOMA-KAPEEKA'!G99</f>
        <v>0</v>
      </c>
      <c r="H99" s="49">
        <f>'Avg Week KAPEEKA-NGOMA'!H99+'Avg Week NGOMA-KAPEEKA'!H99</f>
        <v>0</v>
      </c>
      <c r="I99" s="49">
        <f>'Avg Week KAPEEKA-NGOMA'!I99+'Avg Week NGOMA-KAPEEKA'!I99</f>
        <v>0</v>
      </c>
      <c r="J99" s="49">
        <f>'Avg Week KAPEEKA-NGOMA'!J99+'Avg Week NGOMA-KAPEEKA'!J99</f>
        <v>0.5</v>
      </c>
      <c r="K99" s="49">
        <f>'Avg Week KAPEEKA-NGOMA'!K99+'Avg Week NGOMA-KAPEEKA'!K99</f>
        <v>0</v>
      </c>
      <c r="L99" s="49">
        <f>'Avg Week KAPEEKA-NGOMA'!L99+'Avg Week NGOMA-KAPEEKA'!L99</f>
        <v>0</v>
      </c>
      <c r="M99" s="49">
        <f>'Avg Week KAPEEKA-NGOMA'!M99+'Avg Week NGOMA-KAPEEKA'!M99</f>
        <v>2</v>
      </c>
      <c r="N99" s="49">
        <f>'Avg Week KAPEEKA-NGOMA'!N99+'Avg Week NGOMA-KAPEEKA'!N99</f>
        <v>0</v>
      </c>
      <c r="O99" s="15">
        <f t="shared" si="35"/>
        <v>2</v>
      </c>
      <c r="P99" s="15">
        <f t="shared" si="36"/>
        <v>4</v>
      </c>
      <c r="R99" s="8"/>
      <c r="T99"/>
    </row>
    <row r="100" spans="2:20" ht="23.1" customHeight="1" x14ac:dyDescent="0.25">
      <c r="B100" s="25" t="s">
        <v>140</v>
      </c>
      <c r="C100" s="49">
        <f>'Avg Week KAPEEKA-NGOMA'!C100+'Avg Week NGOMA-KAPEEKA'!C100</f>
        <v>1.5</v>
      </c>
      <c r="D100" s="49">
        <f>'Avg Week KAPEEKA-NGOMA'!D100+'Avg Week NGOMA-KAPEEKA'!D100</f>
        <v>0</v>
      </c>
      <c r="E100" s="49">
        <f>'Avg Week KAPEEKA-NGOMA'!E100+'Avg Week NGOMA-KAPEEKA'!E100</f>
        <v>0.5</v>
      </c>
      <c r="F100" s="49">
        <f>'Avg Week KAPEEKA-NGOMA'!F100+'Avg Week NGOMA-KAPEEKA'!F100</f>
        <v>0</v>
      </c>
      <c r="G100" s="49">
        <f>'Avg Week KAPEEKA-NGOMA'!G100+'Avg Week NGOMA-KAPEEKA'!G100</f>
        <v>0</v>
      </c>
      <c r="H100" s="49">
        <f>'Avg Week KAPEEKA-NGOMA'!H100+'Avg Week NGOMA-KAPEEKA'!H100</f>
        <v>0</v>
      </c>
      <c r="I100" s="49">
        <f>'Avg Week KAPEEKA-NGOMA'!I100+'Avg Week NGOMA-KAPEEKA'!I100</f>
        <v>2.5</v>
      </c>
      <c r="J100" s="49">
        <f>'Avg Week KAPEEKA-NGOMA'!J100+'Avg Week NGOMA-KAPEEKA'!J100</f>
        <v>0</v>
      </c>
      <c r="K100" s="49">
        <f>'Avg Week KAPEEKA-NGOMA'!K100+'Avg Week NGOMA-KAPEEKA'!K100</f>
        <v>0</v>
      </c>
      <c r="L100" s="49">
        <f>'Avg Week KAPEEKA-NGOMA'!L100+'Avg Week NGOMA-KAPEEKA'!L100</f>
        <v>0</v>
      </c>
      <c r="M100" s="49">
        <f>'Avg Week KAPEEKA-NGOMA'!M100+'Avg Week NGOMA-KAPEEKA'!M100</f>
        <v>1</v>
      </c>
      <c r="N100" s="49">
        <f>'Avg Week KAPEEKA-NGOMA'!N100+'Avg Week NGOMA-KAPEEKA'!N100</f>
        <v>0</v>
      </c>
      <c r="O100" s="15">
        <f t="shared" si="35"/>
        <v>4.5</v>
      </c>
      <c r="P100" s="15">
        <f t="shared" si="36"/>
        <v>5.5</v>
      </c>
      <c r="R100" s="8"/>
      <c r="T100"/>
    </row>
    <row r="101" spans="2:20" ht="23.1" customHeight="1" x14ac:dyDescent="0.25">
      <c r="B101" s="23" t="s">
        <v>141</v>
      </c>
      <c r="C101" s="49">
        <f>'Avg Week KAPEEKA-NGOMA'!C101+'Avg Week NGOMA-KAPEEKA'!C101</f>
        <v>0.5</v>
      </c>
      <c r="D101" s="49">
        <f>'Avg Week KAPEEKA-NGOMA'!D101+'Avg Week NGOMA-KAPEEKA'!D101</f>
        <v>0</v>
      </c>
      <c r="E101" s="49">
        <f>'Avg Week KAPEEKA-NGOMA'!E101+'Avg Week NGOMA-KAPEEKA'!E101</f>
        <v>0</v>
      </c>
      <c r="F101" s="49">
        <f>'Avg Week KAPEEKA-NGOMA'!F101+'Avg Week NGOMA-KAPEEKA'!F101</f>
        <v>0</v>
      </c>
      <c r="G101" s="49">
        <f>'Avg Week KAPEEKA-NGOMA'!G101+'Avg Week NGOMA-KAPEEKA'!G101</f>
        <v>0</v>
      </c>
      <c r="H101" s="49">
        <f>'Avg Week KAPEEKA-NGOMA'!H101+'Avg Week NGOMA-KAPEEKA'!H101</f>
        <v>0</v>
      </c>
      <c r="I101" s="49">
        <f>'Avg Week KAPEEKA-NGOMA'!I101+'Avg Week NGOMA-KAPEEKA'!I101</f>
        <v>0.5</v>
      </c>
      <c r="J101" s="49">
        <f>'Avg Week KAPEEKA-NGOMA'!J101+'Avg Week NGOMA-KAPEEKA'!J101</f>
        <v>0.5</v>
      </c>
      <c r="K101" s="49">
        <f>'Avg Week KAPEEKA-NGOMA'!K101+'Avg Week NGOMA-KAPEEKA'!K101</f>
        <v>0</v>
      </c>
      <c r="L101" s="49">
        <f>'Avg Week KAPEEKA-NGOMA'!L101+'Avg Week NGOMA-KAPEEKA'!L101</f>
        <v>0</v>
      </c>
      <c r="M101" s="49">
        <f>'Avg Week KAPEEKA-NGOMA'!M101+'Avg Week NGOMA-KAPEEKA'!M101</f>
        <v>3.5</v>
      </c>
      <c r="N101" s="49">
        <f>'Avg Week KAPEEKA-NGOMA'!N101+'Avg Week NGOMA-KAPEEKA'!N101</f>
        <v>0</v>
      </c>
      <c r="O101" s="15">
        <f t="shared" si="35"/>
        <v>1.5</v>
      </c>
      <c r="P101" s="15">
        <f t="shared" si="36"/>
        <v>5</v>
      </c>
      <c r="R101" s="8"/>
      <c r="T101"/>
    </row>
    <row r="102" spans="2:20" ht="23.1" customHeight="1" x14ac:dyDescent="0.25">
      <c r="B102" s="24" t="s">
        <v>142</v>
      </c>
      <c r="C102" s="49">
        <f>'Avg Week KAPEEKA-NGOMA'!C102+'Avg Week NGOMA-KAPEEKA'!C102</f>
        <v>1.5</v>
      </c>
      <c r="D102" s="49">
        <f>'Avg Week KAPEEKA-NGOMA'!D102+'Avg Week NGOMA-KAPEEKA'!D102</f>
        <v>0.5</v>
      </c>
      <c r="E102" s="49">
        <f>'Avg Week KAPEEKA-NGOMA'!E102+'Avg Week NGOMA-KAPEEKA'!E102</f>
        <v>0</v>
      </c>
      <c r="F102" s="49">
        <f>'Avg Week KAPEEKA-NGOMA'!F102+'Avg Week NGOMA-KAPEEKA'!F102</f>
        <v>1.5</v>
      </c>
      <c r="G102" s="49">
        <f>'Avg Week KAPEEKA-NGOMA'!G102+'Avg Week NGOMA-KAPEEKA'!G102</f>
        <v>0</v>
      </c>
      <c r="H102" s="49">
        <f>'Avg Week KAPEEKA-NGOMA'!H102+'Avg Week NGOMA-KAPEEKA'!H102</f>
        <v>0</v>
      </c>
      <c r="I102" s="49">
        <f>'Avg Week KAPEEKA-NGOMA'!I102+'Avg Week NGOMA-KAPEEKA'!I102</f>
        <v>0</v>
      </c>
      <c r="J102" s="49">
        <f>'Avg Week KAPEEKA-NGOMA'!J102+'Avg Week NGOMA-KAPEEKA'!J102</f>
        <v>0.5</v>
      </c>
      <c r="K102" s="49">
        <f>'Avg Week KAPEEKA-NGOMA'!K102+'Avg Week NGOMA-KAPEEKA'!K102</f>
        <v>0</v>
      </c>
      <c r="L102" s="49">
        <f>'Avg Week KAPEEKA-NGOMA'!L102+'Avg Week NGOMA-KAPEEKA'!L102</f>
        <v>0</v>
      </c>
      <c r="M102" s="49">
        <f>'Avg Week KAPEEKA-NGOMA'!M102+'Avg Week NGOMA-KAPEEKA'!M102</f>
        <v>4</v>
      </c>
      <c r="N102" s="49">
        <f>'Avg Week KAPEEKA-NGOMA'!N102+'Avg Week NGOMA-KAPEEKA'!N102</f>
        <v>0</v>
      </c>
      <c r="O102" s="15">
        <f t="shared" si="35"/>
        <v>4</v>
      </c>
      <c r="P102" s="15">
        <f t="shared" si="36"/>
        <v>8</v>
      </c>
      <c r="R102" s="8"/>
      <c r="T102"/>
    </row>
    <row r="103" spans="2:20" ht="23.1" customHeight="1" x14ac:dyDescent="0.25">
      <c r="B103" s="23" t="s">
        <v>143</v>
      </c>
      <c r="C103" s="49">
        <f>'Avg Week KAPEEKA-NGOMA'!C103+'Avg Week NGOMA-KAPEEKA'!C103</f>
        <v>0</v>
      </c>
      <c r="D103" s="49">
        <f>'Avg Week KAPEEKA-NGOMA'!D103+'Avg Week NGOMA-KAPEEKA'!D103</f>
        <v>0</v>
      </c>
      <c r="E103" s="49">
        <f>'Avg Week KAPEEKA-NGOMA'!E103+'Avg Week NGOMA-KAPEEKA'!E103</f>
        <v>0.5</v>
      </c>
      <c r="F103" s="49">
        <f>'Avg Week KAPEEKA-NGOMA'!F103+'Avg Week NGOMA-KAPEEKA'!F103</f>
        <v>0</v>
      </c>
      <c r="G103" s="49">
        <f>'Avg Week KAPEEKA-NGOMA'!G103+'Avg Week NGOMA-KAPEEKA'!G103</f>
        <v>0</v>
      </c>
      <c r="H103" s="49">
        <f>'Avg Week KAPEEKA-NGOMA'!H103+'Avg Week NGOMA-KAPEEKA'!H103</f>
        <v>0</v>
      </c>
      <c r="I103" s="49">
        <f>'Avg Week KAPEEKA-NGOMA'!I103+'Avg Week NGOMA-KAPEEKA'!I103</f>
        <v>0.5</v>
      </c>
      <c r="J103" s="49">
        <f>'Avg Week KAPEEKA-NGOMA'!J103+'Avg Week NGOMA-KAPEEKA'!J103</f>
        <v>0.5</v>
      </c>
      <c r="K103" s="49">
        <f>'Avg Week KAPEEKA-NGOMA'!K103+'Avg Week NGOMA-KAPEEKA'!K103</f>
        <v>0</v>
      </c>
      <c r="L103" s="49">
        <f>'Avg Week KAPEEKA-NGOMA'!L103+'Avg Week NGOMA-KAPEEKA'!L103</f>
        <v>0</v>
      </c>
      <c r="M103" s="49">
        <f>'Avg Week KAPEEKA-NGOMA'!M103+'Avg Week NGOMA-KAPEEKA'!M103</f>
        <v>4.5</v>
      </c>
      <c r="N103" s="49">
        <f>'Avg Week KAPEEKA-NGOMA'!N103+'Avg Week NGOMA-KAPEEKA'!N103</f>
        <v>0</v>
      </c>
      <c r="O103" s="15">
        <f t="shared" si="35"/>
        <v>1.5</v>
      </c>
      <c r="P103" s="15">
        <f t="shared" si="36"/>
        <v>6</v>
      </c>
      <c r="R103" s="8"/>
      <c r="T103"/>
    </row>
    <row r="104" spans="2:20" ht="23.1" customHeight="1" x14ac:dyDescent="0.25">
      <c r="B104" s="25" t="s">
        <v>144</v>
      </c>
      <c r="C104" s="49">
        <f>'Avg Week KAPEEKA-NGOMA'!C104+'Avg Week NGOMA-KAPEEKA'!C104</f>
        <v>0</v>
      </c>
      <c r="D104" s="49">
        <f>'Avg Week KAPEEKA-NGOMA'!D104+'Avg Week NGOMA-KAPEEKA'!D104</f>
        <v>0.5</v>
      </c>
      <c r="E104" s="49">
        <f>'Avg Week KAPEEKA-NGOMA'!E104+'Avg Week NGOMA-KAPEEKA'!E104</f>
        <v>0</v>
      </c>
      <c r="F104" s="49">
        <f>'Avg Week KAPEEKA-NGOMA'!F104+'Avg Week NGOMA-KAPEEKA'!F104</f>
        <v>1.5</v>
      </c>
      <c r="G104" s="49">
        <f>'Avg Week KAPEEKA-NGOMA'!G104+'Avg Week NGOMA-KAPEEKA'!G104</f>
        <v>0</v>
      </c>
      <c r="H104" s="49">
        <f>'Avg Week KAPEEKA-NGOMA'!H104+'Avg Week NGOMA-KAPEEKA'!H104</f>
        <v>0</v>
      </c>
      <c r="I104" s="49">
        <f>'Avg Week KAPEEKA-NGOMA'!I104+'Avg Week NGOMA-KAPEEKA'!I104</f>
        <v>0.5</v>
      </c>
      <c r="J104" s="49">
        <f>'Avg Week KAPEEKA-NGOMA'!J104+'Avg Week NGOMA-KAPEEKA'!J104</f>
        <v>0</v>
      </c>
      <c r="K104" s="49">
        <f>'Avg Week KAPEEKA-NGOMA'!K104+'Avg Week NGOMA-KAPEEKA'!K104</f>
        <v>0</v>
      </c>
      <c r="L104" s="49">
        <f>'Avg Week KAPEEKA-NGOMA'!L104+'Avg Week NGOMA-KAPEEKA'!L104</f>
        <v>0</v>
      </c>
      <c r="M104" s="49">
        <f>'Avg Week KAPEEKA-NGOMA'!M104+'Avg Week NGOMA-KAPEEKA'!M104</f>
        <v>4.5</v>
      </c>
      <c r="N104" s="49">
        <f>'Avg Week KAPEEKA-NGOMA'!N104+'Avg Week NGOMA-KAPEEKA'!N104</f>
        <v>0</v>
      </c>
      <c r="O104" s="15">
        <f t="shared" si="35"/>
        <v>2.5</v>
      </c>
      <c r="P104" s="15">
        <f t="shared" si="36"/>
        <v>7</v>
      </c>
      <c r="R104" s="8"/>
      <c r="T104"/>
    </row>
    <row r="105" spans="2:20" ht="23.1" customHeight="1" x14ac:dyDescent="0.25">
      <c r="B105" s="23" t="s">
        <v>145</v>
      </c>
      <c r="C105" s="49">
        <f>'Avg Week KAPEEKA-NGOMA'!C105+'Avg Week NGOMA-KAPEEKA'!C105</f>
        <v>0</v>
      </c>
      <c r="D105" s="49">
        <f>'Avg Week KAPEEKA-NGOMA'!D105+'Avg Week NGOMA-KAPEEKA'!D105</f>
        <v>0</v>
      </c>
      <c r="E105" s="49">
        <f>'Avg Week KAPEEKA-NGOMA'!E105+'Avg Week NGOMA-KAPEEKA'!E105</f>
        <v>0</v>
      </c>
      <c r="F105" s="49">
        <f>'Avg Week KAPEEKA-NGOMA'!F105+'Avg Week NGOMA-KAPEEKA'!F105</f>
        <v>0</v>
      </c>
      <c r="G105" s="49">
        <f>'Avg Week KAPEEKA-NGOMA'!G105+'Avg Week NGOMA-KAPEEKA'!G105</f>
        <v>0</v>
      </c>
      <c r="H105" s="49">
        <f>'Avg Week KAPEEKA-NGOMA'!H105+'Avg Week NGOMA-KAPEEKA'!H105</f>
        <v>0</v>
      </c>
      <c r="I105" s="49">
        <f>'Avg Week KAPEEKA-NGOMA'!I105+'Avg Week NGOMA-KAPEEKA'!I105</f>
        <v>0.5</v>
      </c>
      <c r="J105" s="49">
        <f>'Avg Week KAPEEKA-NGOMA'!J105+'Avg Week NGOMA-KAPEEKA'!J105</f>
        <v>0</v>
      </c>
      <c r="K105" s="49">
        <f>'Avg Week KAPEEKA-NGOMA'!K105+'Avg Week NGOMA-KAPEEKA'!K105</f>
        <v>0</v>
      </c>
      <c r="L105" s="49">
        <f>'Avg Week KAPEEKA-NGOMA'!L105+'Avg Week NGOMA-KAPEEKA'!L105</f>
        <v>0</v>
      </c>
      <c r="M105" s="49">
        <f>'Avg Week KAPEEKA-NGOMA'!M105+'Avg Week NGOMA-KAPEEKA'!M105</f>
        <v>1.5</v>
      </c>
      <c r="N105" s="49">
        <f>'Avg Week KAPEEKA-NGOMA'!N105+'Avg Week NGOMA-KAPEEKA'!N105</f>
        <v>0</v>
      </c>
      <c r="O105" s="15">
        <f t="shared" si="35"/>
        <v>0.5</v>
      </c>
      <c r="P105" s="15">
        <f t="shared" si="36"/>
        <v>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82.785714285714306</v>
      </c>
      <c r="D106" s="16">
        <f t="shared" ref="D106:P106" si="37">SUM(D10:D105)</f>
        <v>21.714285714285719</v>
      </c>
      <c r="E106" s="16">
        <f t="shared" si="37"/>
        <v>36.214285714285715</v>
      </c>
      <c r="F106" s="16">
        <f t="shared" si="37"/>
        <v>53.857142857142868</v>
      </c>
      <c r="G106" s="16">
        <f t="shared" si="37"/>
        <v>1</v>
      </c>
      <c r="H106" s="16">
        <f t="shared" si="37"/>
        <v>1.5714285714285714</v>
      </c>
      <c r="I106" s="16">
        <f t="shared" si="37"/>
        <v>98.357142857142875</v>
      </c>
      <c r="J106" s="16">
        <f t="shared" si="37"/>
        <v>30.285714285714285</v>
      </c>
      <c r="K106" s="16">
        <f t="shared" si="37"/>
        <v>4.5</v>
      </c>
      <c r="L106" s="16">
        <f t="shared" si="37"/>
        <v>2.3571428571428568</v>
      </c>
      <c r="M106" s="16">
        <f t="shared" si="37"/>
        <v>585.45238095238096</v>
      </c>
      <c r="N106" s="16">
        <f t="shared" si="37"/>
        <v>2.8571428571428568</v>
      </c>
      <c r="O106" s="16">
        <f t="shared" si="37"/>
        <v>335.5</v>
      </c>
      <c r="P106" s="16">
        <f t="shared" si="37"/>
        <v>920.95238095238096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8.9891416752843872E-2</v>
      </c>
      <c r="D107" s="43">
        <f t="shared" si="38"/>
        <v>2.3578076525336094E-2</v>
      </c>
      <c r="E107" s="43">
        <f t="shared" si="38"/>
        <v>3.9322647362978282E-2</v>
      </c>
      <c r="F107" s="43">
        <f t="shared" si="38"/>
        <v>5.8479834539813869E-2</v>
      </c>
      <c r="G107" s="43">
        <f t="shared" si="38"/>
        <v>1.0858324715615304E-3</v>
      </c>
      <c r="H107" s="43">
        <f t="shared" si="38"/>
        <v>1.7063081695966908E-3</v>
      </c>
      <c r="I107" s="43">
        <f t="shared" si="38"/>
        <v>0.10679937952430198</v>
      </c>
      <c r="J107" s="43">
        <f t="shared" si="38"/>
        <v>3.2885211995863493E-2</v>
      </c>
      <c r="K107" s="43">
        <f t="shared" si="38"/>
        <v>4.8862461220268872E-3</v>
      </c>
      <c r="L107" s="43">
        <f t="shared" si="38"/>
        <v>2.5594622543950356E-3</v>
      </c>
      <c r="M107" s="43">
        <f t="shared" si="38"/>
        <v>0.63570320579110651</v>
      </c>
      <c r="N107" s="43">
        <f t="shared" si="38"/>
        <v>3.1023784901758008E-3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0.24675324675324681</v>
      </c>
      <c r="D108" s="44">
        <f t="shared" ref="D108:N108" si="39">D106/$O$106</f>
        <v>6.4722163082818834E-2</v>
      </c>
      <c r="E108" s="44">
        <f t="shared" si="39"/>
        <v>0.10794123908878007</v>
      </c>
      <c r="F108" s="44">
        <f t="shared" si="39"/>
        <v>0.16052799659357039</v>
      </c>
      <c r="G108" s="44">
        <f t="shared" si="39"/>
        <v>2.9806259314456036E-3</v>
      </c>
      <c r="H108" s="44">
        <f t="shared" si="39"/>
        <v>4.6838407494145199E-3</v>
      </c>
      <c r="I108" s="44">
        <f t="shared" si="39"/>
        <v>0.29316585054289979</v>
      </c>
      <c r="J108" s="44">
        <f t="shared" si="39"/>
        <v>9.0270385352352558E-2</v>
      </c>
      <c r="K108" s="44">
        <f t="shared" si="39"/>
        <v>1.3412816691505217E-2</v>
      </c>
      <c r="L108" s="44">
        <f t="shared" si="39"/>
        <v>7.025761124121779E-3</v>
      </c>
      <c r="M108" s="44"/>
      <c r="N108" s="44">
        <f t="shared" si="39"/>
        <v>8.5160740898445799E-3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17.10 KAPEEKA-NGOMA</vt:lpstr>
      <vt:lpstr>17.10 NGOMA-KAPEEKA</vt:lpstr>
      <vt:lpstr>18.10 KAPEEKA-NGOMA</vt:lpstr>
      <vt:lpstr>18.10 NGOMA KAPEEKA</vt:lpstr>
      <vt:lpstr>19.10 KAPEEKA-NGOMA 24h</vt:lpstr>
      <vt:lpstr>19.10 NGOMA-KAPEEKA-24h</vt:lpstr>
      <vt:lpstr>20.10 KAPEEKA-NGOMA</vt:lpstr>
      <vt:lpstr>20.10 NGOMA-KAPEEKA</vt:lpstr>
      <vt:lpstr>21.10 KAPEEKA-NGOMA-24h</vt:lpstr>
      <vt:lpstr>21.10 NGOMA KAPEEKA-24h</vt:lpstr>
      <vt:lpstr>22.10 KAPEEKA-NGOMA</vt:lpstr>
      <vt:lpstr>22.10 NGOMA-KAPEERA</vt:lpstr>
      <vt:lpstr>23.10 KAPEEKA-NGOMA</vt:lpstr>
      <vt:lpstr>23.10 NGOMA-KAPEEKA</vt:lpstr>
      <vt:lpstr>Avg Week KAPEEKA-NGOMA</vt:lpstr>
      <vt:lpstr>Avg Week NGOMA-KAPEEKA</vt:lpstr>
      <vt:lpstr>Avg Week KAPEEKA-NGOMA-2Dir</vt:lpstr>
      <vt:lpstr>'17.10 KAPEEKA-NGOMA'!Print_Area</vt:lpstr>
      <vt:lpstr>'17.10 NGOMA-KAPEEKA'!Print_Area</vt:lpstr>
      <vt:lpstr>'18.10 KAPEEKA-NGOMA'!Print_Area</vt:lpstr>
      <vt:lpstr>'18.10 NGOMA KAPEEKA'!Print_Area</vt:lpstr>
      <vt:lpstr>'19.10 KAPEEKA-NGOMA 24h'!Print_Area</vt:lpstr>
      <vt:lpstr>'19.10 NGOMA-KAPEEKA-24h'!Print_Area</vt:lpstr>
      <vt:lpstr>'20.10 KAPEEKA-NGOMA'!Print_Area</vt:lpstr>
      <vt:lpstr>'20.10 NGOMA-KAPEEKA'!Print_Area</vt:lpstr>
      <vt:lpstr>'21.10 KAPEEKA-NGOMA-24h'!Print_Area</vt:lpstr>
      <vt:lpstr>'21.10 NGOMA KAPEEKA-24h'!Print_Area</vt:lpstr>
      <vt:lpstr>'22.10 KAPEEKA-NGOMA'!Print_Area</vt:lpstr>
      <vt:lpstr>'22.10 NGOMA-KAPEERA'!Print_Area</vt:lpstr>
      <vt:lpstr>'23.10 KAPEEKA-NGOMA'!Print_Area</vt:lpstr>
      <vt:lpstr>'23.10 NGOMA-KAPEEKA'!Print_Area</vt:lpstr>
      <vt:lpstr>'Avg Week KAPEEKA-NGOMA'!Print_Area</vt:lpstr>
      <vt:lpstr>'Avg Week KAPEEKA-NGOMA-2Dir'!Print_Area</vt:lpstr>
      <vt:lpstr>'Avg Week NGOMA-KAPEEKA'!Print_Area</vt:lpstr>
      <vt:lpstr>'17.10 KAPEEKA-NGOMA'!Print_Titles</vt:lpstr>
      <vt:lpstr>'17.10 NGOMA-KAPEEKA'!Print_Titles</vt:lpstr>
      <vt:lpstr>'18.10 KAPEEKA-NGOMA'!Print_Titles</vt:lpstr>
      <vt:lpstr>'18.10 NGOMA KAPEEKA'!Print_Titles</vt:lpstr>
      <vt:lpstr>'19.10 KAPEEKA-NGOMA 24h'!Print_Titles</vt:lpstr>
      <vt:lpstr>'19.10 NGOMA-KAPEEKA-24h'!Print_Titles</vt:lpstr>
      <vt:lpstr>'20.10 KAPEEKA-NGOMA'!Print_Titles</vt:lpstr>
      <vt:lpstr>'20.10 NGOMA-KAPEEKA'!Print_Titles</vt:lpstr>
      <vt:lpstr>'21.10 KAPEEKA-NGOMA-24h'!Print_Titles</vt:lpstr>
      <vt:lpstr>'21.10 NGOMA KAPEEKA-24h'!Print_Titles</vt:lpstr>
      <vt:lpstr>'22.10 KAPEEKA-NGOMA'!Print_Titles</vt:lpstr>
      <vt:lpstr>'22.10 NGOMA-KAPEERA'!Print_Titles</vt:lpstr>
      <vt:lpstr>'23.10 KAPEEKA-NGOMA'!Print_Titles</vt:lpstr>
      <vt:lpstr>'23.10 NGOMA-KAPEEKA'!Print_Titles</vt:lpstr>
      <vt:lpstr>'Avg Week KAPEEKA-NGOMA'!Print_Titles</vt:lpstr>
      <vt:lpstr>'Avg Week KAPEEKA-NGOMA-2Dir'!Print_Titles</vt:lpstr>
      <vt:lpstr>'Avg Week NGOMA-KAPEEKA'!Print_Titles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2019-07-25T18:18:41Z</cp:lastPrinted>
  <dcterms:created xsi:type="dcterms:W3CDTF">2010-07-06T07:39:49Z</dcterms:created>
  <dcterms:modified xsi:type="dcterms:W3CDTF">2020-01-15T13:44:39Z</dcterms:modified>
</cp:coreProperties>
</file>